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15. QC\00.Sắp xếp tài liệu mới\2.QA\0.ISO IATF\3. IATF 16949-2016\2. Kết quả đánh giá hàng năm\2024\TÀI LIỆU YÊU CẦU 04.2024\3. KPI_ok\"/>
    </mc:Choice>
  </mc:AlternateContent>
  <bookViews>
    <workbookView xWindow="0" yWindow="0" windowWidth="25200" windowHeight="11280" activeTab="9"/>
  </bookViews>
  <sheets>
    <sheet name="2020 VN" sheetId="1" r:id="rId1"/>
    <sheet name="2020 KR" sheetId="2" r:id="rId2"/>
    <sheet name="2021.Vn" sheetId="3" r:id="rId3"/>
    <sheet name="2021.KR" sheetId="4" r:id="rId4"/>
    <sheet name="2022.VN" sheetId="5" r:id="rId5"/>
    <sheet name="2022 KR" sheetId="6" r:id="rId6"/>
    <sheet name="2023VN" sheetId="7" r:id="rId7"/>
    <sheet name="2023 KR" sheetId="9" r:id="rId8"/>
    <sheet name="2024 VN" sheetId="10" r:id="rId9"/>
    <sheet name="2024 KR" sheetId="11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4" i="3" l="1"/>
  <c r="U14" i="6"/>
  <c r="U13" i="6"/>
  <c r="U13" i="7"/>
  <c r="U14" i="10" l="1"/>
  <c r="T89" i="11"/>
  <c r="S89" i="11"/>
  <c r="R89" i="11"/>
  <c r="Q89" i="11"/>
  <c r="P89" i="11"/>
  <c r="O89" i="11"/>
  <c r="N89" i="11"/>
  <c r="M89" i="11"/>
  <c r="L89" i="11"/>
  <c r="K89" i="11"/>
  <c r="J89" i="11"/>
  <c r="I89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L83" i="11"/>
  <c r="K83" i="11"/>
  <c r="J83" i="11"/>
  <c r="I83" i="11"/>
  <c r="U77" i="11"/>
  <c r="U78" i="11" s="1"/>
  <c r="U76" i="11"/>
  <c r="U74" i="11"/>
  <c r="U75" i="11" s="1"/>
  <c r="U73" i="11"/>
  <c r="U71" i="11"/>
  <c r="U72" i="11" s="1"/>
  <c r="U70" i="11"/>
  <c r="U68" i="11"/>
  <c r="U67" i="11"/>
  <c r="U65" i="11"/>
  <c r="U64" i="11"/>
  <c r="U63" i="11"/>
  <c r="U62" i="11"/>
  <c r="U61" i="11"/>
  <c r="U59" i="11"/>
  <c r="U58" i="11"/>
  <c r="U56" i="11"/>
  <c r="U57" i="11" s="1"/>
  <c r="U55" i="11"/>
  <c r="U53" i="11"/>
  <c r="U52" i="11"/>
  <c r="U50" i="11"/>
  <c r="U51" i="11" s="1"/>
  <c r="U49" i="11"/>
  <c r="U47" i="11"/>
  <c r="U46" i="11"/>
  <c r="U44" i="11"/>
  <c r="U45" i="11" s="1"/>
  <c r="U43" i="11"/>
  <c r="U41" i="11"/>
  <c r="U40" i="11"/>
  <c r="U38" i="11"/>
  <c r="U39" i="11" s="1"/>
  <c r="U37" i="11"/>
  <c r="U35" i="11"/>
  <c r="U34" i="11"/>
  <c r="U36" i="11" s="1"/>
  <c r="U32" i="11"/>
  <c r="U31" i="11"/>
  <c r="U29" i="11"/>
  <c r="U28" i="11"/>
  <c r="U26" i="11"/>
  <c r="U25" i="11"/>
  <c r="U23" i="11"/>
  <c r="U22" i="11"/>
  <c r="U20" i="11"/>
  <c r="U21" i="11" s="1"/>
  <c r="U19" i="11"/>
  <c r="U17" i="11"/>
  <c r="U16" i="11"/>
  <c r="U14" i="11"/>
  <c r="U15" i="11" s="1"/>
  <c r="U13" i="11"/>
  <c r="U11" i="11"/>
  <c r="U10" i="11"/>
  <c r="U12" i="11" s="1"/>
  <c r="U8" i="11"/>
  <c r="U7" i="11"/>
  <c r="U18" i="11" l="1"/>
  <c r="U24" i="11"/>
  <c r="U30" i="11"/>
  <c r="U42" i="11"/>
  <c r="U48" i="11"/>
  <c r="U54" i="11"/>
  <c r="U60" i="11"/>
  <c r="U66" i="11"/>
  <c r="U9" i="11"/>
  <c r="U27" i="11"/>
  <c r="U33" i="11"/>
  <c r="U69" i="11"/>
  <c r="U61" i="10"/>
  <c r="J42" i="10"/>
  <c r="K42" i="10"/>
  <c r="L42" i="10"/>
  <c r="M42" i="10"/>
  <c r="N42" i="10"/>
  <c r="O42" i="10"/>
  <c r="P42" i="10"/>
  <c r="Q42" i="10"/>
  <c r="R42" i="10"/>
  <c r="S42" i="10"/>
  <c r="T42" i="10"/>
  <c r="I42" i="10"/>
  <c r="J30" i="10"/>
  <c r="K30" i="10"/>
  <c r="L30" i="10"/>
  <c r="M30" i="10"/>
  <c r="N30" i="10"/>
  <c r="O30" i="10"/>
  <c r="P30" i="10"/>
  <c r="Q30" i="10"/>
  <c r="R30" i="10"/>
  <c r="S30" i="10"/>
  <c r="T30" i="10"/>
  <c r="I30" i="10"/>
  <c r="T89" i="10" l="1"/>
  <c r="S89" i="10"/>
  <c r="R89" i="10"/>
  <c r="Q89" i="10"/>
  <c r="P89" i="10"/>
  <c r="O89" i="10"/>
  <c r="N89" i="10"/>
  <c r="M89" i="10"/>
  <c r="L89" i="10"/>
  <c r="K89" i="10"/>
  <c r="J89" i="10"/>
  <c r="I89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L83" i="10"/>
  <c r="K83" i="10"/>
  <c r="J83" i="10"/>
  <c r="I83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U77" i="10"/>
  <c r="U78" i="10" s="1"/>
  <c r="U76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U74" i="10"/>
  <c r="U75" i="10" s="1"/>
  <c r="U73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U71" i="10"/>
  <c r="U72" i="10" s="1"/>
  <c r="U70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U68" i="10"/>
  <c r="U67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U65" i="10"/>
  <c r="U64" i="10"/>
  <c r="U66" i="10" s="1"/>
  <c r="T63" i="10"/>
  <c r="S63" i="10"/>
  <c r="R63" i="10"/>
  <c r="Q63" i="10"/>
  <c r="P63" i="10"/>
  <c r="O63" i="10"/>
  <c r="N63" i="10"/>
  <c r="M63" i="10"/>
  <c r="L63" i="10"/>
  <c r="K63" i="10"/>
  <c r="J63" i="10"/>
  <c r="I63" i="10"/>
  <c r="U62" i="10"/>
  <c r="U63" i="10" s="1"/>
  <c r="T60" i="10"/>
  <c r="S60" i="10"/>
  <c r="R60" i="10"/>
  <c r="Q60" i="10"/>
  <c r="P60" i="10"/>
  <c r="O60" i="10"/>
  <c r="N60" i="10"/>
  <c r="M60" i="10"/>
  <c r="L60" i="10"/>
  <c r="K60" i="10"/>
  <c r="J60" i="10"/>
  <c r="I60" i="10"/>
  <c r="U59" i="10"/>
  <c r="U58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U56" i="10"/>
  <c r="U57" i="10" s="1"/>
  <c r="U55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U53" i="10"/>
  <c r="U52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U50" i="10"/>
  <c r="U51" i="10" s="1"/>
  <c r="U49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U47" i="10"/>
  <c r="U48" i="10" s="1"/>
  <c r="U46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U44" i="10"/>
  <c r="U45" i="10" s="1"/>
  <c r="U43" i="10"/>
  <c r="U41" i="10"/>
  <c r="U40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U38" i="10"/>
  <c r="U37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U35" i="10"/>
  <c r="U34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U32" i="10"/>
  <c r="U31" i="10"/>
  <c r="U29" i="10"/>
  <c r="U28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U26" i="10"/>
  <c r="U25" i="10"/>
  <c r="U27" i="10" s="1"/>
  <c r="T24" i="10"/>
  <c r="S24" i="10"/>
  <c r="R24" i="10"/>
  <c r="Q24" i="10"/>
  <c r="P24" i="10"/>
  <c r="O24" i="10"/>
  <c r="N24" i="10"/>
  <c r="M24" i="10"/>
  <c r="L24" i="10"/>
  <c r="K24" i="10"/>
  <c r="J24" i="10"/>
  <c r="I24" i="10"/>
  <c r="U23" i="10"/>
  <c r="U22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U20" i="10"/>
  <c r="U21" i="10" s="1"/>
  <c r="U19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U17" i="10"/>
  <c r="U18" i="10" s="1"/>
  <c r="U16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U13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U11" i="10"/>
  <c r="U12" i="10" s="1"/>
  <c r="U10" i="10"/>
  <c r="T9" i="10"/>
  <c r="S9" i="10"/>
  <c r="R9" i="10"/>
  <c r="Q9" i="10"/>
  <c r="P9" i="10"/>
  <c r="O9" i="10"/>
  <c r="N9" i="10"/>
  <c r="M9" i="10"/>
  <c r="L9" i="10"/>
  <c r="K9" i="10"/>
  <c r="J9" i="10"/>
  <c r="I9" i="10"/>
  <c r="U8" i="10"/>
  <c r="U7" i="10"/>
  <c r="U9" i="10" s="1"/>
  <c r="T89" i="9"/>
  <c r="S89" i="9"/>
  <c r="R89" i="9"/>
  <c r="Q89" i="9"/>
  <c r="P89" i="9"/>
  <c r="O89" i="9"/>
  <c r="N89" i="9"/>
  <c r="M89" i="9"/>
  <c r="L89" i="9"/>
  <c r="K89" i="9"/>
  <c r="J89" i="9"/>
  <c r="I89" i="9"/>
  <c r="T85" i="9"/>
  <c r="S85" i="9"/>
  <c r="R85" i="9"/>
  <c r="Q85" i="9"/>
  <c r="P85" i="9"/>
  <c r="O85" i="9"/>
  <c r="N85" i="9"/>
  <c r="M85" i="9"/>
  <c r="L85" i="9"/>
  <c r="K85" i="9"/>
  <c r="J85" i="9"/>
  <c r="I85" i="9"/>
  <c r="L83" i="9"/>
  <c r="K83" i="9"/>
  <c r="J83" i="9"/>
  <c r="I83" i="9"/>
  <c r="T78" i="9"/>
  <c r="S78" i="9"/>
  <c r="R78" i="9"/>
  <c r="Q78" i="9"/>
  <c r="P78" i="9"/>
  <c r="O78" i="9"/>
  <c r="N78" i="9"/>
  <c r="M78" i="9"/>
  <c r="L78" i="9"/>
  <c r="K78" i="9"/>
  <c r="J78" i="9"/>
  <c r="I78" i="9"/>
  <c r="U77" i="9"/>
  <c r="U78" i="9" s="1"/>
  <c r="U76" i="9"/>
  <c r="U75" i="9"/>
  <c r="T75" i="9"/>
  <c r="S75" i="9"/>
  <c r="R75" i="9"/>
  <c r="Q75" i="9"/>
  <c r="P75" i="9"/>
  <c r="O75" i="9"/>
  <c r="N75" i="9"/>
  <c r="M75" i="9"/>
  <c r="L75" i="9"/>
  <c r="K75" i="9"/>
  <c r="J75" i="9"/>
  <c r="I75" i="9"/>
  <c r="U74" i="9"/>
  <c r="U73" i="9"/>
  <c r="T72" i="9"/>
  <c r="S72" i="9"/>
  <c r="R72" i="9"/>
  <c r="Q72" i="9"/>
  <c r="P72" i="9"/>
  <c r="O72" i="9"/>
  <c r="N72" i="9"/>
  <c r="M72" i="9"/>
  <c r="L72" i="9"/>
  <c r="K72" i="9"/>
  <c r="J72" i="9"/>
  <c r="I72" i="9"/>
  <c r="U71" i="9"/>
  <c r="U72" i="9" s="1"/>
  <c r="U70" i="9"/>
  <c r="T69" i="9"/>
  <c r="S69" i="9"/>
  <c r="R69" i="9"/>
  <c r="Q69" i="9"/>
  <c r="P69" i="9"/>
  <c r="O69" i="9"/>
  <c r="N69" i="9"/>
  <c r="M69" i="9"/>
  <c r="L69" i="9"/>
  <c r="K69" i="9"/>
  <c r="J69" i="9"/>
  <c r="I69" i="9"/>
  <c r="U68" i="9"/>
  <c r="U67" i="9"/>
  <c r="U69" i="9" s="1"/>
  <c r="T66" i="9"/>
  <c r="S66" i="9"/>
  <c r="R66" i="9"/>
  <c r="Q66" i="9"/>
  <c r="P66" i="9"/>
  <c r="O66" i="9"/>
  <c r="N66" i="9"/>
  <c r="M66" i="9"/>
  <c r="L66" i="9"/>
  <c r="K66" i="9"/>
  <c r="J66" i="9"/>
  <c r="I66" i="9"/>
  <c r="U65" i="9"/>
  <c r="U64" i="9"/>
  <c r="U66" i="9" s="1"/>
  <c r="U63" i="9"/>
  <c r="T63" i="9"/>
  <c r="S63" i="9"/>
  <c r="R63" i="9"/>
  <c r="Q63" i="9"/>
  <c r="P63" i="9"/>
  <c r="O63" i="9"/>
  <c r="N63" i="9"/>
  <c r="M63" i="9"/>
  <c r="L63" i="9"/>
  <c r="K63" i="9"/>
  <c r="J63" i="9"/>
  <c r="I63" i="9"/>
  <c r="U62" i="9"/>
  <c r="U61" i="9"/>
  <c r="T60" i="9"/>
  <c r="S60" i="9"/>
  <c r="R60" i="9"/>
  <c r="Q60" i="9"/>
  <c r="P60" i="9"/>
  <c r="O60" i="9"/>
  <c r="N60" i="9"/>
  <c r="M60" i="9"/>
  <c r="L60" i="9"/>
  <c r="K60" i="9"/>
  <c r="J60" i="9"/>
  <c r="I60" i="9"/>
  <c r="U59" i="9"/>
  <c r="U60" i="9" s="1"/>
  <c r="U58" i="9"/>
  <c r="T57" i="9"/>
  <c r="S57" i="9"/>
  <c r="R57" i="9"/>
  <c r="Q57" i="9"/>
  <c r="P57" i="9"/>
  <c r="O57" i="9"/>
  <c r="N57" i="9"/>
  <c r="M57" i="9"/>
  <c r="L57" i="9"/>
  <c r="K57" i="9"/>
  <c r="J57" i="9"/>
  <c r="I57" i="9"/>
  <c r="U56" i="9"/>
  <c r="U57" i="9" s="1"/>
  <c r="U55" i="9"/>
  <c r="T54" i="9"/>
  <c r="S54" i="9"/>
  <c r="R54" i="9"/>
  <c r="Q54" i="9"/>
  <c r="P54" i="9"/>
  <c r="O54" i="9"/>
  <c r="N54" i="9"/>
  <c r="M54" i="9"/>
  <c r="L54" i="9"/>
  <c r="K54" i="9"/>
  <c r="J54" i="9"/>
  <c r="I54" i="9"/>
  <c r="U53" i="9"/>
  <c r="U54" i="9" s="1"/>
  <c r="U52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U50" i="9"/>
  <c r="U49" i="9"/>
  <c r="T48" i="9"/>
  <c r="S48" i="9"/>
  <c r="R48" i="9"/>
  <c r="Q48" i="9"/>
  <c r="P48" i="9"/>
  <c r="O48" i="9"/>
  <c r="N48" i="9"/>
  <c r="M48" i="9"/>
  <c r="L48" i="9"/>
  <c r="K48" i="9"/>
  <c r="J48" i="9"/>
  <c r="I48" i="9"/>
  <c r="U47" i="9"/>
  <c r="U48" i="9" s="1"/>
  <c r="U46" i="9"/>
  <c r="T45" i="9"/>
  <c r="S45" i="9"/>
  <c r="R45" i="9"/>
  <c r="Q45" i="9"/>
  <c r="P45" i="9"/>
  <c r="O45" i="9"/>
  <c r="N45" i="9"/>
  <c r="M45" i="9"/>
  <c r="L45" i="9"/>
  <c r="K45" i="9"/>
  <c r="J45" i="9"/>
  <c r="I45" i="9"/>
  <c r="U44" i="9"/>
  <c r="U45" i="9" s="1"/>
  <c r="U43" i="9"/>
  <c r="T42" i="9"/>
  <c r="S42" i="9"/>
  <c r="R42" i="9"/>
  <c r="Q42" i="9"/>
  <c r="P42" i="9"/>
  <c r="O42" i="9"/>
  <c r="N42" i="9"/>
  <c r="M42" i="9"/>
  <c r="L42" i="9"/>
  <c r="K42" i="9"/>
  <c r="J42" i="9"/>
  <c r="I42" i="9"/>
  <c r="U41" i="9"/>
  <c r="U42" i="9" s="1"/>
  <c r="U40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U38" i="9"/>
  <c r="U37" i="9"/>
  <c r="T36" i="9"/>
  <c r="S36" i="9"/>
  <c r="R36" i="9"/>
  <c r="Q36" i="9"/>
  <c r="P36" i="9"/>
  <c r="O36" i="9"/>
  <c r="N36" i="9"/>
  <c r="M36" i="9"/>
  <c r="L36" i="9"/>
  <c r="K36" i="9"/>
  <c r="J36" i="9"/>
  <c r="I36" i="9"/>
  <c r="U35" i="9"/>
  <c r="U34" i="9"/>
  <c r="U36" i="9" s="1"/>
  <c r="T33" i="9"/>
  <c r="S33" i="9"/>
  <c r="R33" i="9"/>
  <c r="Q33" i="9"/>
  <c r="P33" i="9"/>
  <c r="O33" i="9"/>
  <c r="N33" i="9"/>
  <c r="M33" i="9"/>
  <c r="L33" i="9"/>
  <c r="K33" i="9"/>
  <c r="J33" i="9"/>
  <c r="I33" i="9"/>
  <c r="U32" i="9"/>
  <c r="U31" i="9"/>
  <c r="U33" i="9" s="1"/>
  <c r="T30" i="9"/>
  <c r="S30" i="9"/>
  <c r="R30" i="9"/>
  <c r="Q30" i="9"/>
  <c r="P30" i="9"/>
  <c r="O30" i="9"/>
  <c r="N30" i="9"/>
  <c r="M30" i="9"/>
  <c r="L30" i="9"/>
  <c r="K30" i="9"/>
  <c r="J30" i="9"/>
  <c r="I30" i="9"/>
  <c r="U29" i="9"/>
  <c r="U30" i="9" s="1"/>
  <c r="U28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U26" i="9"/>
  <c r="U25" i="9"/>
  <c r="T24" i="9"/>
  <c r="S24" i="9"/>
  <c r="R24" i="9"/>
  <c r="Q24" i="9"/>
  <c r="P24" i="9"/>
  <c r="O24" i="9"/>
  <c r="N24" i="9"/>
  <c r="M24" i="9"/>
  <c r="L24" i="9"/>
  <c r="K24" i="9"/>
  <c r="J24" i="9"/>
  <c r="I24" i="9"/>
  <c r="U23" i="9"/>
  <c r="U24" i="9" s="1"/>
  <c r="U22" i="9"/>
  <c r="T21" i="9"/>
  <c r="S21" i="9"/>
  <c r="R21" i="9"/>
  <c r="Q21" i="9"/>
  <c r="P21" i="9"/>
  <c r="O21" i="9"/>
  <c r="N21" i="9"/>
  <c r="M21" i="9"/>
  <c r="L21" i="9"/>
  <c r="K21" i="9"/>
  <c r="J21" i="9"/>
  <c r="I21" i="9"/>
  <c r="U20" i="9"/>
  <c r="U21" i="9" s="1"/>
  <c r="U19" i="9"/>
  <c r="T18" i="9"/>
  <c r="S18" i="9"/>
  <c r="R18" i="9"/>
  <c r="Q18" i="9"/>
  <c r="P18" i="9"/>
  <c r="O18" i="9"/>
  <c r="N18" i="9"/>
  <c r="M18" i="9"/>
  <c r="L18" i="9"/>
  <c r="K18" i="9"/>
  <c r="J18" i="9"/>
  <c r="I18" i="9"/>
  <c r="U17" i="9"/>
  <c r="U18" i="9" s="1"/>
  <c r="U16" i="9"/>
  <c r="T15" i="9"/>
  <c r="S15" i="9"/>
  <c r="R15" i="9"/>
  <c r="Q15" i="9"/>
  <c r="P15" i="9"/>
  <c r="O15" i="9"/>
  <c r="N15" i="9"/>
  <c r="M15" i="9"/>
  <c r="L15" i="9"/>
  <c r="K15" i="9"/>
  <c r="J15" i="9"/>
  <c r="I15" i="9"/>
  <c r="U14" i="9"/>
  <c r="U13" i="9"/>
  <c r="T12" i="9"/>
  <c r="S12" i="9"/>
  <c r="R12" i="9"/>
  <c r="Q12" i="9"/>
  <c r="P12" i="9"/>
  <c r="O12" i="9"/>
  <c r="N12" i="9"/>
  <c r="M12" i="9"/>
  <c r="L12" i="9"/>
  <c r="K12" i="9"/>
  <c r="J12" i="9"/>
  <c r="I12" i="9"/>
  <c r="U11" i="9"/>
  <c r="U10" i="9"/>
  <c r="U12" i="9" s="1"/>
  <c r="T9" i="9"/>
  <c r="S9" i="9"/>
  <c r="R9" i="9"/>
  <c r="Q9" i="9"/>
  <c r="P9" i="9"/>
  <c r="O9" i="9"/>
  <c r="N9" i="9"/>
  <c r="M9" i="9"/>
  <c r="L9" i="9"/>
  <c r="K9" i="9"/>
  <c r="J9" i="9"/>
  <c r="I9" i="9"/>
  <c r="U8" i="9"/>
  <c r="U7" i="9"/>
  <c r="U15" i="9" l="1"/>
  <c r="U42" i="10"/>
  <c r="U39" i="10"/>
  <c r="U33" i="10"/>
  <c r="U30" i="10"/>
  <c r="U15" i="10"/>
  <c r="U9" i="9"/>
  <c r="U69" i="10"/>
  <c r="U60" i="10"/>
  <c r="U54" i="10"/>
  <c r="U36" i="10"/>
  <c r="U24" i="10"/>
  <c r="T89" i="7"/>
  <c r="S89" i="7"/>
  <c r="R89" i="7"/>
  <c r="Q89" i="7"/>
  <c r="P89" i="7"/>
  <c r="O89" i="7"/>
  <c r="N89" i="7"/>
  <c r="M89" i="7"/>
  <c r="L89" i="7"/>
  <c r="K89" i="7"/>
  <c r="J89" i="7"/>
  <c r="I89" i="7"/>
  <c r="T85" i="7"/>
  <c r="S85" i="7"/>
  <c r="R85" i="7"/>
  <c r="Q85" i="7"/>
  <c r="P85" i="7"/>
  <c r="O85" i="7"/>
  <c r="N85" i="7"/>
  <c r="M85" i="7"/>
  <c r="L85" i="7"/>
  <c r="K85" i="7"/>
  <c r="J85" i="7"/>
  <c r="I85" i="7"/>
  <c r="L83" i="7"/>
  <c r="K83" i="7"/>
  <c r="J83" i="7"/>
  <c r="I83" i="7"/>
  <c r="T78" i="7"/>
  <c r="S78" i="7"/>
  <c r="R78" i="7"/>
  <c r="Q78" i="7"/>
  <c r="P78" i="7"/>
  <c r="O78" i="7"/>
  <c r="N78" i="7"/>
  <c r="M78" i="7"/>
  <c r="L78" i="7"/>
  <c r="K78" i="7"/>
  <c r="J78" i="7"/>
  <c r="I78" i="7"/>
  <c r="U77" i="7"/>
  <c r="U76" i="7"/>
  <c r="T75" i="7"/>
  <c r="S75" i="7"/>
  <c r="R75" i="7"/>
  <c r="Q75" i="7"/>
  <c r="P75" i="7"/>
  <c r="O75" i="7"/>
  <c r="N75" i="7"/>
  <c r="M75" i="7"/>
  <c r="L75" i="7"/>
  <c r="K75" i="7"/>
  <c r="J75" i="7"/>
  <c r="I75" i="7"/>
  <c r="U74" i="7"/>
  <c r="U73" i="7"/>
  <c r="T72" i="7"/>
  <c r="S72" i="7"/>
  <c r="R72" i="7"/>
  <c r="Q72" i="7"/>
  <c r="P72" i="7"/>
  <c r="O72" i="7"/>
  <c r="N72" i="7"/>
  <c r="M72" i="7"/>
  <c r="L72" i="7"/>
  <c r="K72" i="7"/>
  <c r="J72" i="7"/>
  <c r="I72" i="7"/>
  <c r="U71" i="7"/>
  <c r="U72" i="7" s="1"/>
  <c r="U70" i="7"/>
  <c r="T69" i="7"/>
  <c r="S69" i="7"/>
  <c r="R69" i="7"/>
  <c r="Q69" i="7"/>
  <c r="P69" i="7"/>
  <c r="O69" i="7"/>
  <c r="N69" i="7"/>
  <c r="M69" i="7"/>
  <c r="L69" i="7"/>
  <c r="K69" i="7"/>
  <c r="J69" i="7"/>
  <c r="I69" i="7"/>
  <c r="U68" i="7"/>
  <c r="U67" i="7"/>
  <c r="T66" i="7"/>
  <c r="S66" i="7"/>
  <c r="R66" i="7"/>
  <c r="Q66" i="7"/>
  <c r="P66" i="7"/>
  <c r="O66" i="7"/>
  <c r="N66" i="7"/>
  <c r="M66" i="7"/>
  <c r="L66" i="7"/>
  <c r="K66" i="7"/>
  <c r="J66" i="7"/>
  <c r="I66" i="7"/>
  <c r="U65" i="7"/>
  <c r="U66" i="7" s="1"/>
  <c r="U64" i="7"/>
  <c r="T63" i="7"/>
  <c r="S63" i="7"/>
  <c r="R63" i="7"/>
  <c r="Q63" i="7"/>
  <c r="P63" i="7"/>
  <c r="O63" i="7"/>
  <c r="N63" i="7"/>
  <c r="M63" i="7"/>
  <c r="L63" i="7"/>
  <c r="K63" i="7"/>
  <c r="J63" i="7"/>
  <c r="I63" i="7"/>
  <c r="U62" i="7"/>
  <c r="U61" i="7"/>
  <c r="T60" i="7"/>
  <c r="S60" i="7"/>
  <c r="R60" i="7"/>
  <c r="Q60" i="7"/>
  <c r="P60" i="7"/>
  <c r="O60" i="7"/>
  <c r="N60" i="7"/>
  <c r="M60" i="7"/>
  <c r="L60" i="7"/>
  <c r="K60" i="7"/>
  <c r="J60" i="7"/>
  <c r="I60" i="7"/>
  <c r="U59" i="7"/>
  <c r="U58" i="7"/>
  <c r="T57" i="7"/>
  <c r="S57" i="7"/>
  <c r="R57" i="7"/>
  <c r="Q57" i="7"/>
  <c r="P57" i="7"/>
  <c r="O57" i="7"/>
  <c r="N57" i="7"/>
  <c r="M57" i="7"/>
  <c r="L57" i="7"/>
  <c r="K57" i="7"/>
  <c r="J57" i="7"/>
  <c r="I57" i="7"/>
  <c r="U56" i="7"/>
  <c r="U55" i="7"/>
  <c r="T54" i="7"/>
  <c r="S54" i="7"/>
  <c r="R54" i="7"/>
  <c r="Q54" i="7"/>
  <c r="P54" i="7"/>
  <c r="O54" i="7"/>
  <c r="N54" i="7"/>
  <c r="M54" i="7"/>
  <c r="L54" i="7"/>
  <c r="K54" i="7"/>
  <c r="J54" i="7"/>
  <c r="I54" i="7"/>
  <c r="U53" i="7"/>
  <c r="U52" i="7"/>
  <c r="T51" i="7"/>
  <c r="S51" i="7"/>
  <c r="R51" i="7"/>
  <c r="Q51" i="7"/>
  <c r="P51" i="7"/>
  <c r="O51" i="7"/>
  <c r="N51" i="7"/>
  <c r="M51" i="7"/>
  <c r="L51" i="7"/>
  <c r="K51" i="7"/>
  <c r="J51" i="7"/>
  <c r="I51" i="7"/>
  <c r="U50" i="7"/>
  <c r="U49" i="7"/>
  <c r="T48" i="7"/>
  <c r="S48" i="7"/>
  <c r="R48" i="7"/>
  <c r="Q48" i="7"/>
  <c r="P48" i="7"/>
  <c r="O48" i="7"/>
  <c r="N48" i="7"/>
  <c r="M48" i="7"/>
  <c r="L48" i="7"/>
  <c r="K48" i="7"/>
  <c r="J48" i="7"/>
  <c r="I48" i="7"/>
  <c r="U47" i="7"/>
  <c r="U46" i="7"/>
  <c r="T45" i="7"/>
  <c r="S45" i="7"/>
  <c r="R45" i="7"/>
  <c r="Q45" i="7"/>
  <c r="P45" i="7"/>
  <c r="O45" i="7"/>
  <c r="N45" i="7"/>
  <c r="M45" i="7"/>
  <c r="L45" i="7"/>
  <c r="K45" i="7"/>
  <c r="J45" i="7"/>
  <c r="I45" i="7"/>
  <c r="U44" i="7"/>
  <c r="U43" i="7"/>
  <c r="T42" i="7"/>
  <c r="S42" i="7"/>
  <c r="R42" i="7"/>
  <c r="Q42" i="7"/>
  <c r="P42" i="7"/>
  <c r="O42" i="7"/>
  <c r="N42" i="7"/>
  <c r="M42" i="7"/>
  <c r="L42" i="7"/>
  <c r="K42" i="7"/>
  <c r="J42" i="7"/>
  <c r="I42" i="7"/>
  <c r="U41" i="7"/>
  <c r="U40" i="7"/>
  <c r="T39" i="7"/>
  <c r="S39" i="7"/>
  <c r="R39" i="7"/>
  <c r="Q39" i="7"/>
  <c r="P39" i="7"/>
  <c r="O39" i="7"/>
  <c r="N39" i="7"/>
  <c r="M39" i="7"/>
  <c r="L39" i="7"/>
  <c r="K39" i="7"/>
  <c r="J39" i="7"/>
  <c r="I39" i="7"/>
  <c r="U38" i="7"/>
  <c r="U37" i="7"/>
  <c r="T36" i="7"/>
  <c r="S36" i="7"/>
  <c r="R36" i="7"/>
  <c r="Q36" i="7"/>
  <c r="P36" i="7"/>
  <c r="O36" i="7"/>
  <c r="N36" i="7"/>
  <c r="M36" i="7"/>
  <c r="L36" i="7"/>
  <c r="K36" i="7"/>
  <c r="J36" i="7"/>
  <c r="I36" i="7"/>
  <c r="U35" i="7"/>
  <c r="U34" i="7"/>
  <c r="T33" i="7"/>
  <c r="S33" i="7"/>
  <c r="R33" i="7"/>
  <c r="Q33" i="7"/>
  <c r="P33" i="7"/>
  <c r="O33" i="7"/>
  <c r="N33" i="7"/>
  <c r="M33" i="7"/>
  <c r="L33" i="7"/>
  <c r="K33" i="7"/>
  <c r="J33" i="7"/>
  <c r="I33" i="7"/>
  <c r="U32" i="7"/>
  <c r="U31" i="7"/>
  <c r="T30" i="7"/>
  <c r="S30" i="7"/>
  <c r="R30" i="7"/>
  <c r="Q30" i="7"/>
  <c r="P30" i="7"/>
  <c r="O30" i="7"/>
  <c r="N30" i="7"/>
  <c r="M30" i="7"/>
  <c r="L30" i="7"/>
  <c r="K30" i="7"/>
  <c r="J30" i="7"/>
  <c r="I30" i="7"/>
  <c r="U29" i="7"/>
  <c r="U28" i="7"/>
  <c r="T27" i="7"/>
  <c r="S27" i="7"/>
  <c r="R27" i="7"/>
  <c r="Q27" i="7"/>
  <c r="P27" i="7"/>
  <c r="O27" i="7"/>
  <c r="N27" i="7"/>
  <c r="M27" i="7"/>
  <c r="L27" i="7"/>
  <c r="K27" i="7"/>
  <c r="J27" i="7"/>
  <c r="I27" i="7"/>
  <c r="U26" i="7"/>
  <c r="U25" i="7"/>
  <c r="T24" i="7"/>
  <c r="S24" i="7"/>
  <c r="R24" i="7"/>
  <c r="Q24" i="7"/>
  <c r="P24" i="7"/>
  <c r="O24" i="7"/>
  <c r="N24" i="7"/>
  <c r="M24" i="7"/>
  <c r="L24" i="7"/>
  <c r="K24" i="7"/>
  <c r="J24" i="7"/>
  <c r="I24" i="7"/>
  <c r="U23" i="7"/>
  <c r="U22" i="7"/>
  <c r="T21" i="7"/>
  <c r="S21" i="7"/>
  <c r="R21" i="7"/>
  <c r="Q21" i="7"/>
  <c r="P21" i="7"/>
  <c r="O21" i="7"/>
  <c r="N21" i="7"/>
  <c r="M21" i="7"/>
  <c r="L21" i="7"/>
  <c r="K21" i="7"/>
  <c r="J21" i="7"/>
  <c r="I21" i="7"/>
  <c r="U20" i="7"/>
  <c r="U19" i="7"/>
  <c r="T18" i="7"/>
  <c r="S18" i="7"/>
  <c r="R18" i="7"/>
  <c r="Q18" i="7"/>
  <c r="P18" i="7"/>
  <c r="O18" i="7"/>
  <c r="N18" i="7"/>
  <c r="M18" i="7"/>
  <c r="L18" i="7"/>
  <c r="K18" i="7"/>
  <c r="J18" i="7"/>
  <c r="I18" i="7"/>
  <c r="U17" i="7"/>
  <c r="U16" i="7"/>
  <c r="T15" i="7"/>
  <c r="S15" i="7"/>
  <c r="R15" i="7"/>
  <c r="Q15" i="7"/>
  <c r="P15" i="7"/>
  <c r="O15" i="7"/>
  <c r="N15" i="7"/>
  <c r="M15" i="7"/>
  <c r="L15" i="7"/>
  <c r="K15" i="7"/>
  <c r="J15" i="7"/>
  <c r="I15" i="7"/>
  <c r="U14" i="7"/>
  <c r="T12" i="7"/>
  <c r="S12" i="7"/>
  <c r="R12" i="7"/>
  <c r="Q12" i="7"/>
  <c r="P12" i="7"/>
  <c r="O12" i="7"/>
  <c r="N12" i="7"/>
  <c r="M12" i="7"/>
  <c r="L12" i="7"/>
  <c r="K12" i="7"/>
  <c r="J12" i="7"/>
  <c r="I12" i="7"/>
  <c r="U11" i="7"/>
  <c r="U10" i="7"/>
  <c r="T9" i="7"/>
  <c r="S9" i="7"/>
  <c r="R9" i="7"/>
  <c r="Q9" i="7"/>
  <c r="P9" i="7"/>
  <c r="O9" i="7"/>
  <c r="N9" i="7"/>
  <c r="M9" i="7"/>
  <c r="L9" i="7"/>
  <c r="K9" i="7"/>
  <c r="J9" i="7"/>
  <c r="I9" i="7"/>
  <c r="U8" i="7"/>
  <c r="U7" i="7"/>
  <c r="T78" i="6"/>
  <c r="S78" i="6"/>
  <c r="R78" i="6"/>
  <c r="Q78" i="6"/>
  <c r="P78" i="6"/>
  <c r="O78" i="6"/>
  <c r="N78" i="6"/>
  <c r="M78" i="6"/>
  <c r="L78" i="6"/>
  <c r="K78" i="6"/>
  <c r="J78" i="6"/>
  <c r="I78" i="6"/>
  <c r="G78" i="6"/>
  <c r="U77" i="6"/>
  <c r="U76" i="6"/>
  <c r="T75" i="6"/>
  <c r="S75" i="6"/>
  <c r="R75" i="6"/>
  <c r="Q75" i="6"/>
  <c r="P75" i="6"/>
  <c r="O75" i="6"/>
  <c r="N75" i="6"/>
  <c r="M75" i="6"/>
  <c r="L75" i="6"/>
  <c r="K75" i="6"/>
  <c r="J75" i="6"/>
  <c r="I75" i="6"/>
  <c r="U74" i="6"/>
  <c r="U73" i="6"/>
  <c r="T72" i="6"/>
  <c r="S72" i="6"/>
  <c r="R72" i="6"/>
  <c r="Q72" i="6"/>
  <c r="P72" i="6"/>
  <c r="O72" i="6"/>
  <c r="N72" i="6"/>
  <c r="M72" i="6"/>
  <c r="L72" i="6"/>
  <c r="K72" i="6"/>
  <c r="J72" i="6"/>
  <c r="I72" i="6"/>
  <c r="U71" i="6"/>
  <c r="U72" i="6" s="1"/>
  <c r="U70" i="6"/>
  <c r="T69" i="6"/>
  <c r="S69" i="6"/>
  <c r="R69" i="6"/>
  <c r="Q69" i="6"/>
  <c r="P69" i="6"/>
  <c r="O69" i="6"/>
  <c r="N69" i="6"/>
  <c r="M69" i="6"/>
  <c r="L69" i="6"/>
  <c r="K69" i="6"/>
  <c r="J69" i="6"/>
  <c r="I69" i="6"/>
  <c r="U68" i="6"/>
  <c r="U67" i="6"/>
  <c r="U69" i="6" s="1"/>
  <c r="T66" i="6"/>
  <c r="S66" i="6"/>
  <c r="R66" i="6"/>
  <c r="Q66" i="6"/>
  <c r="P66" i="6"/>
  <c r="O66" i="6"/>
  <c r="N66" i="6"/>
  <c r="M66" i="6"/>
  <c r="L66" i="6"/>
  <c r="K66" i="6"/>
  <c r="J66" i="6"/>
  <c r="I66" i="6"/>
  <c r="U65" i="6"/>
  <c r="U64" i="6"/>
  <c r="U66" i="6" s="1"/>
  <c r="T63" i="6"/>
  <c r="S63" i="6"/>
  <c r="R63" i="6"/>
  <c r="Q63" i="6"/>
  <c r="P63" i="6"/>
  <c r="O63" i="6"/>
  <c r="N63" i="6"/>
  <c r="M63" i="6"/>
  <c r="L62" i="6"/>
  <c r="K62" i="6"/>
  <c r="J62" i="6"/>
  <c r="I62" i="6"/>
  <c r="L61" i="6"/>
  <c r="L63" i="6" s="1"/>
  <c r="K61" i="6"/>
  <c r="J61" i="6"/>
  <c r="I61" i="6"/>
  <c r="T60" i="6"/>
  <c r="S60" i="6"/>
  <c r="R60" i="6"/>
  <c r="Q60" i="6"/>
  <c r="P60" i="6"/>
  <c r="O60" i="6"/>
  <c r="N60" i="6"/>
  <c r="M60" i="6"/>
  <c r="L60" i="6"/>
  <c r="K60" i="6"/>
  <c r="J60" i="6"/>
  <c r="I60" i="6"/>
  <c r="U59" i="6"/>
  <c r="U58" i="6"/>
  <c r="T57" i="6"/>
  <c r="S57" i="6"/>
  <c r="R57" i="6"/>
  <c r="Q57" i="6"/>
  <c r="P57" i="6"/>
  <c r="O57" i="6"/>
  <c r="N57" i="6"/>
  <c r="M57" i="6"/>
  <c r="L57" i="6"/>
  <c r="K57" i="6"/>
  <c r="J57" i="6"/>
  <c r="I57" i="6"/>
  <c r="G57" i="6"/>
  <c r="U56" i="6"/>
  <c r="U55" i="6"/>
  <c r="T54" i="6"/>
  <c r="S54" i="6"/>
  <c r="R54" i="6"/>
  <c r="Q54" i="6"/>
  <c r="P54" i="6"/>
  <c r="O54" i="6"/>
  <c r="N54" i="6"/>
  <c r="M54" i="6"/>
  <c r="L54" i="6"/>
  <c r="K54" i="6"/>
  <c r="J54" i="6"/>
  <c r="I54" i="6"/>
  <c r="U53" i="6"/>
  <c r="U54" i="6" s="1"/>
  <c r="U52" i="6"/>
  <c r="T51" i="6"/>
  <c r="S51" i="6"/>
  <c r="R51" i="6"/>
  <c r="Q51" i="6"/>
  <c r="P51" i="6"/>
  <c r="O51" i="6"/>
  <c r="N51" i="6"/>
  <c r="M51" i="6"/>
  <c r="L51" i="6"/>
  <c r="K51" i="6"/>
  <c r="J51" i="6"/>
  <c r="I51" i="6"/>
  <c r="U50" i="6"/>
  <c r="U49" i="6"/>
  <c r="T48" i="6"/>
  <c r="S48" i="6"/>
  <c r="R48" i="6"/>
  <c r="Q48" i="6"/>
  <c r="P48" i="6"/>
  <c r="O48" i="6"/>
  <c r="N48" i="6"/>
  <c r="M48" i="6"/>
  <c r="L48" i="6"/>
  <c r="K48" i="6"/>
  <c r="J48" i="6"/>
  <c r="I48" i="6"/>
  <c r="U47" i="6"/>
  <c r="U48" i="6" s="1"/>
  <c r="U46" i="6"/>
  <c r="T45" i="6"/>
  <c r="S45" i="6"/>
  <c r="R45" i="6"/>
  <c r="Q45" i="6"/>
  <c r="P45" i="6"/>
  <c r="O45" i="6"/>
  <c r="N45" i="6"/>
  <c r="M45" i="6"/>
  <c r="L45" i="6"/>
  <c r="K45" i="6"/>
  <c r="J45" i="6"/>
  <c r="I45" i="6"/>
  <c r="U44" i="6"/>
  <c r="U45" i="6" s="1"/>
  <c r="U43" i="6"/>
  <c r="T42" i="6"/>
  <c r="S42" i="6"/>
  <c r="R42" i="6"/>
  <c r="Q42" i="6"/>
  <c r="P42" i="6"/>
  <c r="O42" i="6"/>
  <c r="N42" i="6"/>
  <c r="M42" i="6"/>
  <c r="L42" i="6"/>
  <c r="K42" i="6"/>
  <c r="J42" i="6"/>
  <c r="I42" i="6"/>
  <c r="U41" i="6"/>
  <c r="U40" i="6"/>
  <c r="T39" i="6"/>
  <c r="S39" i="6"/>
  <c r="R39" i="6"/>
  <c r="Q39" i="6"/>
  <c r="P39" i="6"/>
  <c r="O39" i="6"/>
  <c r="N39" i="6"/>
  <c r="M39" i="6"/>
  <c r="L39" i="6"/>
  <c r="K39" i="6"/>
  <c r="J39" i="6"/>
  <c r="I39" i="6"/>
  <c r="U38" i="6"/>
  <c r="U37" i="6"/>
  <c r="T36" i="6"/>
  <c r="S36" i="6"/>
  <c r="R36" i="6"/>
  <c r="Q36" i="6"/>
  <c r="P36" i="6"/>
  <c r="O36" i="6"/>
  <c r="N36" i="6"/>
  <c r="M36" i="6"/>
  <c r="L36" i="6"/>
  <c r="K36" i="6"/>
  <c r="J36" i="6"/>
  <c r="I36" i="6"/>
  <c r="U35" i="6"/>
  <c r="U34" i="6"/>
  <c r="T33" i="6"/>
  <c r="S33" i="6"/>
  <c r="R33" i="6"/>
  <c r="Q33" i="6"/>
  <c r="P33" i="6"/>
  <c r="O33" i="6"/>
  <c r="N33" i="6"/>
  <c r="M33" i="6"/>
  <c r="L33" i="6"/>
  <c r="K33" i="6"/>
  <c r="J33" i="6"/>
  <c r="I33" i="6"/>
  <c r="U32" i="6"/>
  <c r="U31" i="6"/>
  <c r="T30" i="6"/>
  <c r="S30" i="6"/>
  <c r="R30" i="6"/>
  <c r="Q30" i="6"/>
  <c r="P30" i="6"/>
  <c r="O30" i="6"/>
  <c r="N30" i="6"/>
  <c r="M30" i="6"/>
  <c r="L30" i="6"/>
  <c r="K30" i="6"/>
  <c r="J30" i="6"/>
  <c r="I30" i="6"/>
  <c r="U29" i="6"/>
  <c r="U28" i="6"/>
  <c r="T27" i="6"/>
  <c r="S27" i="6"/>
  <c r="R27" i="6"/>
  <c r="Q27" i="6"/>
  <c r="P27" i="6"/>
  <c r="O27" i="6"/>
  <c r="N27" i="6"/>
  <c r="M27" i="6"/>
  <c r="L27" i="6"/>
  <c r="K27" i="6"/>
  <c r="J27" i="6"/>
  <c r="I27" i="6"/>
  <c r="U26" i="6"/>
  <c r="U25" i="6"/>
  <c r="T24" i="6"/>
  <c r="S24" i="6"/>
  <c r="R24" i="6"/>
  <c r="Q24" i="6"/>
  <c r="P24" i="6"/>
  <c r="O24" i="6"/>
  <c r="N24" i="6"/>
  <c r="M24" i="6"/>
  <c r="L24" i="6"/>
  <c r="K24" i="6"/>
  <c r="J24" i="6"/>
  <c r="I24" i="6"/>
  <c r="U23" i="6"/>
  <c r="U22" i="6"/>
  <c r="T21" i="6"/>
  <c r="S21" i="6"/>
  <c r="R21" i="6"/>
  <c r="Q21" i="6"/>
  <c r="P21" i="6"/>
  <c r="O21" i="6"/>
  <c r="N21" i="6"/>
  <c r="M21" i="6"/>
  <c r="L21" i="6"/>
  <c r="K21" i="6"/>
  <c r="J21" i="6"/>
  <c r="I21" i="6"/>
  <c r="U20" i="6"/>
  <c r="U21" i="6" s="1"/>
  <c r="U19" i="6"/>
  <c r="T18" i="6"/>
  <c r="S18" i="6"/>
  <c r="R18" i="6"/>
  <c r="Q18" i="6"/>
  <c r="P18" i="6"/>
  <c r="O18" i="6"/>
  <c r="N18" i="6"/>
  <c r="M18" i="6"/>
  <c r="L18" i="6"/>
  <c r="K18" i="6"/>
  <c r="J18" i="6"/>
  <c r="I18" i="6"/>
  <c r="U17" i="6"/>
  <c r="U16" i="6"/>
  <c r="T15" i="6"/>
  <c r="S15" i="6"/>
  <c r="R15" i="6"/>
  <c r="Q15" i="6"/>
  <c r="P15" i="6"/>
  <c r="O15" i="6"/>
  <c r="N15" i="6"/>
  <c r="M15" i="6"/>
  <c r="L15" i="6"/>
  <c r="K15" i="6"/>
  <c r="J15" i="6"/>
  <c r="I15" i="6"/>
  <c r="T12" i="6"/>
  <c r="S12" i="6"/>
  <c r="R12" i="6"/>
  <c r="Q12" i="6"/>
  <c r="P12" i="6"/>
  <c r="O12" i="6"/>
  <c r="N12" i="6"/>
  <c r="M12" i="6"/>
  <c r="L12" i="6"/>
  <c r="K12" i="6"/>
  <c r="J12" i="6"/>
  <c r="I12" i="6"/>
  <c r="U11" i="6"/>
  <c r="U10" i="6"/>
  <c r="U12" i="6" s="1"/>
  <c r="T9" i="6"/>
  <c r="S9" i="6"/>
  <c r="R9" i="6"/>
  <c r="Q9" i="6"/>
  <c r="P9" i="6"/>
  <c r="O9" i="6"/>
  <c r="N9" i="6"/>
  <c r="M9" i="6"/>
  <c r="L9" i="6"/>
  <c r="K9" i="6"/>
  <c r="J9" i="6"/>
  <c r="I9" i="6"/>
  <c r="U8" i="6"/>
  <c r="U7" i="6"/>
  <c r="U9" i="6" s="1"/>
  <c r="T78" i="5"/>
  <c r="S78" i="5"/>
  <c r="R78" i="5"/>
  <c r="Q78" i="5"/>
  <c r="P78" i="5"/>
  <c r="O78" i="5"/>
  <c r="N78" i="5"/>
  <c r="M78" i="5"/>
  <c r="L78" i="5"/>
  <c r="K78" i="5"/>
  <c r="J78" i="5"/>
  <c r="I78" i="5"/>
  <c r="G78" i="5"/>
  <c r="U77" i="5"/>
  <c r="U78" i="5" s="1"/>
  <c r="U76" i="5"/>
  <c r="T75" i="5"/>
  <c r="S75" i="5"/>
  <c r="R75" i="5"/>
  <c r="Q75" i="5"/>
  <c r="P75" i="5"/>
  <c r="O75" i="5"/>
  <c r="N75" i="5"/>
  <c r="M75" i="5"/>
  <c r="L75" i="5"/>
  <c r="K75" i="5"/>
  <c r="J75" i="5"/>
  <c r="I75" i="5"/>
  <c r="U74" i="5"/>
  <c r="U75" i="5" s="1"/>
  <c r="U73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U71" i="5"/>
  <c r="U70" i="5"/>
  <c r="T69" i="5"/>
  <c r="S69" i="5"/>
  <c r="R69" i="5"/>
  <c r="Q69" i="5"/>
  <c r="P69" i="5"/>
  <c r="O69" i="5"/>
  <c r="N69" i="5"/>
  <c r="M69" i="5"/>
  <c r="L69" i="5"/>
  <c r="K69" i="5"/>
  <c r="J69" i="5"/>
  <c r="I69" i="5"/>
  <c r="U68" i="5"/>
  <c r="U67" i="5"/>
  <c r="U69" i="5" s="1"/>
  <c r="T66" i="5"/>
  <c r="S66" i="5"/>
  <c r="R66" i="5"/>
  <c r="Q66" i="5"/>
  <c r="P66" i="5"/>
  <c r="O66" i="5"/>
  <c r="N66" i="5"/>
  <c r="M66" i="5"/>
  <c r="L66" i="5"/>
  <c r="K66" i="5"/>
  <c r="J66" i="5"/>
  <c r="I66" i="5"/>
  <c r="U65" i="5"/>
  <c r="U66" i="5" s="1"/>
  <c r="U64" i="5"/>
  <c r="T63" i="5"/>
  <c r="S63" i="5"/>
  <c r="R63" i="5"/>
  <c r="Q63" i="5"/>
  <c r="P63" i="5"/>
  <c r="O63" i="5"/>
  <c r="N63" i="5"/>
  <c r="M63" i="5"/>
  <c r="J63" i="5"/>
  <c r="L62" i="5"/>
  <c r="L63" i="5" s="1"/>
  <c r="K62" i="5"/>
  <c r="K63" i="5" s="1"/>
  <c r="J62" i="5"/>
  <c r="I62" i="5"/>
  <c r="I63" i="5" s="1"/>
  <c r="L61" i="5"/>
  <c r="K61" i="5"/>
  <c r="J61" i="5"/>
  <c r="I61" i="5"/>
  <c r="U61" i="5" s="1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U59" i="5"/>
  <c r="U58" i="5"/>
  <c r="T57" i="5"/>
  <c r="S57" i="5"/>
  <c r="R57" i="5"/>
  <c r="Q57" i="5"/>
  <c r="P57" i="5"/>
  <c r="O57" i="5"/>
  <c r="N57" i="5"/>
  <c r="M57" i="5"/>
  <c r="L57" i="5"/>
  <c r="K57" i="5"/>
  <c r="J57" i="5"/>
  <c r="I57" i="5"/>
  <c r="G57" i="5"/>
  <c r="U56" i="5"/>
  <c r="U57" i="5" s="1"/>
  <c r="U55" i="5"/>
  <c r="T54" i="5"/>
  <c r="S54" i="5"/>
  <c r="R54" i="5"/>
  <c r="Q54" i="5"/>
  <c r="P54" i="5"/>
  <c r="O54" i="5"/>
  <c r="N54" i="5"/>
  <c r="M54" i="5"/>
  <c r="L54" i="5"/>
  <c r="K54" i="5"/>
  <c r="J54" i="5"/>
  <c r="I54" i="5"/>
  <c r="U53" i="5"/>
  <c r="U54" i="5" s="1"/>
  <c r="U52" i="5"/>
  <c r="T51" i="5"/>
  <c r="S51" i="5"/>
  <c r="R51" i="5"/>
  <c r="Q51" i="5"/>
  <c r="P51" i="5"/>
  <c r="O51" i="5"/>
  <c r="N51" i="5"/>
  <c r="M51" i="5"/>
  <c r="L51" i="5"/>
  <c r="K51" i="5"/>
  <c r="J51" i="5"/>
  <c r="I51" i="5"/>
  <c r="U50" i="5"/>
  <c r="U51" i="5" s="1"/>
  <c r="U49" i="5"/>
  <c r="T48" i="5"/>
  <c r="S48" i="5"/>
  <c r="R48" i="5"/>
  <c r="Q48" i="5"/>
  <c r="P48" i="5"/>
  <c r="O48" i="5"/>
  <c r="N48" i="5"/>
  <c r="M48" i="5"/>
  <c r="L48" i="5"/>
  <c r="K48" i="5"/>
  <c r="J48" i="5"/>
  <c r="I48" i="5"/>
  <c r="U47" i="5"/>
  <c r="U48" i="5" s="1"/>
  <c r="U46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U44" i="5"/>
  <c r="U43" i="5"/>
  <c r="T42" i="5"/>
  <c r="S42" i="5"/>
  <c r="R42" i="5"/>
  <c r="Q42" i="5"/>
  <c r="P42" i="5"/>
  <c r="O42" i="5"/>
  <c r="N42" i="5"/>
  <c r="M42" i="5"/>
  <c r="L42" i="5"/>
  <c r="K42" i="5"/>
  <c r="J42" i="5"/>
  <c r="I42" i="5"/>
  <c r="U41" i="5"/>
  <c r="U42" i="5" s="1"/>
  <c r="U40" i="5"/>
  <c r="T39" i="5"/>
  <c r="S39" i="5"/>
  <c r="R39" i="5"/>
  <c r="Q39" i="5"/>
  <c r="P39" i="5"/>
  <c r="O39" i="5"/>
  <c r="N39" i="5"/>
  <c r="M39" i="5"/>
  <c r="L39" i="5"/>
  <c r="K39" i="5"/>
  <c r="J39" i="5"/>
  <c r="I39" i="5"/>
  <c r="U38" i="5"/>
  <c r="U39" i="5" s="1"/>
  <c r="U37" i="5"/>
  <c r="T36" i="5"/>
  <c r="S36" i="5"/>
  <c r="R36" i="5"/>
  <c r="Q36" i="5"/>
  <c r="P36" i="5"/>
  <c r="O36" i="5"/>
  <c r="N36" i="5"/>
  <c r="M36" i="5"/>
  <c r="L36" i="5"/>
  <c r="K36" i="5"/>
  <c r="J36" i="5"/>
  <c r="I36" i="5"/>
  <c r="U35" i="5"/>
  <c r="U34" i="5"/>
  <c r="U36" i="5" s="1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U32" i="5"/>
  <c r="U31" i="5"/>
  <c r="T30" i="5"/>
  <c r="S30" i="5"/>
  <c r="R30" i="5"/>
  <c r="Q30" i="5"/>
  <c r="P30" i="5"/>
  <c r="O30" i="5"/>
  <c r="N30" i="5"/>
  <c r="M30" i="5"/>
  <c r="L30" i="5"/>
  <c r="K30" i="5"/>
  <c r="J30" i="5"/>
  <c r="I30" i="5"/>
  <c r="U29" i="5"/>
  <c r="U30" i="5" s="1"/>
  <c r="U28" i="5"/>
  <c r="T27" i="5"/>
  <c r="S27" i="5"/>
  <c r="R27" i="5"/>
  <c r="Q27" i="5"/>
  <c r="P27" i="5"/>
  <c r="O27" i="5"/>
  <c r="N27" i="5"/>
  <c r="M27" i="5"/>
  <c r="L27" i="5"/>
  <c r="K27" i="5"/>
  <c r="J27" i="5"/>
  <c r="I27" i="5"/>
  <c r="U26" i="5"/>
  <c r="U25" i="5"/>
  <c r="U27" i="5" s="1"/>
  <c r="T24" i="5"/>
  <c r="S24" i="5"/>
  <c r="R24" i="5"/>
  <c r="Q24" i="5"/>
  <c r="P24" i="5"/>
  <c r="O24" i="5"/>
  <c r="N24" i="5"/>
  <c r="M24" i="5"/>
  <c r="L24" i="5"/>
  <c r="K24" i="5"/>
  <c r="J24" i="5"/>
  <c r="I24" i="5"/>
  <c r="U23" i="5"/>
  <c r="U22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U20" i="5"/>
  <c r="U19" i="5"/>
  <c r="T18" i="5"/>
  <c r="S18" i="5"/>
  <c r="R18" i="5"/>
  <c r="Q18" i="5"/>
  <c r="P18" i="5"/>
  <c r="O18" i="5"/>
  <c r="N18" i="5"/>
  <c r="M18" i="5"/>
  <c r="L18" i="5"/>
  <c r="K18" i="5"/>
  <c r="J18" i="5"/>
  <c r="I18" i="5"/>
  <c r="U17" i="5"/>
  <c r="U18" i="5" s="1"/>
  <c r="U16" i="5"/>
  <c r="T15" i="5"/>
  <c r="S15" i="5"/>
  <c r="R15" i="5"/>
  <c r="Q15" i="5"/>
  <c r="P15" i="5"/>
  <c r="O15" i="5"/>
  <c r="N15" i="5"/>
  <c r="M15" i="5"/>
  <c r="L15" i="5"/>
  <c r="K15" i="5"/>
  <c r="J15" i="5"/>
  <c r="I15" i="5"/>
  <c r="U14" i="5"/>
  <c r="U13" i="5"/>
  <c r="T12" i="5"/>
  <c r="S12" i="5"/>
  <c r="R12" i="5"/>
  <c r="Q12" i="5"/>
  <c r="P12" i="5"/>
  <c r="O12" i="5"/>
  <c r="N12" i="5"/>
  <c r="M12" i="5"/>
  <c r="L12" i="5"/>
  <c r="K12" i="5"/>
  <c r="J12" i="5"/>
  <c r="I12" i="5"/>
  <c r="U11" i="5"/>
  <c r="U10" i="5"/>
  <c r="U12" i="5" s="1"/>
  <c r="U9" i="5"/>
  <c r="T9" i="5"/>
  <c r="S9" i="5"/>
  <c r="R9" i="5"/>
  <c r="Q9" i="5"/>
  <c r="P9" i="5"/>
  <c r="O9" i="5"/>
  <c r="N9" i="5"/>
  <c r="M9" i="5"/>
  <c r="L9" i="5"/>
  <c r="K9" i="5"/>
  <c r="J9" i="5"/>
  <c r="I9" i="5"/>
  <c r="U8" i="5"/>
  <c r="U7" i="5"/>
  <c r="U24" i="5" l="1"/>
  <c r="U60" i="6"/>
  <c r="U75" i="6"/>
  <c r="U21" i="7"/>
  <c r="U39" i="7"/>
  <c r="U45" i="7"/>
  <c r="U51" i="7"/>
  <c r="U57" i="7"/>
  <c r="U63" i="7"/>
  <c r="U33" i="6"/>
  <c r="U36" i="6"/>
  <c r="J63" i="6"/>
  <c r="U15" i="7"/>
  <c r="U75" i="7"/>
  <c r="U27" i="7"/>
  <c r="U33" i="7"/>
  <c r="U15" i="5"/>
  <c r="U18" i="7"/>
  <c r="U12" i="7"/>
  <c r="U36" i="7"/>
  <c r="U78" i="7"/>
  <c r="U48" i="7"/>
  <c r="U42" i="7"/>
  <c r="U24" i="7"/>
  <c r="U54" i="7"/>
  <c r="U60" i="7"/>
  <c r="U9" i="7"/>
  <c r="U30" i="7"/>
  <c r="U69" i="7"/>
  <c r="U18" i="6"/>
  <c r="U39" i="6"/>
  <c r="K63" i="6"/>
  <c r="U24" i="6"/>
  <c r="U30" i="6"/>
  <c r="U51" i="6"/>
  <c r="U57" i="6"/>
  <c r="U78" i="6"/>
  <c r="U15" i="6"/>
  <c r="U27" i="6"/>
  <c r="U42" i="6"/>
  <c r="U61" i="6"/>
  <c r="I63" i="6"/>
  <c r="U62" i="6"/>
  <c r="U62" i="5"/>
  <c r="U63" i="5" s="1"/>
  <c r="T78" i="4"/>
  <c r="S78" i="4"/>
  <c r="R78" i="4"/>
  <c r="Q78" i="4"/>
  <c r="P78" i="4"/>
  <c r="O78" i="4"/>
  <c r="N78" i="4"/>
  <c r="M78" i="4"/>
  <c r="L78" i="4"/>
  <c r="K78" i="4"/>
  <c r="J78" i="4"/>
  <c r="I78" i="4"/>
  <c r="U77" i="4"/>
  <c r="U78" i="4" s="1"/>
  <c r="U76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U74" i="4"/>
  <c r="U73" i="4"/>
  <c r="T72" i="4"/>
  <c r="S72" i="4"/>
  <c r="R72" i="4"/>
  <c r="Q72" i="4"/>
  <c r="P72" i="4"/>
  <c r="O72" i="4"/>
  <c r="N72" i="4"/>
  <c r="M72" i="4"/>
  <c r="L72" i="4"/>
  <c r="K72" i="4"/>
  <c r="J72" i="4"/>
  <c r="I72" i="4"/>
  <c r="U71" i="4"/>
  <c r="U72" i="4" s="1"/>
  <c r="U70" i="4"/>
  <c r="T69" i="4"/>
  <c r="S69" i="4"/>
  <c r="R69" i="4"/>
  <c r="Q69" i="4"/>
  <c r="P69" i="4"/>
  <c r="O69" i="4"/>
  <c r="N69" i="4"/>
  <c r="M69" i="4"/>
  <c r="L69" i="4"/>
  <c r="K69" i="4"/>
  <c r="J69" i="4"/>
  <c r="I69" i="4"/>
  <c r="U68" i="4"/>
  <c r="U67" i="4"/>
  <c r="U69" i="4" s="1"/>
  <c r="T66" i="4"/>
  <c r="S66" i="4"/>
  <c r="R66" i="4"/>
  <c r="Q66" i="4"/>
  <c r="P66" i="4"/>
  <c r="O66" i="4"/>
  <c r="N66" i="4"/>
  <c r="M66" i="4"/>
  <c r="L66" i="4"/>
  <c r="K66" i="4"/>
  <c r="J66" i="4"/>
  <c r="I66" i="4"/>
  <c r="U65" i="4"/>
  <c r="U66" i="4" s="1"/>
  <c r="U64" i="4"/>
  <c r="S63" i="4"/>
  <c r="Q63" i="4"/>
  <c r="O63" i="4"/>
  <c r="M63" i="4"/>
  <c r="K63" i="4"/>
  <c r="J63" i="4"/>
  <c r="I63" i="4"/>
  <c r="T62" i="4"/>
  <c r="T63" i="4" s="1"/>
  <c r="S62" i="4"/>
  <c r="R62" i="4"/>
  <c r="R63" i="4" s="1"/>
  <c r="Q62" i="4"/>
  <c r="P62" i="4"/>
  <c r="P63" i="4" s="1"/>
  <c r="O62" i="4"/>
  <c r="N62" i="4"/>
  <c r="N63" i="4" s="1"/>
  <c r="M62" i="4"/>
  <c r="L62" i="4"/>
  <c r="L63" i="4" s="1"/>
  <c r="T61" i="4"/>
  <c r="S61" i="4"/>
  <c r="R61" i="4"/>
  <c r="Q61" i="4"/>
  <c r="P61" i="4"/>
  <c r="O61" i="4"/>
  <c r="N61" i="4"/>
  <c r="M61" i="4"/>
  <c r="L61" i="4"/>
  <c r="U61" i="4" s="1"/>
  <c r="T60" i="4"/>
  <c r="S60" i="4"/>
  <c r="R60" i="4"/>
  <c r="Q60" i="4"/>
  <c r="P60" i="4"/>
  <c r="O60" i="4"/>
  <c r="N60" i="4"/>
  <c r="M60" i="4"/>
  <c r="L60" i="4"/>
  <c r="K60" i="4"/>
  <c r="J60" i="4"/>
  <c r="I60" i="4"/>
  <c r="U59" i="4"/>
  <c r="U60" i="4" s="1"/>
  <c r="U58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U55" i="4"/>
  <c r="T54" i="4"/>
  <c r="S54" i="4"/>
  <c r="R54" i="4"/>
  <c r="Q54" i="4"/>
  <c r="P54" i="4"/>
  <c r="O54" i="4"/>
  <c r="N54" i="4"/>
  <c r="M54" i="4"/>
  <c r="L54" i="4"/>
  <c r="K54" i="4"/>
  <c r="J54" i="4"/>
  <c r="I54" i="4"/>
  <c r="U53" i="4"/>
  <c r="U52" i="4"/>
  <c r="U54" i="4" s="1"/>
  <c r="T51" i="4"/>
  <c r="S51" i="4"/>
  <c r="R51" i="4"/>
  <c r="Q51" i="4"/>
  <c r="P51" i="4"/>
  <c r="O51" i="4"/>
  <c r="N51" i="4"/>
  <c r="M51" i="4"/>
  <c r="L51" i="4"/>
  <c r="K51" i="4"/>
  <c r="J51" i="4"/>
  <c r="I51" i="4"/>
  <c r="U50" i="4"/>
  <c r="U51" i="4" s="1"/>
  <c r="U49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U47" i="4"/>
  <c r="U46" i="4"/>
  <c r="T45" i="4"/>
  <c r="S45" i="4"/>
  <c r="R45" i="4"/>
  <c r="Q45" i="4"/>
  <c r="P45" i="4"/>
  <c r="O45" i="4"/>
  <c r="N45" i="4"/>
  <c r="M45" i="4"/>
  <c r="L45" i="4"/>
  <c r="K45" i="4"/>
  <c r="J45" i="4"/>
  <c r="I45" i="4"/>
  <c r="U44" i="4"/>
  <c r="U45" i="4" s="1"/>
  <c r="U43" i="4"/>
  <c r="T42" i="4"/>
  <c r="S42" i="4"/>
  <c r="R42" i="4"/>
  <c r="Q42" i="4"/>
  <c r="P42" i="4"/>
  <c r="O42" i="4"/>
  <c r="N42" i="4"/>
  <c r="M42" i="4"/>
  <c r="L42" i="4"/>
  <c r="K42" i="4"/>
  <c r="J42" i="4"/>
  <c r="I42" i="4"/>
  <c r="U41" i="4"/>
  <c r="U40" i="4"/>
  <c r="U42" i="4" s="1"/>
  <c r="T39" i="4"/>
  <c r="S39" i="4"/>
  <c r="R39" i="4"/>
  <c r="Q39" i="4"/>
  <c r="P39" i="4"/>
  <c r="O39" i="4"/>
  <c r="N39" i="4"/>
  <c r="M39" i="4"/>
  <c r="L39" i="4"/>
  <c r="K39" i="4"/>
  <c r="J39" i="4"/>
  <c r="I39" i="4"/>
  <c r="U38" i="4"/>
  <c r="U39" i="4" s="1"/>
  <c r="U37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U35" i="4"/>
  <c r="U34" i="4"/>
  <c r="T33" i="4"/>
  <c r="S33" i="4"/>
  <c r="R33" i="4"/>
  <c r="Q33" i="4"/>
  <c r="P33" i="4"/>
  <c r="O33" i="4"/>
  <c r="N33" i="4"/>
  <c r="M33" i="4"/>
  <c r="L33" i="4"/>
  <c r="K33" i="4"/>
  <c r="J33" i="4"/>
  <c r="I33" i="4"/>
  <c r="U32" i="4"/>
  <c r="U31" i="4"/>
  <c r="U33" i="4" s="1"/>
  <c r="T30" i="4"/>
  <c r="S30" i="4"/>
  <c r="R30" i="4"/>
  <c r="Q30" i="4"/>
  <c r="P30" i="4"/>
  <c r="O30" i="4"/>
  <c r="N30" i="4"/>
  <c r="M30" i="4"/>
  <c r="L30" i="4"/>
  <c r="K30" i="4"/>
  <c r="J30" i="4"/>
  <c r="I30" i="4"/>
  <c r="U29" i="4"/>
  <c r="U28" i="4"/>
  <c r="U30" i="4" s="1"/>
  <c r="T27" i="4"/>
  <c r="S27" i="4"/>
  <c r="R27" i="4"/>
  <c r="Q27" i="4"/>
  <c r="P27" i="4"/>
  <c r="O27" i="4"/>
  <c r="N27" i="4"/>
  <c r="M27" i="4"/>
  <c r="L27" i="4"/>
  <c r="K27" i="4"/>
  <c r="J27" i="4"/>
  <c r="I27" i="4"/>
  <c r="U26" i="4"/>
  <c r="U25" i="4"/>
  <c r="U27" i="4" s="1"/>
  <c r="T24" i="4"/>
  <c r="S24" i="4"/>
  <c r="R24" i="4"/>
  <c r="Q24" i="4"/>
  <c r="P24" i="4"/>
  <c r="O24" i="4"/>
  <c r="N24" i="4"/>
  <c r="M24" i="4"/>
  <c r="L24" i="4"/>
  <c r="K24" i="4"/>
  <c r="J24" i="4"/>
  <c r="I24" i="4"/>
  <c r="U23" i="4"/>
  <c r="U22" i="4"/>
  <c r="U24" i="4" s="1"/>
  <c r="T21" i="4"/>
  <c r="S21" i="4"/>
  <c r="R21" i="4"/>
  <c r="Q21" i="4"/>
  <c r="P21" i="4"/>
  <c r="O21" i="4"/>
  <c r="N21" i="4"/>
  <c r="M21" i="4"/>
  <c r="L21" i="4"/>
  <c r="K21" i="4"/>
  <c r="J21" i="4"/>
  <c r="I21" i="4"/>
  <c r="U20" i="4"/>
  <c r="U21" i="4" s="1"/>
  <c r="U19" i="4"/>
  <c r="T18" i="4"/>
  <c r="S18" i="4"/>
  <c r="R18" i="4"/>
  <c r="Q18" i="4"/>
  <c r="P18" i="4"/>
  <c r="O18" i="4"/>
  <c r="N18" i="4"/>
  <c r="M18" i="4"/>
  <c r="L18" i="4"/>
  <c r="K18" i="4"/>
  <c r="J18" i="4"/>
  <c r="I18" i="4"/>
  <c r="U17" i="4"/>
  <c r="U16" i="4"/>
  <c r="U18" i="4" s="1"/>
  <c r="T15" i="4"/>
  <c r="S15" i="4"/>
  <c r="R15" i="4"/>
  <c r="Q15" i="4"/>
  <c r="P15" i="4"/>
  <c r="O15" i="4"/>
  <c r="N15" i="4"/>
  <c r="M15" i="4"/>
  <c r="L15" i="4"/>
  <c r="K15" i="4"/>
  <c r="J15" i="4"/>
  <c r="I15" i="4"/>
  <c r="U14" i="4"/>
  <c r="U15" i="4" s="1"/>
  <c r="U13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U11" i="4"/>
  <c r="U10" i="4"/>
  <c r="T9" i="4"/>
  <c r="S9" i="4"/>
  <c r="R9" i="4"/>
  <c r="Q9" i="4"/>
  <c r="P9" i="4"/>
  <c r="O9" i="4"/>
  <c r="N9" i="4"/>
  <c r="M9" i="4"/>
  <c r="L9" i="4"/>
  <c r="K9" i="4"/>
  <c r="J9" i="4"/>
  <c r="I9" i="4"/>
  <c r="U8" i="4"/>
  <c r="U7" i="4"/>
  <c r="U9" i="4" s="1"/>
  <c r="T78" i="3"/>
  <c r="S78" i="3"/>
  <c r="R78" i="3"/>
  <c r="Q78" i="3"/>
  <c r="P78" i="3"/>
  <c r="O78" i="3"/>
  <c r="N78" i="3"/>
  <c r="M78" i="3"/>
  <c r="L78" i="3"/>
  <c r="K78" i="3"/>
  <c r="J78" i="3"/>
  <c r="I78" i="3"/>
  <c r="G78" i="3"/>
  <c r="U77" i="3"/>
  <c r="U76" i="3"/>
  <c r="T75" i="3"/>
  <c r="S75" i="3"/>
  <c r="R75" i="3"/>
  <c r="Q75" i="3"/>
  <c r="P75" i="3"/>
  <c r="O75" i="3"/>
  <c r="N75" i="3"/>
  <c r="M75" i="3"/>
  <c r="L75" i="3"/>
  <c r="K75" i="3"/>
  <c r="J75" i="3"/>
  <c r="I75" i="3"/>
  <c r="U74" i="3"/>
  <c r="U75" i="3" s="1"/>
  <c r="U73" i="3"/>
  <c r="T72" i="3"/>
  <c r="S72" i="3"/>
  <c r="R72" i="3"/>
  <c r="Q72" i="3"/>
  <c r="P72" i="3"/>
  <c r="O72" i="3"/>
  <c r="N72" i="3"/>
  <c r="M72" i="3"/>
  <c r="L72" i="3"/>
  <c r="K72" i="3"/>
  <c r="J72" i="3"/>
  <c r="I72" i="3"/>
  <c r="U71" i="3"/>
  <c r="U72" i="3" s="1"/>
  <c r="U70" i="3"/>
  <c r="T69" i="3"/>
  <c r="S69" i="3"/>
  <c r="R69" i="3"/>
  <c r="Q69" i="3"/>
  <c r="P69" i="3"/>
  <c r="O69" i="3"/>
  <c r="N69" i="3"/>
  <c r="M69" i="3"/>
  <c r="L69" i="3"/>
  <c r="K69" i="3"/>
  <c r="J69" i="3"/>
  <c r="I69" i="3"/>
  <c r="U68" i="3"/>
  <c r="U67" i="3"/>
  <c r="U69" i="3" s="1"/>
  <c r="T66" i="3"/>
  <c r="S66" i="3"/>
  <c r="R66" i="3"/>
  <c r="Q66" i="3"/>
  <c r="P66" i="3"/>
  <c r="O66" i="3"/>
  <c r="N66" i="3"/>
  <c r="M66" i="3"/>
  <c r="L66" i="3"/>
  <c r="K66" i="3"/>
  <c r="J66" i="3"/>
  <c r="I66" i="3"/>
  <c r="U65" i="3"/>
  <c r="U64" i="3"/>
  <c r="U66" i="3" s="1"/>
  <c r="P63" i="3"/>
  <c r="K63" i="3"/>
  <c r="J63" i="3"/>
  <c r="I63" i="3"/>
  <c r="T62" i="3"/>
  <c r="T63" i="3" s="1"/>
  <c r="S62" i="3"/>
  <c r="R62" i="3"/>
  <c r="R63" i="3" s="1"/>
  <c r="Q62" i="3"/>
  <c r="Q63" i="3" s="1"/>
  <c r="P62" i="3"/>
  <c r="O62" i="3"/>
  <c r="N62" i="3"/>
  <c r="M62" i="3"/>
  <c r="M63" i="3" s="1"/>
  <c r="L62" i="3"/>
  <c r="L63" i="3" s="1"/>
  <c r="T61" i="3"/>
  <c r="S61" i="3"/>
  <c r="R61" i="3"/>
  <c r="Q61" i="3"/>
  <c r="P61" i="3"/>
  <c r="O61" i="3"/>
  <c r="N61" i="3"/>
  <c r="N63" i="3" s="1"/>
  <c r="M61" i="3"/>
  <c r="L61" i="3"/>
  <c r="T60" i="3"/>
  <c r="S60" i="3"/>
  <c r="R60" i="3"/>
  <c r="Q60" i="3"/>
  <c r="P60" i="3"/>
  <c r="O60" i="3"/>
  <c r="N60" i="3"/>
  <c r="M60" i="3"/>
  <c r="L60" i="3"/>
  <c r="K60" i="3"/>
  <c r="J60" i="3"/>
  <c r="I60" i="3"/>
  <c r="U59" i="3"/>
  <c r="U58" i="3"/>
  <c r="U60" i="3" s="1"/>
  <c r="T57" i="3"/>
  <c r="S57" i="3"/>
  <c r="R57" i="3"/>
  <c r="Q57" i="3"/>
  <c r="P57" i="3"/>
  <c r="O57" i="3"/>
  <c r="N57" i="3"/>
  <c r="M57" i="3"/>
  <c r="L57" i="3"/>
  <c r="K57" i="3"/>
  <c r="J57" i="3"/>
  <c r="I57" i="3"/>
  <c r="G57" i="3"/>
  <c r="U56" i="3"/>
  <c r="U55" i="3"/>
  <c r="T54" i="3"/>
  <c r="S54" i="3"/>
  <c r="R54" i="3"/>
  <c r="Q54" i="3"/>
  <c r="P54" i="3"/>
  <c r="O54" i="3"/>
  <c r="N54" i="3"/>
  <c r="M54" i="3"/>
  <c r="L54" i="3"/>
  <c r="K54" i="3"/>
  <c r="J54" i="3"/>
  <c r="I54" i="3"/>
  <c r="U53" i="3"/>
  <c r="U54" i="3" s="1"/>
  <c r="U52" i="3"/>
  <c r="T51" i="3"/>
  <c r="S51" i="3"/>
  <c r="R51" i="3"/>
  <c r="Q51" i="3"/>
  <c r="P51" i="3"/>
  <c r="O51" i="3"/>
  <c r="N51" i="3"/>
  <c r="M51" i="3"/>
  <c r="L51" i="3"/>
  <c r="K51" i="3"/>
  <c r="J51" i="3"/>
  <c r="I51" i="3"/>
  <c r="U50" i="3"/>
  <c r="U51" i="3" s="1"/>
  <c r="U49" i="3"/>
  <c r="T48" i="3"/>
  <c r="S48" i="3"/>
  <c r="R48" i="3"/>
  <c r="Q48" i="3"/>
  <c r="P48" i="3"/>
  <c r="O48" i="3"/>
  <c r="N48" i="3"/>
  <c r="M48" i="3"/>
  <c r="L48" i="3"/>
  <c r="K48" i="3"/>
  <c r="J48" i="3"/>
  <c r="I48" i="3"/>
  <c r="U47" i="3"/>
  <c r="U46" i="3"/>
  <c r="T45" i="3"/>
  <c r="S45" i="3"/>
  <c r="R45" i="3"/>
  <c r="Q45" i="3"/>
  <c r="P45" i="3"/>
  <c r="O45" i="3"/>
  <c r="N45" i="3"/>
  <c r="M45" i="3"/>
  <c r="L45" i="3"/>
  <c r="K45" i="3"/>
  <c r="J45" i="3"/>
  <c r="I45" i="3"/>
  <c r="U44" i="3"/>
  <c r="U43" i="3"/>
  <c r="U45" i="3" s="1"/>
  <c r="T42" i="3"/>
  <c r="S42" i="3"/>
  <c r="R42" i="3"/>
  <c r="Q42" i="3"/>
  <c r="P42" i="3"/>
  <c r="O42" i="3"/>
  <c r="N42" i="3"/>
  <c r="M42" i="3"/>
  <c r="L42" i="3"/>
  <c r="K42" i="3"/>
  <c r="J42" i="3"/>
  <c r="I42" i="3"/>
  <c r="U41" i="3"/>
  <c r="U40" i="3"/>
  <c r="T39" i="3"/>
  <c r="S39" i="3"/>
  <c r="R39" i="3"/>
  <c r="Q39" i="3"/>
  <c r="P39" i="3"/>
  <c r="O39" i="3"/>
  <c r="N39" i="3"/>
  <c r="M39" i="3"/>
  <c r="L39" i="3"/>
  <c r="K39" i="3"/>
  <c r="J39" i="3"/>
  <c r="I39" i="3"/>
  <c r="U38" i="3"/>
  <c r="U39" i="3" s="1"/>
  <c r="U37" i="3"/>
  <c r="T36" i="3"/>
  <c r="S36" i="3"/>
  <c r="R36" i="3"/>
  <c r="Q36" i="3"/>
  <c r="P36" i="3"/>
  <c r="O36" i="3"/>
  <c r="N36" i="3"/>
  <c r="M36" i="3"/>
  <c r="L36" i="3"/>
  <c r="K36" i="3"/>
  <c r="J36" i="3"/>
  <c r="I36" i="3"/>
  <c r="U35" i="3"/>
  <c r="U34" i="3"/>
  <c r="U36" i="3" s="1"/>
  <c r="T33" i="3"/>
  <c r="S33" i="3"/>
  <c r="R33" i="3"/>
  <c r="Q33" i="3"/>
  <c r="P33" i="3"/>
  <c r="O33" i="3"/>
  <c r="N33" i="3"/>
  <c r="M33" i="3"/>
  <c r="L33" i="3"/>
  <c r="K33" i="3"/>
  <c r="J33" i="3"/>
  <c r="I33" i="3"/>
  <c r="U32" i="3"/>
  <c r="U31" i="3"/>
  <c r="T30" i="3"/>
  <c r="S30" i="3"/>
  <c r="R30" i="3"/>
  <c r="Q30" i="3"/>
  <c r="P30" i="3"/>
  <c r="O30" i="3"/>
  <c r="N30" i="3"/>
  <c r="M30" i="3"/>
  <c r="L30" i="3"/>
  <c r="K30" i="3"/>
  <c r="J30" i="3"/>
  <c r="I30" i="3"/>
  <c r="U29" i="3"/>
  <c r="U28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U26" i="3"/>
  <c r="U25" i="3"/>
  <c r="T24" i="3"/>
  <c r="S24" i="3"/>
  <c r="R24" i="3"/>
  <c r="Q24" i="3"/>
  <c r="P24" i="3"/>
  <c r="O24" i="3"/>
  <c r="N24" i="3"/>
  <c r="M24" i="3"/>
  <c r="L24" i="3"/>
  <c r="K24" i="3"/>
  <c r="J24" i="3"/>
  <c r="I24" i="3"/>
  <c r="U23" i="3"/>
  <c r="U22" i="3"/>
  <c r="T21" i="3"/>
  <c r="S21" i="3"/>
  <c r="R21" i="3"/>
  <c r="Q21" i="3"/>
  <c r="P21" i="3"/>
  <c r="O21" i="3"/>
  <c r="N21" i="3"/>
  <c r="M21" i="3"/>
  <c r="L21" i="3"/>
  <c r="K21" i="3"/>
  <c r="J21" i="3"/>
  <c r="I21" i="3"/>
  <c r="U20" i="3"/>
  <c r="U19" i="3"/>
  <c r="U21" i="3" s="1"/>
  <c r="T18" i="3"/>
  <c r="S18" i="3"/>
  <c r="R18" i="3"/>
  <c r="Q18" i="3"/>
  <c r="P18" i="3"/>
  <c r="O18" i="3"/>
  <c r="N18" i="3"/>
  <c r="M18" i="3"/>
  <c r="L18" i="3"/>
  <c r="K18" i="3"/>
  <c r="J18" i="3"/>
  <c r="I18" i="3"/>
  <c r="U17" i="3"/>
  <c r="U16" i="3"/>
  <c r="T15" i="3"/>
  <c r="S15" i="3"/>
  <c r="R15" i="3"/>
  <c r="Q15" i="3"/>
  <c r="P15" i="3"/>
  <c r="O15" i="3"/>
  <c r="N15" i="3"/>
  <c r="M15" i="3"/>
  <c r="L15" i="3"/>
  <c r="K15" i="3"/>
  <c r="J15" i="3"/>
  <c r="I15" i="3"/>
  <c r="U13" i="3"/>
  <c r="T12" i="3"/>
  <c r="S12" i="3"/>
  <c r="R12" i="3"/>
  <c r="Q12" i="3"/>
  <c r="P12" i="3"/>
  <c r="O12" i="3"/>
  <c r="N12" i="3"/>
  <c r="M12" i="3"/>
  <c r="L12" i="3"/>
  <c r="K12" i="3"/>
  <c r="J12" i="3"/>
  <c r="I12" i="3"/>
  <c r="U11" i="3"/>
  <c r="U10" i="3"/>
  <c r="T9" i="3"/>
  <c r="S9" i="3"/>
  <c r="R9" i="3"/>
  <c r="Q9" i="3"/>
  <c r="P9" i="3"/>
  <c r="O9" i="3"/>
  <c r="N9" i="3"/>
  <c r="M9" i="3"/>
  <c r="L9" i="3"/>
  <c r="K9" i="3"/>
  <c r="J9" i="3"/>
  <c r="I9" i="3"/>
  <c r="U8" i="3"/>
  <c r="U7" i="3"/>
  <c r="U9" i="3" s="1"/>
  <c r="U78" i="2"/>
  <c r="T78" i="2"/>
  <c r="S78" i="2"/>
  <c r="R78" i="2"/>
  <c r="Q78" i="2"/>
  <c r="P78" i="2"/>
  <c r="O78" i="2"/>
  <c r="N78" i="2"/>
  <c r="M78" i="2"/>
  <c r="L78" i="2"/>
  <c r="K78" i="2"/>
  <c r="J78" i="2"/>
  <c r="H78" i="2"/>
  <c r="G78" i="2"/>
  <c r="V77" i="2"/>
  <c r="V78" i="2" s="1"/>
  <c r="V76" i="2"/>
  <c r="U75" i="2"/>
  <c r="T75" i="2"/>
  <c r="S75" i="2"/>
  <c r="R75" i="2"/>
  <c r="Q75" i="2"/>
  <c r="P75" i="2"/>
  <c r="O75" i="2"/>
  <c r="N75" i="2"/>
  <c r="M75" i="2"/>
  <c r="L75" i="2"/>
  <c r="K75" i="2"/>
  <c r="J75" i="2"/>
  <c r="H75" i="2"/>
  <c r="G75" i="2"/>
  <c r="V74" i="2"/>
  <c r="V73" i="2"/>
  <c r="V75" i="2" s="1"/>
  <c r="U72" i="2"/>
  <c r="T72" i="2"/>
  <c r="S72" i="2"/>
  <c r="R72" i="2"/>
  <c r="Q72" i="2"/>
  <c r="P72" i="2"/>
  <c r="O72" i="2"/>
  <c r="N72" i="2"/>
  <c r="M72" i="2"/>
  <c r="L72" i="2"/>
  <c r="K72" i="2"/>
  <c r="J72" i="2"/>
  <c r="H72" i="2"/>
  <c r="G72" i="2"/>
  <c r="V71" i="2"/>
  <c r="V72" i="2" s="1"/>
  <c r="V70" i="2"/>
  <c r="U69" i="2"/>
  <c r="T69" i="2"/>
  <c r="S69" i="2"/>
  <c r="R69" i="2"/>
  <c r="Q69" i="2"/>
  <c r="P69" i="2"/>
  <c r="O69" i="2"/>
  <c r="N69" i="2"/>
  <c r="M69" i="2"/>
  <c r="L69" i="2"/>
  <c r="K69" i="2"/>
  <c r="J69" i="2"/>
  <c r="H69" i="2"/>
  <c r="G69" i="2"/>
  <c r="V68" i="2"/>
  <c r="V67" i="2"/>
  <c r="V69" i="2" s="1"/>
  <c r="U66" i="2"/>
  <c r="T66" i="2"/>
  <c r="S66" i="2"/>
  <c r="R66" i="2"/>
  <c r="Q66" i="2"/>
  <c r="P66" i="2"/>
  <c r="O66" i="2"/>
  <c r="N66" i="2"/>
  <c r="M66" i="2"/>
  <c r="L66" i="2"/>
  <c r="K66" i="2"/>
  <c r="J66" i="2"/>
  <c r="H66" i="2"/>
  <c r="G66" i="2"/>
  <c r="V65" i="2"/>
  <c r="V66" i="2" s="1"/>
  <c r="V64" i="2"/>
  <c r="U63" i="2"/>
  <c r="T63" i="2"/>
  <c r="S63" i="2"/>
  <c r="R63" i="2"/>
  <c r="Q63" i="2"/>
  <c r="P63" i="2"/>
  <c r="O63" i="2"/>
  <c r="N63" i="2"/>
  <c r="M63" i="2"/>
  <c r="L63" i="2"/>
  <c r="K63" i="2"/>
  <c r="J63" i="2"/>
  <c r="H63" i="2"/>
  <c r="G63" i="2"/>
  <c r="V62" i="2"/>
  <c r="V61" i="2"/>
  <c r="V63" i="2" s="1"/>
  <c r="U60" i="2"/>
  <c r="T60" i="2"/>
  <c r="S60" i="2"/>
  <c r="R60" i="2"/>
  <c r="Q60" i="2"/>
  <c r="P60" i="2"/>
  <c r="O60" i="2"/>
  <c r="N60" i="2"/>
  <c r="M60" i="2"/>
  <c r="L60" i="2"/>
  <c r="K60" i="2"/>
  <c r="J60" i="2"/>
  <c r="H60" i="2"/>
  <c r="G60" i="2"/>
  <c r="V59" i="2"/>
  <c r="V60" i="2" s="1"/>
  <c r="V58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V55" i="2"/>
  <c r="U54" i="2"/>
  <c r="T54" i="2"/>
  <c r="S54" i="2"/>
  <c r="R54" i="2"/>
  <c r="Q54" i="2"/>
  <c r="P54" i="2"/>
  <c r="O54" i="2"/>
  <c r="N54" i="2"/>
  <c r="M54" i="2"/>
  <c r="L54" i="2"/>
  <c r="K54" i="2"/>
  <c r="J54" i="2"/>
  <c r="V53" i="2"/>
  <c r="V52" i="2"/>
  <c r="V54" i="2" s="1"/>
  <c r="U51" i="2"/>
  <c r="T51" i="2"/>
  <c r="S51" i="2"/>
  <c r="R51" i="2"/>
  <c r="Q51" i="2"/>
  <c r="P51" i="2"/>
  <c r="O51" i="2"/>
  <c r="N51" i="2"/>
  <c r="M51" i="2"/>
  <c r="L51" i="2"/>
  <c r="K51" i="2"/>
  <c r="J51" i="2"/>
  <c r="V50" i="2"/>
  <c r="V51" i="2" s="1"/>
  <c r="V49" i="2"/>
  <c r="U48" i="2"/>
  <c r="T48" i="2"/>
  <c r="S48" i="2"/>
  <c r="R48" i="2"/>
  <c r="Q48" i="2"/>
  <c r="P48" i="2"/>
  <c r="O48" i="2"/>
  <c r="N48" i="2"/>
  <c r="M48" i="2"/>
  <c r="L48" i="2"/>
  <c r="K48" i="2"/>
  <c r="J48" i="2"/>
  <c r="H48" i="2"/>
  <c r="G48" i="2"/>
  <c r="V47" i="2"/>
  <c r="V46" i="2"/>
  <c r="V48" i="2" s="1"/>
  <c r="U45" i="2"/>
  <c r="T45" i="2"/>
  <c r="S45" i="2"/>
  <c r="R45" i="2"/>
  <c r="Q45" i="2"/>
  <c r="P45" i="2"/>
  <c r="O45" i="2"/>
  <c r="N45" i="2"/>
  <c r="M45" i="2"/>
  <c r="L45" i="2"/>
  <c r="K45" i="2"/>
  <c r="J45" i="2"/>
  <c r="H45" i="2"/>
  <c r="G45" i="2"/>
  <c r="V44" i="2"/>
  <c r="V45" i="2" s="1"/>
  <c r="V43" i="2"/>
  <c r="U42" i="2"/>
  <c r="T42" i="2"/>
  <c r="S42" i="2"/>
  <c r="R42" i="2"/>
  <c r="Q42" i="2"/>
  <c r="P42" i="2"/>
  <c r="O42" i="2"/>
  <c r="N42" i="2"/>
  <c r="M42" i="2"/>
  <c r="L42" i="2"/>
  <c r="K42" i="2"/>
  <c r="J42" i="2"/>
  <c r="H42" i="2"/>
  <c r="G42" i="2"/>
  <c r="V41" i="2"/>
  <c r="V40" i="2"/>
  <c r="V42" i="2" s="1"/>
  <c r="U39" i="2"/>
  <c r="T39" i="2"/>
  <c r="S39" i="2"/>
  <c r="R39" i="2"/>
  <c r="Q39" i="2"/>
  <c r="P39" i="2"/>
  <c r="O39" i="2"/>
  <c r="N39" i="2"/>
  <c r="M39" i="2"/>
  <c r="L39" i="2"/>
  <c r="K39" i="2"/>
  <c r="J39" i="2"/>
  <c r="H39" i="2"/>
  <c r="G39" i="2"/>
  <c r="V38" i="2"/>
  <c r="V39" i="2" s="1"/>
  <c r="V37" i="2"/>
  <c r="U36" i="2"/>
  <c r="T36" i="2"/>
  <c r="S36" i="2"/>
  <c r="R36" i="2"/>
  <c r="Q36" i="2"/>
  <c r="P36" i="2"/>
  <c r="O36" i="2"/>
  <c r="N36" i="2"/>
  <c r="M36" i="2"/>
  <c r="L36" i="2"/>
  <c r="K36" i="2"/>
  <c r="J36" i="2"/>
  <c r="H36" i="2"/>
  <c r="G36" i="2"/>
  <c r="V35" i="2"/>
  <c r="V34" i="2"/>
  <c r="V36" i="2" s="1"/>
  <c r="U33" i="2"/>
  <c r="T33" i="2"/>
  <c r="S33" i="2"/>
  <c r="R33" i="2"/>
  <c r="Q33" i="2"/>
  <c r="P33" i="2"/>
  <c r="O33" i="2"/>
  <c r="N33" i="2"/>
  <c r="M33" i="2"/>
  <c r="L33" i="2"/>
  <c r="K33" i="2"/>
  <c r="J33" i="2"/>
  <c r="H33" i="2"/>
  <c r="G33" i="2"/>
  <c r="V32" i="2"/>
  <c r="V33" i="2" s="1"/>
  <c r="V31" i="2"/>
  <c r="U30" i="2"/>
  <c r="T30" i="2"/>
  <c r="S30" i="2"/>
  <c r="R30" i="2"/>
  <c r="Q30" i="2"/>
  <c r="P30" i="2"/>
  <c r="O30" i="2"/>
  <c r="N30" i="2"/>
  <c r="M30" i="2"/>
  <c r="L30" i="2"/>
  <c r="K30" i="2"/>
  <c r="J30" i="2"/>
  <c r="H30" i="2"/>
  <c r="G30" i="2"/>
  <c r="V29" i="2"/>
  <c r="V28" i="2"/>
  <c r="V30" i="2" s="1"/>
  <c r="U27" i="2"/>
  <c r="T27" i="2"/>
  <c r="S27" i="2"/>
  <c r="R27" i="2"/>
  <c r="Q27" i="2"/>
  <c r="P27" i="2"/>
  <c r="O27" i="2"/>
  <c r="N27" i="2"/>
  <c r="M27" i="2"/>
  <c r="L27" i="2"/>
  <c r="K27" i="2"/>
  <c r="J27" i="2"/>
  <c r="H27" i="2"/>
  <c r="G27" i="2"/>
  <c r="V26" i="2"/>
  <c r="V25" i="2"/>
  <c r="V27" i="2" s="1"/>
  <c r="U24" i="2"/>
  <c r="T24" i="2"/>
  <c r="S24" i="2"/>
  <c r="R24" i="2"/>
  <c r="Q24" i="2"/>
  <c r="P24" i="2"/>
  <c r="O24" i="2"/>
  <c r="N24" i="2"/>
  <c r="M24" i="2"/>
  <c r="L24" i="2"/>
  <c r="K24" i="2"/>
  <c r="J24" i="2"/>
  <c r="H24" i="2"/>
  <c r="G24" i="2"/>
  <c r="V23" i="2"/>
  <c r="V22" i="2"/>
  <c r="V24" i="2" s="1"/>
  <c r="U21" i="2"/>
  <c r="T21" i="2"/>
  <c r="S21" i="2"/>
  <c r="R21" i="2"/>
  <c r="Q21" i="2"/>
  <c r="P21" i="2"/>
  <c r="O21" i="2"/>
  <c r="N21" i="2"/>
  <c r="M21" i="2"/>
  <c r="L21" i="2"/>
  <c r="K21" i="2"/>
  <c r="J21" i="2"/>
  <c r="V20" i="2"/>
  <c r="V21" i="2" s="1"/>
  <c r="V19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V17" i="2"/>
  <c r="V16" i="2"/>
  <c r="U15" i="2"/>
  <c r="T15" i="2"/>
  <c r="S15" i="2"/>
  <c r="R15" i="2"/>
  <c r="Q15" i="2"/>
  <c r="P15" i="2"/>
  <c r="O15" i="2"/>
  <c r="N15" i="2"/>
  <c r="M15" i="2"/>
  <c r="L15" i="2"/>
  <c r="K15" i="2"/>
  <c r="J15" i="2"/>
  <c r="H15" i="2"/>
  <c r="G15" i="2"/>
  <c r="V14" i="2"/>
  <c r="V13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V11" i="2"/>
  <c r="V10" i="2"/>
  <c r="U9" i="2"/>
  <c r="T9" i="2"/>
  <c r="S9" i="2"/>
  <c r="R9" i="2"/>
  <c r="Q9" i="2"/>
  <c r="P9" i="2"/>
  <c r="O9" i="2"/>
  <c r="N9" i="2"/>
  <c r="M9" i="2"/>
  <c r="L9" i="2"/>
  <c r="K9" i="2"/>
  <c r="J9" i="2"/>
  <c r="V8" i="2"/>
  <c r="V7" i="2"/>
  <c r="V9" i="2" s="1"/>
  <c r="U78" i="1"/>
  <c r="T78" i="1"/>
  <c r="S78" i="1"/>
  <c r="R78" i="1"/>
  <c r="Q78" i="1"/>
  <c r="P78" i="1"/>
  <c r="O78" i="1"/>
  <c r="N78" i="1"/>
  <c r="M78" i="1"/>
  <c r="L78" i="1"/>
  <c r="K78" i="1"/>
  <c r="J78" i="1"/>
  <c r="H78" i="1"/>
  <c r="G78" i="1"/>
  <c r="V77" i="1"/>
  <c r="V78" i="1" s="1"/>
  <c r="V76" i="1"/>
  <c r="U75" i="1"/>
  <c r="T75" i="1"/>
  <c r="S75" i="1"/>
  <c r="R75" i="1"/>
  <c r="Q75" i="1"/>
  <c r="P75" i="1"/>
  <c r="O75" i="1"/>
  <c r="N75" i="1"/>
  <c r="M75" i="1"/>
  <c r="L75" i="1"/>
  <c r="K75" i="1"/>
  <c r="J75" i="1"/>
  <c r="H75" i="1"/>
  <c r="G75" i="1"/>
  <c r="V74" i="1"/>
  <c r="V75" i="1" s="1"/>
  <c r="V73" i="1"/>
  <c r="U72" i="1"/>
  <c r="T72" i="1"/>
  <c r="S72" i="1"/>
  <c r="R72" i="1"/>
  <c r="Q72" i="1"/>
  <c r="P72" i="1"/>
  <c r="O72" i="1"/>
  <c r="N72" i="1"/>
  <c r="M72" i="1"/>
  <c r="L72" i="1"/>
  <c r="K72" i="1"/>
  <c r="J72" i="1"/>
  <c r="H72" i="1"/>
  <c r="G72" i="1"/>
  <c r="V71" i="1"/>
  <c r="V70" i="1"/>
  <c r="U69" i="1"/>
  <c r="T69" i="1"/>
  <c r="S69" i="1"/>
  <c r="R69" i="1"/>
  <c r="Q69" i="1"/>
  <c r="P69" i="1"/>
  <c r="O69" i="1"/>
  <c r="N69" i="1"/>
  <c r="M69" i="1"/>
  <c r="L69" i="1"/>
  <c r="K69" i="1"/>
  <c r="J69" i="1"/>
  <c r="H69" i="1"/>
  <c r="G69" i="1"/>
  <c r="V68" i="1"/>
  <c r="V69" i="1" s="1"/>
  <c r="V67" i="1"/>
  <c r="U66" i="1"/>
  <c r="T66" i="1"/>
  <c r="S66" i="1"/>
  <c r="R66" i="1"/>
  <c r="Q66" i="1"/>
  <c r="P66" i="1"/>
  <c r="O66" i="1"/>
  <c r="N66" i="1"/>
  <c r="M66" i="1"/>
  <c r="L66" i="1"/>
  <c r="K66" i="1"/>
  <c r="J66" i="1"/>
  <c r="H66" i="1"/>
  <c r="G66" i="1"/>
  <c r="V65" i="1"/>
  <c r="V66" i="1" s="1"/>
  <c r="V64" i="1"/>
  <c r="U63" i="1"/>
  <c r="T63" i="1"/>
  <c r="S63" i="1"/>
  <c r="R63" i="1"/>
  <c r="Q63" i="1"/>
  <c r="P63" i="1"/>
  <c r="O63" i="1"/>
  <c r="N63" i="1"/>
  <c r="M63" i="1"/>
  <c r="L63" i="1"/>
  <c r="K63" i="1"/>
  <c r="J63" i="1"/>
  <c r="H63" i="1"/>
  <c r="G63" i="1"/>
  <c r="V62" i="1"/>
  <c r="V63" i="1" s="1"/>
  <c r="V61" i="1"/>
  <c r="U60" i="1"/>
  <c r="T60" i="1"/>
  <c r="S60" i="1"/>
  <c r="R60" i="1"/>
  <c r="Q60" i="1"/>
  <c r="P60" i="1"/>
  <c r="O60" i="1"/>
  <c r="N60" i="1"/>
  <c r="M60" i="1"/>
  <c r="L60" i="1"/>
  <c r="K60" i="1"/>
  <c r="J60" i="1"/>
  <c r="H60" i="1"/>
  <c r="G60" i="1"/>
  <c r="V59" i="1"/>
  <c r="V58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V56" i="1"/>
  <c r="V55" i="1"/>
  <c r="U54" i="1"/>
  <c r="T54" i="1"/>
  <c r="S54" i="1"/>
  <c r="R54" i="1"/>
  <c r="Q54" i="1"/>
  <c r="P54" i="1"/>
  <c r="O54" i="1"/>
  <c r="N54" i="1"/>
  <c r="M54" i="1"/>
  <c r="L54" i="1"/>
  <c r="K54" i="1"/>
  <c r="J54" i="1"/>
  <c r="V53" i="1"/>
  <c r="V54" i="1" s="1"/>
  <c r="V52" i="1"/>
  <c r="U51" i="1"/>
  <c r="T51" i="1"/>
  <c r="S51" i="1"/>
  <c r="R51" i="1"/>
  <c r="Q51" i="1"/>
  <c r="P51" i="1"/>
  <c r="O51" i="1"/>
  <c r="N51" i="1"/>
  <c r="M51" i="1"/>
  <c r="L51" i="1"/>
  <c r="K51" i="1"/>
  <c r="J51" i="1"/>
  <c r="V50" i="1"/>
  <c r="V51" i="1" s="1"/>
  <c r="V49" i="1"/>
  <c r="U48" i="1"/>
  <c r="T48" i="1"/>
  <c r="S48" i="1"/>
  <c r="R48" i="1"/>
  <c r="Q48" i="1"/>
  <c r="P48" i="1"/>
  <c r="O48" i="1"/>
  <c r="N48" i="1"/>
  <c r="M48" i="1"/>
  <c r="L48" i="1"/>
  <c r="K48" i="1"/>
  <c r="J48" i="1"/>
  <c r="H48" i="1"/>
  <c r="G48" i="1"/>
  <c r="V47" i="1"/>
  <c r="V46" i="1"/>
  <c r="U45" i="1"/>
  <c r="T45" i="1"/>
  <c r="S45" i="1"/>
  <c r="R45" i="1"/>
  <c r="Q45" i="1"/>
  <c r="P45" i="1"/>
  <c r="O45" i="1"/>
  <c r="N45" i="1"/>
  <c r="M45" i="1"/>
  <c r="L45" i="1"/>
  <c r="K45" i="1"/>
  <c r="J45" i="1"/>
  <c r="H45" i="1"/>
  <c r="G45" i="1"/>
  <c r="V44" i="1"/>
  <c r="V45" i="1" s="1"/>
  <c r="V43" i="1"/>
  <c r="U42" i="1"/>
  <c r="T42" i="1"/>
  <c r="S42" i="1"/>
  <c r="R42" i="1"/>
  <c r="Q42" i="1"/>
  <c r="P42" i="1"/>
  <c r="O42" i="1"/>
  <c r="N42" i="1"/>
  <c r="M42" i="1"/>
  <c r="L42" i="1"/>
  <c r="K42" i="1"/>
  <c r="J42" i="1"/>
  <c r="H42" i="1"/>
  <c r="G42" i="1"/>
  <c r="V41" i="1"/>
  <c r="V40" i="1"/>
  <c r="U39" i="1"/>
  <c r="T39" i="1"/>
  <c r="S39" i="1"/>
  <c r="R39" i="1"/>
  <c r="Q39" i="1"/>
  <c r="P39" i="1"/>
  <c r="O39" i="1"/>
  <c r="N39" i="1"/>
  <c r="M39" i="1"/>
  <c r="L39" i="1"/>
  <c r="K39" i="1"/>
  <c r="J39" i="1"/>
  <c r="H39" i="1"/>
  <c r="G39" i="1"/>
  <c r="V38" i="1"/>
  <c r="V39" i="1" s="1"/>
  <c r="V37" i="1"/>
  <c r="U36" i="1"/>
  <c r="T36" i="1"/>
  <c r="S36" i="1"/>
  <c r="R36" i="1"/>
  <c r="Q36" i="1"/>
  <c r="P36" i="1"/>
  <c r="O36" i="1"/>
  <c r="N36" i="1"/>
  <c r="M36" i="1"/>
  <c r="L36" i="1"/>
  <c r="K36" i="1"/>
  <c r="J36" i="1"/>
  <c r="H36" i="1"/>
  <c r="G36" i="1"/>
  <c r="V35" i="1"/>
  <c r="V34" i="1"/>
  <c r="U33" i="1"/>
  <c r="T33" i="1"/>
  <c r="S33" i="1"/>
  <c r="R33" i="1"/>
  <c r="Q33" i="1"/>
  <c r="P33" i="1"/>
  <c r="O33" i="1"/>
  <c r="N33" i="1"/>
  <c r="M33" i="1"/>
  <c r="L33" i="1"/>
  <c r="K33" i="1"/>
  <c r="J33" i="1"/>
  <c r="H33" i="1"/>
  <c r="G33" i="1"/>
  <c r="V32" i="1"/>
  <c r="V33" i="1" s="1"/>
  <c r="V31" i="1"/>
  <c r="U30" i="1"/>
  <c r="T30" i="1"/>
  <c r="S30" i="1"/>
  <c r="R30" i="1"/>
  <c r="Q30" i="1"/>
  <c r="P30" i="1"/>
  <c r="O30" i="1"/>
  <c r="N30" i="1"/>
  <c r="M30" i="1"/>
  <c r="L30" i="1"/>
  <c r="K30" i="1"/>
  <c r="J30" i="1"/>
  <c r="H30" i="1"/>
  <c r="G30" i="1"/>
  <c r="V29" i="1"/>
  <c r="V28" i="1"/>
  <c r="U27" i="1"/>
  <c r="T27" i="1"/>
  <c r="S27" i="1"/>
  <c r="R27" i="1"/>
  <c r="Q27" i="1"/>
  <c r="P27" i="1"/>
  <c r="O27" i="1"/>
  <c r="N27" i="1"/>
  <c r="M27" i="1"/>
  <c r="L27" i="1"/>
  <c r="K27" i="1"/>
  <c r="J27" i="1"/>
  <c r="H27" i="1"/>
  <c r="G27" i="1"/>
  <c r="V26" i="1"/>
  <c r="V25" i="1"/>
  <c r="U24" i="1"/>
  <c r="T24" i="1"/>
  <c r="S24" i="1"/>
  <c r="R24" i="1"/>
  <c r="Q24" i="1"/>
  <c r="P24" i="1"/>
  <c r="O24" i="1"/>
  <c r="N24" i="1"/>
  <c r="M24" i="1"/>
  <c r="L24" i="1"/>
  <c r="K24" i="1"/>
  <c r="J24" i="1"/>
  <c r="H24" i="1"/>
  <c r="G24" i="1"/>
  <c r="V23" i="1"/>
  <c r="V22" i="1"/>
  <c r="U21" i="1"/>
  <c r="T21" i="1"/>
  <c r="S21" i="1"/>
  <c r="R21" i="1"/>
  <c r="Q21" i="1"/>
  <c r="P21" i="1"/>
  <c r="O21" i="1"/>
  <c r="N21" i="1"/>
  <c r="M21" i="1"/>
  <c r="L21" i="1"/>
  <c r="K21" i="1"/>
  <c r="J21" i="1"/>
  <c r="V20" i="1"/>
  <c r="V21" i="1" s="1"/>
  <c r="V19" i="1"/>
  <c r="U18" i="1"/>
  <c r="T18" i="1"/>
  <c r="S18" i="1"/>
  <c r="R18" i="1"/>
  <c r="Q18" i="1"/>
  <c r="P18" i="1"/>
  <c r="O18" i="1"/>
  <c r="N18" i="1"/>
  <c r="M18" i="1"/>
  <c r="L18" i="1"/>
  <c r="K18" i="1"/>
  <c r="J18" i="1"/>
  <c r="V17" i="1"/>
  <c r="V16" i="1"/>
  <c r="U15" i="1"/>
  <c r="T15" i="1"/>
  <c r="S15" i="1"/>
  <c r="R15" i="1"/>
  <c r="Q15" i="1"/>
  <c r="P15" i="1"/>
  <c r="O15" i="1"/>
  <c r="N15" i="1"/>
  <c r="M15" i="1"/>
  <c r="L15" i="1"/>
  <c r="K15" i="1"/>
  <c r="J15" i="1"/>
  <c r="H15" i="1"/>
  <c r="G15" i="1"/>
  <c r="V14" i="1"/>
  <c r="V15" i="1" s="1"/>
  <c r="V13" i="1"/>
  <c r="U12" i="1"/>
  <c r="T12" i="1"/>
  <c r="S12" i="1"/>
  <c r="R12" i="1"/>
  <c r="Q12" i="1"/>
  <c r="P12" i="1"/>
  <c r="O12" i="1"/>
  <c r="N12" i="1"/>
  <c r="M12" i="1"/>
  <c r="L12" i="1"/>
  <c r="K12" i="1"/>
  <c r="J12" i="1"/>
  <c r="V11" i="1"/>
  <c r="V10" i="1"/>
  <c r="U9" i="1"/>
  <c r="T9" i="1"/>
  <c r="S9" i="1"/>
  <c r="R9" i="1"/>
  <c r="Q9" i="1"/>
  <c r="P9" i="1"/>
  <c r="O9" i="1"/>
  <c r="N9" i="1"/>
  <c r="M9" i="1"/>
  <c r="L9" i="1"/>
  <c r="K9" i="1"/>
  <c r="J9" i="1"/>
  <c r="V8" i="1"/>
  <c r="V7" i="1"/>
  <c r="U63" i="6" l="1"/>
  <c r="U15" i="3"/>
  <c r="V15" i="2"/>
  <c r="V9" i="1"/>
  <c r="V18" i="1"/>
  <c r="V24" i="1"/>
  <c r="V27" i="1"/>
  <c r="V30" i="1"/>
  <c r="V36" i="1"/>
  <c r="V42" i="1"/>
  <c r="V48" i="1"/>
  <c r="V60" i="1"/>
  <c r="V72" i="1"/>
  <c r="V12" i="1"/>
  <c r="U18" i="3"/>
  <c r="U24" i="3"/>
  <c r="U30" i="3"/>
  <c r="U57" i="3"/>
  <c r="O63" i="3"/>
  <c r="S63" i="3"/>
  <c r="U78" i="3"/>
  <c r="U12" i="3"/>
  <c r="U33" i="3"/>
  <c r="U42" i="3"/>
  <c r="U48" i="3"/>
  <c r="U61" i="3"/>
  <c r="U62" i="4"/>
  <c r="U63" i="4" s="1"/>
  <c r="U62" i="3"/>
  <c r="U63" i="3" l="1"/>
</calcChain>
</file>

<file path=xl/sharedStrings.xml><?xml version="1.0" encoding="utf-8"?>
<sst xmlns="http://schemas.openxmlformats.org/spreadsheetml/2006/main" count="1924" uniqueCount="258">
  <si>
    <t>M&amp;C ELECTRONICS VINA Năm 2020</t>
  </si>
  <si>
    <t>작   성</t>
    <phoneticPr fontId="0" type="noConversion"/>
  </si>
  <si>
    <t>검   토</t>
    <phoneticPr fontId="0" type="noConversion"/>
  </si>
  <si>
    <t>승   인</t>
    <phoneticPr fontId="0" type="noConversion"/>
  </si>
  <si>
    <t>Ms Hậu</t>
  </si>
  <si>
    <t>Mr Kim</t>
  </si>
  <si>
    <t>Mr Joung</t>
  </si>
  <si>
    <t>NO</t>
    <phoneticPr fontId="0" type="noConversion"/>
  </si>
  <si>
    <t xml:space="preserve">PROCESS </t>
  </si>
  <si>
    <t>KPI</t>
  </si>
  <si>
    <t>Bộ phận chủ quản</t>
  </si>
  <si>
    <t>PIC</t>
  </si>
  <si>
    <t>Căn cứ tính toán</t>
  </si>
  <si>
    <t>Tổng hợp năm 18</t>
    <phoneticPr fontId="0" type="noConversion"/>
  </si>
  <si>
    <t>Tổng hợp năm 19</t>
    <phoneticPr fontId="0" type="noConversion"/>
  </si>
  <si>
    <t>Năm 2020</t>
  </si>
  <si>
    <t>Ghi chú</t>
  </si>
  <si>
    <t>Total</t>
  </si>
  <si>
    <t>Ban lãnh đạo</t>
  </si>
  <si>
    <t xml:space="preserve">
Số lỗi ban hành khi kiểm tra nội bộ </t>
  </si>
  <si>
    <t>Team chủ quản audit</t>
  </si>
  <si>
    <t>Kim  ByoungKwan</t>
  </si>
  <si>
    <r>
      <t>Số lỗi ban hành (D</t>
    </r>
    <r>
      <rPr>
        <sz val="11"/>
        <rFont val="Century"/>
        <family val="1"/>
      </rPr>
      <t>ư</t>
    </r>
    <r>
      <rPr>
        <sz val="11"/>
        <rFont val="-윤고딕320"/>
        <family val="1"/>
        <charset val="129"/>
      </rPr>
      <t>ới 10 lỗi )</t>
    </r>
  </si>
  <si>
    <t>Mục tiêu</t>
  </si>
  <si>
    <t>Thực tế</t>
  </si>
  <si>
    <t>Hiêu suất</t>
  </si>
  <si>
    <t xml:space="preserve">Tỉ lệ hoàn thành cải tiến lỗi audit nội bộ  </t>
  </si>
  <si>
    <t xml:space="preserve">(Số lỗi hoàn thành cải tiến /
Số lỗi) * 100 </t>
  </si>
  <si>
    <t>Doanh thu
(triệu won)</t>
    <phoneticPr fontId="0" type="noConversion"/>
  </si>
  <si>
    <t xml:space="preserve">Hỗ trợ quản lý </t>
  </si>
  <si>
    <t>Joung Ui Young</t>
  </si>
  <si>
    <t>-</t>
    <phoneticPr fontId="0" type="noConversion"/>
  </si>
  <si>
    <t>Lợi nhuận doanh thu
triệu won)</t>
  </si>
  <si>
    <t>(Doanh thu - chi phí sản xuất )=Tổng lợi nhuận doanh thu</t>
  </si>
  <si>
    <t>Lợi nhuận kinh doanh
(%)</t>
  </si>
  <si>
    <t>(Tổng lợi nhuận doanh thu/Doanh thu) *100</t>
  </si>
  <si>
    <t>Kết quả kiểm tra nội bộ</t>
    <phoneticPr fontId="0" type="noConversion"/>
  </si>
  <si>
    <t>Trưởng nhóm audit</t>
  </si>
  <si>
    <t>Kế hoạch/ Thực tế</t>
    <phoneticPr fontId="0" type="noConversion"/>
  </si>
  <si>
    <t xml:space="preserve">Sửa đổi và ngăn ngừa dự phòng  </t>
  </si>
  <si>
    <t>Toàn bộ các bộ phận</t>
  </si>
  <si>
    <t>-</t>
  </si>
  <si>
    <t xml:space="preserve">Khách hàng phàn nàn
</t>
  </si>
  <si>
    <t>Tỉ lệ lỗi
(PPM)</t>
  </si>
  <si>
    <t>QC team</t>
  </si>
  <si>
    <r>
      <t>(Số l</t>
    </r>
    <r>
      <rPr>
        <sz val="11"/>
        <rFont val="Century"/>
        <family val="1"/>
      </rPr>
      <t>ư</t>
    </r>
    <r>
      <rPr>
        <sz val="11"/>
        <rFont val="-윤고딕320"/>
        <family val="1"/>
        <charset val="129"/>
      </rPr>
      <t>ợng NG/ Số l</t>
    </r>
    <r>
      <rPr>
        <sz val="11"/>
        <rFont val="Century"/>
        <family val="1"/>
      </rPr>
      <t>ư</t>
    </r>
    <r>
      <rPr>
        <sz val="11"/>
        <rFont val="-윤고딕320"/>
        <family val="1"/>
        <charset val="129"/>
      </rPr>
      <t xml:space="preserve">ợng input) * 1000000 </t>
    </r>
  </si>
  <si>
    <t>CLAIM
(số vụ)</t>
  </si>
  <si>
    <t>Sales team</t>
  </si>
  <si>
    <t xml:space="preserve">Công văn khách hàng CLAIM </t>
    <phoneticPr fontId="0" type="noConversion"/>
  </si>
  <si>
    <t>Số lỗi phát sinh(vụ)</t>
  </si>
  <si>
    <t xml:space="preserve">Số vụ lỗi phát sinh và tiếp nhận thông tin </t>
    <phoneticPr fontId="0" type="noConversion"/>
  </si>
  <si>
    <t xml:space="preserve">Vấn đề chất lượng chủ yếu và tỉ lệ tiến hành cải tiến </t>
  </si>
  <si>
    <t>(개선 건수 / 품질문제 건수) *100</t>
    <phoneticPr fontId="0" type="noConversion"/>
  </si>
  <si>
    <t>Số tiền phát sinh hàng lỗi
(vạn won)</t>
  </si>
  <si>
    <t>Số tiền phát sinh do hàng lỗi</t>
    <phoneticPr fontId="0" type="noConversion"/>
  </si>
  <si>
    <t xml:space="preserve">Quản lý phát triển
</t>
  </si>
  <si>
    <t xml:space="preserve">Số ITEM tiến hành phát triển
</t>
    <phoneticPr fontId="0" type="noConversion"/>
  </si>
  <si>
    <t>RnD</t>
  </si>
  <si>
    <t xml:space="preserve">Lee Choong Jea
</t>
  </si>
  <si>
    <t xml:space="preserve">Tỉ lệ tuân thủ lịch trình xuất  ITEM
SAMPLE </t>
  </si>
  <si>
    <t xml:space="preserve">Ngày khách hàng yêu cầu/ Ngày submit mẫu  </t>
    <phoneticPr fontId="0" type="noConversion"/>
  </si>
  <si>
    <t>Quản lý kinh doanh</t>
  </si>
  <si>
    <t>Tỉ lệ tuân thủ xuất hàng</t>
  </si>
  <si>
    <t xml:space="preserve">(Số lượng xuất hàng/Số lượng yêu cầu xuất hàng) * 100 </t>
  </si>
  <si>
    <t>Vận chuyển quá thời gian</t>
  </si>
  <si>
    <t>Số vụ</t>
  </si>
  <si>
    <t>Tỉ lệ quay vòng tồn kho</t>
  </si>
  <si>
    <t xml:space="preserve">(Số lượng xuất kho/Lượng tồn kho)*100 </t>
  </si>
  <si>
    <t>Độ hài lòng của khách hàng</t>
  </si>
  <si>
    <t>Bản điều tra độ hài lòng của khách hàng or đánh giá định kì (điểm)</t>
    <phoneticPr fontId="0" type="noConversion"/>
  </si>
  <si>
    <t>Team sản xuất</t>
  </si>
  <si>
    <t>Kết quả thực tế so với kế hoạch sản xuất
(EA)</t>
  </si>
  <si>
    <t>Team SX</t>
  </si>
  <si>
    <t>Cho Dong Mun</t>
  </si>
  <si>
    <t xml:space="preserve">(Thực tế/Kế hoạch) * 100 </t>
  </si>
  <si>
    <t>Quản lý thiết bị</t>
  </si>
  <si>
    <t>Tỉ lệ chạy máy</t>
  </si>
  <si>
    <r>
      <t>( Số lần bảo d</t>
    </r>
    <r>
      <rPr>
        <sz val="11"/>
        <rFont val="Century"/>
        <family val="1"/>
      </rPr>
      <t>ư</t>
    </r>
    <r>
      <rPr>
        <sz val="11"/>
        <rFont val="-윤고딕320"/>
        <family val="1"/>
        <charset val="129"/>
      </rPr>
      <t>ớng thực tế của tháng/Số lần bảo d</t>
    </r>
    <r>
      <rPr>
        <sz val="11"/>
        <rFont val="Century"/>
        <family val="1"/>
      </rPr>
      <t>ư</t>
    </r>
    <r>
      <rPr>
        <sz val="11"/>
        <rFont val="-윤고딕320"/>
        <family val="1"/>
        <charset val="129"/>
      </rPr>
      <t xml:space="preserve">ớng kế hoạch của tháng) *100 </t>
    </r>
  </si>
  <si>
    <t>Kiểm tra và test</t>
  </si>
  <si>
    <t>Tỉ lệ lỗi công đoạn (PPM)</t>
  </si>
  <si>
    <r>
      <t>(Tổng số l</t>
    </r>
    <r>
      <rPr>
        <sz val="11"/>
        <rFont val="Century"/>
        <family val="1"/>
      </rPr>
      <t>ư</t>
    </r>
    <r>
      <rPr>
        <sz val="11"/>
        <rFont val="-윤고딕320"/>
        <family val="1"/>
        <charset val="129"/>
      </rPr>
      <t>ợng lỗi công đoạn / tổng số l</t>
    </r>
    <r>
      <rPr>
        <sz val="11"/>
        <rFont val="Century"/>
        <family val="1"/>
      </rPr>
      <t>ư</t>
    </r>
    <r>
      <rPr>
        <sz val="11"/>
        <rFont val="-윤고딕320"/>
        <family val="1"/>
        <charset val="129"/>
      </rPr>
      <t>ợng công đoạn sản xuất) * 1000000</t>
    </r>
  </si>
  <si>
    <t>Quản lý mua hàng</t>
  </si>
  <si>
    <t>Thực tế cung cấp</t>
  </si>
  <si>
    <t>Purchase team</t>
  </si>
  <si>
    <t>Choi Byoung Youn</t>
  </si>
  <si>
    <t xml:space="preserve">Tính toán và phân tích tỉ lệ giao hàng so với order </t>
  </si>
  <si>
    <t>Tỉ lệ thực tế đánh giá định kì vendor</t>
  </si>
  <si>
    <t xml:space="preserve">(Kết quả thực tế đánh giá định kì/
Kế hoạch đánh giá)*100 </t>
  </si>
  <si>
    <t>Huấn luyện đào tạo</t>
  </si>
  <si>
    <t>Kết quả thực tế so với kế hoạch đào tạo</t>
  </si>
  <si>
    <t>Kết quả thực tế so với kế hoạch ( lần)</t>
  </si>
  <si>
    <t>경영관리</t>
    <phoneticPr fontId="0" type="noConversion"/>
  </si>
  <si>
    <t>내부심사
부적합 발행건수</t>
  </si>
  <si>
    <t>심사주관팀</t>
  </si>
  <si>
    <t>김병관
차장</t>
    <phoneticPr fontId="0" type="noConversion"/>
  </si>
  <si>
    <t>발행건수 (10건 이하)</t>
    <phoneticPr fontId="0" type="noConversion"/>
  </si>
  <si>
    <t>내부심사
시정조치 완료율</t>
  </si>
  <si>
    <t xml:space="preserve">(시정조치 완료건수 /
부적합 발행건수) * 100 </t>
    <phoneticPr fontId="0" type="noConversion"/>
  </si>
  <si>
    <t>매출액
(백만원)</t>
    <phoneticPr fontId="0" type="noConversion"/>
  </si>
  <si>
    <t>경영지원</t>
    <phoneticPr fontId="0" type="noConversion"/>
  </si>
  <si>
    <t>매출이익
(백만원)</t>
    <phoneticPr fontId="0" type="noConversion"/>
  </si>
  <si>
    <t>관리팀</t>
    <phoneticPr fontId="0" type="noConversion"/>
  </si>
  <si>
    <t>(매출액 - 매출원가)=매출총이익</t>
    <phoneticPr fontId="0" type="noConversion"/>
  </si>
  <si>
    <t>영업이익
(%)</t>
    <phoneticPr fontId="0" type="noConversion"/>
  </si>
  <si>
    <t>최병윤
부장</t>
    <phoneticPr fontId="0" type="noConversion"/>
  </si>
  <si>
    <t>(매출총이익/매출액) *100</t>
    <phoneticPr fontId="0" type="noConversion"/>
  </si>
  <si>
    <t>내부심사 결과</t>
  </si>
  <si>
    <t>심사팀</t>
    <phoneticPr fontId="0" type="noConversion"/>
  </si>
  <si>
    <t>계획 / 실적</t>
    <phoneticPr fontId="0" type="noConversion"/>
  </si>
  <si>
    <t>시정 및 예방조치</t>
  </si>
  <si>
    <t>각부서</t>
    <phoneticPr fontId="0" type="noConversion"/>
  </si>
  <si>
    <t xml:space="preserve">고객불만
</t>
    <phoneticPr fontId="0" type="noConversion"/>
  </si>
  <si>
    <t>불량율
(PPM)</t>
    <phoneticPr fontId="0" type="noConversion"/>
  </si>
  <si>
    <t>품질팀</t>
  </si>
  <si>
    <t xml:space="preserve">(불량수량 / 투입수량) * 1000000 </t>
    <phoneticPr fontId="0" type="noConversion"/>
  </si>
  <si>
    <t>CLAIM
(건)</t>
    <phoneticPr fontId="0" type="noConversion"/>
  </si>
  <si>
    <t>영업팀</t>
    <phoneticPr fontId="0" type="noConversion"/>
  </si>
  <si>
    <t>이진호
부장</t>
    <phoneticPr fontId="0" type="noConversion"/>
  </si>
  <si>
    <t>고객 CLAIM 공문서</t>
    <phoneticPr fontId="0" type="noConversion"/>
  </si>
  <si>
    <t>부적합 발생건수(건)</t>
  </si>
  <si>
    <t>품질팀</t>
    <phoneticPr fontId="0" type="noConversion"/>
  </si>
  <si>
    <t>부적합 발생 및 접수건수</t>
    <phoneticPr fontId="0" type="noConversion"/>
  </si>
  <si>
    <t>주요 품질 이슈 및 
개선진행률</t>
    <phoneticPr fontId="0" type="noConversion"/>
  </si>
  <si>
    <t>부적합 발생금액
(만원)</t>
    <phoneticPr fontId="0" type="noConversion"/>
  </si>
  <si>
    <t>부적합 발생 금액</t>
    <phoneticPr fontId="0" type="noConversion"/>
  </si>
  <si>
    <t>개발관리</t>
    <phoneticPr fontId="0" type="noConversion"/>
  </si>
  <si>
    <t>개발 ITEM 
진행 건수</t>
    <phoneticPr fontId="0" type="noConversion"/>
  </si>
  <si>
    <t>개발팀</t>
    <phoneticPr fontId="0" type="noConversion"/>
  </si>
  <si>
    <t>민성기
차장</t>
    <phoneticPr fontId="0" type="noConversion"/>
  </si>
  <si>
    <t>개발 ITEM
SAMPLE 제출 준수율</t>
    <phoneticPr fontId="0" type="noConversion"/>
  </si>
  <si>
    <t>고객 요구일자 / 제출일자</t>
    <phoneticPr fontId="0" type="noConversion"/>
  </si>
  <si>
    <t>영업관리</t>
    <phoneticPr fontId="0" type="noConversion"/>
  </si>
  <si>
    <t>납기 준수율</t>
  </si>
  <si>
    <t xml:space="preserve">(출하수량/출하요청수량) * 100 </t>
  </si>
  <si>
    <t>초과운임</t>
    <phoneticPr fontId="0" type="noConversion"/>
  </si>
  <si>
    <t>건수</t>
    <phoneticPr fontId="0" type="noConversion"/>
  </si>
  <si>
    <t>재고 회전율</t>
  </si>
  <si>
    <t xml:space="preserve">(출고량/재고량)*100 </t>
    <phoneticPr fontId="0" type="noConversion"/>
  </si>
  <si>
    <t>고객만족도</t>
  </si>
  <si>
    <t>고객만족 조사서or정기평가 (점)</t>
    <phoneticPr fontId="0" type="noConversion"/>
  </si>
  <si>
    <t>생산팀
DW-E-MP-01</t>
  </si>
  <si>
    <t>생산계획 대비 실적
(EA)</t>
    <phoneticPr fontId="0" type="noConversion"/>
  </si>
  <si>
    <t>생산팀</t>
    <phoneticPr fontId="0" type="noConversion"/>
  </si>
  <si>
    <t>조동문
부장</t>
    <phoneticPr fontId="0" type="noConversion"/>
  </si>
  <si>
    <t xml:space="preserve">(실적/계획) * 100 </t>
    <phoneticPr fontId="0" type="noConversion"/>
  </si>
  <si>
    <t>설비관리</t>
    <phoneticPr fontId="0" type="noConversion"/>
  </si>
  <si>
    <t>가동률</t>
    <phoneticPr fontId="0" type="noConversion"/>
  </si>
  <si>
    <t xml:space="preserve">(월 보전실적건수/월 보전
계획건수) *100 </t>
    <phoneticPr fontId="0" type="noConversion"/>
  </si>
  <si>
    <t>검사 및 시험</t>
    <phoneticPr fontId="0" type="noConversion"/>
  </si>
  <si>
    <t>공정 불량율(PPM)</t>
  </si>
  <si>
    <t>(총공정 불량수량 / 총공정
 생산수량) * 1000000</t>
    <phoneticPr fontId="0" type="noConversion"/>
  </si>
  <si>
    <t>구매관리</t>
    <phoneticPr fontId="0" type="noConversion"/>
  </si>
  <si>
    <t>공급 실적</t>
    <phoneticPr fontId="0" type="noConversion"/>
  </si>
  <si>
    <t>구매팀</t>
    <phoneticPr fontId="0" type="noConversion"/>
  </si>
  <si>
    <t xml:space="preserve">발주대비 납입율 
산출 및 분석 </t>
    <phoneticPr fontId="0" type="noConversion"/>
  </si>
  <si>
    <t>협력사 
정기평가 실적율</t>
    <phoneticPr fontId="0" type="noConversion"/>
  </si>
  <si>
    <t xml:space="preserve">(정기평가실적/
평가계획)*100 </t>
    <phoneticPr fontId="0" type="noConversion"/>
  </si>
  <si>
    <t>교육훈련</t>
    <phoneticPr fontId="0" type="noConversion"/>
  </si>
  <si>
    <t>교육계획 대비 실적</t>
  </si>
  <si>
    <t>교육계획 대비 실적(건)</t>
    <phoneticPr fontId="0" type="noConversion"/>
  </si>
  <si>
    <t>M&amp;C ELECTRONICS VINA Năm 2021</t>
  </si>
  <si>
    <t>Ms Hồng</t>
  </si>
  <si>
    <t>Tổng hợp năm 20</t>
  </si>
  <si>
    <t>Năm 2021</t>
  </si>
  <si>
    <t>Số lỗi ban hành (Dưới 10 lỗi )</t>
  </si>
  <si>
    <t>Doanh thu
(triệu won)</t>
  </si>
  <si>
    <t>Kết quả kiểm tra nội bộ</t>
  </si>
  <si>
    <t>Kế hoạch/ Thực tế</t>
  </si>
  <si>
    <t xml:space="preserve">(Số lượng NG/ Số lượng input) * 1000000 </t>
  </si>
  <si>
    <t xml:space="preserve">Công văn khách hàng CLAIM </t>
  </si>
  <si>
    <t xml:space="preserve">Số vụ lỗi phát sinh và tiếp nhận thông tin </t>
  </si>
  <si>
    <t>Số tiền phát sinh do hàng lỗi</t>
  </si>
  <si>
    <t xml:space="preserve">Số ITEM tiến hành phát triển
</t>
  </si>
  <si>
    <t xml:space="preserve">Ngày khách hàng yêu cầu/ Ngày submit mẫu  </t>
  </si>
  <si>
    <t>Bản điều tra độ hài lòng của khách hàng or đánh giá định kì (điểm)</t>
  </si>
  <si>
    <t xml:space="preserve">( Số lần bảo dướng thực tế của tháng/Số lần bảo dướng kế hoạch của tháng) *100 </t>
  </si>
  <si>
    <t>(Tổng số lượng lỗi công đoạn / tổng số lượng công đoạn sản xuất) * 1000000</t>
  </si>
  <si>
    <t>내부심사
부적합 발행건수</t>
    <phoneticPr fontId="0" type="noConversion"/>
  </si>
  <si>
    <t>내부심사
시정조치 완료율</t>
    <phoneticPr fontId="0" type="noConversion"/>
  </si>
  <si>
    <t>M&amp;C ELECTRONICS VINA Năm 2022</t>
  </si>
  <si>
    <t>NO</t>
    <phoneticPr fontId="3" type="noConversion"/>
  </si>
  <si>
    <t>Tổng hợp năm 21</t>
  </si>
  <si>
    <t>Năm 2022</t>
  </si>
  <si>
    <t>-</t>
    <phoneticPr fontId="3" type="noConversion"/>
  </si>
  <si>
    <t>(개선 건수 / 품질문제 건수) *100</t>
    <phoneticPr fontId="3" type="noConversion"/>
  </si>
  <si>
    <t>Lee
Jaeseok</t>
    <phoneticPr fontId="3" type="noConversion"/>
  </si>
  <si>
    <t>경영관리</t>
    <phoneticPr fontId="3" type="noConversion"/>
  </si>
  <si>
    <t>내부심사
부적합 발행건수</t>
    <phoneticPr fontId="3" type="noConversion"/>
  </si>
  <si>
    <t>김병관
차장</t>
    <phoneticPr fontId="3" type="noConversion"/>
  </si>
  <si>
    <t>발행건수 (10건 이하)</t>
    <phoneticPr fontId="3" type="noConversion"/>
  </si>
  <si>
    <t>내부심사
시정조치 완료율</t>
    <phoneticPr fontId="3" type="noConversion"/>
  </si>
  <si>
    <t xml:space="preserve">(시정조치 완료건수 /
부적합 발행건수) * 100 </t>
    <phoneticPr fontId="3" type="noConversion"/>
  </si>
  <si>
    <t>매출액
(백만원)</t>
    <phoneticPr fontId="3" type="noConversion"/>
  </si>
  <si>
    <t>경영지원</t>
    <phoneticPr fontId="3" type="noConversion"/>
  </si>
  <si>
    <t>매출이익
(백만원)</t>
    <phoneticPr fontId="3" type="noConversion"/>
  </si>
  <si>
    <t>관리팀</t>
    <phoneticPr fontId="3" type="noConversion"/>
  </si>
  <si>
    <t>(매출액 - 매출원가)=매출총이익</t>
    <phoneticPr fontId="3" type="noConversion"/>
  </si>
  <si>
    <t>영업이익
(%)</t>
    <phoneticPr fontId="3" type="noConversion"/>
  </si>
  <si>
    <t>최병윤
부장</t>
    <phoneticPr fontId="3" type="noConversion"/>
  </si>
  <si>
    <t>(매출총이익/매출액) *100</t>
    <phoneticPr fontId="3" type="noConversion"/>
  </si>
  <si>
    <t>심사팀</t>
    <phoneticPr fontId="3" type="noConversion"/>
  </si>
  <si>
    <t>계획 / 실적</t>
    <phoneticPr fontId="3" type="noConversion"/>
  </si>
  <si>
    <t>각부서</t>
    <phoneticPr fontId="3" type="noConversion"/>
  </si>
  <si>
    <t xml:space="preserve">고객불만
</t>
    <phoneticPr fontId="3" type="noConversion"/>
  </si>
  <si>
    <t>불량율
(PPM)</t>
    <phoneticPr fontId="3" type="noConversion"/>
  </si>
  <si>
    <t xml:space="preserve">(불량수량 / 투입수량) * 1000000 </t>
    <phoneticPr fontId="3" type="noConversion"/>
  </si>
  <si>
    <t>CLAIM
(건)</t>
    <phoneticPr fontId="3" type="noConversion"/>
  </si>
  <si>
    <t>영업팀</t>
    <phoneticPr fontId="3" type="noConversion"/>
  </si>
  <si>
    <t>이진호
부장</t>
    <phoneticPr fontId="3" type="noConversion"/>
  </si>
  <si>
    <t>고객 CLAIM 공문서</t>
    <phoneticPr fontId="3" type="noConversion"/>
  </si>
  <si>
    <t>품질팀</t>
    <phoneticPr fontId="3" type="noConversion"/>
  </si>
  <si>
    <t>부적합 발생 및 접수건수</t>
    <phoneticPr fontId="3" type="noConversion"/>
  </si>
  <si>
    <t>주요 품질 이슈 및 
개선진행률</t>
    <phoneticPr fontId="3" type="noConversion"/>
  </si>
  <si>
    <t>부적합 발생금액
(만원)</t>
    <phoneticPr fontId="3" type="noConversion"/>
  </si>
  <si>
    <t>부적합 발생 금액</t>
    <phoneticPr fontId="3" type="noConversion"/>
  </si>
  <si>
    <t>개발관리</t>
    <phoneticPr fontId="3" type="noConversion"/>
  </si>
  <si>
    <t>개발 ITEM 
진행 건수</t>
    <phoneticPr fontId="3" type="noConversion"/>
  </si>
  <si>
    <t>개발팀</t>
    <phoneticPr fontId="3" type="noConversion"/>
  </si>
  <si>
    <t>이재석
차장</t>
    <phoneticPr fontId="3" type="noConversion"/>
  </si>
  <si>
    <t>개발 ITEM
SAMPLE 제출 준수율</t>
    <phoneticPr fontId="3" type="noConversion"/>
  </si>
  <si>
    <t>고객 요구일자 / 제출일자</t>
    <phoneticPr fontId="3" type="noConversion"/>
  </si>
  <si>
    <t>영업관리</t>
    <phoneticPr fontId="3" type="noConversion"/>
  </si>
  <si>
    <t>초과운임</t>
    <phoneticPr fontId="3" type="noConversion"/>
  </si>
  <si>
    <t>건수</t>
    <phoneticPr fontId="3" type="noConversion"/>
  </si>
  <si>
    <t xml:space="preserve">(출고량/재고량)*100 </t>
    <phoneticPr fontId="3" type="noConversion"/>
  </si>
  <si>
    <t>고객만족 조사서or정기평가 (점)</t>
    <phoneticPr fontId="3" type="noConversion"/>
  </si>
  <si>
    <t>생산계획 대비 실적
(EA)</t>
    <phoneticPr fontId="3" type="noConversion"/>
  </si>
  <si>
    <t>생산팀</t>
    <phoneticPr fontId="3" type="noConversion"/>
  </si>
  <si>
    <t>조동문
부장</t>
    <phoneticPr fontId="3" type="noConversion"/>
  </si>
  <si>
    <t xml:space="preserve">(실적/계획) * 100 </t>
    <phoneticPr fontId="3" type="noConversion"/>
  </si>
  <si>
    <t>설비관리</t>
    <phoneticPr fontId="3" type="noConversion"/>
  </si>
  <si>
    <t>가동률</t>
    <phoneticPr fontId="3" type="noConversion"/>
  </si>
  <si>
    <t xml:space="preserve">(월 보전실적건수/월 보전
계획건수) *100 </t>
    <phoneticPr fontId="3" type="noConversion"/>
  </si>
  <si>
    <t>검사 및 시험</t>
    <phoneticPr fontId="3" type="noConversion"/>
  </si>
  <si>
    <t>(총공정 불량수량 / 총공정
 생산수량) * 1000000</t>
    <phoneticPr fontId="3" type="noConversion"/>
  </si>
  <si>
    <t>구매관리</t>
    <phoneticPr fontId="3" type="noConversion"/>
  </si>
  <si>
    <t>공급 실적</t>
    <phoneticPr fontId="3" type="noConversion"/>
  </si>
  <si>
    <t>구매팀</t>
    <phoneticPr fontId="3" type="noConversion"/>
  </si>
  <si>
    <t xml:space="preserve">발주대비 납입율 
산출 및 분석 </t>
    <phoneticPr fontId="3" type="noConversion"/>
  </si>
  <si>
    <t>협력사 
정기평가 실적율</t>
    <phoneticPr fontId="3" type="noConversion"/>
  </si>
  <si>
    <t xml:space="preserve">(정기평가실적/
평가계획)*100 </t>
    <phoneticPr fontId="3" type="noConversion"/>
  </si>
  <si>
    <t>교육훈련</t>
    <phoneticPr fontId="3" type="noConversion"/>
  </si>
  <si>
    <t>교육계획 대비 실적(건)</t>
    <phoneticPr fontId="3" type="noConversion"/>
  </si>
  <si>
    <t>Mr Duan</t>
  </si>
  <si>
    <t>M&amp;C ELECTRONICS VINA Năm 2023</t>
  </si>
  <si>
    <t>Mr Park</t>
  </si>
  <si>
    <t>Tổng hợp năm 22</t>
  </si>
  <si>
    <t>Năm 2023</t>
  </si>
  <si>
    <t>Park Seong Oh</t>
  </si>
  <si>
    <t>Nguyen Trang Nhung</t>
  </si>
  <si>
    <t>FANG YONGZE h</t>
  </si>
  <si>
    <t>Lee
Jaeseok</t>
  </si>
  <si>
    <t xml:space="preserve">FANG YONGZE </t>
  </si>
  <si>
    <t>Lee Bong Ki</t>
  </si>
  <si>
    <t>M&amp;C ELECTRONICS VINA Năm 2024</t>
  </si>
  <si>
    <t>Tổng hợp năm 23</t>
  </si>
  <si>
    <t>Năm 2024</t>
  </si>
  <si>
    <t>Koh Jin Suk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</si>
</sst>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[$-409]mmm&quot;-&quot;yy;@"/>
    <numFmt numFmtId="165" formatCode="_-* #,##0_-;\-* #,##0_-;_-* &quot;-&quot;_-;_-@_-"/>
    <numFmt numFmtId="166" formatCode="#,##0_ "/>
    <numFmt numFmtId="167" formatCode="0.0%"/>
    <numFmt numFmtId="168" formatCode="0_);[Red]\(0\)"/>
    <numFmt numFmtId="169" formatCode="_(* #,##0_);_(* \(#,##0\);_(* &quot;-&quot;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name val="HY헤드라인M"/>
      <family val="1"/>
      <charset val="129"/>
    </font>
    <font>
      <b/>
      <sz val="14"/>
      <name val="HY신명조"/>
      <family val="1"/>
      <charset val="129"/>
    </font>
    <font>
      <b/>
      <sz val="11"/>
      <name val="HY신명조"/>
      <family val="1"/>
      <charset val="129"/>
    </font>
    <font>
      <sz val="12"/>
      <color rgb="FF000000"/>
      <name val="-윤고딕320"/>
      <family val="1"/>
      <charset val="129"/>
    </font>
    <font>
      <sz val="11"/>
      <color rgb="FF000000"/>
      <name val="-윤고딕320"/>
      <family val="1"/>
      <charset val="129"/>
    </font>
    <font>
      <sz val="11"/>
      <name val="-윤고딕320"/>
      <family val="1"/>
      <charset val="129"/>
    </font>
    <font>
      <sz val="11"/>
      <name val="Century"/>
      <family val="1"/>
    </font>
    <font>
      <sz val="11"/>
      <color rgb="FFFF0000"/>
      <name val="-윤고딕320"/>
      <family val="1"/>
      <charset val="129"/>
    </font>
    <font>
      <sz val="10"/>
      <color rgb="FF000000"/>
      <name val="-윤고딕320"/>
      <family val="1"/>
      <charset val="129"/>
    </font>
    <font>
      <sz val="11"/>
      <color rgb="FF0000FF"/>
      <name val="-윤고딕320"/>
      <family val="1"/>
      <charset val="129"/>
    </font>
    <font>
      <sz val="11"/>
      <color theme="1"/>
      <name val="-윤고딕320"/>
      <family val="1"/>
      <charset val="129"/>
    </font>
    <font>
      <sz val="11"/>
      <color rgb="FF0033CC"/>
      <name val="-윤고딕320"/>
      <family val="1"/>
      <charset val="129"/>
    </font>
    <font>
      <sz val="8"/>
      <color rgb="FF05030D"/>
      <name val="-윤고딕320"/>
      <family val="1"/>
      <charset val="129"/>
    </font>
    <font>
      <sz val="8"/>
      <color rgb="FF000000"/>
      <name val="-윤고딕320"/>
      <family val="1"/>
      <charset val="129"/>
    </font>
    <font>
      <b/>
      <sz val="14"/>
      <name val="Times New Roman"/>
      <family val="1"/>
    </font>
    <font>
      <b/>
      <sz val="11"/>
      <name val="Times New Roman"/>
      <family val="1"/>
    </font>
    <font>
      <sz val="12"/>
      <name val="-윤고딕320"/>
      <family val="1"/>
      <charset val="129"/>
    </font>
    <font>
      <sz val="12"/>
      <name val="Calibri"/>
      <family val="2"/>
      <scheme val="minor"/>
    </font>
    <font>
      <sz val="12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2"/>
      <color rgb="FF000000"/>
      <name val="Arial"/>
      <family val="2"/>
    </font>
    <font>
      <sz val="11"/>
      <color rgb="FFFF0000"/>
      <name val="Arial"/>
      <family val="2"/>
    </font>
    <font>
      <sz val="10"/>
      <color rgb="FF000000"/>
      <name val="Arial"/>
      <family val="2"/>
    </font>
    <font>
      <sz val="11"/>
      <color rgb="FF0000FF"/>
      <name val="Arial"/>
      <family val="2"/>
    </font>
    <font>
      <sz val="11"/>
      <color rgb="FF000000"/>
      <name val="Arial"/>
      <family val="2"/>
    </font>
    <font>
      <sz val="11"/>
      <color rgb="FF0033CC"/>
      <name val="Arial"/>
      <family val="2"/>
    </font>
    <font>
      <sz val="14"/>
      <name val="HY헤드라인M"/>
      <family val="1"/>
      <charset val="129"/>
    </font>
    <font>
      <sz val="12"/>
      <color rgb="FFFF0000"/>
      <name val="-윤고딕320"/>
      <family val="1"/>
      <charset val="129"/>
    </font>
    <font>
      <sz val="12"/>
      <color rgb="FF0070C0"/>
      <name val="-윤고딕320"/>
      <family val="1"/>
      <charset val="129"/>
    </font>
    <font>
      <sz val="28"/>
      <color rgb="FFFF0000"/>
      <name val="Times New Roman"/>
      <family val="1"/>
    </font>
    <font>
      <sz val="28"/>
      <color rgb="FF0000FF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</fills>
  <borders count="10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thin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medium">
        <color indexed="64"/>
      </left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hair">
        <color indexed="64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indexed="64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3">
    <xf numFmtId="0" fontId="0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56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 shrinkToFit="1" readingOrder="1"/>
    </xf>
    <xf numFmtId="164" fontId="6" fillId="2" borderId="16" xfId="0" applyNumberFormat="1" applyFont="1" applyFill="1" applyBorder="1" applyAlignment="1">
      <alignment horizontal="center" vertical="center" shrinkToFit="1" readingOrder="1"/>
    </xf>
    <xf numFmtId="0" fontId="5" fillId="3" borderId="17" xfId="0" applyFont="1" applyFill="1" applyBorder="1" applyAlignment="1">
      <alignment horizontal="center" vertical="center" shrinkToFit="1" readingOrder="1"/>
    </xf>
    <xf numFmtId="0" fontId="9" fillId="0" borderId="20" xfId="0" applyFont="1" applyFill="1" applyBorder="1" applyAlignment="1">
      <alignment horizontal="center" vertical="center" shrinkToFit="1" readingOrder="1"/>
    </xf>
    <xf numFmtId="9" fontId="10" fillId="0" borderId="21" xfId="0" applyNumberFormat="1" applyFont="1" applyFill="1" applyBorder="1" applyAlignment="1">
      <alignment horizontal="center" vertical="center" shrinkToFit="1" readingOrder="1"/>
    </xf>
    <xf numFmtId="0" fontId="9" fillId="0" borderId="22" xfId="0" applyFont="1" applyFill="1" applyBorder="1" applyAlignment="1">
      <alignment horizontal="center" vertical="center" shrinkToFit="1" readingOrder="1"/>
    </xf>
    <xf numFmtId="0" fontId="9" fillId="0" borderId="23" xfId="0" applyFont="1" applyFill="1" applyBorder="1" applyAlignment="1">
      <alignment horizontal="center" vertical="center" shrinkToFit="1" readingOrder="1"/>
    </xf>
    <xf numFmtId="0" fontId="9" fillId="5" borderId="24" xfId="0" applyNumberFormat="1" applyFont="1" applyFill="1" applyBorder="1" applyAlignment="1">
      <alignment horizontal="center" vertical="center" shrinkToFit="1" readingOrder="1"/>
    </xf>
    <xf numFmtId="0" fontId="11" fillId="0" borderId="28" xfId="0" applyFont="1" applyFill="1" applyBorder="1" applyAlignment="1">
      <alignment horizontal="center" vertical="center" shrinkToFit="1" readingOrder="1"/>
    </xf>
    <xf numFmtId="9" fontId="10" fillId="0" borderId="29" xfId="0" applyNumberFormat="1" applyFont="1" applyFill="1" applyBorder="1" applyAlignment="1">
      <alignment horizontal="center" vertical="center" shrinkToFit="1" readingOrder="1"/>
    </xf>
    <xf numFmtId="0" fontId="11" fillId="0" borderId="30" xfId="0" applyFont="1" applyFill="1" applyBorder="1" applyAlignment="1">
      <alignment horizontal="center" vertical="center" shrinkToFit="1" readingOrder="1"/>
    </xf>
    <xf numFmtId="0" fontId="11" fillId="0" borderId="31" xfId="0" applyFont="1" applyFill="1" applyBorder="1" applyAlignment="1">
      <alignment horizontal="center" vertical="center" shrinkToFit="1" readingOrder="1"/>
    </xf>
    <xf numFmtId="0" fontId="11" fillId="5" borderId="24" xfId="0" applyNumberFormat="1" applyFont="1" applyFill="1" applyBorder="1" applyAlignment="1">
      <alignment horizontal="center" vertical="center" shrinkToFit="1" readingOrder="1"/>
    </xf>
    <xf numFmtId="9" fontId="7" fillId="5" borderId="32" xfId="0" applyNumberFormat="1" applyFont="1" applyFill="1" applyBorder="1" applyAlignment="1">
      <alignment horizontal="center" vertical="center" shrinkToFit="1" readingOrder="1"/>
    </xf>
    <xf numFmtId="9" fontId="10" fillId="5" borderId="33" xfId="0" applyNumberFormat="1" applyFont="1" applyFill="1" applyBorder="1" applyAlignment="1">
      <alignment horizontal="center" vertical="center" shrinkToFit="1" readingOrder="1"/>
    </xf>
    <xf numFmtId="9" fontId="7" fillId="5" borderId="34" xfId="0" applyNumberFormat="1" applyFont="1" applyFill="1" applyBorder="1" applyAlignment="1">
      <alignment horizontal="center" vertical="center" shrinkToFit="1" readingOrder="1"/>
    </xf>
    <xf numFmtId="9" fontId="7" fillId="5" borderId="35" xfId="0" applyNumberFormat="1" applyFont="1" applyFill="1" applyBorder="1" applyAlignment="1">
      <alignment horizontal="center" vertical="center" shrinkToFit="1" readingOrder="1"/>
    </xf>
    <xf numFmtId="165" fontId="9" fillId="5" borderId="40" xfId="0" applyNumberFormat="1" applyFont="1" applyFill="1" applyBorder="1" applyAlignment="1">
      <alignment horizontal="center" vertical="center" shrinkToFit="1" readingOrder="1"/>
    </xf>
    <xf numFmtId="166" fontId="12" fillId="0" borderId="20" xfId="0" applyNumberFormat="1" applyFont="1" applyFill="1" applyBorder="1" applyAlignment="1">
      <alignment horizontal="center" vertical="center" shrinkToFit="1" readingOrder="1"/>
    </xf>
    <xf numFmtId="166" fontId="11" fillId="0" borderId="28" xfId="0" applyNumberFormat="1" applyFont="1" applyFill="1" applyBorder="1" applyAlignment="1">
      <alignment horizontal="center" vertical="center" shrinkToFit="1" readingOrder="1"/>
    </xf>
    <xf numFmtId="166" fontId="11" fillId="0" borderId="30" xfId="0" applyNumberFormat="1" applyFont="1" applyFill="1" applyBorder="1" applyAlignment="1">
      <alignment horizontal="center" vertical="center" shrinkToFit="1" readingOrder="1"/>
    </xf>
    <xf numFmtId="166" fontId="11" fillId="0" borderId="31" xfId="0" applyNumberFormat="1" applyFont="1" applyFill="1" applyBorder="1" applyAlignment="1">
      <alignment horizontal="center" vertical="center" shrinkToFit="1" readingOrder="1"/>
    </xf>
    <xf numFmtId="165" fontId="11" fillId="5" borderId="41" xfId="0" applyNumberFormat="1" applyFont="1" applyFill="1" applyBorder="1" applyAlignment="1">
      <alignment horizontal="center" vertical="center" shrinkToFit="1" readingOrder="1"/>
    </xf>
    <xf numFmtId="166" fontId="9" fillId="0" borderId="22" xfId="0" applyNumberFormat="1" applyFont="1" applyFill="1" applyBorder="1" applyAlignment="1">
      <alignment horizontal="center" vertical="center" shrinkToFit="1" readingOrder="1"/>
    </xf>
    <xf numFmtId="166" fontId="9" fillId="0" borderId="23" xfId="0" applyNumberFormat="1" applyFont="1" applyFill="1" applyBorder="1" applyAlignment="1">
      <alignment horizontal="center" vertical="center" shrinkToFit="1" readingOrder="1"/>
    </xf>
    <xf numFmtId="10" fontId="9" fillId="0" borderId="22" xfId="0" applyNumberFormat="1" applyFont="1" applyFill="1" applyBorder="1" applyAlignment="1">
      <alignment horizontal="center" vertical="center" shrinkToFit="1" readingOrder="1"/>
    </xf>
    <xf numFmtId="10" fontId="9" fillId="0" borderId="23" xfId="0" applyNumberFormat="1" applyFont="1" applyFill="1" applyBorder="1" applyAlignment="1">
      <alignment horizontal="center" vertical="center" shrinkToFit="1" readingOrder="1"/>
    </xf>
    <xf numFmtId="167" fontId="9" fillId="5" borderId="40" xfId="0" applyNumberFormat="1" applyFont="1" applyFill="1" applyBorder="1" applyAlignment="1">
      <alignment horizontal="center" vertical="center" shrinkToFit="1" readingOrder="1"/>
    </xf>
    <xf numFmtId="10" fontId="11" fillId="0" borderId="28" xfId="0" applyNumberFormat="1" applyFont="1" applyFill="1" applyBorder="1" applyAlignment="1">
      <alignment horizontal="center" vertical="center" shrinkToFit="1" readingOrder="1"/>
    </xf>
    <xf numFmtId="10" fontId="11" fillId="0" borderId="30" xfId="0" applyNumberFormat="1" applyFont="1" applyFill="1" applyBorder="1" applyAlignment="1">
      <alignment horizontal="center" vertical="center" shrinkToFit="1" readingOrder="1"/>
    </xf>
    <xf numFmtId="10" fontId="11" fillId="0" borderId="31" xfId="0" applyNumberFormat="1" applyFont="1" applyFill="1" applyBorder="1" applyAlignment="1">
      <alignment horizontal="center" vertical="center" shrinkToFit="1" readingOrder="1"/>
    </xf>
    <xf numFmtId="167" fontId="11" fillId="5" borderId="40" xfId="0" applyNumberFormat="1" applyFont="1" applyFill="1" applyBorder="1" applyAlignment="1">
      <alignment horizontal="center" vertical="center" shrinkToFit="1" readingOrder="1"/>
    </xf>
    <xf numFmtId="0" fontId="9" fillId="4" borderId="20" xfId="0" applyFont="1" applyFill="1" applyBorder="1" applyAlignment="1">
      <alignment horizontal="center" vertical="center" shrinkToFit="1" readingOrder="1"/>
    </xf>
    <xf numFmtId="0" fontId="9" fillId="0" borderId="43" xfId="0" applyFont="1" applyFill="1" applyBorder="1" applyAlignment="1">
      <alignment horizontal="center" vertical="center" shrinkToFit="1" readingOrder="1"/>
    </xf>
    <xf numFmtId="9" fontId="7" fillId="5" borderId="36" xfId="0" applyNumberFormat="1" applyFont="1" applyFill="1" applyBorder="1" applyAlignment="1">
      <alignment horizontal="center" vertical="center" shrinkToFit="1" readingOrder="1"/>
    </xf>
    <xf numFmtId="9" fontId="7" fillId="5" borderId="44" xfId="0" applyNumberFormat="1" applyFont="1" applyFill="1" applyBorder="1" applyAlignment="1">
      <alignment horizontal="center" vertical="center" shrinkToFit="1" readingOrder="1"/>
    </xf>
    <xf numFmtId="0" fontId="9" fillId="0" borderId="45" xfId="0" applyFont="1" applyFill="1" applyBorder="1" applyAlignment="1">
      <alignment horizontal="center" vertical="center" shrinkToFit="1" readingOrder="1"/>
    </xf>
    <xf numFmtId="0" fontId="9" fillId="0" borderId="46" xfId="0" applyFont="1" applyFill="1" applyBorder="1" applyAlignment="1">
      <alignment horizontal="center" vertical="center" shrinkToFit="1" readingOrder="1"/>
    </xf>
    <xf numFmtId="9" fontId="7" fillId="5" borderId="47" xfId="0" applyNumberFormat="1" applyFont="1" applyFill="1" applyBorder="1" applyAlignment="1">
      <alignment horizontal="center" vertical="center" shrinkToFit="1" readingOrder="1"/>
    </xf>
    <xf numFmtId="9" fontId="7" fillId="5" borderId="48" xfId="0" applyNumberFormat="1" applyFont="1" applyFill="1" applyBorder="1" applyAlignment="1">
      <alignment horizontal="center" vertical="center" shrinkToFit="1" readingOrder="1"/>
    </xf>
    <xf numFmtId="9" fontId="7" fillId="5" borderId="49" xfId="0" applyNumberFormat="1" applyFont="1" applyFill="1" applyBorder="1" applyAlignment="1">
      <alignment horizontal="center" vertical="center" shrinkToFit="1" readingOrder="1"/>
    </xf>
    <xf numFmtId="9" fontId="7" fillId="5" borderId="50" xfId="0" applyNumberFormat="1" applyFont="1" applyFill="1" applyBorder="1" applyAlignment="1">
      <alignment horizontal="center" vertical="center" shrinkToFit="1" readingOrder="1"/>
    </xf>
    <xf numFmtId="165" fontId="9" fillId="4" borderId="53" xfId="0" applyNumberFormat="1" applyFont="1" applyFill="1" applyBorder="1" applyAlignment="1">
      <alignment horizontal="center" vertical="center" shrinkToFit="1" readingOrder="1"/>
    </xf>
    <xf numFmtId="165" fontId="9" fillId="5" borderId="54" xfId="0" applyNumberFormat="1" applyFont="1" applyFill="1" applyBorder="1" applyAlignment="1">
      <alignment horizontal="center" vertical="center" shrinkToFit="1" readingOrder="1"/>
    </xf>
    <xf numFmtId="165" fontId="11" fillId="4" borderId="28" xfId="0" applyNumberFormat="1" applyFont="1" applyFill="1" applyBorder="1" applyAlignment="1">
      <alignment horizontal="center" vertical="center" shrinkToFit="1" readingOrder="1"/>
    </xf>
    <xf numFmtId="165" fontId="9" fillId="4" borderId="22" xfId="0" applyNumberFormat="1" applyFont="1" applyFill="1" applyBorder="1" applyAlignment="1">
      <alignment horizontal="center" vertical="center" shrinkToFit="1" readingOrder="1"/>
    </xf>
    <xf numFmtId="165" fontId="11" fillId="4" borderId="30" xfId="0" applyNumberFormat="1" applyFont="1" applyFill="1" applyBorder="1" applyAlignment="1">
      <alignment vertical="center" shrinkToFit="1" readingOrder="1"/>
    </xf>
    <xf numFmtId="0" fontId="11" fillId="4" borderId="28" xfId="0" applyFont="1" applyFill="1" applyBorder="1" applyAlignment="1">
      <alignment horizontal="center" vertical="center" shrinkToFit="1" readingOrder="1"/>
    </xf>
    <xf numFmtId="165" fontId="11" fillId="4" borderId="30" xfId="0" applyNumberFormat="1" applyFont="1" applyFill="1" applyBorder="1" applyAlignment="1">
      <alignment horizontal="center" vertical="center" shrinkToFit="1" readingOrder="1"/>
    </xf>
    <xf numFmtId="9" fontId="7" fillId="5" borderId="55" xfId="0" applyNumberFormat="1" applyFont="1" applyFill="1" applyBorder="1" applyAlignment="1">
      <alignment horizontal="center" vertical="center" shrinkToFit="1" readingOrder="1"/>
    </xf>
    <xf numFmtId="165" fontId="9" fillId="4" borderId="20" xfId="0" applyNumberFormat="1" applyFont="1" applyFill="1" applyBorder="1" applyAlignment="1">
      <alignment horizontal="center" vertical="center" shrinkToFit="1" readingOrder="1"/>
    </xf>
    <xf numFmtId="165" fontId="9" fillId="5" borderId="24" xfId="0" applyNumberFormat="1" applyFont="1" applyFill="1" applyBorder="1" applyAlignment="1">
      <alignment horizontal="center" vertical="center" shrinkToFit="1" readingOrder="1"/>
    </xf>
    <xf numFmtId="165" fontId="11" fillId="5" borderId="24" xfId="0" applyNumberFormat="1" applyFont="1" applyFill="1" applyBorder="1" applyAlignment="1">
      <alignment horizontal="center" vertical="center" shrinkToFit="1" readingOrder="1"/>
    </xf>
    <xf numFmtId="9" fontId="7" fillId="5" borderId="58" xfId="0" applyNumberFormat="1" applyFont="1" applyFill="1" applyBorder="1" applyAlignment="1">
      <alignment horizontal="center" vertical="center" shrinkToFit="1" readingOrder="1"/>
    </xf>
    <xf numFmtId="9" fontId="7" fillId="5" borderId="59" xfId="0" applyNumberFormat="1" applyFont="1" applyFill="1" applyBorder="1" applyAlignment="1">
      <alignment horizontal="center" vertical="center" shrinkToFit="1" readingOrder="1"/>
    </xf>
    <xf numFmtId="9" fontId="7" fillId="5" borderId="60" xfId="0" applyNumberFormat="1" applyFont="1" applyFill="1" applyBorder="1" applyAlignment="1">
      <alignment horizontal="center" vertical="center" shrinkToFit="1" readingOrder="1"/>
    </xf>
    <xf numFmtId="165" fontId="9" fillId="0" borderId="43" xfId="0" applyNumberFormat="1" applyFont="1" applyFill="1" applyBorder="1" applyAlignment="1">
      <alignment horizontal="center" vertical="center" shrinkToFit="1" readingOrder="1"/>
    </xf>
    <xf numFmtId="165" fontId="9" fillId="0" borderId="45" xfId="0" applyNumberFormat="1" applyFont="1" applyFill="1" applyBorder="1" applyAlignment="1">
      <alignment horizontal="center" vertical="center" shrinkToFit="1" readingOrder="1"/>
    </xf>
    <xf numFmtId="165" fontId="9" fillId="0" borderId="46" xfId="0" applyNumberFormat="1" applyFont="1" applyFill="1" applyBorder="1" applyAlignment="1">
      <alignment horizontal="center" vertical="center" shrinkToFit="1" readingOrder="1"/>
    </xf>
    <xf numFmtId="165" fontId="11" fillId="0" borderId="28" xfId="0" applyNumberFormat="1" applyFont="1" applyFill="1" applyBorder="1" applyAlignment="1">
      <alignment horizontal="center" vertical="center" shrinkToFit="1" readingOrder="1"/>
    </xf>
    <xf numFmtId="165" fontId="11" fillId="0" borderId="30" xfId="0" applyNumberFormat="1" applyFont="1" applyFill="1" applyBorder="1" applyAlignment="1">
      <alignment horizontal="center" vertical="center" shrinkToFit="1" readingOrder="1"/>
    </xf>
    <xf numFmtId="165" fontId="11" fillId="0" borderId="31" xfId="0" applyNumberFormat="1" applyFont="1" applyFill="1" applyBorder="1" applyAlignment="1">
      <alignment horizontal="center" vertical="center" shrinkToFit="1" readingOrder="1"/>
    </xf>
    <xf numFmtId="9" fontId="7" fillId="5" borderId="61" xfId="0" applyNumberFormat="1" applyFont="1" applyFill="1" applyBorder="1" applyAlignment="1">
      <alignment horizontal="center" vertical="center" shrinkToFit="1" readingOrder="1"/>
    </xf>
    <xf numFmtId="165" fontId="9" fillId="0" borderId="20" xfId="0" applyNumberFormat="1" applyFont="1" applyFill="1" applyBorder="1" applyAlignment="1">
      <alignment horizontal="center" vertical="center" shrinkToFit="1" readingOrder="1"/>
    </xf>
    <xf numFmtId="165" fontId="9" fillId="0" borderId="22" xfId="0" applyNumberFormat="1" applyFont="1" applyFill="1" applyBorder="1" applyAlignment="1">
      <alignment horizontal="center" vertical="center" shrinkToFit="1" readingOrder="1"/>
    </xf>
    <xf numFmtId="165" fontId="13" fillId="0" borderId="28" xfId="0" applyNumberFormat="1" applyFont="1" applyFill="1" applyBorder="1" applyAlignment="1">
      <alignment horizontal="center" vertical="center" shrinkToFit="1" readingOrder="1"/>
    </xf>
    <xf numFmtId="165" fontId="13" fillId="0" borderId="30" xfId="0" applyNumberFormat="1" applyFont="1" applyFill="1" applyBorder="1" applyAlignment="1">
      <alignment horizontal="center" vertical="center" shrinkToFit="1" readingOrder="1"/>
    </xf>
    <xf numFmtId="165" fontId="13" fillId="0" borderId="31" xfId="0" applyNumberFormat="1" applyFont="1" applyFill="1" applyBorder="1" applyAlignment="1">
      <alignment horizontal="center" vertical="center" shrinkToFit="1" readingOrder="1"/>
    </xf>
    <xf numFmtId="165" fontId="13" fillId="5" borderId="24" xfId="0" applyNumberFormat="1" applyFont="1" applyFill="1" applyBorder="1" applyAlignment="1">
      <alignment horizontal="center" vertical="center" shrinkToFit="1" readingOrder="1"/>
    </xf>
    <xf numFmtId="9" fontId="7" fillId="5" borderId="56" xfId="0" applyNumberFormat="1" applyFont="1" applyFill="1" applyBorder="1" applyAlignment="1">
      <alignment horizontal="center" vertical="center" shrinkToFit="1" readingOrder="1"/>
    </xf>
    <xf numFmtId="9" fontId="7" fillId="5" borderId="57" xfId="0" applyNumberFormat="1" applyFont="1" applyFill="1" applyBorder="1" applyAlignment="1">
      <alignment horizontal="center" vertical="center" shrinkToFit="1" readingOrder="1"/>
    </xf>
    <xf numFmtId="9" fontId="7" fillId="5" borderId="64" xfId="0" applyNumberFormat="1" applyFont="1" applyFill="1" applyBorder="1" applyAlignment="1">
      <alignment horizontal="center" vertical="center" shrinkToFit="1" readingOrder="1"/>
    </xf>
    <xf numFmtId="165" fontId="9" fillId="0" borderId="68" xfId="0" applyNumberFormat="1" applyFont="1" applyFill="1" applyBorder="1" applyAlignment="1">
      <alignment horizontal="center" vertical="center" shrinkToFit="1" readingOrder="1"/>
    </xf>
    <xf numFmtId="168" fontId="9" fillId="5" borderId="69" xfId="0" applyNumberFormat="1" applyFont="1" applyFill="1" applyBorder="1" applyAlignment="1">
      <alignment horizontal="center" vertical="center" shrinkToFit="1" readingOrder="1"/>
    </xf>
    <xf numFmtId="168" fontId="13" fillId="5" borderId="24" xfId="0" applyNumberFormat="1" applyFont="1" applyFill="1" applyBorder="1" applyAlignment="1">
      <alignment horizontal="center" vertical="center" shrinkToFit="1" readingOrder="1"/>
    </xf>
    <xf numFmtId="9" fontId="7" fillId="5" borderId="71" xfId="0" applyNumberFormat="1" applyFont="1" applyFill="1" applyBorder="1" applyAlignment="1">
      <alignment horizontal="center" vertical="center" shrinkToFit="1" readingOrder="1"/>
    </xf>
    <xf numFmtId="0" fontId="9" fillId="5" borderId="40" xfId="0" applyNumberFormat="1" applyFont="1" applyFill="1" applyBorder="1" applyAlignment="1">
      <alignment horizontal="center" vertical="center" shrinkToFit="1" readingOrder="1"/>
    </xf>
    <xf numFmtId="0" fontId="13" fillId="0" borderId="28" xfId="0" applyFont="1" applyFill="1" applyBorder="1" applyAlignment="1">
      <alignment horizontal="center" vertical="center" shrinkToFit="1" readingOrder="1"/>
    </xf>
    <xf numFmtId="0" fontId="13" fillId="0" borderId="30" xfId="0" applyFont="1" applyFill="1" applyBorder="1" applyAlignment="1">
      <alignment horizontal="center" vertical="center" shrinkToFit="1" readingOrder="1"/>
    </xf>
    <xf numFmtId="0" fontId="13" fillId="0" borderId="31" xfId="0" applyFont="1" applyFill="1" applyBorder="1" applyAlignment="1">
      <alignment horizontal="center" vertical="center" shrinkToFit="1" readingOrder="1"/>
    </xf>
    <xf numFmtId="0" fontId="13" fillId="5" borderId="24" xfId="0" applyNumberFormat="1" applyFont="1" applyFill="1" applyBorder="1" applyAlignment="1">
      <alignment horizontal="center" vertical="center" shrinkToFit="1" readingOrder="1"/>
    </xf>
    <xf numFmtId="41" fontId="9" fillId="4" borderId="20" xfId="1" applyFont="1" applyFill="1" applyBorder="1" applyAlignment="1">
      <alignment horizontal="center" vertical="center" shrinkToFit="1" readingOrder="1"/>
    </xf>
    <xf numFmtId="41" fontId="9" fillId="0" borderId="20" xfId="1" applyFont="1" applyFill="1" applyBorder="1" applyAlignment="1">
      <alignment horizontal="center" vertical="center" shrinkToFit="1" readingOrder="1"/>
    </xf>
    <xf numFmtId="168" fontId="9" fillId="5" borderId="24" xfId="0" applyNumberFormat="1" applyFont="1" applyFill="1" applyBorder="1" applyAlignment="1">
      <alignment horizontal="center" vertical="center" shrinkToFit="1" readingOrder="1"/>
    </xf>
    <xf numFmtId="0" fontId="9" fillId="0" borderId="53" xfId="0" applyFont="1" applyFill="1" applyBorder="1" applyAlignment="1">
      <alignment horizontal="center" vertical="center" shrinkToFit="1" readingOrder="1"/>
    </xf>
    <xf numFmtId="0" fontId="9" fillId="5" borderId="69" xfId="0" applyNumberFormat="1" applyFont="1" applyFill="1" applyBorder="1" applyAlignment="1">
      <alignment horizontal="center" vertical="center" shrinkToFit="1" readingOrder="1"/>
    </xf>
    <xf numFmtId="165" fontId="9" fillId="0" borderId="53" xfId="0" applyNumberFormat="1" applyFont="1" applyFill="1" applyBorder="1" applyAlignment="1">
      <alignment horizontal="center" vertical="center" shrinkToFit="1" readingOrder="1"/>
    </xf>
    <xf numFmtId="165" fontId="9" fillId="5" borderId="74" xfId="0" applyNumberFormat="1" applyFont="1" applyFill="1" applyBorder="1" applyAlignment="1">
      <alignment horizontal="center" vertical="center" shrinkToFit="1" readingOrder="1"/>
    </xf>
    <xf numFmtId="165" fontId="11" fillId="5" borderId="75" xfId="0" applyNumberFormat="1" applyFont="1" applyFill="1" applyBorder="1" applyAlignment="1">
      <alignment horizontal="center" vertical="center" shrinkToFit="1" readingOrder="1"/>
    </xf>
    <xf numFmtId="9" fontId="9" fillId="4" borderId="43" xfId="0" applyNumberFormat="1" applyFont="1" applyFill="1" applyBorder="1" applyAlignment="1">
      <alignment horizontal="center" vertical="center" shrinkToFit="1" readingOrder="1"/>
    </xf>
    <xf numFmtId="9" fontId="9" fillId="0" borderId="43" xfId="0" applyNumberFormat="1" applyFont="1" applyFill="1" applyBorder="1" applyAlignment="1">
      <alignment horizontal="center" vertical="center" shrinkToFit="1" readingOrder="1"/>
    </xf>
    <xf numFmtId="9" fontId="9" fillId="0" borderId="53" xfId="0" applyNumberFormat="1" applyFont="1" applyFill="1" applyBorder="1" applyAlignment="1">
      <alignment horizontal="center" vertical="center" shrinkToFit="1" readingOrder="1"/>
    </xf>
    <xf numFmtId="9" fontId="9" fillId="0" borderId="51" xfId="0" applyNumberFormat="1" applyFont="1" applyFill="1" applyBorder="1" applyAlignment="1">
      <alignment horizontal="center" vertical="center" shrinkToFit="1" readingOrder="1"/>
    </xf>
    <xf numFmtId="9" fontId="9" fillId="0" borderId="52" xfId="0" applyNumberFormat="1" applyFont="1" applyFill="1" applyBorder="1" applyAlignment="1">
      <alignment horizontal="center" vertical="center" shrinkToFit="1" readingOrder="1"/>
    </xf>
    <xf numFmtId="9" fontId="9" fillId="5" borderId="69" xfId="0" applyNumberFormat="1" applyFont="1" applyFill="1" applyBorder="1" applyAlignment="1">
      <alignment horizontal="center" vertical="center" shrinkToFit="1" readingOrder="1"/>
    </xf>
    <xf numFmtId="9" fontId="11" fillId="0" borderId="28" xfId="0" applyNumberFormat="1" applyFont="1" applyFill="1" applyBorder="1" applyAlignment="1">
      <alignment horizontal="center" vertical="center" shrinkToFit="1" readingOrder="1"/>
    </xf>
    <xf numFmtId="9" fontId="11" fillId="5" borderId="24" xfId="0" applyNumberFormat="1" applyFont="1" applyFill="1" applyBorder="1" applyAlignment="1">
      <alignment horizontal="center" vertical="center" shrinkToFit="1" readingOrder="1"/>
    </xf>
    <xf numFmtId="9" fontId="10" fillId="0" borderId="33" xfId="0" applyNumberFormat="1" applyFont="1" applyFill="1" applyBorder="1" applyAlignment="1">
      <alignment horizontal="center" vertical="center" shrinkToFit="1" readingOrder="1"/>
    </xf>
    <xf numFmtId="9" fontId="10" fillId="5" borderId="76" xfId="0" applyNumberFormat="1" applyFont="1" applyFill="1" applyBorder="1" applyAlignment="1">
      <alignment horizontal="center" vertical="center" shrinkToFit="1" readingOrder="1"/>
    </xf>
    <xf numFmtId="3" fontId="14" fillId="0" borderId="0" xfId="0" applyNumberFormat="1" applyFont="1" applyBorder="1" applyAlignment="1">
      <alignment horizontal="center" vertical="center" wrapText="1" readingOrder="1"/>
    </xf>
    <xf numFmtId="3" fontId="15" fillId="0" borderId="0" xfId="0" applyNumberFormat="1" applyFont="1" applyBorder="1" applyAlignment="1">
      <alignment horizontal="center" vertical="center" wrapText="1" readingOrder="1"/>
    </xf>
    <xf numFmtId="0" fontId="16" fillId="0" borderId="1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164" fontId="7" fillId="2" borderId="16" xfId="0" applyNumberFormat="1" applyFont="1" applyFill="1" applyBorder="1" applyAlignment="1">
      <alignment horizontal="center" vertical="center" shrinkToFit="1" readingOrder="1"/>
    </xf>
    <xf numFmtId="0" fontId="18" fillId="3" borderId="17" xfId="0" applyFont="1" applyFill="1" applyBorder="1" applyAlignment="1">
      <alignment horizontal="center" vertical="center" shrinkToFit="1" readingOrder="1"/>
    </xf>
    <xf numFmtId="165" fontId="9" fillId="0" borderId="40" xfId="0" applyNumberFormat="1" applyFont="1" applyFill="1" applyBorder="1" applyAlignment="1">
      <alignment horizontal="center" vertical="center" shrinkToFit="1" readingOrder="1"/>
    </xf>
    <xf numFmtId="0" fontId="0" fillId="0" borderId="0" xfId="0" applyFill="1" applyAlignment="1">
      <alignment vertical="center"/>
    </xf>
    <xf numFmtId="165" fontId="11" fillId="0" borderId="41" xfId="0" applyNumberFormat="1" applyFont="1" applyFill="1" applyBorder="1" applyAlignment="1">
      <alignment horizontal="center" vertical="center" shrinkToFit="1" readingOrder="1"/>
    </xf>
    <xf numFmtId="0" fontId="9" fillId="0" borderId="20" xfId="0" applyFont="1" applyFill="1" applyBorder="1" applyAlignment="1">
      <alignment vertical="center" shrinkToFit="1" readingOrder="1"/>
    </xf>
    <xf numFmtId="0" fontId="13" fillId="0" borderId="28" xfId="0" applyFont="1" applyFill="1" applyBorder="1" applyAlignment="1">
      <alignment vertical="center" shrinkToFit="1" readingOrder="1"/>
    </xf>
    <xf numFmtId="1" fontId="13" fillId="0" borderId="28" xfId="0" applyNumberFormat="1" applyFont="1" applyFill="1" applyBorder="1" applyAlignment="1">
      <alignment horizontal="right" vertical="center" shrinkToFit="1" readingOrder="1"/>
    </xf>
    <xf numFmtId="1" fontId="13" fillId="0" borderId="30" xfId="0" applyNumberFormat="1" applyFont="1" applyFill="1" applyBorder="1" applyAlignment="1">
      <alignment horizontal="right" vertical="center" shrinkToFit="1" readingOrder="1"/>
    </xf>
    <xf numFmtId="1" fontId="13" fillId="0" borderId="31" xfId="0" applyNumberFormat="1" applyFont="1" applyFill="1" applyBorder="1" applyAlignment="1">
      <alignment horizontal="right" vertical="center" shrinkToFit="1" readingOrder="1"/>
    </xf>
    <xf numFmtId="0" fontId="9" fillId="0" borderId="51" xfId="0" applyFont="1" applyFill="1" applyBorder="1" applyAlignment="1">
      <alignment horizontal="center" vertical="center" shrinkToFit="1" readingOrder="1"/>
    </xf>
    <xf numFmtId="165" fontId="11" fillId="6" borderId="30" xfId="0" applyNumberFormat="1" applyFont="1" applyFill="1" applyBorder="1" applyAlignment="1">
      <alignment horizontal="center" vertical="center" shrinkToFit="1" readingOrder="1"/>
    </xf>
    <xf numFmtId="165" fontId="11" fillId="6" borderId="31" xfId="0" applyNumberFormat="1" applyFont="1" applyFill="1" applyBorder="1" applyAlignment="1">
      <alignment horizontal="center" vertical="center" shrinkToFit="1" readingOrder="1"/>
    </xf>
    <xf numFmtId="9" fontId="10" fillId="0" borderId="81" xfId="0" applyNumberFormat="1" applyFont="1" applyFill="1" applyBorder="1" applyAlignment="1">
      <alignment horizontal="center" vertical="center" shrinkToFit="1" readingOrder="1"/>
    </xf>
    <xf numFmtId="43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166" fontId="9" fillId="0" borderId="20" xfId="0" applyNumberFormat="1" applyFont="1" applyFill="1" applyBorder="1" applyAlignment="1">
      <alignment horizontal="center" vertical="center" shrinkToFit="1" readingOrder="1"/>
    </xf>
    <xf numFmtId="10" fontId="9" fillId="0" borderId="20" xfId="0" applyNumberFormat="1" applyFont="1" applyFill="1" applyBorder="1" applyAlignment="1">
      <alignment horizontal="center" vertical="center" shrinkToFit="1" readingOrder="1"/>
    </xf>
    <xf numFmtId="0" fontId="18" fillId="3" borderId="15" xfId="0" applyFont="1" applyFill="1" applyBorder="1" applyAlignment="1">
      <alignment horizontal="center" vertical="center" shrinkToFit="1" readingOrder="1"/>
    </xf>
    <xf numFmtId="1" fontId="13" fillId="0" borderId="28" xfId="0" applyNumberFormat="1" applyFont="1" applyFill="1" applyBorder="1" applyAlignment="1">
      <alignment horizontal="center" vertical="center" shrinkToFit="1" readingOrder="1"/>
    </xf>
    <xf numFmtId="1" fontId="13" fillId="0" borderId="30" xfId="0" applyNumberFormat="1" applyFont="1" applyFill="1" applyBorder="1" applyAlignment="1">
      <alignment horizontal="center" vertical="center" shrinkToFit="1" readingOrder="1"/>
    </xf>
    <xf numFmtId="169" fontId="11" fillId="0" borderId="30" xfId="0" applyNumberFormat="1" applyFont="1" applyFill="1" applyBorder="1" applyAlignment="1">
      <alignment horizontal="center" vertical="center" shrinkToFit="1" readingOrder="1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vertical="center"/>
    </xf>
    <xf numFmtId="0" fontId="17" fillId="0" borderId="100" xfId="0" applyFont="1" applyBorder="1" applyAlignment="1">
      <alignment vertical="center"/>
    </xf>
    <xf numFmtId="165" fontId="9" fillId="4" borderId="21" xfId="0" applyNumberFormat="1" applyFont="1" applyFill="1" applyBorder="1" applyAlignment="1">
      <alignment horizontal="center" vertical="center" shrinkToFit="1" readingOrder="1"/>
    </xf>
    <xf numFmtId="0" fontId="20" fillId="2" borderId="3" xfId="0" applyFont="1" applyFill="1" applyBorder="1" applyAlignment="1">
      <alignment horizontal="center" vertical="center" wrapText="1" readingOrder="1"/>
    </xf>
    <xf numFmtId="0" fontId="20" fillId="2" borderId="4" xfId="0" applyFont="1" applyFill="1" applyBorder="1" applyAlignment="1">
      <alignment horizontal="center" vertical="center" wrapText="1" readingOrder="1"/>
    </xf>
    <xf numFmtId="0" fontId="20" fillId="2" borderId="5" xfId="0" applyFont="1" applyFill="1" applyBorder="1" applyAlignment="1">
      <alignment horizontal="center" vertical="center" wrapText="1" readingOrder="1"/>
    </xf>
    <xf numFmtId="0" fontId="20" fillId="2" borderId="8" xfId="0" applyFont="1" applyFill="1" applyBorder="1" applyAlignment="1">
      <alignment horizontal="center" vertical="center" shrinkToFit="1" readingOrder="1"/>
    </xf>
    <xf numFmtId="0" fontId="20" fillId="2" borderId="4" xfId="0" applyFont="1" applyFill="1" applyBorder="1" applyAlignment="1">
      <alignment horizontal="center" vertical="center" shrinkToFit="1" readingOrder="1"/>
    </xf>
    <xf numFmtId="0" fontId="20" fillId="2" borderId="9" xfId="0" applyFont="1" applyFill="1" applyBorder="1" applyAlignment="1">
      <alignment horizontal="center" vertical="center" shrinkToFit="1" readingOrder="1"/>
    </xf>
    <xf numFmtId="0" fontId="20" fillId="2" borderId="10" xfId="0" applyFont="1" applyFill="1" applyBorder="1" applyAlignment="1">
      <alignment horizontal="center" vertical="center" wrapText="1" readingOrder="1"/>
    </xf>
    <xf numFmtId="0" fontId="20" fillId="2" borderId="11" xfId="0" applyFont="1" applyFill="1" applyBorder="1" applyAlignment="1">
      <alignment horizontal="center" vertical="center" wrapText="1" readingOrder="1"/>
    </xf>
    <xf numFmtId="0" fontId="20" fillId="2" borderId="27" xfId="0" applyFont="1" applyFill="1" applyBorder="1" applyAlignment="1">
      <alignment horizontal="center" vertical="center" wrapText="1" readingOrder="1"/>
    </xf>
    <xf numFmtId="0" fontId="20" fillId="3" borderId="15" xfId="0" applyFont="1" applyFill="1" applyBorder="1" applyAlignment="1">
      <alignment horizontal="center" vertical="center" shrinkToFit="1" readingOrder="1"/>
    </xf>
    <xf numFmtId="164" fontId="22" fillId="2" borderId="16" xfId="0" applyNumberFormat="1" applyFont="1" applyFill="1" applyBorder="1" applyAlignment="1">
      <alignment horizontal="center" vertical="center" shrinkToFit="1" readingOrder="1"/>
    </xf>
    <xf numFmtId="0" fontId="20" fillId="3" borderId="17" xfId="0" applyFont="1" applyFill="1" applyBorder="1" applyAlignment="1">
      <alignment horizontal="center" vertical="center" shrinkToFit="1" readingOrder="1"/>
    </xf>
    <xf numFmtId="0" fontId="24" fillId="0" borderId="20" xfId="0" applyFont="1" applyFill="1" applyBorder="1" applyAlignment="1">
      <alignment horizontal="center" vertical="center" shrinkToFit="1" readingOrder="1"/>
    </xf>
    <xf numFmtId="9" fontId="25" fillId="0" borderId="21" xfId="0" applyNumberFormat="1" applyFont="1" applyFill="1" applyBorder="1" applyAlignment="1">
      <alignment horizontal="center" vertical="center" shrinkToFit="1" readingOrder="1"/>
    </xf>
    <xf numFmtId="0" fontId="24" fillId="0" borderId="22" xfId="0" applyFont="1" applyFill="1" applyBorder="1" applyAlignment="1">
      <alignment horizontal="center" vertical="center" shrinkToFit="1" readingOrder="1"/>
    </xf>
    <xf numFmtId="0" fontId="24" fillId="5" borderId="24" xfId="0" applyNumberFormat="1" applyFont="1" applyFill="1" applyBorder="1" applyAlignment="1">
      <alignment horizontal="center" vertical="center" shrinkToFit="1" readingOrder="1"/>
    </xf>
    <xf numFmtId="0" fontId="26" fillId="0" borderId="28" xfId="0" applyFont="1" applyFill="1" applyBorder="1" applyAlignment="1">
      <alignment horizontal="center" vertical="center" shrinkToFit="1" readingOrder="1"/>
    </xf>
    <xf numFmtId="9" fontId="25" fillId="0" borderId="29" xfId="0" applyNumberFormat="1" applyFont="1" applyFill="1" applyBorder="1" applyAlignment="1">
      <alignment horizontal="center" vertical="center" shrinkToFit="1" readingOrder="1"/>
    </xf>
    <xf numFmtId="0" fontId="26" fillId="0" borderId="30" xfId="0" applyFont="1" applyFill="1" applyBorder="1" applyAlignment="1">
      <alignment horizontal="center" vertical="center" shrinkToFit="1" readingOrder="1"/>
    </xf>
    <xf numFmtId="0" fontId="26" fillId="0" borderId="31" xfId="0" applyFont="1" applyFill="1" applyBorder="1" applyAlignment="1">
      <alignment horizontal="center" vertical="center" shrinkToFit="1" readingOrder="1"/>
    </xf>
    <xf numFmtId="0" fontId="26" fillId="5" borderId="24" xfId="0" applyNumberFormat="1" applyFont="1" applyFill="1" applyBorder="1" applyAlignment="1">
      <alignment horizontal="center" vertical="center" shrinkToFit="1" readingOrder="1"/>
    </xf>
    <xf numFmtId="9" fontId="22" fillId="5" borderId="32" xfId="0" applyNumberFormat="1" applyFont="1" applyFill="1" applyBorder="1" applyAlignment="1">
      <alignment horizontal="center" vertical="center" shrinkToFit="1" readingOrder="1"/>
    </xf>
    <xf numFmtId="9" fontId="25" fillId="5" borderId="33" xfId="0" applyNumberFormat="1" applyFont="1" applyFill="1" applyBorder="1" applyAlignment="1">
      <alignment horizontal="center" vertical="center" shrinkToFit="1" readingOrder="1"/>
    </xf>
    <xf numFmtId="9" fontId="22" fillId="5" borderId="34" xfId="0" applyNumberFormat="1" applyFont="1" applyFill="1" applyBorder="1" applyAlignment="1">
      <alignment horizontal="center" vertical="center" shrinkToFit="1" readingOrder="1"/>
    </xf>
    <xf numFmtId="9" fontId="22" fillId="5" borderId="35" xfId="0" applyNumberFormat="1" applyFont="1" applyFill="1" applyBorder="1" applyAlignment="1">
      <alignment horizontal="center" vertical="center" shrinkToFit="1" readingOrder="1"/>
    </xf>
    <xf numFmtId="0" fontId="24" fillId="0" borderId="23" xfId="0" applyFont="1" applyFill="1" applyBorder="1" applyAlignment="1">
      <alignment horizontal="center" vertical="center" shrinkToFit="1" readingOrder="1"/>
    </xf>
    <xf numFmtId="166" fontId="21" fillId="0" borderId="20" xfId="0" applyNumberFormat="1" applyFont="1" applyFill="1" applyBorder="1" applyAlignment="1">
      <alignment horizontal="center" vertical="center" shrinkToFit="1" readingOrder="1"/>
    </xf>
    <xf numFmtId="166" fontId="24" fillId="0" borderId="20" xfId="0" applyNumberFormat="1" applyFont="1" applyFill="1" applyBorder="1" applyAlignment="1">
      <alignment horizontal="center" vertical="center" shrinkToFit="1" readingOrder="1"/>
    </xf>
    <xf numFmtId="165" fontId="24" fillId="5" borderId="40" xfId="0" applyNumberFormat="1" applyFont="1" applyFill="1" applyBorder="1" applyAlignment="1">
      <alignment horizontal="center" vertical="center" shrinkToFit="1" readingOrder="1"/>
    </xf>
    <xf numFmtId="166" fontId="26" fillId="0" borderId="28" xfId="0" applyNumberFormat="1" applyFont="1" applyFill="1" applyBorder="1" applyAlignment="1">
      <alignment horizontal="center" vertical="center" shrinkToFit="1" readingOrder="1"/>
    </xf>
    <xf numFmtId="166" fontId="26" fillId="0" borderId="30" xfId="0" applyNumberFormat="1" applyFont="1" applyFill="1" applyBorder="1" applyAlignment="1">
      <alignment horizontal="center" vertical="center" shrinkToFit="1" readingOrder="1"/>
    </xf>
    <xf numFmtId="166" fontId="26" fillId="0" borderId="31" xfId="0" applyNumberFormat="1" applyFont="1" applyFill="1" applyBorder="1" applyAlignment="1">
      <alignment horizontal="center" vertical="center" shrinkToFit="1" readingOrder="1"/>
    </xf>
    <xf numFmtId="165" fontId="26" fillId="5" borderId="41" xfId="0" applyNumberFormat="1" applyFont="1" applyFill="1" applyBorder="1" applyAlignment="1">
      <alignment horizontal="center" vertical="center" shrinkToFit="1" readingOrder="1"/>
    </xf>
    <xf numFmtId="166" fontId="24" fillId="0" borderId="22" xfId="0" applyNumberFormat="1" applyFont="1" applyFill="1" applyBorder="1" applyAlignment="1">
      <alignment horizontal="center" vertical="center" shrinkToFit="1" readingOrder="1"/>
    </xf>
    <xf numFmtId="166" fontId="24" fillId="0" borderId="23" xfId="0" applyNumberFormat="1" applyFont="1" applyFill="1" applyBorder="1" applyAlignment="1">
      <alignment horizontal="center" vertical="center" shrinkToFit="1" readingOrder="1"/>
    </xf>
    <xf numFmtId="10" fontId="24" fillId="0" borderId="20" xfId="0" applyNumberFormat="1" applyFont="1" applyFill="1" applyBorder="1" applyAlignment="1">
      <alignment horizontal="center" vertical="center" shrinkToFit="1" readingOrder="1"/>
    </xf>
    <xf numFmtId="10" fontId="24" fillId="0" borderId="22" xfId="0" applyNumberFormat="1" applyFont="1" applyFill="1" applyBorder="1" applyAlignment="1">
      <alignment horizontal="center" vertical="center" shrinkToFit="1" readingOrder="1"/>
    </xf>
    <xf numFmtId="10" fontId="24" fillId="0" borderId="23" xfId="0" applyNumberFormat="1" applyFont="1" applyFill="1" applyBorder="1" applyAlignment="1">
      <alignment horizontal="center" vertical="center" shrinkToFit="1" readingOrder="1"/>
    </xf>
    <xf numFmtId="167" fontId="24" fillId="5" borderId="40" xfId="0" applyNumberFormat="1" applyFont="1" applyFill="1" applyBorder="1" applyAlignment="1">
      <alignment horizontal="center" vertical="center" shrinkToFit="1" readingOrder="1"/>
    </xf>
    <xf numFmtId="10" fontId="26" fillId="0" borderId="28" xfId="0" applyNumberFormat="1" applyFont="1" applyFill="1" applyBorder="1" applyAlignment="1">
      <alignment horizontal="center" vertical="center" shrinkToFit="1" readingOrder="1"/>
    </xf>
    <xf numFmtId="10" fontId="26" fillId="0" borderId="30" xfId="0" applyNumberFormat="1" applyFont="1" applyFill="1" applyBorder="1" applyAlignment="1">
      <alignment horizontal="center" vertical="center" shrinkToFit="1" readingOrder="1"/>
    </xf>
    <xf numFmtId="10" fontId="26" fillId="0" borderId="31" xfId="0" applyNumberFormat="1" applyFont="1" applyFill="1" applyBorder="1" applyAlignment="1">
      <alignment horizontal="center" vertical="center" shrinkToFit="1" readingOrder="1"/>
    </xf>
    <xf numFmtId="167" fontId="26" fillId="5" borderId="40" xfId="0" applyNumberFormat="1" applyFont="1" applyFill="1" applyBorder="1" applyAlignment="1">
      <alignment horizontal="center" vertical="center" shrinkToFit="1" readingOrder="1"/>
    </xf>
    <xf numFmtId="0" fontId="24" fillId="0" borderId="43" xfId="0" applyFont="1" applyFill="1" applyBorder="1" applyAlignment="1">
      <alignment horizontal="center" vertical="center" shrinkToFit="1" readingOrder="1"/>
    </xf>
    <xf numFmtId="9" fontId="22" fillId="5" borderId="36" xfId="0" applyNumberFormat="1" applyFont="1" applyFill="1" applyBorder="1" applyAlignment="1">
      <alignment horizontal="center" vertical="center" shrinkToFit="1" readingOrder="1"/>
    </xf>
    <xf numFmtId="9" fontId="22" fillId="5" borderId="44" xfId="0" applyNumberFormat="1" applyFont="1" applyFill="1" applyBorder="1" applyAlignment="1">
      <alignment horizontal="center" vertical="center" shrinkToFit="1" readingOrder="1"/>
    </xf>
    <xf numFmtId="0" fontId="24" fillId="0" borderId="45" xfId="0" applyFont="1" applyFill="1" applyBorder="1" applyAlignment="1">
      <alignment horizontal="center" vertical="center" shrinkToFit="1" readingOrder="1"/>
    </xf>
    <xf numFmtId="9" fontId="22" fillId="5" borderId="48" xfId="0" applyNumberFormat="1" applyFont="1" applyFill="1" applyBorder="1" applyAlignment="1">
      <alignment horizontal="center" vertical="center" shrinkToFit="1" readingOrder="1"/>
    </xf>
    <xf numFmtId="9" fontId="22" fillId="5" borderId="47" xfId="0" applyNumberFormat="1" applyFont="1" applyFill="1" applyBorder="1" applyAlignment="1">
      <alignment horizontal="center" vertical="center" shrinkToFit="1" readingOrder="1"/>
    </xf>
    <xf numFmtId="9" fontId="22" fillId="5" borderId="49" xfId="0" applyNumberFormat="1" applyFont="1" applyFill="1" applyBorder="1" applyAlignment="1">
      <alignment horizontal="center" vertical="center" shrinkToFit="1" readingOrder="1"/>
    </xf>
    <xf numFmtId="9" fontId="22" fillId="5" borderId="50" xfId="0" applyNumberFormat="1" applyFont="1" applyFill="1" applyBorder="1" applyAlignment="1">
      <alignment horizontal="center" vertical="center" shrinkToFit="1" readingOrder="1"/>
    </xf>
    <xf numFmtId="165" fontId="24" fillId="0" borderId="53" xfId="0" applyNumberFormat="1" applyFont="1" applyFill="1" applyBorder="1" applyAlignment="1">
      <alignment horizontal="center" vertical="center" shrinkToFit="1" readingOrder="1"/>
    </xf>
    <xf numFmtId="165" fontId="24" fillId="5" borderId="54" xfId="0" applyNumberFormat="1" applyFont="1" applyFill="1" applyBorder="1" applyAlignment="1">
      <alignment horizontal="center" vertical="center" shrinkToFit="1" readingOrder="1"/>
    </xf>
    <xf numFmtId="165" fontId="26" fillId="0" borderId="28" xfId="0" applyNumberFormat="1" applyFont="1" applyFill="1" applyBorder="1" applyAlignment="1">
      <alignment horizontal="center" vertical="center" shrinkToFit="1" readingOrder="1"/>
    </xf>
    <xf numFmtId="165" fontId="24" fillId="0" borderId="22" xfId="0" applyNumberFormat="1" applyFont="1" applyFill="1" applyBorder="1" applyAlignment="1">
      <alignment horizontal="center" vertical="center" shrinkToFit="1" readingOrder="1"/>
    </xf>
    <xf numFmtId="165" fontId="26" fillId="0" borderId="30" xfId="0" applyNumberFormat="1" applyFont="1" applyFill="1" applyBorder="1" applyAlignment="1">
      <alignment horizontal="center" vertical="center" shrinkToFit="1" readingOrder="1"/>
    </xf>
    <xf numFmtId="165" fontId="24" fillId="0" borderId="20" xfId="0" applyNumberFormat="1" applyFont="1" applyFill="1" applyBorder="1" applyAlignment="1">
      <alignment horizontal="center" vertical="center" shrinkToFit="1" readingOrder="1"/>
    </xf>
    <xf numFmtId="9" fontId="22" fillId="5" borderId="55" xfId="0" applyNumberFormat="1" applyFont="1" applyFill="1" applyBorder="1" applyAlignment="1">
      <alignment horizontal="center" vertical="center" shrinkToFit="1" readingOrder="1"/>
    </xf>
    <xf numFmtId="165" fontId="24" fillId="5" borderId="24" xfId="0" applyNumberFormat="1" applyFont="1" applyFill="1" applyBorder="1" applyAlignment="1">
      <alignment horizontal="center" vertical="center" shrinkToFit="1" readingOrder="1"/>
    </xf>
    <xf numFmtId="165" fontId="26" fillId="0" borderId="31" xfId="0" applyNumberFormat="1" applyFont="1" applyFill="1" applyBorder="1" applyAlignment="1">
      <alignment horizontal="center" vertical="center" shrinkToFit="1" readingOrder="1"/>
    </xf>
    <xf numFmtId="165" fontId="26" fillId="5" borderId="24" xfId="0" applyNumberFormat="1" applyFont="1" applyFill="1" applyBorder="1" applyAlignment="1">
      <alignment horizontal="center" vertical="center" shrinkToFit="1" readingOrder="1"/>
    </xf>
    <xf numFmtId="9" fontId="22" fillId="5" borderId="58" xfId="0" applyNumberFormat="1" applyFont="1" applyFill="1" applyBorder="1" applyAlignment="1">
      <alignment horizontal="center" vertical="center" shrinkToFit="1" readingOrder="1"/>
    </xf>
    <xf numFmtId="9" fontId="22" fillId="5" borderId="59" xfId="0" applyNumberFormat="1" applyFont="1" applyFill="1" applyBorder="1" applyAlignment="1">
      <alignment horizontal="center" vertical="center" shrinkToFit="1" readingOrder="1"/>
    </xf>
    <xf numFmtId="9" fontId="22" fillId="5" borderId="60" xfId="0" applyNumberFormat="1" applyFont="1" applyFill="1" applyBorder="1" applyAlignment="1">
      <alignment horizontal="center" vertical="center" shrinkToFit="1" readingOrder="1"/>
    </xf>
    <xf numFmtId="165" fontId="24" fillId="0" borderId="43" xfId="0" applyNumberFormat="1" applyFont="1" applyFill="1" applyBorder="1" applyAlignment="1">
      <alignment horizontal="center" vertical="center" shrinkToFit="1" readingOrder="1"/>
    </xf>
    <xf numFmtId="165" fontId="24" fillId="0" borderId="45" xfId="0" applyNumberFormat="1" applyFont="1" applyFill="1" applyBorder="1" applyAlignment="1">
      <alignment horizontal="center" vertical="center" shrinkToFit="1" readingOrder="1"/>
    </xf>
    <xf numFmtId="165" fontId="24" fillId="0" borderId="46" xfId="0" applyNumberFormat="1" applyFont="1" applyFill="1" applyBorder="1" applyAlignment="1">
      <alignment horizontal="center" vertical="center" shrinkToFit="1" readingOrder="1"/>
    </xf>
    <xf numFmtId="165" fontId="28" fillId="0" borderId="28" xfId="0" applyNumberFormat="1" applyFont="1" applyFill="1" applyBorder="1" applyAlignment="1">
      <alignment horizontal="center" vertical="center" shrinkToFit="1" readingOrder="1"/>
    </xf>
    <xf numFmtId="165" fontId="28" fillId="0" borderId="30" xfId="0" applyNumberFormat="1" applyFont="1" applyFill="1" applyBorder="1" applyAlignment="1">
      <alignment horizontal="center" vertical="center" shrinkToFit="1" readingOrder="1"/>
    </xf>
    <xf numFmtId="165" fontId="28" fillId="0" borderId="31" xfId="0" applyNumberFormat="1" applyFont="1" applyFill="1" applyBorder="1" applyAlignment="1">
      <alignment horizontal="center" vertical="center" shrinkToFit="1" readingOrder="1"/>
    </xf>
    <xf numFmtId="165" fontId="28" fillId="5" borderId="24" xfId="0" applyNumberFormat="1" applyFont="1" applyFill="1" applyBorder="1" applyAlignment="1">
      <alignment horizontal="center" vertical="center" shrinkToFit="1" readingOrder="1"/>
    </xf>
    <xf numFmtId="9" fontId="22" fillId="5" borderId="56" xfId="0" applyNumberFormat="1" applyFont="1" applyFill="1" applyBorder="1" applyAlignment="1">
      <alignment horizontal="center" vertical="center" shrinkToFit="1" readingOrder="1"/>
    </xf>
    <xf numFmtId="9" fontId="22" fillId="5" borderId="57" xfId="0" applyNumberFormat="1" applyFont="1" applyFill="1" applyBorder="1" applyAlignment="1">
      <alignment horizontal="center" vertical="center" shrinkToFit="1" readingOrder="1"/>
    </xf>
    <xf numFmtId="9" fontId="22" fillId="5" borderId="64" xfId="0" applyNumberFormat="1" applyFont="1" applyFill="1" applyBorder="1" applyAlignment="1">
      <alignment horizontal="center" vertical="center" shrinkToFit="1" readingOrder="1"/>
    </xf>
    <xf numFmtId="168" fontId="24" fillId="5" borderId="69" xfId="0" applyNumberFormat="1" applyFont="1" applyFill="1" applyBorder="1" applyAlignment="1">
      <alignment horizontal="center" vertical="center" shrinkToFit="1" readingOrder="1"/>
    </xf>
    <xf numFmtId="168" fontId="28" fillId="5" borderId="24" xfId="0" applyNumberFormat="1" applyFont="1" applyFill="1" applyBorder="1" applyAlignment="1">
      <alignment horizontal="center" vertical="center" shrinkToFit="1" readingOrder="1"/>
    </xf>
    <xf numFmtId="165" fontId="24" fillId="0" borderId="68" xfId="0" applyNumberFormat="1" applyFont="1" applyFill="1" applyBorder="1" applyAlignment="1">
      <alignment horizontal="center" vertical="center" shrinkToFit="1" readingOrder="1"/>
    </xf>
    <xf numFmtId="9" fontId="22" fillId="5" borderId="71" xfId="0" applyNumberFormat="1" applyFont="1" applyFill="1" applyBorder="1" applyAlignment="1">
      <alignment horizontal="center" vertical="center" shrinkToFit="1" readingOrder="1"/>
    </xf>
    <xf numFmtId="0" fontId="24" fillId="0" borderId="20" xfId="0" applyFont="1" applyFill="1" applyBorder="1" applyAlignment="1">
      <alignment vertical="center" shrinkToFit="1" readingOrder="1"/>
    </xf>
    <xf numFmtId="0" fontId="24" fillId="5" borderId="40" xfId="0" applyNumberFormat="1" applyFont="1" applyFill="1" applyBorder="1" applyAlignment="1">
      <alignment horizontal="center" vertical="center" shrinkToFit="1" readingOrder="1"/>
    </xf>
    <xf numFmtId="0" fontId="28" fillId="0" borderId="28" xfId="0" applyFont="1" applyFill="1" applyBorder="1" applyAlignment="1">
      <alignment vertical="center" shrinkToFit="1" readingOrder="1"/>
    </xf>
    <xf numFmtId="1" fontId="28" fillId="0" borderId="28" xfId="0" applyNumberFormat="1" applyFont="1" applyFill="1" applyBorder="1" applyAlignment="1">
      <alignment horizontal="center" vertical="center" shrinkToFit="1" readingOrder="1"/>
    </xf>
    <xf numFmtId="1" fontId="28" fillId="0" borderId="30" xfId="0" applyNumberFormat="1" applyFont="1" applyFill="1" applyBorder="1" applyAlignment="1">
      <alignment horizontal="center" vertical="center" shrinkToFit="1" readingOrder="1"/>
    </xf>
    <xf numFmtId="0" fontId="28" fillId="5" borderId="24" xfId="0" applyNumberFormat="1" applyFont="1" applyFill="1" applyBorder="1" applyAlignment="1">
      <alignment horizontal="center" vertical="center" shrinkToFit="1" readingOrder="1"/>
    </xf>
    <xf numFmtId="168" fontId="24" fillId="5" borderId="24" xfId="0" applyNumberFormat="1" applyFont="1" applyFill="1" applyBorder="1" applyAlignment="1">
      <alignment horizontal="center" vertical="center" shrinkToFit="1" readingOrder="1"/>
    </xf>
    <xf numFmtId="0" fontId="24" fillId="0" borderId="53" xfId="0" applyFont="1" applyFill="1" applyBorder="1" applyAlignment="1">
      <alignment horizontal="center" vertical="center" shrinkToFit="1" readingOrder="1"/>
    </xf>
    <xf numFmtId="0" fontId="24" fillId="5" borderId="69" xfId="0" applyNumberFormat="1" applyFont="1" applyFill="1" applyBorder="1" applyAlignment="1">
      <alignment horizontal="center" vertical="center" shrinkToFit="1" readingOrder="1"/>
    </xf>
    <xf numFmtId="165" fontId="24" fillId="5" borderId="74" xfId="0" applyNumberFormat="1" applyFont="1" applyFill="1" applyBorder="1" applyAlignment="1">
      <alignment horizontal="center" vertical="center" shrinkToFit="1" readingOrder="1"/>
    </xf>
    <xf numFmtId="169" fontId="26" fillId="0" borderId="30" xfId="0" applyNumberFormat="1" applyFont="1" applyFill="1" applyBorder="1" applyAlignment="1">
      <alignment horizontal="center" vertical="center" shrinkToFit="1" readingOrder="1"/>
    </xf>
    <xf numFmtId="165" fontId="26" fillId="5" borderId="75" xfId="0" applyNumberFormat="1" applyFont="1" applyFill="1" applyBorder="1" applyAlignment="1">
      <alignment horizontal="center" vertical="center" shrinkToFit="1" readingOrder="1"/>
    </xf>
    <xf numFmtId="9" fontId="22" fillId="5" borderId="61" xfId="0" applyNumberFormat="1" applyFont="1" applyFill="1" applyBorder="1" applyAlignment="1">
      <alignment horizontal="center" vertical="center" shrinkToFit="1" readingOrder="1"/>
    </xf>
    <xf numFmtId="9" fontId="24" fillId="0" borderId="53" xfId="0" applyNumberFormat="1" applyFont="1" applyFill="1" applyBorder="1" applyAlignment="1">
      <alignment horizontal="center" vertical="center" shrinkToFit="1" readingOrder="1"/>
    </xf>
    <xf numFmtId="9" fontId="24" fillId="0" borderId="51" xfId="0" applyNumberFormat="1" applyFont="1" applyFill="1" applyBorder="1" applyAlignment="1">
      <alignment horizontal="center" vertical="center" shrinkToFit="1" readingOrder="1"/>
    </xf>
    <xf numFmtId="9" fontId="24" fillId="5" borderId="69" xfId="0" applyNumberFormat="1" applyFont="1" applyFill="1" applyBorder="1" applyAlignment="1">
      <alignment horizontal="center" vertical="center" shrinkToFit="1" readingOrder="1"/>
    </xf>
    <xf numFmtId="9" fontId="26" fillId="0" borderId="28" xfId="0" applyNumberFormat="1" applyFont="1" applyFill="1" applyBorder="1" applyAlignment="1">
      <alignment horizontal="center" vertical="center" shrinkToFit="1" readingOrder="1"/>
    </xf>
    <xf numFmtId="9" fontId="26" fillId="5" borderId="24" xfId="0" applyNumberFormat="1" applyFont="1" applyFill="1" applyBorder="1" applyAlignment="1">
      <alignment horizontal="center" vertical="center" shrinkToFit="1" readingOrder="1"/>
    </xf>
    <xf numFmtId="9" fontId="25" fillId="0" borderId="33" xfId="0" applyNumberFormat="1" applyFont="1" applyFill="1" applyBorder="1" applyAlignment="1">
      <alignment horizontal="center" vertical="center" shrinkToFit="1" readingOrder="1"/>
    </xf>
    <xf numFmtId="9" fontId="25" fillId="5" borderId="76" xfId="0" applyNumberFormat="1" applyFont="1" applyFill="1" applyBorder="1" applyAlignment="1">
      <alignment horizontal="center" vertical="center" shrinkToFit="1" readingOrder="1"/>
    </xf>
    <xf numFmtId="9" fontId="24" fillId="0" borderId="43" xfId="0" applyNumberFormat="1" applyFont="1" applyFill="1" applyBorder="1" applyAlignment="1">
      <alignment horizontal="center" vertical="center" shrinkToFit="1" readingOrder="1"/>
    </xf>
    <xf numFmtId="9" fontId="25" fillId="0" borderId="81" xfId="0" applyNumberFormat="1" applyFont="1" applyFill="1" applyBorder="1" applyAlignment="1">
      <alignment horizontal="center" vertical="center" shrinkToFit="1" readingOrder="1"/>
    </xf>
    <xf numFmtId="0" fontId="24" fillId="0" borderId="51" xfId="0" applyNumberFormat="1" applyFont="1" applyFill="1" applyBorder="1" applyAlignment="1">
      <alignment horizontal="center" vertical="center" shrinkToFit="1" readingOrder="1"/>
    </xf>
    <xf numFmtId="0" fontId="26" fillId="0" borderId="28" xfId="0" applyNumberFormat="1" applyFont="1" applyFill="1" applyBorder="1" applyAlignment="1">
      <alignment horizontal="center" vertical="center" shrinkToFit="1" readingOrder="1"/>
    </xf>
    <xf numFmtId="0" fontId="29" fillId="0" borderId="0" xfId="0" applyFont="1" applyAlignment="1">
      <alignment vertical="center"/>
    </xf>
    <xf numFmtId="165" fontId="30" fillId="4" borderId="21" xfId="0" applyNumberFormat="1" applyFont="1" applyFill="1" applyBorder="1" applyAlignment="1">
      <alignment horizontal="center" vertical="center" shrinkToFit="1" readingOrder="1"/>
    </xf>
    <xf numFmtId="165" fontId="30" fillId="5" borderId="40" xfId="0" applyNumberFormat="1" applyFont="1" applyFill="1" applyBorder="1" applyAlignment="1">
      <alignment horizontal="center" vertical="center" shrinkToFit="1" readingOrder="1"/>
    </xf>
    <xf numFmtId="165" fontId="31" fillId="4" borderId="21" xfId="0" applyNumberFormat="1" applyFont="1" applyFill="1" applyBorder="1" applyAlignment="1">
      <alignment horizontal="center" vertical="center" shrinkToFit="1" readingOrder="1"/>
    </xf>
    <xf numFmtId="165" fontId="31" fillId="5" borderId="40" xfId="0" applyNumberFormat="1" applyFont="1" applyFill="1" applyBorder="1" applyAlignment="1">
      <alignment horizontal="center" vertical="center" shrinkToFit="1" readingOrder="1"/>
    </xf>
    <xf numFmtId="169" fontId="9" fillId="5" borderId="24" xfId="2" applyNumberFormat="1" applyFont="1" applyFill="1" applyBorder="1" applyAlignment="1">
      <alignment horizontal="center" vertical="center" shrinkToFit="1" readingOrder="1"/>
    </xf>
    <xf numFmtId="169" fontId="11" fillId="5" borderId="24" xfId="2" applyNumberFormat="1" applyFont="1" applyFill="1" applyBorder="1" applyAlignment="1">
      <alignment horizontal="center" vertical="center" shrinkToFit="1" readingOrder="1"/>
    </xf>
    <xf numFmtId="165" fontId="32" fillId="5" borderId="40" xfId="0" applyNumberFormat="1" applyFont="1" applyFill="1" applyBorder="1" applyAlignment="1">
      <alignment horizontal="center" vertical="center" shrinkToFit="1" readingOrder="1"/>
    </xf>
    <xf numFmtId="165" fontId="33" fillId="5" borderId="41" xfId="0" applyNumberFormat="1" applyFont="1" applyFill="1" applyBorder="1" applyAlignment="1">
      <alignment horizontal="center" vertical="center" shrinkToFit="1" readingOrder="1"/>
    </xf>
    <xf numFmtId="0" fontId="5" fillId="2" borderId="3" xfId="0" applyFont="1" applyFill="1" applyBorder="1" applyAlignment="1">
      <alignment horizontal="center" vertical="center" wrapText="1" readingOrder="1"/>
    </xf>
    <xf numFmtId="0" fontId="5" fillId="2" borderId="10" xfId="0" applyFont="1" applyFill="1" applyBorder="1" applyAlignment="1">
      <alignment horizontal="center" vertical="center" wrapText="1" readingOrder="1"/>
    </xf>
    <xf numFmtId="0" fontId="5" fillId="2" borderId="4" xfId="0" applyFont="1" applyFill="1" applyBorder="1" applyAlignment="1">
      <alignment horizontal="center" vertical="center" wrapText="1" readingOrder="1"/>
    </xf>
    <xf numFmtId="0" fontId="5" fillId="2" borderId="11" xfId="0" applyFont="1" applyFill="1" applyBorder="1" applyAlignment="1">
      <alignment horizontal="center" vertical="center" wrapText="1" readingOrder="1"/>
    </xf>
    <xf numFmtId="0" fontId="5" fillId="2" borderId="5" xfId="0" applyFont="1" applyFill="1" applyBorder="1" applyAlignment="1">
      <alignment horizontal="center" vertical="center" wrapText="1" readingOrder="1"/>
    </xf>
    <xf numFmtId="0" fontId="5" fillId="2" borderId="27" xfId="0" applyFont="1" applyFill="1" applyBorder="1" applyAlignment="1">
      <alignment horizontal="center" vertical="center" wrapText="1" readingOrder="1"/>
    </xf>
    <xf numFmtId="0" fontId="5" fillId="2" borderId="8" xfId="0" applyFont="1" applyFill="1" applyBorder="1" applyAlignment="1">
      <alignment horizontal="center" vertical="center" shrinkToFit="1" readingOrder="1"/>
    </xf>
    <xf numFmtId="0" fontId="5" fillId="2" borderId="4" xfId="0" applyFont="1" applyFill="1" applyBorder="1" applyAlignment="1">
      <alignment horizontal="center" vertical="center" shrinkToFit="1" readingOrder="1"/>
    </xf>
    <xf numFmtId="0" fontId="5" fillId="2" borderId="9" xfId="0" applyFont="1" applyFill="1" applyBorder="1" applyAlignment="1">
      <alignment horizontal="center" vertical="center" shrinkToFit="1" readingOrder="1"/>
    </xf>
    <xf numFmtId="0" fontId="5" fillId="2" borderId="25" xfId="0" applyFont="1" applyFill="1" applyBorder="1" applyAlignment="1">
      <alignment horizontal="center" vertical="center" wrapText="1" readingOrder="1"/>
    </xf>
    <xf numFmtId="0" fontId="7" fillId="0" borderId="4" xfId="0" applyFont="1" applyBorder="1" applyAlignment="1">
      <alignment horizontal="center" vertical="center" wrapText="1" readingOrder="1"/>
    </xf>
    <xf numFmtId="0" fontId="7" fillId="0" borderId="26" xfId="0" applyFont="1" applyBorder="1" applyAlignment="1">
      <alignment horizontal="center" vertical="center" wrapText="1" readingOrder="1"/>
    </xf>
    <xf numFmtId="0" fontId="7" fillId="4" borderId="18" xfId="0" applyFont="1" applyFill="1" applyBorder="1" applyAlignment="1">
      <alignment horizontal="center" vertical="center" wrapText="1" readingOrder="1"/>
    </xf>
    <xf numFmtId="0" fontId="7" fillId="4" borderId="26" xfId="0" applyFont="1" applyFill="1" applyBorder="1" applyAlignment="1">
      <alignment horizontal="center" vertical="center" wrapText="1" readingOrder="1"/>
    </xf>
    <xf numFmtId="0" fontId="7" fillId="0" borderId="18" xfId="0" applyFont="1" applyBorder="1" applyAlignment="1">
      <alignment horizontal="center" vertical="center" wrapText="1" readingOrder="1"/>
    </xf>
    <xf numFmtId="0" fontId="7" fillId="0" borderId="19" xfId="0" applyFont="1" applyBorder="1" applyAlignment="1">
      <alignment horizontal="center" vertical="center" wrapText="1" readingOrder="1"/>
    </xf>
    <xf numFmtId="0" fontId="7" fillId="0" borderId="27" xfId="0" applyFont="1" applyBorder="1" applyAlignment="1">
      <alignment horizontal="center" vertical="center" wrapText="1" readingOrder="1"/>
    </xf>
    <xf numFmtId="0" fontId="7" fillId="0" borderId="86" xfId="0" applyFont="1" applyBorder="1" applyAlignment="1">
      <alignment horizontal="center" vertical="center" wrapText="1" readingOrder="1"/>
    </xf>
    <xf numFmtId="0" fontId="7" fillId="0" borderId="87" xfId="0" applyFont="1" applyBorder="1" applyAlignment="1">
      <alignment horizontal="center" vertical="center" wrapText="1" readingOrder="1"/>
    </xf>
    <xf numFmtId="0" fontId="7" fillId="4" borderId="22" xfId="0" applyFont="1" applyFill="1" applyBorder="1" applyAlignment="1">
      <alignment horizontal="center" vertical="center" wrapText="1" readingOrder="1"/>
    </xf>
    <xf numFmtId="0" fontId="7" fillId="4" borderId="30" xfId="0" applyFont="1" applyFill="1" applyBorder="1" applyAlignment="1">
      <alignment horizontal="center" vertical="center" wrapText="1" readingOrder="1"/>
    </xf>
    <xf numFmtId="0" fontId="7" fillId="4" borderId="36" xfId="0" applyFont="1" applyFill="1" applyBorder="1" applyAlignment="1">
      <alignment horizontal="center" vertical="center" wrapText="1" readingOrder="1"/>
    </xf>
    <xf numFmtId="0" fontId="7" fillId="0" borderId="88" xfId="0" applyFont="1" applyBorder="1" applyAlignment="1">
      <alignment horizontal="center" vertical="center" wrapText="1" readingOrder="1"/>
    </xf>
    <xf numFmtId="0" fontId="7" fillId="0" borderId="89" xfId="0" applyFont="1" applyBorder="1" applyAlignment="1">
      <alignment horizontal="center" vertical="center" wrapText="1" readingOrder="1"/>
    </xf>
    <xf numFmtId="0" fontId="7" fillId="0" borderId="38" xfId="0" applyFont="1" applyBorder="1" applyAlignment="1">
      <alignment horizontal="center" vertical="center" wrapText="1" readingOrder="1"/>
    </xf>
    <xf numFmtId="0" fontId="7" fillId="0" borderId="42" xfId="0" applyFont="1" applyBorder="1" applyAlignment="1">
      <alignment horizontal="center" vertical="center" wrapText="1" readingOrder="1"/>
    </xf>
    <xf numFmtId="0" fontId="7" fillId="0" borderId="39" xfId="0" applyFont="1" applyBorder="1" applyAlignment="1">
      <alignment horizontal="center" vertical="center" wrapText="1" readingOrder="1"/>
    </xf>
    <xf numFmtId="0" fontId="7" fillId="0" borderId="90" xfId="0" applyFont="1" applyBorder="1" applyAlignment="1">
      <alignment horizontal="center" vertical="center" wrapText="1" readingOrder="1"/>
    </xf>
    <xf numFmtId="0" fontId="5" fillId="2" borderId="6" xfId="0" applyFont="1" applyFill="1" applyBorder="1" applyAlignment="1">
      <alignment horizontal="center" vertical="center" wrapText="1" readingOrder="1"/>
    </xf>
    <xf numFmtId="0" fontId="5" fillId="2" borderId="13" xfId="0" applyFont="1" applyFill="1" applyBorder="1" applyAlignment="1">
      <alignment horizontal="center" vertical="center" wrapText="1" readingOrder="1"/>
    </xf>
    <xf numFmtId="0" fontId="5" fillId="2" borderId="7" xfId="0" applyFont="1" applyFill="1" applyBorder="1" applyAlignment="1">
      <alignment horizontal="center" vertical="center" wrapText="1" readingOrder="1"/>
    </xf>
    <xf numFmtId="0" fontId="0" fillId="0" borderId="14" xfId="0" applyBorder="1" applyAlignment="1">
      <alignment horizontal="center" vertical="center" wrapText="1" readingOrder="1"/>
    </xf>
    <xf numFmtId="0" fontId="7" fillId="4" borderId="38" xfId="0" applyFont="1" applyFill="1" applyBorder="1" applyAlignment="1">
      <alignment horizontal="center" vertical="center" wrapText="1" readingOrder="1"/>
    </xf>
    <xf numFmtId="0" fontId="7" fillId="0" borderId="12" xfId="0" applyFont="1" applyBorder="1" applyAlignment="1">
      <alignment horizontal="center" vertical="center" wrapText="1" readingOrder="1"/>
    </xf>
    <xf numFmtId="0" fontId="7" fillId="4" borderId="19" xfId="0" applyFont="1" applyFill="1" applyBorder="1" applyAlignment="1">
      <alignment horizontal="center" vertical="center" wrapText="1" readingOrder="1"/>
    </xf>
    <xf numFmtId="0" fontId="7" fillId="4" borderId="27" xfId="0" applyFont="1" applyFill="1" applyBorder="1" applyAlignment="1">
      <alignment horizontal="center" vertical="center" wrapText="1" readingOrder="1"/>
    </xf>
    <xf numFmtId="0" fontId="7" fillId="4" borderId="37" xfId="0" applyFont="1" applyFill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7" fillId="0" borderId="22" xfId="0" applyFont="1" applyBorder="1" applyAlignment="1">
      <alignment horizontal="center" vertical="center" wrapText="1" readingOrder="1"/>
    </xf>
    <xf numFmtId="0" fontId="7" fillId="0" borderId="45" xfId="0" applyFont="1" applyBorder="1" applyAlignment="1">
      <alignment horizontal="center" vertical="center" wrapText="1" readingOrder="1"/>
    </xf>
    <xf numFmtId="0" fontId="7" fillId="0" borderId="36" xfId="0" applyFont="1" applyBorder="1" applyAlignment="1">
      <alignment horizontal="center" vertical="center" wrapText="1" readingOrder="1"/>
    </xf>
    <xf numFmtId="0" fontId="7" fillId="0" borderId="23" xfId="0" applyFont="1" applyBorder="1" applyAlignment="1">
      <alignment horizontal="center" vertical="center" wrapText="1" readingOrder="1"/>
    </xf>
    <xf numFmtId="0" fontId="7" fillId="0" borderId="46" xfId="0" applyFont="1" applyBorder="1" applyAlignment="1">
      <alignment horizontal="center" vertical="center" wrapText="1" readingOrder="1"/>
    </xf>
    <xf numFmtId="0" fontId="7" fillId="0" borderId="44" xfId="0" applyFont="1" applyBorder="1" applyAlignment="1">
      <alignment horizontal="center" vertical="center" wrapText="1" readingOrder="1"/>
    </xf>
    <xf numFmtId="0" fontId="7" fillId="0" borderId="82" xfId="0" applyFont="1" applyBorder="1" applyAlignment="1">
      <alignment horizontal="center" vertical="center" wrapText="1" readingOrder="1"/>
    </xf>
    <xf numFmtId="0" fontId="6" fillId="0" borderId="38" xfId="0" applyFont="1" applyBorder="1" applyAlignment="1">
      <alignment horizontal="center" vertical="center" wrapText="1" readingOrder="1"/>
    </xf>
    <xf numFmtId="0" fontId="6" fillId="0" borderId="39" xfId="0" applyFont="1" applyBorder="1" applyAlignment="1">
      <alignment horizontal="center" vertical="center" wrapText="1" readingOrder="1"/>
    </xf>
    <xf numFmtId="0" fontId="7" fillId="0" borderId="4" xfId="0" applyFont="1" applyFill="1" applyBorder="1" applyAlignment="1">
      <alignment horizontal="center" vertical="center" wrapText="1" readingOrder="1"/>
    </xf>
    <xf numFmtId="0" fontId="7" fillId="0" borderId="26" xfId="0" applyFont="1" applyFill="1" applyBorder="1" applyAlignment="1">
      <alignment horizontal="center" vertical="center" wrapText="1" readingOrder="1"/>
    </xf>
    <xf numFmtId="0" fontId="7" fillId="0" borderId="11" xfId="0" applyFont="1" applyFill="1" applyBorder="1" applyAlignment="1">
      <alignment horizontal="center" vertical="center" wrapText="1" readingOrder="1"/>
    </xf>
    <xf numFmtId="0" fontId="7" fillId="0" borderId="51" xfId="0" applyFont="1" applyBorder="1" applyAlignment="1">
      <alignment horizontal="center" vertical="center" wrapText="1" readingOrder="1"/>
    </xf>
    <xf numFmtId="0" fontId="7" fillId="0" borderId="30" xfId="0" applyFont="1" applyBorder="1" applyAlignment="1">
      <alignment horizontal="center" vertical="center" wrapText="1" readingOrder="1"/>
    </xf>
    <xf numFmtId="0" fontId="7" fillId="0" borderId="91" xfId="0" applyFont="1" applyBorder="1" applyAlignment="1">
      <alignment horizontal="center" vertical="center" wrapText="1" readingOrder="1"/>
    </xf>
    <xf numFmtId="0" fontId="7" fillId="0" borderId="92" xfId="0" applyFont="1" applyBorder="1" applyAlignment="1">
      <alignment horizontal="center" vertical="center" wrapText="1" readingOrder="1"/>
    </xf>
    <xf numFmtId="0" fontId="7" fillId="0" borderId="93" xfId="0" applyFont="1" applyBorder="1" applyAlignment="1">
      <alignment horizontal="center" vertical="center" wrapText="1" readingOrder="1"/>
    </xf>
    <xf numFmtId="0" fontId="7" fillId="0" borderId="31" xfId="0" applyFont="1" applyBorder="1" applyAlignment="1">
      <alignment horizontal="center" vertical="center" wrapText="1" readingOrder="1"/>
    </xf>
    <xf numFmtId="0" fontId="7" fillId="0" borderId="94" xfId="0" applyFont="1" applyBorder="1" applyAlignment="1">
      <alignment horizontal="center" vertical="center" wrapText="1" readingOrder="1"/>
    </xf>
    <xf numFmtId="0" fontId="7" fillId="0" borderId="56" xfId="0" applyFont="1" applyBorder="1" applyAlignment="1">
      <alignment horizontal="center" vertical="center" wrapText="1" readingOrder="1"/>
    </xf>
    <xf numFmtId="0" fontId="7" fillId="0" borderId="95" xfId="0" applyFont="1" applyBorder="1" applyAlignment="1">
      <alignment horizontal="center" vertical="center" wrapText="1" readingOrder="1"/>
    </xf>
    <xf numFmtId="0" fontId="7" fillId="0" borderId="11" xfId="0" applyFont="1" applyBorder="1" applyAlignment="1">
      <alignment horizontal="center" vertical="center" wrapText="1" readingOrder="1"/>
    </xf>
    <xf numFmtId="0" fontId="7" fillId="0" borderId="5" xfId="0" applyFont="1" applyBorder="1" applyAlignment="1">
      <alignment horizontal="center" vertical="center" wrapText="1" readingOrder="1"/>
    </xf>
    <xf numFmtId="0" fontId="6" fillId="0" borderId="18" xfId="0" applyFont="1" applyBorder="1" applyAlignment="1">
      <alignment horizontal="center" vertical="center" wrapText="1" readingOrder="1"/>
    </xf>
    <xf numFmtId="0" fontId="6" fillId="0" borderId="66" xfId="0" applyFont="1" applyBorder="1" applyAlignment="1">
      <alignment horizontal="center" vertical="center" wrapText="1" readingOrder="1"/>
    </xf>
    <xf numFmtId="0" fontId="6" fillId="0" borderId="62" xfId="0" applyFont="1" applyBorder="1" applyAlignment="1">
      <alignment horizontal="center" vertical="center" wrapText="1" readingOrder="1"/>
    </xf>
    <xf numFmtId="0" fontId="7" fillId="0" borderId="96" xfId="0" applyFont="1" applyBorder="1" applyAlignment="1">
      <alignment horizontal="center" vertical="center" wrapText="1" readingOrder="1"/>
    </xf>
    <xf numFmtId="0" fontId="5" fillId="2" borderId="65" xfId="0" applyFont="1" applyFill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center" vertical="center" wrapText="1" readingOrder="1"/>
    </xf>
    <xf numFmtId="0" fontId="6" fillId="0" borderId="26" xfId="0" applyFont="1" applyBorder="1" applyAlignment="1">
      <alignment horizontal="center" vertical="center" wrapText="1" readingOrder="1"/>
    </xf>
    <xf numFmtId="0" fontId="6" fillId="0" borderId="11" xfId="0" applyFont="1" applyBorder="1" applyAlignment="1">
      <alignment horizontal="center" vertical="center" wrapText="1" readingOrder="1"/>
    </xf>
    <xf numFmtId="0" fontId="7" fillId="0" borderId="97" xfId="0" applyFont="1" applyBorder="1" applyAlignment="1">
      <alignment horizontal="center" vertical="center" wrapText="1" readingOrder="1"/>
    </xf>
    <xf numFmtId="0" fontId="6" fillId="0" borderId="70" xfId="0" applyFont="1" applyBorder="1" applyAlignment="1">
      <alignment horizontal="center" vertical="center" wrapText="1" readingOrder="1"/>
    </xf>
    <xf numFmtId="0" fontId="6" fillId="0" borderId="38" xfId="0" applyFont="1" applyFill="1" applyBorder="1" applyAlignment="1">
      <alignment horizontal="center" vertical="center" wrapText="1" readingOrder="1"/>
    </xf>
    <xf numFmtId="0" fontId="6" fillId="0" borderId="62" xfId="0" applyFont="1" applyFill="1" applyBorder="1" applyAlignment="1">
      <alignment horizontal="center" vertical="center" wrapText="1" readingOrder="1"/>
    </xf>
    <xf numFmtId="0" fontId="6" fillId="0" borderId="72" xfId="0" applyFont="1" applyBorder="1" applyAlignment="1">
      <alignment horizontal="center" vertical="center" wrapText="1" readingOrder="1"/>
    </xf>
    <xf numFmtId="0" fontId="6" fillId="0" borderId="73" xfId="0" applyFont="1" applyBorder="1" applyAlignment="1">
      <alignment horizontal="center" vertical="center" wrapText="1" readingOrder="1"/>
    </xf>
    <xf numFmtId="0" fontId="6" fillId="0" borderId="67" xfId="0" applyFont="1" applyBorder="1" applyAlignment="1">
      <alignment horizontal="center" vertical="center" wrapText="1" readingOrder="1"/>
    </xf>
    <xf numFmtId="0" fontId="6" fillId="0" borderId="63" xfId="0" applyFont="1" applyBorder="1" applyAlignment="1">
      <alignment horizontal="center" vertical="center" wrapText="1" readingOrder="1"/>
    </xf>
    <xf numFmtId="0" fontId="7" fillId="0" borderId="47" xfId="0" applyFont="1" applyBorder="1" applyAlignment="1">
      <alignment horizontal="center" vertical="center" wrapText="1" readingOrder="1"/>
    </xf>
    <xf numFmtId="0" fontId="6" fillId="0" borderId="66" xfId="0" applyFont="1" applyFill="1" applyBorder="1" applyAlignment="1">
      <alignment horizontal="center" vertical="center" wrapText="1" readingOrder="1"/>
    </xf>
    <xf numFmtId="0" fontId="7" fillId="0" borderId="51" xfId="0" applyFont="1" applyFill="1" applyBorder="1" applyAlignment="1">
      <alignment horizontal="center" vertical="center" wrapText="1" readingOrder="1"/>
    </xf>
    <xf numFmtId="0" fontId="7" fillId="0" borderId="30" xfId="0" applyFont="1" applyFill="1" applyBorder="1" applyAlignment="1">
      <alignment horizontal="center" vertical="center" wrapText="1" readingOrder="1"/>
    </xf>
    <xf numFmtId="0" fontId="7" fillId="0" borderId="56" xfId="0" applyFont="1" applyFill="1" applyBorder="1" applyAlignment="1">
      <alignment horizontal="center" vertical="center" wrapText="1" readingOrder="1"/>
    </xf>
    <xf numFmtId="0" fontId="7" fillId="0" borderId="98" xfId="0" applyFont="1" applyBorder="1" applyAlignment="1">
      <alignment horizontal="center" vertical="center" wrapText="1" readingOrder="1"/>
    </xf>
    <xf numFmtId="0" fontId="7" fillId="0" borderId="99" xfId="0" applyFont="1" applyBorder="1" applyAlignment="1">
      <alignment horizontal="center" vertical="center" wrapText="1" readingOrder="1"/>
    </xf>
    <xf numFmtId="0" fontId="7" fillId="2" borderId="10" xfId="0" applyFont="1" applyFill="1" applyBorder="1" applyAlignment="1">
      <alignment horizontal="center" vertical="center" wrapText="1" readingOrder="1"/>
    </xf>
    <xf numFmtId="0" fontId="7" fillId="2" borderId="65" xfId="0" applyFont="1" applyFill="1" applyBorder="1" applyAlignment="1">
      <alignment horizontal="center" vertical="center" wrapText="1" readingOrder="1"/>
    </xf>
    <xf numFmtId="0" fontId="7" fillId="0" borderId="78" xfId="0" applyFont="1" applyBorder="1" applyAlignment="1">
      <alignment horizontal="center" vertical="center" wrapText="1" readingOrder="1"/>
    </xf>
    <xf numFmtId="0" fontId="7" fillId="0" borderId="83" xfId="0" applyFont="1" applyBorder="1" applyAlignment="1">
      <alignment horizontal="center" vertical="center" wrapText="1" readingOrder="1"/>
    </xf>
    <xf numFmtId="0" fontId="7" fillId="0" borderId="70" xfId="0" applyFont="1" applyBorder="1" applyAlignment="1">
      <alignment horizontal="center" vertical="center" wrapText="1" readingOrder="1"/>
    </xf>
    <xf numFmtId="0" fontId="7" fillId="0" borderId="84" xfId="0" applyFont="1" applyBorder="1" applyAlignment="1">
      <alignment horizontal="center" vertical="center" wrapText="1" readingOrder="1"/>
    </xf>
    <xf numFmtId="0" fontId="6" fillId="0" borderId="77" xfId="0" applyFont="1" applyBorder="1" applyAlignment="1">
      <alignment horizontal="center" vertical="center" wrapText="1" readingOrder="1"/>
    </xf>
    <xf numFmtId="0" fontId="6" fillId="4" borderId="66" xfId="0" applyFont="1" applyFill="1" applyBorder="1" applyAlignment="1">
      <alignment horizontal="center" vertical="center" wrapText="1" readingOrder="1"/>
    </xf>
    <xf numFmtId="0" fontId="6" fillId="4" borderId="38" xfId="0" applyFont="1" applyFill="1" applyBorder="1" applyAlignment="1">
      <alignment horizontal="center" vertical="center" wrapText="1" readingOrder="1"/>
    </xf>
    <xf numFmtId="0" fontId="6" fillId="4" borderId="62" xfId="0" applyFont="1" applyFill="1" applyBorder="1" applyAlignment="1">
      <alignment horizontal="center" vertical="center" wrapText="1" readingOrder="1"/>
    </xf>
    <xf numFmtId="0" fontId="7" fillId="0" borderId="79" xfId="0" applyFont="1" applyBorder="1" applyAlignment="1">
      <alignment horizontal="center" vertical="center" wrapText="1" readingOrder="1"/>
    </xf>
    <xf numFmtId="0" fontId="7" fillId="0" borderId="80" xfId="0" applyFont="1" applyBorder="1" applyAlignment="1">
      <alignment horizontal="center" vertical="center" wrapText="1" readingOrder="1"/>
    </xf>
    <xf numFmtId="0" fontId="7" fillId="0" borderId="85" xfId="0" applyFont="1" applyBorder="1" applyAlignment="1">
      <alignment horizontal="center" vertical="center" wrapText="1" readingOrder="1"/>
    </xf>
    <xf numFmtId="0" fontId="18" fillId="2" borderId="3" xfId="0" applyFont="1" applyFill="1" applyBorder="1" applyAlignment="1">
      <alignment horizontal="center" vertical="center" wrapText="1" readingOrder="1"/>
    </xf>
    <xf numFmtId="0" fontId="18" fillId="2" borderId="10" xfId="0" applyFont="1" applyFill="1" applyBorder="1" applyAlignment="1">
      <alignment horizontal="center" vertical="center" wrapText="1" readingOrder="1"/>
    </xf>
    <xf numFmtId="0" fontId="18" fillId="2" borderId="4" xfId="0" applyFont="1" applyFill="1" applyBorder="1" applyAlignment="1">
      <alignment horizontal="center" vertical="center" wrapText="1" readingOrder="1"/>
    </xf>
    <xf numFmtId="0" fontId="18" fillId="2" borderId="11" xfId="0" applyFont="1" applyFill="1" applyBorder="1" applyAlignment="1">
      <alignment horizontal="center" vertical="center" wrapText="1" readingOrder="1"/>
    </xf>
    <xf numFmtId="0" fontId="19" fillId="2" borderId="5" xfId="0" applyFont="1" applyFill="1" applyBorder="1" applyAlignment="1">
      <alignment horizontal="center" vertical="center" wrapText="1" readingOrder="1"/>
    </xf>
    <xf numFmtId="0" fontId="19" fillId="2" borderId="27" xfId="0" applyFont="1" applyFill="1" applyBorder="1" applyAlignment="1">
      <alignment horizontal="center" vertical="center" wrapText="1" readingOrder="1"/>
    </xf>
    <xf numFmtId="0" fontId="18" fillId="2" borderId="8" xfId="0" applyFont="1" applyFill="1" applyBorder="1" applyAlignment="1">
      <alignment horizontal="center" vertical="center" shrinkToFit="1" readingOrder="1"/>
    </xf>
    <xf numFmtId="0" fontId="18" fillId="2" borderId="4" xfId="0" applyFont="1" applyFill="1" applyBorder="1" applyAlignment="1">
      <alignment horizontal="center" vertical="center" shrinkToFit="1" readingOrder="1"/>
    </xf>
    <xf numFmtId="0" fontId="18" fillId="2" borderId="9" xfId="0" applyFont="1" applyFill="1" applyBorder="1" applyAlignment="1">
      <alignment horizontal="center" vertical="center" shrinkToFit="1" readingOrder="1"/>
    </xf>
    <xf numFmtId="0" fontId="6" fillId="0" borderId="19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6" fillId="0" borderId="27" xfId="0" applyFont="1" applyBorder="1" applyAlignment="1">
      <alignment horizontal="center" vertical="center" wrapText="1" readingOrder="1"/>
    </xf>
    <xf numFmtId="0" fontId="6" fillId="0" borderId="37" xfId="0" applyFont="1" applyBorder="1" applyAlignment="1">
      <alignment horizontal="center" vertical="center" wrapText="1" readingOrder="1"/>
    </xf>
    <xf numFmtId="0" fontId="18" fillId="2" borderId="7" xfId="0" applyFont="1" applyFill="1" applyBorder="1" applyAlignment="1">
      <alignment horizontal="center" vertical="center" wrapText="1" readingOrder="1"/>
    </xf>
    <xf numFmtId="0" fontId="0" fillId="0" borderId="14" xfId="0" applyFont="1" applyBorder="1" applyAlignment="1">
      <alignment horizontal="center" vertical="center" wrapText="1" readingOrder="1"/>
    </xf>
    <xf numFmtId="0" fontId="5" fillId="2" borderId="7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 readingOrder="1"/>
    </xf>
    <xf numFmtId="0" fontId="22" fillId="0" borderId="27" xfId="0" applyFont="1" applyBorder="1" applyAlignment="1">
      <alignment horizontal="center" vertical="center" wrapText="1" readingOrder="1"/>
    </xf>
    <xf numFmtId="0" fontId="22" fillId="0" borderId="88" xfId="0" applyFont="1" applyBorder="1" applyAlignment="1">
      <alignment horizontal="center" vertical="center" wrapText="1" readingOrder="1"/>
    </xf>
    <xf numFmtId="0" fontId="22" fillId="0" borderId="87" xfId="0" applyFont="1" applyBorder="1" applyAlignment="1">
      <alignment horizontal="center" vertical="center" wrapText="1" readingOrder="1"/>
    </xf>
    <xf numFmtId="0" fontId="22" fillId="0" borderId="89" xfId="0" applyFont="1" applyBorder="1" applyAlignment="1">
      <alignment horizontal="center" vertical="center" wrapText="1" readingOrder="1"/>
    </xf>
    <xf numFmtId="0" fontId="22" fillId="0" borderId="38" xfId="0" applyFont="1" applyBorder="1" applyAlignment="1">
      <alignment horizontal="center" vertical="center" wrapText="1" readingOrder="1"/>
    </xf>
    <xf numFmtId="0" fontId="22" fillId="0" borderId="26" xfId="0" applyFont="1" applyBorder="1" applyAlignment="1">
      <alignment horizontal="center" vertical="center" wrapText="1" readingOrder="1"/>
    </xf>
    <xf numFmtId="0" fontId="22" fillId="0" borderId="42" xfId="0" applyFont="1" applyBorder="1" applyAlignment="1">
      <alignment horizontal="center" vertical="center" wrapText="1" readingOrder="1"/>
    </xf>
    <xf numFmtId="0" fontId="22" fillId="0" borderId="90" xfId="0" applyFont="1" applyBorder="1" applyAlignment="1">
      <alignment horizontal="center" vertical="center" wrapText="1" readingOrder="1"/>
    </xf>
    <xf numFmtId="0" fontId="23" fillId="2" borderId="3" xfId="0" applyFont="1" applyFill="1" applyBorder="1" applyAlignment="1">
      <alignment horizontal="center" vertical="center" wrapText="1" readingOrder="1"/>
    </xf>
    <xf numFmtId="0" fontId="23" fillId="2" borderId="25" xfId="0" applyFont="1" applyFill="1" applyBorder="1" applyAlignment="1">
      <alignment horizontal="center" vertical="center" wrapText="1" readingOrder="1"/>
    </xf>
    <xf numFmtId="0" fontId="23" fillId="2" borderId="10" xfId="0" applyFont="1" applyFill="1" applyBorder="1" applyAlignment="1">
      <alignment horizontal="center" vertical="center" wrapText="1" readingOrder="1"/>
    </xf>
    <xf numFmtId="0" fontId="22" fillId="0" borderId="4" xfId="0" applyFont="1" applyBorder="1" applyAlignment="1">
      <alignment horizontal="center" vertical="center" wrapText="1" readingOrder="1"/>
    </xf>
    <xf numFmtId="0" fontId="22" fillId="4" borderId="18" xfId="0" applyFont="1" applyFill="1" applyBorder="1" applyAlignment="1">
      <alignment horizontal="center" vertical="center" wrapText="1" readingOrder="1"/>
    </xf>
    <xf numFmtId="0" fontId="22" fillId="4" borderId="26" xfId="0" applyFont="1" applyFill="1" applyBorder="1" applyAlignment="1">
      <alignment horizontal="center" vertical="center" wrapText="1" readingOrder="1"/>
    </xf>
    <xf numFmtId="0" fontId="22" fillId="0" borderId="18" xfId="0" applyFont="1" applyBorder="1" applyAlignment="1">
      <alignment horizontal="center" vertical="center" wrapText="1" readingOrder="1"/>
    </xf>
    <xf numFmtId="0" fontId="22" fillId="0" borderId="86" xfId="0" applyFont="1" applyBorder="1" applyAlignment="1">
      <alignment horizontal="center" vertical="center" wrapText="1" readingOrder="1"/>
    </xf>
    <xf numFmtId="0" fontId="22" fillId="4" borderId="22" xfId="0" applyFont="1" applyFill="1" applyBorder="1" applyAlignment="1">
      <alignment horizontal="center" vertical="center" wrapText="1" readingOrder="1"/>
    </xf>
    <xf numFmtId="0" fontId="22" fillId="4" borderId="30" xfId="0" applyFont="1" applyFill="1" applyBorder="1" applyAlignment="1">
      <alignment horizontal="center" vertical="center" wrapText="1" readingOrder="1"/>
    </xf>
    <xf numFmtId="0" fontId="22" fillId="4" borderId="36" xfId="0" applyFont="1" applyFill="1" applyBorder="1" applyAlignment="1">
      <alignment horizontal="center" vertical="center" wrapText="1" readingOrder="1"/>
    </xf>
    <xf numFmtId="0" fontId="22" fillId="0" borderId="39" xfId="0" applyFont="1" applyBorder="1" applyAlignment="1">
      <alignment horizontal="center" vertical="center" wrapText="1" readingOrder="1"/>
    </xf>
    <xf numFmtId="0" fontId="22" fillId="4" borderId="38" xfId="0" applyFont="1" applyFill="1" applyBorder="1" applyAlignment="1">
      <alignment horizontal="center" vertical="center" wrapText="1" readingOrder="1"/>
    </xf>
    <xf numFmtId="0" fontId="22" fillId="4" borderId="19" xfId="0" applyFont="1" applyFill="1" applyBorder="1" applyAlignment="1">
      <alignment horizontal="center" vertical="center" wrapText="1" readingOrder="1"/>
    </xf>
    <xf numFmtId="0" fontId="22" fillId="4" borderId="27" xfId="0" applyFont="1" applyFill="1" applyBorder="1" applyAlignment="1">
      <alignment horizontal="center" vertical="center" wrapText="1" readingOrder="1"/>
    </xf>
    <xf numFmtId="0" fontId="22" fillId="4" borderId="37" xfId="0" applyFont="1" applyFill="1" applyBorder="1" applyAlignment="1">
      <alignment horizontal="center" vertical="center" wrapText="1" readingOrder="1"/>
    </xf>
    <xf numFmtId="0" fontId="22" fillId="0" borderId="1" xfId="0" applyFont="1" applyBorder="1" applyAlignment="1">
      <alignment horizontal="center" vertical="center" wrapText="1" readingOrder="1"/>
    </xf>
    <xf numFmtId="0" fontId="22" fillId="0" borderId="22" xfId="0" applyFont="1" applyBorder="1" applyAlignment="1">
      <alignment horizontal="center" vertical="center" wrapText="1" readingOrder="1"/>
    </xf>
    <xf numFmtId="0" fontId="22" fillId="0" borderId="45" xfId="0" applyFont="1" applyBorder="1" applyAlignment="1">
      <alignment horizontal="center" vertical="center" wrapText="1" readingOrder="1"/>
    </xf>
    <xf numFmtId="0" fontId="22" fillId="0" borderId="36" xfId="0" applyFont="1" applyBorder="1" applyAlignment="1">
      <alignment horizontal="center" vertical="center" wrapText="1" readingOrder="1"/>
    </xf>
    <xf numFmtId="0" fontId="22" fillId="0" borderId="23" xfId="0" applyFont="1" applyBorder="1" applyAlignment="1">
      <alignment horizontal="center" vertical="center" wrapText="1" readingOrder="1"/>
    </xf>
    <xf numFmtId="0" fontId="22" fillId="0" borderId="46" xfId="0" applyFont="1" applyBorder="1" applyAlignment="1">
      <alignment horizontal="center" vertical="center" wrapText="1" readingOrder="1"/>
    </xf>
    <xf numFmtId="0" fontId="22" fillId="0" borderId="44" xfId="0" applyFont="1" applyBorder="1" applyAlignment="1">
      <alignment horizontal="center" vertical="center" wrapText="1" readingOrder="1"/>
    </xf>
    <xf numFmtId="0" fontId="27" fillId="0" borderId="38" xfId="0" applyFont="1" applyBorder="1" applyAlignment="1">
      <alignment horizontal="center" vertical="center" wrapText="1" readingOrder="1"/>
    </xf>
    <xf numFmtId="0" fontId="27" fillId="0" borderId="39" xfId="0" applyFont="1" applyBorder="1" applyAlignment="1">
      <alignment horizontal="center" vertical="center" wrapText="1" readingOrder="1"/>
    </xf>
    <xf numFmtId="0" fontId="22" fillId="0" borderId="4" xfId="0" applyFont="1" applyFill="1" applyBorder="1" applyAlignment="1">
      <alignment horizontal="center" vertical="center" wrapText="1" readingOrder="1"/>
    </xf>
    <xf numFmtId="0" fontId="22" fillId="0" borderId="26" xfId="0" applyFont="1" applyFill="1" applyBorder="1" applyAlignment="1">
      <alignment horizontal="center" vertical="center" wrapText="1" readingOrder="1"/>
    </xf>
    <xf numFmtId="0" fontId="22" fillId="0" borderId="11" xfId="0" applyFont="1" applyFill="1" applyBorder="1" applyAlignment="1">
      <alignment horizontal="center" vertical="center" wrapText="1" readingOrder="1"/>
    </xf>
    <xf numFmtId="0" fontId="22" fillId="0" borderId="51" xfId="0" applyFont="1" applyBorder="1" applyAlignment="1">
      <alignment horizontal="center" vertical="center" wrapText="1" readingOrder="1"/>
    </xf>
    <xf numFmtId="0" fontId="22" fillId="0" borderId="30" xfId="0" applyFont="1" applyBorder="1" applyAlignment="1">
      <alignment horizontal="center" vertical="center" wrapText="1" readingOrder="1"/>
    </xf>
    <xf numFmtId="0" fontId="22" fillId="0" borderId="91" xfId="0" applyFont="1" applyBorder="1" applyAlignment="1">
      <alignment horizontal="center" vertical="center" wrapText="1" readingOrder="1"/>
    </xf>
    <xf numFmtId="0" fontId="22" fillId="0" borderId="92" xfId="0" applyFont="1" applyBorder="1" applyAlignment="1">
      <alignment horizontal="center" vertical="center" wrapText="1" readingOrder="1"/>
    </xf>
    <xf numFmtId="0" fontId="22" fillId="0" borderId="93" xfId="0" applyFont="1" applyBorder="1" applyAlignment="1">
      <alignment horizontal="center" vertical="center" wrapText="1" readingOrder="1"/>
    </xf>
    <xf numFmtId="0" fontId="22" fillId="0" borderId="31" xfId="0" applyFont="1" applyBorder="1" applyAlignment="1">
      <alignment horizontal="center" vertical="center" wrapText="1" readingOrder="1"/>
    </xf>
    <xf numFmtId="0" fontId="22" fillId="0" borderId="94" xfId="0" applyFont="1" applyBorder="1" applyAlignment="1">
      <alignment horizontal="center" vertical="center" wrapText="1" readingOrder="1"/>
    </xf>
    <xf numFmtId="0" fontId="22" fillId="0" borderId="56" xfId="0" applyFont="1" applyBorder="1" applyAlignment="1">
      <alignment horizontal="center" vertical="center" wrapText="1" readingOrder="1"/>
    </xf>
    <xf numFmtId="0" fontId="22" fillId="0" borderId="95" xfId="0" applyFont="1" applyBorder="1" applyAlignment="1">
      <alignment horizontal="center" vertical="center" wrapText="1" readingOrder="1"/>
    </xf>
    <xf numFmtId="0" fontId="22" fillId="0" borderId="11" xfId="0" applyFont="1" applyBorder="1" applyAlignment="1">
      <alignment horizontal="center" vertical="center" wrapText="1" readingOrder="1"/>
    </xf>
    <xf numFmtId="0" fontId="22" fillId="0" borderId="5" xfId="0" applyFont="1" applyBorder="1" applyAlignment="1">
      <alignment horizontal="center" vertical="center" wrapText="1" readingOrder="1"/>
    </xf>
    <xf numFmtId="0" fontId="22" fillId="0" borderId="12" xfId="0" applyFont="1" applyBorder="1" applyAlignment="1">
      <alignment horizontal="center" vertical="center" wrapText="1" readingOrder="1"/>
    </xf>
    <xf numFmtId="0" fontId="27" fillId="0" borderId="19" xfId="0" applyFont="1" applyBorder="1" applyAlignment="1">
      <alignment horizontal="center" vertical="center" wrapText="1" readingOrder="1"/>
    </xf>
    <xf numFmtId="0" fontId="27" fillId="0" borderId="1" xfId="0" applyFont="1" applyBorder="1" applyAlignment="1">
      <alignment horizontal="center" vertical="center" wrapText="1" readingOrder="1"/>
    </xf>
    <xf numFmtId="0" fontId="27" fillId="0" borderId="62" xfId="0" applyFont="1" applyBorder="1" applyAlignment="1">
      <alignment horizontal="center" vertical="center" wrapText="1" readingOrder="1"/>
    </xf>
    <xf numFmtId="0" fontId="22" fillId="0" borderId="96" xfId="0" applyFont="1" applyBorder="1" applyAlignment="1">
      <alignment horizontal="center" vertical="center" wrapText="1" readingOrder="1"/>
    </xf>
    <xf numFmtId="0" fontId="23" fillId="2" borderId="65" xfId="0" applyFont="1" applyFill="1" applyBorder="1" applyAlignment="1">
      <alignment horizontal="center" vertical="center" wrapText="1" readingOrder="1"/>
    </xf>
    <xf numFmtId="0" fontId="27" fillId="0" borderId="4" xfId="0" applyFont="1" applyBorder="1" applyAlignment="1">
      <alignment horizontal="center" vertical="center" wrapText="1" readingOrder="1"/>
    </xf>
    <xf numFmtId="0" fontId="27" fillId="0" borderId="26" xfId="0" applyFont="1" applyBorder="1" applyAlignment="1">
      <alignment horizontal="center" vertical="center" wrapText="1" readingOrder="1"/>
    </xf>
    <xf numFmtId="0" fontId="27" fillId="0" borderId="11" xfId="0" applyFont="1" applyBorder="1" applyAlignment="1">
      <alignment horizontal="center" vertical="center" wrapText="1" readingOrder="1"/>
    </xf>
    <xf numFmtId="0" fontId="27" fillId="0" borderId="66" xfId="0" applyFont="1" applyBorder="1" applyAlignment="1">
      <alignment horizontal="center" vertical="center" wrapText="1" readingOrder="1"/>
    </xf>
    <xf numFmtId="0" fontId="27" fillId="0" borderId="18" xfId="0" applyFont="1" applyBorder="1" applyAlignment="1">
      <alignment horizontal="center" vertical="center" wrapText="1" readingOrder="1"/>
    </xf>
    <xf numFmtId="0" fontId="22" fillId="0" borderId="97" xfId="0" applyFont="1" applyBorder="1" applyAlignment="1">
      <alignment horizontal="center" vertical="center" wrapText="1" readingOrder="1"/>
    </xf>
    <xf numFmtId="0" fontId="27" fillId="0" borderId="27" xfId="0" applyFont="1" applyBorder="1" applyAlignment="1">
      <alignment horizontal="center" vertical="center" wrapText="1" readingOrder="1"/>
    </xf>
    <xf numFmtId="0" fontId="27" fillId="0" borderId="37" xfId="0" applyFont="1" applyBorder="1" applyAlignment="1">
      <alignment horizontal="center" vertical="center" wrapText="1" readingOrder="1"/>
    </xf>
    <xf numFmtId="0" fontId="27" fillId="0" borderId="70" xfId="0" applyFont="1" applyBorder="1" applyAlignment="1">
      <alignment horizontal="center" vertical="center" wrapText="1" readingOrder="1"/>
    </xf>
    <xf numFmtId="0" fontId="27" fillId="0" borderId="73" xfId="0" applyFont="1" applyBorder="1" applyAlignment="1">
      <alignment horizontal="center" vertical="center" wrapText="1" readingOrder="1"/>
    </xf>
    <xf numFmtId="0" fontId="22" fillId="0" borderId="47" xfId="0" applyFont="1" applyBorder="1" applyAlignment="1">
      <alignment horizontal="center" vertical="center" wrapText="1" readingOrder="1"/>
    </xf>
    <xf numFmtId="0" fontId="27" fillId="0" borderId="66" xfId="0" applyFont="1" applyFill="1" applyBorder="1" applyAlignment="1">
      <alignment horizontal="center" vertical="center" wrapText="1" readingOrder="1"/>
    </xf>
    <xf numFmtId="0" fontId="27" fillId="0" borderId="38" xfId="0" applyFont="1" applyFill="1" applyBorder="1" applyAlignment="1">
      <alignment horizontal="center" vertical="center" wrapText="1" readingOrder="1"/>
    </xf>
    <xf numFmtId="0" fontId="27" fillId="0" borderId="62" xfId="0" applyFont="1" applyFill="1" applyBorder="1" applyAlignment="1">
      <alignment horizontal="center" vertical="center" wrapText="1" readingOrder="1"/>
    </xf>
    <xf numFmtId="0" fontId="22" fillId="0" borderId="51" xfId="0" applyFont="1" applyFill="1" applyBorder="1" applyAlignment="1">
      <alignment horizontal="center" vertical="center" wrapText="1" readingOrder="1"/>
    </xf>
    <xf numFmtId="0" fontId="22" fillId="0" borderId="30" xfId="0" applyFont="1" applyFill="1" applyBorder="1" applyAlignment="1">
      <alignment horizontal="center" vertical="center" wrapText="1" readingOrder="1"/>
    </xf>
    <xf numFmtId="0" fontId="22" fillId="0" borderId="56" xfId="0" applyFont="1" applyFill="1" applyBorder="1" applyAlignment="1">
      <alignment horizontal="center" vertical="center" wrapText="1" readingOrder="1"/>
    </xf>
    <xf numFmtId="0" fontId="27" fillId="0" borderId="72" xfId="0" applyFont="1" applyBorder="1" applyAlignment="1">
      <alignment horizontal="center" vertical="center" wrapText="1" readingOrder="1"/>
    </xf>
    <xf numFmtId="0" fontId="27" fillId="0" borderId="77" xfId="0" applyFont="1" applyBorder="1" applyAlignment="1">
      <alignment horizontal="center" vertical="center" wrapText="1" readingOrder="1"/>
    </xf>
    <xf numFmtId="0" fontId="27" fillId="0" borderId="67" xfId="0" applyFont="1" applyBorder="1" applyAlignment="1">
      <alignment horizontal="center" vertical="center" wrapText="1" readingOrder="1"/>
    </xf>
    <xf numFmtId="0" fontId="27" fillId="0" borderId="63" xfId="0" applyFont="1" applyBorder="1" applyAlignment="1">
      <alignment horizontal="center" vertical="center" wrapText="1" readingOrder="1"/>
    </xf>
    <xf numFmtId="0" fontId="22" fillId="0" borderId="98" xfId="0" applyFont="1" applyBorder="1" applyAlignment="1">
      <alignment horizontal="center" vertical="center" wrapText="1" readingOrder="1"/>
    </xf>
    <xf numFmtId="0" fontId="22" fillId="0" borderId="99" xfId="0" applyFont="1" applyBorder="1" applyAlignment="1">
      <alignment horizontal="center" vertical="center" wrapText="1" readingOrder="1"/>
    </xf>
    <xf numFmtId="0" fontId="20" fillId="2" borderId="7" xfId="0" applyFont="1" applyFill="1" applyBorder="1" applyAlignment="1">
      <alignment horizontal="center" vertical="center" wrapText="1" readingOrder="1"/>
    </xf>
    <xf numFmtId="0" fontId="20" fillId="2" borderId="14" xfId="0" applyFont="1" applyFill="1" applyBorder="1" applyAlignment="1">
      <alignment horizontal="center" vertical="center" wrapText="1" readingOrder="1"/>
    </xf>
    <xf numFmtId="0" fontId="22" fillId="2" borderId="10" xfId="0" applyFont="1" applyFill="1" applyBorder="1" applyAlignment="1">
      <alignment horizontal="center" vertical="center" wrapText="1" readingOrder="1"/>
    </xf>
    <xf numFmtId="0" fontId="22" fillId="2" borderId="65" xfId="0" applyFont="1" applyFill="1" applyBorder="1" applyAlignment="1">
      <alignment horizontal="center" vertical="center" wrapText="1" readingOrder="1"/>
    </xf>
    <xf numFmtId="0" fontId="22" fillId="0" borderId="78" xfId="0" applyFont="1" applyBorder="1" applyAlignment="1">
      <alignment horizontal="center" vertical="center" wrapText="1" readingOrder="1"/>
    </xf>
    <xf numFmtId="0" fontId="22" fillId="0" borderId="83" xfId="0" applyFont="1" applyBorder="1" applyAlignment="1">
      <alignment horizontal="center" vertical="center" wrapText="1" readingOrder="1"/>
    </xf>
    <xf numFmtId="0" fontId="22" fillId="0" borderId="79" xfId="0" applyFont="1" applyBorder="1" applyAlignment="1">
      <alignment horizontal="center" vertical="center" wrapText="1" readingOrder="1"/>
    </xf>
    <xf numFmtId="0" fontId="22" fillId="0" borderId="80" xfId="0" applyFont="1" applyBorder="1" applyAlignment="1">
      <alignment horizontal="center" vertical="center" wrapText="1" readingOrder="1"/>
    </xf>
    <xf numFmtId="0" fontId="22" fillId="0" borderId="85" xfId="0" applyFont="1" applyBorder="1" applyAlignment="1">
      <alignment horizontal="center" vertical="center" wrapText="1" readingOrder="1"/>
    </xf>
    <xf numFmtId="0" fontId="27" fillId="4" borderId="66" xfId="0" applyFont="1" applyFill="1" applyBorder="1" applyAlignment="1">
      <alignment horizontal="center" vertical="center" wrapText="1" readingOrder="1"/>
    </xf>
    <xf numFmtId="0" fontId="27" fillId="4" borderId="38" xfId="0" applyFont="1" applyFill="1" applyBorder="1" applyAlignment="1">
      <alignment horizontal="center" vertical="center" wrapText="1" readingOrder="1"/>
    </xf>
    <xf numFmtId="0" fontId="27" fillId="4" borderId="62" xfId="0" applyFont="1" applyFill="1" applyBorder="1" applyAlignment="1">
      <alignment horizontal="center" vertical="center" wrapText="1" readingOrder="1"/>
    </xf>
    <xf numFmtId="0" fontId="22" fillId="0" borderId="84" xfId="0" applyFont="1" applyBorder="1" applyAlignment="1">
      <alignment horizontal="center" vertical="center" wrapText="1" readingOrder="1"/>
    </xf>
    <xf numFmtId="0" fontId="22" fillId="0" borderId="82" xfId="0" applyFont="1" applyBorder="1" applyAlignment="1">
      <alignment horizontal="center" vertical="center" wrapText="1" readingOrder="1"/>
    </xf>
    <xf numFmtId="0" fontId="22" fillId="0" borderId="70" xfId="0" applyFont="1" applyBorder="1" applyAlignment="1">
      <alignment horizontal="center" vertical="center" wrapText="1" readingOrder="1"/>
    </xf>
    <xf numFmtId="0" fontId="20" fillId="2" borderId="4" xfId="0" applyFont="1" applyFill="1" applyBorder="1" applyAlignment="1">
      <alignment horizontal="center" vertical="center" wrapText="1" readingOrder="1"/>
    </xf>
    <xf numFmtId="0" fontId="20" fillId="2" borderId="11" xfId="0" applyFont="1" applyFill="1" applyBorder="1" applyAlignment="1">
      <alignment horizontal="center" vertical="center" wrapText="1" readingOrder="1"/>
    </xf>
  </cellXfs>
  <cellStyles count="3">
    <cellStyle name="Comma" xfId="2" builtinId="3"/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763122"/>
          <a:ext cx="50601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763122"/>
          <a:ext cx="50601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4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896472"/>
          <a:ext cx="50601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763122"/>
          <a:ext cx="50982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4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896472"/>
          <a:ext cx="50601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5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896472"/>
          <a:ext cx="50601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763122"/>
          <a:ext cx="50982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4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896472"/>
          <a:ext cx="50982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5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896472"/>
          <a:ext cx="50982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6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896472"/>
          <a:ext cx="50982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886947"/>
          <a:ext cx="50982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3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896472"/>
          <a:ext cx="50982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4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896472"/>
          <a:ext cx="50982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5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896472"/>
          <a:ext cx="50982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6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896472"/>
          <a:ext cx="50982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763122"/>
          <a:ext cx="50982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3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896472"/>
          <a:ext cx="50982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4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896472"/>
          <a:ext cx="50982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5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896472"/>
          <a:ext cx="50982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6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896472"/>
          <a:ext cx="50982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7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896472"/>
          <a:ext cx="50982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1058397"/>
          <a:ext cx="50982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3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896472"/>
          <a:ext cx="50982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4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896472"/>
          <a:ext cx="50982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5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896472"/>
          <a:ext cx="50982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6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896472"/>
          <a:ext cx="50982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7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896472"/>
          <a:ext cx="50982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8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896472"/>
          <a:ext cx="50982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925047"/>
          <a:ext cx="55173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3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925047"/>
          <a:ext cx="55173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4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925047"/>
          <a:ext cx="55173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5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925047"/>
          <a:ext cx="55173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6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925047"/>
          <a:ext cx="55173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7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925047"/>
          <a:ext cx="55173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8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925047"/>
          <a:ext cx="55173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925047"/>
          <a:ext cx="55173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3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925047"/>
          <a:ext cx="55173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4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925047"/>
          <a:ext cx="55173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5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925047"/>
          <a:ext cx="55173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6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925047"/>
          <a:ext cx="55173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7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925047"/>
          <a:ext cx="55173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8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925047"/>
          <a:ext cx="55173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925047"/>
          <a:ext cx="55173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3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925047"/>
          <a:ext cx="55173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4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925047"/>
          <a:ext cx="55173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5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925047"/>
          <a:ext cx="55173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6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925047"/>
          <a:ext cx="55173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7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925047"/>
          <a:ext cx="55173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27900</xdr:colOff>
      <xdr:row>3</xdr:row>
      <xdr:rowOff>134472</xdr:rowOff>
    </xdr:from>
    <xdr:to>
      <xdr:col>5</xdr:col>
      <xdr:colOff>801799</xdr:colOff>
      <xdr:row>3</xdr:row>
      <xdr:rowOff>134472</xdr:rowOff>
    </xdr:to>
    <xdr:cxnSp macro="">
      <xdr:nvCxnSpPr>
        <xdr:cNvPr id="8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7900" y="925047"/>
          <a:ext cx="5517349" cy="0"/>
        </a:xfrm>
        <a:prstGeom prst="line">
          <a:avLst/>
        </a:prstGeom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83"/>
  <sheetViews>
    <sheetView showGridLines="0" topLeftCell="D5" workbookViewId="0">
      <selection activeCell="J22" sqref="J22:U23"/>
    </sheetView>
  </sheetViews>
  <sheetFormatPr defaultRowHeight="15"/>
  <cols>
    <col min="1" max="1" width="5.42578125" style="1" bestFit="1" customWidth="1"/>
    <col min="2" max="2" width="14.140625" style="1" bestFit="1" customWidth="1"/>
    <col min="3" max="3" width="19.85546875" style="1" bestFit="1" customWidth="1"/>
    <col min="4" max="4" width="11.28515625" style="1" bestFit="1" customWidth="1"/>
    <col min="5" max="5" width="13.5703125" style="1" customWidth="1"/>
    <col min="6" max="6" width="32.42578125" style="1" bestFit="1" customWidth="1"/>
    <col min="7" max="7" width="10.5703125" style="1" customWidth="1"/>
    <col min="8" max="8" width="10.7109375" style="1" customWidth="1"/>
    <col min="9" max="22" width="11.140625" style="1" customWidth="1"/>
    <col min="23" max="23" width="13" style="1" bestFit="1" customWidth="1"/>
    <col min="24" max="25" width="13.42578125" style="1" bestFit="1" customWidth="1"/>
    <col min="26" max="16384" width="9.140625" style="1"/>
  </cols>
  <sheetData>
    <row r="2" spans="1:22" ht="15" customHeight="1">
      <c r="A2" s="121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2" t="s">
        <v>1</v>
      </c>
      <c r="U2" s="2" t="s">
        <v>2</v>
      </c>
      <c r="V2" s="2" t="s">
        <v>3</v>
      </c>
    </row>
    <row r="3" spans="1:22" ht="30" customHeight="1">
      <c r="A3" s="121"/>
      <c r="B3" s="121" t="s">
        <v>0</v>
      </c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3" t="s">
        <v>4</v>
      </c>
      <c r="U3" s="123" t="s">
        <v>5</v>
      </c>
      <c r="V3" s="123" t="s">
        <v>6</v>
      </c>
    </row>
    <row r="4" spans="1:22" ht="16.5" customHeight="1" thickBot="1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</row>
    <row r="5" spans="1:22" ht="17.100000000000001" customHeight="1" thickBot="1">
      <c r="A5" s="248" t="s">
        <v>7</v>
      </c>
      <c r="B5" s="250" t="s">
        <v>8</v>
      </c>
      <c r="C5" s="250" t="s">
        <v>9</v>
      </c>
      <c r="D5" s="250" t="s">
        <v>10</v>
      </c>
      <c r="E5" s="250" t="s">
        <v>11</v>
      </c>
      <c r="F5" s="252" t="s">
        <v>12</v>
      </c>
      <c r="G5" s="276" t="s">
        <v>13</v>
      </c>
      <c r="H5" s="278" t="s">
        <v>14</v>
      </c>
      <c r="I5" s="254" t="s">
        <v>15</v>
      </c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5"/>
      <c r="U5" s="255"/>
      <c r="V5" s="256"/>
    </row>
    <row r="6" spans="1:22" ht="17.100000000000001" customHeight="1" thickBot="1">
      <c r="A6" s="249"/>
      <c r="B6" s="251"/>
      <c r="C6" s="251"/>
      <c r="D6" s="251"/>
      <c r="E6" s="251"/>
      <c r="F6" s="253"/>
      <c r="G6" s="277"/>
      <c r="H6" s="279"/>
      <c r="I6" s="3" t="s">
        <v>16</v>
      </c>
      <c r="J6" s="4">
        <v>43831</v>
      </c>
      <c r="K6" s="4">
        <v>43862</v>
      </c>
      <c r="L6" s="4">
        <v>43891</v>
      </c>
      <c r="M6" s="4">
        <v>43922</v>
      </c>
      <c r="N6" s="4">
        <v>43952</v>
      </c>
      <c r="O6" s="4">
        <v>43983</v>
      </c>
      <c r="P6" s="4">
        <v>44013</v>
      </c>
      <c r="Q6" s="4">
        <v>44044</v>
      </c>
      <c r="R6" s="4">
        <v>44075</v>
      </c>
      <c r="S6" s="4">
        <v>44105</v>
      </c>
      <c r="T6" s="4">
        <v>44136</v>
      </c>
      <c r="U6" s="4">
        <v>44166</v>
      </c>
      <c r="V6" s="5" t="s">
        <v>17</v>
      </c>
    </row>
    <row r="7" spans="1:22" ht="18" customHeight="1">
      <c r="A7" s="248">
        <v>1</v>
      </c>
      <c r="B7" s="258" t="s">
        <v>18</v>
      </c>
      <c r="C7" s="260" t="s">
        <v>19</v>
      </c>
      <c r="D7" s="262" t="s">
        <v>20</v>
      </c>
      <c r="E7" s="263" t="s">
        <v>21</v>
      </c>
      <c r="F7" s="265" t="s">
        <v>22</v>
      </c>
      <c r="G7" s="6"/>
      <c r="H7" s="6"/>
      <c r="I7" s="7" t="s">
        <v>23</v>
      </c>
      <c r="J7" s="6"/>
      <c r="K7" s="8"/>
      <c r="L7" s="8"/>
      <c r="M7" s="8"/>
      <c r="N7" s="8"/>
      <c r="O7" s="8"/>
      <c r="P7" s="8"/>
      <c r="Q7" s="8"/>
      <c r="R7" s="8"/>
      <c r="S7" s="8"/>
      <c r="T7" s="8"/>
      <c r="U7" s="9"/>
      <c r="V7" s="10">
        <f>SUM(J7:U7)</f>
        <v>0</v>
      </c>
    </row>
    <row r="8" spans="1:22" ht="17.100000000000001" customHeight="1">
      <c r="A8" s="257"/>
      <c r="B8" s="259"/>
      <c r="C8" s="261"/>
      <c r="D8" s="259"/>
      <c r="E8" s="264"/>
      <c r="F8" s="266"/>
      <c r="G8" s="11"/>
      <c r="H8" s="11"/>
      <c r="I8" s="12" t="s">
        <v>24</v>
      </c>
      <c r="J8" s="11"/>
      <c r="K8" s="13"/>
      <c r="L8" s="13"/>
      <c r="M8" s="13"/>
      <c r="N8" s="13"/>
      <c r="O8" s="13"/>
      <c r="P8" s="13"/>
      <c r="Q8" s="13"/>
      <c r="R8" s="13"/>
      <c r="S8" s="13"/>
      <c r="T8" s="13"/>
      <c r="U8" s="14"/>
      <c r="V8" s="15">
        <f>SUM(J8:U8)</f>
        <v>0</v>
      </c>
    </row>
    <row r="9" spans="1:22" ht="17.100000000000001" customHeight="1">
      <c r="A9" s="257"/>
      <c r="B9" s="259"/>
      <c r="C9" s="261"/>
      <c r="D9" s="259"/>
      <c r="E9" s="264"/>
      <c r="F9" s="266"/>
      <c r="G9" s="16"/>
      <c r="H9" s="16"/>
      <c r="I9" s="17" t="s">
        <v>25</v>
      </c>
      <c r="J9" s="16" t="e">
        <f t="shared" ref="J9:V9" si="0">J7/J8*1</f>
        <v>#DIV/0!</v>
      </c>
      <c r="K9" s="16" t="e">
        <f t="shared" si="0"/>
        <v>#DIV/0!</v>
      </c>
      <c r="L9" s="16" t="e">
        <f t="shared" si="0"/>
        <v>#DIV/0!</v>
      </c>
      <c r="M9" s="16" t="e">
        <f t="shared" si="0"/>
        <v>#DIV/0!</v>
      </c>
      <c r="N9" s="16" t="e">
        <f t="shared" si="0"/>
        <v>#DIV/0!</v>
      </c>
      <c r="O9" s="16" t="e">
        <f t="shared" si="0"/>
        <v>#DIV/0!</v>
      </c>
      <c r="P9" s="16" t="e">
        <f t="shared" si="0"/>
        <v>#DIV/0!</v>
      </c>
      <c r="Q9" s="16" t="e">
        <f t="shared" si="0"/>
        <v>#DIV/0!</v>
      </c>
      <c r="R9" s="16" t="e">
        <f t="shared" si="0"/>
        <v>#DIV/0!</v>
      </c>
      <c r="S9" s="16" t="e">
        <f t="shared" si="0"/>
        <v>#DIV/0!</v>
      </c>
      <c r="T9" s="16" t="e">
        <f t="shared" si="0"/>
        <v>#DIV/0!</v>
      </c>
      <c r="U9" s="18" t="e">
        <f t="shared" si="0"/>
        <v>#DIV/0!</v>
      </c>
      <c r="V9" s="19" t="e">
        <f t="shared" si="0"/>
        <v>#DIV/0!</v>
      </c>
    </row>
    <row r="10" spans="1:22" ht="17.100000000000001" customHeight="1">
      <c r="A10" s="257"/>
      <c r="B10" s="259"/>
      <c r="C10" s="267" t="s">
        <v>26</v>
      </c>
      <c r="D10" s="262" t="s">
        <v>20</v>
      </c>
      <c r="E10" s="263" t="s">
        <v>21</v>
      </c>
      <c r="F10" s="270" t="s">
        <v>27</v>
      </c>
      <c r="G10" s="6"/>
      <c r="H10" s="6"/>
      <c r="I10" s="7" t="s">
        <v>23</v>
      </c>
      <c r="J10" s="6"/>
      <c r="K10" s="8"/>
      <c r="L10" s="8"/>
      <c r="M10" s="8"/>
      <c r="N10" s="8"/>
      <c r="O10" s="8"/>
      <c r="P10" s="8"/>
      <c r="Q10" s="8"/>
      <c r="R10" s="8"/>
      <c r="S10" s="8"/>
      <c r="T10" s="8"/>
      <c r="U10" s="9"/>
      <c r="V10" s="10">
        <f>SUM(J10:U10)</f>
        <v>0</v>
      </c>
    </row>
    <row r="11" spans="1:22" ht="17.100000000000001" customHeight="1">
      <c r="A11" s="257"/>
      <c r="B11" s="259"/>
      <c r="C11" s="268"/>
      <c r="D11" s="259"/>
      <c r="E11" s="264"/>
      <c r="F11" s="266"/>
      <c r="G11" s="11"/>
      <c r="H11" s="11"/>
      <c r="I11" s="12" t="s">
        <v>24</v>
      </c>
      <c r="J11" s="11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4"/>
      <c r="V11" s="15">
        <f>SUM(J11:U11)</f>
        <v>0</v>
      </c>
    </row>
    <row r="12" spans="1:22" ht="17.100000000000001" customHeight="1">
      <c r="A12" s="257"/>
      <c r="B12" s="259"/>
      <c r="C12" s="269"/>
      <c r="D12" s="259"/>
      <c r="E12" s="264"/>
      <c r="F12" s="271"/>
      <c r="G12" s="16"/>
      <c r="H12" s="16"/>
      <c r="I12" s="17" t="s">
        <v>25</v>
      </c>
      <c r="J12" s="16" t="e">
        <f t="shared" ref="J12:R12" si="1">J11/J10*1</f>
        <v>#DIV/0!</v>
      </c>
      <c r="K12" s="16" t="e">
        <f t="shared" si="1"/>
        <v>#DIV/0!</v>
      </c>
      <c r="L12" s="16" t="e">
        <f t="shared" si="1"/>
        <v>#DIV/0!</v>
      </c>
      <c r="M12" s="16" t="e">
        <f t="shared" si="1"/>
        <v>#DIV/0!</v>
      </c>
      <c r="N12" s="16" t="e">
        <f t="shared" si="1"/>
        <v>#DIV/0!</v>
      </c>
      <c r="O12" s="16" t="e">
        <f t="shared" si="1"/>
        <v>#DIV/0!</v>
      </c>
      <c r="P12" s="16" t="e">
        <f t="shared" si="1"/>
        <v>#DIV/0!</v>
      </c>
      <c r="Q12" s="16" t="e">
        <f t="shared" si="1"/>
        <v>#DIV/0!</v>
      </c>
      <c r="R12" s="16" t="e">
        <f t="shared" si="1"/>
        <v>#DIV/0!</v>
      </c>
      <c r="S12" s="16" t="e">
        <f>S10/S11*1</f>
        <v>#DIV/0!</v>
      </c>
      <c r="T12" s="16" t="e">
        <f>T11/T10*1</f>
        <v>#DIV/0!</v>
      </c>
      <c r="U12" s="18" t="e">
        <f>U11/U10*1</f>
        <v>#DIV/0!</v>
      </c>
      <c r="V12" s="19" t="e">
        <f>V10/V11*1</f>
        <v>#DIV/0!</v>
      </c>
    </row>
    <row r="13" spans="1:22" ht="17.100000000000001" customHeight="1">
      <c r="A13" s="257"/>
      <c r="B13" s="259"/>
      <c r="C13" s="272" t="s">
        <v>28</v>
      </c>
      <c r="D13" s="259" t="s">
        <v>29</v>
      </c>
      <c r="E13" s="274" t="s">
        <v>30</v>
      </c>
      <c r="F13" s="275" t="s">
        <v>31</v>
      </c>
      <c r="G13" s="240">
        <v>30494106</v>
      </c>
      <c r="H13" s="241">
        <v>31553074</v>
      </c>
      <c r="I13" s="7" t="s">
        <v>23</v>
      </c>
      <c r="J13" s="21">
        <v>3000000</v>
      </c>
      <c r="K13" s="21">
        <v>3000000</v>
      </c>
      <c r="L13" s="21">
        <v>3000000</v>
      </c>
      <c r="M13" s="21">
        <v>3000000</v>
      </c>
      <c r="N13" s="21">
        <v>3000000</v>
      </c>
      <c r="O13" s="21">
        <v>3000000</v>
      </c>
      <c r="P13" s="21">
        <v>3000000</v>
      </c>
      <c r="Q13" s="21">
        <v>3000000</v>
      </c>
      <c r="R13" s="21">
        <v>3000000</v>
      </c>
      <c r="S13" s="21">
        <v>3000000</v>
      </c>
      <c r="T13" s="21">
        <v>3000000</v>
      </c>
      <c r="U13" s="21">
        <v>3000000</v>
      </c>
      <c r="V13" s="20">
        <f>SUM(J13:U13)</f>
        <v>36000000</v>
      </c>
    </row>
    <row r="14" spans="1:22" ht="17.100000000000001" customHeight="1">
      <c r="A14" s="257"/>
      <c r="B14" s="259"/>
      <c r="C14" s="272"/>
      <c r="D14" s="259"/>
      <c r="E14" s="274"/>
      <c r="F14" s="275"/>
      <c r="G14" s="242">
        <v>21293356</v>
      </c>
      <c r="H14" s="243">
        <v>23407148</v>
      </c>
      <c r="I14" s="12" t="s">
        <v>24</v>
      </c>
      <c r="J14" s="22">
        <v>2953345.4879240599</v>
      </c>
      <c r="K14" s="23">
        <v>2879764.9240413099</v>
      </c>
      <c r="L14" s="23">
        <v>2645132.3007173501</v>
      </c>
      <c r="M14" s="23">
        <v>2989948.4261921402</v>
      </c>
      <c r="N14" s="23">
        <v>2835023.83198134</v>
      </c>
      <c r="O14" s="23">
        <v>2814496.4015440699</v>
      </c>
      <c r="P14" s="23">
        <v>2927079.9589708298</v>
      </c>
      <c r="Q14" s="23">
        <v>2875908.6652484299</v>
      </c>
      <c r="R14" s="23">
        <v>2798716.9424386998</v>
      </c>
      <c r="S14" s="23">
        <v>2712572.6551495702</v>
      </c>
      <c r="T14" s="23">
        <v>2944460.8438335499</v>
      </c>
      <c r="U14" s="24">
        <v>2870697.6979026399</v>
      </c>
      <c r="V14" s="25">
        <f>SUM(J14:U14)</f>
        <v>34247148.135943994</v>
      </c>
    </row>
    <row r="15" spans="1:22" ht="17.100000000000001" customHeight="1">
      <c r="A15" s="257"/>
      <c r="B15" s="259"/>
      <c r="C15" s="272"/>
      <c r="D15" s="273"/>
      <c r="E15" s="274"/>
      <c r="F15" s="275"/>
      <c r="G15" s="16">
        <f>G14/G13</f>
        <v>0.6982777589872613</v>
      </c>
      <c r="H15" s="16">
        <f>H14/H13</f>
        <v>0.74183415536628861</v>
      </c>
      <c r="I15" s="17" t="s">
        <v>25</v>
      </c>
      <c r="J15" s="16">
        <f t="shared" ref="J15:V15" si="2">J14/J13*1</f>
        <v>0.98444849597468664</v>
      </c>
      <c r="K15" s="16">
        <f>K14/K13*1</f>
        <v>0.95992164134710334</v>
      </c>
      <c r="L15" s="16">
        <f t="shared" si="2"/>
        <v>0.88171076690578332</v>
      </c>
      <c r="M15" s="16">
        <f t="shared" si="2"/>
        <v>0.99664947539738002</v>
      </c>
      <c r="N15" s="16">
        <f t="shared" si="2"/>
        <v>0.94500794399377996</v>
      </c>
      <c r="O15" s="16">
        <f t="shared" si="2"/>
        <v>0.93816546718135663</v>
      </c>
      <c r="P15" s="16">
        <f t="shared" si="2"/>
        <v>0.97569331965694328</v>
      </c>
      <c r="Q15" s="16">
        <f t="shared" si="2"/>
        <v>0.9586362217494766</v>
      </c>
      <c r="R15" s="16">
        <f t="shared" si="2"/>
        <v>0.93290564747956661</v>
      </c>
      <c r="S15" s="16">
        <f t="shared" si="2"/>
        <v>0.90419088504985679</v>
      </c>
      <c r="T15" s="16">
        <f t="shared" si="2"/>
        <v>0.98148694794451663</v>
      </c>
      <c r="U15" s="18">
        <f t="shared" si="2"/>
        <v>0.95689923263421328</v>
      </c>
      <c r="V15" s="19">
        <f t="shared" si="2"/>
        <v>0.95130967044288872</v>
      </c>
    </row>
    <row r="16" spans="1:22" ht="17.100000000000001" customHeight="1">
      <c r="A16" s="257"/>
      <c r="B16" s="259"/>
      <c r="C16" s="282" t="s">
        <v>32</v>
      </c>
      <c r="D16" s="285" t="s">
        <v>29</v>
      </c>
      <c r="E16" s="274" t="s">
        <v>30</v>
      </c>
      <c r="F16" s="270" t="s">
        <v>33</v>
      </c>
      <c r="G16" s="6"/>
      <c r="H16" s="6"/>
      <c r="I16" s="7" t="s">
        <v>23</v>
      </c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7"/>
      <c r="V16" s="20">
        <f>SUM(J16:U16)</f>
        <v>0</v>
      </c>
    </row>
    <row r="17" spans="1:22" ht="17.100000000000001" customHeight="1">
      <c r="A17" s="257"/>
      <c r="B17" s="259"/>
      <c r="C17" s="283"/>
      <c r="D17" s="285"/>
      <c r="E17" s="274"/>
      <c r="F17" s="266"/>
      <c r="G17" s="11"/>
      <c r="H17" s="11"/>
      <c r="I17" s="12" t="s">
        <v>24</v>
      </c>
      <c r="J17" s="22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4"/>
      <c r="V17" s="25">
        <f>SUM(J17:U17)</f>
        <v>0</v>
      </c>
    </row>
    <row r="18" spans="1:22" ht="17.100000000000001" customHeight="1">
      <c r="A18" s="257"/>
      <c r="B18" s="259"/>
      <c r="C18" s="284"/>
      <c r="D18" s="285"/>
      <c r="E18" s="274"/>
      <c r="F18" s="271"/>
      <c r="G18" s="16"/>
      <c r="H18" s="16"/>
      <c r="I18" s="17" t="s">
        <v>25</v>
      </c>
      <c r="J18" s="16" t="e">
        <f t="shared" ref="J18:V18" si="3">J17/J16*1</f>
        <v>#DIV/0!</v>
      </c>
      <c r="K18" s="16" t="e">
        <f t="shared" si="3"/>
        <v>#DIV/0!</v>
      </c>
      <c r="L18" s="16" t="e">
        <f t="shared" si="3"/>
        <v>#DIV/0!</v>
      </c>
      <c r="M18" s="16" t="e">
        <f t="shared" si="3"/>
        <v>#DIV/0!</v>
      </c>
      <c r="N18" s="16" t="e">
        <f t="shared" si="3"/>
        <v>#DIV/0!</v>
      </c>
      <c r="O18" s="16" t="e">
        <f t="shared" si="3"/>
        <v>#DIV/0!</v>
      </c>
      <c r="P18" s="16" t="e">
        <f t="shared" si="3"/>
        <v>#DIV/0!</v>
      </c>
      <c r="Q18" s="16" t="e">
        <f t="shared" si="3"/>
        <v>#DIV/0!</v>
      </c>
      <c r="R18" s="16" t="e">
        <f t="shared" si="3"/>
        <v>#DIV/0!</v>
      </c>
      <c r="S18" s="16" t="e">
        <f t="shared" si="3"/>
        <v>#DIV/0!</v>
      </c>
      <c r="T18" s="16" t="e">
        <f t="shared" si="3"/>
        <v>#DIV/0!</v>
      </c>
      <c r="U18" s="18" t="e">
        <f t="shared" si="3"/>
        <v>#DIV/0!</v>
      </c>
      <c r="V18" s="19" t="e">
        <f t="shared" si="3"/>
        <v>#DIV/0!</v>
      </c>
    </row>
    <row r="19" spans="1:22" ht="17.100000000000001" customHeight="1">
      <c r="A19" s="257"/>
      <c r="B19" s="259"/>
      <c r="C19" s="282" t="s">
        <v>34</v>
      </c>
      <c r="D19" s="285" t="s">
        <v>29</v>
      </c>
      <c r="E19" s="274" t="s">
        <v>30</v>
      </c>
      <c r="F19" s="270" t="s">
        <v>35</v>
      </c>
      <c r="G19" s="6"/>
      <c r="H19" s="6"/>
      <c r="I19" s="7" t="s">
        <v>23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9"/>
      <c r="V19" s="30" t="e">
        <f>AVERAGE(J19:U19)</f>
        <v>#DIV/0!</v>
      </c>
    </row>
    <row r="20" spans="1:22" ht="17.100000000000001" customHeight="1">
      <c r="A20" s="257"/>
      <c r="B20" s="259"/>
      <c r="C20" s="283"/>
      <c r="D20" s="285"/>
      <c r="E20" s="274"/>
      <c r="F20" s="266"/>
      <c r="G20" s="11"/>
      <c r="H20" s="11"/>
      <c r="I20" s="12" t="s">
        <v>24</v>
      </c>
      <c r="J20" s="31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 t="e">
        <f>AVERAGE(J20:U20)</f>
        <v>#DIV/0!</v>
      </c>
    </row>
    <row r="21" spans="1:22" ht="17.100000000000001" customHeight="1">
      <c r="A21" s="257"/>
      <c r="B21" s="259"/>
      <c r="C21" s="284"/>
      <c r="D21" s="285"/>
      <c r="E21" s="274"/>
      <c r="F21" s="271"/>
      <c r="G21" s="16"/>
      <c r="H21" s="16"/>
      <c r="I21" s="17" t="s">
        <v>25</v>
      </c>
      <c r="J21" s="16" t="e">
        <f t="shared" ref="J21:V21" si="4">J20/J19*1</f>
        <v>#DIV/0!</v>
      </c>
      <c r="K21" s="16" t="e">
        <f t="shared" si="4"/>
        <v>#DIV/0!</v>
      </c>
      <c r="L21" s="16" t="e">
        <f t="shared" si="4"/>
        <v>#DIV/0!</v>
      </c>
      <c r="M21" s="16" t="e">
        <f t="shared" si="4"/>
        <v>#DIV/0!</v>
      </c>
      <c r="N21" s="16" t="e">
        <f t="shared" si="4"/>
        <v>#DIV/0!</v>
      </c>
      <c r="O21" s="16" t="e">
        <f t="shared" si="4"/>
        <v>#DIV/0!</v>
      </c>
      <c r="P21" s="16" t="e">
        <f t="shared" si="4"/>
        <v>#DIV/0!</v>
      </c>
      <c r="Q21" s="16" t="e">
        <f t="shared" si="4"/>
        <v>#DIV/0!</v>
      </c>
      <c r="R21" s="16" t="e">
        <f t="shared" si="4"/>
        <v>#DIV/0!</v>
      </c>
      <c r="S21" s="16" t="e">
        <f t="shared" si="4"/>
        <v>#DIV/0!</v>
      </c>
      <c r="T21" s="16" t="e">
        <f t="shared" si="4"/>
        <v>#DIV/0!</v>
      </c>
      <c r="U21" s="18" t="e">
        <f t="shared" si="4"/>
        <v>#DIV/0!</v>
      </c>
      <c r="V21" s="19" t="e">
        <f t="shared" si="4"/>
        <v>#DIV/0!</v>
      </c>
    </row>
    <row r="22" spans="1:22" ht="17.100000000000001" customHeight="1">
      <c r="A22" s="257"/>
      <c r="B22" s="259"/>
      <c r="C22" s="272" t="s">
        <v>36</v>
      </c>
      <c r="D22" s="259" t="s">
        <v>20</v>
      </c>
      <c r="E22" s="274" t="s">
        <v>37</v>
      </c>
      <c r="F22" s="275" t="s">
        <v>38</v>
      </c>
      <c r="G22" s="35">
        <v>60</v>
      </c>
      <c r="H22" s="6">
        <v>60</v>
      </c>
      <c r="I22" s="7" t="s">
        <v>23</v>
      </c>
      <c r="J22" s="36">
        <v>6</v>
      </c>
      <c r="K22" s="36">
        <v>6</v>
      </c>
      <c r="L22" s="36">
        <v>6</v>
      </c>
      <c r="M22" s="36">
        <v>6</v>
      </c>
      <c r="N22" s="36">
        <v>6</v>
      </c>
      <c r="O22" s="36">
        <v>6</v>
      </c>
      <c r="P22" s="36">
        <v>6</v>
      </c>
      <c r="Q22" s="36">
        <v>6</v>
      </c>
      <c r="R22" s="36">
        <v>6</v>
      </c>
      <c r="S22" s="36">
        <v>6</v>
      </c>
      <c r="T22" s="36">
        <v>6</v>
      </c>
      <c r="U22" s="36">
        <v>6</v>
      </c>
      <c r="V22" s="10">
        <f>SUM(J22:U22)</f>
        <v>72</v>
      </c>
    </row>
    <row r="23" spans="1:22" ht="17.100000000000001" customHeight="1">
      <c r="A23" s="257"/>
      <c r="B23" s="259"/>
      <c r="C23" s="272"/>
      <c r="D23" s="259"/>
      <c r="E23" s="274"/>
      <c r="F23" s="275"/>
      <c r="G23" s="11">
        <v>14</v>
      </c>
      <c r="H23" s="11">
        <v>11</v>
      </c>
      <c r="I23" s="12" t="s">
        <v>24</v>
      </c>
      <c r="J23" s="13">
        <v>6</v>
      </c>
      <c r="K23" s="13">
        <v>7</v>
      </c>
      <c r="L23" s="13">
        <v>5</v>
      </c>
      <c r="M23" s="13">
        <v>7</v>
      </c>
      <c r="N23" s="13">
        <v>6</v>
      </c>
      <c r="O23" s="13">
        <v>5</v>
      </c>
      <c r="P23" s="13">
        <v>7</v>
      </c>
      <c r="Q23" s="13">
        <v>6</v>
      </c>
      <c r="R23" s="13">
        <v>6</v>
      </c>
      <c r="S23" s="13">
        <v>8</v>
      </c>
      <c r="T23" s="13">
        <v>4</v>
      </c>
      <c r="U23" s="14">
        <v>4</v>
      </c>
      <c r="V23" s="15">
        <f>SUM(J23:U23)</f>
        <v>71</v>
      </c>
    </row>
    <row r="24" spans="1:22" ht="17.100000000000001" customHeight="1">
      <c r="A24" s="257"/>
      <c r="B24" s="259"/>
      <c r="C24" s="272"/>
      <c r="D24" s="259"/>
      <c r="E24" s="274"/>
      <c r="F24" s="275"/>
      <c r="G24" s="16">
        <f>G23/G22</f>
        <v>0.23333333333333334</v>
      </c>
      <c r="H24" s="16">
        <f>H23/H22</f>
        <v>0.18333333333333332</v>
      </c>
      <c r="I24" s="17" t="s">
        <v>25</v>
      </c>
      <c r="J24" s="37">
        <f t="shared" ref="J24:V24" si="5">J23/J22*1</f>
        <v>1</v>
      </c>
      <c r="K24" s="37">
        <f t="shared" si="5"/>
        <v>1.1666666666666667</v>
      </c>
      <c r="L24" s="37">
        <f t="shared" si="5"/>
        <v>0.83333333333333337</v>
      </c>
      <c r="M24" s="37">
        <f t="shared" si="5"/>
        <v>1.1666666666666667</v>
      </c>
      <c r="N24" s="37">
        <f t="shared" si="5"/>
        <v>1</v>
      </c>
      <c r="O24" s="37">
        <f t="shared" si="5"/>
        <v>0.83333333333333337</v>
      </c>
      <c r="P24" s="37">
        <f t="shared" si="5"/>
        <v>1.1666666666666667</v>
      </c>
      <c r="Q24" s="37">
        <f t="shared" si="5"/>
        <v>1</v>
      </c>
      <c r="R24" s="37">
        <f t="shared" si="5"/>
        <v>1</v>
      </c>
      <c r="S24" s="37">
        <f t="shared" si="5"/>
        <v>1.3333333333333333</v>
      </c>
      <c r="T24" s="37">
        <f t="shared" si="5"/>
        <v>0.66666666666666663</v>
      </c>
      <c r="U24" s="38">
        <f t="shared" si="5"/>
        <v>0.66666666666666663</v>
      </c>
      <c r="V24" s="19">
        <f t="shared" si="5"/>
        <v>0.98611111111111116</v>
      </c>
    </row>
    <row r="25" spans="1:22" ht="17.100000000000001" customHeight="1">
      <c r="A25" s="257"/>
      <c r="B25" s="259"/>
      <c r="C25" s="280" t="s">
        <v>39</v>
      </c>
      <c r="D25" s="272" t="s">
        <v>40</v>
      </c>
      <c r="E25" s="263" t="s">
        <v>21</v>
      </c>
      <c r="F25" s="275" t="s">
        <v>41</v>
      </c>
      <c r="G25" s="35">
        <v>12</v>
      </c>
      <c r="H25" s="6">
        <v>12</v>
      </c>
      <c r="I25" s="7" t="s">
        <v>23</v>
      </c>
      <c r="J25" s="36">
        <v>1</v>
      </c>
      <c r="K25" s="36">
        <v>1</v>
      </c>
      <c r="L25" s="39">
        <v>1</v>
      </c>
      <c r="M25" s="36">
        <v>1</v>
      </c>
      <c r="N25" s="36">
        <v>1</v>
      </c>
      <c r="O25" s="36">
        <v>1</v>
      </c>
      <c r="P25" s="36">
        <v>1</v>
      </c>
      <c r="Q25" s="36">
        <v>1</v>
      </c>
      <c r="R25" s="36">
        <v>1</v>
      </c>
      <c r="S25" s="36">
        <v>1</v>
      </c>
      <c r="T25" s="40">
        <v>1</v>
      </c>
      <c r="U25" s="40"/>
      <c r="V25" s="10">
        <f>SUM(J25:U25)</f>
        <v>11</v>
      </c>
    </row>
    <row r="26" spans="1:22" ht="17.100000000000001" customHeight="1">
      <c r="A26" s="257"/>
      <c r="B26" s="259"/>
      <c r="C26" s="280"/>
      <c r="D26" s="272"/>
      <c r="E26" s="264"/>
      <c r="F26" s="275"/>
      <c r="G26" s="11">
        <v>0</v>
      </c>
      <c r="H26" s="11">
        <v>0</v>
      </c>
      <c r="I26" s="12" t="s">
        <v>24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4">
        <v>0</v>
      </c>
      <c r="U26" s="14"/>
      <c r="V26" s="15">
        <f>SUM(J26:U26)</f>
        <v>0</v>
      </c>
    </row>
    <row r="27" spans="1:22" ht="17.100000000000001" customHeight="1" thickBot="1">
      <c r="A27" s="249"/>
      <c r="B27" s="259"/>
      <c r="C27" s="260"/>
      <c r="D27" s="262"/>
      <c r="E27" s="281"/>
      <c r="F27" s="270"/>
      <c r="G27" s="16">
        <f>G26/G25</f>
        <v>0</v>
      </c>
      <c r="H27" s="16">
        <f>H26/H25</f>
        <v>0</v>
      </c>
      <c r="I27" s="17" t="s">
        <v>25</v>
      </c>
      <c r="J27" s="41">
        <f t="shared" ref="J27:R27" si="6">J26/J25*1</f>
        <v>0</v>
      </c>
      <c r="K27" s="41">
        <f t="shared" si="6"/>
        <v>0</v>
      </c>
      <c r="L27" s="41">
        <f t="shared" si="6"/>
        <v>0</v>
      </c>
      <c r="M27" s="41">
        <f t="shared" si="6"/>
        <v>0</v>
      </c>
      <c r="N27" s="41">
        <f t="shared" si="6"/>
        <v>0</v>
      </c>
      <c r="O27" s="41">
        <f t="shared" si="6"/>
        <v>0</v>
      </c>
      <c r="P27" s="41">
        <f t="shared" si="6"/>
        <v>0</v>
      </c>
      <c r="Q27" s="41">
        <f t="shared" si="6"/>
        <v>0</v>
      </c>
      <c r="R27" s="41">
        <f t="shared" si="6"/>
        <v>0</v>
      </c>
      <c r="S27" s="42" t="e">
        <f>S25/S26*1</f>
        <v>#DIV/0!</v>
      </c>
      <c r="T27" s="41">
        <f>T26/T25*1</f>
        <v>0</v>
      </c>
      <c r="U27" s="43" t="e">
        <f>U26/U25*1</f>
        <v>#DIV/0!</v>
      </c>
      <c r="V27" s="44" t="e">
        <f>V25/V26*1</f>
        <v>#DIV/0!</v>
      </c>
    </row>
    <row r="28" spans="1:22" ht="17.100000000000001" customHeight="1">
      <c r="A28" s="257">
        <v>2</v>
      </c>
      <c r="B28" s="295" t="s">
        <v>42</v>
      </c>
      <c r="C28" s="298" t="s">
        <v>43</v>
      </c>
      <c r="D28" s="298" t="s">
        <v>44</v>
      </c>
      <c r="E28" s="263" t="s">
        <v>21</v>
      </c>
      <c r="F28" s="300" t="s">
        <v>45</v>
      </c>
      <c r="G28" s="35">
        <v>100</v>
      </c>
      <c r="H28" s="6">
        <v>100</v>
      </c>
      <c r="I28" s="7" t="s">
        <v>23</v>
      </c>
      <c r="J28" s="45">
        <v>100</v>
      </c>
      <c r="K28" s="45">
        <v>100</v>
      </c>
      <c r="L28" s="45">
        <v>100</v>
      </c>
      <c r="M28" s="45">
        <v>100</v>
      </c>
      <c r="N28" s="45">
        <v>100</v>
      </c>
      <c r="O28" s="45">
        <v>100</v>
      </c>
      <c r="P28" s="45">
        <v>100</v>
      </c>
      <c r="Q28" s="45">
        <v>100</v>
      </c>
      <c r="R28" s="45">
        <v>100</v>
      </c>
      <c r="S28" s="45">
        <v>100</v>
      </c>
      <c r="T28" s="45">
        <v>100</v>
      </c>
      <c r="U28" s="45">
        <v>100</v>
      </c>
      <c r="V28" s="46">
        <f>AVERAGE(J28:U28)</f>
        <v>100</v>
      </c>
    </row>
    <row r="29" spans="1:22" ht="17.100000000000001" customHeight="1">
      <c r="A29" s="257"/>
      <c r="B29" s="296"/>
      <c r="C29" s="299"/>
      <c r="D29" s="299"/>
      <c r="E29" s="264"/>
      <c r="F29" s="301"/>
      <c r="G29" s="11">
        <v>26.4</v>
      </c>
      <c r="H29" s="11">
        <v>22.3</v>
      </c>
      <c r="I29" s="12" t="s">
        <v>24</v>
      </c>
      <c r="J29" s="47">
        <v>50</v>
      </c>
      <c r="K29" s="47">
        <v>0</v>
      </c>
      <c r="L29" s="47">
        <v>30</v>
      </c>
      <c r="M29" s="47">
        <v>0</v>
      </c>
      <c r="N29" s="47">
        <v>32</v>
      </c>
      <c r="O29" s="47">
        <v>0</v>
      </c>
      <c r="P29" s="47">
        <v>0</v>
      </c>
      <c r="Q29" s="47">
        <v>25</v>
      </c>
      <c r="R29" s="47">
        <v>50</v>
      </c>
      <c r="S29" s="47">
        <v>30</v>
      </c>
      <c r="T29" s="47">
        <v>30</v>
      </c>
      <c r="U29" s="47">
        <v>0</v>
      </c>
      <c r="V29" s="25">
        <f>AVERAGE(J29:U29)</f>
        <v>20.583333333333332</v>
      </c>
    </row>
    <row r="30" spans="1:22" ht="17.100000000000001" customHeight="1">
      <c r="A30" s="257"/>
      <c r="B30" s="296"/>
      <c r="C30" s="288"/>
      <c r="D30" s="288"/>
      <c r="E30" s="264"/>
      <c r="F30" s="302"/>
      <c r="G30" s="16">
        <f>G29/G28</f>
        <v>0.26400000000000001</v>
      </c>
      <c r="H30" s="16">
        <f>H29/H28</f>
        <v>0.223</v>
      </c>
      <c r="I30" s="17" t="s">
        <v>25</v>
      </c>
      <c r="J30" s="16">
        <f>J29/J28*1</f>
        <v>0.5</v>
      </c>
      <c r="K30" s="16">
        <f t="shared" ref="K30:U30" si="7">K29/K28*1</f>
        <v>0</v>
      </c>
      <c r="L30" s="16">
        <f t="shared" si="7"/>
        <v>0.3</v>
      </c>
      <c r="M30" s="16">
        <f t="shared" si="7"/>
        <v>0</v>
      </c>
      <c r="N30" s="16">
        <f t="shared" si="7"/>
        <v>0.32</v>
      </c>
      <c r="O30" s="16">
        <f t="shared" si="7"/>
        <v>0</v>
      </c>
      <c r="P30" s="16">
        <f t="shared" si="7"/>
        <v>0</v>
      </c>
      <c r="Q30" s="16">
        <f t="shared" si="7"/>
        <v>0.25</v>
      </c>
      <c r="R30" s="16">
        <f t="shared" si="7"/>
        <v>0.5</v>
      </c>
      <c r="S30" s="16">
        <f t="shared" si="7"/>
        <v>0.3</v>
      </c>
      <c r="T30" s="16">
        <f t="shared" si="7"/>
        <v>0.3</v>
      </c>
      <c r="U30" s="16">
        <f t="shared" si="7"/>
        <v>0</v>
      </c>
      <c r="V30" s="19">
        <f>V29/V28*1</f>
        <v>0.20583333333333331</v>
      </c>
    </row>
    <row r="31" spans="1:22" ht="17.100000000000001" customHeight="1">
      <c r="A31" s="257"/>
      <c r="B31" s="296"/>
      <c r="C31" s="287" t="s">
        <v>46</v>
      </c>
      <c r="D31" s="290" t="s">
        <v>47</v>
      </c>
      <c r="E31" s="292" t="s">
        <v>21</v>
      </c>
      <c r="F31" s="304" t="s">
        <v>48</v>
      </c>
      <c r="G31" s="35">
        <v>24</v>
      </c>
      <c r="H31" s="6">
        <v>24</v>
      </c>
      <c r="I31" s="7" t="s">
        <v>23</v>
      </c>
      <c r="J31" s="48">
        <v>2</v>
      </c>
      <c r="K31" s="48">
        <v>2</v>
      </c>
      <c r="L31" s="48">
        <v>2</v>
      </c>
      <c r="M31" s="48">
        <v>2</v>
      </c>
      <c r="N31" s="48">
        <v>2</v>
      </c>
      <c r="O31" s="48">
        <v>2</v>
      </c>
      <c r="P31" s="48">
        <v>2</v>
      </c>
      <c r="Q31" s="48">
        <v>2</v>
      </c>
      <c r="R31" s="48">
        <v>2</v>
      </c>
      <c r="S31" s="48">
        <v>2</v>
      </c>
      <c r="T31" s="48">
        <v>2</v>
      </c>
      <c r="U31" s="48">
        <v>2</v>
      </c>
      <c r="V31" s="20">
        <f>SUM(J31:U31)</f>
        <v>24</v>
      </c>
    </row>
    <row r="32" spans="1:22" ht="17.100000000000001" customHeight="1">
      <c r="A32" s="257"/>
      <c r="B32" s="296"/>
      <c r="C32" s="299"/>
      <c r="D32" s="303"/>
      <c r="E32" s="292"/>
      <c r="F32" s="301"/>
      <c r="G32" s="11">
        <v>11</v>
      </c>
      <c r="H32" s="11">
        <v>9</v>
      </c>
      <c r="I32" s="12" t="s">
        <v>24</v>
      </c>
      <c r="J32" s="49">
        <v>1</v>
      </c>
      <c r="K32" s="49">
        <v>0</v>
      </c>
      <c r="L32" s="49">
        <v>1</v>
      </c>
      <c r="M32" s="49">
        <v>0</v>
      </c>
      <c r="N32" s="49">
        <v>1</v>
      </c>
      <c r="O32" s="49">
        <v>0</v>
      </c>
      <c r="P32" s="49">
        <v>0</v>
      </c>
      <c r="Q32" s="49">
        <v>1</v>
      </c>
      <c r="R32" s="49">
        <v>2</v>
      </c>
      <c r="S32" s="49">
        <v>1</v>
      </c>
      <c r="T32" s="49">
        <v>1</v>
      </c>
      <c r="U32" s="49">
        <v>0</v>
      </c>
      <c r="V32" s="25">
        <f>SUM(J32:U32)</f>
        <v>8</v>
      </c>
    </row>
    <row r="33" spans="1:22" ht="17.100000000000001" customHeight="1">
      <c r="A33" s="257"/>
      <c r="B33" s="296"/>
      <c r="C33" s="288"/>
      <c r="D33" s="291"/>
      <c r="E33" s="292"/>
      <c r="F33" s="302"/>
      <c r="G33" s="16">
        <f>G32/G31</f>
        <v>0.45833333333333331</v>
      </c>
      <c r="H33" s="16">
        <f>H32/H31</f>
        <v>0.375</v>
      </c>
      <c r="I33" s="17" t="s">
        <v>25</v>
      </c>
      <c r="J33" s="16">
        <f t="shared" ref="J33:U33" si="8">J32/J31*1</f>
        <v>0.5</v>
      </c>
      <c r="K33" s="16">
        <f t="shared" si="8"/>
        <v>0</v>
      </c>
      <c r="L33" s="16">
        <f t="shared" si="8"/>
        <v>0.5</v>
      </c>
      <c r="M33" s="16">
        <f t="shared" si="8"/>
        <v>0</v>
      </c>
      <c r="N33" s="16">
        <f t="shared" si="8"/>
        <v>0.5</v>
      </c>
      <c r="O33" s="16">
        <f t="shared" si="8"/>
        <v>0</v>
      </c>
      <c r="P33" s="16">
        <f t="shared" si="8"/>
        <v>0</v>
      </c>
      <c r="Q33" s="16">
        <f t="shared" si="8"/>
        <v>0.5</v>
      </c>
      <c r="R33" s="16">
        <f t="shared" si="8"/>
        <v>1</v>
      </c>
      <c r="S33" s="16">
        <f t="shared" si="8"/>
        <v>0.5</v>
      </c>
      <c r="T33" s="16">
        <f t="shared" si="8"/>
        <v>0.5</v>
      </c>
      <c r="U33" s="16">
        <f t="shared" si="8"/>
        <v>0</v>
      </c>
      <c r="V33" s="19">
        <f>V32/V31</f>
        <v>0.33333333333333331</v>
      </c>
    </row>
    <row r="34" spans="1:22" ht="17.100000000000001" customHeight="1">
      <c r="A34" s="257"/>
      <c r="B34" s="296"/>
      <c r="C34" s="286" t="s">
        <v>49</v>
      </c>
      <c r="D34" s="289" t="s">
        <v>44</v>
      </c>
      <c r="E34" s="292" t="s">
        <v>21</v>
      </c>
      <c r="F34" s="270" t="s">
        <v>50</v>
      </c>
      <c r="G34" s="35">
        <v>36</v>
      </c>
      <c r="H34" s="6">
        <v>36</v>
      </c>
      <c r="I34" s="7" t="s">
        <v>23</v>
      </c>
      <c r="J34" s="35">
        <v>3</v>
      </c>
      <c r="K34" s="35">
        <v>3</v>
      </c>
      <c r="L34" s="35">
        <v>3</v>
      </c>
      <c r="M34" s="35">
        <v>3</v>
      </c>
      <c r="N34" s="35">
        <v>3</v>
      </c>
      <c r="O34" s="35">
        <v>3</v>
      </c>
      <c r="P34" s="35">
        <v>3</v>
      </c>
      <c r="Q34" s="35">
        <v>3</v>
      </c>
      <c r="R34" s="35">
        <v>3</v>
      </c>
      <c r="S34" s="35">
        <v>3</v>
      </c>
      <c r="T34" s="35">
        <v>3</v>
      </c>
      <c r="U34" s="35">
        <v>3</v>
      </c>
      <c r="V34" s="10">
        <f>SUM(J34:U34)</f>
        <v>36</v>
      </c>
    </row>
    <row r="35" spans="1:22" ht="17.100000000000001" customHeight="1">
      <c r="A35" s="257"/>
      <c r="B35" s="296"/>
      <c r="C35" s="287"/>
      <c r="D35" s="290"/>
      <c r="E35" s="292"/>
      <c r="F35" s="266"/>
      <c r="G35" s="11">
        <v>15</v>
      </c>
      <c r="H35" s="11">
        <v>13</v>
      </c>
      <c r="I35" s="12" t="s">
        <v>24</v>
      </c>
      <c r="J35" s="50">
        <v>1</v>
      </c>
      <c r="K35" s="50">
        <v>1</v>
      </c>
      <c r="L35" s="50">
        <v>2</v>
      </c>
      <c r="M35" s="50">
        <v>0</v>
      </c>
      <c r="N35" s="50">
        <v>1</v>
      </c>
      <c r="O35" s="50">
        <v>1</v>
      </c>
      <c r="P35" s="50">
        <v>1</v>
      </c>
      <c r="Q35" s="50">
        <v>2</v>
      </c>
      <c r="R35" s="50">
        <v>1</v>
      </c>
      <c r="S35" s="50">
        <v>1</v>
      </c>
      <c r="T35" s="50">
        <v>1</v>
      </c>
      <c r="U35" s="50">
        <v>1</v>
      </c>
      <c r="V35" s="15">
        <f>SUM(J35:U35)</f>
        <v>13</v>
      </c>
    </row>
    <row r="36" spans="1:22" ht="17.100000000000001" customHeight="1">
      <c r="A36" s="257"/>
      <c r="B36" s="296"/>
      <c r="C36" s="288"/>
      <c r="D36" s="291"/>
      <c r="E36" s="292"/>
      <c r="F36" s="271"/>
      <c r="G36" s="16">
        <f>G35/G34</f>
        <v>0.41666666666666669</v>
      </c>
      <c r="H36" s="16">
        <f>H35/H34</f>
        <v>0.3611111111111111</v>
      </c>
      <c r="I36" s="17" t="s">
        <v>25</v>
      </c>
      <c r="J36" s="16">
        <f t="shared" ref="J36:U36" si="9">J35/J34*1</f>
        <v>0.33333333333333331</v>
      </c>
      <c r="K36" s="16">
        <f t="shared" si="9"/>
        <v>0.33333333333333331</v>
      </c>
      <c r="L36" s="16">
        <f t="shared" si="9"/>
        <v>0.66666666666666663</v>
      </c>
      <c r="M36" s="16">
        <f t="shared" si="9"/>
        <v>0</v>
      </c>
      <c r="N36" s="16">
        <f t="shared" si="9"/>
        <v>0.33333333333333331</v>
      </c>
      <c r="O36" s="16">
        <f t="shared" si="9"/>
        <v>0.33333333333333331</v>
      </c>
      <c r="P36" s="16">
        <f t="shared" si="9"/>
        <v>0.33333333333333331</v>
      </c>
      <c r="Q36" s="16">
        <f t="shared" si="9"/>
        <v>0.66666666666666663</v>
      </c>
      <c r="R36" s="16">
        <f t="shared" si="9"/>
        <v>0.33333333333333331</v>
      </c>
      <c r="S36" s="16">
        <f t="shared" si="9"/>
        <v>0.33333333333333331</v>
      </c>
      <c r="T36" s="16">
        <f t="shared" si="9"/>
        <v>0.33333333333333331</v>
      </c>
      <c r="U36" s="18">
        <f t="shared" si="9"/>
        <v>0.33333333333333331</v>
      </c>
      <c r="V36" s="19">
        <f>V35/V34</f>
        <v>0.3611111111111111</v>
      </c>
    </row>
    <row r="37" spans="1:22" ht="17.100000000000001" customHeight="1">
      <c r="A37" s="257"/>
      <c r="B37" s="296"/>
      <c r="C37" s="293" t="s">
        <v>51</v>
      </c>
      <c r="D37" s="294" t="s">
        <v>44</v>
      </c>
      <c r="E37" s="292" t="s">
        <v>21</v>
      </c>
      <c r="F37" s="275" t="s">
        <v>52</v>
      </c>
      <c r="G37" s="35">
        <v>28</v>
      </c>
      <c r="H37" s="6">
        <v>28</v>
      </c>
      <c r="I37" s="7" t="s">
        <v>23</v>
      </c>
      <c r="J37" s="48">
        <v>2</v>
      </c>
      <c r="K37" s="48">
        <v>2</v>
      </c>
      <c r="L37" s="48">
        <v>2</v>
      </c>
      <c r="M37" s="48">
        <v>3</v>
      </c>
      <c r="N37" s="48">
        <v>2</v>
      </c>
      <c r="O37" s="48">
        <v>2</v>
      </c>
      <c r="P37" s="48">
        <v>2</v>
      </c>
      <c r="Q37" s="48">
        <v>2</v>
      </c>
      <c r="R37" s="48">
        <v>2</v>
      </c>
      <c r="S37" s="48">
        <v>2</v>
      </c>
      <c r="T37" s="48">
        <v>2</v>
      </c>
      <c r="U37" s="48">
        <v>2</v>
      </c>
      <c r="V37" s="10">
        <f>SUM(J37:U37)</f>
        <v>25</v>
      </c>
    </row>
    <row r="38" spans="1:22" ht="17.100000000000001" customHeight="1">
      <c r="A38" s="257"/>
      <c r="B38" s="296"/>
      <c r="C38" s="293"/>
      <c r="D38" s="294"/>
      <c r="E38" s="292"/>
      <c r="F38" s="275"/>
      <c r="G38" s="11">
        <v>13</v>
      </c>
      <c r="H38" s="11">
        <v>10</v>
      </c>
      <c r="I38" s="12" t="s">
        <v>24</v>
      </c>
      <c r="J38" s="51">
        <v>1</v>
      </c>
      <c r="K38" s="51">
        <v>0</v>
      </c>
      <c r="L38" s="51">
        <v>1</v>
      </c>
      <c r="M38" s="51">
        <v>1</v>
      </c>
      <c r="N38" s="51">
        <v>0</v>
      </c>
      <c r="O38" s="51">
        <v>0</v>
      </c>
      <c r="P38" s="51">
        <v>2</v>
      </c>
      <c r="Q38" s="51">
        <v>0</v>
      </c>
      <c r="R38" s="51">
        <v>1</v>
      </c>
      <c r="S38" s="51">
        <v>1</v>
      </c>
      <c r="T38" s="51">
        <v>0</v>
      </c>
      <c r="U38" s="51">
        <v>1</v>
      </c>
      <c r="V38" s="15">
        <f>SUM(J38:U38)</f>
        <v>8</v>
      </c>
    </row>
    <row r="39" spans="1:22" ht="17.100000000000001" customHeight="1">
      <c r="A39" s="257"/>
      <c r="B39" s="296"/>
      <c r="C39" s="293"/>
      <c r="D39" s="294"/>
      <c r="E39" s="292"/>
      <c r="F39" s="275"/>
      <c r="G39" s="16">
        <f>G38/G37</f>
        <v>0.4642857142857143</v>
      </c>
      <c r="H39" s="16">
        <f>H38/H37</f>
        <v>0.35714285714285715</v>
      </c>
      <c r="I39" s="17" t="s">
        <v>25</v>
      </c>
      <c r="J39" s="16">
        <f t="shared" ref="J39:V39" si="10">J38/J37*1</f>
        <v>0.5</v>
      </c>
      <c r="K39" s="16">
        <f t="shared" si="10"/>
        <v>0</v>
      </c>
      <c r="L39" s="16">
        <f t="shared" si="10"/>
        <v>0.5</v>
      </c>
      <c r="M39" s="16">
        <f t="shared" si="10"/>
        <v>0.33333333333333331</v>
      </c>
      <c r="N39" s="16">
        <f t="shared" si="10"/>
        <v>0</v>
      </c>
      <c r="O39" s="16">
        <f t="shared" si="10"/>
        <v>0</v>
      </c>
      <c r="P39" s="16">
        <f t="shared" si="10"/>
        <v>1</v>
      </c>
      <c r="Q39" s="16">
        <f t="shared" si="10"/>
        <v>0</v>
      </c>
      <c r="R39" s="16">
        <f t="shared" si="10"/>
        <v>0.5</v>
      </c>
      <c r="S39" s="16">
        <f t="shared" si="10"/>
        <v>0.5</v>
      </c>
      <c r="T39" s="16">
        <f t="shared" si="10"/>
        <v>0</v>
      </c>
      <c r="U39" s="16">
        <f t="shared" si="10"/>
        <v>0.5</v>
      </c>
      <c r="V39" s="52">
        <f t="shared" si="10"/>
        <v>0.32</v>
      </c>
    </row>
    <row r="40" spans="1:22" ht="16.5" customHeight="1">
      <c r="A40" s="257"/>
      <c r="B40" s="296"/>
      <c r="C40" s="287" t="s">
        <v>53</v>
      </c>
      <c r="D40" s="293" t="s">
        <v>44</v>
      </c>
      <c r="E40" s="264" t="s">
        <v>21</v>
      </c>
      <c r="F40" s="304" t="s">
        <v>54</v>
      </c>
      <c r="G40" s="35">
        <v>600</v>
      </c>
      <c r="H40" s="6">
        <v>600</v>
      </c>
      <c r="I40" s="7" t="s">
        <v>23</v>
      </c>
      <c r="J40" s="53">
        <v>50</v>
      </c>
      <c r="K40" s="53">
        <v>50</v>
      </c>
      <c r="L40" s="53">
        <v>50</v>
      </c>
      <c r="M40" s="53">
        <v>50</v>
      </c>
      <c r="N40" s="53">
        <v>50</v>
      </c>
      <c r="O40" s="53">
        <v>50</v>
      </c>
      <c r="P40" s="53">
        <v>50</v>
      </c>
      <c r="Q40" s="53">
        <v>50</v>
      </c>
      <c r="R40" s="53">
        <v>50</v>
      </c>
      <c r="S40" s="53">
        <v>50</v>
      </c>
      <c r="T40" s="53">
        <v>50</v>
      </c>
      <c r="U40" s="53">
        <v>50</v>
      </c>
      <c r="V40" s="54">
        <f>SUM(J40:U40)</f>
        <v>600</v>
      </c>
    </row>
    <row r="41" spans="1:22" ht="17.100000000000001" customHeight="1">
      <c r="A41" s="257"/>
      <c r="B41" s="296"/>
      <c r="C41" s="299"/>
      <c r="D41" s="293"/>
      <c r="E41" s="264"/>
      <c r="F41" s="301"/>
      <c r="G41" s="11">
        <v>221</v>
      </c>
      <c r="H41" s="11">
        <v>212</v>
      </c>
      <c r="I41" s="12" t="s">
        <v>24</v>
      </c>
      <c r="J41" s="47">
        <v>10</v>
      </c>
      <c r="K41" s="47">
        <v>25</v>
      </c>
      <c r="L41" s="47">
        <v>15</v>
      </c>
      <c r="M41" s="47">
        <v>17</v>
      </c>
      <c r="N41" s="47">
        <v>13</v>
      </c>
      <c r="O41" s="47">
        <v>9</v>
      </c>
      <c r="P41" s="47">
        <v>21</v>
      </c>
      <c r="Q41" s="47">
        <v>16</v>
      </c>
      <c r="R41" s="47">
        <v>25</v>
      </c>
      <c r="S41" s="47">
        <v>28</v>
      </c>
      <c r="T41" s="47">
        <v>19</v>
      </c>
      <c r="U41" s="47">
        <v>11</v>
      </c>
      <c r="V41" s="55">
        <f>SUM(J41:U41)</f>
        <v>209</v>
      </c>
    </row>
    <row r="42" spans="1:22" ht="17.100000000000001" customHeight="1" thickBot="1">
      <c r="A42" s="249"/>
      <c r="B42" s="297"/>
      <c r="C42" s="305"/>
      <c r="D42" s="293"/>
      <c r="E42" s="281"/>
      <c r="F42" s="306"/>
      <c r="G42" s="16">
        <f>G41/G40</f>
        <v>0.36833333333333335</v>
      </c>
      <c r="H42" s="16">
        <f>H41/H40</f>
        <v>0.35333333333333333</v>
      </c>
      <c r="I42" s="17" t="s">
        <v>25</v>
      </c>
      <c r="J42" s="56">
        <f t="shared" ref="J42:U42" si="11">J40/J41*1</f>
        <v>5</v>
      </c>
      <c r="K42" s="56">
        <f t="shared" si="11"/>
        <v>2</v>
      </c>
      <c r="L42" s="56">
        <f t="shared" si="11"/>
        <v>3.3333333333333335</v>
      </c>
      <c r="M42" s="56">
        <f t="shared" si="11"/>
        <v>2.9411764705882355</v>
      </c>
      <c r="N42" s="56">
        <f t="shared" si="11"/>
        <v>3.8461538461538463</v>
      </c>
      <c r="O42" s="56">
        <f t="shared" si="11"/>
        <v>5.5555555555555554</v>
      </c>
      <c r="P42" s="56">
        <f t="shared" si="11"/>
        <v>2.3809523809523809</v>
      </c>
      <c r="Q42" s="56">
        <f t="shared" si="11"/>
        <v>3.125</v>
      </c>
      <c r="R42" s="56">
        <f t="shared" si="11"/>
        <v>2</v>
      </c>
      <c r="S42" s="56">
        <f t="shared" si="11"/>
        <v>1.7857142857142858</v>
      </c>
      <c r="T42" s="56">
        <f t="shared" si="11"/>
        <v>2.6315789473684212</v>
      </c>
      <c r="U42" s="57">
        <f t="shared" si="11"/>
        <v>4.5454545454545459</v>
      </c>
      <c r="V42" s="58">
        <f>V41/V40*1</f>
        <v>0.34833333333333333</v>
      </c>
    </row>
    <row r="43" spans="1:22" ht="17.100000000000001" customHeight="1">
      <c r="A43" s="257">
        <v>3</v>
      </c>
      <c r="B43" s="258" t="s">
        <v>55</v>
      </c>
      <c r="C43" s="259" t="s">
        <v>56</v>
      </c>
      <c r="D43" s="258" t="s">
        <v>57</v>
      </c>
      <c r="E43" s="308" t="s">
        <v>58</v>
      </c>
      <c r="F43" s="266" t="s">
        <v>31</v>
      </c>
      <c r="G43" s="35">
        <v>58</v>
      </c>
      <c r="H43" s="6">
        <v>64</v>
      </c>
      <c r="I43" s="7" t="s">
        <v>23</v>
      </c>
      <c r="J43" s="59">
        <v>6</v>
      </c>
      <c r="K43" s="60">
        <v>6</v>
      </c>
      <c r="L43" s="60">
        <v>6</v>
      </c>
      <c r="M43" s="60">
        <v>6</v>
      </c>
      <c r="N43" s="60">
        <v>5</v>
      </c>
      <c r="O43" s="60">
        <v>5</v>
      </c>
      <c r="P43" s="60">
        <v>5</v>
      </c>
      <c r="Q43" s="60">
        <v>5</v>
      </c>
      <c r="R43" s="60">
        <v>5</v>
      </c>
      <c r="S43" s="60">
        <v>6</v>
      </c>
      <c r="T43" s="60">
        <v>6</v>
      </c>
      <c r="U43" s="61">
        <v>6</v>
      </c>
      <c r="V43" s="54">
        <f>SUM(J43:U43)</f>
        <v>67</v>
      </c>
    </row>
    <row r="44" spans="1:22" ht="17.100000000000001" customHeight="1">
      <c r="A44" s="257"/>
      <c r="B44" s="259"/>
      <c r="C44" s="259"/>
      <c r="D44" s="259"/>
      <c r="E44" s="264"/>
      <c r="F44" s="266"/>
      <c r="G44" s="11">
        <v>60</v>
      </c>
      <c r="H44" s="11">
        <v>65</v>
      </c>
      <c r="I44" s="12" t="s">
        <v>24</v>
      </c>
      <c r="J44" s="62">
        <v>7</v>
      </c>
      <c r="K44" s="63">
        <v>6</v>
      </c>
      <c r="L44" s="63">
        <v>6</v>
      </c>
      <c r="M44" s="63">
        <v>5</v>
      </c>
      <c r="N44" s="63">
        <v>5</v>
      </c>
      <c r="O44" s="63">
        <v>4</v>
      </c>
      <c r="P44" s="63">
        <v>5</v>
      </c>
      <c r="Q44" s="63">
        <v>7</v>
      </c>
      <c r="R44" s="63">
        <v>6</v>
      </c>
      <c r="S44" s="63">
        <v>5</v>
      </c>
      <c r="T44" s="63">
        <v>6</v>
      </c>
      <c r="U44" s="64">
        <v>6</v>
      </c>
      <c r="V44" s="55">
        <f>SUM(J44:U44)</f>
        <v>68</v>
      </c>
    </row>
    <row r="45" spans="1:22" ht="17.100000000000001" customHeight="1">
      <c r="A45" s="257"/>
      <c r="B45" s="259"/>
      <c r="C45" s="259"/>
      <c r="D45" s="259"/>
      <c r="E45" s="264"/>
      <c r="F45" s="266"/>
      <c r="G45" s="16">
        <f>G44/G43</f>
        <v>1.0344827586206897</v>
      </c>
      <c r="H45" s="16">
        <f>H44/H43</f>
        <v>1.015625</v>
      </c>
      <c r="I45" s="17" t="s">
        <v>25</v>
      </c>
      <c r="J45" s="42">
        <f t="shared" ref="J45:U45" si="12">J43/J44*1</f>
        <v>0.8571428571428571</v>
      </c>
      <c r="K45" s="42">
        <f t="shared" si="12"/>
        <v>1</v>
      </c>
      <c r="L45" s="42">
        <f t="shared" si="12"/>
        <v>1</v>
      </c>
      <c r="M45" s="42">
        <f t="shared" si="12"/>
        <v>1.2</v>
      </c>
      <c r="N45" s="42">
        <f t="shared" si="12"/>
        <v>1</v>
      </c>
      <c r="O45" s="42">
        <f t="shared" si="12"/>
        <v>1.25</v>
      </c>
      <c r="P45" s="42">
        <f t="shared" si="12"/>
        <v>1</v>
      </c>
      <c r="Q45" s="42">
        <f t="shared" si="12"/>
        <v>0.7142857142857143</v>
      </c>
      <c r="R45" s="42">
        <f t="shared" si="12"/>
        <v>0.83333333333333337</v>
      </c>
      <c r="S45" s="42">
        <f t="shared" si="12"/>
        <v>1.2</v>
      </c>
      <c r="T45" s="42">
        <f t="shared" si="12"/>
        <v>1</v>
      </c>
      <c r="U45" s="65">
        <f t="shared" si="12"/>
        <v>1</v>
      </c>
      <c r="V45" s="44">
        <f>V44/V43*1</f>
        <v>1.0149253731343284</v>
      </c>
    </row>
    <row r="46" spans="1:22" ht="17.100000000000001" customHeight="1">
      <c r="A46" s="257"/>
      <c r="B46" s="259"/>
      <c r="C46" s="293" t="s">
        <v>59</v>
      </c>
      <c r="D46" s="259"/>
      <c r="E46" s="264"/>
      <c r="F46" s="275" t="s">
        <v>60</v>
      </c>
      <c r="G46" s="35">
        <v>4</v>
      </c>
      <c r="H46" s="6">
        <v>4</v>
      </c>
      <c r="I46" s="7" t="s">
        <v>23</v>
      </c>
      <c r="J46" s="66">
        <v>4</v>
      </c>
      <c r="K46" s="67">
        <v>4</v>
      </c>
      <c r="L46" s="67">
        <v>4</v>
      </c>
      <c r="M46" s="67">
        <v>4</v>
      </c>
      <c r="N46" s="67">
        <v>4</v>
      </c>
      <c r="O46" s="67">
        <v>4</v>
      </c>
      <c r="P46" s="67">
        <v>4</v>
      </c>
      <c r="Q46" s="67">
        <v>4</v>
      </c>
      <c r="R46" s="67">
        <v>4</v>
      </c>
      <c r="S46" s="67">
        <v>4</v>
      </c>
      <c r="T46" s="67">
        <v>4</v>
      </c>
      <c r="U46" s="67">
        <v>4</v>
      </c>
      <c r="V46" s="20">
        <f>AVERAGE(J46:U46)</f>
        <v>4</v>
      </c>
    </row>
    <row r="47" spans="1:22" ht="17.100000000000001" customHeight="1">
      <c r="A47" s="257"/>
      <c r="B47" s="259"/>
      <c r="C47" s="293"/>
      <c r="D47" s="259"/>
      <c r="E47" s="264"/>
      <c r="F47" s="275"/>
      <c r="G47" s="11">
        <v>3.8</v>
      </c>
      <c r="H47" s="11">
        <v>4</v>
      </c>
      <c r="I47" s="12" t="s">
        <v>24</v>
      </c>
      <c r="J47" s="68">
        <v>4</v>
      </c>
      <c r="K47" s="69">
        <v>4</v>
      </c>
      <c r="L47" s="69">
        <v>3</v>
      </c>
      <c r="M47" s="69">
        <v>3</v>
      </c>
      <c r="N47" s="69">
        <v>4</v>
      </c>
      <c r="O47" s="69">
        <v>4</v>
      </c>
      <c r="P47" s="69">
        <v>4</v>
      </c>
      <c r="Q47" s="69">
        <v>4</v>
      </c>
      <c r="R47" s="69">
        <v>4</v>
      </c>
      <c r="S47" s="69">
        <v>4</v>
      </c>
      <c r="T47" s="69">
        <v>5</v>
      </c>
      <c r="U47" s="70">
        <v>6</v>
      </c>
      <c r="V47" s="71">
        <f>AVERAGE(J47:U47)</f>
        <v>4.083333333333333</v>
      </c>
    </row>
    <row r="48" spans="1:22" ht="17.100000000000001" customHeight="1" thickBot="1">
      <c r="A48" s="257"/>
      <c r="B48" s="307"/>
      <c r="C48" s="311"/>
      <c r="D48" s="307"/>
      <c r="E48" s="281"/>
      <c r="F48" s="312"/>
      <c r="G48" s="16">
        <f>G47/G46</f>
        <v>0.95</v>
      </c>
      <c r="H48" s="16">
        <f>H47/H46</f>
        <v>1</v>
      </c>
      <c r="I48" s="17" t="s">
        <v>25</v>
      </c>
      <c r="J48" s="72">
        <f t="shared" ref="J48:U48" si="13">J47/J46*1</f>
        <v>1</v>
      </c>
      <c r="K48" s="72">
        <f t="shared" si="13"/>
        <v>1</v>
      </c>
      <c r="L48" s="72">
        <f t="shared" si="13"/>
        <v>0.75</v>
      </c>
      <c r="M48" s="72">
        <f t="shared" si="13"/>
        <v>0.75</v>
      </c>
      <c r="N48" s="72">
        <f t="shared" si="13"/>
        <v>1</v>
      </c>
      <c r="O48" s="72">
        <f t="shared" si="13"/>
        <v>1</v>
      </c>
      <c r="P48" s="72">
        <f t="shared" si="13"/>
        <v>1</v>
      </c>
      <c r="Q48" s="72">
        <f t="shared" si="13"/>
        <v>1</v>
      </c>
      <c r="R48" s="72">
        <f t="shared" si="13"/>
        <v>1</v>
      </c>
      <c r="S48" s="72">
        <f t="shared" si="13"/>
        <v>1</v>
      </c>
      <c r="T48" s="72">
        <f t="shared" si="13"/>
        <v>1.25</v>
      </c>
      <c r="U48" s="73">
        <f t="shared" si="13"/>
        <v>1.5</v>
      </c>
      <c r="V48" s="74">
        <f>V47/V46</f>
        <v>1.0208333333333333</v>
      </c>
    </row>
    <row r="49" spans="1:22" ht="17.100000000000001" customHeight="1" thickBot="1">
      <c r="A49" s="313">
        <v>4</v>
      </c>
      <c r="B49" s="314" t="s">
        <v>61</v>
      </c>
      <c r="C49" s="310" t="s">
        <v>62</v>
      </c>
      <c r="D49" s="310" t="s">
        <v>47</v>
      </c>
      <c r="E49" s="263" t="s">
        <v>30</v>
      </c>
      <c r="F49" s="317" t="s">
        <v>63</v>
      </c>
      <c r="G49" s="35">
        <v>100</v>
      </c>
      <c r="H49" s="6">
        <v>100</v>
      </c>
      <c r="I49" s="7" t="s">
        <v>23</v>
      </c>
      <c r="J49" s="75">
        <v>100</v>
      </c>
      <c r="K49" s="67">
        <v>100</v>
      </c>
      <c r="L49" s="67">
        <v>100</v>
      </c>
      <c r="M49" s="67">
        <v>100</v>
      </c>
      <c r="N49" s="67">
        <v>100</v>
      </c>
      <c r="O49" s="67">
        <v>100</v>
      </c>
      <c r="P49" s="67">
        <v>100</v>
      </c>
      <c r="Q49" s="67">
        <v>100</v>
      </c>
      <c r="R49" s="67">
        <v>100</v>
      </c>
      <c r="S49" s="67">
        <v>100</v>
      </c>
      <c r="T49" s="67">
        <v>100</v>
      </c>
      <c r="U49" s="67">
        <v>100</v>
      </c>
      <c r="V49" s="76">
        <f>AVERAGE(J49:U49)</f>
        <v>100</v>
      </c>
    </row>
    <row r="50" spans="1:22" ht="17.100000000000001" customHeight="1" thickBot="1">
      <c r="A50" s="313"/>
      <c r="B50" s="315"/>
      <c r="C50" s="293"/>
      <c r="D50" s="293"/>
      <c r="E50" s="264"/>
      <c r="F50" s="275"/>
      <c r="G50" s="11">
        <v>100</v>
      </c>
      <c r="H50" s="11">
        <v>100</v>
      </c>
      <c r="I50" s="12" t="s">
        <v>24</v>
      </c>
      <c r="J50" s="68">
        <v>100</v>
      </c>
      <c r="K50" s="68">
        <v>100</v>
      </c>
      <c r="L50" s="68">
        <v>100</v>
      </c>
      <c r="M50" s="68">
        <v>100</v>
      </c>
      <c r="N50" s="68">
        <v>100</v>
      </c>
      <c r="O50" s="68">
        <v>100</v>
      </c>
      <c r="P50" s="68">
        <v>100</v>
      </c>
      <c r="Q50" s="68">
        <v>100</v>
      </c>
      <c r="R50" s="68">
        <v>100</v>
      </c>
      <c r="S50" s="68">
        <v>100</v>
      </c>
      <c r="T50" s="68">
        <v>100</v>
      </c>
      <c r="U50" s="68">
        <v>100</v>
      </c>
      <c r="V50" s="77">
        <f>AVERAGE(J50:U50)</f>
        <v>100</v>
      </c>
    </row>
    <row r="51" spans="1:22" ht="17.100000000000001" customHeight="1" thickBot="1">
      <c r="A51" s="313"/>
      <c r="B51" s="315"/>
      <c r="C51" s="293"/>
      <c r="D51" s="293"/>
      <c r="E51" s="264"/>
      <c r="F51" s="275"/>
      <c r="G51" s="16">
        <v>1</v>
      </c>
      <c r="H51" s="16">
        <v>1</v>
      </c>
      <c r="I51" s="17" t="s">
        <v>25</v>
      </c>
      <c r="J51" s="16">
        <f t="shared" ref="J51:V51" si="14">J50/J49*1</f>
        <v>1</v>
      </c>
      <c r="K51" s="16">
        <f t="shared" si="14"/>
        <v>1</v>
      </c>
      <c r="L51" s="16">
        <f t="shared" si="14"/>
        <v>1</v>
      </c>
      <c r="M51" s="16">
        <f t="shared" si="14"/>
        <v>1</v>
      </c>
      <c r="N51" s="16">
        <f t="shared" si="14"/>
        <v>1</v>
      </c>
      <c r="O51" s="16">
        <f t="shared" si="14"/>
        <v>1</v>
      </c>
      <c r="P51" s="16">
        <f t="shared" si="14"/>
        <v>1</v>
      </c>
      <c r="Q51" s="16">
        <f t="shared" si="14"/>
        <v>1</v>
      </c>
      <c r="R51" s="16">
        <f t="shared" si="14"/>
        <v>1</v>
      </c>
      <c r="S51" s="16">
        <f t="shared" si="14"/>
        <v>1</v>
      </c>
      <c r="T51" s="16">
        <f t="shared" si="14"/>
        <v>1</v>
      </c>
      <c r="U51" s="16">
        <f t="shared" si="14"/>
        <v>1</v>
      </c>
      <c r="V51" s="52">
        <f t="shared" si="14"/>
        <v>1</v>
      </c>
    </row>
    <row r="52" spans="1:22" ht="17.100000000000001" customHeight="1" thickBot="1">
      <c r="A52" s="313"/>
      <c r="B52" s="315"/>
      <c r="C52" s="309" t="s">
        <v>64</v>
      </c>
      <c r="D52" s="310" t="s">
        <v>47</v>
      </c>
      <c r="E52" s="292" t="s">
        <v>30</v>
      </c>
      <c r="F52" s="270" t="s">
        <v>65</v>
      </c>
      <c r="G52" s="35">
        <v>0</v>
      </c>
      <c r="H52" s="6">
        <v>0</v>
      </c>
      <c r="I52" s="7" t="s">
        <v>23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54">
        <f>SUM(J52:U52)</f>
        <v>0</v>
      </c>
    </row>
    <row r="53" spans="1:22" ht="17.100000000000001" customHeight="1" thickBot="1">
      <c r="A53" s="313"/>
      <c r="B53" s="315"/>
      <c r="C53" s="315"/>
      <c r="D53" s="293"/>
      <c r="E53" s="292"/>
      <c r="F53" s="266"/>
      <c r="G53" s="11">
        <v>0</v>
      </c>
      <c r="H53" s="11">
        <v>0</v>
      </c>
      <c r="I53" s="12" t="s">
        <v>24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8">
        <v>0</v>
      </c>
      <c r="U53" s="8">
        <v>0</v>
      </c>
      <c r="V53" s="55">
        <f>SUM(J53:U53)</f>
        <v>0</v>
      </c>
    </row>
    <row r="54" spans="1:22" ht="17.100000000000001" customHeight="1" thickBot="1">
      <c r="A54" s="313"/>
      <c r="B54" s="315"/>
      <c r="C54" s="318"/>
      <c r="D54" s="293"/>
      <c r="E54" s="292"/>
      <c r="F54" s="271"/>
      <c r="G54" s="16"/>
      <c r="H54" s="16"/>
      <c r="I54" s="17" t="s">
        <v>25</v>
      </c>
      <c r="J54" s="16" t="e">
        <f t="shared" ref="J54:V54" si="15">J53/J52*1</f>
        <v>#DIV/0!</v>
      </c>
      <c r="K54" s="16" t="e">
        <f t="shared" si="15"/>
        <v>#DIV/0!</v>
      </c>
      <c r="L54" s="16" t="e">
        <f t="shared" si="15"/>
        <v>#DIV/0!</v>
      </c>
      <c r="M54" s="16" t="e">
        <f t="shared" si="15"/>
        <v>#DIV/0!</v>
      </c>
      <c r="N54" s="16" t="e">
        <f t="shared" si="15"/>
        <v>#DIV/0!</v>
      </c>
      <c r="O54" s="16" t="e">
        <f t="shared" si="15"/>
        <v>#DIV/0!</v>
      </c>
      <c r="P54" s="16" t="e">
        <f t="shared" si="15"/>
        <v>#DIV/0!</v>
      </c>
      <c r="Q54" s="16" t="e">
        <f t="shared" si="15"/>
        <v>#DIV/0!</v>
      </c>
      <c r="R54" s="16" t="e">
        <f t="shared" si="15"/>
        <v>#DIV/0!</v>
      </c>
      <c r="S54" s="16" t="e">
        <f t="shared" si="15"/>
        <v>#DIV/0!</v>
      </c>
      <c r="T54" s="16" t="e">
        <f t="shared" si="15"/>
        <v>#DIV/0!</v>
      </c>
      <c r="U54" s="16" t="e">
        <f t="shared" si="15"/>
        <v>#DIV/0!</v>
      </c>
      <c r="V54" s="52" t="e">
        <f t="shared" si="15"/>
        <v>#DIV/0!</v>
      </c>
    </row>
    <row r="55" spans="1:22" ht="17.100000000000001" customHeight="1" thickBot="1">
      <c r="A55" s="313"/>
      <c r="B55" s="315"/>
      <c r="C55" s="293" t="s">
        <v>66</v>
      </c>
      <c r="D55" s="310" t="s">
        <v>47</v>
      </c>
      <c r="E55" s="292" t="s">
        <v>30</v>
      </c>
      <c r="F55" s="275" t="s">
        <v>67</v>
      </c>
      <c r="G55" s="35">
        <v>100</v>
      </c>
      <c r="H55" s="6">
        <v>100</v>
      </c>
      <c r="I55" s="7" t="s">
        <v>23</v>
      </c>
      <c r="J55" s="75">
        <v>100</v>
      </c>
      <c r="K55" s="67">
        <v>100</v>
      </c>
      <c r="L55" s="67">
        <v>100</v>
      </c>
      <c r="M55" s="67">
        <v>100</v>
      </c>
      <c r="N55" s="67">
        <v>100</v>
      </c>
      <c r="O55" s="67">
        <v>100</v>
      </c>
      <c r="P55" s="67">
        <v>100</v>
      </c>
      <c r="Q55" s="67">
        <v>100</v>
      </c>
      <c r="R55" s="67">
        <v>100</v>
      </c>
      <c r="S55" s="67">
        <v>100</v>
      </c>
      <c r="T55" s="67">
        <v>100</v>
      </c>
      <c r="U55" s="67">
        <v>100</v>
      </c>
      <c r="V55" s="20">
        <f>SUM(J55:U55)</f>
        <v>1200</v>
      </c>
    </row>
    <row r="56" spans="1:22" ht="17.100000000000001" customHeight="1" thickBot="1">
      <c r="A56" s="313"/>
      <c r="B56" s="315"/>
      <c r="C56" s="293"/>
      <c r="D56" s="293"/>
      <c r="E56" s="292"/>
      <c r="F56" s="275"/>
      <c r="G56" s="11">
        <v>100</v>
      </c>
      <c r="H56" s="11">
        <v>100</v>
      </c>
      <c r="I56" s="12" t="s">
        <v>24</v>
      </c>
      <c r="J56" s="68">
        <v>100</v>
      </c>
      <c r="K56" s="68">
        <v>100</v>
      </c>
      <c r="L56" s="68">
        <v>100</v>
      </c>
      <c r="M56" s="68">
        <v>100</v>
      </c>
      <c r="N56" s="68">
        <v>100</v>
      </c>
      <c r="O56" s="68">
        <v>100</v>
      </c>
      <c r="P56" s="68">
        <v>100</v>
      </c>
      <c r="Q56" s="68">
        <v>100</v>
      </c>
      <c r="R56" s="68">
        <v>100</v>
      </c>
      <c r="S56" s="68">
        <v>100</v>
      </c>
      <c r="T56" s="68">
        <v>100</v>
      </c>
      <c r="U56" s="68">
        <v>100</v>
      </c>
      <c r="V56" s="20">
        <f>SUM(J56:U56)</f>
        <v>1200</v>
      </c>
    </row>
    <row r="57" spans="1:22" ht="17.100000000000001" customHeight="1" thickBot="1">
      <c r="A57" s="313"/>
      <c r="B57" s="315"/>
      <c r="C57" s="309"/>
      <c r="D57" s="309"/>
      <c r="E57" s="292"/>
      <c r="F57" s="270"/>
      <c r="G57" s="16">
        <v>1</v>
      </c>
      <c r="H57" s="16">
        <v>1</v>
      </c>
      <c r="I57" s="17" t="s">
        <v>25</v>
      </c>
      <c r="J57" s="42">
        <f t="shared" ref="J57:V57" si="16">J56/J55*1</f>
        <v>1</v>
      </c>
      <c r="K57" s="42">
        <f t="shared" si="16"/>
        <v>1</v>
      </c>
      <c r="L57" s="42">
        <f t="shared" si="16"/>
        <v>1</v>
      </c>
      <c r="M57" s="42">
        <f t="shared" si="16"/>
        <v>1</v>
      </c>
      <c r="N57" s="42">
        <f t="shared" si="16"/>
        <v>1</v>
      </c>
      <c r="O57" s="42">
        <f t="shared" si="16"/>
        <v>1</v>
      </c>
      <c r="P57" s="42">
        <f t="shared" si="16"/>
        <v>1</v>
      </c>
      <c r="Q57" s="42">
        <f t="shared" si="16"/>
        <v>1</v>
      </c>
      <c r="R57" s="42">
        <f t="shared" si="16"/>
        <v>1</v>
      </c>
      <c r="S57" s="42">
        <f t="shared" si="16"/>
        <v>1</v>
      </c>
      <c r="T57" s="42">
        <f t="shared" si="16"/>
        <v>1</v>
      </c>
      <c r="U57" s="42">
        <f t="shared" si="16"/>
        <v>1</v>
      </c>
      <c r="V57" s="78">
        <f t="shared" si="16"/>
        <v>1</v>
      </c>
    </row>
    <row r="58" spans="1:22" ht="17.100000000000001" customHeight="1" thickBot="1">
      <c r="A58" s="313"/>
      <c r="B58" s="315"/>
      <c r="C58" s="319" t="s">
        <v>68</v>
      </c>
      <c r="D58" s="321" t="s">
        <v>47</v>
      </c>
      <c r="E58" s="264" t="s">
        <v>30</v>
      </c>
      <c r="F58" s="275" t="s">
        <v>69</v>
      </c>
      <c r="G58" s="35">
        <v>100</v>
      </c>
      <c r="H58" s="6">
        <v>100</v>
      </c>
      <c r="I58" s="7" t="s">
        <v>23</v>
      </c>
      <c r="J58" s="6">
        <v>100</v>
      </c>
      <c r="K58" s="6">
        <v>100</v>
      </c>
      <c r="L58" s="6">
        <v>100</v>
      </c>
      <c r="M58" s="6">
        <v>100</v>
      </c>
      <c r="N58" s="6">
        <v>100</v>
      </c>
      <c r="O58" s="6">
        <v>100</v>
      </c>
      <c r="P58" s="6">
        <v>100</v>
      </c>
      <c r="Q58" s="6">
        <v>100</v>
      </c>
      <c r="R58" s="6">
        <v>100</v>
      </c>
      <c r="S58" s="6">
        <v>100</v>
      </c>
      <c r="T58" s="6">
        <v>100</v>
      </c>
      <c r="U58" s="6">
        <v>100</v>
      </c>
      <c r="V58" s="79">
        <f>AVERAGE(J58:U58)</f>
        <v>100</v>
      </c>
    </row>
    <row r="59" spans="1:22" ht="17.100000000000001" customHeight="1" thickBot="1">
      <c r="A59" s="313"/>
      <c r="B59" s="315"/>
      <c r="C59" s="319"/>
      <c r="D59" s="293"/>
      <c r="E59" s="264"/>
      <c r="F59" s="275"/>
      <c r="G59" s="11">
        <v>91</v>
      </c>
      <c r="H59" s="11">
        <v>93</v>
      </c>
      <c r="I59" s="12" t="s">
        <v>24</v>
      </c>
      <c r="J59" s="80">
        <v>93</v>
      </c>
      <c r="K59" s="81">
        <v>92</v>
      </c>
      <c r="L59" s="81">
        <v>93</v>
      </c>
      <c r="M59" s="81">
        <v>92</v>
      </c>
      <c r="N59" s="81">
        <v>92</v>
      </c>
      <c r="O59" s="81">
        <v>92</v>
      </c>
      <c r="P59" s="81">
        <v>92</v>
      </c>
      <c r="Q59" s="81">
        <v>93</v>
      </c>
      <c r="R59" s="81">
        <v>92</v>
      </c>
      <c r="S59" s="81">
        <v>94</v>
      </c>
      <c r="T59" s="81">
        <v>94</v>
      </c>
      <c r="U59" s="82">
        <v>95</v>
      </c>
      <c r="V59" s="83">
        <f>AVERAGE(J59:U59)</f>
        <v>92.833333333333329</v>
      </c>
    </row>
    <row r="60" spans="1:22" ht="17.100000000000001" customHeight="1" thickBot="1">
      <c r="A60" s="313"/>
      <c r="B60" s="316"/>
      <c r="C60" s="320"/>
      <c r="D60" s="322"/>
      <c r="E60" s="281"/>
      <c r="F60" s="312"/>
      <c r="G60" s="16">
        <f>G59/G58</f>
        <v>0.91</v>
      </c>
      <c r="H60" s="16">
        <f>H59/H58</f>
        <v>0.93</v>
      </c>
      <c r="I60" s="17" t="s">
        <v>25</v>
      </c>
      <c r="J60" s="72">
        <f t="shared" ref="J60:V60" si="17">J59/J58*1</f>
        <v>0.93</v>
      </c>
      <c r="K60" s="72">
        <f t="shared" si="17"/>
        <v>0.92</v>
      </c>
      <c r="L60" s="72">
        <f t="shared" si="17"/>
        <v>0.93</v>
      </c>
      <c r="M60" s="72">
        <f t="shared" si="17"/>
        <v>0.92</v>
      </c>
      <c r="N60" s="72">
        <f t="shared" si="17"/>
        <v>0.92</v>
      </c>
      <c r="O60" s="72">
        <f t="shared" si="17"/>
        <v>0.92</v>
      </c>
      <c r="P60" s="72">
        <f t="shared" si="17"/>
        <v>0.92</v>
      </c>
      <c r="Q60" s="72">
        <f t="shared" si="17"/>
        <v>0.93</v>
      </c>
      <c r="R60" s="72">
        <f t="shared" si="17"/>
        <v>0.92</v>
      </c>
      <c r="S60" s="72">
        <f t="shared" si="17"/>
        <v>0.94</v>
      </c>
      <c r="T60" s="72">
        <f t="shared" si="17"/>
        <v>0.94</v>
      </c>
      <c r="U60" s="73">
        <f t="shared" si="17"/>
        <v>0.95</v>
      </c>
      <c r="V60" s="74">
        <f t="shared" si="17"/>
        <v>0.92833333333333323</v>
      </c>
    </row>
    <row r="61" spans="1:22" ht="24.75" customHeight="1" thickBot="1">
      <c r="A61" s="313">
        <v>5</v>
      </c>
      <c r="B61" s="310" t="s">
        <v>70</v>
      </c>
      <c r="C61" s="293" t="s">
        <v>71</v>
      </c>
      <c r="D61" s="318" t="s">
        <v>72</v>
      </c>
      <c r="E61" s="323" t="s">
        <v>73</v>
      </c>
      <c r="F61" s="275" t="s">
        <v>74</v>
      </c>
      <c r="G61" s="84">
        <v>10227296</v>
      </c>
      <c r="H61" s="85">
        <v>10576518</v>
      </c>
      <c r="I61" s="7" t="s">
        <v>23</v>
      </c>
      <c r="J61" s="59">
        <v>4383457</v>
      </c>
      <c r="K61" s="60">
        <v>7917193</v>
      </c>
      <c r="L61" s="60">
        <v>6647294</v>
      </c>
      <c r="M61" s="60">
        <v>9114350</v>
      </c>
      <c r="N61" s="60">
        <v>6530848</v>
      </c>
      <c r="O61" s="60">
        <v>11677437</v>
      </c>
      <c r="P61" s="60">
        <v>12426317</v>
      </c>
      <c r="Q61" s="60">
        <v>15242683</v>
      </c>
      <c r="R61" s="60">
        <v>17102044</v>
      </c>
      <c r="S61" s="60">
        <v>18505245</v>
      </c>
      <c r="T61" s="60">
        <v>11970268</v>
      </c>
      <c r="U61" s="61">
        <v>11941702</v>
      </c>
      <c r="V61" s="86">
        <f>AVERAGE(J61:U61)</f>
        <v>11121569.833333334</v>
      </c>
    </row>
    <row r="62" spans="1:22" ht="24.75" customHeight="1" thickBot="1">
      <c r="A62" s="313"/>
      <c r="B62" s="293"/>
      <c r="C62" s="293"/>
      <c r="D62" s="293"/>
      <c r="E62" s="294"/>
      <c r="F62" s="275"/>
      <c r="G62" s="11">
        <v>9263762</v>
      </c>
      <c r="H62" s="11">
        <v>10240197</v>
      </c>
      <c r="I62" s="12" t="s">
        <v>24</v>
      </c>
      <c r="J62" s="68">
        <v>4044551</v>
      </c>
      <c r="K62" s="69">
        <v>8037329</v>
      </c>
      <c r="L62" s="69">
        <v>6693546</v>
      </c>
      <c r="M62" s="69">
        <v>9093801</v>
      </c>
      <c r="N62" s="69">
        <v>6361529</v>
      </c>
      <c r="O62" s="69">
        <v>11351036</v>
      </c>
      <c r="P62" s="69">
        <v>12183474</v>
      </c>
      <c r="Q62" s="69">
        <v>14787447</v>
      </c>
      <c r="R62" s="69">
        <v>16792866</v>
      </c>
      <c r="S62" s="69">
        <v>18141521</v>
      </c>
      <c r="T62" s="69">
        <v>11669903</v>
      </c>
      <c r="U62" s="70">
        <v>11679087</v>
      </c>
      <c r="V62" s="77">
        <f>AVERAGE(J62:U62)</f>
        <v>10903007.5</v>
      </c>
    </row>
    <row r="63" spans="1:22" ht="24.75" customHeight="1" thickBot="1">
      <c r="A63" s="248"/>
      <c r="B63" s="309"/>
      <c r="C63" s="309"/>
      <c r="D63" s="322"/>
      <c r="E63" s="324"/>
      <c r="F63" s="270"/>
      <c r="G63" s="16">
        <f>G62/G61</f>
        <v>0.9057880010513043</v>
      </c>
      <c r="H63" s="16">
        <f>H62/H61</f>
        <v>0.96820116034407544</v>
      </c>
      <c r="I63" s="17" t="s">
        <v>25</v>
      </c>
      <c r="J63" s="42">
        <f t="shared" ref="J63:V63" si="18">J62/J61*1</f>
        <v>0.92268522310131018</v>
      </c>
      <c r="K63" s="42">
        <f t="shared" si="18"/>
        <v>1.0151740648484886</v>
      </c>
      <c r="L63" s="42">
        <f t="shared" si="18"/>
        <v>1.0069580193083081</v>
      </c>
      <c r="M63" s="42">
        <f t="shared" si="18"/>
        <v>0.99774542342569683</v>
      </c>
      <c r="N63" s="42">
        <f t="shared" si="18"/>
        <v>0.97407396405489766</v>
      </c>
      <c r="O63" s="42">
        <f t="shared" si="18"/>
        <v>0.97204857538516376</v>
      </c>
      <c r="P63" s="42">
        <f t="shared" si="18"/>
        <v>0.98045736319136234</v>
      </c>
      <c r="Q63" s="42">
        <f t="shared" si="18"/>
        <v>0.97013412927369802</v>
      </c>
      <c r="R63" s="42">
        <f t="shared" si="18"/>
        <v>0.98192157615779729</v>
      </c>
      <c r="S63" s="42">
        <f t="shared" si="18"/>
        <v>0.98034481575358767</v>
      </c>
      <c r="T63" s="42">
        <f t="shared" si="18"/>
        <v>0.97490741226512223</v>
      </c>
      <c r="U63" s="42">
        <f t="shared" si="18"/>
        <v>0.97800857867664093</v>
      </c>
      <c r="V63" s="78">
        <f t="shared" si="18"/>
        <v>0.98034788823801977</v>
      </c>
    </row>
    <row r="64" spans="1:22" ht="16.5" customHeight="1" thickBot="1">
      <c r="A64" s="313">
        <v>6</v>
      </c>
      <c r="B64" s="326" t="s">
        <v>75</v>
      </c>
      <c r="C64" s="327" t="s">
        <v>76</v>
      </c>
      <c r="D64" s="318" t="s">
        <v>72</v>
      </c>
      <c r="E64" s="323" t="s">
        <v>73</v>
      </c>
      <c r="F64" s="330" t="s">
        <v>77</v>
      </c>
      <c r="G64" s="35">
        <v>12</v>
      </c>
      <c r="H64" s="6">
        <v>12</v>
      </c>
      <c r="I64" s="7" t="s">
        <v>23</v>
      </c>
      <c r="J64" s="87">
        <v>1</v>
      </c>
      <c r="K64" s="87">
        <v>1</v>
      </c>
      <c r="L64" s="87">
        <v>1</v>
      </c>
      <c r="M64" s="87">
        <v>1</v>
      </c>
      <c r="N64" s="87">
        <v>1</v>
      </c>
      <c r="O64" s="87">
        <v>1</v>
      </c>
      <c r="P64" s="87">
        <v>1</v>
      </c>
      <c r="Q64" s="87">
        <v>1</v>
      </c>
      <c r="R64" s="87">
        <v>1</v>
      </c>
      <c r="S64" s="87">
        <v>1</v>
      </c>
      <c r="T64" s="87">
        <v>1</v>
      </c>
      <c r="U64" s="87">
        <v>1</v>
      </c>
      <c r="V64" s="88">
        <f>SUM(J64:U64)</f>
        <v>12</v>
      </c>
    </row>
    <row r="65" spans="1:22" ht="17.100000000000001" customHeight="1" thickBot="1">
      <c r="A65" s="313"/>
      <c r="B65" s="319"/>
      <c r="C65" s="328"/>
      <c r="D65" s="293"/>
      <c r="E65" s="294"/>
      <c r="F65" s="266"/>
      <c r="G65" s="11">
        <v>12</v>
      </c>
      <c r="H65" s="11">
        <v>12</v>
      </c>
      <c r="I65" s="12" t="s">
        <v>24</v>
      </c>
      <c r="J65" s="11">
        <v>1</v>
      </c>
      <c r="K65" s="13">
        <v>1</v>
      </c>
      <c r="L65" s="13">
        <v>1</v>
      </c>
      <c r="M65" s="13">
        <v>1</v>
      </c>
      <c r="N65" s="13">
        <v>1</v>
      </c>
      <c r="O65" s="13">
        <v>1</v>
      </c>
      <c r="P65" s="11">
        <v>1</v>
      </c>
      <c r="Q65" s="13">
        <v>1</v>
      </c>
      <c r="R65" s="13">
        <v>1</v>
      </c>
      <c r="S65" s="13">
        <v>1</v>
      </c>
      <c r="T65" s="13">
        <v>1</v>
      </c>
      <c r="U65" s="13">
        <v>1</v>
      </c>
      <c r="V65" s="15">
        <f>SUM(J65:U65)</f>
        <v>12</v>
      </c>
    </row>
    <row r="66" spans="1:22" ht="17.100000000000001" customHeight="1" thickBot="1">
      <c r="A66" s="313"/>
      <c r="B66" s="320"/>
      <c r="C66" s="329"/>
      <c r="D66" s="322"/>
      <c r="E66" s="324"/>
      <c r="F66" s="331"/>
      <c r="G66" s="16">
        <f>G65/G64</f>
        <v>1</v>
      </c>
      <c r="H66" s="16">
        <f>H65/H64</f>
        <v>1</v>
      </c>
      <c r="I66" s="17" t="s">
        <v>25</v>
      </c>
      <c r="J66" s="56">
        <f t="shared" ref="J66:V66" si="19">J65/J64*1</f>
        <v>1</v>
      </c>
      <c r="K66" s="56">
        <f t="shared" si="19"/>
        <v>1</v>
      </c>
      <c r="L66" s="56">
        <f t="shared" si="19"/>
        <v>1</v>
      </c>
      <c r="M66" s="56">
        <f t="shared" si="19"/>
        <v>1</v>
      </c>
      <c r="N66" s="56">
        <f t="shared" si="19"/>
        <v>1</v>
      </c>
      <c r="O66" s="56">
        <f t="shared" si="19"/>
        <v>1</v>
      </c>
      <c r="P66" s="56">
        <f t="shared" si="19"/>
        <v>1</v>
      </c>
      <c r="Q66" s="56">
        <f t="shared" si="19"/>
        <v>1</v>
      </c>
      <c r="R66" s="56">
        <f t="shared" si="19"/>
        <v>1</v>
      </c>
      <c r="S66" s="56">
        <f t="shared" si="19"/>
        <v>1</v>
      </c>
      <c r="T66" s="56">
        <f t="shared" si="19"/>
        <v>1</v>
      </c>
      <c r="U66" s="57">
        <f t="shared" si="19"/>
        <v>1</v>
      </c>
      <c r="V66" s="58">
        <f t="shared" si="19"/>
        <v>1</v>
      </c>
    </row>
    <row r="67" spans="1:22" ht="17.100000000000001" customHeight="1" thickBot="1">
      <c r="A67" s="249">
        <v>7</v>
      </c>
      <c r="B67" s="287" t="s">
        <v>78</v>
      </c>
      <c r="C67" s="287" t="s">
        <v>79</v>
      </c>
      <c r="D67" s="287" t="s">
        <v>44</v>
      </c>
      <c r="E67" s="263" t="s">
        <v>21</v>
      </c>
      <c r="F67" s="266" t="s">
        <v>80</v>
      </c>
      <c r="G67" s="35">
        <v>5500</v>
      </c>
      <c r="H67" s="6">
        <v>5500</v>
      </c>
      <c r="I67" s="7" t="s">
        <v>23</v>
      </c>
      <c r="J67" s="89">
        <v>5500</v>
      </c>
      <c r="K67" s="89">
        <v>5500</v>
      </c>
      <c r="L67" s="89">
        <v>5500</v>
      </c>
      <c r="M67" s="89">
        <v>5500</v>
      </c>
      <c r="N67" s="89">
        <v>5500</v>
      </c>
      <c r="O67" s="89">
        <v>5500</v>
      </c>
      <c r="P67" s="89">
        <v>5500</v>
      </c>
      <c r="Q67" s="89">
        <v>5500</v>
      </c>
      <c r="R67" s="89">
        <v>5500</v>
      </c>
      <c r="S67" s="89">
        <v>5500</v>
      </c>
      <c r="T67" s="89">
        <v>5500</v>
      </c>
      <c r="U67" s="89">
        <v>5500</v>
      </c>
      <c r="V67" s="90">
        <f>AVERAGE(J67:U67)</f>
        <v>5500</v>
      </c>
    </row>
    <row r="68" spans="1:22" ht="17.100000000000001" customHeight="1" thickBot="1">
      <c r="A68" s="313"/>
      <c r="B68" s="287"/>
      <c r="C68" s="287"/>
      <c r="D68" s="287"/>
      <c r="E68" s="264"/>
      <c r="F68" s="266"/>
      <c r="G68" s="11">
        <v>4621</v>
      </c>
      <c r="H68" s="11">
        <v>4867</v>
      </c>
      <c r="I68" s="12" t="s">
        <v>24</v>
      </c>
      <c r="J68" s="62">
        <v>4508.4972211778131</v>
      </c>
      <c r="K68" s="63">
        <v>3690.4782918454193</v>
      </c>
      <c r="L68" s="63">
        <v>4707.804246075194</v>
      </c>
      <c r="M68" s="63">
        <v>3861.325177734348</v>
      </c>
      <c r="N68" s="63">
        <v>4885.8765953134589</v>
      </c>
      <c r="O68" s="63">
        <v>4503.8558612011975</v>
      </c>
      <c r="P68" s="63">
        <v>4677.5035859523578</v>
      </c>
      <c r="Q68" s="63">
        <v>3780.4864402216563</v>
      </c>
      <c r="R68" s="63">
        <v>3871.0850305163644</v>
      </c>
      <c r="S68" s="63">
        <v>4997</v>
      </c>
      <c r="T68" s="63">
        <v>5378</v>
      </c>
      <c r="U68" s="64">
        <v>5412</v>
      </c>
      <c r="V68" s="91">
        <f>AVERAGE(J68:U68)</f>
        <v>4522.8260375031505</v>
      </c>
    </row>
    <row r="69" spans="1:22" ht="17.100000000000001" customHeight="1" thickBot="1">
      <c r="A69" s="248"/>
      <c r="B69" s="325"/>
      <c r="C69" s="325"/>
      <c r="D69" s="325"/>
      <c r="E69" s="281"/>
      <c r="F69" s="266"/>
      <c r="G69" s="16">
        <f>G68/G67</f>
        <v>0.84018181818181814</v>
      </c>
      <c r="H69" s="16">
        <f>H68/H67</f>
        <v>0.88490909090909087</v>
      </c>
      <c r="I69" s="17" t="s">
        <v>25</v>
      </c>
      <c r="J69" s="42">
        <f>J68/J67*1</f>
        <v>0.81972676748687512</v>
      </c>
      <c r="K69" s="42">
        <f t="shared" ref="K69:V69" si="20">K68/K67*1</f>
        <v>0.67099605306280352</v>
      </c>
      <c r="L69" s="42">
        <f t="shared" si="20"/>
        <v>0.85596440837730803</v>
      </c>
      <c r="M69" s="42">
        <f t="shared" si="20"/>
        <v>0.70205912322442687</v>
      </c>
      <c r="N69" s="42">
        <f t="shared" si="20"/>
        <v>0.88834119914790166</v>
      </c>
      <c r="O69" s="42">
        <f t="shared" si="20"/>
        <v>0.81888288385476316</v>
      </c>
      <c r="P69" s="42">
        <f t="shared" si="20"/>
        <v>0.85045519744588327</v>
      </c>
      <c r="Q69" s="42">
        <f t="shared" si="20"/>
        <v>0.68736117094939209</v>
      </c>
      <c r="R69" s="42">
        <f t="shared" si="20"/>
        <v>0.70383364191206621</v>
      </c>
      <c r="S69" s="42">
        <f t="shared" si="20"/>
        <v>0.90854545454545454</v>
      </c>
      <c r="T69" s="42">
        <f t="shared" si="20"/>
        <v>0.97781818181818181</v>
      </c>
      <c r="U69" s="42">
        <f t="shared" si="20"/>
        <v>0.98399999999999999</v>
      </c>
      <c r="V69" s="42">
        <f t="shared" si="20"/>
        <v>0.82233200681875462</v>
      </c>
    </row>
    <row r="70" spans="1:22" ht="17.100000000000001" customHeight="1" thickBot="1">
      <c r="A70" s="313">
        <v>8</v>
      </c>
      <c r="B70" s="258" t="s">
        <v>81</v>
      </c>
      <c r="C70" s="298" t="s">
        <v>82</v>
      </c>
      <c r="D70" s="298" t="s">
        <v>83</v>
      </c>
      <c r="E70" s="308" t="s">
        <v>84</v>
      </c>
      <c r="F70" s="330" t="s">
        <v>85</v>
      </c>
      <c r="G70" s="92">
        <v>1</v>
      </c>
      <c r="H70" s="93">
        <v>1</v>
      </c>
      <c r="I70" s="7" t="s">
        <v>23</v>
      </c>
      <c r="J70" s="94">
        <v>1</v>
      </c>
      <c r="K70" s="95">
        <v>1</v>
      </c>
      <c r="L70" s="95">
        <v>1</v>
      </c>
      <c r="M70" s="95">
        <v>1</v>
      </c>
      <c r="N70" s="95">
        <v>1</v>
      </c>
      <c r="O70" s="95">
        <v>1</v>
      </c>
      <c r="P70" s="95">
        <v>1</v>
      </c>
      <c r="Q70" s="95">
        <v>1</v>
      </c>
      <c r="R70" s="95">
        <v>1</v>
      </c>
      <c r="S70" s="95">
        <v>1</v>
      </c>
      <c r="T70" s="95">
        <v>1</v>
      </c>
      <c r="U70" s="96">
        <v>1</v>
      </c>
      <c r="V70" s="97">
        <f>AVERAGE(J70:U70)</f>
        <v>1</v>
      </c>
    </row>
    <row r="71" spans="1:22" ht="17.100000000000001" customHeight="1" thickBot="1">
      <c r="A71" s="313"/>
      <c r="B71" s="259"/>
      <c r="C71" s="299"/>
      <c r="D71" s="299"/>
      <c r="E71" s="264"/>
      <c r="F71" s="266"/>
      <c r="G71" s="98">
        <v>1</v>
      </c>
      <c r="H71" s="98">
        <v>1</v>
      </c>
      <c r="I71" s="12" t="s">
        <v>24</v>
      </c>
      <c r="J71" s="98">
        <v>1</v>
      </c>
      <c r="K71" s="98">
        <v>1</v>
      </c>
      <c r="L71" s="98">
        <v>1</v>
      </c>
      <c r="M71" s="98">
        <v>1</v>
      </c>
      <c r="N71" s="98">
        <v>1</v>
      </c>
      <c r="O71" s="98">
        <v>1</v>
      </c>
      <c r="P71" s="98">
        <v>1</v>
      </c>
      <c r="Q71" s="98">
        <v>1</v>
      </c>
      <c r="R71" s="98">
        <v>1</v>
      </c>
      <c r="S71" s="98">
        <v>1</v>
      </c>
      <c r="T71" s="98">
        <v>1</v>
      </c>
      <c r="U71" s="98">
        <v>1</v>
      </c>
      <c r="V71" s="99">
        <f>AVERAGE(J71:U71)</f>
        <v>1</v>
      </c>
    </row>
    <row r="72" spans="1:22" ht="17.100000000000001" customHeight="1" thickBot="1">
      <c r="A72" s="313"/>
      <c r="B72" s="259"/>
      <c r="C72" s="288"/>
      <c r="D72" s="288"/>
      <c r="E72" s="335"/>
      <c r="F72" s="271"/>
      <c r="G72" s="16">
        <f>G71/G70</f>
        <v>1</v>
      </c>
      <c r="H72" s="16">
        <f>H71/H70</f>
        <v>1</v>
      </c>
      <c r="I72" s="17" t="s">
        <v>25</v>
      </c>
      <c r="J72" s="16">
        <f t="shared" ref="J72:V72" si="21">J71/J70*1</f>
        <v>1</v>
      </c>
      <c r="K72" s="16">
        <f t="shared" si="21"/>
        <v>1</v>
      </c>
      <c r="L72" s="16">
        <f t="shared" si="21"/>
        <v>1</v>
      </c>
      <c r="M72" s="16">
        <f t="shared" si="21"/>
        <v>1</v>
      </c>
      <c r="N72" s="16">
        <f t="shared" si="21"/>
        <v>1</v>
      </c>
      <c r="O72" s="16">
        <f t="shared" si="21"/>
        <v>1</v>
      </c>
      <c r="P72" s="16">
        <f t="shared" si="21"/>
        <v>1</v>
      </c>
      <c r="Q72" s="16">
        <f t="shared" si="21"/>
        <v>1</v>
      </c>
      <c r="R72" s="16">
        <f t="shared" si="21"/>
        <v>1</v>
      </c>
      <c r="S72" s="16">
        <f t="shared" si="21"/>
        <v>1</v>
      </c>
      <c r="T72" s="16">
        <f t="shared" si="21"/>
        <v>1</v>
      </c>
      <c r="U72" s="18">
        <f t="shared" si="21"/>
        <v>1</v>
      </c>
      <c r="V72" s="19">
        <f t="shared" si="21"/>
        <v>1</v>
      </c>
    </row>
    <row r="73" spans="1:22" ht="17.100000000000001" customHeight="1" thickBot="1">
      <c r="A73" s="313"/>
      <c r="B73" s="259"/>
      <c r="C73" s="287" t="s">
        <v>86</v>
      </c>
      <c r="D73" s="287" t="s">
        <v>44</v>
      </c>
      <c r="E73" s="264" t="s">
        <v>84</v>
      </c>
      <c r="F73" s="304" t="s">
        <v>87</v>
      </c>
      <c r="G73" s="35">
        <v>30</v>
      </c>
      <c r="H73" s="6">
        <v>30</v>
      </c>
      <c r="I73" s="7" t="s">
        <v>23</v>
      </c>
      <c r="J73" s="8">
        <v>4</v>
      </c>
      <c r="K73" s="8">
        <v>4</v>
      </c>
      <c r="L73" s="8">
        <v>5</v>
      </c>
      <c r="M73" s="8">
        <v>4</v>
      </c>
      <c r="N73" s="8">
        <v>2</v>
      </c>
      <c r="O73" s="8">
        <v>2</v>
      </c>
      <c r="P73" s="8">
        <v>1</v>
      </c>
      <c r="Q73" s="8">
        <v>4</v>
      </c>
      <c r="R73" s="8">
        <v>1</v>
      </c>
      <c r="S73" s="8">
        <v>1</v>
      </c>
      <c r="T73" s="8">
        <v>2</v>
      </c>
      <c r="U73" s="9">
        <v>0</v>
      </c>
      <c r="V73" s="10">
        <f>SUM(J73:U73)</f>
        <v>30</v>
      </c>
    </row>
    <row r="74" spans="1:22" ht="17.100000000000001" customHeight="1" thickBot="1">
      <c r="A74" s="313"/>
      <c r="B74" s="259"/>
      <c r="C74" s="299"/>
      <c r="D74" s="299"/>
      <c r="E74" s="264"/>
      <c r="F74" s="301"/>
      <c r="G74" s="11">
        <v>30</v>
      </c>
      <c r="H74" s="11">
        <v>30</v>
      </c>
      <c r="I74" s="12" t="s">
        <v>24</v>
      </c>
      <c r="J74" s="8">
        <v>4</v>
      </c>
      <c r="K74" s="8">
        <v>4</v>
      </c>
      <c r="L74" s="8">
        <v>5</v>
      </c>
      <c r="M74" s="8">
        <v>4</v>
      </c>
      <c r="N74" s="8">
        <v>2</v>
      </c>
      <c r="O74" s="8">
        <v>2</v>
      </c>
      <c r="P74" s="8">
        <v>1</v>
      </c>
      <c r="Q74" s="8">
        <v>4</v>
      </c>
      <c r="R74" s="8">
        <v>1</v>
      </c>
      <c r="S74" s="8">
        <v>1</v>
      </c>
      <c r="T74" s="8">
        <v>2</v>
      </c>
      <c r="U74" s="14">
        <v>0</v>
      </c>
      <c r="V74" s="15">
        <f>SUM(J74:U74)</f>
        <v>30</v>
      </c>
    </row>
    <row r="75" spans="1:22" ht="17.100000000000001" customHeight="1" thickBot="1">
      <c r="A75" s="313"/>
      <c r="B75" s="307"/>
      <c r="C75" s="305"/>
      <c r="D75" s="305"/>
      <c r="E75" s="281"/>
      <c r="F75" s="306"/>
      <c r="G75" s="16">
        <f>G73/G74</f>
        <v>1</v>
      </c>
      <c r="H75" s="16">
        <f>H73/H74</f>
        <v>1</v>
      </c>
      <c r="I75" s="17" t="s">
        <v>25</v>
      </c>
      <c r="J75" s="56">
        <f t="shared" ref="J75:V75" si="22">J74/J73*1</f>
        <v>1</v>
      </c>
      <c r="K75" s="56">
        <f t="shared" si="22"/>
        <v>1</v>
      </c>
      <c r="L75" s="56">
        <f t="shared" si="22"/>
        <v>1</v>
      </c>
      <c r="M75" s="56">
        <f t="shared" si="22"/>
        <v>1</v>
      </c>
      <c r="N75" s="56">
        <f t="shared" si="22"/>
        <v>1</v>
      </c>
      <c r="O75" s="56">
        <f t="shared" si="22"/>
        <v>1</v>
      </c>
      <c r="P75" s="56">
        <f t="shared" si="22"/>
        <v>1</v>
      </c>
      <c r="Q75" s="56">
        <f t="shared" si="22"/>
        <v>1</v>
      </c>
      <c r="R75" s="56">
        <f t="shared" si="22"/>
        <v>1</v>
      </c>
      <c r="S75" s="56">
        <f t="shared" si="22"/>
        <v>1</v>
      </c>
      <c r="T75" s="56">
        <f t="shared" si="22"/>
        <v>1</v>
      </c>
      <c r="U75" s="57" t="e">
        <f t="shared" si="22"/>
        <v>#DIV/0!</v>
      </c>
      <c r="V75" s="58">
        <f t="shared" si="22"/>
        <v>1</v>
      </c>
    </row>
    <row r="76" spans="1:22" ht="15" customHeight="1" thickBot="1">
      <c r="A76" s="332">
        <v>9</v>
      </c>
      <c r="B76" s="259" t="s">
        <v>88</v>
      </c>
      <c r="C76" s="259" t="s">
        <v>89</v>
      </c>
      <c r="D76" s="259" t="s">
        <v>29</v>
      </c>
      <c r="E76" s="264" t="s">
        <v>84</v>
      </c>
      <c r="F76" s="266" t="s">
        <v>90</v>
      </c>
      <c r="G76" s="92">
        <v>1</v>
      </c>
      <c r="H76" s="93">
        <v>1</v>
      </c>
      <c r="I76" s="7" t="s">
        <v>23</v>
      </c>
      <c r="J76" s="93">
        <v>1</v>
      </c>
      <c r="K76" s="93">
        <v>1</v>
      </c>
      <c r="L76" s="93">
        <v>1</v>
      </c>
      <c r="M76" s="93">
        <v>1</v>
      </c>
      <c r="N76" s="93">
        <v>1</v>
      </c>
      <c r="O76" s="93">
        <v>1</v>
      </c>
      <c r="P76" s="93">
        <v>1</v>
      </c>
      <c r="Q76" s="93">
        <v>1</v>
      </c>
      <c r="R76" s="93">
        <v>1</v>
      </c>
      <c r="S76" s="93">
        <v>1</v>
      </c>
      <c r="T76" s="93">
        <v>1</v>
      </c>
      <c r="U76" s="93">
        <v>1</v>
      </c>
      <c r="V76" s="10">
        <f>SUM(J76:U76)</f>
        <v>12</v>
      </c>
    </row>
    <row r="77" spans="1:22" ht="15" customHeight="1" thickBot="1">
      <c r="A77" s="333"/>
      <c r="B77" s="259"/>
      <c r="C77" s="259"/>
      <c r="D77" s="259"/>
      <c r="E77" s="264"/>
      <c r="F77" s="266"/>
      <c r="G77" s="98">
        <v>1</v>
      </c>
      <c r="H77" s="98">
        <v>1</v>
      </c>
      <c r="I77" s="100" t="s">
        <v>24</v>
      </c>
      <c r="J77" s="98">
        <v>1</v>
      </c>
      <c r="K77" s="98">
        <v>1</v>
      </c>
      <c r="L77" s="98">
        <v>1</v>
      </c>
      <c r="M77" s="98">
        <v>1</v>
      </c>
      <c r="N77" s="98">
        <v>1</v>
      </c>
      <c r="O77" s="98">
        <v>1</v>
      </c>
      <c r="P77" s="98">
        <v>1</v>
      </c>
      <c r="Q77" s="98">
        <v>1</v>
      </c>
      <c r="R77" s="98">
        <v>1</v>
      </c>
      <c r="S77" s="98">
        <v>1</v>
      </c>
      <c r="T77" s="98">
        <v>1</v>
      </c>
      <c r="U77" s="98">
        <v>1</v>
      </c>
      <c r="V77" s="15">
        <f>SUM(J77:U77)</f>
        <v>12</v>
      </c>
    </row>
    <row r="78" spans="1:22" ht="15" customHeight="1" thickBot="1">
      <c r="A78" s="333"/>
      <c r="B78" s="307"/>
      <c r="C78" s="307"/>
      <c r="D78" s="307"/>
      <c r="E78" s="281"/>
      <c r="F78" s="334"/>
      <c r="G78" s="16">
        <f>G76/G77</f>
        <v>1</v>
      </c>
      <c r="H78" s="16">
        <f>H76/H77</f>
        <v>1</v>
      </c>
      <c r="I78" s="101" t="s">
        <v>25</v>
      </c>
      <c r="J78" s="56">
        <f t="shared" ref="J78:V78" si="23">J77/J76*1</f>
        <v>1</v>
      </c>
      <c r="K78" s="56">
        <f t="shared" si="23"/>
        <v>1</v>
      </c>
      <c r="L78" s="56">
        <f t="shared" si="23"/>
        <v>1</v>
      </c>
      <c r="M78" s="56">
        <f t="shared" si="23"/>
        <v>1</v>
      </c>
      <c r="N78" s="56">
        <f t="shared" si="23"/>
        <v>1</v>
      </c>
      <c r="O78" s="56">
        <f t="shared" si="23"/>
        <v>1</v>
      </c>
      <c r="P78" s="56">
        <f t="shared" si="23"/>
        <v>1</v>
      </c>
      <c r="Q78" s="56">
        <f t="shared" si="23"/>
        <v>1</v>
      </c>
      <c r="R78" s="56">
        <f t="shared" si="23"/>
        <v>1</v>
      </c>
      <c r="S78" s="56">
        <f t="shared" si="23"/>
        <v>1</v>
      </c>
      <c r="T78" s="56">
        <f t="shared" si="23"/>
        <v>1</v>
      </c>
      <c r="U78" s="57">
        <f t="shared" si="23"/>
        <v>1</v>
      </c>
      <c r="V78" s="58">
        <f t="shared" si="23"/>
        <v>1</v>
      </c>
    </row>
    <row r="83" spans="10:15">
      <c r="J83" s="102"/>
      <c r="K83" s="103"/>
      <c r="L83" s="103"/>
      <c r="M83" s="103"/>
      <c r="N83" s="103"/>
      <c r="O83" s="103"/>
    </row>
  </sheetData>
  <mergeCells count="121">
    <mergeCell ref="A76:A78"/>
    <mergeCell ref="B76:B78"/>
    <mergeCell ref="C76:C78"/>
    <mergeCell ref="D76:D78"/>
    <mergeCell ref="E76:E78"/>
    <mergeCell ref="F76:F78"/>
    <mergeCell ref="A70:A75"/>
    <mergeCell ref="B70:B75"/>
    <mergeCell ref="C70:C72"/>
    <mergeCell ref="D70:D72"/>
    <mergeCell ref="E70:E72"/>
    <mergeCell ref="F70:F72"/>
    <mergeCell ref="C73:C75"/>
    <mergeCell ref="D73:D75"/>
    <mergeCell ref="E73:E75"/>
    <mergeCell ref="F73:F75"/>
    <mergeCell ref="E58:E60"/>
    <mergeCell ref="F58:F60"/>
    <mergeCell ref="A61:A63"/>
    <mergeCell ref="B61:B63"/>
    <mergeCell ref="C61:C63"/>
    <mergeCell ref="D61:D63"/>
    <mergeCell ref="E61:E63"/>
    <mergeCell ref="F61:F63"/>
    <mergeCell ref="A67:A69"/>
    <mergeCell ref="B67:B69"/>
    <mergeCell ref="C67:C69"/>
    <mergeCell ref="D67:D69"/>
    <mergeCell ref="E67:E69"/>
    <mergeCell ref="F67:F69"/>
    <mergeCell ref="A64:A66"/>
    <mergeCell ref="B64:B66"/>
    <mergeCell ref="C64:C66"/>
    <mergeCell ref="D64:D66"/>
    <mergeCell ref="E64:E66"/>
    <mergeCell ref="F64:F66"/>
    <mergeCell ref="A43:A48"/>
    <mergeCell ref="B43:B48"/>
    <mergeCell ref="C43:C45"/>
    <mergeCell ref="D43:D48"/>
    <mergeCell ref="E43:E48"/>
    <mergeCell ref="F43:F45"/>
    <mergeCell ref="E52:E54"/>
    <mergeCell ref="F52:F54"/>
    <mergeCell ref="C55:C57"/>
    <mergeCell ref="D55:D57"/>
    <mergeCell ref="E55:E57"/>
    <mergeCell ref="F55:F57"/>
    <mergeCell ref="C46:C48"/>
    <mergeCell ref="F46:F48"/>
    <mergeCell ref="A49:A60"/>
    <mergeCell ref="B49:B60"/>
    <mergeCell ref="C49:C51"/>
    <mergeCell ref="D49:D51"/>
    <mergeCell ref="E49:E51"/>
    <mergeCell ref="F49:F51"/>
    <mergeCell ref="C52:C54"/>
    <mergeCell ref="D52:D54"/>
    <mergeCell ref="C58:C60"/>
    <mergeCell ref="D58:D60"/>
    <mergeCell ref="C34:C36"/>
    <mergeCell ref="D34:D36"/>
    <mergeCell ref="E34:E36"/>
    <mergeCell ref="F34:F36"/>
    <mergeCell ref="C37:C39"/>
    <mergeCell ref="D37:D39"/>
    <mergeCell ref="E37:E39"/>
    <mergeCell ref="F37:F39"/>
    <mergeCell ref="A28:A42"/>
    <mergeCell ref="B28:B42"/>
    <mergeCell ref="C28:C30"/>
    <mergeCell ref="D28:D30"/>
    <mergeCell ref="E28:E30"/>
    <mergeCell ref="F28:F30"/>
    <mergeCell ref="C31:C33"/>
    <mergeCell ref="D31:D33"/>
    <mergeCell ref="E31:E33"/>
    <mergeCell ref="F31:F33"/>
    <mergeCell ref="C40:C42"/>
    <mergeCell ref="D40:D42"/>
    <mergeCell ref="E40:E42"/>
    <mergeCell ref="F40:F42"/>
    <mergeCell ref="D22:D24"/>
    <mergeCell ref="E22:E24"/>
    <mergeCell ref="F22:F24"/>
    <mergeCell ref="C25:C27"/>
    <mergeCell ref="D25:D27"/>
    <mergeCell ref="E25:E27"/>
    <mergeCell ref="F25:F27"/>
    <mergeCell ref="C16:C18"/>
    <mergeCell ref="D16:D18"/>
    <mergeCell ref="E16:E18"/>
    <mergeCell ref="F16:F18"/>
    <mergeCell ref="C19:C21"/>
    <mergeCell ref="D19:D21"/>
    <mergeCell ref="E19:E21"/>
    <mergeCell ref="F19:F21"/>
    <mergeCell ref="A5:A6"/>
    <mergeCell ref="B5:B6"/>
    <mergeCell ref="C5:C6"/>
    <mergeCell ref="D5:D6"/>
    <mergeCell ref="E5:E6"/>
    <mergeCell ref="F5:F6"/>
    <mergeCell ref="I5:V5"/>
    <mergeCell ref="A7:A27"/>
    <mergeCell ref="B7:B27"/>
    <mergeCell ref="C7:C9"/>
    <mergeCell ref="D7:D9"/>
    <mergeCell ref="E7:E9"/>
    <mergeCell ref="F7:F9"/>
    <mergeCell ref="C10:C12"/>
    <mergeCell ref="D10:D12"/>
    <mergeCell ref="E10:E12"/>
    <mergeCell ref="F10:F12"/>
    <mergeCell ref="C13:C15"/>
    <mergeCell ref="D13:D15"/>
    <mergeCell ref="E13:E15"/>
    <mergeCell ref="F13:F15"/>
    <mergeCell ref="G5:G6"/>
    <mergeCell ref="H5:H6"/>
    <mergeCell ref="C22:C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B83"/>
  <sheetViews>
    <sheetView showGridLines="0" topLeftCell="E4" workbookViewId="0">
      <selection activeCell="J22" sqref="J22:U23"/>
    </sheetView>
  </sheetViews>
  <sheetFormatPr defaultRowHeight="15"/>
  <cols>
    <col min="1" max="1" width="5.42578125" style="1" bestFit="1" customWidth="1"/>
    <col min="2" max="2" width="14.140625" style="1" bestFit="1" customWidth="1"/>
    <col min="3" max="3" width="19.85546875" style="1" bestFit="1" customWidth="1"/>
    <col min="4" max="4" width="11.28515625" style="1" bestFit="1" customWidth="1"/>
    <col min="5" max="5" width="13.5703125" style="1" customWidth="1"/>
    <col min="6" max="6" width="32.42578125" style="1" bestFit="1" customWidth="1"/>
    <col min="7" max="7" width="10.5703125" style="1" customWidth="1"/>
    <col min="8" max="8" width="10.7109375" style="1" customWidth="1"/>
    <col min="9" max="22" width="11.140625" style="1" customWidth="1"/>
    <col min="23" max="23" width="13" style="1" bestFit="1" customWidth="1"/>
    <col min="24" max="25" width="13.42578125" style="1" bestFit="1" customWidth="1"/>
    <col min="26" max="26" width="10.7109375" style="1" bestFit="1" customWidth="1"/>
    <col min="27" max="16384" width="9.140625" style="1"/>
  </cols>
  <sheetData>
    <row r="2" spans="1:28" ht="15" customHeight="1">
      <c r="A2" s="121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2" t="s">
        <v>1</v>
      </c>
      <c r="U2" s="2" t="s">
        <v>2</v>
      </c>
      <c r="V2" s="2" t="s">
        <v>3</v>
      </c>
      <c r="Z2" s="2" t="s">
        <v>1</v>
      </c>
      <c r="AA2" s="2" t="s">
        <v>2</v>
      </c>
      <c r="AB2" s="2" t="s">
        <v>3</v>
      </c>
    </row>
    <row r="3" spans="1:28" ht="30" customHeight="1">
      <c r="A3" s="121"/>
      <c r="B3" s="121" t="s">
        <v>0</v>
      </c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3" t="s">
        <v>4</v>
      </c>
      <c r="U3" s="123" t="s">
        <v>5</v>
      </c>
      <c r="V3" s="123" t="s">
        <v>6</v>
      </c>
      <c r="Z3" s="123" t="s">
        <v>4</v>
      </c>
      <c r="AA3" s="123" t="s">
        <v>5</v>
      </c>
      <c r="AB3" s="123" t="s">
        <v>6</v>
      </c>
    </row>
    <row r="4" spans="1:28" ht="16.5" customHeight="1" thickBot="1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Z4" s="123"/>
      <c r="AA4" s="123"/>
      <c r="AB4" s="123"/>
    </row>
    <row r="5" spans="1:28" ht="17.100000000000001" customHeight="1" thickBot="1">
      <c r="A5" s="248" t="s">
        <v>7</v>
      </c>
      <c r="B5" s="250" t="s">
        <v>8</v>
      </c>
      <c r="C5" s="250" t="s">
        <v>9</v>
      </c>
      <c r="D5" s="250" t="s">
        <v>10</v>
      </c>
      <c r="E5" s="250" t="s">
        <v>11</v>
      </c>
      <c r="F5" s="252" t="s">
        <v>12</v>
      </c>
      <c r="G5" s="276" t="s">
        <v>13</v>
      </c>
      <c r="H5" s="278" t="s">
        <v>14</v>
      </c>
      <c r="I5" s="254" t="s">
        <v>15</v>
      </c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5"/>
      <c r="U5" s="255"/>
      <c r="V5" s="256"/>
    </row>
    <row r="6" spans="1:28" ht="17.100000000000001" customHeight="1" thickBot="1">
      <c r="A6" s="249"/>
      <c r="B6" s="251"/>
      <c r="C6" s="251"/>
      <c r="D6" s="251"/>
      <c r="E6" s="251"/>
      <c r="F6" s="253"/>
      <c r="G6" s="277"/>
      <c r="H6" s="279"/>
      <c r="I6" s="3" t="s">
        <v>16</v>
      </c>
      <c r="J6" s="4">
        <v>43831</v>
      </c>
      <c r="K6" s="4">
        <v>43862</v>
      </c>
      <c r="L6" s="4">
        <v>43891</v>
      </c>
      <c r="M6" s="4">
        <v>43922</v>
      </c>
      <c r="N6" s="4">
        <v>43952</v>
      </c>
      <c r="O6" s="4">
        <v>43983</v>
      </c>
      <c r="P6" s="4">
        <v>44013</v>
      </c>
      <c r="Q6" s="4">
        <v>44044</v>
      </c>
      <c r="R6" s="4">
        <v>44075</v>
      </c>
      <c r="S6" s="4">
        <v>44105</v>
      </c>
      <c r="T6" s="4">
        <v>44136</v>
      </c>
      <c r="U6" s="4">
        <v>44166</v>
      </c>
      <c r="V6" s="5" t="s">
        <v>17</v>
      </c>
    </row>
    <row r="7" spans="1:28" ht="17.100000000000001" customHeight="1">
      <c r="A7" s="248">
        <v>1</v>
      </c>
      <c r="B7" s="258" t="s">
        <v>91</v>
      </c>
      <c r="C7" s="262" t="s">
        <v>92</v>
      </c>
      <c r="D7" s="286" t="s">
        <v>93</v>
      </c>
      <c r="E7" s="263" t="s">
        <v>94</v>
      </c>
      <c r="F7" s="265" t="s">
        <v>95</v>
      </c>
      <c r="G7" s="6"/>
      <c r="H7" s="6"/>
      <c r="I7" s="7" t="s">
        <v>23</v>
      </c>
      <c r="J7" s="6"/>
      <c r="K7" s="8"/>
      <c r="L7" s="8"/>
      <c r="M7" s="8"/>
      <c r="N7" s="8"/>
      <c r="O7" s="8"/>
      <c r="P7" s="8"/>
      <c r="Q7" s="8"/>
      <c r="R7" s="8"/>
      <c r="S7" s="8"/>
      <c r="T7" s="8"/>
      <c r="U7" s="9"/>
      <c r="V7" s="10">
        <f>SUM(J7:U7)</f>
        <v>0</v>
      </c>
    </row>
    <row r="8" spans="1:28" ht="17.100000000000001" customHeight="1">
      <c r="A8" s="257"/>
      <c r="B8" s="259"/>
      <c r="C8" s="259"/>
      <c r="D8" s="299"/>
      <c r="E8" s="264"/>
      <c r="F8" s="266"/>
      <c r="G8" s="11"/>
      <c r="H8" s="11"/>
      <c r="I8" s="12" t="s">
        <v>24</v>
      </c>
      <c r="J8" s="11"/>
      <c r="K8" s="13"/>
      <c r="L8" s="13"/>
      <c r="M8" s="13"/>
      <c r="N8" s="13"/>
      <c r="O8" s="13"/>
      <c r="P8" s="13"/>
      <c r="Q8" s="13"/>
      <c r="R8" s="13"/>
      <c r="S8" s="13"/>
      <c r="T8" s="13"/>
      <c r="U8" s="14"/>
      <c r="V8" s="15">
        <f>SUM(J8:U8)</f>
        <v>0</v>
      </c>
    </row>
    <row r="9" spans="1:28" ht="17.100000000000001" customHeight="1">
      <c r="A9" s="257"/>
      <c r="B9" s="259"/>
      <c r="C9" s="259"/>
      <c r="D9" s="288"/>
      <c r="E9" s="264"/>
      <c r="F9" s="266"/>
      <c r="G9" s="16"/>
      <c r="H9" s="16"/>
      <c r="I9" s="17" t="s">
        <v>25</v>
      </c>
      <c r="J9" s="16" t="e">
        <f t="shared" ref="J9:V9" si="0">J7/J8*1</f>
        <v>#DIV/0!</v>
      </c>
      <c r="K9" s="16" t="e">
        <f t="shared" si="0"/>
        <v>#DIV/0!</v>
      </c>
      <c r="L9" s="16" t="e">
        <f t="shared" si="0"/>
        <v>#DIV/0!</v>
      </c>
      <c r="M9" s="16" t="e">
        <f t="shared" si="0"/>
        <v>#DIV/0!</v>
      </c>
      <c r="N9" s="16" t="e">
        <f t="shared" si="0"/>
        <v>#DIV/0!</v>
      </c>
      <c r="O9" s="16" t="e">
        <f t="shared" si="0"/>
        <v>#DIV/0!</v>
      </c>
      <c r="P9" s="16" t="e">
        <f t="shared" si="0"/>
        <v>#DIV/0!</v>
      </c>
      <c r="Q9" s="16" t="e">
        <f t="shared" si="0"/>
        <v>#DIV/0!</v>
      </c>
      <c r="R9" s="16" t="e">
        <f t="shared" si="0"/>
        <v>#DIV/0!</v>
      </c>
      <c r="S9" s="16" t="e">
        <f t="shared" si="0"/>
        <v>#DIV/0!</v>
      </c>
      <c r="T9" s="16" t="e">
        <f t="shared" si="0"/>
        <v>#DIV/0!</v>
      </c>
      <c r="U9" s="18" t="e">
        <f t="shared" si="0"/>
        <v>#DIV/0!</v>
      </c>
      <c r="V9" s="19" t="e">
        <f t="shared" si="0"/>
        <v>#DIV/0!</v>
      </c>
    </row>
    <row r="10" spans="1:28" ht="17.100000000000001" customHeight="1">
      <c r="A10" s="257"/>
      <c r="B10" s="259"/>
      <c r="C10" s="286" t="s">
        <v>96</v>
      </c>
      <c r="D10" s="286" t="s">
        <v>93</v>
      </c>
      <c r="E10" s="263" t="s">
        <v>21</v>
      </c>
      <c r="F10" s="270" t="s">
        <v>97</v>
      </c>
      <c r="G10" s="6"/>
      <c r="H10" s="6"/>
      <c r="I10" s="7" t="s">
        <v>23</v>
      </c>
      <c r="J10" s="6"/>
      <c r="K10" s="8"/>
      <c r="L10" s="8"/>
      <c r="M10" s="8"/>
      <c r="N10" s="8"/>
      <c r="O10" s="8"/>
      <c r="P10" s="8"/>
      <c r="Q10" s="8"/>
      <c r="R10" s="8"/>
      <c r="S10" s="8"/>
      <c r="T10" s="8"/>
      <c r="U10" s="9"/>
      <c r="V10" s="10">
        <f>SUM(J10:U10)</f>
        <v>0</v>
      </c>
    </row>
    <row r="11" spans="1:28" ht="17.100000000000001" customHeight="1">
      <c r="A11" s="257"/>
      <c r="B11" s="259"/>
      <c r="C11" s="299"/>
      <c r="D11" s="299"/>
      <c r="E11" s="264"/>
      <c r="F11" s="266"/>
      <c r="G11" s="11"/>
      <c r="H11" s="11"/>
      <c r="I11" s="12" t="s">
        <v>24</v>
      </c>
      <c r="J11" s="11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4"/>
      <c r="V11" s="15">
        <f>SUM(J11:U11)</f>
        <v>0</v>
      </c>
    </row>
    <row r="12" spans="1:28" ht="17.100000000000001" customHeight="1">
      <c r="A12" s="257"/>
      <c r="B12" s="259"/>
      <c r="C12" s="288"/>
      <c r="D12" s="288"/>
      <c r="E12" s="264"/>
      <c r="F12" s="271"/>
      <c r="G12" s="16"/>
      <c r="H12" s="16"/>
      <c r="I12" s="17" t="s">
        <v>25</v>
      </c>
      <c r="J12" s="16" t="e">
        <f t="shared" ref="J12:R12" si="1">J11/J10*1</f>
        <v>#DIV/0!</v>
      </c>
      <c r="K12" s="16" t="e">
        <f t="shared" si="1"/>
        <v>#DIV/0!</v>
      </c>
      <c r="L12" s="16" t="e">
        <f t="shared" si="1"/>
        <v>#DIV/0!</v>
      </c>
      <c r="M12" s="16" t="e">
        <f t="shared" si="1"/>
        <v>#DIV/0!</v>
      </c>
      <c r="N12" s="16" t="e">
        <f t="shared" si="1"/>
        <v>#DIV/0!</v>
      </c>
      <c r="O12" s="16" t="e">
        <f t="shared" si="1"/>
        <v>#DIV/0!</v>
      </c>
      <c r="P12" s="16" t="e">
        <f t="shared" si="1"/>
        <v>#DIV/0!</v>
      </c>
      <c r="Q12" s="16" t="e">
        <f t="shared" si="1"/>
        <v>#DIV/0!</v>
      </c>
      <c r="R12" s="16" t="e">
        <f t="shared" si="1"/>
        <v>#DIV/0!</v>
      </c>
      <c r="S12" s="16" t="e">
        <f>S10/S11*1</f>
        <v>#DIV/0!</v>
      </c>
      <c r="T12" s="16" t="e">
        <f>T11/T10*1</f>
        <v>#DIV/0!</v>
      </c>
      <c r="U12" s="18" t="e">
        <f>U11/U10*1</f>
        <v>#DIV/0!</v>
      </c>
      <c r="V12" s="19" t="e">
        <f>V10/V11*1</f>
        <v>#DIV/0!</v>
      </c>
    </row>
    <row r="13" spans="1:28" ht="17.100000000000001" customHeight="1">
      <c r="A13" s="257"/>
      <c r="B13" s="259"/>
      <c r="C13" s="272" t="s">
        <v>98</v>
      </c>
      <c r="D13" s="272" t="s">
        <v>99</v>
      </c>
      <c r="E13" s="274" t="s">
        <v>30</v>
      </c>
      <c r="F13" s="275" t="s">
        <v>31</v>
      </c>
      <c r="G13" s="136">
        <v>30494106</v>
      </c>
      <c r="H13" s="20">
        <v>31553074</v>
      </c>
      <c r="I13" s="7" t="s">
        <v>23</v>
      </c>
      <c r="J13" s="21">
        <v>3000000</v>
      </c>
      <c r="K13" s="21">
        <v>3000000</v>
      </c>
      <c r="L13" s="21">
        <v>3000000</v>
      </c>
      <c r="M13" s="21">
        <v>3000000</v>
      </c>
      <c r="N13" s="21">
        <v>3000000</v>
      </c>
      <c r="O13" s="21">
        <v>3000000</v>
      </c>
      <c r="P13" s="21">
        <v>3000000</v>
      </c>
      <c r="Q13" s="21">
        <v>3000000</v>
      </c>
      <c r="R13" s="21">
        <v>3000000</v>
      </c>
      <c r="S13" s="21">
        <v>3000000</v>
      </c>
      <c r="T13" s="21">
        <v>3000000</v>
      </c>
      <c r="U13" s="21">
        <v>3000000</v>
      </c>
      <c r="V13" s="20">
        <f>SUM(J13:U13)</f>
        <v>36000000</v>
      </c>
    </row>
    <row r="14" spans="1:28" ht="17.100000000000001" customHeight="1">
      <c r="A14" s="257"/>
      <c r="B14" s="259"/>
      <c r="C14" s="272"/>
      <c r="D14" s="272"/>
      <c r="E14" s="274"/>
      <c r="F14" s="275"/>
      <c r="G14" s="136">
        <v>21293356</v>
      </c>
      <c r="H14" s="20">
        <v>23407148</v>
      </c>
      <c r="I14" s="12" t="s">
        <v>24</v>
      </c>
      <c r="J14" s="22">
        <v>2953345.4879240599</v>
      </c>
      <c r="K14" s="23">
        <v>2879764.9240413099</v>
      </c>
      <c r="L14" s="23">
        <v>2645132.3007173501</v>
      </c>
      <c r="M14" s="23">
        <v>2989948.4261921402</v>
      </c>
      <c r="N14" s="23">
        <v>2835023.83198134</v>
      </c>
      <c r="O14" s="23">
        <v>2814496.4015440699</v>
      </c>
      <c r="P14" s="23">
        <v>2927079.9589708298</v>
      </c>
      <c r="Q14" s="23">
        <v>2875908.6652484299</v>
      </c>
      <c r="R14" s="23">
        <v>2798716.9424386998</v>
      </c>
      <c r="S14" s="23">
        <v>2712572.6551495702</v>
      </c>
      <c r="T14" s="23">
        <v>2944460.8438335499</v>
      </c>
      <c r="U14" s="24">
        <v>2870697.6979026399</v>
      </c>
      <c r="V14" s="25">
        <f>SUM(J14:U14)</f>
        <v>34247148.135943994</v>
      </c>
    </row>
    <row r="15" spans="1:28" ht="17.100000000000001" customHeight="1">
      <c r="A15" s="257"/>
      <c r="B15" s="259"/>
      <c r="C15" s="272"/>
      <c r="D15" s="272"/>
      <c r="E15" s="274"/>
      <c r="F15" s="275"/>
      <c r="G15" s="16">
        <f>G14/G13</f>
        <v>0.6982777589872613</v>
      </c>
      <c r="H15" s="16">
        <f>H14/H13</f>
        <v>0.74183415536628861</v>
      </c>
      <c r="I15" s="17" t="s">
        <v>25</v>
      </c>
      <c r="J15" s="16">
        <f t="shared" ref="J15:V15" si="2">J14/J13*1</f>
        <v>0.98444849597468664</v>
      </c>
      <c r="K15" s="16">
        <f>K14/K13*1</f>
        <v>0.95992164134710334</v>
      </c>
      <c r="L15" s="16">
        <f t="shared" si="2"/>
        <v>0.88171076690578332</v>
      </c>
      <c r="M15" s="16">
        <f t="shared" si="2"/>
        <v>0.99664947539738002</v>
      </c>
      <c r="N15" s="16">
        <f t="shared" si="2"/>
        <v>0.94500794399377996</v>
      </c>
      <c r="O15" s="16">
        <f t="shared" si="2"/>
        <v>0.93816546718135663</v>
      </c>
      <c r="P15" s="16">
        <f t="shared" si="2"/>
        <v>0.97569331965694328</v>
      </c>
      <c r="Q15" s="16">
        <f t="shared" si="2"/>
        <v>0.9586362217494766</v>
      </c>
      <c r="R15" s="16">
        <f t="shared" si="2"/>
        <v>0.93290564747956661</v>
      </c>
      <c r="S15" s="16">
        <f t="shared" si="2"/>
        <v>0.90419088504985679</v>
      </c>
      <c r="T15" s="16">
        <f t="shared" si="2"/>
        <v>0.98148694794451663</v>
      </c>
      <c r="U15" s="18">
        <f t="shared" si="2"/>
        <v>0.95689923263421328</v>
      </c>
      <c r="V15" s="19">
        <f t="shared" si="2"/>
        <v>0.95130967044288872</v>
      </c>
    </row>
    <row r="16" spans="1:28" ht="17.100000000000001" customHeight="1">
      <c r="A16" s="257"/>
      <c r="B16" s="259"/>
      <c r="C16" s="262" t="s">
        <v>100</v>
      </c>
      <c r="D16" s="285" t="s">
        <v>101</v>
      </c>
      <c r="E16" s="274" t="s">
        <v>30</v>
      </c>
      <c r="F16" s="270" t="s">
        <v>102</v>
      </c>
      <c r="G16" s="6"/>
      <c r="H16" s="6"/>
      <c r="I16" s="7" t="s">
        <v>23</v>
      </c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7"/>
      <c r="V16" s="20">
        <f>SUM(J16:U16)</f>
        <v>0</v>
      </c>
    </row>
    <row r="17" spans="1:22" ht="17.100000000000001" customHeight="1">
      <c r="A17" s="257"/>
      <c r="B17" s="259"/>
      <c r="C17" s="259"/>
      <c r="D17" s="285"/>
      <c r="E17" s="274"/>
      <c r="F17" s="266"/>
      <c r="G17" s="11"/>
      <c r="H17" s="11"/>
      <c r="I17" s="12" t="s">
        <v>24</v>
      </c>
      <c r="J17" s="22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4"/>
      <c r="V17" s="25">
        <f>SUM(J17:U17)</f>
        <v>0</v>
      </c>
    </row>
    <row r="18" spans="1:22" ht="17.100000000000001" customHeight="1">
      <c r="A18" s="257"/>
      <c r="B18" s="259"/>
      <c r="C18" s="336"/>
      <c r="D18" s="285"/>
      <c r="E18" s="274"/>
      <c r="F18" s="271"/>
      <c r="G18" s="16"/>
      <c r="H18" s="16"/>
      <c r="I18" s="17" t="s">
        <v>25</v>
      </c>
      <c r="J18" s="16" t="e">
        <f t="shared" ref="J18:V18" si="3">J17/J16*1</f>
        <v>#DIV/0!</v>
      </c>
      <c r="K18" s="16" t="e">
        <f t="shared" si="3"/>
        <v>#DIV/0!</v>
      </c>
      <c r="L18" s="16" t="e">
        <f t="shared" si="3"/>
        <v>#DIV/0!</v>
      </c>
      <c r="M18" s="16" t="e">
        <f t="shared" si="3"/>
        <v>#DIV/0!</v>
      </c>
      <c r="N18" s="16" t="e">
        <f t="shared" si="3"/>
        <v>#DIV/0!</v>
      </c>
      <c r="O18" s="16" t="e">
        <f t="shared" si="3"/>
        <v>#DIV/0!</v>
      </c>
      <c r="P18" s="16" t="e">
        <f t="shared" si="3"/>
        <v>#DIV/0!</v>
      </c>
      <c r="Q18" s="16" t="e">
        <f t="shared" si="3"/>
        <v>#DIV/0!</v>
      </c>
      <c r="R18" s="16" t="e">
        <f t="shared" si="3"/>
        <v>#DIV/0!</v>
      </c>
      <c r="S18" s="16" t="e">
        <f t="shared" si="3"/>
        <v>#DIV/0!</v>
      </c>
      <c r="T18" s="16" t="e">
        <f t="shared" si="3"/>
        <v>#DIV/0!</v>
      </c>
      <c r="U18" s="18" t="e">
        <f t="shared" si="3"/>
        <v>#DIV/0!</v>
      </c>
      <c r="V18" s="19" t="e">
        <f t="shared" si="3"/>
        <v>#DIV/0!</v>
      </c>
    </row>
    <row r="19" spans="1:22" ht="17.100000000000001" customHeight="1">
      <c r="A19" s="257"/>
      <c r="B19" s="259"/>
      <c r="C19" s="262" t="s">
        <v>103</v>
      </c>
      <c r="D19" s="285" t="s">
        <v>101</v>
      </c>
      <c r="E19" s="274" t="s">
        <v>104</v>
      </c>
      <c r="F19" s="270" t="s">
        <v>105</v>
      </c>
      <c r="G19" s="6"/>
      <c r="H19" s="6"/>
      <c r="I19" s="7" t="s">
        <v>23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9"/>
      <c r="V19" s="30" t="e">
        <f>AVERAGE(J19:U19)</f>
        <v>#DIV/0!</v>
      </c>
    </row>
    <row r="20" spans="1:22" ht="17.100000000000001" customHeight="1">
      <c r="A20" s="257"/>
      <c r="B20" s="259"/>
      <c r="C20" s="259"/>
      <c r="D20" s="285"/>
      <c r="E20" s="274"/>
      <c r="F20" s="266"/>
      <c r="G20" s="11"/>
      <c r="H20" s="11"/>
      <c r="I20" s="12" t="s">
        <v>24</v>
      </c>
      <c r="J20" s="31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 t="e">
        <f>AVERAGE(J20:U20)</f>
        <v>#DIV/0!</v>
      </c>
    </row>
    <row r="21" spans="1:22" ht="17.100000000000001" customHeight="1">
      <c r="A21" s="257"/>
      <c r="B21" s="259"/>
      <c r="C21" s="336"/>
      <c r="D21" s="285"/>
      <c r="E21" s="274"/>
      <c r="F21" s="271"/>
      <c r="G21" s="16"/>
      <c r="H21" s="16"/>
      <c r="I21" s="17" t="s">
        <v>25</v>
      </c>
      <c r="J21" s="16" t="e">
        <f t="shared" ref="J21:V21" si="4">J20/J19*1</f>
        <v>#DIV/0!</v>
      </c>
      <c r="K21" s="16" t="e">
        <f t="shared" si="4"/>
        <v>#DIV/0!</v>
      </c>
      <c r="L21" s="16" t="e">
        <f t="shared" si="4"/>
        <v>#DIV/0!</v>
      </c>
      <c r="M21" s="16" t="e">
        <f t="shared" si="4"/>
        <v>#DIV/0!</v>
      </c>
      <c r="N21" s="16" t="e">
        <f t="shared" si="4"/>
        <v>#DIV/0!</v>
      </c>
      <c r="O21" s="16" t="e">
        <f t="shared" si="4"/>
        <v>#DIV/0!</v>
      </c>
      <c r="P21" s="16" t="e">
        <f t="shared" si="4"/>
        <v>#DIV/0!</v>
      </c>
      <c r="Q21" s="16" t="e">
        <f t="shared" si="4"/>
        <v>#DIV/0!</v>
      </c>
      <c r="R21" s="16" t="e">
        <f t="shared" si="4"/>
        <v>#DIV/0!</v>
      </c>
      <c r="S21" s="16" t="e">
        <f t="shared" si="4"/>
        <v>#DIV/0!</v>
      </c>
      <c r="T21" s="16" t="e">
        <f t="shared" si="4"/>
        <v>#DIV/0!</v>
      </c>
      <c r="U21" s="18" t="e">
        <f t="shared" si="4"/>
        <v>#DIV/0!</v>
      </c>
      <c r="V21" s="19" t="e">
        <f t="shared" si="4"/>
        <v>#DIV/0!</v>
      </c>
    </row>
    <row r="22" spans="1:22" ht="17.100000000000001" customHeight="1">
      <c r="A22" s="257"/>
      <c r="B22" s="259"/>
      <c r="C22" s="272" t="s">
        <v>106</v>
      </c>
      <c r="D22" s="259" t="s">
        <v>107</v>
      </c>
      <c r="E22" s="274" t="s">
        <v>94</v>
      </c>
      <c r="F22" s="275" t="s">
        <v>108</v>
      </c>
      <c r="G22" s="35">
        <v>60</v>
      </c>
      <c r="H22" s="6">
        <v>60</v>
      </c>
      <c r="I22" s="7" t="s">
        <v>23</v>
      </c>
      <c r="J22" s="36">
        <v>6</v>
      </c>
      <c r="K22" s="36">
        <v>6</v>
      </c>
      <c r="L22" s="36">
        <v>6</v>
      </c>
      <c r="M22" s="36">
        <v>6</v>
      </c>
      <c r="N22" s="36">
        <v>6</v>
      </c>
      <c r="O22" s="36">
        <v>6</v>
      </c>
      <c r="P22" s="36">
        <v>6</v>
      </c>
      <c r="Q22" s="36">
        <v>6</v>
      </c>
      <c r="R22" s="36">
        <v>6</v>
      </c>
      <c r="S22" s="36">
        <v>6</v>
      </c>
      <c r="T22" s="36">
        <v>6</v>
      </c>
      <c r="U22" s="36">
        <v>6</v>
      </c>
      <c r="V22" s="10">
        <f>SUM(J22:U22)</f>
        <v>72</v>
      </c>
    </row>
    <row r="23" spans="1:22" ht="17.100000000000001" customHeight="1">
      <c r="A23" s="257"/>
      <c r="B23" s="259"/>
      <c r="C23" s="272"/>
      <c r="D23" s="259"/>
      <c r="E23" s="274"/>
      <c r="F23" s="275"/>
      <c r="G23" s="11">
        <v>14</v>
      </c>
      <c r="H23" s="11">
        <v>11</v>
      </c>
      <c r="I23" s="12" t="s">
        <v>24</v>
      </c>
      <c r="J23" s="13">
        <v>6</v>
      </c>
      <c r="K23" s="13">
        <v>7</v>
      </c>
      <c r="L23" s="13">
        <v>5</v>
      </c>
      <c r="M23" s="13">
        <v>7</v>
      </c>
      <c r="N23" s="13">
        <v>6</v>
      </c>
      <c r="O23" s="13">
        <v>5</v>
      </c>
      <c r="P23" s="13">
        <v>7</v>
      </c>
      <c r="Q23" s="13">
        <v>6</v>
      </c>
      <c r="R23" s="13">
        <v>6</v>
      </c>
      <c r="S23" s="13">
        <v>8</v>
      </c>
      <c r="T23" s="13">
        <v>4</v>
      </c>
      <c r="U23" s="14">
        <v>4</v>
      </c>
      <c r="V23" s="15">
        <f>SUM(J23:U23)</f>
        <v>71</v>
      </c>
    </row>
    <row r="24" spans="1:22" ht="17.100000000000001" customHeight="1">
      <c r="A24" s="257"/>
      <c r="B24" s="259"/>
      <c r="C24" s="272"/>
      <c r="D24" s="259"/>
      <c r="E24" s="274"/>
      <c r="F24" s="275"/>
      <c r="G24" s="16">
        <f>G23/G22</f>
        <v>0.23333333333333334</v>
      </c>
      <c r="H24" s="16">
        <f>H23/H22</f>
        <v>0.18333333333333332</v>
      </c>
      <c r="I24" s="17" t="s">
        <v>25</v>
      </c>
      <c r="J24" s="37">
        <f t="shared" ref="J24:V24" si="5">J23/J22*1</f>
        <v>1</v>
      </c>
      <c r="K24" s="37">
        <f t="shared" si="5"/>
        <v>1.1666666666666667</v>
      </c>
      <c r="L24" s="37">
        <f t="shared" si="5"/>
        <v>0.83333333333333337</v>
      </c>
      <c r="M24" s="37">
        <f t="shared" si="5"/>
        <v>1.1666666666666667</v>
      </c>
      <c r="N24" s="37">
        <f t="shared" si="5"/>
        <v>1</v>
      </c>
      <c r="O24" s="37">
        <f t="shared" si="5"/>
        <v>0.83333333333333337</v>
      </c>
      <c r="P24" s="37">
        <f t="shared" si="5"/>
        <v>1.1666666666666667</v>
      </c>
      <c r="Q24" s="37">
        <f t="shared" si="5"/>
        <v>1</v>
      </c>
      <c r="R24" s="37">
        <f t="shared" si="5"/>
        <v>1</v>
      </c>
      <c r="S24" s="37">
        <f t="shared" si="5"/>
        <v>1.3333333333333333</v>
      </c>
      <c r="T24" s="37">
        <f t="shared" si="5"/>
        <v>0.66666666666666663</v>
      </c>
      <c r="U24" s="38">
        <f t="shared" si="5"/>
        <v>0.66666666666666663</v>
      </c>
      <c r="V24" s="19">
        <f t="shared" si="5"/>
        <v>0.98611111111111116</v>
      </c>
    </row>
    <row r="25" spans="1:22" ht="17.100000000000001" customHeight="1">
      <c r="A25" s="257"/>
      <c r="B25" s="259"/>
      <c r="C25" s="272" t="s">
        <v>109</v>
      </c>
      <c r="D25" s="272" t="s">
        <v>110</v>
      </c>
      <c r="E25" s="263" t="s">
        <v>94</v>
      </c>
      <c r="F25" s="275" t="s">
        <v>41</v>
      </c>
      <c r="G25" s="35">
        <v>12</v>
      </c>
      <c r="H25" s="6">
        <v>12</v>
      </c>
      <c r="I25" s="7" t="s">
        <v>23</v>
      </c>
      <c r="J25" s="36">
        <v>1</v>
      </c>
      <c r="K25" s="36">
        <v>1</v>
      </c>
      <c r="L25" s="39">
        <v>1</v>
      </c>
      <c r="M25" s="36">
        <v>1</v>
      </c>
      <c r="N25" s="36">
        <v>1</v>
      </c>
      <c r="O25" s="36">
        <v>1</v>
      </c>
      <c r="P25" s="36">
        <v>1</v>
      </c>
      <c r="Q25" s="36">
        <v>1</v>
      </c>
      <c r="R25" s="36">
        <v>1</v>
      </c>
      <c r="S25" s="36">
        <v>1</v>
      </c>
      <c r="T25" s="40">
        <v>1</v>
      </c>
      <c r="U25" s="40"/>
      <c r="V25" s="10">
        <f>SUM(J25:U25)</f>
        <v>11</v>
      </c>
    </row>
    <row r="26" spans="1:22" ht="17.100000000000001" customHeight="1">
      <c r="A26" s="257"/>
      <c r="B26" s="259"/>
      <c r="C26" s="272"/>
      <c r="D26" s="272"/>
      <c r="E26" s="264"/>
      <c r="F26" s="275"/>
      <c r="G26" s="11">
        <v>0</v>
      </c>
      <c r="H26" s="11">
        <v>0</v>
      </c>
      <c r="I26" s="12" t="s">
        <v>24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4">
        <v>0</v>
      </c>
      <c r="U26" s="14"/>
      <c r="V26" s="15">
        <f>SUM(J26:U26)</f>
        <v>0</v>
      </c>
    </row>
    <row r="27" spans="1:22" ht="17.100000000000001" customHeight="1" thickBot="1">
      <c r="A27" s="249"/>
      <c r="B27" s="259"/>
      <c r="C27" s="262"/>
      <c r="D27" s="262"/>
      <c r="E27" s="281"/>
      <c r="F27" s="270"/>
      <c r="G27" s="16">
        <f>G26/G25</f>
        <v>0</v>
      </c>
      <c r="H27" s="16">
        <f>H26/H25</f>
        <v>0</v>
      </c>
      <c r="I27" s="17" t="s">
        <v>25</v>
      </c>
      <c r="J27" s="41">
        <f t="shared" ref="J27:R27" si="6">J26/J25*1</f>
        <v>0</v>
      </c>
      <c r="K27" s="41">
        <f t="shared" si="6"/>
        <v>0</v>
      </c>
      <c r="L27" s="41">
        <f t="shared" si="6"/>
        <v>0</v>
      </c>
      <c r="M27" s="41">
        <f t="shared" si="6"/>
        <v>0</v>
      </c>
      <c r="N27" s="41">
        <f t="shared" si="6"/>
        <v>0</v>
      </c>
      <c r="O27" s="41">
        <f t="shared" si="6"/>
        <v>0</v>
      </c>
      <c r="P27" s="41">
        <f t="shared" si="6"/>
        <v>0</v>
      </c>
      <c r="Q27" s="41">
        <f t="shared" si="6"/>
        <v>0</v>
      </c>
      <c r="R27" s="41">
        <f t="shared" si="6"/>
        <v>0</v>
      </c>
      <c r="S27" s="42" t="e">
        <f>S25/S26*1</f>
        <v>#DIV/0!</v>
      </c>
      <c r="T27" s="41">
        <f>T26/T25*1</f>
        <v>0</v>
      </c>
      <c r="U27" s="43" t="e">
        <f>U26/U25*1</f>
        <v>#DIV/0!</v>
      </c>
      <c r="V27" s="44" t="e">
        <f>V25/V26*1</f>
        <v>#DIV/0!</v>
      </c>
    </row>
    <row r="28" spans="1:22" ht="17.100000000000001" customHeight="1">
      <c r="A28" s="257">
        <v>2</v>
      </c>
      <c r="B28" s="295" t="s">
        <v>111</v>
      </c>
      <c r="C28" s="298" t="s">
        <v>112</v>
      </c>
      <c r="D28" s="298" t="s">
        <v>113</v>
      </c>
      <c r="E28" s="263" t="s">
        <v>94</v>
      </c>
      <c r="F28" s="300" t="s">
        <v>114</v>
      </c>
      <c r="G28" s="35">
        <v>100</v>
      </c>
      <c r="H28" s="6">
        <v>100</v>
      </c>
      <c r="I28" s="7" t="s">
        <v>23</v>
      </c>
      <c r="J28" s="45">
        <v>100</v>
      </c>
      <c r="K28" s="45">
        <v>100</v>
      </c>
      <c r="L28" s="45">
        <v>100</v>
      </c>
      <c r="M28" s="45">
        <v>100</v>
      </c>
      <c r="N28" s="45">
        <v>100</v>
      </c>
      <c r="O28" s="45">
        <v>100</v>
      </c>
      <c r="P28" s="45">
        <v>100</v>
      </c>
      <c r="Q28" s="45">
        <v>100</v>
      </c>
      <c r="R28" s="45">
        <v>100</v>
      </c>
      <c r="S28" s="45">
        <v>100</v>
      </c>
      <c r="T28" s="45">
        <v>100</v>
      </c>
      <c r="U28" s="45">
        <v>100</v>
      </c>
      <c r="V28" s="46">
        <f>AVERAGE(J28:U28)</f>
        <v>100</v>
      </c>
    </row>
    <row r="29" spans="1:22" ht="17.100000000000001" customHeight="1">
      <c r="A29" s="257"/>
      <c r="B29" s="296"/>
      <c r="C29" s="299"/>
      <c r="D29" s="299"/>
      <c r="E29" s="264"/>
      <c r="F29" s="301"/>
      <c r="G29" s="11">
        <v>26.4</v>
      </c>
      <c r="H29" s="11">
        <v>22.3</v>
      </c>
      <c r="I29" s="12" t="s">
        <v>24</v>
      </c>
      <c r="J29" s="47">
        <v>50</v>
      </c>
      <c r="K29" s="47">
        <v>0</v>
      </c>
      <c r="L29" s="47">
        <v>30</v>
      </c>
      <c r="M29" s="47">
        <v>0</v>
      </c>
      <c r="N29" s="47">
        <v>32</v>
      </c>
      <c r="O29" s="47">
        <v>0</v>
      </c>
      <c r="P29" s="47">
        <v>0</v>
      </c>
      <c r="Q29" s="47">
        <v>25</v>
      </c>
      <c r="R29" s="47">
        <v>50</v>
      </c>
      <c r="S29" s="47">
        <v>30</v>
      </c>
      <c r="T29" s="47">
        <v>30</v>
      </c>
      <c r="U29" s="47">
        <v>0</v>
      </c>
      <c r="V29" s="25">
        <f>AVERAGE(J29:U29)</f>
        <v>20.583333333333332</v>
      </c>
    </row>
    <row r="30" spans="1:22" ht="17.100000000000001" customHeight="1">
      <c r="A30" s="257"/>
      <c r="B30" s="296"/>
      <c r="C30" s="288"/>
      <c r="D30" s="288"/>
      <c r="E30" s="264"/>
      <c r="F30" s="302"/>
      <c r="G30" s="16">
        <f>G29/G28</f>
        <v>0.26400000000000001</v>
      </c>
      <c r="H30" s="16">
        <f>H29/H28</f>
        <v>0.223</v>
      </c>
      <c r="I30" s="17" t="s">
        <v>25</v>
      </c>
      <c r="J30" s="16">
        <f>J29/J28*1</f>
        <v>0.5</v>
      </c>
      <c r="K30" s="16">
        <f t="shared" ref="K30:U30" si="7">K29/K28*1</f>
        <v>0</v>
      </c>
      <c r="L30" s="16">
        <f t="shared" si="7"/>
        <v>0.3</v>
      </c>
      <c r="M30" s="16">
        <f t="shared" si="7"/>
        <v>0</v>
      </c>
      <c r="N30" s="16">
        <f t="shared" si="7"/>
        <v>0.32</v>
      </c>
      <c r="O30" s="16">
        <f t="shared" si="7"/>
        <v>0</v>
      </c>
      <c r="P30" s="16">
        <f t="shared" si="7"/>
        <v>0</v>
      </c>
      <c r="Q30" s="16">
        <f t="shared" si="7"/>
        <v>0.25</v>
      </c>
      <c r="R30" s="16">
        <f t="shared" si="7"/>
        <v>0.5</v>
      </c>
      <c r="S30" s="16">
        <f t="shared" si="7"/>
        <v>0.3</v>
      </c>
      <c r="T30" s="16">
        <f t="shared" si="7"/>
        <v>0.3</v>
      </c>
      <c r="U30" s="16">
        <f t="shared" si="7"/>
        <v>0</v>
      </c>
      <c r="V30" s="19">
        <f>V29/V28*1</f>
        <v>0.20583333333333331</v>
      </c>
    </row>
    <row r="31" spans="1:22" ht="17.100000000000001" customHeight="1">
      <c r="A31" s="257"/>
      <c r="B31" s="296"/>
      <c r="C31" s="287" t="s">
        <v>115</v>
      </c>
      <c r="D31" s="287" t="s">
        <v>116</v>
      </c>
      <c r="E31" s="292" t="s">
        <v>117</v>
      </c>
      <c r="F31" s="304" t="s">
        <v>118</v>
      </c>
      <c r="G31" s="35">
        <v>24</v>
      </c>
      <c r="H31" s="6">
        <v>24</v>
      </c>
      <c r="I31" s="7" t="s">
        <v>23</v>
      </c>
      <c r="J31" s="48">
        <v>2</v>
      </c>
      <c r="K31" s="48">
        <v>2</v>
      </c>
      <c r="L31" s="48">
        <v>2</v>
      </c>
      <c r="M31" s="48">
        <v>2</v>
      </c>
      <c r="N31" s="48">
        <v>2</v>
      </c>
      <c r="O31" s="48">
        <v>2</v>
      </c>
      <c r="P31" s="48">
        <v>2</v>
      </c>
      <c r="Q31" s="48">
        <v>2</v>
      </c>
      <c r="R31" s="48">
        <v>2</v>
      </c>
      <c r="S31" s="48">
        <v>2</v>
      </c>
      <c r="T31" s="48">
        <v>2</v>
      </c>
      <c r="U31" s="48">
        <v>2</v>
      </c>
      <c r="V31" s="20">
        <f>SUM(J31:U31)</f>
        <v>24</v>
      </c>
    </row>
    <row r="32" spans="1:22" ht="17.100000000000001" customHeight="1">
      <c r="A32" s="257"/>
      <c r="B32" s="296"/>
      <c r="C32" s="299"/>
      <c r="D32" s="299"/>
      <c r="E32" s="292"/>
      <c r="F32" s="301"/>
      <c r="G32" s="11">
        <v>11</v>
      </c>
      <c r="H32" s="11">
        <v>9</v>
      </c>
      <c r="I32" s="12" t="s">
        <v>24</v>
      </c>
      <c r="J32" s="49">
        <v>1</v>
      </c>
      <c r="K32" s="49">
        <v>0</v>
      </c>
      <c r="L32" s="49">
        <v>1</v>
      </c>
      <c r="M32" s="49">
        <v>0</v>
      </c>
      <c r="N32" s="49">
        <v>1</v>
      </c>
      <c r="O32" s="49">
        <v>0</v>
      </c>
      <c r="P32" s="49">
        <v>0</v>
      </c>
      <c r="Q32" s="49">
        <v>1</v>
      </c>
      <c r="R32" s="49">
        <v>2</v>
      </c>
      <c r="S32" s="49">
        <v>1</v>
      </c>
      <c r="T32" s="49">
        <v>1</v>
      </c>
      <c r="U32" s="49">
        <v>0</v>
      </c>
      <c r="V32" s="25">
        <f>SUM(J32:U32)</f>
        <v>8</v>
      </c>
    </row>
    <row r="33" spans="1:22" ht="17.100000000000001" customHeight="1">
      <c r="A33" s="257"/>
      <c r="B33" s="296"/>
      <c r="C33" s="288"/>
      <c r="D33" s="288"/>
      <c r="E33" s="292"/>
      <c r="F33" s="302"/>
      <c r="G33" s="16">
        <f>G32/G31</f>
        <v>0.45833333333333331</v>
      </c>
      <c r="H33" s="16">
        <f>H32/H31</f>
        <v>0.375</v>
      </c>
      <c r="I33" s="17" t="s">
        <v>25</v>
      </c>
      <c r="J33" s="16">
        <f t="shared" ref="J33:U33" si="8">J32/J31*1</f>
        <v>0.5</v>
      </c>
      <c r="K33" s="16">
        <f t="shared" si="8"/>
        <v>0</v>
      </c>
      <c r="L33" s="16">
        <f t="shared" si="8"/>
        <v>0.5</v>
      </c>
      <c r="M33" s="16">
        <f t="shared" si="8"/>
        <v>0</v>
      </c>
      <c r="N33" s="16">
        <f t="shared" si="8"/>
        <v>0.5</v>
      </c>
      <c r="O33" s="16">
        <f t="shared" si="8"/>
        <v>0</v>
      </c>
      <c r="P33" s="16">
        <f t="shared" si="8"/>
        <v>0</v>
      </c>
      <c r="Q33" s="16">
        <f t="shared" si="8"/>
        <v>0.5</v>
      </c>
      <c r="R33" s="16">
        <f t="shared" si="8"/>
        <v>1</v>
      </c>
      <c r="S33" s="16">
        <f t="shared" si="8"/>
        <v>0.5</v>
      </c>
      <c r="T33" s="16">
        <f t="shared" si="8"/>
        <v>0.5</v>
      </c>
      <c r="U33" s="16">
        <f t="shared" si="8"/>
        <v>0</v>
      </c>
      <c r="V33" s="19">
        <f>V32/V31</f>
        <v>0.33333333333333331</v>
      </c>
    </row>
    <row r="34" spans="1:22" ht="17.100000000000001" customHeight="1">
      <c r="A34" s="257"/>
      <c r="B34" s="296"/>
      <c r="C34" s="286" t="s">
        <v>119</v>
      </c>
      <c r="D34" s="286" t="s">
        <v>120</v>
      </c>
      <c r="E34" s="263" t="s">
        <v>94</v>
      </c>
      <c r="F34" s="270" t="s">
        <v>121</v>
      </c>
      <c r="G34" s="35">
        <v>36</v>
      </c>
      <c r="H34" s="6">
        <v>36</v>
      </c>
      <c r="I34" s="7" t="s">
        <v>23</v>
      </c>
      <c r="J34" s="35">
        <v>3</v>
      </c>
      <c r="K34" s="35">
        <v>3</v>
      </c>
      <c r="L34" s="35">
        <v>3</v>
      </c>
      <c r="M34" s="35">
        <v>3</v>
      </c>
      <c r="N34" s="35">
        <v>3</v>
      </c>
      <c r="O34" s="35">
        <v>3</v>
      </c>
      <c r="P34" s="35">
        <v>3</v>
      </c>
      <c r="Q34" s="35">
        <v>3</v>
      </c>
      <c r="R34" s="35">
        <v>3</v>
      </c>
      <c r="S34" s="35">
        <v>3</v>
      </c>
      <c r="T34" s="35">
        <v>3</v>
      </c>
      <c r="U34" s="35">
        <v>3</v>
      </c>
      <c r="V34" s="10">
        <f>SUM(J34:U34)</f>
        <v>36</v>
      </c>
    </row>
    <row r="35" spans="1:22" ht="17.100000000000001" customHeight="1">
      <c r="A35" s="257"/>
      <c r="B35" s="296"/>
      <c r="C35" s="287"/>
      <c r="D35" s="287"/>
      <c r="E35" s="264"/>
      <c r="F35" s="266"/>
      <c r="G35" s="11">
        <v>15</v>
      </c>
      <c r="H35" s="11">
        <v>13</v>
      </c>
      <c r="I35" s="12" t="s">
        <v>24</v>
      </c>
      <c r="J35" s="50">
        <v>1</v>
      </c>
      <c r="K35" s="50">
        <v>1</v>
      </c>
      <c r="L35" s="50">
        <v>2</v>
      </c>
      <c r="M35" s="50">
        <v>0</v>
      </c>
      <c r="N35" s="50">
        <v>1</v>
      </c>
      <c r="O35" s="50">
        <v>1</v>
      </c>
      <c r="P35" s="50">
        <v>1</v>
      </c>
      <c r="Q35" s="50">
        <v>2</v>
      </c>
      <c r="R35" s="50">
        <v>1</v>
      </c>
      <c r="S35" s="50">
        <v>1</v>
      </c>
      <c r="T35" s="50">
        <v>1</v>
      </c>
      <c r="U35" s="50">
        <v>1</v>
      </c>
      <c r="V35" s="15">
        <f>SUM(J35:U35)</f>
        <v>13</v>
      </c>
    </row>
    <row r="36" spans="1:22" ht="17.100000000000001" customHeight="1">
      <c r="A36" s="257"/>
      <c r="B36" s="296"/>
      <c r="C36" s="288"/>
      <c r="D36" s="288"/>
      <c r="E36" s="264"/>
      <c r="F36" s="271"/>
      <c r="G36" s="16">
        <f>G35/G34</f>
        <v>0.41666666666666669</v>
      </c>
      <c r="H36" s="16">
        <f>H35/H34</f>
        <v>0.3611111111111111</v>
      </c>
      <c r="I36" s="17" t="s">
        <v>25</v>
      </c>
      <c r="J36" s="16">
        <f t="shared" ref="J36:U36" si="9">J35/J34*1</f>
        <v>0.33333333333333331</v>
      </c>
      <c r="K36" s="16">
        <f t="shared" si="9"/>
        <v>0.33333333333333331</v>
      </c>
      <c r="L36" s="16">
        <f t="shared" si="9"/>
        <v>0.66666666666666663</v>
      </c>
      <c r="M36" s="16">
        <f t="shared" si="9"/>
        <v>0</v>
      </c>
      <c r="N36" s="16">
        <f t="shared" si="9"/>
        <v>0.33333333333333331</v>
      </c>
      <c r="O36" s="16">
        <f t="shared" si="9"/>
        <v>0.33333333333333331</v>
      </c>
      <c r="P36" s="16">
        <f t="shared" si="9"/>
        <v>0.33333333333333331</v>
      </c>
      <c r="Q36" s="16">
        <f t="shared" si="9"/>
        <v>0.66666666666666663</v>
      </c>
      <c r="R36" s="16">
        <f t="shared" si="9"/>
        <v>0.33333333333333331</v>
      </c>
      <c r="S36" s="16">
        <f t="shared" si="9"/>
        <v>0.33333333333333331</v>
      </c>
      <c r="T36" s="16">
        <f t="shared" si="9"/>
        <v>0.33333333333333331</v>
      </c>
      <c r="U36" s="18">
        <f t="shared" si="9"/>
        <v>0.33333333333333331</v>
      </c>
      <c r="V36" s="19">
        <f>V35/V34</f>
        <v>0.3611111111111111</v>
      </c>
    </row>
    <row r="37" spans="1:22" ht="17.100000000000001" customHeight="1">
      <c r="A37" s="257"/>
      <c r="B37" s="296"/>
      <c r="C37" s="293" t="s">
        <v>122</v>
      </c>
      <c r="D37" s="293" t="s">
        <v>120</v>
      </c>
      <c r="E37" s="263" t="s">
        <v>94</v>
      </c>
      <c r="F37" s="275" t="s">
        <v>52</v>
      </c>
      <c r="G37" s="35">
        <v>28</v>
      </c>
      <c r="H37" s="6">
        <v>28</v>
      </c>
      <c r="I37" s="7" t="s">
        <v>23</v>
      </c>
      <c r="J37" s="48">
        <v>2</v>
      </c>
      <c r="K37" s="48">
        <v>2</v>
      </c>
      <c r="L37" s="48">
        <v>2</v>
      </c>
      <c r="M37" s="48">
        <v>3</v>
      </c>
      <c r="N37" s="48">
        <v>2</v>
      </c>
      <c r="O37" s="48">
        <v>2</v>
      </c>
      <c r="P37" s="48">
        <v>2</v>
      </c>
      <c r="Q37" s="48">
        <v>2</v>
      </c>
      <c r="R37" s="48">
        <v>2</v>
      </c>
      <c r="S37" s="48">
        <v>2</v>
      </c>
      <c r="T37" s="48">
        <v>2</v>
      </c>
      <c r="U37" s="48">
        <v>2</v>
      </c>
      <c r="V37" s="10">
        <f>SUM(J37:U37)</f>
        <v>25</v>
      </c>
    </row>
    <row r="38" spans="1:22" ht="17.100000000000001" customHeight="1">
      <c r="A38" s="257"/>
      <c r="B38" s="296"/>
      <c r="C38" s="293"/>
      <c r="D38" s="293"/>
      <c r="E38" s="264"/>
      <c r="F38" s="275"/>
      <c r="G38" s="11">
        <v>13</v>
      </c>
      <c r="H38" s="11">
        <v>10</v>
      </c>
      <c r="I38" s="12" t="s">
        <v>24</v>
      </c>
      <c r="J38" s="51">
        <v>1</v>
      </c>
      <c r="K38" s="51">
        <v>0</v>
      </c>
      <c r="L38" s="51">
        <v>1</v>
      </c>
      <c r="M38" s="51">
        <v>1</v>
      </c>
      <c r="N38" s="51">
        <v>0</v>
      </c>
      <c r="O38" s="51">
        <v>0</v>
      </c>
      <c r="P38" s="51">
        <v>2</v>
      </c>
      <c r="Q38" s="51">
        <v>0</v>
      </c>
      <c r="R38" s="51">
        <v>1</v>
      </c>
      <c r="S38" s="51">
        <v>1</v>
      </c>
      <c r="T38" s="51">
        <v>0</v>
      </c>
      <c r="U38" s="51">
        <v>1</v>
      </c>
      <c r="V38" s="15">
        <f>SUM(J38:U38)</f>
        <v>8</v>
      </c>
    </row>
    <row r="39" spans="1:22" ht="17.100000000000001" customHeight="1">
      <c r="A39" s="257"/>
      <c r="B39" s="296"/>
      <c r="C39" s="293"/>
      <c r="D39" s="293"/>
      <c r="E39" s="264"/>
      <c r="F39" s="275"/>
      <c r="G39" s="16">
        <f>G38/G37</f>
        <v>0.4642857142857143</v>
      </c>
      <c r="H39" s="16">
        <f>H38/H37</f>
        <v>0.35714285714285715</v>
      </c>
      <c r="I39" s="17" t="s">
        <v>25</v>
      </c>
      <c r="J39" s="16">
        <f t="shared" ref="J39:V39" si="10">J38/J37*1</f>
        <v>0.5</v>
      </c>
      <c r="K39" s="16">
        <f t="shared" si="10"/>
        <v>0</v>
      </c>
      <c r="L39" s="16">
        <f t="shared" si="10"/>
        <v>0.5</v>
      </c>
      <c r="M39" s="16">
        <f t="shared" si="10"/>
        <v>0.33333333333333331</v>
      </c>
      <c r="N39" s="16">
        <f t="shared" si="10"/>
        <v>0</v>
      </c>
      <c r="O39" s="16">
        <f t="shared" si="10"/>
        <v>0</v>
      </c>
      <c r="P39" s="16">
        <f t="shared" si="10"/>
        <v>1</v>
      </c>
      <c r="Q39" s="16">
        <f t="shared" si="10"/>
        <v>0</v>
      </c>
      <c r="R39" s="16">
        <f t="shared" si="10"/>
        <v>0.5</v>
      </c>
      <c r="S39" s="16">
        <f t="shared" si="10"/>
        <v>0.5</v>
      </c>
      <c r="T39" s="16">
        <f t="shared" si="10"/>
        <v>0</v>
      </c>
      <c r="U39" s="16">
        <f t="shared" si="10"/>
        <v>0.5</v>
      </c>
      <c r="V39" s="52">
        <f t="shared" si="10"/>
        <v>0.32</v>
      </c>
    </row>
    <row r="40" spans="1:22" ht="16.5" customHeight="1">
      <c r="A40" s="257"/>
      <c r="B40" s="296"/>
      <c r="C40" s="287" t="s">
        <v>123</v>
      </c>
      <c r="D40" s="293" t="s">
        <v>120</v>
      </c>
      <c r="E40" s="263" t="s">
        <v>94</v>
      </c>
      <c r="F40" s="304" t="s">
        <v>124</v>
      </c>
      <c r="G40" s="35">
        <v>600</v>
      </c>
      <c r="H40" s="6">
        <v>600</v>
      </c>
      <c r="I40" s="7" t="s">
        <v>23</v>
      </c>
      <c r="J40" s="53">
        <v>50</v>
      </c>
      <c r="K40" s="53">
        <v>50</v>
      </c>
      <c r="L40" s="53">
        <v>50</v>
      </c>
      <c r="M40" s="53">
        <v>50</v>
      </c>
      <c r="N40" s="53">
        <v>50</v>
      </c>
      <c r="O40" s="53">
        <v>50</v>
      </c>
      <c r="P40" s="53">
        <v>50</v>
      </c>
      <c r="Q40" s="53">
        <v>50</v>
      </c>
      <c r="R40" s="53">
        <v>50</v>
      </c>
      <c r="S40" s="53">
        <v>50</v>
      </c>
      <c r="T40" s="53">
        <v>50</v>
      </c>
      <c r="U40" s="53">
        <v>50</v>
      </c>
      <c r="V40" s="54">
        <f>SUM(J40:U40)</f>
        <v>600</v>
      </c>
    </row>
    <row r="41" spans="1:22" ht="17.100000000000001" customHeight="1">
      <c r="A41" s="257"/>
      <c r="B41" s="296"/>
      <c r="C41" s="299"/>
      <c r="D41" s="293"/>
      <c r="E41" s="264"/>
      <c r="F41" s="301"/>
      <c r="G41" s="11">
        <v>221</v>
      </c>
      <c r="H41" s="11">
        <v>212</v>
      </c>
      <c r="I41" s="12" t="s">
        <v>24</v>
      </c>
      <c r="J41" s="47">
        <v>10</v>
      </c>
      <c r="K41" s="47">
        <v>25</v>
      </c>
      <c r="L41" s="47">
        <v>15</v>
      </c>
      <c r="M41" s="47">
        <v>17</v>
      </c>
      <c r="N41" s="47">
        <v>13</v>
      </c>
      <c r="O41" s="47">
        <v>9</v>
      </c>
      <c r="P41" s="47">
        <v>21</v>
      </c>
      <c r="Q41" s="47">
        <v>16</v>
      </c>
      <c r="R41" s="47">
        <v>25</v>
      </c>
      <c r="S41" s="47">
        <v>28</v>
      </c>
      <c r="T41" s="47">
        <v>19</v>
      </c>
      <c r="U41" s="47">
        <v>11</v>
      </c>
      <c r="V41" s="55">
        <f>SUM(J41:U41)</f>
        <v>209</v>
      </c>
    </row>
    <row r="42" spans="1:22" ht="17.100000000000001" customHeight="1" thickBot="1">
      <c r="A42" s="249"/>
      <c r="B42" s="297"/>
      <c r="C42" s="305"/>
      <c r="D42" s="293"/>
      <c r="E42" s="264"/>
      <c r="F42" s="306"/>
      <c r="G42" s="16">
        <f>G41/G40</f>
        <v>0.36833333333333335</v>
      </c>
      <c r="H42" s="16">
        <f>H41/H40</f>
        <v>0.35333333333333333</v>
      </c>
      <c r="I42" s="17" t="s">
        <v>25</v>
      </c>
      <c r="J42" s="56">
        <f t="shared" ref="J42:U42" si="11">J40/J41*1</f>
        <v>5</v>
      </c>
      <c r="K42" s="56">
        <f t="shared" si="11"/>
        <v>2</v>
      </c>
      <c r="L42" s="56">
        <f t="shared" si="11"/>
        <v>3.3333333333333335</v>
      </c>
      <c r="M42" s="56">
        <f t="shared" si="11"/>
        <v>2.9411764705882355</v>
      </c>
      <c r="N42" s="56">
        <f t="shared" si="11"/>
        <v>3.8461538461538463</v>
      </c>
      <c r="O42" s="56">
        <f t="shared" si="11"/>
        <v>5.5555555555555554</v>
      </c>
      <c r="P42" s="56">
        <f t="shared" si="11"/>
        <v>2.3809523809523809</v>
      </c>
      <c r="Q42" s="56">
        <f t="shared" si="11"/>
        <v>3.125</v>
      </c>
      <c r="R42" s="56">
        <f t="shared" si="11"/>
        <v>2</v>
      </c>
      <c r="S42" s="56">
        <f t="shared" si="11"/>
        <v>1.7857142857142858</v>
      </c>
      <c r="T42" s="56">
        <f t="shared" si="11"/>
        <v>2.6315789473684212</v>
      </c>
      <c r="U42" s="57">
        <f t="shared" si="11"/>
        <v>4.5454545454545459</v>
      </c>
      <c r="V42" s="58">
        <f>V41/V40*1</f>
        <v>0.34833333333333333</v>
      </c>
    </row>
    <row r="43" spans="1:22" ht="17.100000000000001" customHeight="1">
      <c r="A43" s="257">
        <v>3</v>
      </c>
      <c r="B43" s="258" t="s">
        <v>125</v>
      </c>
      <c r="C43" s="259" t="s">
        <v>126</v>
      </c>
      <c r="D43" s="258" t="s">
        <v>127</v>
      </c>
      <c r="E43" s="308" t="s">
        <v>128</v>
      </c>
      <c r="F43" s="266" t="s">
        <v>31</v>
      </c>
      <c r="G43" s="35">
        <v>58</v>
      </c>
      <c r="H43" s="6">
        <v>64</v>
      </c>
      <c r="I43" s="7" t="s">
        <v>23</v>
      </c>
      <c r="J43" s="59">
        <v>6</v>
      </c>
      <c r="K43" s="60">
        <v>6</v>
      </c>
      <c r="L43" s="60">
        <v>6</v>
      </c>
      <c r="M43" s="60">
        <v>6</v>
      </c>
      <c r="N43" s="60">
        <v>5</v>
      </c>
      <c r="O43" s="60">
        <v>5</v>
      </c>
      <c r="P43" s="60">
        <v>5</v>
      </c>
      <c r="Q43" s="60">
        <v>5</v>
      </c>
      <c r="R43" s="60">
        <v>5</v>
      </c>
      <c r="S43" s="60">
        <v>6</v>
      </c>
      <c r="T43" s="60">
        <v>6</v>
      </c>
      <c r="U43" s="61">
        <v>6</v>
      </c>
      <c r="V43" s="54">
        <f>SUM(J43:U43)</f>
        <v>67</v>
      </c>
    </row>
    <row r="44" spans="1:22" ht="17.100000000000001" customHeight="1">
      <c r="A44" s="257"/>
      <c r="B44" s="259"/>
      <c r="C44" s="259"/>
      <c r="D44" s="259"/>
      <c r="E44" s="264"/>
      <c r="F44" s="266"/>
      <c r="G44" s="11">
        <v>60</v>
      </c>
      <c r="H44" s="11">
        <v>65</v>
      </c>
      <c r="I44" s="12" t="s">
        <v>24</v>
      </c>
      <c r="J44" s="62">
        <v>7</v>
      </c>
      <c r="K44" s="63">
        <v>6</v>
      </c>
      <c r="L44" s="63">
        <v>6</v>
      </c>
      <c r="M44" s="63">
        <v>5</v>
      </c>
      <c r="N44" s="63">
        <v>5</v>
      </c>
      <c r="O44" s="63">
        <v>4</v>
      </c>
      <c r="P44" s="63">
        <v>5</v>
      </c>
      <c r="Q44" s="63">
        <v>7</v>
      </c>
      <c r="R44" s="63">
        <v>6</v>
      </c>
      <c r="S44" s="63">
        <v>5</v>
      </c>
      <c r="T44" s="63">
        <v>6</v>
      </c>
      <c r="U44" s="64">
        <v>6</v>
      </c>
      <c r="V44" s="55">
        <f>SUM(J44:U44)</f>
        <v>68</v>
      </c>
    </row>
    <row r="45" spans="1:22" ht="17.100000000000001" customHeight="1">
      <c r="A45" s="257"/>
      <c r="B45" s="259"/>
      <c r="C45" s="259"/>
      <c r="D45" s="259"/>
      <c r="E45" s="264"/>
      <c r="F45" s="266"/>
      <c r="G45" s="16">
        <f>G44/G43</f>
        <v>1.0344827586206897</v>
      </c>
      <c r="H45" s="16">
        <f>H44/H43</f>
        <v>1.015625</v>
      </c>
      <c r="I45" s="17" t="s">
        <v>25</v>
      </c>
      <c r="J45" s="42">
        <f t="shared" ref="J45:U45" si="12">J43/J44*1</f>
        <v>0.8571428571428571</v>
      </c>
      <c r="K45" s="42">
        <f t="shared" si="12"/>
        <v>1</v>
      </c>
      <c r="L45" s="42">
        <f t="shared" si="12"/>
        <v>1</v>
      </c>
      <c r="M45" s="42">
        <f t="shared" si="12"/>
        <v>1.2</v>
      </c>
      <c r="N45" s="42">
        <f t="shared" si="12"/>
        <v>1</v>
      </c>
      <c r="O45" s="42">
        <f t="shared" si="12"/>
        <v>1.25</v>
      </c>
      <c r="P45" s="42">
        <f t="shared" si="12"/>
        <v>1</v>
      </c>
      <c r="Q45" s="42">
        <f t="shared" si="12"/>
        <v>0.7142857142857143</v>
      </c>
      <c r="R45" s="42">
        <f t="shared" si="12"/>
        <v>0.83333333333333337</v>
      </c>
      <c r="S45" s="42">
        <f t="shared" si="12"/>
        <v>1.2</v>
      </c>
      <c r="T45" s="42">
        <f t="shared" si="12"/>
        <v>1</v>
      </c>
      <c r="U45" s="65">
        <f t="shared" si="12"/>
        <v>1</v>
      </c>
      <c r="V45" s="44">
        <f>V44/V43*1</f>
        <v>1.0149253731343284</v>
      </c>
    </row>
    <row r="46" spans="1:22" ht="17.100000000000001" customHeight="1">
      <c r="A46" s="257"/>
      <c r="B46" s="259"/>
      <c r="C46" s="293" t="s">
        <v>129</v>
      </c>
      <c r="D46" s="259"/>
      <c r="E46" s="264"/>
      <c r="F46" s="275" t="s">
        <v>130</v>
      </c>
      <c r="G46" s="35">
        <v>4</v>
      </c>
      <c r="H46" s="6">
        <v>4</v>
      </c>
      <c r="I46" s="7" t="s">
        <v>23</v>
      </c>
      <c r="J46" s="66">
        <v>4</v>
      </c>
      <c r="K46" s="67">
        <v>4</v>
      </c>
      <c r="L46" s="67">
        <v>4</v>
      </c>
      <c r="M46" s="67">
        <v>4</v>
      </c>
      <c r="N46" s="67">
        <v>4</v>
      </c>
      <c r="O46" s="67">
        <v>4</v>
      </c>
      <c r="P46" s="67">
        <v>4</v>
      </c>
      <c r="Q46" s="67">
        <v>4</v>
      </c>
      <c r="R46" s="67">
        <v>4</v>
      </c>
      <c r="S46" s="67">
        <v>4</v>
      </c>
      <c r="T46" s="67">
        <v>4</v>
      </c>
      <c r="U46" s="67">
        <v>4</v>
      </c>
      <c r="V46" s="20">
        <f>AVERAGE(J46:U46)</f>
        <v>4</v>
      </c>
    </row>
    <row r="47" spans="1:22" ht="17.100000000000001" customHeight="1">
      <c r="A47" s="257"/>
      <c r="B47" s="259"/>
      <c r="C47" s="293"/>
      <c r="D47" s="259"/>
      <c r="E47" s="264"/>
      <c r="F47" s="275"/>
      <c r="G47" s="11">
        <v>3.8</v>
      </c>
      <c r="H47" s="11">
        <v>4</v>
      </c>
      <c r="I47" s="12" t="s">
        <v>24</v>
      </c>
      <c r="J47" s="68">
        <v>4</v>
      </c>
      <c r="K47" s="69">
        <v>4</v>
      </c>
      <c r="L47" s="69">
        <v>3</v>
      </c>
      <c r="M47" s="69">
        <v>3</v>
      </c>
      <c r="N47" s="69">
        <v>4</v>
      </c>
      <c r="O47" s="69">
        <v>4</v>
      </c>
      <c r="P47" s="69">
        <v>4</v>
      </c>
      <c r="Q47" s="69">
        <v>4</v>
      </c>
      <c r="R47" s="69">
        <v>4</v>
      </c>
      <c r="S47" s="69">
        <v>4</v>
      </c>
      <c r="T47" s="69">
        <v>5</v>
      </c>
      <c r="U47" s="70">
        <v>6</v>
      </c>
      <c r="V47" s="71">
        <f>AVERAGE(J47:U47)</f>
        <v>4.083333333333333</v>
      </c>
    </row>
    <row r="48" spans="1:22" ht="17.100000000000001" customHeight="1" thickBot="1">
      <c r="A48" s="257"/>
      <c r="B48" s="307"/>
      <c r="C48" s="311"/>
      <c r="D48" s="307"/>
      <c r="E48" s="281"/>
      <c r="F48" s="312"/>
      <c r="G48" s="16">
        <f>G47/G46</f>
        <v>0.95</v>
      </c>
      <c r="H48" s="16">
        <f>H47/H46</f>
        <v>1</v>
      </c>
      <c r="I48" s="17" t="s">
        <v>25</v>
      </c>
      <c r="J48" s="72">
        <f t="shared" ref="J48:U48" si="13">J47/J46*1</f>
        <v>1</v>
      </c>
      <c r="K48" s="72">
        <f t="shared" si="13"/>
        <v>1</v>
      </c>
      <c r="L48" s="72">
        <f t="shared" si="13"/>
        <v>0.75</v>
      </c>
      <c r="M48" s="72">
        <f t="shared" si="13"/>
        <v>0.75</v>
      </c>
      <c r="N48" s="72">
        <f t="shared" si="13"/>
        <v>1</v>
      </c>
      <c r="O48" s="72">
        <f t="shared" si="13"/>
        <v>1</v>
      </c>
      <c r="P48" s="72">
        <f t="shared" si="13"/>
        <v>1</v>
      </c>
      <c r="Q48" s="72">
        <f t="shared" si="13"/>
        <v>1</v>
      </c>
      <c r="R48" s="72">
        <f t="shared" si="13"/>
        <v>1</v>
      </c>
      <c r="S48" s="72">
        <f t="shared" si="13"/>
        <v>1</v>
      </c>
      <c r="T48" s="72">
        <f t="shared" si="13"/>
        <v>1.25</v>
      </c>
      <c r="U48" s="73">
        <f t="shared" si="13"/>
        <v>1.5</v>
      </c>
      <c r="V48" s="74">
        <f>V47/V46</f>
        <v>1.0208333333333333</v>
      </c>
    </row>
    <row r="49" spans="1:22" ht="17.100000000000001" customHeight="1" thickBot="1">
      <c r="A49" s="313">
        <v>4</v>
      </c>
      <c r="B49" s="314" t="s">
        <v>131</v>
      </c>
      <c r="C49" s="310" t="s">
        <v>132</v>
      </c>
      <c r="D49" s="310" t="s">
        <v>116</v>
      </c>
      <c r="E49" s="308" t="s">
        <v>117</v>
      </c>
      <c r="F49" s="317" t="s">
        <v>133</v>
      </c>
      <c r="G49" s="35">
        <v>100</v>
      </c>
      <c r="H49" s="6">
        <v>100</v>
      </c>
      <c r="I49" s="7" t="s">
        <v>23</v>
      </c>
      <c r="J49" s="75">
        <v>100</v>
      </c>
      <c r="K49" s="67">
        <v>100</v>
      </c>
      <c r="L49" s="67">
        <v>100</v>
      </c>
      <c r="M49" s="67">
        <v>100</v>
      </c>
      <c r="N49" s="67">
        <v>100</v>
      </c>
      <c r="O49" s="67">
        <v>100</v>
      </c>
      <c r="P49" s="67">
        <v>100</v>
      </c>
      <c r="Q49" s="67">
        <v>100</v>
      </c>
      <c r="R49" s="67">
        <v>100</v>
      </c>
      <c r="S49" s="67">
        <v>100</v>
      </c>
      <c r="T49" s="67">
        <v>100</v>
      </c>
      <c r="U49" s="67">
        <v>100</v>
      </c>
      <c r="V49" s="76">
        <f>AVERAGE(J49:U49)</f>
        <v>100</v>
      </c>
    </row>
    <row r="50" spans="1:22" ht="17.100000000000001" customHeight="1" thickBot="1">
      <c r="A50" s="313"/>
      <c r="B50" s="315"/>
      <c r="C50" s="293"/>
      <c r="D50" s="293"/>
      <c r="E50" s="264"/>
      <c r="F50" s="275"/>
      <c r="G50" s="11">
        <v>100</v>
      </c>
      <c r="H50" s="11">
        <v>100</v>
      </c>
      <c r="I50" s="12" t="s">
        <v>24</v>
      </c>
      <c r="J50" s="68">
        <v>100</v>
      </c>
      <c r="K50" s="68">
        <v>100</v>
      </c>
      <c r="L50" s="68">
        <v>100</v>
      </c>
      <c r="M50" s="68">
        <v>100</v>
      </c>
      <c r="N50" s="68">
        <v>100</v>
      </c>
      <c r="O50" s="68">
        <v>100</v>
      </c>
      <c r="P50" s="68">
        <v>100</v>
      </c>
      <c r="Q50" s="68">
        <v>100</v>
      </c>
      <c r="R50" s="68">
        <v>100</v>
      </c>
      <c r="S50" s="68">
        <v>100</v>
      </c>
      <c r="T50" s="68">
        <v>100</v>
      </c>
      <c r="U50" s="68">
        <v>100</v>
      </c>
      <c r="V50" s="77">
        <f>AVERAGE(J50:U50)</f>
        <v>100</v>
      </c>
    </row>
    <row r="51" spans="1:22" ht="17.100000000000001" customHeight="1" thickBot="1">
      <c r="A51" s="313"/>
      <c r="B51" s="315"/>
      <c r="C51" s="293"/>
      <c r="D51" s="338"/>
      <c r="E51" s="335"/>
      <c r="F51" s="275"/>
      <c r="G51" s="16">
        <v>1</v>
      </c>
      <c r="H51" s="16">
        <v>1</v>
      </c>
      <c r="I51" s="17" t="s">
        <v>25</v>
      </c>
      <c r="J51" s="16">
        <f t="shared" ref="J51:V51" si="14">J50/J49*1</f>
        <v>1</v>
      </c>
      <c r="K51" s="16">
        <f t="shared" si="14"/>
        <v>1</v>
      </c>
      <c r="L51" s="16">
        <f t="shared" si="14"/>
        <v>1</v>
      </c>
      <c r="M51" s="16">
        <f t="shared" si="14"/>
        <v>1</v>
      </c>
      <c r="N51" s="16">
        <f t="shared" si="14"/>
        <v>1</v>
      </c>
      <c r="O51" s="16">
        <f t="shared" si="14"/>
        <v>1</v>
      </c>
      <c r="P51" s="16">
        <f t="shared" si="14"/>
        <v>1</v>
      </c>
      <c r="Q51" s="16">
        <f t="shared" si="14"/>
        <v>1</v>
      </c>
      <c r="R51" s="16">
        <f t="shared" si="14"/>
        <v>1</v>
      </c>
      <c r="S51" s="16">
        <f t="shared" si="14"/>
        <v>1</v>
      </c>
      <c r="T51" s="16">
        <f t="shared" si="14"/>
        <v>1</v>
      </c>
      <c r="U51" s="16">
        <f t="shared" si="14"/>
        <v>1</v>
      </c>
      <c r="V51" s="52">
        <f t="shared" si="14"/>
        <v>1</v>
      </c>
    </row>
    <row r="52" spans="1:22" ht="17.100000000000001" customHeight="1" thickBot="1">
      <c r="A52" s="313"/>
      <c r="B52" s="315"/>
      <c r="C52" s="309" t="s">
        <v>134</v>
      </c>
      <c r="D52" s="318" t="s">
        <v>116</v>
      </c>
      <c r="E52" s="337" t="s">
        <v>117</v>
      </c>
      <c r="F52" s="270" t="s">
        <v>135</v>
      </c>
      <c r="G52" s="35">
        <v>0</v>
      </c>
      <c r="H52" s="6">
        <v>0</v>
      </c>
      <c r="I52" s="7" t="s">
        <v>23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54">
        <f>SUM(J52:U52)</f>
        <v>0</v>
      </c>
    </row>
    <row r="53" spans="1:22" ht="17.100000000000001" customHeight="1" thickBot="1">
      <c r="A53" s="313"/>
      <c r="B53" s="315"/>
      <c r="C53" s="315"/>
      <c r="D53" s="293"/>
      <c r="E53" s="292"/>
      <c r="F53" s="266"/>
      <c r="G53" s="11">
        <v>0</v>
      </c>
      <c r="H53" s="11">
        <v>0</v>
      </c>
      <c r="I53" s="12" t="s">
        <v>24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8">
        <v>0</v>
      </c>
      <c r="U53" s="8">
        <v>0</v>
      </c>
      <c r="V53" s="55">
        <f>SUM(J53:U53)</f>
        <v>0</v>
      </c>
    </row>
    <row r="54" spans="1:22" ht="17.100000000000001" customHeight="1" thickBot="1">
      <c r="A54" s="313"/>
      <c r="B54" s="315"/>
      <c r="C54" s="318"/>
      <c r="D54" s="338"/>
      <c r="E54" s="292"/>
      <c r="F54" s="271"/>
      <c r="G54" s="16"/>
      <c r="H54" s="16"/>
      <c r="I54" s="17" t="s">
        <v>25</v>
      </c>
      <c r="J54" s="16" t="e">
        <f t="shared" ref="J54:V54" si="15">J53/J52*1</f>
        <v>#DIV/0!</v>
      </c>
      <c r="K54" s="16" t="e">
        <f t="shared" si="15"/>
        <v>#DIV/0!</v>
      </c>
      <c r="L54" s="16" t="e">
        <f t="shared" si="15"/>
        <v>#DIV/0!</v>
      </c>
      <c r="M54" s="16" t="e">
        <f t="shared" si="15"/>
        <v>#DIV/0!</v>
      </c>
      <c r="N54" s="16" t="e">
        <f t="shared" si="15"/>
        <v>#DIV/0!</v>
      </c>
      <c r="O54" s="16" t="e">
        <f t="shared" si="15"/>
        <v>#DIV/0!</v>
      </c>
      <c r="P54" s="16" t="e">
        <f t="shared" si="15"/>
        <v>#DIV/0!</v>
      </c>
      <c r="Q54" s="16" t="e">
        <f t="shared" si="15"/>
        <v>#DIV/0!</v>
      </c>
      <c r="R54" s="16" t="e">
        <f t="shared" si="15"/>
        <v>#DIV/0!</v>
      </c>
      <c r="S54" s="16" t="e">
        <f t="shared" si="15"/>
        <v>#DIV/0!</v>
      </c>
      <c r="T54" s="16" t="e">
        <f t="shared" si="15"/>
        <v>#DIV/0!</v>
      </c>
      <c r="U54" s="16" t="e">
        <f t="shared" si="15"/>
        <v>#DIV/0!</v>
      </c>
      <c r="V54" s="52" t="e">
        <f t="shared" si="15"/>
        <v>#DIV/0!</v>
      </c>
    </row>
    <row r="55" spans="1:22" ht="17.100000000000001" customHeight="1" thickBot="1">
      <c r="A55" s="313"/>
      <c r="B55" s="315"/>
      <c r="C55" s="293" t="s">
        <v>136</v>
      </c>
      <c r="D55" s="318" t="s">
        <v>116</v>
      </c>
      <c r="E55" s="337" t="s">
        <v>117</v>
      </c>
      <c r="F55" s="275" t="s">
        <v>137</v>
      </c>
      <c r="G55" s="35">
        <v>100</v>
      </c>
      <c r="H55" s="6">
        <v>100</v>
      </c>
      <c r="I55" s="7" t="s">
        <v>23</v>
      </c>
      <c r="J55" s="75">
        <v>100</v>
      </c>
      <c r="K55" s="67">
        <v>100</v>
      </c>
      <c r="L55" s="67">
        <v>100</v>
      </c>
      <c r="M55" s="67">
        <v>100</v>
      </c>
      <c r="N55" s="67">
        <v>100</v>
      </c>
      <c r="O55" s="67">
        <v>100</v>
      </c>
      <c r="P55" s="67">
        <v>100</v>
      </c>
      <c r="Q55" s="67">
        <v>100</v>
      </c>
      <c r="R55" s="67">
        <v>100</v>
      </c>
      <c r="S55" s="67">
        <v>100</v>
      </c>
      <c r="T55" s="67">
        <v>100</v>
      </c>
      <c r="U55" s="67">
        <v>100</v>
      </c>
      <c r="V55" s="20">
        <f>SUM(J55:U55)</f>
        <v>1200</v>
      </c>
    </row>
    <row r="56" spans="1:22" ht="17.100000000000001" customHeight="1" thickBot="1">
      <c r="A56" s="313"/>
      <c r="B56" s="315"/>
      <c r="C56" s="293"/>
      <c r="D56" s="293"/>
      <c r="E56" s="292"/>
      <c r="F56" s="275"/>
      <c r="G56" s="11">
        <v>100</v>
      </c>
      <c r="H56" s="11">
        <v>100</v>
      </c>
      <c r="I56" s="12" t="s">
        <v>24</v>
      </c>
      <c r="J56" s="68">
        <v>100</v>
      </c>
      <c r="K56" s="68">
        <v>100</v>
      </c>
      <c r="L56" s="68">
        <v>100</v>
      </c>
      <c r="M56" s="68">
        <v>100</v>
      </c>
      <c r="N56" s="68">
        <v>100</v>
      </c>
      <c r="O56" s="68">
        <v>100</v>
      </c>
      <c r="P56" s="68">
        <v>100</v>
      </c>
      <c r="Q56" s="68">
        <v>100</v>
      </c>
      <c r="R56" s="68">
        <v>100</v>
      </c>
      <c r="S56" s="68">
        <v>100</v>
      </c>
      <c r="T56" s="68"/>
      <c r="U56" s="70"/>
      <c r="V56" s="71">
        <v>0</v>
      </c>
    </row>
    <row r="57" spans="1:22" ht="17.100000000000001" customHeight="1" thickBot="1">
      <c r="A57" s="313"/>
      <c r="B57" s="315"/>
      <c r="C57" s="309"/>
      <c r="D57" s="309"/>
      <c r="E57" s="292"/>
      <c r="F57" s="270"/>
      <c r="G57" s="16">
        <v>1</v>
      </c>
      <c r="H57" s="16">
        <v>1</v>
      </c>
      <c r="I57" s="17" t="s">
        <v>25</v>
      </c>
      <c r="J57" s="42">
        <f t="shared" ref="J57:V57" si="16">J56/J55*1</f>
        <v>1</v>
      </c>
      <c r="K57" s="42">
        <f t="shared" si="16"/>
        <v>1</v>
      </c>
      <c r="L57" s="42">
        <f t="shared" si="16"/>
        <v>1</v>
      </c>
      <c r="M57" s="42">
        <f t="shared" si="16"/>
        <v>1</v>
      </c>
      <c r="N57" s="42">
        <f t="shared" si="16"/>
        <v>1</v>
      </c>
      <c r="O57" s="42">
        <f t="shared" si="16"/>
        <v>1</v>
      </c>
      <c r="P57" s="42">
        <f t="shared" si="16"/>
        <v>1</v>
      </c>
      <c r="Q57" s="42">
        <f t="shared" si="16"/>
        <v>1</v>
      </c>
      <c r="R57" s="42">
        <f t="shared" si="16"/>
        <v>1</v>
      </c>
      <c r="S57" s="42">
        <f t="shared" si="16"/>
        <v>1</v>
      </c>
      <c r="T57" s="42">
        <f t="shared" si="16"/>
        <v>0</v>
      </c>
      <c r="U57" s="42">
        <f t="shared" si="16"/>
        <v>0</v>
      </c>
      <c r="V57" s="78">
        <f t="shared" si="16"/>
        <v>0</v>
      </c>
    </row>
    <row r="58" spans="1:22" ht="17.100000000000001" customHeight="1" thickBot="1">
      <c r="A58" s="313"/>
      <c r="B58" s="315"/>
      <c r="C58" s="293" t="s">
        <v>138</v>
      </c>
      <c r="D58" s="321" t="s">
        <v>116</v>
      </c>
      <c r="E58" s="264" t="s">
        <v>117</v>
      </c>
      <c r="F58" s="275" t="s">
        <v>139</v>
      </c>
      <c r="G58" s="35">
        <v>100</v>
      </c>
      <c r="H58" s="6">
        <v>100</v>
      </c>
      <c r="I58" s="7" t="s">
        <v>23</v>
      </c>
      <c r="J58" s="6">
        <v>100</v>
      </c>
      <c r="K58" s="6">
        <v>100</v>
      </c>
      <c r="L58" s="6">
        <v>100</v>
      </c>
      <c r="M58" s="6">
        <v>100</v>
      </c>
      <c r="N58" s="6">
        <v>100</v>
      </c>
      <c r="O58" s="6">
        <v>100</v>
      </c>
      <c r="P58" s="6">
        <v>100</v>
      </c>
      <c r="Q58" s="6">
        <v>100</v>
      </c>
      <c r="R58" s="6">
        <v>100</v>
      </c>
      <c r="S58" s="6">
        <v>100</v>
      </c>
      <c r="T58" s="6">
        <v>100</v>
      </c>
      <c r="U58" s="6">
        <v>100</v>
      </c>
      <c r="V58" s="79">
        <f>AVERAGE(J58:U58)</f>
        <v>100</v>
      </c>
    </row>
    <row r="59" spans="1:22" ht="17.100000000000001" customHeight="1" thickBot="1">
      <c r="A59" s="313"/>
      <c r="B59" s="315"/>
      <c r="C59" s="293"/>
      <c r="D59" s="293"/>
      <c r="E59" s="264"/>
      <c r="F59" s="275"/>
      <c r="G59" s="11">
        <v>91</v>
      </c>
      <c r="H59" s="11">
        <v>93</v>
      </c>
      <c r="I59" s="12" t="s">
        <v>24</v>
      </c>
      <c r="J59" s="80">
        <v>93</v>
      </c>
      <c r="K59" s="81">
        <v>92</v>
      </c>
      <c r="L59" s="81">
        <v>93</v>
      </c>
      <c r="M59" s="81">
        <v>92</v>
      </c>
      <c r="N59" s="81">
        <v>92</v>
      </c>
      <c r="O59" s="81">
        <v>92</v>
      </c>
      <c r="P59" s="81">
        <v>92</v>
      </c>
      <c r="Q59" s="81">
        <v>93</v>
      </c>
      <c r="R59" s="81">
        <v>92</v>
      </c>
      <c r="S59" s="81">
        <v>94</v>
      </c>
      <c r="T59" s="81">
        <v>94</v>
      </c>
      <c r="U59" s="82">
        <v>95</v>
      </c>
      <c r="V59" s="83">
        <f>AVERAGE(J59:U59)</f>
        <v>92.833333333333329</v>
      </c>
    </row>
    <row r="60" spans="1:22" ht="17.100000000000001" customHeight="1" thickBot="1">
      <c r="A60" s="313"/>
      <c r="B60" s="316"/>
      <c r="C60" s="311"/>
      <c r="D60" s="322"/>
      <c r="E60" s="281"/>
      <c r="F60" s="312"/>
      <c r="G60" s="16">
        <f>G59/G58</f>
        <v>0.91</v>
      </c>
      <c r="H60" s="16">
        <f>H59/H58</f>
        <v>0.93</v>
      </c>
      <c r="I60" s="17" t="s">
        <v>25</v>
      </c>
      <c r="J60" s="72">
        <f t="shared" ref="J60:V60" si="17">J59/J58*1</f>
        <v>0.93</v>
      </c>
      <c r="K60" s="72">
        <f t="shared" si="17"/>
        <v>0.92</v>
      </c>
      <c r="L60" s="72">
        <f t="shared" si="17"/>
        <v>0.93</v>
      </c>
      <c r="M60" s="72">
        <f t="shared" si="17"/>
        <v>0.92</v>
      </c>
      <c r="N60" s="72">
        <f t="shared" si="17"/>
        <v>0.92</v>
      </c>
      <c r="O60" s="72">
        <f t="shared" si="17"/>
        <v>0.92</v>
      </c>
      <c r="P60" s="72">
        <f t="shared" si="17"/>
        <v>0.92</v>
      </c>
      <c r="Q60" s="72">
        <f t="shared" si="17"/>
        <v>0.93</v>
      </c>
      <c r="R60" s="72">
        <f t="shared" si="17"/>
        <v>0.92</v>
      </c>
      <c r="S60" s="72">
        <f t="shared" si="17"/>
        <v>0.94</v>
      </c>
      <c r="T60" s="72">
        <f t="shared" si="17"/>
        <v>0.94</v>
      </c>
      <c r="U60" s="73">
        <f t="shared" si="17"/>
        <v>0.95</v>
      </c>
      <c r="V60" s="74">
        <f t="shared" si="17"/>
        <v>0.92833333333333323</v>
      </c>
    </row>
    <row r="61" spans="1:22" ht="24.75" customHeight="1" thickBot="1">
      <c r="A61" s="313">
        <v>5</v>
      </c>
      <c r="B61" s="310" t="s">
        <v>140</v>
      </c>
      <c r="C61" s="293" t="s">
        <v>141</v>
      </c>
      <c r="D61" s="318" t="s">
        <v>142</v>
      </c>
      <c r="E61" s="323" t="s">
        <v>143</v>
      </c>
      <c r="F61" s="275" t="s">
        <v>144</v>
      </c>
      <c r="G61" s="84">
        <v>10227296</v>
      </c>
      <c r="H61" s="85">
        <v>10576518</v>
      </c>
      <c r="I61" s="7" t="s">
        <v>23</v>
      </c>
      <c r="J61" s="59">
        <v>4383457</v>
      </c>
      <c r="K61" s="60">
        <v>7917193</v>
      </c>
      <c r="L61" s="60">
        <v>6647294</v>
      </c>
      <c r="M61" s="60">
        <v>9114350</v>
      </c>
      <c r="N61" s="60">
        <v>6530848</v>
      </c>
      <c r="O61" s="60">
        <v>11677437</v>
      </c>
      <c r="P61" s="60">
        <v>12426317</v>
      </c>
      <c r="Q61" s="60">
        <v>15242683</v>
      </c>
      <c r="R61" s="60">
        <v>17102044</v>
      </c>
      <c r="S61" s="60">
        <v>18505245</v>
      </c>
      <c r="T61" s="60">
        <v>11970268</v>
      </c>
      <c r="U61" s="61">
        <v>11941702</v>
      </c>
      <c r="V61" s="86">
        <f>AVERAGE(J61:U61)</f>
        <v>11121569.833333334</v>
      </c>
    </row>
    <row r="62" spans="1:22" ht="24.75" customHeight="1" thickBot="1">
      <c r="A62" s="313"/>
      <c r="B62" s="293"/>
      <c r="C62" s="293"/>
      <c r="D62" s="293"/>
      <c r="E62" s="294"/>
      <c r="F62" s="275"/>
      <c r="G62" s="11">
        <v>9263762</v>
      </c>
      <c r="H62" s="11">
        <v>10240197</v>
      </c>
      <c r="I62" s="12" t="s">
        <v>24</v>
      </c>
      <c r="J62" s="68">
        <v>4044551</v>
      </c>
      <c r="K62" s="69">
        <v>8037329</v>
      </c>
      <c r="L62" s="69">
        <v>6693546</v>
      </c>
      <c r="M62" s="69">
        <v>9093801</v>
      </c>
      <c r="N62" s="69">
        <v>6361529</v>
      </c>
      <c r="O62" s="69">
        <v>11351036</v>
      </c>
      <c r="P62" s="69">
        <v>12183474</v>
      </c>
      <c r="Q62" s="69">
        <v>14787447</v>
      </c>
      <c r="R62" s="69">
        <v>16792866</v>
      </c>
      <c r="S62" s="69">
        <v>18141521</v>
      </c>
      <c r="T62" s="69">
        <v>11669903</v>
      </c>
      <c r="U62" s="70">
        <v>11679087</v>
      </c>
      <c r="V62" s="77">
        <f>AVERAGE(J62:U62)</f>
        <v>10903007.5</v>
      </c>
    </row>
    <row r="63" spans="1:22" ht="24.75" customHeight="1" thickBot="1">
      <c r="A63" s="248"/>
      <c r="B63" s="309"/>
      <c r="C63" s="309"/>
      <c r="D63" s="322"/>
      <c r="E63" s="324"/>
      <c r="F63" s="270"/>
      <c r="G63" s="16">
        <f>G62/G61</f>
        <v>0.9057880010513043</v>
      </c>
      <c r="H63" s="16">
        <f>H62/H61</f>
        <v>0.96820116034407544</v>
      </c>
      <c r="I63" s="17" t="s">
        <v>25</v>
      </c>
      <c r="J63" s="42">
        <f t="shared" ref="J63:V63" si="18">J62/J61*1</f>
        <v>0.92268522310131018</v>
      </c>
      <c r="K63" s="42">
        <f t="shared" si="18"/>
        <v>1.0151740648484886</v>
      </c>
      <c r="L63" s="42">
        <f t="shared" si="18"/>
        <v>1.0069580193083081</v>
      </c>
      <c r="M63" s="42">
        <f t="shared" si="18"/>
        <v>0.99774542342569683</v>
      </c>
      <c r="N63" s="42">
        <f t="shared" si="18"/>
        <v>0.97407396405489766</v>
      </c>
      <c r="O63" s="42">
        <f t="shared" si="18"/>
        <v>0.97204857538516376</v>
      </c>
      <c r="P63" s="42">
        <f t="shared" si="18"/>
        <v>0.98045736319136234</v>
      </c>
      <c r="Q63" s="42">
        <f t="shared" si="18"/>
        <v>0.97013412927369802</v>
      </c>
      <c r="R63" s="42">
        <f t="shared" si="18"/>
        <v>0.98192157615779729</v>
      </c>
      <c r="S63" s="42">
        <f t="shared" si="18"/>
        <v>0.98034481575358767</v>
      </c>
      <c r="T63" s="42">
        <f t="shared" si="18"/>
        <v>0.97490741226512223</v>
      </c>
      <c r="U63" s="42">
        <f t="shared" si="18"/>
        <v>0.97800857867664093</v>
      </c>
      <c r="V63" s="78">
        <f t="shared" si="18"/>
        <v>0.98034788823801977</v>
      </c>
    </row>
    <row r="64" spans="1:22" ht="16.5" customHeight="1" thickBot="1">
      <c r="A64" s="313">
        <v>6</v>
      </c>
      <c r="B64" s="339" t="s">
        <v>145</v>
      </c>
      <c r="C64" s="298" t="s">
        <v>146</v>
      </c>
      <c r="D64" s="318" t="s">
        <v>142</v>
      </c>
      <c r="E64" s="323" t="s">
        <v>143</v>
      </c>
      <c r="F64" s="330" t="s">
        <v>147</v>
      </c>
      <c r="G64" s="35">
        <v>12</v>
      </c>
      <c r="H64" s="6">
        <v>12</v>
      </c>
      <c r="I64" s="7" t="s">
        <v>23</v>
      </c>
      <c r="J64" s="87">
        <v>1</v>
      </c>
      <c r="K64" s="87">
        <v>1</v>
      </c>
      <c r="L64" s="87">
        <v>1</v>
      </c>
      <c r="M64" s="87">
        <v>1</v>
      </c>
      <c r="N64" s="87">
        <v>1</v>
      </c>
      <c r="O64" s="87">
        <v>1</v>
      </c>
      <c r="P64" s="87">
        <v>1</v>
      </c>
      <c r="Q64" s="87">
        <v>1</v>
      </c>
      <c r="R64" s="87">
        <v>1</v>
      </c>
      <c r="S64" s="87">
        <v>1</v>
      </c>
      <c r="T64" s="87">
        <v>1</v>
      </c>
      <c r="U64" s="87">
        <v>1</v>
      </c>
      <c r="V64" s="88">
        <f>SUM(J64:U64)</f>
        <v>12</v>
      </c>
    </row>
    <row r="65" spans="1:22" ht="17.100000000000001" customHeight="1" thickBot="1">
      <c r="A65" s="313"/>
      <c r="B65" s="340"/>
      <c r="C65" s="299"/>
      <c r="D65" s="293"/>
      <c r="E65" s="294"/>
      <c r="F65" s="266"/>
      <c r="G65" s="11">
        <v>12</v>
      </c>
      <c r="H65" s="11">
        <v>12</v>
      </c>
      <c r="I65" s="12" t="s">
        <v>24</v>
      </c>
      <c r="J65" s="11">
        <v>1</v>
      </c>
      <c r="K65" s="13">
        <v>1</v>
      </c>
      <c r="L65" s="13">
        <v>1</v>
      </c>
      <c r="M65" s="13">
        <v>1</v>
      </c>
      <c r="N65" s="13">
        <v>1</v>
      </c>
      <c r="O65" s="13">
        <v>1</v>
      </c>
      <c r="P65" s="11">
        <v>1</v>
      </c>
      <c r="Q65" s="13">
        <v>1</v>
      </c>
      <c r="R65" s="13">
        <v>1</v>
      </c>
      <c r="S65" s="13">
        <v>1</v>
      </c>
      <c r="T65" s="13">
        <v>1</v>
      </c>
      <c r="U65" s="13">
        <v>1</v>
      </c>
      <c r="V65" s="15">
        <f>SUM(J65:U65)</f>
        <v>12</v>
      </c>
    </row>
    <row r="66" spans="1:22" ht="17.100000000000001" customHeight="1" thickBot="1">
      <c r="A66" s="313"/>
      <c r="B66" s="341"/>
      <c r="C66" s="305"/>
      <c r="D66" s="322"/>
      <c r="E66" s="324"/>
      <c r="F66" s="331"/>
      <c r="G66" s="16">
        <f>G65/G64</f>
        <v>1</v>
      </c>
      <c r="H66" s="16">
        <f>H65/H64</f>
        <v>1</v>
      </c>
      <c r="I66" s="17" t="s">
        <v>25</v>
      </c>
      <c r="J66" s="56">
        <f t="shared" ref="J66:V66" si="19">J65/J64*1</f>
        <v>1</v>
      </c>
      <c r="K66" s="56">
        <f t="shared" si="19"/>
        <v>1</v>
      </c>
      <c r="L66" s="56">
        <f t="shared" si="19"/>
        <v>1</v>
      </c>
      <c r="M66" s="56">
        <f t="shared" si="19"/>
        <v>1</v>
      </c>
      <c r="N66" s="56">
        <f t="shared" si="19"/>
        <v>1</v>
      </c>
      <c r="O66" s="56">
        <f t="shared" si="19"/>
        <v>1</v>
      </c>
      <c r="P66" s="56">
        <f t="shared" si="19"/>
        <v>1</v>
      </c>
      <c r="Q66" s="56">
        <f t="shared" si="19"/>
        <v>1</v>
      </c>
      <c r="R66" s="56">
        <f t="shared" si="19"/>
        <v>1</v>
      </c>
      <c r="S66" s="56">
        <f t="shared" si="19"/>
        <v>1</v>
      </c>
      <c r="T66" s="56">
        <f t="shared" si="19"/>
        <v>1</v>
      </c>
      <c r="U66" s="57">
        <f t="shared" si="19"/>
        <v>1</v>
      </c>
      <c r="V66" s="58">
        <f t="shared" si="19"/>
        <v>1</v>
      </c>
    </row>
    <row r="67" spans="1:22" ht="17.100000000000001" customHeight="1" thickBot="1">
      <c r="A67" s="249">
        <v>7</v>
      </c>
      <c r="B67" s="287" t="s">
        <v>148</v>
      </c>
      <c r="C67" s="287" t="s">
        <v>149</v>
      </c>
      <c r="D67" s="298" t="s">
        <v>120</v>
      </c>
      <c r="E67" s="263" t="s">
        <v>94</v>
      </c>
      <c r="F67" s="266" t="s">
        <v>150</v>
      </c>
      <c r="G67" s="35">
        <v>5500</v>
      </c>
      <c r="H67" s="6">
        <v>5500</v>
      </c>
      <c r="I67" s="7" t="s">
        <v>23</v>
      </c>
      <c r="J67" s="89">
        <v>5500</v>
      </c>
      <c r="K67" s="89">
        <v>5500</v>
      </c>
      <c r="L67" s="89">
        <v>5500</v>
      </c>
      <c r="M67" s="89">
        <v>5500</v>
      </c>
      <c r="N67" s="89">
        <v>5500</v>
      </c>
      <c r="O67" s="89">
        <v>5500</v>
      </c>
      <c r="P67" s="89">
        <v>5500</v>
      </c>
      <c r="Q67" s="89">
        <v>5500</v>
      </c>
      <c r="R67" s="89">
        <v>5500</v>
      </c>
      <c r="S67" s="89">
        <v>5500</v>
      </c>
      <c r="T67" s="89">
        <v>5500</v>
      </c>
      <c r="U67" s="89">
        <v>5500</v>
      </c>
      <c r="V67" s="90">
        <f>AVERAGE(J67:U67)</f>
        <v>5500</v>
      </c>
    </row>
    <row r="68" spans="1:22" ht="17.100000000000001" customHeight="1" thickBot="1">
      <c r="A68" s="313"/>
      <c r="B68" s="287"/>
      <c r="C68" s="287"/>
      <c r="D68" s="299"/>
      <c r="E68" s="264"/>
      <c r="F68" s="266"/>
      <c r="G68" s="11">
        <v>4621</v>
      </c>
      <c r="H68" s="11">
        <v>4867</v>
      </c>
      <c r="I68" s="12" t="s">
        <v>24</v>
      </c>
      <c r="J68" s="62">
        <v>4508.4972211778131</v>
      </c>
      <c r="K68" s="63">
        <v>3690.4782918454193</v>
      </c>
      <c r="L68" s="63">
        <v>4707.804246075194</v>
      </c>
      <c r="M68" s="63">
        <v>3861.325177734348</v>
      </c>
      <c r="N68" s="63">
        <v>4885.8765953134589</v>
      </c>
      <c r="O68" s="63">
        <v>4503.8558612011975</v>
      </c>
      <c r="P68" s="63">
        <v>4677.5035859523578</v>
      </c>
      <c r="Q68" s="63">
        <v>3780.4864402216563</v>
      </c>
      <c r="R68" s="63">
        <v>3871.0850305163644</v>
      </c>
      <c r="S68" s="63">
        <v>4997</v>
      </c>
      <c r="T68" s="63">
        <v>5378</v>
      </c>
      <c r="U68" s="64">
        <v>5412</v>
      </c>
      <c r="V68" s="91">
        <f>AVERAGE(J68:U68)</f>
        <v>4522.8260375031505</v>
      </c>
    </row>
    <row r="69" spans="1:22" ht="17.100000000000001" customHeight="1" thickBot="1">
      <c r="A69" s="248"/>
      <c r="B69" s="325"/>
      <c r="C69" s="325"/>
      <c r="D69" s="288"/>
      <c r="E69" s="264"/>
      <c r="F69" s="266"/>
      <c r="G69" s="16">
        <f>G68/G67</f>
        <v>0.84018181818181814</v>
      </c>
      <c r="H69" s="16">
        <f>H68/H67</f>
        <v>0.88490909090909087</v>
      </c>
      <c r="I69" s="17" t="s">
        <v>25</v>
      </c>
      <c r="J69" s="42">
        <f>J68/J67*1</f>
        <v>0.81972676748687512</v>
      </c>
      <c r="K69" s="42">
        <f t="shared" ref="K69:V69" si="20">K68/K67*1</f>
        <v>0.67099605306280352</v>
      </c>
      <c r="L69" s="42">
        <f t="shared" si="20"/>
        <v>0.85596440837730803</v>
      </c>
      <c r="M69" s="42">
        <f t="shared" si="20"/>
        <v>0.70205912322442687</v>
      </c>
      <c r="N69" s="42">
        <f t="shared" si="20"/>
        <v>0.88834119914790166</v>
      </c>
      <c r="O69" s="42">
        <f t="shared" si="20"/>
        <v>0.81888288385476316</v>
      </c>
      <c r="P69" s="42">
        <f t="shared" si="20"/>
        <v>0.85045519744588327</v>
      </c>
      <c r="Q69" s="42">
        <f t="shared" si="20"/>
        <v>0.68736117094939209</v>
      </c>
      <c r="R69" s="42">
        <f t="shared" si="20"/>
        <v>0.70383364191206621</v>
      </c>
      <c r="S69" s="42">
        <f t="shared" si="20"/>
        <v>0.90854545454545454</v>
      </c>
      <c r="T69" s="42">
        <f t="shared" si="20"/>
        <v>0.97781818181818181</v>
      </c>
      <c r="U69" s="42">
        <f t="shared" si="20"/>
        <v>0.98399999999999999</v>
      </c>
      <c r="V69" s="42">
        <f t="shared" si="20"/>
        <v>0.82233200681875462</v>
      </c>
    </row>
    <row r="70" spans="1:22" ht="17.100000000000001" customHeight="1" thickBot="1">
      <c r="A70" s="313">
        <v>8</v>
      </c>
      <c r="B70" s="258" t="s">
        <v>151</v>
      </c>
      <c r="C70" s="298" t="s">
        <v>152</v>
      </c>
      <c r="D70" s="298" t="s">
        <v>153</v>
      </c>
      <c r="E70" s="308" t="s">
        <v>104</v>
      </c>
      <c r="F70" s="330" t="s">
        <v>154</v>
      </c>
      <c r="G70" s="92">
        <v>1</v>
      </c>
      <c r="H70" s="93">
        <v>1</v>
      </c>
      <c r="I70" s="7" t="s">
        <v>23</v>
      </c>
      <c r="J70" s="94">
        <v>1</v>
      </c>
      <c r="K70" s="95">
        <v>1</v>
      </c>
      <c r="L70" s="95">
        <v>1</v>
      </c>
      <c r="M70" s="95">
        <v>1</v>
      </c>
      <c r="N70" s="95">
        <v>1</v>
      </c>
      <c r="O70" s="95">
        <v>1</v>
      </c>
      <c r="P70" s="95">
        <v>1</v>
      </c>
      <c r="Q70" s="95">
        <v>1</v>
      </c>
      <c r="R70" s="95">
        <v>1</v>
      </c>
      <c r="S70" s="95">
        <v>1</v>
      </c>
      <c r="T70" s="95">
        <v>1</v>
      </c>
      <c r="U70" s="96">
        <v>1</v>
      </c>
      <c r="V70" s="97">
        <f>AVERAGE(J70:U70)</f>
        <v>1</v>
      </c>
    </row>
    <row r="71" spans="1:22" ht="17.100000000000001" customHeight="1" thickBot="1">
      <c r="A71" s="313"/>
      <c r="B71" s="259"/>
      <c r="C71" s="299"/>
      <c r="D71" s="299"/>
      <c r="E71" s="264"/>
      <c r="F71" s="266"/>
      <c r="G71" s="98">
        <v>1</v>
      </c>
      <c r="H71" s="98">
        <v>1</v>
      </c>
      <c r="I71" s="12" t="s">
        <v>24</v>
      </c>
      <c r="J71" s="98">
        <v>1</v>
      </c>
      <c r="K71" s="98">
        <v>1</v>
      </c>
      <c r="L71" s="98">
        <v>1</v>
      </c>
      <c r="M71" s="98">
        <v>1</v>
      </c>
      <c r="N71" s="98">
        <v>1</v>
      </c>
      <c r="O71" s="98">
        <v>1</v>
      </c>
      <c r="P71" s="98">
        <v>1</v>
      </c>
      <c r="Q71" s="98">
        <v>1</v>
      </c>
      <c r="R71" s="98">
        <v>1</v>
      </c>
      <c r="S71" s="98">
        <v>1</v>
      </c>
      <c r="T71" s="98">
        <v>1</v>
      </c>
      <c r="U71" s="98">
        <v>1</v>
      </c>
      <c r="V71" s="99">
        <f>AVERAGE(J71:U71)</f>
        <v>1</v>
      </c>
    </row>
    <row r="72" spans="1:22" ht="17.100000000000001" customHeight="1" thickBot="1">
      <c r="A72" s="313"/>
      <c r="B72" s="259"/>
      <c r="C72" s="288"/>
      <c r="D72" s="325"/>
      <c r="E72" s="335"/>
      <c r="F72" s="271"/>
      <c r="G72" s="16">
        <f>G71/G70</f>
        <v>1</v>
      </c>
      <c r="H72" s="16">
        <f>H71/H70</f>
        <v>1</v>
      </c>
      <c r="I72" s="17" t="s">
        <v>25</v>
      </c>
      <c r="J72" s="16">
        <f t="shared" ref="J72:V72" si="21">J71/J70*1</f>
        <v>1</v>
      </c>
      <c r="K72" s="16">
        <f t="shared" si="21"/>
        <v>1</v>
      </c>
      <c r="L72" s="16">
        <f t="shared" si="21"/>
        <v>1</v>
      </c>
      <c r="M72" s="16">
        <f t="shared" si="21"/>
        <v>1</v>
      </c>
      <c r="N72" s="16">
        <f t="shared" si="21"/>
        <v>1</v>
      </c>
      <c r="O72" s="16">
        <f t="shared" si="21"/>
        <v>1</v>
      </c>
      <c r="P72" s="16">
        <f t="shared" si="21"/>
        <v>1</v>
      </c>
      <c r="Q72" s="16">
        <f t="shared" si="21"/>
        <v>1</v>
      </c>
      <c r="R72" s="16">
        <f t="shared" si="21"/>
        <v>1</v>
      </c>
      <c r="S72" s="16">
        <f t="shared" si="21"/>
        <v>1</v>
      </c>
      <c r="T72" s="16">
        <f t="shared" si="21"/>
        <v>1</v>
      </c>
      <c r="U72" s="18">
        <f t="shared" si="21"/>
        <v>1</v>
      </c>
      <c r="V72" s="19">
        <f t="shared" si="21"/>
        <v>1</v>
      </c>
    </row>
    <row r="73" spans="1:22" ht="17.100000000000001" customHeight="1" thickBot="1">
      <c r="A73" s="313"/>
      <c r="B73" s="259"/>
      <c r="C73" s="287" t="s">
        <v>155</v>
      </c>
      <c r="D73" s="342" t="s">
        <v>120</v>
      </c>
      <c r="E73" s="263" t="s">
        <v>94</v>
      </c>
      <c r="F73" s="304" t="s">
        <v>156</v>
      </c>
      <c r="G73" s="35">
        <v>30</v>
      </c>
      <c r="H73" s="6">
        <v>30</v>
      </c>
      <c r="I73" s="7" t="s">
        <v>23</v>
      </c>
      <c r="J73" s="8">
        <v>4</v>
      </c>
      <c r="K73" s="8">
        <v>4</v>
      </c>
      <c r="L73" s="8">
        <v>5</v>
      </c>
      <c r="M73" s="8">
        <v>4</v>
      </c>
      <c r="N73" s="8">
        <v>2</v>
      </c>
      <c r="O73" s="8">
        <v>2</v>
      </c>
      <c r="P73" s="8">
        <v>1</v>
      </c>
      <c r="Q73" s="8">
        <v>4</v>
      </c>
      <c r="R73" s="8">
        <v>1</v>
      </c>
      <c r="S73" s="8">
        <v>1</v>
      </c>
      <c r="T73" s="8">
        <v>2</v>
      </c>
      <c r="U73" s="9">
        <v>0</v>
      </c>
      <c r="V73" s="10">
        <f>SUM(J73:U73)</f>
        <v>30</v>
      </c>
    </row>
    <row r="74" spans="1:22" ht="17.100000000000001" customHeight="1" thickBot="1">
      <c r="A74" s="313"/>
      <c r="B74" s="259"/>
      <c r="C74" s="299"/>
      <c r="D74" s="299"/>
      <c r="E74" s="264"/>
      <c r="F74" s="301"/>
      <c r="G74" s="11">
        <v>30</v>
      </c>
      <c r="H74" s="11">
        <v>30</v>
      </c>
      <c r="I74" s="12" t="s">
        <v>24</v>
      </c>
      <c r="J74" s="8">
        <v>4</v>
      </c>
      <c r="K74" s="8">
        <v>4</v>
      </c>
      <c r="L74" s="8">
        <v>5</v>
      </c>
      <c r="M74" s="8">
        <v>4</v>
      </c>
      <c r="N74" s="8">
        <v>2</v>
      </c>
      <c r="O74" s="8">
        <v>2</v>
      </c>
      <c r="P74" s="8">
        <v>1</v>
      </c>
      <c r="Q74" s="8">
        <v>4</v>
      </c>
      <c r="R74" s="8">
        <v>1</v>
      </c>
      <c r="S74" s="8">
        <v>1</v>
      </c>
      <c r="T74" s="8">
        <v>2</v>
      </c>
      <c r="U74" s="14"/>
      <c r="V74" s="15">
        <f>SUM(J74:U74)</f>
        <v>30</v>
      </c>
    </row>
    <row r="75" spans="1:22" ht="17.100000000000001" customHeight="1" thickBot="1">
      <c r="A75" s="313"/>
      <c r="B75" s="307"/>
      <c r="C75" s="305"/>
      <c r="D75" s="343"/>
      <c r="E75" s="344"/>
      <c r="F75" s="306"/>
      <c r="G75" s="16">
        <f>G73/G74</f>
        <v>1</v>
      </c>
      <c r="H75" s="16">
        <f>H73/H74</f>
        <v>1</v>
      </c>
      <c r="I75" s="17" t="s">
        <v>25</v>
      </c>
      <c r="J75" s="56">
        <f t="shared" ref="J75:V75" si="22">J74/J73*1</f>
        <v>1</v>
      </c>
      <c r="K75" s="56">
        <f t="shared" si="22"/>
        <v>1</v>
      </c>
      <c r="L75" s="56">
        <f t="shared" si="22"/>
        <v>1</v>
      </c>
      <c r="M75" s="56">
        <f t="shared" si="22"/>
        <v>1</v>
      </c>
      <c r="N75" s="56">
        <f t="shared" si="22"/>
        <v>1</v>
      </c>
      <c r="O75" s="56">
        <f t="shared" si="22"/>
        <v>1</v>
      </c>
      <c r="P75" s="56">
        <f t="shared" si="22"/>
        <v>1</v>
      </c>
      <c r="Q75" s="56">
        <f t="shared" si="22"/>
        <v>1</v>
      </c>
      <c r="R75" s="56">
        <f t="shared" si="22"/>
        <v>1</v>
      </c>
      <c r="S75" s="56">
        <f t="shared" si="22"/>
        <v>1</v>
      </c>
      <c r="T75" s="56">
        <f t="shared" si="22"/>
        <v>1</v>
      </c>
      <c r="U75" s="57" t="e">
        <f t="shared" si="22"/>
        <v>#DIV/0!</v>
      </c>
      <c r="V75" s="58">
        <f t="shared" si="22"/>
        <v>1</v>
      </c>
    </row>
    <row r="76" spans="1:22" ht="15" customHeight="1" thickBot="1">
      <c r="A76" s="332">
        <v>9</v>
      </c>
      <c r="B76" s="259" t="s">
        <v>157</v>
      </c>
      <c r="C76" s="259" t="s">
        <v>158</v>
      </c>
      <c r="D76" s="259" t="s">
        <v>101</v>
      </c>
      <c r="E76" s="264" t="s">
        <v>104</v>
      </c>
      <c r="F76" s="266" t="s">
        <v>159</v>
      </c>
      <c r="G76" s="92">
        <v>1</v>
      </c>
      <c r="H76" s="93">
        <v>1</v>
      </c>
      <c r="I76" s="7" t="s">
        <v>23</v>
      </c>
      <c r="J76" s="93">
        <v>1</v>
      </c>
      <c r="K76" s="93">
        <v>1</v>
      </c>
      <c r="L76" s="93">
        <v>1</v>
      </c>
      <c r="M76" s="93">
        <v>1</v>
      </c>
      <c r="N76" s="93">
        <v>1</v>
      </c>
      <c r="O76" s="93">
        <v>1</v>
      </c>
      <c r="P76" s="93">
        <v>1</v>
      </c>
      <c r="Q76" s="93">
        <v>1</v>
      </c>
      <c r="R76" s="93">
        <v>1</v>
      </c>
      <c r="S76" s="93">
        <v>1</v>
      </c>
      <c r="T76" s="93">
        <v>1</v>
      </c>
      <c r="U76" s="93">
        <v>1</v>
      </c>
      <c r="V76" s="10">
        <f>SUM(J76:U76)</f>
        <v>12</v>
      </c>
    </row>
    <row r="77" spans="1:22" ht="15" customHeight="1" thickBot="1">
      <c r="A77" s="333"/>
      <c r="B77" s="259"/>
      <c r="C77" s="259"/>
      <c r="D77" s="259"/>
      <c r="E77" s="264"/>
      <c r="F77" s="266"/>
      <c r="G77" s="98">
        <v>1</v>
      </c>
      <c r="H77" s="98">
        <v>1</v>
      </c>
      <c r="I77" s="100" t="s">
        <v>24</v>
      </c>
      <c r="J77" s="98">
        <v>1</v>
      </c>
      <c r="K77" s="98">
        <v>1</v>
      </c>
      <c r="L77" s="98">
        <v>1</v>
      </c>
      <c r="M77" s="98">
        <v>1</v>
      </c>
      <c r="N77" s="98">
        <v>1</v>
      </c>
      <c r="O77" s="98">
        <v>1</v>
      </c>
      <c r="P77" s="98">
        <v>1</v>
      </c>
      <c r="Q77" s="98">
        <v>1</v>
      </c>
      <c r="R77" s="98">
        <v>1</v>
      </c>
      <c r="S77" s="98">
        <v>1</v>
      </c>
      <c r="T77" s="98">
        <v>1</v>
      </c>
      <c r="U77" s="98">
        <v>1</v>
      </c>
      <c r="V77" s="15">
        <f>SUM(J77:U77)</f>
        <v>12</v>
      </c>
    </row>
    <row r="78" spans="1:22" ht="15" customHeight="1" thickBot="1">
      <c r="A78" s="333"/>
      <c r="B78" s="307"/>
      <c r="C78" s="307"/>
      <c r="D78" s="307"/>
      <c r="E78" s="281"/>
      <c r="F78" s="334"/>
      <c r="G78" s="16">
        <f>G76/G77</f>
        <v>1</v>
      </c>
      <c r="H78" s="16">
        <f>H76/H77</f>
        <v>1</v>
      </c>
      <c r="I78" s="101" t="s">
        <v>25</v>
      </c>
      <c r="J78" s="56">
        <f t="shared" ref="J78:V78" si="23">J77/J76*1</f>
        <v>1</v>
      </c>
      <c r="K78" s="56">
        <f t="shared" si="23"/>
        <v>1</v>
      </c>
      <c r="L78" s="56">
        <f t="shared" si="23"/>
        <v>1</v>
      </c>
      <c r="M78" s="56">
        <f t="shared" si="23"/>
        <v>1</v>
      </c>
      <c r="N78" s="56">
        <f t="shared" si="23"/>
        <v>1</v>
      </c>
      <c r="O78" s="56">
        <f t="shared" si="23"/>
        <v>1</v>
      </c>
      <c r="P78" s="56">
        <f t="shared" si="23"/>
        <v>1</v>
      </c>
      <c r="Q78" s="56">
        <f t="shared" si="23"/>
        <v>1</v>
      </c>
      <c r="R78" s="56">
        <f t="shared" si="23"/>
        <v>1</v>
      </c>
      <c r="S78" s="56">
        <f t="shared" si="23"/>
        <v>1</v>
      </c>
      <c r="T78" s="56">
        <f t="shared" si="23"/>
        <v>1</v>
      </c>
      <c r="U78" s="57">
        <f t="shared" si="23"/>
        <v>1</v>
      </c>
      <c r="V78" s="58">
        <f t="shared" si="23"/>
        <v>1</v>
      </c>
    </row>
    <row r="83" spans="10:15">
      <c r="J83" s="102"/>
      <c r="K83" s="103"/>
      <c r="L83" s="103"/>
      <c r="M83" s="103"/>
      <c r="N83" s="103"/>
      <c r="O83" s="103"/>
    </row>
  </sheetData>
  <mergeCells count="121">
    <mergeCell ref="A76:A78"/>
    <mergeCell ref="B76:B78"/>
    <mergeCell ref="C76:C78"/>
    <mergeCell ref="D76:D78"/>
    <mergeCell ref="E76:E78"/>
    <mergeCell ref="F76:F78"/>
    <mergeCell ref="A70:A75"/>
    <mergeCell ref="B70:B75"/>
    <mergeCell ref="C70:C72"/>
    <mergeCell ref="D70:D72"/>
    <mergeCell ref="E70:E72"/>
    <mergeCell ref="F70:F72"/>
    <mergeCell ref="C73:C75"/>
    <mergeCell ref="D73:D75"/>
    <mergeCell ref="E73:E75"/>
    <mergeCell ref="F73:F75"/>
    <mergeCell ref="A67:A69"/>
    <mergeCell ref="B67:B69"/>
    <mergeCell ref="C67:C69"/>
    <mergeCell ref="D67:D69"/>
    <mergeCell ref="E67:E69"/>
    <mergeCell ref="F67:F69"/>
    <mergeCell ref="A64:A66"/>
    <mergeCell ref="B64:B66"/>
    <mergeCell ref="C64:C66"/>
    <mergeCell ref="D64:D66"/>
    <mergeCell ref="E64:E66"/>
    <mergeCell ref="F64:F66"/>
    <mergeCell ref="A61:A63"/>
    <mergeCell ref="B61:B63"/>
    <mergeCell ref="C61:C63"/>
    <mergeCell ref="D61:D63"/>
    <mergeCell ref="E61:E63"/>
    <mergeCell ref="F61:F63"/>
    <mergeCell ref="C55:C57"/>
    <mergeCell ref="D55:D57"/>
    <mergeCell ref="E55:E57"/>
    <mergeCell ref="F55:F57"/>
    <mergeCell ref="C58:C60"/>
    <mergeCell ref="D58:D60"/>
    <mergeCell ref="E58:E60"/>
    <mergeCell ref="F58:F60"/>
    <mergeCell ref="A49:A60"/>
    <mergeCell ref="B49:B60"/>
    <mergeCell ref="C49:C51"/>
    <mergeCell ref="D49:D51"/>
    <mergeCell ref="E49:E51"/>
    <mergeCell ref="F49:F51"/>
    <mergeCell ref="C52:C54"/>
    <mergeCell ref="D52:D54"/>
    <mergeCell ref="E52:E54"/>
    <mergeCell ref="F52:F54"/>
    <mergeCell ref="A43:A48"/>
    <mergeCell ref="B43:B48"/>
    <mergeCell ref="C43:C45"/>
    <mergeCell ref="D43:D48"/>
    <mergeCell ref="E43:E48"/>
    <mergeCell ref="F43:F45"/>
    <mergeCell ref="C46:C48"/>
    <mergeCell ref="F46:F48"/>
    <mergeCell ref="C37:C39"/>
    <mergeCell ref="D37:D39"/>
    <mergeCell ref="E37:E39"/>
    <mergeCell ref="F37:F39"/>
    <mergeCell ref="C40:C42"/>
    <mergeCell ref="D40:D42"/>
    <mergeCell ref="E40:E42"/>
    <mergeCell ref="F40:F42"/>
    <mergeCell ref="A28:A42"/>
    <mergeCell ref="B28:B42"/>
    <mergeCell ref="E16:E18"/>
    <mergeCell ref="F16:F18"/>
    <mergeCell ref="C31:C33"/>
    <mergeCell ref="D31:D33"/>
    <mergeCell ref="E31:E33"/>
    <mergeCell ref="F31:F33"/>
    <mergeCell ref="C34:C36"/>
    <mergeCell ref="D34:D36"/>
    <mergeCell ref="E34:E36"/>
    <mergeCell ref="F34:F36"/>
    <mergeCell ref="C25:C27"/>
    <mergeCell ref="D25:D27"/>
    <mergeCell ref="E25:E27"/>
    <mergeCell ref="F25:F27"/>
    <mergeCell ref="C28:C30"/>
    <mergeCell ref="D28:D30"/>
    <mergeCell ref="E28:E30"/>
    <mergeCell ref="F28:F30"/>
    <mergeCell ref="A7:A27"/>
    <mergeCell ref="B7:B27"/>
    <mergeCell ref="C7:C9"/>
    <mergeCell ref="D7:D9"/>
    <mergeCell ref="E7:E9"/>
    <mergeCell ref="F7:F9"/>
    <mergeCell ref="C10:C12"/>
    <mergeCell ref="D10:D12"/>
    <mergeCell ref="E10:E12"/>
    <mergeCell ref="F10:F12"/>
    <mergeCell ref="C19:C21"/>
    <mergeCell ref="D19:D21"/>
    <mergeCell ref="E19:E21"/>
    <mergeCell ref="F19:F21"/>
    <mergeCell ref="C22:C24"/>
    <mergeCell ref="D22:D24"/>
    <mergeCell ref="E22:E24"/>
    <mergeCell ref="F22:F24"/>
    <mergeCell ref="C13:C15"/>
    <mergeCell ref="D13:D15"/>
    <mergeCell ref="E13:E15"/>
    <mergeCell ref="F13:F15"/>
    <mergeCell ref="C16:C18"/>
    <mergeCell ref="D16:D18"/>
    <mergeCell ref="A5:A6"/>
    <mergeCell ref="B5:B6"/>
    <mergeCell ref="C5:C6"/>
    <mergeCell ref="D5:D6"/>
    <mergeCell ref="E5:E6"/>
    <mergeCell ref="F5:F6"/>
    <mergeCell ref="G5:G6"/>
    <mergeCell ref="H5:H6"/>
    <mergeCell ref="I5:V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83"/>
  <sheetViews>
    <sheetView showGridLines="0" topLeftCell="E1" workbookViewId="0">
      <selection activeCell="G22" sqref="G22:G23"/>
    </sheetView>
  </sheetViews>
  <sheetFormatPr defaultRowHeight="15"/>
  <cols>
    <col min="1" max="1" width="5.42578125" style="1" bestFit="1" customWidth="1"/>
    <col min="2" max="2" width="14.140625" style="1" bestFit="1" customWidth="1"/>
    <col min="3" max="3" width="19.85546875" style="1" bestFit="1" customWidth="1"/>
    <col min="4" max="4" width="11.28515625" style="1" bestFit="1" customWidth="1"/>
    <col min="5" max="5" width="14.140625" style="1" customWidth="1"/>
    <col min="6" max="6" width="32.42578125" style="1" bestFit="1" customWidth="1"/>
    <col min="7" max="7" width="10.7109375" style="1" customWidth="1"/>
    <col min="8" max="21" width="11.140625" style="1" customWidth="1"/>
    <col min="22" max="22" width="13" style="1" bestFit="1" customWidth="1"/>
    <col min="23" max="24" width="13.42578125" style="1" bestFit="1" customWidth="1"/>
    <col min="25" max="16384" width="9.140625" style="1"/>
  </cols>
  <sheetData>
    <row r="2" spans="1:22" ht="15" customHeight="1">
      <c r="A2" s="121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04" t="s">
        <v>1</v>
      </c>
      <c r="T2" s="104" t="s">
        <v>2</v>
      </c>
      <c r="U2" s="104" t="s">
        <v>3</v>
      </c>
      <c r="V2" s="124"/>
    </row>
    <row r="3" spans="1:22" ht="30" customHeight="1">
      <c r="A3" s="121"/>
      <c r="B3" s="121" t="s">
        <v>160</v>
      </c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6" t="s">
        <v>161</v>
      </c>
      <c r="T3" s="126" t="s">
        <v>5</v>
      </c>
      <c r="U3" s="126" t="s">
        <v>6</v>
      </c>
      <c r="V3" s="125"/>
    </row>
    <row r="4" spans="1:22" ht="16.5" customHeight="1" thickBot="1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</row>
    <row r="5" spans="1:22" s="105" customFormat="1" ht="17.100000000000001" customHeight="1" thickBot="1">
      <c r="A5" s="345" t="s">
        <v>7</v>
      </c>
      <c r="B5" s="347" t="s">
        <v>8</v>
      </c>
      <c r="C5" s="347" t="s">
        <v>9</v>
      </c>
      <c r="D5" s="347" t="s">
        <v>10</v>
      </c>
      <c r="E5" s="347" t="s">
        <v>11</v>
      </c>
      <c r="F5" s="349" t="s">
        <v>12</v>
      </c>
      <c r="G5" s="278" t="s">
        <v>162</v>
      </c>
      <c r="H5" s="351" t="s">
        <v>163</v>
      </c>
      <c r="I5" s="352"/>
      <c r="J5" s="352"/>
      <c r="K5" s="352"/>
      <c r="L5" s="352"/>
      <c r="M5" s="352"/>
      <c r="N5" s="352"/>
      <c r="O5" s="352"/>
      <c r="P5" s="352"/>
      <c r="Q5" s="352"/>
      <c r="R5" s="352"/>
      <c r="S5" s="352"/>
      <c r="T5" s="352"/>
      <c r="U5" s="353"/>
    </row>
    <row r="6" spans="1:22" s="105" customFormat="1" ht="17.100000000000001" customHeight="1" thickBot="1">
      <c r="A6" s="346"/>
      <c r="B6" s="348"/>
      <c r="C6" s="348"/>
      <c r="D6" s="348"/>
      <c r="E6" s="348"/>
      <c r="F6" s="350"/>
      <c r="G6" s="279"/>
      <c r="H6" s="3" t="s">
        <v>16</v>
      </c>
      <c r="I6" s="4">
        <v>44197</v>
      </c>
      <c r="J6" s="4">
        <v>44228</v>
      </c>
      <c r="K6" s="4">
        <v>44256</v>
      </c>
      <c r="L6" s="106">
        <v>44287</v>
      </c>
      <c r="M6" s="106">
        <v>44317</v>
      </c>
      <c r="N6" s="106">
        <v>44348</v>
      </c>
      <c r="O6" s="106">
        <v>44378</v>
      </c>
      <c r="P6" s="106">
        <v>44409</v>
      </c>
      <c r="Q6" s="106">
        <v>44440</v>
      </c>
      <c r="R6" s="106">
        <v>44470</v>
      </c>
      <c r="S6" s="106">
        <v>44501</v>
      </c>
      <c r="T6" s="106">
        <v>44531</v>
      </c>
      <c r="U6" s="107" t="s">
        <v>17</v>
      </c>
    </row>
    <row r="7" spans="1:22" ht="17.100000000000001" customHeight="1">
      <c r="A7" s="248">
        <v>1</v>
      </c>
      <c r="B7" s="258" t="s">
        <v>18</v>
      </c>
      <c r="C7" s="260" t="s">
        <v>19</v>
      </c>
      <c r="D7" s="262" t="s">
        <v>20</v>
      </c>
      <c r="E7" s="263" t="s">
        <v>21</v>
      </c>
      <c r="F7" s="265" t="s">
        <v>164</v>
      </c>
      <c r="G7" s="6"/>
      <c r="H7" s="7" t="s">
        <v>23</v>
      </c>
      <c r="I7" s="6"/>
      <c r="J7" s="8"/>
      <c r="K7" s="8"/>
      <c r="L7" s="8"/>
      <c r="M7" s="8"/>
      <c r="N7" s="8"/>
      <c r="O7" s="8"/>
      <c r="P7" s="8"/>
      <c r="Q7" s="8"/>
      <c r="R7" s="8"/>
      <c r="S7" s="8"/>
      <c r="T7" s="9"/>
      <c r="U7" s="10">
        <f>SUM(I7:T7)</f>
        <v>0</v>
      </c>
    </row>
    <row r="8" spans="1:22" ht="17.100000000000001" customHeight="1">
      <c r="A8" s="257"/>
      <c r="B8" s="259"/>
      <c r="C8" s="261"/>
      <c r="D8" s="259"/>
      <c r="E8" s="264"/>
      <c r="F8" s="266"/>
      <c r="G8" s="11"/>
      <c r="H8" s="12" t="s">
        <v>24</v>
      </c>
      <c r="I8" s="11"/>
      <c r="J8" s="13"/>
      <c r="K8" s="13"/>
      <c r="L8" s="13"/>
      <c r="M8" s="13"/>
      <c r="N8" s="13"/>
      <c r="O8" s="13"/>
      <c r="P8" s="13"/>
      <c r="Q8" s="13"/>
      <c r="R8" s="13"/>
      <c r="S8" s="13"/>
      <c r="T8" s="14"/>
      <c r="U8" s="15">
        <f>SUM(I8:T8)</f>
        <v>0</v>
      </c>
    </row>
    <row r="9" spans="1:22" ht="17.100000000000001" customHeight="1">
      <c r="A9" s="257"/>
      <c r="B9" s="259"/>
      <c r="C9" s="261"/>
      <c r="D9" s="259"/>
      <c r="E9" s="264"/>
      <c r="F9" s="266"/>
      <c r="G9" s="16"/>
      <c r="H9" s="17" t="s">
        <v>25</v>
      </c>
      <c r="I9" s="16" t="e">
        <f>I7/I8*1</f>
        <v>#DIV/0!</v>
      </c>
      <c r="J9" s="16" t="e">
        <f>J7/J8*1</f>
        <v>#DIV/0!</v>
      </c>
      <c r="K9" s="16" t="e">
        <f>K7/K8*1</f>
        <v>#DIV/0!</v>
      </c>
      <c r="L9" s="16" t="e">
        <f t="shared" ref="L9:U9" si="0">L7/L8*1</f>
        <v>#DIV/0!</v>
      </c>
      <c r="M9" s="16" t="e">
        <f t="shared" si="0"/>
        <v>#DIV/0!</v>
      </c>
      <c r="N9" s="16" t="e">
        <f t="shared" si="0"/>
        <v>#DIV/0!</v>
      </c>
      <c r="O9" s="16" t="e">
        <f t="shared" si="0"/>
        <v>#DIV/0!</v>
      </c>
      <c r="P9" s="16" t="e">
        <f t="shared" si="0"/>
        <v>#DIV/0!</v>
      </c>
      <c r="Q9" s="16" t="e">
        <f t="shared" si="0"/>
        <v>#DIV/0!</v>
      </c>
      <c r="R9" s="16" t="e">
        <f t="shared" si="0"/>
        <v>#DIV/0!</v>
      </c>
      <c r="S9" s="16" t="e">
        <f t="shared" si="0"/>
        <v>#DIV/0!</v>
      </c>
      <c r="T9" s="18" t="e">
        <f t="shared" si="0"/>
        <v>#DIV/0!</v>
      </c>
      <c r="U9" s="19" t="e">
        <f t="shared" si="0"/>
        <v>#DIV/0!</v>
      </c>
    </row>
    <row r="10" spans="1:22" ht="17.100000000000001" customHeight="1">
      <c r="A10" s="257"/>
      <c r="B10" s="259"/>
      <c r="C10" s="267" t="s">
        <v>26</v>
      </c>
      <c r="D10" s="262" t="s">
        <v>20</v>
      </c>
      <c r="E10" s="263" t="s">
        <v>21</v>
      </c>
      <c r="F10" s="270" t="s">
        <v>27</v>
      </c>
      <c r="G10" s="6"/>
      <c r="H10" s="7" t="s">
        <v>23</v>
      </c>
      <c r="I10" s="6"/>
      <c r="J10" s="8"/>
      <c r="K10" s="8"/>
      <c r="L10" s="8"/>
      <c r="M10" s="8"/>
      <c r="N10" s="8"/>
      <c r="O10" s="8"/>
      <c r="P10" s="8"/>
      <c r="Q10" s="8"/>
      <c r="R10" s="8"/>
      <c r="S10" s="8"/>
      <c r="T10" s="9"/>
      <c r="U10" s="10">
        <f>SUM(I10:T10)</f>
        <v>0</v>
      </c>
    </row>
    <row r="11" spans="1:22" ht="17.100000000000001" customHeight="1">
      <c r="A11" s="257"/>
      <c r="B11" s="259"/>
      <c r="C11" s="268"/>
      <c r="D11" s="259"/>
      <c r="E11" s="264"/>
      <c r="F11" s="266"/>
      <c r="G11" s="11"/>
      <c r="H11" s="12" t="s">
        <v>24</v>
      </c>
      <c r="I11" s="11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4"/>
      <c r="U11" s="15">
        <f>SUM(I11:T11)</f>
        <v>0</v>
      </c>
    </row>
    <row r="12" spans="1:22" ht="17.100000000000001" customHeight="1">
      <c r="A12" s="257"/>
      <c r="B12" s="259"/>
      <c r="C12" s="269"/>
      <c r="D12" s="259"/>
      <c r="E12" s="264"/>
      <c r="F12" s="271"/>
      <c r="G12" s="16"/>
      <c r="H12" s="17" t="s">
        <v>25</v>
      </c>
      <c r="I12" s="16" t="e">
        <f>I11/I10*1</f>
        <v>#DIV/0!</v>
      </c>
      <c r="J12" s="16" t="e">
        <f>J11/J10*1</f>
        <v>#DIV/0!</v>
      </c>
      <c r="K12" s="16" t="e">
        <f>K11/K10*1</f>
        <v>#DIV/0!</v>
      </c>
      <c r="L12" s="16" t="e">
        <f t="shared" ref="L12:Q12" si="1">L11/L10*1</f>
        <v>#DIV/0!</v>
      </c>
      <c r="M12" s="16" t="e">
        <f t="shared" si="1"/>
        <v>#DIV/0!</v>
      </c>
      <c r="N12" s="16" t="e">
        <f t="shared" si="1"/>
        <v>#DIV/0!</v>
      </c>
      <c r="O12" s="16" t="e">
        <f t="shared" si="1"/>
        <v>#DIV/0!</v>
      </c>
      <c r="P12" s="16" t="e">
        <f t="shared" si="1"/>
        <v>#DIV/0!</v>
      </c>
      <c r="Q12" s="16" t="e">
        <f t="shared" si="1"/>
        <v>#DIV/0!</v>
      </c>
      <c r="R12" s="16" t="e">
        <f>R10/R11*1</f>
        <v>#DIV/0!</v>
      </c>
      <c r="S12" s="16" t="e">
        <f>S11/S10*1</f>
        <v>#DIV/0!</v>
      </c>
      <c r="T12" s="18" t="e">
        <f>T11/T10*1</f>
        <v>#DIV/0!</v>
      </c>
      <c r="U12" s="19" t="e">
        <f>U10/U11*1</f>
        <v>#DIV/0!</v>
      </c>
    </row>
    <row r="13" spans="1:22" ht="17.100000000000001" customHeight="1">
      <c r="A13" s="257"/>
      <c r="B13" s="259"/>
      <c r="C13" s="272" t="s">
        <v>165</v>
      </c>
      <c r="D13" s="259" t="s">
        <v>29</v>
      </c>
      <c r="E13" s="274" t="s">
        <v>30</v>
      </c>
      <c r="F13" s="275" t="s">
        <v>31</v>
      </c>
      <c r="G13" s="21">
        <v>36000000</v>
      </c>
      <c r="H13" s="7" t="s">
        <v>23</v>
      </c>
      <c r="I13" s="21">
        <v>3050000</v>
      </c>
      <c r="J13" s="21">
        <v>3050000</v>
      </c>
      <c r="K13" s="21">
        <v>3050000</v>
      </c>
      <c r="L13" s="21">
        <v>3050000</v>
      </c>
      <c r="M13" s="21">
        <v>3050000</v>
      </c>
      <c r="N13" s="21">
        <v>3050000</v>
      </c>
      <c r="O13" s="21">
        <v>3050000</v>
      </c>
      <c r="P13" s="21">
        <v>3050000</v>
      </c>
      <c r="Q13" s="21">
        <v>3050000</v>
      </c>
      <c r="R13" s="21">
        <v>3050000</v>
      </c>
      <c r="S13" s="21">
        <v>3050000</v>
      </c>
      <c r="T13" s="21">
        <v>3050000</v>
      </c>
      <c r="U13" s="20">
        <f>SUM(I13:T13)</f>
        <v>36600000</v>
      </c>
    </row>
    <row r="14" spans="1:22" ht="17.100000000000001" customHeight="1">
      <c r="A14" s="257"/>
      <c r="B14" s="259"/>
      <c r="C14" s="272"/>
      <c r="D14" s="259"/>
      <c r="E14" s="274"/>
      <c r="F14" s="275"/>
      <c r="G14" s="22">
        <v>34247148.135943994</v>
      </c>
      <c r="H14" s="12" t="s">
        <v>24</v>
      </c>
      <c r="I14" s="22">
        <v>3031619.4647034202</v>
      </c>
      <c r="J14" s="23">
        <v>2659016.7964837998</v>
      </c>
      <c r="K14" s="23">
        <v>3266454.2605895698</v>
      </c>
      <c r="L14" s="23">
        <v>3016576.52577224</v>
      </c>
      <c r="M14" s="23">
        <v>3069484.0138606201</v>
      </c>
      <c r="N14" s="23">
        <v>3363694.6182800001</v>
      </c>
      <c r="O14" s="23">
        <v>3234491.5020077699</v>
      </c>
      <c r="P14" s="23">
        <v>3337228.24699086</v>
      </c>
      <c r="Q14" s="23">
        <v>3073867.99419676</v>
      </c>
      <c r="R14" s="23">
        <v>3136800.3897112799</v>
      </c>
      <c r="S14" s="23">
        <v>3350634.3121568598</v>
      </c>
      <c r="T14" s="24">
        <v>3060852.1277539399</v>
      </c>
      <c r="U14" s="25">
        <f>SUM(I14:T14)</f>
        <v>37600720.25250712</v>
      </c>
    </row>
    <row r="15" spans="1:22" ht="17.100000000000001" customHeight="1">
      <c r="A15" s="257"/>
      <c r="B15" s="259"/>
      <c r="C15" s="272"/>
      <c r="D15" s="273"/>
      <c r="E15" s="274"/>
      <c r="F15" s="275"/>
      <c r="G15" s="16">
        <v>0.71733474962471888</v>
      </c>
      <c r="H15" s="17" t="s">
        <v>25</v>
      </c>
      <c r="I15" s="16">
        <f>I14/I13*1</f>
        <v>0.99397359498472793</v>
      </c>
      <c r="J15" s="16">
        <f>J14/J13*1</f>
        <v>0.8718087857323934</v>
      </c>
      <c r="K15" s="16">
        <f>K14/K13*1</f>
        <v>1.0709686100293672</v>
      </c>
      <c r="L15" s="16">
        <f t="shared" ref="L15:T15" si="2">L14/L13*1</f>
        <v>0.98904148385975077</v>
      </c>
      <c r="M15" s="16">
        <f t="shared" si="2"/>
        <v>1.006388201265777</v>
      </c>
      <c r="N15" s="16">
        <f t="shared" si="2"/>
        <v>1.1028506945180327</v>
      </c>
      <c r="O15" s="16">
        <f t="shared" si="2"/>
        <v>1.0604890170517278</v>
      </c>
      <c r="P15" s="16">
        <f t="shared" si="2"/>
        <v>1.0941731957347083</v>
      </c>
      <c r="Q15" s="16">
        <f t="shared" si="2"/>
        <v>1.0078255718677902</v>
      </c>
      <c r="R15" s="16">
        <f t="shared" si="2"/>
        <v>1.0284591441676327</v>
      </c>
      <c r="S15" s="16">
        <f t="shared" si="2"/>
        <v>1.0985686269366752</v>
      </c>
      <c r="T15" s="18">
        <f t="shared" si="2"/>
        <v>1.003558074673423</v>
      </c>
      <c r="U15" s="19">
        <f>U14/U13*1</f>
        <v>1.0273420834018339</v>
      </c>
    </row>
    <row r="16" spans="1:22" ht="17.100000000000001" customHeight="1">
      <c r="A16" s="257"/>
      <c r="B16" s="259"/>
      <c r="C16" s="282" t="s">
        <v>32</v>
      </c>
      <c r="D16" s="285" t="s">
        <v>29</v>
      </c>
      <c r="E16" s="274" t="s">
        <v>30</v>
      </c>
      <c r="F16" s="270" t="s">
        <v>33</v>
      </c>
      <c r="G16" s="127"/>
      <c r="H16" s="7" t="s">
        <v>23</v>
      </c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7"/>
      <c r="U16" s="20">
        <f>SUM(I16:T16)</f>
        <v>0</v>
      </c>
    </row>
    <row r="17" spans="1:21" ht="17.100000000000001" customHeight="1">
      <c r="A17" s="257"/>
      <c r="B17" s="259"/>
      <c r="C17" s="283"/>
      <c r="D17" s="285"/>
      <c r="E17" s="274"/>
      <c r="F17" s="266"/>
      <c r="G17" s="22"/>
      <c r="H17" s="12" t="s">
        <v>24</v>
      </c>
      <c r="I17" s="2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4"/>
      <c r="U17" s="25">
        <f>SUM(I17:T17)</f>
        <v>0</v>
      </c>
    </row>
    <row r="18" spans="1:21" ht="17.100000000000001" customHeight="1">
      <c r="A18" s="257"/>
      <c r="B18" s="259"/>
      <c r="C18" s="284"/>
      <c r="D18" s="285"/>
      <c r="E18" s="274"/>
      <c r="F18" s="271"/>
      <c r="G18" s="16"/>
      <c r="H18" s="17" t="s">
        <v>25</v>
      </c>
      <c r="I18" s="16" t="e">
        <f>I17/I16*1</f>
        <v>#DIV/0!</v>
      </c>
      <c r="J18" s="16" t="e">
        <f>J17/J16*1</f>
        <v>#DIV/0!</v>
      </c>
      <c r="K18" s="16" t="e">
        <f>K17/K16*1</f>
        <v>#DIV/0!</v>
      </c>
      <c r="L18" s="16" t="e">
        <f t="shared" ref="L18:U18" si="3">L17/L16*1</f>
        <v>#DIV/0!</v>
      </c>
      <c r="M18" s="16" t="e">
        <f t="shared" si="3"/>
        <v>#DIV/0!</v>
      </c>
      <c r="N18" s="16" t="e">
        <f t="shared" si="3"/>
        <v>#DIV/0!</v>
      </c>
      <c r="O18" s="16" t="e">
        <f t="shared" si="3"/>
        <v>#DIV/0!</v>
      </c>
      <c r="P18" s="16" t="e">
        <f t="shared" si="3"/>
        <v>#DIV/0!</v>
      </c>
      <c r="Q18" s="16" t="e">
        <f t="shared" si="3"/>
        <v>#DIV/0!</v>
      </c>
      <c r="R18" s="16" t="e">
        <f t="shared" si="3"/>
        <v>#DIV/0!</v>
      </c>
      <c r="S18" s="16" t="e">
        <f t="shared" si="3"/>
        <v>#DIV/0!</v>
      </c>
      <c r="T18" s="18" t="e">
        <f t="shared" si="3"/>
        <v>#DIV/0!</v>
      </c>
      <c r="U18" s="19" t="e">
        <f t="shared" si="3"/>
        <v>#DIV/0!</v>
      </c>
    </row>
    <row r="19" spans="1:21" ht="17.100000000000001" customHeight="1">
      <c r="A19" s="257"/>
      <c r="B19" s="259"/>
      <c r="C19" s="282" t="s">
        <v>34</v>
      </c>
      <c r="D19" s="285" t="s">
        <v>29</v>
      </c>
      <c r="E19" s="274" t="s">
        <v>30</v>
      </c>
      <c r="F19" s="270" t="s">
        <v>35</v>
      </c>
      <c r="G19" s="128"/>
      <c r="H19" s="7" t="s">
        <v>23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9"/>
      <c r="U19" s="30" t="e">
        <f>AVERAGE(I19:T19)</f>
        <v>#DIV/0!</v>
      </c>
    </row>
    <row r="20" spans="1:21" ht="17.100000000000001" customHeight="1">
      <c r="A20" s="257"/>
      <c r="B20" s="259"/>
      <c r="C20" s="283"/>
      <c r="D20" s="285"/>
      <c r="E20" s="274"/>
      <c r="F20" s="266"/>
      <c r="G20" s="31"/>
      <c r="H20" s="12" t="s">
        <v>24</v>
      </c>
      <c r="I20" s="31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3"/>
      <c r="U20" s="34" t="e">
        <f>AVERAGE(I20:T20)</f>
        <v>#DIV/0!</v>
      </c>
    </row>
    <row r="21" spans="1:21" ht="17.100000000000001" customHeight="1">
      <c r="A21" s="257"/>
      <c r="B21" s="259"/>
      <c r="C21" s="284"/>
      <c r="D21" s="285"/>
      <c r="E21" s="274"/>
      <c r="F21" s="271"/>
      <c r="G21" s="16"/>
      <c r="H21" s="17" t="s">
        <v>25</v>
      </c>
      <c r="I21" s="16" t="e">
        <f>I20/I19*1</f>
        <v>#DIV/0!</v>
      </c>
      <c r="J21" s="16" t="e">
        <f>J20/J19*1</f>
        <v>#DIV/0!</v>
      </c>
      <c r="K21" s="16" t="e">
        <f>K20/K19*1</f>
        <v>#DIV/0!</v>
      </c>
      <c r="L21" s="16" t="e">
        <f t="shared" ref="L21:U21" si="4">L20/L19*1</f>
        <v>#DIV/0!</v>
      </c>
      <c r="M21" s="16" t="e">
        <f t="shared" si="4"/>
        <v>#DIV/0!</v>
      </c>
      <c r="N21" s="16" t="e">
        <f t="shared" si="4"/>
        <v>#DIV/0!</v>
      </c>
      <c r="O21" s="16" t="e">
        <f t="shared" si="4"/>
        <v>#DIV/0!</v>
      </c>
      <c r="P21" s="16" t="e">
        <f t="shared" si="4"/>
        <v>#DIV/0!</v>
      </c>
      <c r="Q21" s="16" t="e">
        <f t="shared" si="4"/>
        <v>#DIV/0!</v>
      </c>
      <c r="R21" s="16" t="e">
        <f t="shared" si="4"/>
        <v>#DIV/0!</v>
      </c>
      <c r="S21" s="16" t="e">
        <f t="shared" si="4"/>
        <v>#DIV/0!</v>
      </c>
      <c r="T21" s="18" t="e">
        <f t="shared" si="4"/>
        <v>#DIV/0!</v>
      </c>
      <c r="U21" s="19" t="e">
        <f t="shared" si="4"/>
        <v>#DIV/0!</v>
      </c>
    </row>
    <row r="22" spans="1:21" ht="17.100000000000001" customHeight="1">
      <c r="A22" s="257"/>
      <c r="B22" s="259"/>
      <c r="C22" s="272" t="s">
        <v>166</v>
      </c>
      <c r="D22" s="259" t="s">
        <v>20</v>
      </c>
      <c r="E22" s="274" t="s">
        <v>37</v>
      </c>
      <c r="F22" s="275" t="s">
        <v>167</v>
      </c>
      <c r="G22" s="36">
        <v>72</v>
      </c>
      <c r="H22" s="7" t="s">
        <v>23</v>
      </c>
      <c r="I22" s="36">
        <v>6</v>
      </c>
      <c r="J22" s="36">
        <v>6</v>
      </c>
      <c r="K22" s="36">
        <v>6</v>
      </c>
      <c r="L22" s="36">
        <v>6</v>
      </c>
      <c r="M22" s="36">
        <v>6</v>
      </c>
      <c r="N22" s="36">
        <v>6</v>
      </c>
      <c r="O22" s="36">
        <v>6</v>
      </c>
      <c r="P22" s="36">
        <v>6</v>
      </c>
      <c r="Q22" s="36">
        <v>6</v>
      </c>
      <c r="R22" s="36">
        <v>6</v>
      </c>
      <c r="S22" s="36">
        <v>6</v>
      </c>
      <c r="T22" s="36">
        <v>6</v>
      </c>
      <c r="U22" s="10">
        <f>SUM(I22:T22)</f>
        <v>72</v>
      </c>
    </row>
    <row r="23" spans="1:21" ht="17.100000000000001" customHeight="1">
      <c r="A23" s="257"/>
      <c r="B23" s="259"/>
      <c r="C23" s="272"/>
      <c r="D23" s="259"/>
      <c r="E23" s="274"/>
      <c r="F23" s="275"/>
      <c r="G23" s="11">
        <v>71</v>
      </c>
      <c r="H23" s="12" t="s">
        <v>24</v>
      </c>
      <c r="I23" s="13">
        <v>5</v>
      </c>
      <c r="J23" s="13">
        <v>6</v>
      </c>
      <c r="K23" s="13">
        <v>5</v>
      </c>
      <c r="L23" s="13">
        <v>7</v>
      </c>
      <c r="M23" s="13">
        <v>7</v>
      </c>
      <c r="N23" s="13">
        <v>5</v>
      </c>
      <c r="O23" s="13">
        <v>6</v>
      </c>
      <c r="P23" s="13">
        <v>7</v>
      </c>
      <c r="Q23" s="13">
        <v>5</v>
      </c>
      <c r="R23" s="13">
        <v>7</v>
      </c>
      <c r="S23" s="13">
        <v>5</v>
      </c>
      <c r="T23" s="13">
        <v>5</v>
      </c>
      <c r="U23" s="15">
        <f>SUM(I23:T23)</f>
        <v>70</v>
      </c>
    </row>
    <row r="24" spans="1:21" ht="17.100000000000001" customHeight="1">
      <c r="A24" s="257"/>
      <c r="B24" s="259"/>
      <c r="C24" s="272"/>
      <c r="D24" s="259"/>
      <c r="E24" s="274"/>
      <c r="F24" s="275"/>
      <c r="G24" s="16">
        <v>0.2</v>
      </c>
      <c r="H24" s="17" t="s">
        <v>25</v>
      </c>
      <c r="I24" s="37">
        <f>I23/I22*1</f>
        <v>0.83333333333333337</v>
      </c>
      <c r="J24" s="37">
        <f>J23/J22*1</f>
        <v>1</v>
      </c>
      <c r="K24" s="37">
        <f>K23/K22*1</f>
        <v>0.83333333333333337</v>
      </c>
      <c r="L24" s="37">
        <f t="shared" ref="L24:U24" si="5">L23/L22*1</f>
        <v>1.1666666666666667</v>
      </c>
      <c r="M24" s="37">
        <f t="shared" si="5"/>
        <v>1.1666666666666667</v>
      </c>
      <c r="N24" s="37">
        <f t="shared" si="5"/>
        <v>0.83333333333333337</v>
      </c>
      <c r="O24" s="37">
        <f t="shared" si="5"/>
        <v>1</v>
      </c>
      <c r="P24" s="37">
        <f t="shared" si="5"/>
        <v>1.1666666666666667</v>
      </c>
      <c r="Q24" s="37">
        <f t="shared" si="5"/>
        <v>0.83333333333333337</v>
      </c>
      <c r="R24" s="37">
        <f t="shared" si="5"/>
        <v>1.1666666666666667</v>
      </c>
      <c r="S24" s="37">
        <f t="shared" si="5"/>
        <v>0.83333333333333337</v>
      </c>
      <c r="T24" s="38">
        <f t="shared" si="5"/>
        <v>0.83333333333333337</v>
      </c>
      <c r="U24" s="19">
        <f t="shared" si="5"/>
        <v>0.97222222222222221</v>
      </c>
    </row>
    <row r="25" spans="1:21" ht="19.5" customHeight="1">
      <c r="A25" s="257"/>
      <c r="B25" s="259"/>
      <c r="C25" s="280" t="s">
        <v>39</v>
      </c>
      <c r="D25" s="272" t="s">
        <v>40</v>
      </c>
      <c r="E25" s="263" t="s">
        <v>21</v>
      </c>
      <c r="F25" s="275" t="s">
        <v>41</v>
      </c>
      <c r="G25" s="36">
        <v>11</v>
      </c>
      <c r="H25" s="7" t="s">
        <v>23</v>
      </c>
      <c r="I25" s="36">
        <v>1</v>
      </c>
      <c r="J25" s="36">
        <v>1</v>
      </c>
      <c r="K25" s="39">
        <v>1</v>
      </c>
      <c r="L25" s="36">
        <v>1</v>
      </c>
      <c r="M25" s="36">
        <v>1</v>
      </c>
      <c r="N25" s="36">
        <v>1</v>
      </c>
      <c r="O25" s="36">
        <v>1</v>
      </c>
      <c r="P25" s="36">
        <v>1</v>
      </c>
      <c r="Q25" s="36">
        <v>1</v>
      </c>
      <c r="R25" s="36">
        <v>1</v>
      </c>
      <c r="S25" s="40">
        <v>1</v>
      </c>
      <c r="T25" s="40">
        <v>1</v>
      </c>
      <c r="U25" s="10">
        <f>SUM(I25:T25)</f>
        <v>12</v>
      </c>
    </row>
    <row r="26" spans="1:21" ht="17.100000000000001" customHeight="1">
      <c r="A26" s="257"/>
      <c r="B26" s="259"/>
      <c r="C26" s="280"/>
      <c r="D26" s="272"/>
      <c r="E26" s="264"/>
      <c r="F26" s="275"/>
      <c r="G26" s="11">
        <v>0</v>
      </c>
      <c r="H26" s="12" t="s">
        <v>24</v>
      </c>
      <c r="I26" s="13">
        <v>0</v>
      </c>
      <c r="J26" s="13">
        <v>0</v>
      </c>
      <c r="K26" s="13">
        <v>0</v>
      </c>
      <c r="L26" s="13">
        <v>1</v>
      </c>
      <c r="M26" s="13">
        <v>1</v>
      </c>
      <c r="N26" s="13">
        <v>1</v>
      </c>
      <c r="O26" s="13">
        <v>1</v>
      </c>
      <c r="P26" s="13">
        <v>1</v>
      </c>
      <c r="Q26" s="13">
        <v>1</v>
      </c>
      <c r="R26" s="13">
        <v>1</v>
      </c>
      <c r="S26" s="13">
        <v>1</v>
      </c>
      <c r="T26" s="13">
        <v>1</v>
      </c>
      <c r="U26" s="15">
        <f>SUM(I26:T26)</f>
        <v>9</v>
      </c>
    </row>
    <row r="27" spans="1:21" ht="17.100000000000001" customHeight="1" thickBot="1">
      <c r="A27" s="249"/>
      <c r="B27" s="259"/>
      <c r="C27" s="260"/>
      <c r="D27" s="262"/>
      <c r="E27" s="281"/>
      <c r="F27" s="270"/>
      <c r="G27" s="42"/>
      <c r="H27" s="17" t="s">
        <v>25</v>
      </c>
      <c r="I27" s="41">
        <f>I26/I25*1</f>
        <v>0</v>
      </c>
      <c r="J27" s="41">
        <f>J26/J25*1</f>
        <v>0</v>
      </c>
      <c r="K27" s="41">
        <f>K26/K25*1</f>
        <v>0</v>
      </c>
      <c r="L27" s="41">
        <f t="shared" ref="L27:Q27" si="6">L26/L25*1</f>
        <v>1</v>
      </c>
      <c r="M27" s="41">
        <f t="shared" si="6"/>
        <v>1</v>
      </c>
      <c r="N27" s="41">
        <f t="shared" si="6"/>
        <v>1</v>
      </c>
      <c r="O27" s="41">
        <f t="shared" si="6"/>
        <v>1</v>
      </c>
      <c r="P27" s="41">
        <f t="shared" si="6"/>
        <v>1</v>
      </c>
      <c r="Q27" s="41">
        <f t="shared" si="6"/>
        <v>1</v>
      </c>
      <c r="R27" s="42">
        <f>R25/R26*1</f>
        <v>1</v>
      </c>
      <c r="S27" s="41">
        <f>S26/S25*1</f>
        <v>1</v>
      </c>
      <c r="T27" s="43">
        <f>T26/T25*1</f>
        <v>1</v>
      </c>
      <c r="U27" s="44">
        <f>U25/U26*1</f>
        <v>1.3333333333333333</v>
      </c>
    </row>
    <row r="28" spans="1:21" ht="17.100000000000001" customHeight="1">
      <c r="A28" s="257">
        <v>2</v>
      </c>
      <c r="B28" s="295" t="s">
        <v>42</v>
      </c>
      <c r="C28" s="298" t="s">
        <v>43</v>
      </c>
      <c r="D28" s="298" t="s">
        <v>44</v>
      </c>
      <c r="E28" s="263" t="s">
        <v>21</v>
      </c>
      <c r="F28" s="300" t="s">
        <v>168</v>
      </c>
      <c r="G28" s="89">
        <v>100</v>
      </c>
      <c r="H28" s="7" t="s">
        <v>23</v>
      </c>
      <c r="I28" s="89">
        <v>100</v>
      </c>
      <c r="J28" s="89">
        <v>100</v>
      </c>
      <c r="K28" s="89">
        <v>100</v>
      </c>
      <c r="L28" s="89">
        <v>100</v>
      </c>
      <c r="M28" s="89">
        <v>100</v>
      </c>
      <c r="N28" s="89">
        <v>100</v>
      </c>
      <c r="O28" s="89">
        <v>100</v>
      </c>
      <c r="P28" s="89">
        <v>100</v>
      </c>
      <c r="Q28" s="89">
        <v>100</v>
      </c>
      <c r="R28" s="89">
        <v>100</v>
      </c>
      <c r="S28" s="89">
        <v>100</v>
      </c>
      <c r="T28" s="89">
        <v>100</v>
      </c>
      <c r="U28" s="46">
        <f>AVERAGE(I28:T28)</f>
        <v>100</v>
      </c>
    </row>
    <row r="29" spans="1:21" ht="17.100000000000001" customHeight="1">
      <c r="A29" s="257"/>
      <c r="B29" s="296"/>
      <c r="C29" s="299"/>
      <c r="D29" s="299"/>
      <c r="E29" s="264"/>
      <c r="F29" s="301"/>
      <c r="G29" s="62">
        <v>20.583333333333332</v>
      </c>
      <c r="H29" s="12" t="s">
        <v>24</v>
      </c>
      <c r="I29" s="62">
        <v>0</v>
      </c>
      <c r="J29" s="62">
        <v>0</v>
      </c>
      <c r="K29" s="62">
        <v>0</v>
      </c>
      <c r="L29" s="62">
        <v>0</v>
      </c>
      <c r="M29" s="62">
        <v>30</v>
      </c>
      <c r="N29" s="62">
        <v>37</v>
      </c>
      <c r="O29" s="62">
        <v>19</v>
      </c>
      <c r="P29" s="62">
        <v>35</v>
      </c>
      <c r="Q29" s="62">
        <v>0</v>
      </c>
      <c r="R29" s="62">
        <v>0</v>
      </c>
      <c r="S29" s="62">
        <v>33</v>
      </c>
      <c r="T29" s="62">
        <v>34</v>
      </c>
      <c r="U29" s="25">
        <f>AVERAGE(I29:T29)</f>
        <v>15.666666666666666</v>
      </c>
    </row>
    <row r="30" spans="1:21" ht="17.100000000000001" customHeight="1">
      <c r="A30" s="257"/>
      <c r="B30" s="296"/>
      <c r="C30" s="288"/>
      <c r="D30" s="288"/>
      <c r="E30" s="264"/>
      <c r="F30" s="302"/>
      <c r="G30" s="16">
        <v>0.20583333333333331</v>
      </c>
      <c r="H30" s="17" t="s">
        <v>25</v>
      </c>
      <c r="I30" s="16" t="e">
        <f>I28/I29*1</f>
        <v>#DIV/0!</v>
      </c>
      <c r="J30" s="16" t="e">
        <f>J28/J29*1</f>
        <v>#DIV/0!</v>
      </c>
      <c r="K30" s="16" t="e">
        <f>K28/K29*1</f>
        <v>#DIV/0!</v>
      </c>
      <c r="L30" s="16" t="e">
        <f t="shared" ref="L30:T30" si="7">L28/L29*1</f>
        <v>#DIV/0!</v>
      </c>
      <c r="M30" s="16">
        <f t="shared" si="7"/>
        <v>3.3333333333333335</v>
      </c>
      <c r="N30" s="16">
        <f t="shared" si="7"/>
        <v>2.7027027027027026</v>
      </c>
      <c r="O30" s="16">
        <f t="shared" si="7"/>
        <v>5.2631578947368425</v>
      </c>
      <c r="P30" s="16">
        <f t="shared" si="7"/>
        <v>2.8571428571428572</v>
      </c>
      <c r="Q30" s="16" t="e">
        <f t="shared" si="7"/>
        <v>#DIV/0!</v>
      </c>
      <c r="R30" s="16" t="e">
        <f t="shared" si="7"/>
        <v>#DIV/0!</v>
      </c>
      <c r="S30" s="16">
        <f t="shared" si="7"/>
        <v>3.0303030303030303</v>
      </c>
      <c r="T30" s="18">
        <f t="shared" si="7"/>
        <v>2.9411764705882355</v>
      </c>
      <c r="U30" s="19">
        <f>U29/U28*1</f>
        <v>0.15666666666666665</v>
      </c>
    </row>
    <row r="31" spans="1:21" s="109" customFormat="1" ht="17.100000000000001" customHeight="1">
      <c r="A31" s="257"/>
      <c r="B31" s="296"/>
      <c r="C31" s="287" t="s">
        <v>46</v>
      </c>
      <c r="D31" s="290" t="s">
        <v>47</v>
      </c>
      <c r="E31" s="292" t="s">
        <v>21</v>
      </c>
      <c r="F31" s="304" t="s">
        <v>169</v>
      </c>
      <c r="G31" s="66">
        <v>24</v>
      </c>
      <c r="H31" s="7" t="s">
        <v>23</v>
      </c>
      <c r="I31" s="67">
        <v>1</v>
      </c>
      <c r="J31" s="67">
        <v>1</v>
      </c>
      <c r="K31" s="67">
        <v>1</v>
      </c>
      <c r="L31" s="67">
        <v>1</v>
      </c>
      <c r="M31" s="67">
        <v>1</v>
      </c>
      <c r="N31" s="67">
        <v>1</v>
      </c>
      <c r="O31" s="67">
        <v>1</v>
      </c>
      <c r="P31" s="67">
        <v>1</v>
      </c>
      <c r="Q31" s="67">
        <v>1</v>
      </c>
      <c r="R31" s="67">
        <v>1</v>
      </c>
      <c r="S31" s="67">
        <v>1</v>
      </c>
      <c r="T31" s="67">
        <v>1</v>
      </c>
      <c r="U31" s="108">
        <f>SUM(I31:T31)</f>
        <v>12</v>
      </c>
    </row>
    <row r="32" spans="1:21" s="109" customFormat="1" ht="17.100000000000001" customHeight="1">
      <c r="A32" s="257"/>
      <c r="B32" s="296"/>
      <c r="C32" s="299"/>
      <c r="D32" s="303"/>
      <c r="E32" s="292"/>
      <c r="F32" s="301"/>
      <c r="G32" s="62">
        <v>8</v>
      </c>
      <c r="H32" s="12" t="s">
        <v>24</v>
      </c>
      <c r="I32" s="63">
        <v>0</v>
      </c>
      <c r="J32" s="63">
        <v>0</v>
      </c>
      <c r="K32" s="63">
        <v>0</v>
      </c>
      <c r="L32" s="63">
        <v>0</v>
      </c>
      <c r="M32" s="63">
        <v>0</v>
      </c>
      <c r="N32" s="63">
        <v>0</v>
      </c>
      <c r="O32" s="63">
        <v>0</v>
      </c>
      <c r="P32" s="63">
        <v>0</v>
      </c>
      <c r="Q32" s="63">
        <v>0</v>
      </c>
      <c r="R32" s="63">
        <v>0</v>
      </c>
      <c r="S32" s="63">
        <v>0</v>
      </c>
      <c r="T32" s="63">
        <v>0</v>
      </c>
      <c r="U32" s="110">
        <f>SUM(I32:T32)</f>
        <v>0</v>
      </c>
    </row>
    <row r="33" spans="1:21" ht="17.100000000000001" customHeight="1">
      <c r="A33" s="257"/>
      <c r="B33" s="296"/>
      <c r="C33" s="288"/>
      <c r="D33" s="291"/>
      <c r="E33" s="292"/>
      <c r="F33" s="302"/>
      <c r="G33" s="16">
        <v>0.33333333333333331</v>
      </c>
      <c r="H33" s="17" t="s">
        <v>25</v>
      </c>
      <c r="I33" s="16">
        <f>I32/I31*1</f>
        <v>0</v>
      </c>
      <c r="J33" s="16">
        <f>J32/J31*1</f>
        <v>0</v>
      </c>
      <c r="K33" s="16">
        <f>K32/K31*1</f>
        <v>0</v>
      </c>
      <c r="L33" s="16">
        <f t="shared" ref="L33:T33" si="8">L32/L31*1</f>
        <v>0</v>
      </c>
      <c r="M33" s="16">
        <f t="shared" si="8"/>
        <v>0</v>
      </c>
      <c r="N33" s="16">
        <f t="shared" si="8"/>
        <v>0</v>
      </c>
      <c r="O33" s="16">
        <f t="shared" si="8"/>
        <v>0</v>
      </c>
      <c r="P33" s="16">
        <f t="shared" si="8"/>
        <v>0</v>
      </c>
      <c r="Q33" s="16">
        <f t="shared" si="8"/>
        <v>0</v>
      </c>
      <c r="R33" s="16">
        <f t="shared" si="8"/>
        <v>0</v>
      </c>
      <c r="S33" s="16">
        <f t="shared" si="8"/>
        <v>0</v>
      </c>
      <c r="T33" s="16">
        <f t="shared" si="8"/>
        <v>0</v>
      </c>
      <c r="U33" s="19" t="e">
        <f>U31/U32</f>
        <v>#DIV/0!</v>
      </c>
    </row>
    <row r="34" spans="1:21" ht="17.100000000000001" customHeight="1">
      <c r="A34" s="257"/>
      <c r="B34" s="296"/>
      <c r="C34" s="286" t="s">
        <v>49</v>
      </c>
      <c r="D34" s="289" t="s">
        <v>44</v>
      </c>
      <c r="E34" s="292" t="s">
        <v>21</v>
      </c>
      <c r="F34" s="270" t="s">
        <v>170</v>
      </c>
      <c r="G34" s="6">
        <v>36</v>
      </c>
      <c r="H34" s="7" t="s">
        <v>23</v>
      </c>
      <c r="I34" s="6">
        <v>2</v>
      </c>
      <c r="J34" s="6">
        <v>2</v>
      </c>
      <c r="K34" s="6">
        <v>2</v>
      </c>
      <c r="L34" s="6">
        <v>2</v>
      </c>
      <c r="M34" s="6">
        <v>2</v>
      </c>
      <c r="N34" s="6">
        <v>2</v>
      </c>
      <c r="O34" s="6">
        <v>2</v>
      </c>
      <c r="P34" s="6">
        <v>2</v>
      </c>
      <c r="Q34" s="6">
        <v>2</v>
      </c>
      <c r="R34" s="6">
        <v>2</v>
      </c>
      <c r="S34" s="6">
        <v>2</v>
      </c>
      <c r="T34" s="6">
        <v>2</v>
      </c>
      <c r="U34" s="10">
        <f>SUM(I34:T34)</f>
        <v>24</v>
      </c>
    </row>
    <row r="35" spans="1:21" ht="17.100000000000001" customHeight="1">
      <c r="A35" s="257"/>
      <c r="B35" s="296"/>
      <c r="C35" s="287"/>
      <c r="D35" s="290"/>
      <c r="E35" s="292"/>
      <c r="F35" s="266"/>
      <c r="G35" s="11">
        <v>13</v>
      </c>
      <c r="H35" s="12" t="s">
        <v>24</v>
      </c>
      <c r="I35" s="11">
        <v>0</v>
      </c>
      <c r="J35" s="13">
        <v>1</v>
      </c>
      <c r="K35" s="13">
        <v>0</v>
      </c>
      <c r="L35" s="13">
        <v>0</v>
      </c>
      <c r="M35" s="13">
        <v>0</v>
      </c>
      <c r="N35" s="13">
        <v>3</v>
      </c>
      <c r="O35" s="13">
        <v>0</v>
      </c>
      <c r="P35" s="13">
        <v>2</v>
      </c>
      <c r="Q35" s="13">
        <v>1</v>
      </c>
      <c r="R35" s="13">
        <v>0</v>
      </c>
      <c r="S35" s="13">
        <v>1</v>
      </c>
      <c r="T35" s="13">
        <v>2</v>
      </c>
      <c r="U35" s="15">
        <f>SUM(I35:T35)</f>
        <v>10</v>
      </c>
    </row>
    <row r="36" spans="1:21" ht="17.100000000000001" customHeight="1">
      <c r="A36" s="257"/>
      <c r="B36" s="296"/>
      <c r="C36" s="288"/>
      <c r="D36" s="291"/>
      <c r="E36" s="292"/>
      <c r="F36" s="271"/>
      <c r="G36" s="16">
        <v>0.3611111111111111</v>
      </c>
      <c r="H36" s="17" t="s">
        <v>25</v>
      </c>
      <c r="I36" s="16">
        <f>I35/I34*1</f>
        <v>0</v>
      </c>
      <c r="J36" s="16">
        <f>J35/J34*1</f>
        <v>0.5</v>
      </c>
      <c r="K36" s="16">
        <f>K35/K34*1</f>
        <v>0</v>
      </c>
      <c r="L36" s="16">
        <f t="shared" ref="L36:T36" si="9">L35/L34*1</f>
        <v>0</v>
      </c>
      <c r="M36" s="16">
        <f t="shared" si="9"/>
        <v>0</v>
      </c>
      <c r="N36" s="16">
        <f t="shared" si="9"/>
        <v>1.5</v>
      </c>
      <c r="O36" s="16">
        <f t="shared" si="9"/>
        <v>0</v>
      </c>
      <c r="P36" s="16">
        <f t="shared" si="9"/>
        <v>1</v>
      </c>
      <c r="Q36" s="16">
        <f t="shared" si="9"/>
        <v>0.5</v>
      </c>
      <c r="R36" s="16">
        <f t="shared" si="9"/>
        <v>0</v>
      </c>
      <c r="S36" s="16">
        <f t="shared" si="9"/>
        <v>0.5</v>
      </c>
      <c r="T36" s="18">
        <f t="shared" si="9"/>
        <v>1</v>
      </c>
      <c r="U36" s="19">
        <f>U34/U35</f>
        <v>2.4</v>
      </c>
    </row>
    <row r="37" spans="1:21" ht="17.100000000000001" customHeight="1">
      <c r="A37" s="257"/>
      <c r="B37" s="296"/>
      <c r="C37" s="293" t="s">
        <v>51</v>
      </c>
      <c r="D37" s="294" t="s">
        <v>44</v>
      </c>
      <c r="E37" s="292" t="s">
        <v>21</v>
      </c>
      <c r="F37" s="275" t="s">
        <v>52</v>
      </c>
      <c r="G37" s="66">
        <v>25</v>
      </c>
      <c r="H37" s="7" t="s">
        <v>23</v>
      </c>
      <c r="I37" s="67">
        <v>1</v>
      </c>
      <c r="J37" s="67">
        <v>1</v>
      </c>
      <c r="K37" s="67">
        <v>1</v>
      </c>
      <c r="L37" s="67">
        <v>1</v>
      </c>
      <c r="M37" s="67">
        <v>1</v>
      </c>
      <c r="N37" s="67">
        <v>1</v>
      </c>
      <c r="O37" s="67">
        <v>1</v>
      </c>
      <c r="P37" s="67">
        <v>1</v>
      </c>
      <c r="Q37" s="67">
        <v>1</v>
      </c>
      <c r="R37" s="67">
        <v>1</v>
      </c>
      <c r="S37" s="67">
        <v>1</v>
      </c>
      <c r="T37" s="67">
        <v>1</v>
      </c>
      <c r="U37" s="10">
        <f>SUM(I37:T37)</f>
        <v>12</v>
      </c>
    </row>
    <row r="38" spans="1:21" ht="17.100000000000001" customHeight="1">
      <c r="A38" s="257"/>
      <c r="B38" s="296"/>
      <c r="C38" s="293"/>
      <c r="D38" s="294"/>
      <c r="E38" s="292"/>
      <c r="F38" s="275"/>
      <c r="G38" s="62">
        <v>8</v>
      </c>
      <c r="H38" s="12" t="s">
        <v>24</v>
      </c>
      <c r="I38" s="63">
        <v>0</v>
      </c>
      <c r="J38" s="63">
        <v>0</v>
      </c>
      <c r="K38" s="63">
        <v>1</v>
      </c>
      <c r="L38" s="63">
        <v>1</v>
      </c>
      <c r="M38" s="63">
        <v>1</v>
      </c>
      <c r="N38" s="63">
        <v>0</v>
      </c>
      <c r="O38" s="63">
        <v>0</v>
      </c>
      <c r="P38" s="63">
        <v>1</v>
      </c>
      <c r="Q38" s="63">
        <v>2</v>
      </c>
      <c r="R38" s="63">
        <v>1</v>
      </c>
      <c r="S38" s="63">
        <v>0</v>
      </c>
      <c r="T38" s="63">
        <v>2</v>
      </c>
      <c r="U38" s="15">
        <f>SUM(I38:T38)</f>
        <v>9</v>
      </c>
    </row>
    <row r="39" spans="1:21" ht="17.100000000000001" customHeight="1">
      <c r="A39" s="257"/>
      <c r="B39" s="296"/>
      <c r="C39" s="293"/>
      <c r="D39" s="294"/>
      <c r="E39" s="292"/>
      <c r="F39" s="275"/>
      <c r="G39" s="16">
        <v>0.32</v>
      </c>
      <c r="H39" s="17" t="s">
        <v>25</v>
      </c>
      <c r="I39" s="16">
        <f>I38/I37*1</f>
        <v>0</v>
      </c>
      <c r="J39" s="16">
        <f>J38/J37*1</f>
        <v>0</v>
      </c>
      <c r="K39" s="16">
        <f>K38/K37*1</f>
        <v>1</v>
      </c>
      <c r="L39" s="16">
        <f t="shared" ref="L39:U39" si="10">L38/L37*1</f>
        <v>1</v>
      </c>
      <c r="M39" s="16">
        <f t="shared" si="10"/>
        <v>1</v>
      </c>
      <c r="N39" s="16">
        <f t="shared" si="10"/>
        <v>0</v>
      </c>
      <c r="O39" s="16">
        <f t="shared" si="10"/>
        <v>0</v>
      </c>
      <c r="P39" s="16">
        <f t="shared" si="10"/>
        <v>1</v>
      </c>
      <c r="Q39" s="16">
        <f t="shared" si="10"/>
        <v>2</v>
      </c>
      <c r="R39" s="16">
        <f t="shared" si="10"/>
        <v>1</v>
      </c>
      <c r="S39" s="16">
        <f t="shared" si="10"/>
        <v>0</v>
      </c>
      <c r="T39" s="16">
        <f t="shared" si="10"/>
        <v>2</v>
      </c>
      <c r="U39" s="52">
        <f t="shared" si="10"/>
        <v>0.75</v>
      </c>
    </row>
    <row r="40" spans="1:21" ht="16.5" customHeight="1">
      <c r="A40" s="257"/>
      <c r="B40" s="296"/>
      <c r="C40" s="287" t="s">
        <v>53</v>
      </c>
      <c r="D40" s="293" t="s">
        <v>44</v>
      </c>
      <c r="E40" s="264" t="s">
        <v>21</v>
      </c>
      <c r="F40" s="304" t="s">
        <v>171</v>
      </c>
      <c r="G40" s="66">
        <v>600</v>
      </c>
      <c r="H40" s="7" t="s">
        <v>23</v>
      </c>
      <c r="I40" s="66">
        <v>30</v>
      </c>
      <c r="J40" s="66">
        <v>30</v>
      </c>
      <c r="K40" s="66">
        <v>30</v>
      </c>
      <c r="L40" s="66">
        <v>30</v>
      </c>
      <c r="M40" s="66">
        <v>30</v>
      </c>
      <c r="N40" s="66">
        <v>30</v>
      </c>
      <c r="O40" s="66">
        <v>30</v>
      </c>
      <c r="P40" s="66">
        <v>30</v>
      </c>
      <c r="Q40" s="66">
        <v>30</v>
      </c>
      <c r="R40" s="66">
        <v>30</v>
      </c>
      <c r="S40" s="66">
        <v>30</v>
      </c>
      <c r="T40" s="66">
        <v>30</v>
      </c>
      <c r="U40" s="54">
        <f>SUM(I40:T40)</f>
        <v>360</v>
      </c>
    </row>
    <row r="41" spans="1:21" ht="17.100000000000001" customHeight="1">
      <c r="A41" s="257"/>
      <c r="B41" s="296"/>
      <c r="C41" s="299"/>
      <c r="D41" s="293"/>
      <c r="E41" s="264"/>
      <c r="F41" s="301"/>
      <c r="G41" s="62">
        <v>209</v>
      </c>
      <c r="H41" s="12" t="s">
        <v>24</v>
      </c>
      <c r="I41" s="62"/>
      <c r="J41" s="63">
        <v>0</v>
      </c>
      <c r="K41" s="63">
        <v>0</v>
      </c>
      <c r="L41" s="63">
        <v>0</v>
      </c>
      <c r="M41" s="63">
        <v>0</v>
      </c>
      <c r="N41" s="63">
        <v>30</v>
      </c>
      <c r="O41" s="63">
        <v>30</v>
      </c>
      <c r="P41" s="63">
        <v>0</v>
      </c>
      <c r="Q41" s="63">
        <v>24</v>
      </c>
      <c r="R41" s="63">
        <v>27</v>
      </c>
      <c r="S41" s="63">
        <v>0</v>
      </c>
      <c r="T41" s="63">
        <v>25</v>
      </c>
      <c r="U41" s="55">
        <f>SUM(I41:T41)</f>
        <v>136</v>
      </c>
    </row>
    <row r="42" spans="1:21" ht="17.100000000000001" customHeight="1" thickBot="1">
      <c r="A42" s="249"/>
      <c r="B42" s="297"/>
      <c r="C42" s="305"/>
      <c r="D42" s="293"/>
      <c r="E42" s="281"/>
      <c r="F42" s="306"/>
      <c r="G42" s="56">
        <v>0.34833333333333333</v>
      </c>
      <c r="H42" s="17" t="s">
        <v>25</v>
      </c>
      <c r="I42" s="56" t="e">
        <f>I40/I41*1</f>
        <v>#DIV/0!</v>
      </c>
      <c r="J42" s="56" t="e">
        <f>J40/J41*1</f>
        <v>#DIV/0!</v>
      </c>
      <c r="K42" s="56" t="e">
        <f>K40/K41*1</f>
        <v>#DIV/0!</v>
      </c>
      <c r="L42" s="56" t="e">
        <f t="shared" ref="L42:T42" si="11">L40/L41*1</f>
        <v>#DIV/0!</v>
      </c>
      <c r="M42" s="56" t="e">
        <f t="shared" si="11"/>
        <v>#DIV/0!</v>
      </c>
      <c r="N42" s="56">
        <f t="shared" si="11"/>
        <v>1</v>
      </c>
      <c r="O42" s="56">
        <f t="shared" si="11"/>
        <v>1</v>
      </c>
      <c r="P42" s="56" t="e">
        <f t="shared" si="11"/>
        <v>#DIV/0!</v>
      </c>
      <c r="Q42" s="56">
        <f t="shared" si="11"/>
        <v>1.25</v>
      </c>
      <c r="R42" s="56">
        <f t="shared" si="11"/>
        <v>1.1111111111111112</v>
      </c>
      <c r="S42" s="56" t="e">
        <f t="shared" si="11"/>
        <v>#DIV/0!</v>
      </c>
      <c r="T42" s="57">
        <f t="shared" si="11"/>
        <v>1.2</v>
      </c>
      <c r="U42" s="58">
        <f>U41/U40*1</f>
        <v>0.37777777777777777</v>
      </c>
    </row>
    <row r="43" spans="1:21" ht="16.5" customHeight="1">
      <c r="A43" s="257">
        <v>3</v>
      </c>
      <c r="B43" s="258" t="s">
        <v>55</v>
      </c>
      <c r="C43" s="259" t="s">
        <v>172</v>
      </c>
      <c r="D43" s="258" t="s">
        <v>57</v>
      </c>
      <c r="E43" s="308" t="s">
        <v>58</v>
      </c>
      <c r="F43" s="266" t="s">
        <v>31</v>
      </c>
      <c r="G43" s="59">
        <v>67</v>
      </c>
      <c r="H43" s="7" t="s">
        <v>23</v>
      </c>
      <c r="I43" s="59">
        <v>6</v>
      </c>
      <c r="J43" s="60">
        <v>6</v>
      </c>
      <c r="K43" s="60">
        <v>6</v>
      </c>
      <c r="L43" s="60">
        <v>6</v>
      </c>
      <c r="M43" s="60">
        <v>5</v>
      </c>
      <c r="N43" s="60">
        <v>5</v>
      </c>
      <c r="O43" s="60">
        <v>5</v>
      </c>
      <c r="P43" s="60">
        <v>5</v>
      </c>
      <c r="Q43" s="60">
        <v>5</v>
      </c>
      <c r="R43" s="60">
        <v>6</v>
      </c>
      <c r="S43" s="60">
        <v>6</v>
      </c>
      <c r="T43" s="61">
        <v>6</v>
      </c>
      <c r="U43" s="54">
        <f>SUM(I43:T43)</f>
        <v>67</v>
      </c>
    </row>
    <row r="44" spans="1:21" ht="17.100000000000001" customHeight="1">
      <c r="A44" s="257"/>
      <c r="B44" s="259"/>
      <c r="C44" s="259"/>
      <c r="D44" s="259"/>
      <c r="E44" s="264"/>
      <c r="F44" s="266"/>
      <c r="G44" s="62">
        <v>68</v>
      </c>
      <c r="H44" s="12" t="s">
        <v>24</v>
      </c>
      <c r="I44" s="62">
        <v>7</v>
      </c>
      <c r="J44" s="63">
        <v>8</v>
      </c>
      <c r="K44" s="63">
        <v>7</v>
      </c>
      <c r="L44" s="63">
        <v>6</v>
      </c>
      <c r="M44" s="63">
        <v>5</v>
      </c>
      <c r="N44" s="63">
        <v>5</v>
      </c>
      <c r="O44" s="63">
        <v>5</v>
      </c>
      <c r="P44" s="63">
        <v>5</v>
      </c>
      <c r="Q44" s="63">
        <v>5</v>
      </c>
      <c r="R44" s="63">
        <v>7</v>
      </c>
      <c r="S44" s="63">
        <v>6</v>
      </c>
      <c r="T44" s="64">
        <v>6</v>
      </c>
      <c r="U44" s="55">
        <f>SUM(I44:T44)</f>
        <v>72</v>
      </c>
    </row>
    <row r="45" spans="1:21" ht="17.100000000000001" customHeight="1">
      <c r="A45" s="257"/>
      <c r="B45" s="259"/>
      <c r="C45" s="259"/>
      <c r="D45" s="259"/>
      <c r="E45" s="264"/>
      <c r="F45" s="266"/>
      <c r="G45" s="42">
        <v>1.0149253731343284</v>
      </c>
      <c r="H45" s="17" t="s">
        <v>25</v>
      </c>
      <c r="I45" s="42">
        <f>I43/I44*1</f>
        <v>0.8571428571428571</v>
      </c>
      <c r="J45" s="42">
        <f>J43/J44*1</f>
        <v>0.75</v>
      </c>
      <c r="K45" s="42">
        <f>K43/K44*1</f>
        <v>0.8571428571428571</v>
      </c>
      <c r="L45" s="42">
        <f t="shared" ref="L45:T45" si="12">L43/L44*1</f>
        <v>1</v>
      </c>
      <c r="M45" s="42">
        <f t="shared" si="12"/>
        <v>1</v>
      </c>
      <c r="N45" s="42">
        <f t="shared" si="12"/>
        <v>1</v>
      </c>
      <c r="O45" s="42">
        <f t="shared" si="12"/>
        <v>1</v>
      </c>
      <c r="P45" s="42">
        <f t="shared" si="12"/>
        <v>1</v>
      </c>
      <c r="Q45" s="42">
        <f t="shared" si="12"/>
        <v>1</v>
      </c>
      <c r="R45" s="42">
        <f t="shared" si="12"/>
        <v>0.8571428571428571</v>
      </c>
      <c r="S45" s="42">
        <f t="shared" si="12"/>
        <v>1</v>
      </c>
      <c r="T45" s="65">
        <f t="shared" si="12"/>
        <v>1</v>
      </c>
      <c r="U45" s="44">
        <f>U44/U43*1</f>
        <v>1.0746268656716418</v>
      </c>
    </row>
    <row r="46" spans="1:21" ht="17.100000000000001" customHeight="1">
      <c r="A46" s="257"/>
      <c r="B46" s="259"/>
      <c r="C46" s="293" t="s">
        <v>59</v>
      </c>
      <c r="D46" s="259"/>
      <c r="E46" s="264"/>
      <c r="F46" s="275" t="s">
        <v>173</v>
      </c>
      <c r="G46" s="66">
        <v>4</v>
      </c>
      <c r="H46" s="7" t="s">
        <v>23</v>
      </c>
      <c r="I46" s="66">
        <v>5</v>
      </c>
      <c r="J46" s="66">
        <v>5</v>
      </c>
      <c r="K46" s="66">
        <v>5</v>
      </c>
      <c r="L46" s="67">
        <v>6</v>
      </c>
      <c r="M46" s="67">
        <v>5</v>
      </c>
      <c r="N46" s="67">
        <v>5</v>
      </c>
      <c r="O46" s="60">
        <v>5</v>
      </c>
      <c r="P46" s="60">
        <v>5</v>
      </c>
      <c r="Q46" s="60">
        <v>5</v>
      </c>
      <c r="R46" s="67">
        <v>7</v>
      </c>
      <c r="S46" s="67">
        <v>6</v>
      </c>
      <c r="T46" s="67">
        <v>6</v>
      </c>
      <c r="U46" s="20">
        <f>AVERAGE(I46:T46)</f>
        <v>5.416666666666667</v>
      </c>
    </row>
    <row r="47" spans="1:21" ht="17.100000000000001" customHeight="1">
      <c r="A47" s="257"/>
      <c r="B47" s="259"/>
      <c r="C47" s="293"/>
      <c r="D47" s="259"/>
      <c r="E47" s="264"/>
      <c r="F47" s="275"/>
      <c r="G47" s="68">
        <v>4.083333333333333</v>
      </c>
      <c r="H47" s="12" t="s">
        <v>24</v>
      </c>
      <c r="I47" s="68">
        <v>5</v>
      </c>
      <c r="J47" s="69">
        <v>5</v>
      </c>
      <c r="K47" s="69">
        <v>5</v>
      </c>
      <c r="L47" s="69">
        <v>6</v>
      </c>
      <c r="M47" s="69">
        <v>5</v>
      </c>
      <c r="N47" s="69">
        <v>5</v>
      </c>
      <c r="O47" s="63">
        <v>5</v>
      </c>
      <c r="P47" s="63">
        <v>5</v>
      </c>
      <c r="Q47" s="63">
        <v>5</v>
      </c>
      <c r="R47" s="69">
        <v>7</v>
      </c>
      <c r="S47" s="69">
        <v>6</v>
      </c>
      <c r="T47" s="69">
        <v>6</v>
      </c>
      <c r="U47" s="71">
        <f>AVERAGE(I47:T47)</f>
        <v>5.416666666666667</v>
      </c>
    </row>
    <row r="48" spans="1:21" ht="17.100000000000001" customHeight="1" thickBot="1">
      <c r="A48" s="257"/>
      <c r="B48" s="307"/>
      <c r="C48" s="311"/>
      <c r="D48" s="307"/>
      <c r="E48" s="281"/>
      <c r="F48" s="312"/>
      <c r="G48" s="56">
        <v>1.0208333333333333</v>
      </c>
      <c r="H48" s="17" t="s">
        <v>25</v>
      </c>
      <c r="I48" s="72">
        <f>I47/I46*1</f>
        <v>1</v>
      </c>
      <c r="J48" s="72">
        <f>J47/J46*1</f>
        <v>1</v>
      </c>
      <c r="K48" s="72">
        <f>K47/K46*1</f>
        <v>1</v>
      </c>
      <c r="L48" s="72">
        <f t="shared" ref="L48:U48" si="13">L47/L46*1</f>
        <v>1</v>
      </c>
      <c r="M48" s="72">
        <f t="shared" si="13"/>
        <v>1</v>
      </c>
      <c r="N48" s="72">
        <f t="shared" si="13"/>
        <v>1</v>
      </c>
      <c r="O48" s="72">
        <f t="shared" si="13"/>
        <v>1</v>
      </c>
      <c r="P48" s="72">
        <f t="shared" si="13"/>
        <v>1</v>
      </c>
      <c r="Q48" s="72">
        <f t="shared" si="13"/>
        <v>1</v>
      </c>
      <c r="R48" s="72">
        <f t="shared" si="13"/>
        <v>1</v>
      </c>
      <c r="S48" s="72">
        <f t="shared" si="13"/>
        <v>1</v>
      </c>
      <c r="T48" s="73">
        <f t="shared" si="13"/>
        <v>1</v>
      </c>
      <c r="U48" s="74">
        <f t="shared" si="13"/>
        <v>1</v>
      </c>
    </row>
    <row r="49" spans="1:21" ht="17.100000000000001" customHeight="1" thickBot="1">
      <c r="A49" s="313">
        <v>4</v>
      </c>
      <c r="B49" s="314" t="s">
        <v>61</v>
      </c>
      <c r="C49" s="310" t="s">
        <v>62</v>
      </c>
      <c r="D49" s="310" t="s">
        <v>47</v>
      </c>
      <c r="E49" s="263" t="s">
        <v>30</v>
      </c>
      <c r="F49" s="317" t="s">
        <v>63</v>
      </c>
      <c r="G49" s="66">
        <v>100</v>
      </c>
      <c r="H49" s="7" t="s">
        <v>23</v>
      </c>
      <c r="I49" s="75">
        <v>100</v>
      </c>
      <c r="J49" s="67">
        <v>100</v>
      </c>
      <c r="K49" s="67">
        <v>100</v>
      </c>
      <c r="L49" s="67">
        <v>100</v>
      </c>
      <c r="M49" s="67">
        <v>100</v>
      </c>
      <c r="N49" s="67">
        <v>100</v>
      </c>
      <c r="O49" s="67">
        <v>100</v>
      </c>
      <c r="P49" s="67">
        <v>100</v>
      </c>
      <c r="Q49" s="67">
        <v>100</v>
      </c>
      <c r="R49" s="67">
        <v>100</v>
      </c>
      <c r="S49" s="67">
        <v>100</v>
      </c>
      <c r="T49" s="67">
        <v>100</v>
      </c>
      <c r="U49" s="76">
        <f>AVERAGE(I49:T49)</f>
        <v>100</v>
      </c>
    </row>
    <row r="50" spans="1:21" ht="17.100000000000001" customHeight="1" thickBot="1">
      <c r="A50" s="313"/>
      <c r="B50" s="315"/>
      <c r="C50" s="293"/>
      <c r="D50" s="293"/>
      <c r="E50" s="264"/>
      <c r="F50" s="275"/>
      <c r="G50" s="68">
        <v>100</v>
      </c>
      <c r="H50" s="12" t="s">
        <v>24</v>
      </c>
      <c r="I50" s="68">
        <v>100</v>
      </c>
      <c r="J50" s="68">
        <v>100</v>
      </c>
      <c r="K50" s="68">
        <v>100</v>
      </c>
      <c r="L50" s="68">
        <v>100</v>
      </c>
      <c r="M50" s="68">
        <v>100</v>
      </c>
      <c r="N50" s="68">
        <v>100</v>
      </c>
      <c r="O50" s="68">
        <v>100</v>
      </c>
      <c r="P50" s="68">
        <v>100</v>
      </c>
      <c r="Q50" s="68">
        <v>100</v>
      </c>
      <c r="R50" s="68">
        <v>100</v>
      </c>
      <c r="S50" s="68">
        <v>100</v>
      </c>
      <c r="T50" s="68">
        <v>100</v>
      </c>
      <c r="U50" s="77">
        <f>AVERAGE(I50:T50)</f>
        <v>100</v>
      </c>
    </row>
    <row r="51" spans="1:21" ht="17.100000000000001" customHeight="1" thickBot="1">
      <c r="A51" s="313"/>
      <c r="B51" s="315"/>
      <c r="C51" s="293"/>
      <c r="D51" s="309"/>
      <c r="E51" s="264"/>
      <c r="F51" s="275"/>
      <c r="G51" s="16">
        <v>1</v>
      </c>
      <c r="H51" s="17" t="s">
        <v>25</v>
      </c>
      <c r="I51" s="16">
        <f t="shared" ref="I51:T51" si="14">I50/I49*1</f>
        <v>1</v>
      </c>
      <c r="J51" s="16">
        <f t="shared" si="14"/>
        <v>1</v>
      </c>
      <c r="K51" s="16">
        <f t="shared" si="14"/>
        <v>1</v>
      </c>
      <c r="L51" s="16">
        <f t="shared" si="14"/>
        <v>1</v>
      </c>
      <c r="M51" s="16">
        <f t="shared" si="14"/>
        <v>1</v>
      </c>
      <c r="N51" s="16">
        <f t="shared" si="14"/>
        <v>1</v>
      </c>
      <c r="O51" s="16">
        <f t="shared" si="14"/>
        <v>1</v>
      </c>
      <c r="P51" s="16">
        <f t="shared" si="14"/>
        <v>1</v>
      </c>
      <c r="Q51" s="16">
        <f t="shared" si="14"/>
        <v>1</v>
      </c>
      <c r="R51" s="16">
        <f t="shared" si="14"/>
        <v>1</v>
      </c>
      <c r="S51" s="16">
        <f t="shared" si="14"/>
        <v>1</v>
      </c>
      <c r="T51" s="16">
        <f t="shared" si="14"/>
        <v>1</v>
      </c>
      <c r="U51" s="52">
        <f>U50/U49*1</f>
        <v>1</v>
      </c>
    </row>
    <row r="52" spans="1:21" ht="17.100000000000001" customHeight="1" thickBot="1">
      <c r="A52" s="313"/>
      <c r="B52" s="315"/>
      <c r="C52" s="354" t="s">
        <v>64</v>
      </c>
      <c r="D52" s="355" t="s">
        <v>47</v>
      </c>
      <c r="E52" s="292" t="s">
        <v>30</v>
      </c>
      <c r="F52" s="270" t="s">
        <v>65</v>
      </c>
      <c r="G52" s="6">
        <v>0</v>
      </c>
      <c r="H52" s="7" t="s">
        <v>23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54">
        <f>SUM(I52:T52)</f>
        <v>0</v>
      </c>
    </row>
    <row r="53" spans="1:21" ht="17.100000000000001" customHeight="1" thickBot="1">
      <c r="A53" s="313"/>
      <c r="B53" s="315"/>
      <c r="C53" s="356"/>
      <c r="D53" s="355"/>
      <c r="E53" s="292"/>
      <c r="F53" s="266"/>
      <c r="G53" s="11">
        <v>0</v>
      </c>
      <c r="H53" s="12" t="s">
        <v>24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55">
        <f>SUM(I53:T53)</f>
        <v>0</v>
      </c>
    </row>
    <row r="54" spans="1:21" ht="17.100000000000001" customHeight="1" thickBot="1">
      <c r="A54" s="313"/>
      <c r="B54" s="315"/>
      <c r="C54" s="357"/>
      <c r="D54" s="355"/>
      <c r="E54" s="292"/>
      <c r="F54" s="271"/>
      <c r="G54" s="16"/>
      <c r="H54" s="17" t="s">
        <v>25</v>
      </c>
      <c r="I54" s="16" t="e">
        <f>I53/I52*1</f>
        <v>#DIV/0!</v>
      </c>
      <c r="J54" s="16" t="e">
        <f t="shared" ref="J54:T54" si="15">J53/J52*1</f>
        <v>#DIV/0!</v>
      </c>
      <c r="K54" s="16" t="e">
        <f t="shared" si="15"/>
        <v>#DIV/0!</v>
      </c>
      <c r="L54" s="16" t="e">
        <f t="shared" si="15"/>
        <v>#DIV/0!</v>
      </c>
      <c r="M54" s="16" t="e">
        <f t="shared" si="15"/>
        <v>#DIV/0!</v>
      </c>
      <c r="N54" s="16" t="e">
        <f t="shared" si="15"/>
        <v>#DIV/0!</v>
      </c>
      <c r="O54" s="16" t="e">
        <f t="shared" si="15"/>
        <v>#DIV/0!</v>
      </c>
      <c r="P54" s="16" t="e">
        <f t="shared" si="15"/>
        <v>#DIV/0!</v>
      </c>
      <c r="Q54" s="16" t="e">
        <f t="shared" si="15"/>
        <v>#DIV/0!</v>
      </c>
      <c r="R54" s="16" t="e">
        <f t="shared" si="15"/>
        <v>#DIV/0!</v>
      </c>
      <c r="S54" s="16" t="e">
        <f t="shared" si="15"/>
        <v>#DIV/0!</v>
      </c>
      <c r="T54" s="16" t="e">
        <f t="shared" si="15"/>
        <v>#DIV/0!</v>
      </c>
      <c r="U54" s="52" t="e">
        <f>U53/U52*1</f>
        <v>#DIV/0!</v>
      </c>
    </row>
    <row r="55" spans="1:21" ht="17.100000000000001" customHeight="1" thickBot="1">
      <c r="A55" s="313"/>
      <c r="B55" s="315"/>
      <c r="C55" s="294" t="s">
        <v>66</v>
      </c>
      <c r="D55" s="355" t="s">
        <v>47</v>
      </c>
      <c r="E55" s="292" t="s">
        <v>30</v>
      </c>
      <c r="F55" s="275" t="s">
        <v>67</v>
      </c>
      <c r="G55" s="66">
        <v>1200</v>
      </c>
      <c r="H55" s="7" t="s">
        <v>23</v>
      </c>
      <c r="I55" s="75">
        <v>100</v>
      </c>
      <c r="J55" s="67">
        <v>100</v>
      </c>
      <c r="K55" s="67">
        <v>100</v>
      </c>
      <c r="L55" s="67">
        <v>100</v>
      </c>
      <c r="M55" s="67">
        <v>100</v>
      </c>
      <c r="N55" s="67">
        <v>100</v>
      </c>
      <c r="O55" s="67">
        <v>100</v>
      </c>
      <c r="P55" s="67">
        <v>100</v>
      </c>
      <c r="Q55" s="67">
        <v>100</v>
      </c>
      <c r="R55" s="67">
        <v>100</v>
      </c>
      <c r="S55" s="67">
        <v>100</v>
      </c>
      <c r="T55" s="67">
        <v>100</v>
      </c>
      <c r="U55" s="54">
        <f>SUM(I55:T55)</f>
        <v>1200</v>
      </c>
    </row>
    <row r="56" spans="1:21" ht="17.100000000000001" customHeight="1" thickBot="1">
      <c r="A56" s="313"/>
      <c r="B56" s="315"/>
      <c r="C56" s="294"/>
      <c r="D56" s="355"/>
      <c r="E56" s="292"/>
      <c r="F56" s="275"/>
      <c r="G56" s="68">
        <v>1200</v>
      </c>
      <c r="H56" s="12" t="s">
        <v>24</v>
      </c>
      <c r="I56" s="68">
        <v>100</v>
      </c>
      <c r="J56" s="68">
        <v>100</v>
      </c>
      <c r="K56" s="68">
        <v>100</v>
      </c>
      <c r="L56" s="68">
        <v>100</v>
      </c>
      <c r="M56" s="68">
        <v>100</v>
      </c>
      <c r="N56" s="68">
        <v>100</v>
      </c>
      <c r="O56" s="68">
        <v>100</v>
      </c>
      <c r="P56" s="68">
        <v>100</v>
      </c>
      <c r="Q56" s="68">
        <v>100</v>
      </c>
      <c r="R56" s="68">
        <v>100</v>
      </c>
      <c r="S56" s="68">
        <v>100</v>
      </c>
      <c r="T56" s="68">
        <v>100</v>
      </c>
      <c r="U56" s="55">
        <f>SUM(I56:T56)</f>
        <v>1200</v>
      </c>
    </row>
    <row r="57" spans="1:21" ht="17.100000000000001" customHeight="1" thickBot="1">
      <c r="A57" s="313"/>
      <c r="B57" s="315"/>
      <c r="C57" s="354"/>
      <c r="D57" s="355"/>
      <c r="E57" s="292"/>
      <c r="F57" s="270"/>
      <c r="G57" s="42">
        <f t="shared" ref="G57:T57" si="16">G56/G55*1</f>
        <v>1</v>
      </c>
      <c r="H57" s="17" t="s">
        <v>25</v>
      </c>
      <c r="I57" s="42">
        <f t="shared" si="16"/>
        <v>1</v>
      </c>
      <c r="J57" s="42">
        <f t="shared" si="16"/>
        <v>1</v>
      </c>
      <c r="K57" s="42">
        <f t="shared" si="16"/>
        <v>1</v>
      </c>
      <c r="L57" s="42">
        <f t="shared" si="16"/>
        <v>1</v>
      </c>
      <c r="M57" s="42">
        <f t="shared" si="16"/>
        <v>1</v>
      </c>
      <c r="N57" s="42">
        <f t="shared" si="16"/>
        <v>1</v>
      </c>
      <c r="O57" s="42">
        <f t="shared" si="16"/>
        <v>1</v>
      </c>
      <c r="P57" s="42">
        <f t="shared" si="16"/>
        <v>1</v>
      </c>
      <c r="Q57" s="42">
        <f t="shared" si="16"/>
        <v>1</v>
      </c>
      <c r="R57" s="42">
        <f t="shared" si="16"/>
        <v>1</v>
      </c>
      <c r="S57" s="42">
        <f t="shared" si="16"/>
        <v>1</v>
      </c>
      <c r="T57" s="42">
        <f t="shared" si="16"/>
        <v>1</v>
      </c>
      <c r="U57" s="44">
        <f>U56/U55*1</f>
        <v>1</v>
      </c>
    </row>
    <row r="58" spans="1:21" ht="17.100000000000001" customHeight="1" thickBot="1">
      <c r="A58" s="313"/>
      <c r="B58" s="315"/>
      <c r="C58" s="293" t="s">
        <v>68</v>
      </c>
      <c r="D58" s="318" t="s">
        <v>47</v>
      </c>
      <c r="E58" s="264" t="s">
        <v>30</v>
      </c>
      <c r="F58" s="275" t="s">
        <v>174</v>
      </c>
      <c r="G58" s="111">
        <v>100</v>
      </c>
      <c r="H58" s="7" t="s">
        <v>23</v>
      </c>
      <c r="I58" s="111">
        <v>100</v>
      </c>
      <c r="J58" s="111">
        <v>100</v>
      </c>
      <c r="K58" s="111">
        <v>100</v>
      </c>
      <c r="L58" s="111">
        <v>100</v>
      </c>
      <c r="M58" s="111">
        <v>100</v>
      </c>
      <c r="N58" s="111">
        <v>100</v>
      </c>
      <c r="O58" s="111">
        <v>100</v>
      </c>
      <c r="P58" s="111">
        <v>100</v>
      </c>
      <c r="Q58" s="111">
        <v>100</v>
      </c>
      <c r="R58" s="111">
        <v>100</v>
      </c>
      <c r="S58" s="111">
        <v>100</v>
      </c>
      <c r="T58" s="111">
        <v>100</v>
      </c>
      <c r="U58" s="79">
        <f>AVERAGE(I58:T58)</f>
        <v>100</v>
      </c>
    </row>
    <row r="59" spans="1:21" ht="17.100000000000001" customHeight="1" thickBot="1">
      <c r="A59" s="313"/>
      <c r="B59" s="315"/>
      <c r="C59" s="293"/>
      <c r="D59" s="293"/>
      <c r="E59" s="264"/>
      <c r="F59" s="275"/>
      <c r="G59" s="112">
        <v>92.833333333333329</v>
      </c>
      <c r="H59" s="12" t="s">
        <v>24</v>
      </c>
      <c r="I59" s="112">
        <v>94</v>
      </c>
      <c r="J59" s="112">
        <v>94</v>
      </c>
      <c r="K59" s="112">
        <v>93</v>
      </c>
      <c r="L59" s="113">
        <v>93.888888888888886</v>
      </c>
      <c r="M59" s="114">
        <v>92.666666666666671</v>
      </c>
      <c r="N59" s="114">
        <v>93.111111111111114</v>
      </c>
      <c r="O59" s="114">
        <v>93.444444444444443</v>
      </c>
      <c r="P59" s="114">
        <v>93.888888888888886</v>
      </c>
      <c r="Q59" s="114">
        <v>94.666666666666671</v>
      </c>
      <c r="R59" s="114">
        <v>92.2</v>
      </c>
      <c r="S59" s="114">
        <v>93.3</v>
      </c>
      <c r="T59" s="115">
        <v>92.5</v>
      </c>
      <c r="U59" s="83">
        <f>AVERAGE(I59:T59)</f>
        <v>93.3888888888889</v>
      </c>
    </row>
    <row r="60" spans="1:21" ht="17.100000000000001" customHeight="1" thickBot="1">
      <c r="A60" s="313"/>
      <c r="B60" s="316"/>
      <c r="C60" s="311"/>
      <c r="D60" s="322"/>
      <c r="E60" s="281"/>
      <c r="F60" s="312"/>
      <c r="G60" s="56">
        <v>0.92833333333333323</v>
      </c>
      <c r="H60" s="17" t="s">
        <v>25</v>
      </c>
      <c r="I60" s="72">
        <f t="shared" ref="I60:T60" si="17">I59/I58*1</f>
        <v>0.94</v>
      </c>
      <c r="J60" s="72">
        <f t="shared" si="17"/>
        <v>0.94</v>
      </c>
      <c r="K60" s="72">
        <f t="shared" si="17"/>
        <v>0.93</v>
      </c>
      <c r="L60" s="72">
        <f t="shared" si="17"/>
        <v>0.93888888888888888</v>
      </c>
      <c r="M60" s="72">
        <f t="shared" si="17"/>
        <v>0.92666666666666675</v>
      </c>
      <c r="N60" s="72">
        <f t="shared" si="17"/>
        <v>0.93111111111111111</v>
      </c>
      <c r="O60" s="72">
        <f t="shared" si="17"/>
        <v>0.93444444444444441</v>
      </c>
      <c r="P60" s="72">
        <f t="shared" si="17"/>
        <v>0.93888888888888888</v>
      </c>
      <c r="Q60" s="72">
        <f t="shared" si="17"/>
        <v>0.94666666666666677</v>
      </c>
      <c r="R60" s="72">
        <f t="shared" si="17"/>
        <v>0.92200000000000004</v>
      </c>
      <c r="S60" s="72">
        <f t="shared" si="17"/>
        <v>0.93299999999999994</v>
      </c>
      <c r="T60" s="73">
        <f t="shared" si="17"/>
        <v>0.92500000000000004</v>
      </c>
      <c r="U60" s="74">
        <f>U59/U58*1</f>
        <v>0.93388888888888899</v>
      </c>
    </row>
    <row r="61" spans="1:21" ht="22.5" customHeight="1" thickBot="1">
      <c r="A61" s="313">
        <v>5</v>
      </c>
      <c r="B61" s="310" t="s">
        <v>70</v>
      </c>
      <c r="C61" s="293" t="s">
        <v>71</v>
      </c>
      <c r="D61" s="318" t="s">
        <v>72</v>
      </c>
      <c r="E61" s="323" t="s">
        <v>73</v>
      </c>
      <c r="F61" s="275" t="s">
        <v>74</v>
      </c>
      <c r="G61" s="59">
        <v>11121569.833333334</v>
      </c>
      <c r="H61" s="7" t="s">
        <v>23</v>
      </c>
      <c r="I61" s="59">
        <v>16065637</v>
      </c>
      <c r="J61" s="60">
        <v>8663027</v>
      </c>
      <c r="K61" s="60">
        <v>15665488</v>
      </c>
      <c r="L61" s="60">
        <f>299438+47450+315363+2397997+10874567+231531+404180</f>
        <v>14570526</v>
      </c>
      <c r="M61" s="60">
        <f>512220+260120+731173+3343630+2204668+141472+624932</f>
        <v>7818215</v>
      </c>
      <c r="N61" s="60">
        <f>14126+8620+30710+1008514+3476040+60770+193175</f>
        <v>4791955</v>
      </c>
      <c r="O61" s="60">
        <f>576700+139000+475510+2762588+10610850+398895+739286</f>
        <v>15702829</v>
      </c>
      <c r="P61" s="60">
        <f>62928+323920+304586+2950972+5440791+169039+723440</f>
        <v>9975676</v>
      </c>
      <c r="Q61" s="60">
        <f>157202+213967+104022+2552483+2174361+474455+554828</f>
        <v>6231318</v>
      </c>
      <c r="R61" s="60">
        <f>473876+550600+184592+2339399+2000148+493268+686342</f>
        <v>6728225</v>
      </c>
      <c r="S61" s="60">
        <f>778910+384550+318235+2077123+5192262+813905+464558</f>
        <v>10029543</v>
      </c>
      <c r="T61" s="61">
        <f>1014338+863220+315033+2097805+3586913+359784+407020</f>
        <v>8644113</v>
      </c>
      <c r="U61" s="86">
        <f>AVERAGE(I61:T61)</f>
        <v>10407212.666666666</v>
      </c>
    </row>
    <row r="62" spans="1:21" ht="24.75" customHeight="1" thickBot="1">
      <c r="A62" s="313"/>
      <c r="B62" s="293"/>
      <c r="C62" s="293"/>
      <c r="D62" s="293"/>
      <c r="E62" s="294"/>
      <c r="F62" s="275"/>
      <c r="G62" s="68">
        <v>10903007.5</v>
      </c>
      <c r="H62" s="12" t="s">
        <v>24</v>
      </c>
      <c r="I62" s="68">
        <v>15620787</v>
      </c>
      <c r="J62" s="69">
        <v>8397554</v>
      </c>
      <c r="K62" s="69">
        <v>15280982</v>
      </c>
      <c r="L62" s="69">
        <f>395519+227236+10606007+2298538+301814+45730+286657</f>
        <v>14161501</v>
      </c>
      <c r="M62" s="69">
        <f>493909+249671+702053+3201137+2149853+138371+609651</f>
        <v>7544645</v>
      </c>
      <c r="N62" s="69">
        <f>187560+59215+3381872+971613+29758+8387+13622</f>
        <v>4652027</v>
      </c>
      <c r="O62" s="69">
        <f>721796+391760+10364318+2651516+456646+133353+552904</f>
        <v>15272293</v>
      </c>
      <c r="P62" s="69">
        <f>721796+165488+5296726+2861696+295240+309524+59977</f>
        <v>9710447</v>
      </c>
      <c r="Q62" s="69">
        <f>545343+461364+2116778+2457372+99429+207379+151003</f>
        <v>6038668</v>
      </c>
      <c r="R62" s="69">
        <f>680974+495148+2123965+2457372+179904+531013+462575</f>
        <v>6930951</v>
      </c>
      <c r="S62" s="69">
        <f>499230+793031+5075761+1986052+302259+375727+753823</f>
        <v>9785883</v>
      </c>
      <c r="T62" s="70">
        <f>984793+824067+301854+1996044+3489301+349455+410237</f>
        <v>8355751</v>
      </c>
      <c r="U62" s="77">
        <f>AVERAGE(I62:T62)</f>
        <v>10145957.416666666</v>
      </c>
    </row>
    <row r="63" spans="1:21" ht="19.5" customHeight="1" thickBot="1">
      <c r="A63" s="248"/>
      <c r="B63" s="309"/>
      <c r="C63" s="309"/>
      <c r="D63" s="309"/>
      <c r="E63" s="324"/>
      <c r="F63" s="270"/>
      <c r="G63" s="42">
        <v>0.98034788823801977</v>
      </c>
      <c r="H63" s="17" t="s">
        <v>25</v>
      </c>
      <c r="I63" s="42">
        <f>I62/I61*1</f>
        <v>0.97231046612095118</v>
      </c>
      <c r="J63" s="42">
        <f>J62/J61*1</f>
        <v>0.96935563054345786</v>
      </c>
      <c r="K63" s="42">
        <f>K62/K61*1</f>
        <v>0.97545521722655559</v>
      </c>
      <c r="L63" s="42">
        <f t="shared" ref="L63:U63" si="18">L62/L61*1</f>
        <v>0.97192791804496281</v>
      </c>
      <c r="M63" s="42">
        <f t="shared" si="18"/>
        <v>0.96500863688194816</v>
      </c>
      <c r="N63" s="42">
        <f t="shared" si="18"/>
        <v>0.97079939189746145</v>
      </c>
      <c r="O63" s="42">
        <f t="shared" si="18"/>
        <v>0.97258226527207292</v>
      </c>
      <c r="P63" s="42">
        <f t="shared" si="18"/>
        <v>0.97341242839081787</v>
      </c>
      <c r="Q63" s="42">
        <f t="shared" si="18"/>
        <v>0.96908358713196796</v>
      </c>
      <c r="R63" s="42">
        <f t="shared" si="18"/>
        <v>1.0301306808259236</v>
      </c>
      <c r="S63" s="42">
        <f t="shared" si="18"/>
        <v>0.97570577243649093</v>
      </c>
      <c r="T63" s="42">
        <f t="shared" si="18"/>
        <v>0.96664064895958668</v>
      </c>
      <c r="U63" s="78">
        <f t="shared" si="18"/>
        <v>0.9748967126580611</v>
      </c>
    </row>
    <row r="64" spans="1:21" ht="17.100000000000001" customHeight="1" thickBot="1">
      <c r="A64" s="313">
        <v>6</v>
      </c>
      <c r="B64" s="326" t="s">
        <v>75</v>
      </c>
      <c r="C64" s="327" t="s">
        <v>76</v>
      </c>
      <c r="D64" s="321" t="s">
        <v>72</v>
      </c>
      <c r="E64" s="323" t="s">
        <v>73</v>
      </c>
      <c r="F64" s="330" t="s">
        <v>175</v>
      </c>
      <c r="G64" s="87">
        <v>12</v>
      </c>
      <c r="H64" s="7" t="s">
        <v>23</v>
      </c>
      <c r="I64" s="87">
        <v>1</v>
      </c>
      <c r="J64" s="116">
        <v>1</v>
      </c>
      <c r="K64" s="116">
        <v>1</v>
      </c>
      <c r="L64" s="87">
        <v>1</v>
      </c>
      <c r="M64" s="116">
        <v>1</v>
      </c>
      <c r="N64" s="116">
        <v>1</v>
      </c>
      <c r="O64" s="87">
        <v>1</v>
      </c>
      <c r="P64" s="116">
        <v>1</v>
      </c>
      <c r="Q64" s="116">
        <v>1</v>
      </c>
      <c r="R64" s="87">
        <v>1</v>
      </c>
      <c r="S64" s="116">
        <v>1</v>
      </c>
      <c r="T64" s="116">
        <v>1</v>
      </c>
      <c r="U64" s="88">
        <f>SUM(I64:T64)</f>
        <v>12</v>
      </c>
    </row>
    <row r="65" spans="1:21" ht="17.100000000000001" customHeight="1" thickBot="1">
      <c r="A65" s="313"/>
      <c r="B65" s="319"/>
      <c r="C65" s="328"/>
      <c r="D65" s="293"/>
      <c r="E65" s="294"/>
      <c r="F65" s="266"/>
      <c r="G65" s="11">
        <v>12</v>
      </c>
      <c r="H65" s="12" t="s">
        <v>24</v>
      </c>
      <c r="I65" s="11">
        <v>0</v>
      </c>
      <c r="J65" s="13">
        <v>0</v>
      </c>
      <c r="K65" s="13">
        <v>0</v>
      </c>
      <c r="L65" s="13">
        <v>1</v>
      </c>
      <c r="M65" s="13">
        <v>1</v>
      </c>
      <c r="N65" s="13">
        <v>1</v>
      </c>
      <c r="O65" s="13">
        <v>1</v>
      </c>
      <c r="P65" s="13">
        <v>1</v>
      </c>
      <c r="Q65" s="13">
        <v>1</v>
      </c>
      <c r="R65" s="13">
        <v>1</v>
      </c>
      <c r="S65" s="13">
        <v>1</v>
      </c>
      <c r="T65" s="13">
        <v>1</v>
      </c>
      <c r="U65" s="15">
        <f>SUM(I65:T65)</f>
        <v>9</v>
      </c>
    </row>
    <row r="66" spans="1:21" ht="17.100000000000001" customHeight="1" thickBot="1">
      <c r="A66" s="313"/>
      <c r="B66" s="320"/>
      <c r="C66" s="329"/>
      <c r="D66" s="338"/>
      <c r="E66" s="324"/>
      <c r="F66" s="331"/>
      <c r="G66" s="56">
        <v>1</v>
      </c>
      <c r="H66" s="17" t="s">
        <v>25</v>
      </c>
      <c r="I66" s="56">
        <f>I65/I64*1</f>
        <v>0</v>
      </c>
      <c r="J66" s="56">
        <f>J65/J64*1</f>
        <v>0</v>
      </c>
      <c r="K66" s="56">
        <f>K65/K64*1</f>
        <v>0</v>
      </c>
      <c r="L66" s="56">
        <f t="shared" ref="L66:U66" si="19">L65/L64*1</f>
        <v>1</v>
      </c>
      <c r="M66" s="56">
        <f t="shared" si="19"/>
        <v>1</v>
      </c>
      <c r="N66" s="56">
        <f t="shared" si="19"/>
        <v>1</v>
      </c>
      <c r="O66" s="56">
        <f t="shared" si="19"/>
        <v>1</v>
      </c>
      <c r="P66" s="56">
        <f t="shared" si="19"/>
        <v>1</v>
      </c>
      <c r="Q66" s="56">
        <f t="shared" si="19"/>
        <v>1</v>
      </c>
      <c r="R66" s="56">
        <f t="shared" si="19"/>
        <v>1</v>
      </c>
      <c r="S66" s="56">
        <f t="shared" si="19"/>
        <v>1</v>
      </c>
      <c r="T66" s="57">
        <f t="shared" si="19"/>
        <v>1</v>
      </c>
      <c r="U66" s="58">
        <f t="shared" si="19"/>
        <v>0.75</v>
      </c>
    </row>
    <row r="67" spans="1:21" ht="17.100000000000001" customHeight="1" thickBot="1">
      <c r="A67" s="249">
        <v>7</v>
      </c>
      <c r="B67" s="287" t="s">
        <v>78</v>
      </c>
      <c r="C67" s="287" t="s">
        <v>79</v>
      </c>
      <c r="D67" s="287" t="s">
        <v>44</v>
      </c>
      <c r="E67" s="263" t="s">
        <v>21</v>
      </c>
      <c r="F67" s="266" t="s">
        <v>176</v>
      </c>
      <c r="G67" s="89">
        <v>5500</v>
      </c>
      <c r="H67" s="7" t="s">
        <v>23</v>
      </c>
      <c r="I67" s="89">
        <v>5000</v>
      </c>
      <c r="J67" s="89">
        <v>5000</v>
      </c>
      <c r="K67" s="89">
        <v>5000</v>
      </c>
      <c r="L67" s="89">
        <v>5000</v>
      </c>
      <c r="M67" s="89">
        <v>5000</v>
      </c>
      <c r="N67" s="89">
        <v>5000</v>
      </c>
      <c r="O67" s="89">
        <v>5000</v>
      </c>
      <c r="P67" s="89">
        <v>5000</v>
      </c>
      <c r="Q67" s="89">
        <v>5000</v>
      </c>
      <c r="R67" s="89">
        <v>5000</v>
      </c>
      <c r="S67" s="89">
        <v>5000</v>
      </c>
      <c r="T67" s="89">
        <v>5000</v>
      </c>
      <c r="U67" s="90">
        <f>AVERAGE(I67:T67)</f>
        <v>5000</v>
      </c>
    </row>
    <row r="68" spans="1:21" ht="17.100000000000001" customHeight="1" thickBot="1">
      <c r="A68" s="313"/>
      <c r="B68" s="287"/>
      <c r="C68" s="287"/>
      <c r="D68" s="287"/>
      <c r="E68" s="264"/>
      <c r="F68" s="266"/>
      <c r="G68" s="62">
        <v>4522.8260375031505</v>
      </c>
      <c r="H68" s="12" t="s">
        <v>24</v>
      </c>
      <c r="I68" s="62">
        <v>4782</v>
      </c>
      <c r="J68" s="63">
        <v>4897</v>
      </c>
      <c r="K68" s="63">
        <v>4367</v>
      </c>
      <c r="L68" s="117">
        <v>4015</v>
      </c>
      <c r="M68" s="117">
        <v>4837</v>
      </c>
      <c r="N68" s="117">
        <v>4758</v>
      </c>
      <c r="O68" s="117">
        <v>4337</v>
      </c>
      <c r="P68" s="117">
        <v>4779</v>
      </c>
      <c r="Q68" s="117">
        <v>4121</v>
      </c>
      <c r="R68" s="117">
        <v>4293</v>
      </c>
      <c r="S68" s="117">
        <v>4791</v>
      </c>
      <c r="T68" s="118">
        <v>4873</v>
      </c>
      <c r="U68" s="91">
        <f>AVERAGE(I68:T68)</f>
        <v>4570.833333333333</v>
      </c>
    </row>
    <row r="69" spans="1:21" ht="17.100000000000001" customHeight="1" thickBot="1">
      <c r="A69" s="248"/>
      <c r="B69" s="325"/>
      <c r="C69" s="325"/>
      <c r="D69" s="325"/>
      <c r="E69" s="281"/>
      <c r="F69" s="266"/>
      <c r="G69" s="42">
        <v>0.82233200681875462</v>
      </c>
      <c r="H69" s="17" t="s">
        <v>25</v>
      </c>
      <c r="I69" s="42">
        <f t="shared" ref="I69:T69" si="20">I67/I68*1</f>
        <v>1.0455876202425762</v>
      </c>
      <c r="J69" s="42">
        <f t="shared" si="20"/>
        <v>1.0210332856851134</v>
      </c>
      <c r="K69" s="42">
        <f t="shared" si="20"/>
        <v>1.144950767117014</v>
      </c>
      <c r="L69" s="42">
        <f t="shared" si="20"/>
        <v>1.2453300124533002</v>
      </c>
      <c r="M69" s="42">
        <f t="shared" si="20"/>
        <v>1.0336985734959685</v>
      </c>
      <c r="N69" s="42">
        <f t="shared" si="20"/>
        <v>1.0508617065994115</v>
      </c>
      <c r="O69" s="42">
        <f t="shared" si="20"/>
        <v>1.1528706479133042</v>
      </c>
      <c r="P69" s="42">
        <f t="shared" si="20"/>
        <v>1.0462439840970914</v>
      </c>
      <c r="Q69" s="42">
        <f t="shared" si="20"/>
        <v>1.2132977432661975</v>
      </c>
      <c r="R69" s="42">
        <f t="shared" si="20"/>
        <v>1.1646866992778941</v>
      </c>
      <c r="S69" s="42">
        <f t="shared" si="20"/>
        <v>1.0436234606553956</v>
      </c>
      <c r="T69" s="65">
        <f t="shared" si="20"/>
        <v>1.0260619741432382</v>
      </c>
      <c r="U69" s="44">
        <f>U67/U68</f>
        <v>1.0938924339106655</v>
      </c>
    </row>
    <row r="70" spans="1:21" ht="17.100000000000001" customHeight="1" thickBot="1">
      <c r="A70" s="313">
        <v>8</v>
      </c>
      <c r="B70" s="258" t="s">
        <v>81</v>
      </c>
      <c r="C70" s="298" t="s">
        <v>82</v>
      </c>
      <c r="D70" s="298" t="s">
        <v>83</v>
      </c>
      <c r="E70" s="308" t="s">
        <v>84</v>
      </c>
      <c r="F70" s="330" t="s">
        <v>85</v>
      </c>
      <c r="G70" s="94">
        <v>1</v>
      </c>
      <c r="H70" s="7" t="s">
        <v>23</v>
      </c>
      <c r="I70" s="95">
        <v>1</v>
      </c>
      <c r="J70" s="95">
        <v>1</v>
      </c>
      <c r="K70" s="95">
        <v>1</v>
      </c>
      <c r="L70" s="95">
        <v>1</v>
      </c>
      <c r="M70" s="95">
        <v>1</v>
      </c>
      <c r="N70" s="95">
        <v>1</v>
      </c>
      <c r="O70" s="95">
        <v>1</v>
      </c>
      <c r="P70" s="95">
        <v>1</v>
      </c>
      <c r="Q70" s="95">
        <v>1</v>
      </c>
      <c r="R70" s="95">
        <v>1</v>
      </c>
      <c r="S70" s="95">
        <v>1</v>
      </c>
      <c r="T70" s="95">
        <v>1</v>
      </c>
      <c r="U70" s="97">
        <f>AVERAGE(I70:T70)</f>
        <v>1</v>
      </c>
    </row>
    <row r="71" spans="1:21" ht="17.100000000000001" customHeight="1" thickBot="1">
      <c r="A71" s="313"/>
      <c r="B71" s="259"/>
      <c r="C71" s="299"/>
      <c r="D71" s="299"/>
      <c r="E71" s="264"/>
      <c r="F71" s="266"/>
      <c r="G71" s="98">
        <v>1</v>
      </c>
      <c r="H71" s="12" t="s">
        <v>24</v>
      </c>
      <c r="I71" s="98">
        <v>1</v>
      </c>
      <c r="J71" s="98">
        <v>1</v>
      </c>
      <c r="K71" s="98">
        <v>1</v>
      </c>
      <c r="L71" s="98">
        <v>1</v>
      </c>
      <c r="M71" s="98">
        <v>1</v>
      </c>
      <c r="N71" s="98">
        <v>1</v>
      </c>
      <c r="O71" s="98">
        <v>1</v>
      </c>
      <c r="P71" s="98">
        <v>1</v>
      </c>
      <c r="Q71" s="98">
        <v>1</v>
      </c>
      <c r="R71" s="98">
        <v>1</v>
      </c>
      <c r="S71" s="98">
        <v>1</v>
      </c>
      <c r="T71" s="98">
        <v>1</v>
      </c>
      <c r="U71" s="99">
        <f>AVERAGE(I71:T71)</f>
        <v>1</v>
      </c>
    </row>
    <row r="72" spans="1:21" ht="17.100000000000001" customHeight="1" thickBot="1">
      <c r="A72" s="313"/>
      <c r="B72" s="259"/>
      <c r="C72" s="288"/>
      <c r="D72" s="288"/>
      <c r="E72" s="335"/>
      <c r="F72" s="271"/>
      <c r="G72" s="16">
        <v>1</v>
      </c>
      <c r="H72" s="17" t="s">
        <v>25</v>
      </c>
      <c r="I72" s="16">
        <f>I71/I70*1</f>
        <v>1</v>
      </c>
      <c r="J72" s="16">
        <f>J71/J70*1</f>
        <v>1</v>
      </c>
      <c r="K72" s="16">
        <f>K71/K70*1</f>
        <v>1</v>
      </c>
      <c r="L72" s="16">
        <f t="shared" ref="L72:U72" si="21">L71/L70*1</f>
        <v>1</v>
      </c>
      <c r="M72" s="16">
        <f t="shared" si="21"/>
        <v>1</v>
      </c>
      <c r="N72" s="16">
        <f t="shared" si="21"/>
        <v>1</v>
      </c>
      <c r="O72" s="16">
        <f t="shared" si="21"/>
        <v>1</v>
      </c>
      <c r="P72" s="16">
        <f t="shared" si="21"/>
        <v>1</v>
      </c>
      <c r="Q72" s="16">
        <f t="shared" si="21"/>
        <v>1</v>
      </c>
      <c r="R72" s="16">
        <f t="shared" si="21"/>
        <v>1</v>
      </c>
      <c r="S72" s="16">
        <f t="shared" si="21"/>
        <v>1</v>
      </c>
      <c r="T72" s="18">
        <f t="shared" si="21"/>
        <v>1</v>
      </c>
      <c r="U72" s="19">
        <f t="shared" si="21"/>
        <v>1</v>
      </c>
    </row>
    <row r="73" spans="1:21" ht="17.100000000000001" customHeight="1" thickBot="1">
      <c r="A73" s="313"/>
      <c r="B73" s="259"/>
      <c r="C73" s="287" t="s">
        <v>86</v>
      </c>
      <c r="D73" s="287" t="s">
        <v>44</v>
      </c>
      <c r="E73" s="264" t="s">
        <v>84</v>
      </c>
      <c r="F73" s="304" t="s">
        <v>87</v>
      </c>
      <c r="G73" s="6">
        <v>30</v>
      </c>
      <c r="H73" s="7" t="s">
        <v>23</v>
      </c>
      <c r="I73" s="6">
        <v>3</v>
      </c>
      <c r="J73" s="8">
        <v>3</v>
      </c>
      <c r="K73" s="8">
        <v>2</v>
      </c>
      <c r="L73" s="8">
        <v>3</v>
      </c>
      <c r="M73" s="8">
        <v>2</v>
      </c>
      <c r="N73" s="8">
        <v>2</v>
      </c>
      <c r="O73" s="8">
        <v>2</v>
      </c>
      <c r="P73" s="8">
        <v>2</v>
      </c>
      <c r="Q73" s="8">
        <v>2</v>
      </c>
      <c r="R73" s="8">
        <v>2</v>
      </c>
      <c r="S73" s="8">
        <v>2</v>
      </c>
      <c r="T73" s="8">
        <v>2</v>
      </c>
      <c r="U73" s="10">
        <f>SUM(I73:T73)</f>
        <v>27</v>
      </c>
    </row>
    <row r="74" spans="1:21" ht="17.100000000000001" customHeight="1" thickBot="1">
      <c r="A74" s="313"/>
      <c r="B74" s="259"/>
      <c r="C74" s="299"/>
      <c r="D74" s="299"/>
      <c r="E74" s="264"/>
      <c r="F74" s="301"/>
      <c r="G74" s="6">
        <v>30</v>
      </c>
      <c r="H74" s="100" t="s">
        <v>24</v>
      </c>
      <c r="I74" s="6">
        <v>3</v>
      </c>
      <c r="J74" s="8">
        <v>3</v>
      </c>
      <c r="K74" s="8">
        <v>2</v>
      </c>
      <c r="L74" s="13">
        <v>3</v>
      </c>
      <c r="M74" s="13">
        <v>0</v>
      </c>
      <c r="N74" s="13">
        <v>0</v>
      </c>
      <c r="O74" s="13">
        <v>4</v>
      </c>
      <c r="P74" s="13">
        <v>4</v>
      </c>
      <c r="Q74" s="13">
        <v>2</v>
      </c>
      <c r="R74" s="13">
        <v>2</v>
      </c>
      <c r="S74" s="13">
        <v>2</v>
      </c>
      <c r="T74" s="13">
        <v>2</v>
      </c>
      <c r="U74" s="15">
        <f>SUM(I74:T74)</f>
        <v>27</v>
      </c>
    </row>
    <row r="75" spans="1:21" ht="17.100000000000001" customHeight="1" thickBot="1">
      <c r="A75" s="313"/>
      <c r="B75" s="307"/>
      <c r="C75" s="305"/>
      <c r="D75" s="305"/>
      <c r="E75" s="281"/>
      <c r="F75" s="306"/>
      <c r="G75" s="56">
        <v>1</v>
      </c>
      <c r="H75" s="101" t="s">
        <v>25</v>
      </c>
      <c r="I75" s="56">
        <f>I74/I73*1</f>
        <v>1</v>
      </c>
      <c r="J75" s="56">
        <f>J74/J73*1</f>
        <v>1</v>
      </c>
      <c r="K75" s="56">
        <f>K74/K73*1</f>
        <v>1</v>
      </c>
      <c r="L75" s="56">
        <f t="shared" ref="L75:U75" si="22">L74/L73*1</f>
        <v>1</v>
      </c>
      <c r="M75" s="56">
        <f t="shared" si="22"/>
        <v>0</v>
      </c>
      <c r="N75" s="56">
        <f t="shared" si="22"/>
        <v>0</v>
      </c>
      <c r="O75" s="56">
        <f t="shared" si="22"/>
        <v>2</v>
      </c>
      <c r="P75" s="56">
        <f t="shared" si="22"/>
        <v>2</v>
      </c>
      <c r="Q75" s="56">
        <f t="shared" si="22"/>
        <v>1</v>
      </c>
      <c r="R75" s="56">
        <f t="shared" si="22"/>
        <v>1</v>
      </c>
      <c r="S75" s="56">
        <f t="shared" si="22"/>
        <v>1</v>
      </c>
      <c r="T75" s="57">
        <f t="shared" si="22"/>
        <v>1</v>
      </c>
      <c r="U75" s="58">
        <f t="shared" si="22"/>
        <v>1</v>
      </c>
    </row>
    <row r="76" spans="1:21" ht="15" customHeight="1" thickBot="1">
      <c r="A76" s="332">
        <v>9</v>
      </c>
      <c r="B76" s="259" t="s">
        <v>88</v>
      </c>
      <c r="C76" s="259" t="s">
        <v>89</v>
      </c>
      <c r="D76" s="259" t="s">
        <v>29</v>
      </c>
      <c r="E76" s="264" t="s">
        <v>84</v>
      </c>
      <c r="F76" s="266" t="s">
        <v>90</v>
      </c>
      <c r="G76" s="93">
        <v>1</v>
      </c>
      <c r="H76" s="119" t="s">
        <v>23</v>
      </c>
      <c r="I76" s="93">
        <v>1</v>
      </c>
      <c r="J76" s="93">
        <v>1</v>
      </c>
      <c r="K76" s="93">
        <v>1</v>
      </c>
      <c r="L76" s="93">
        <v>1</v>
      </c>
      <c r="M76" s="93">
        <v>1</v>
      </c>
      <c r="N76" s="93">
        <v>1</v>
      </c>
      <c r="O76" s="93">
        <v>1</v>
      </c>
      <c r="P76" s="93">
        <v>1</v>
      </c>
      <c r="Q76" s="93">
        <v>1</v>
      </c>
      <c r="R76" s="93">
        <v>1</v>
      </c>
      <c r="S76" s="93">
        <v>1</v>
      </c>
      <c r="T76" s="93">
        <v>1</v>
      </c>
      <c r="U76" s="10">
        <f>SUM(I76:T76)</f>
        <v>12</v>
      </c>
    </row>
    <row r="77" spans="1:21" ht="15" customHeight="1" thickBot="1">
      <c r="A77" s="333"/>
      <c r="B77" s="259"/>
      <c r="C77" s="259"/>
      <c r="D77" s="259"/>
      <c r="E77" s="264"/>
      <c r="F77" s="266"/>
      <c r="G77" s="98">
        <v>1</v>
      </c>
      <c r="H77" s="100" t="s">
        <v>24</v>
      </c>
      <c r="I77" s="98">
        <v>1</v>
      </c>
      <c r="J77" s="98">
        <v>1</v>
      </c>
      <c r="K77" s="98">
        <v>1</v>
      </c>
      <c r="L77" s="98">
        <v>1</v>
      </c>
      <c r="M77" s="98">
        <v>1</v>
      </c>
      <c r="N77" s="98">
        <v>1</v>
      </c>
      <c r="O77" s="98">
        <v>1</v>
      </c>
      <c r="P77" s="98">
        <v>1</v>
      </c>
      <c r="Q77" s="98">
        <v>1</v>
      </c>
      <c r="R77" s="98">
        <v>1</v>
      </c>
      <c r="S77" s="98">
        <v>1</v>
      </c>
      <c r="T77" s="98">
        <v>1</v>
      </c>
      <c r="U77" s="15">
        <f>SUM(I77:T77)</f>
        <v>12</v>
      </c>
    </row>
    <row r="78" spans="1:21" ht="15" customHeight="1" thickBot="1">
      <c r="A78" s="333"/>
      <c r="B78" s="307"/>
      <c r="C78" s="307"/>
      <c r="D78" s="307"/>
      <c r="E78" s="281"/>
      <c r="F78" s="334"/>
      <c r="G78" s="16">
        <f>G76/G77</f>
        <v>1</v>
      </c>
      <c r="H78" s="101" t="s">
        <v>25</v>
      </c>
      <c r="I78" s="56">
        <f>I77/I76*1</f>
        <v>1</v>
      </c>
      <c r="J78" s="56">
        <f>J77/J76*1</f>
        <v>1</v>
      </c>
      <c r="K78" s="56">
        <f>K77/K76*1</f>
        <v>1</v>
      </c>
      <c r="L78" s="56">
        <f t="shared" ref="L78:U78" si="23">L77/L76*1</f>
        <v>1</v>
      </c>
      <c r="M78" s="56">
        <f t="shared" si="23"/>
        <v>1</v>
      </c>
      <c r="N78" s="56">
        <f t="shared" si="23"/>
        <v>1</v>
      </c>
      <c r="O78" s="56">
        <f t="shared" si="23"/>
        <v>1</v>
      </c>
      <c r="P78" s="56">
        <f t="shared" si="23"/>
        <v>1</v>
      </c>
      <c r="Q78" s="56">
        <f t="shared" si="23"/>
        <v>1</v>
      </c>
      <c r="R78" s="56">
        <f t="shared" si="23"/>
        <v>1</v>
      </c>
      <c r="S78" s="56">
        <f t="shared" si="23"/>
        <v>1</v>
      </c>
      <c r="T78" s="57">
        <f t="shared" si="23"/>
        <v>1</v>
      </c>
      <c r="U78" s="58">
        <f t="shared" si="23"/>
        <v>1</v>
      </c>
    </row>
    <row r="80" spans="1:21"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</row>
    <row r="83" spans="9:14">
      <c r="I83" s="102"/>
      <c r="J83" s="103"/>
      <c r="K83" s="103"/>
      <c r="L83" s="103"/>
      <c r="M83" s="103"/>
      <c r="N83" s="103"/>
    </row>
  </sheetData>
  <mergeCells count="120">
    <mergeCell ref="A76:A78"/>
    <mergeCell ref="B76:B78"/>
    <mergeCell ref="C76:C78"/>
    <mergeCell ref="D76:D78"/>
    <mergeCell ref="E76:E78"/>
    <mergeCell ref="F76:F78"/>
    <mergeCell ref="A70:A75"/>
    <mergeCell ref="B70:B75"/>
    <mergeCell ref="C70:C72"/>
    <mergeCell ref="D70:D72"/>
    <mergeCell ref="E70:E72"/>
    <mergeCell ref="F70:F72"/>
    <mergeCell ref="C73:C75"/>
    <mergeCell ref="D73:D75"/>
    <mergeCell ref="E73:E75"/>
    <mergeCell ref="F73:F75"/>
    <mergeCell ref="E58:E60"/>
    <mergeCell ref="F58:F60"/>
    <mergeCell ref="A61:A63"/>
    <mergeCell ref="B61:B63"/>
    <mergeCell ref="C61:C63"/>
    <mergeCell ref="D61:D63"/>
    <mergeCell ref="E61:E63"/>
    <mergeCell ref="F61:F63"/>
    <mergeCell ref="A67:A69"/>
    <mergeCell ref="B67:B69"/>
    <mergeCell ref="C67:C69"/>
    <mergeCell ref="D67:D69"/>
    <mergeCell ref="E67:E69"/>
    <mergeCell ref="F67:F69"/>
    <mergeCell ref="A64:A66"/>
    <mergeCell ref="B64:B66"/>
    <mergeCell ref="C64:C66"/>
    <mergeCell ref="D64:D66"/>
    <mergeCell ref="E64:E66"/>
    <mergeCell ref="F64:F66"/>
    <mergeCell ref="A43:A48"/>
    <mergeCell ref="B43:B48"/>
    <mergeCell ref="C43:C45"/>
    <mergeCell ref="D43:D48"/>
    <mergeCell ref="E43:E48"/>
    <mergeCell ref="F43:F45"/>
    <mergeCell ref="E52:E54"/>
    <mergeCell ref="F52:F54"/>
    <mergeCell ref="C55:C57"/>
    <mergeCell ref="D55:D57"/>
    <mergeCell ref="E55:E57"/>
    <mergeCell ref="F55:F57"/>
    <mergeCell ref="C46:C48"/>
    <mergeCell ref="F46:F48"/>
    <mergeCell ref="A49:A60"/>
    <mergeCell ref="B49:B60"/>
    <mergeCell ref="C49:C51"/>
    <mergeCell ref="D49:D51"/>
    <mergeCell ref="E49:E51"/>
    <mergeCell ref="F49:F51"/>
    <mergeCell ref="C52:C54"/>
    <mergeCell ref="D52:D54"/>
    <mergeCell ref="C58:C60"/>
    <mergeCell ref="D58:D60"/>
    <mergeCell ref="A28:A42"/>
    <mergeCell ref="B28:B42"/>
    <mergeCell ref="C28:C30"/>
    <mergeCell ref="D28:D30"/>
    <mergeCell ref="E28:E30"/>
    <mergeCell ref="F28:F30"/>
    <mergeCell ref="C31:C33"/>
    <mergeCell ref="D31:D33"/>
    <mergeCell ref="E31:E33"/>
    <mergeCell ref="F31:F33"/>
    <mergeCell ref="C40:C42"/>
    <mergeCell ref="D40:D42"/>
    <mergeCell ref="E40:E42"/>
    <mergeCell ref="F40:F42"/>
    <mergeCell ref="E19:E21"/>
    <mergeCell ref="F19:F21"/>
    <mergeCell ref="C34:C36"/>
    <mergeCell ref="D34:D36"/>
    <mergeCell ref="E34:E36"/>
    <mergeCell ref="F34:F36"/>
    <mergeCell ref="C37:C39"/>
    <mergeCell ref="D37:D39"/>
    <mergeCell ref="E37:E39"/>
    <mergeCell ref="F37:F39"/>
    <mergeCell ref="G5:G6"/>
    <mergeCell ref="H5:U5"/>
    <mergeCell ref="A7:A27"/>
    <mergeCell ref="B7:B27"/>
    <mergeCell ref="C7:C9"/>
    <mergeCell ref="D7:D9"/>
    <mergeCell ref="E7:E9"/>
    <mergeCell ref="F7:F9"/>
    <mergeCell ref="C10:C12"/>
    <mergeCell ref="D10:D12"/>
    <mergeCell ref="C22:C24"/>
    <mergeCell ref="D22:D24"/>
    <mergeCell ref="E22:E24"/>
    <mergeCell ref="F22:F24"/>
    <mergeCell ref="C25:C27"/>
    <mergeCell ref="D25:D27"/>
    <mergeCell ref="E25:E27"/>
    <mergeCell ref="F25:F27"/>
    <mergeCell ref="C16:C18"/>
    <mergeCell ref="D16:D18"/>
    <mergeCell ref="E16:E18"/>
    <mergeCell ref="F16:F18"/>
    <mergeCell ref="C19:C21"/>
    <mergeCell ref="D19:D21"/>
    <mergeCell ref="A5:A6"/>
    <mergeCell ref="B5:B6"/>
    <mergeCell ref="C5:C6"/>
    <mergeCell ref="D5:D6"/>
    <mergeCell ref="E5:E6"/>
    <mergeCell ref="F5:F6"/>
    <mergeCell ref="E10:E12"/>
    <mergeCell ref="F10:F12"/>
    <mergeCell ref="C13:C15"/>
    <mergeCell ref="D13:D15"/>
    <mergeCell ref="E13:E15"/>
    <mergeCell ref="F13:F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83"/>
  <sheetViews>
    <sheetView showGridLines="0" topLeftCell="D1" workbookViewId="0">
      <selection activeCell="U22" sqref="U22:U23"/>
    </sheetView>
  </sheetViews>
  <sheetFormatPr defaultRowHeight="15"/>
  <cols>
    <col min="1" max="1" width="5.42578125" style="1" bestFit="1" customWidth="1"/>
    <col min="2" max="2" width="14.140625" style="1" bestFit="1" customWidth="1"/>
    <col min="3" max="3" width="19.85546875" style="1" bestFit="1" customWidth="1"/>
    <col min="4" max="4" width="11.28515625" style="1" bestFit="1" customWidth="1"/>
    <col min="5" max="5" width="14.140625" style="1" customWidth="1"/>
    <col min="6" max="6" width="32.42578125" style="1" bestFit="1" customWidth="1"/>
    <col min="7" max="7" width="10.7109375" style="1" customWidth="1"/>
    <col min="8" max="21" width="11.140625" style="1" customWidth="1"/>
    <col min="22" max="22" width="13" style="1" bestFit="1" customWidth="1"/>
    <col min="23" max="24" width="13.42578125" style="1" bestFit="1" customWidth="1"/>
    <col min="25" max="25" width="10.7109375" style="1" bestFit="1" customWidth="1"/>
    <col min="26" max="16384" width="9.140625" style="1"/>
  </cols>
  <sheetData>
    <row r="2" spans="1:27" ht="15" customHeight="1">
      <c r="A2" s="121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04" t="s">
        <v>1</v>
      </c>
      <c r="T2" s="104" t="s">
        <v>2</v>
      </c>
      <c r="U2" s="104" t="s">
        <v>3</v>
      </c>
      <c r="V2" s="124"/>
    </row>
    <row r="3" spans="1:27" ht="30" customHeight="1">
      <c r="A3" s="121"/>
      <c r="B3" s="121" t="s">
        <v>160</v>
      </c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6" t="s">
        <v>161</v>
      </c>
      <c r="T3" s="126" t="s">
        <v>5</v>
      </c>
      <c r="U3" s="126" t="s">
        <v>6</v>
      </c>
      <c r="V3" s="125"/>
    </row>
    <row r="4" spans="1:27" ht="16.5" customHeight="1" thickBot="1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</row>
    <row r="5" spans="1:27" ht="17.100000000000001" customHeight="1" thickBot="1">
      <c r="A5" s="248" t="s">
        <v>7</v>
      </c>
      <c r="B5" s="250" t="s">
        <v>8</v>
      </c>
      <c r="C5" s="250" t="s">
        <v>9</v>
      </c>
      <c r="D5" s="250" t="s">
        <v>10</v>
      </c>
      <c r="E5" s="250" t="s">
        <v>11</v>
      </c>
      <c r="F5" s="252" t="s">
        <v>12</v>
      </c>
      <c r="G5" s="278" t="s">
        <v>162</v>
      </c>
      <c r="H5" s="254" t="s">
        <v>163</v>
      </c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5"/>
      <c r="U5" s="256"/>
      <c r="Y5" s="126"/>
      <c r="Z5" s="126"/>
      <c r="AA5" s="126"/>
    </row>
    <row r="6" spans="1:27" ht="17.100000000000001" customHeight="1" thickBot="1">
      <c r="A6" s="249"/>
      <c r="B6" s="251"/>
      <c r="C6" s="251"/>
      <c r="D6" s="251"/>
      <c r="E6" s="251"/>
      <c r="F6" s="253"/>
      <c r="G6" s="279"/>
      <c r="H6" s="3" t="s">
        <v>16</v>
      </c>
      <c r="I6" s="4">
        <v>44197</v>
      </c>
      <c r="J6" s="4">
        <v>44228</v>
      </c>
      <c r="K6" s="4">
        <v>44256</v>
      </c>
      <c r="L6" s="4">
        <v>44287</v>
      </c>
      <c r="M6" s="4">
        <v>44317</v>
      </c>
      <c r="N6" s="4">
        <v>44348</v>
      </c>
      <c r="O6" s="4">
        <v>44378</v>
      </c>
      <c r="P6" s="4">
        <v>44409</v>
      </c>
      <c r="Q6" s="4">
        <v>44440</v>
      </c>
      <c r="R6" s="4">
        <v>44470</v>
      </c>
      <c r="S6" s="4">
        <v>44501</v>
      </c>
      <c r="T6" s="4">
        <v>44531</v>
      </c>
      <c r="U6" s="5" t="s">
        <v>17</v>
      </c>
    </row>
    <row r="7" spans="1:27" ht="17.100000000000001" customHeight="1">
      <c r="A7" s="248">
        <v>1</v>
      </c>
      <c r="B7" s="258" t="s">
        <v>91</v>
      </c>
      <c r="C7" s="262" t="s">
        <v>177</v>
      </c>
      <c r="D7" s="286" t="s">
        <v>93</v>
      </c>
      <c r="E7" s="263" t="s">
        <v>94</v>
      </c>
      <c r="F7" s="265" t="s">
        <v>95</v>
      </c>
      <c r="G7" s="6"/>
      <c r="H7" s="7" t="s">
        <v>23</v>
      </c>
      <c r="I7" s="6"/>
      <c r="J7" s="8"/>
      <c r="K7" s="8"/>
      <c r="L7" s="8"/>
      <c r="M7" s="8"/>
      <c r="N7" s="8"/>
      <c r="O7" s="8"/>
      <c r="P7" s="8"/>
      <c r="Q7" s="8"/>
      <c r="R7" s="8"/>
      <c r="S7" s="8"/>
      <c r="T7" s="9"/>
      <c r="U7" s="10">
        <f>SUM(I7:T7)</f>
        <v>0</v>
      </c>
    </row>
    <row r="8" spans="1:27" ht="17.100000000000001" customHeight="1">
      <c r="A8" s="257"/>
      <c r="B8" s="259"/>
      <c r="C8" s="259"/>
      <c r="D8" s="299"/>
      <c r="E8" s="264"/>
      <c r="F8" s="266"/>
      <c r="G8" s="11"/>
      <c r="H8" s="12" t="s">
        <v>24</v>
      </c>
      <c r="I8" s="11"/>
      <c r="J8" s="13"/>
      <c r="K8" s="13"/>
      <c r="L8" s="13"/>
      <c r="M8" s="13"/>
      <c r="N8" s="13"/>
      <c r="O8" s="13"/>
      <c r="P8" s="13"/>
      <c r="Q8" s="13"/>
      <c r="R8" s="13"/>
      <c r="S8" s="13"/>
      <c r="T8" s="14"/>
      <c r="U8" s="15">
        <f>SUM(I8:T8)</f>
        <v>0</v>
      </c>
    </row>
    <row r="9" spans="1:27" ht="17.100000000000001" customHeight="1">
      <c r="A9" s="257"/>
      <c r="B9" s="259"/>
      <c r="C9" s="259"/>
      <c r="D9" s="288"/>
      <c r="E9" s="264"/>
      <c r="F9" s="266"/>
      <c r="G9" s="16"/>
      <c r="H9" s="17" t="s">
        <v>25</v>
      </c>
      <c r="I9" s="16" t="e">
        <f t="shared" ref="I9:U9" si="0">I7/I8*1</f>
        <v>#DIV/0!</v>
      </c>
      <c r="J9" s="16" t="e">
        <f t="shared" si="0"/>
        <v>#DIV/0!</v>
      </c>
      <c r="K9" s="16" t="e">
        <f t="shared" si="0"/>
        <v>#DIV/0!</v>
      </c>
      <c r="L9" s="16" t="e">
        <f t="shared" si="0"/>
        <v>#DIV/0!</v>
      </c>
      <c r="M9" s="16" t="e">
        <f t="shared" si="0"/>
        <v>#DIV/0!</v>
      </c>
      <c r="N9" s="16" t="e">
        <f t="shared" si="0"/>
        <v>#DIV/0!</v>
      </c>
      <c r="O9" s="16" t="e">
        <f t="shared" si="0"/>
        <v>#DIV/0!</v>
      </c>
      <c r="P9" s="16" t="e">
        <f t="shared" si="0"/>
        <v>#DIV/0!</v>
      </c>
      <c r="Q9" s="16" t="e">
        <f t="shared" si="0"/>
        <v>#DIV/0!</v>
      </c>
      <c r="R9" s="16" t="e">
        <f t="shared" si="0"/>
        <v>#DIV/0!</v>
      </c>
      <c r="S9" s="16" t="e">
        <f t="shared" si="0"/>
        <v>#DIV/0!</v>
      </c>
      <c r="T9" s="18" t="e">
        <f t="shared" si="0"/>
        <v>#DIV/0!</v>
      </c>
      <c r="U9" s="19" t="e">
        <f t="shared" si="0"/>
        <v>#DIV/0!</v>
      </c>
    </row>
    <row r="10" spans="1:27" ht="17.100000000000001" customHeight="1">
      <c r="A10" s="257"/>
      <c r="B10" s="259"/>
      <c r="C10" s="286" t="s">
        <v>178</v>
      </c>
      <c r="D10" s="286" t="s">
        <v>93</v>
      </c>
      <c r="E10" s="263" t="s">
        <v>21</v>
      </c>
      <c r="F10" s="270" t="s">
        <v>97</v>
      </c>
      <c r="G10" s="6"/>
      <c r="H10" s="7" t="s">
        <v>23</v>
      </c>
      <c r="I10" s="6"/>
      <c r="J10" s="8"/>
      <c r="K10" s="8"/>
      <c r="L10" s="8"/>
      <c r="M10" s="8"/>
      <c r="N10" s="8"/>
      <c r="O10" s="8"/>
      <c r="P10" s="8"/>
      <c r="Q10" s="8"/>
      <c r="R10" s="8"/>
      <c r="S10" s="8"/>
      <c r="T10" s="9"/>
      <c r="U10" s="10">
        <f>SUM(I10:T10)</f>
        <v>0</v>
      </c>
    </row>
    <row r="11" spans="1:27" ht="17.100000000000001" customHeight="1">
      <c r="A11" s="257"/>
      <c r="B11" s="259"/>
      <c r="C11" s="299"/>
      <c r="D11" s="299"/>
      <c r="E11" s="264"/>
      <c r="F11" s="266"/>
      <c r="G11" s="11"/>
      <c r="H11" s="12" t="s">
        <v>24</v>
      </c>
      <c r="I11" s="11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4"/>
      <c r="U11" s="15">
        <f>SUM(I11:T11)</f>
        <v>0</v>
      </c>
    </row>
    <row r="12" spans="1:27" ht="17.100000000000001" customHeight="1">
      <c r="A12" s="257"/>
      <c r="B12" s="259"/>
      <c r="C12" s="288"/>
      <c r="D12" s="288"/>
      <c r="E12" s="264"/>
      <c r="F12" s="271"/>
      <c r="G12" s="16"/>
      <c r="H12" s="17" t="s">
        <v>25</v>
      </c>
      <c r="I12" s="16" t="e">
        <f t="shared" ref="I12:Q12" si="1">I11/I10*1</f>
        <v>#DIV/0!</v>
      </c>
      <c r="J12" s="16" t="e">
        <f t="shared" si="1"/>
        <v>#DIV/0!</v>
      </c>
      <c r="K12" s="16" t="e">
        <f t="shared" si="1"/>
        <v>#DIV/0!</v>
      </c>
      <c r="L12" s="16" t="e">
        <f t="shared" si="1"/>
        <v>#DIV/0!</v>
      </c>
      <c r="M12" s="16" t="e">
        <f t="shared" si="1"/>
        <v>#DIV/0!</v>
      </c>
      <c r="N12" s="16" t="e">
        <f t="shared" si="1"/>
        <v>#DIV/0!</v>
      </c>
      <c r="O12" s="16" t="e">
        <f t="shared" si="1"/>
        <v>#DIV/0!</v>
      </c>
      <c r="P12" s="16" t="e">
        <f t="shared" si="1"/>
        <v>#DIV/0!</v>
      </c>
      <c r="Q12" s="16" t="e">
        <f t="shared" si="1"/>
        <v>#DIV/0!</v>
      </c>
      <c r="R12" s="16" t="e">
        <f>R10/R11*1</f>
        <v>#DIV/0!</v>
      </c>
      <c r="S12" s="16" t="e">
        <f>S11/S10*1</f>
        <v>#DIV/0!</v>
      </c>
      <c r="T12" s="18" t="e">
        <f>T11/T10*1</f>
        <v>#DIV/0!</v>
      </c>
      <c r="U12" s="19" t="e">
        <f>U10/U11*1</f>
        <v>#DIV/0!</v>
      </c>
    </row>
    <row r="13" spans="1:27" ht="17.100000000000001" customHeight="1">
      <c r="A13" s="257"/>
      <c r="B13" s="259"/>
      <c r="C13" s="272" t="s">
        <v>98</v>
      </c>
      <c r="D13" s="272" t="s">
        <v>99</v>
      </c>
      <c r="E13" s="274" t="s">
        <v>30</v>
      </c>
      <c r="F13" s="275" t="s">
        <v>31</v>
      </c>
      <c r="G13" s="21">
        <v>36000000</v>
      </c>
      <c r="H13" s="7" t="s">
        <v>23</v>
      </c>
      <c r="I13" s="21">
        <v>3050000</v>
      </c>
      <c r="J13" s="21">
        <v>3050000</v>
      </c>
      <c r="K13" s="21">
        <v>3050000</v>
      </c>
      <c r="L13" s="21">
        <v>3050000</v>
      </c>
      <c r="M13" s="21">
        <v>3050000</v>
      </c>
      <c r="N13" s="21">
        <v>3050000</v>
      </c>
      <c r="O13" s="21">
        <v>3050000</v>
      </c>
      <c r="P13" s="21">
        <v>3050000</v>
      </c>
      <c r="Q13" s="21">
        <v>3050000</v>
      </c>
      <c r="R13" s="21">
        <v>3050000</v>
      </c>
      <c r="S13" s="21">
        <v>3050000</v>
      </c>
      <c r="T13" s="21">
        <v>3050000</v>
      </c>
      <c r="U13" s="20">
        <f>SUM(I13:T13)</f>
        <v>36600000</v>
      </c>
    </row>
    <row r="14" spans="1:27" ht="17.100000000000001" customHeight="1">
      <c r="A14" s="257"/>
      <c r="B14" s="259"/>
      <c r="C14" s="272"/>
      <c r="D14" s="272"/>
      <c r="E14" s="274"/>
      <c r="F14" s="275"/>
      <c r="G14" s="22">
        <v>34247148.135943994</v>
      </c>
      <c r="H14" s="12" t="s">
        <v>24</v>
      </c>
      <c r="I14" s="22">
        <v>3031619.4647034202</v>
      </c>
      <c r="J14" s="23">
        <v>2659016.7964837998</v>
      </c>
      <c r="K14" s="23">
        <v>3266454.2605895698</v>
      </c>
      <c r="L14" s="23">
        <v>3016576.52577224</v>
      </c>
      <c r="M14" s="23">
        <v>3069484.0138606201</v>
      </c>
      <c r="N14" s="23">
        <v>3363694.6182800001</v>
      </c>
      <c r="O14" s="23">
        <v>3234491.5020077699</v>
      </c>
      <c r="P14" s="23">
        <v>3337228.24699086</v>
      </c>
      <c r="Q14" s="23">
        <v>3073867.99419676</v>
      </c>
      <c r="R14" s="23">
        <v>3136800.3897112799</v>
      </c>
      <c r="S14" s="23">
        <v>3350634.3121568598</v>
      </c>
      <c r="T14" s="24">
        <v>3060852.1277539399</v>
      </c>
      <c r="U14" s="25">
        <f>SUM(I14:T14)</f>
        <v>37600720.25250712</v>
      </c>
    </row>
    <row r="15" spans="1:27" ht="17.100000000000001" customHeight="1">
      <c r="A15" s="257"/>
      <c r="B15" s="259"/>
      <c r="C15" s="272"/>
      <c r="D15" s="272"/>
      <c r="E15" s="274"/>
      <c r="F15" s="275"/>
      <c r="G15" s="16">
        <v>0.71733474962471888</v>
      </c>
      <c r="H15" s="17" t="s">
        <v>25</v>
      </c>
      <c r="I15" s="16">
        <f t="shared" ref="I15:U15" si="2">I14/I13*1</f>
        <v>0.99397359498472793</v>
      </c>
      <c r="J15" s="16">
        <f t="shared" si="2"/>
        <v>0.8718087857323934</v>
      </c>
      <c r="K15" s="16">
        <f t="shared" si="2"/>
        <v>1.0709686100293672</v>
      </c>
      <c r="L15" s="16">
        <f t="shared" si="2"/>
        <v>0.98904148385975077</v>
      </c>
      <c r="M15" s="16">
        <f t="shared" si="2"/>
        <v>1.006388201265777</v>
      </c>
      <c r="N15" s="16">
        <f t="shared" si="2"/>
        <v>1.1028506945180327</v>
      </c>
      <c r="O15" s="16">
        <f t="shared" si="2"/>
        <v>1.0604890170517278</v>
      </c>
      <c r="P15" s="16">
        <f t="shared" si="2"/>
        <v>1.0941731957347083</v>
      </c>
      <c r="Q15" s="16">
        <f t="shared" si="2"/>
        <v>1.0078255718677902</v>
      </c>
      <c r="R15" s="16">
        <f t="shared" si="2"/>
        <v>1.0284591441676327</v>
      </c>
      <c r="S15" s="16">
        <f t="shared" si="2"/>
        <v>1.0985686269366752</v>
      </c>
      <c r="T15" s="18">
        <f t="shared" si="2"/>
        <v>1.003558074673423</v>
      </c>
      <c r="U15" s="19">
        <f t="shared" si="2"/>
        <v>1.0273420834018339</v>
      </c>
    </row>
    <row r="16" spans="1:27" ht="17.100000000000001" customHeight="1">
      <c r="A16" s="257"/>
      <c r="B16" s="259"/>
      <c r="C16" s="262" t="s">
        <v>100</v>
      </c>
      <c r="D16" s="285" t="s">
        <v>101</v>
      </c>
      <c r="E16" s="274" t="s">
        <v>30</v>
      </c>
      <c r="F16" s="270" t="s">
        <v>102</v>
      </c>
      <c r="G16" s="127">
        <v>0</v>
      </c>
      <c r="H16" s="7" t="s">
        <v>23</v>
      </c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7"/>
      <c r="U16" s="20">
        <f>SUM(I16:T16)</f>
        <v>0</v>
      </c>
    </row>
    <row r="17" spans="1:21" ht="17.100000000000001" customHeight="1">
      <c r="A17" s="257"/>
      <c r="B17" s="259"/>
      <c r="C17" s="259"/>
      <c r="D17" s="285"/>
      <c r="E17" s="274"/>
      <c r="F17" s="266"/>
      <c r="G17" s="22">
        <v>0</v>
      </c>
      <c r="H17" s="12" t="s">
        <v>24</v>
      </c>
      <c r="I17" s="2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4"/>
      <c r="U17" s="25">
        <f>SUM(I17:T17)</f>
        <v>0</v>
      </c>
    </row>
    <row r="18" spans="1:21" ht="17.100000000000001" customHeight="1">
      <c r="A18" s="257"/>
      <c r="B18" s="259"/>
      <c r="C18" s="336"/>
      <c r="D18" s="285"/>
      <c r="E18" s="274"/>
      <c r="F18" s="271"/>
      <c r="G18" s="16"/>
      <c r="H18" s="17" t="s">
        <v>25</v>
      </c>
      <c r="I18" s="16" t="e">
        <f t="shared" ref="I18:U18" si="3">I17/I16*1</f>
        <v>#DIV/0!</v>
      </c>
      <c r="J18" s="16" t="e">
        <f t="shared" si="3"/>
        <v>#DIV/0!</v>
      </c>
      <c r="K18" s="16" t="e">
        <f t="shared" si="3"/>
        <v>#DIV/0!</v>
      </c>
      <c r="L18" s="16" t="e">
        <f t="shared" si="3"/>
        <v>#DIV/0!</v>
      </c>
      <c r="M18" s="16" t="e">
        <f t="shared" si="3"/>
        <v>#DIV/0!</v>
      </c>
      <c r="N18" s="16" t="e">
        <f t="shared" si="3"/>
        <v>#DIV/0!</v>
      </c>
      <c r="O18" s="16" t="e">
        <f t="shared" si="3"/>
        <v>#DIV/0!</v>
      </c>
      <c r="P18" s="16" t="e">
        <f t="shared" si="3"/>
        <v>#DIV/0!</v>
      </c>
      <c r="Q18" s="16" t="e">
        <f t="shared" si="3"/>
        <v>#DIV/0!</v>
      </c>
      <c r="R18" s="16" t="e">
        <f t="shared" si="3"/>
        <v>#DIV/0!</v>
      </c>
      <c r="S18" s="16" t="e">
        <f t="shared" si="3"/>
        <v>#DIV/0!</v>
      </c>
      <c r="T18" s="18" t="e">
        <f t="shared" si="3"/>
        <v>#DIV/0!</v>
      </c>
      <c r="U18" s="19" t="e">
        <f t="shared" si="3"/>
        <v>#DIV/0!</v>
      </c>
    </row>
    <row r="19" spans="1:21" ht="17.100000000000001" customHeight="1">
      <c r="A19" s="257"/>
      <c r="B19" s="259"/>
      <c r="C19" s="262" t="s">
        <v>103</v>
      </c>
      <c r="D19" s="285" t="s">
        <v>101</v>
      </c>
      <c r="E19" s="274" t="s">
        <v>104</v>
      </c>
      <c r="F19" s="270" t="s">
        <v>105</v>
      </c>
      <c r="G19" s="128"/>
      <c r="H19" s="7" t="s">
        <v>23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9"/>
      <c r="U19" s="30" t="e">
        <f>AVERAGE(I19:T19)</f>
        <v>#DIV/0!</v>
      </c>
    </row>
    <row r="20" spans="1:21" ht="17.100000000000001" customHeight="1">
      <c r="A20" s="257"/>
      <c r="B20" s="259"/>
      <c r="C20" s="259"/>
      <c r="D20" s="285"/>
      <c r="E20" s="274"/>
      <c r="F20" s="266"/>
      <c r="G20" s="31"/>
      <c r="H20" s="12" t="s">
        <v>24</v>
      </c>
      <c r="I20" s="31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3"/>
      <c r="U20" s="34" t="e">
        <f>AVERAGE(I20:T20)</f>
        <v>#DIV/0!</v>
      </c>
    </row>
    <row r="21" spans="1:21" ht="17.100000000000001" customHeight="1">
      <c r="A21" s="257"/>
      <c r="B21" s="259"/>
      <c r="C21" s="336"/>
      <c r="D21" s="285"/>
      <c r="E21" s="274"/>
      <c r="F21" s="271"/>
      <c r="G21" s="16"/>
      <c r="H21" s="17" t="s">
        <v>25</v>
      </c>
      <c r="I21" s="16" t="e">
        <f t="shared" ref="I21:U21" si="4">I20/I19*1</f>
        <v>#DIV/0!</v>
      </c>
      <c r="J21" s="16" t="e">
        <f t="shared" si="4"/>
        <v>#DIV/0!</v>
      </c>
      <c r="K21" s="16" t="e">
        <f t="shared" si="4"/>
        <v>#DIV/0!</v>
      </c>
      <c r="L21" s="16" t="e">
        <f t="shared" si="4"/>
        <v>#DIV/0!</v>
      </c>
      <c r="M21" s="16" t="e">
        <f t="shared" si="4"/>
        <v>#DIV/0!</v>
      </c>
      <c r="N21" s="16" t="e">
        <f t="shared" si="4"/>
        <v>#DIV/0!</v>
      </c>
      <c r="O21" s="16" t="e">
        <f t="shared" si="4"/>
        <v>#DIV/0!</v>
      </c>
      <c r="P21" s="16" t="e">
        <f t="shared" si="4"/>
        <v>#DIV/0!</v>
      </c>
      <c r="Q21" s="16" t="e">
        <f t="shared" si="4"/>
        <v>#DIV/0!</v>
      </c>
      <c r="R21" s="16" t="e">
        <f t="shared" si="4"/>
        <v>#DIV/0!</v>
      </c>
      <c r="S21" s="16" t="e">
        <f t="shared" si="4"/>
        <v>#DIV/0!</v>
      </c>
      <c r="T21" s="18" t="e">
        <f t="shared" si="4"/>
        <v>#DIV/0!</v>
      </c>
      <c r="U21" s="19" t="e">
        <f t="shared" si="4"/>
        <v>#DIV/0!</v>
      </c>
    </row>
    <row r="22" spans="1:21" ht="17.100000000000001" customHeight="1">
      <c r="A22" s="257"/>
      <c r="B22" s="259"/>
      <c r="C22" s="272" t="s">
        <v>106</v>
      </c>
      <c r="D22" s="259" t="s">
        <v>107</v>
      </c>
      <c r="E22" s="274" t="s">
        <v>94</v>
      </c>
      <c r="F22" s="275" t="s">
        <v>108</v>
      </c>
      <c r="G22" s="36">
        <v>72</v>
      </c>
      <c r="H22" s="7" t="s">
        <v>23</v>
      </c>
      <c r="I22" s="36">
        <v>6</v>
      </c>
      <c r="J22" s="36">
        <v>6</v>
      </c>
      <c r="K22" s="36">
        <v>6</v>
      </c>
      <c r="L22" s="36">
        <v>6</v>
      </c>
      <c r="M22" s="36">
        <v>6</v>
      </c>
      <c r="N22" s="36">
        <v>6</v>
      </c>
      <c r="O22" s="36">
        <v>6</v>
      </c>
      <c r="P22" s="36">
        <v>6</v>
      </c>
      <c r="Q22" s="36">
        <v>6</v>
      </c>
      <c r="R22" s="36">
        <v>6</v>
      </c>
      <c r="S22" s="36">
        <v>6</v>
      </c>
      <c r="T22" s="36">
        <v>6</v>
      </c>
      <c r="U22" s="10">
        <f>SUM(I22:T22)</f>
        <v>72</v>
      </c>
    </row>
    <row r="23" spans="1:21" ht="17.100000000000001" customHeight="1">
      <c r="A23" s="257"/>
      <c r="B23" s="259"/>
      <c r="C23" s="272"/>
      <c r="D23" s="259"/>
      <c r="E23" s="274"/>
      <c r="F23" s="275"/>
      <c r="G23" s="11">
        <v>71</v>
      </c>
      <c r="H23" s="12" t="s">
        <v>24</v>
      </c>
      <c r="I23" s="13">
        <v>5</v>
      </c>
      <c r="J23" s="13">
        <v>6</v>
      </c>
      <c r="K23" s="13">
        <v>5</v>
      </c>
      <c r="L23" s="13">
        <v>7</v>
      </c>
      <c r="M23" s="13">
        <v>7</v>
      </c>
      <c r="N23" s="13">
        <v>5</v>
      </c>
      <c r="O23" s="13">
        <v>6</v>
      </c>
      <c r="P23" s="13">
        <v>7</v>
      </c>
      <c r="Q23" s="13">
        <v>5</v>
      </c>
      <c r="R23" s="13">
        <v>7</v>
      </c>
      <c r="S23" s="13">
        <v>5</v>
      </c>
      <c r="T23" s="13">
        <v>5</v>
      </c>
      <c r="U23" s="15">
        <f>SUM(I23:T23)</f>
        <v>70</v>
      </c>
    </row>
    <row r="24" spans="1:21" ht="17.100000000000001" customHeight="1">
      <c r="A24" s="257"/>
      <c r="B24" s="259"/>
      <c r="C24" s="272"/>
      <c r="D24" s="259"/>
      <c r="E24" s="274"/>
      <c r="F24" s="275"/>
      <c r="G24" s="16">
        <v>0.2</v>
      </c>
      <c r="H24" s="17" t="s">
        <v>25</v>
      </c>
      <c r="I24" s="37">
        <f t="shared" ref="I24:U24" si="5">I23/I22*1</f>
        <v>0.83333333333333337</v>
      </c>
      <c r="J24" s="37">
        <f t="shared" si="5"/>
        <v>1</v>
      </c>
      <c r="K24" s="37">
        <f t="shared" si="5"/>
        <v>0.83333333333333337</v>
      </c>
      <c r="L24" s="37">
        <f t="shared" si="5"/>
        <v>1.1666666666666667</v>
      </c>
      <c r="M24" s="37">
        <f t="shared" si="5"/>
        <v>1.1666666666666667</v>
      </c>
      <c r="N24" s="37">
        <f t="shared" si="5"/>
        <v>0.83333333333333337</v>
      </c>
      <c r="O24" s="37">
        <f t="shared" si="5"/>
        <v>1</v>
      </c>
      <c r="P24" s="37">
        <f t="shared" si="5"/>
        <v>1.1666666666666667</v>
      </c>
      <c r="Q24" s="37">
        <f t="shared" si="5"/>
        <v>0.83333333333333337</v>
      </c>
      <c r="R24" s="37">
        <f t="shared" si="5"/>
        <v>1.1666666666666667</v>
      </c>
      <c r="S24" s="37">
        <f t="shared" si="5"/>
        <v>0.83333333333333337</v>
      </c>
      <c r="T24" s="38">
        <f t="shared" si="5"/>
        <v>0.83333333333333337</v>
      </c>
      <c r="U24" s="19">
        <f t="shared" si="5"/>
        <v>0.97222222222222221</v>
      </c>
    </row>
    <row r="25" spans="1:21" ht="17.100000000000001" customHeight="1">
      <c r="A25" s="257"/>
      <c r="B25" s="259"/>
      <c r="C25" s="272" t="s">
        <v>109</v>
      </c>
      <c r="D25" s="272" t="s">
        <v>110</v>
      </c>
      <c r="E25" s="263" t="s">
        <v>94</v>
      </c>
      <c r="F25" s="275" t="s">
        <v>41</v>
      </c>
      <c r="G25" s="36">
        <v>11</v>
      </c>
      <c r="H25" s="7" t="s">
        <v>23</v>
      </c>
      <c r="I25" s="36">
        <v>1</v>
      </c>
      <c r="J25" s="36">
        <v>1</v>
      </c>
      <c r="K25" s="39">
        <v>1</v>
      </c>
      <c r="L25" s="36">
        <v>1</v>
      </c>
      <c r="M25" s="36">
        <v>1</v>
      </c>
      <c r="N25" s="36">
        <v>1</v>
      </c>
      <c r="O25" s="36">
        <v>1</v>
      </c>
      <c r="P25" s="36">
        <v>1</v>
      </c>
      <c r="Q25" s="36">
        <v>1</v>
      </c>
      <c r="R25" s="36">
        <v>1</v>
      </c>
      <c r="S25" s="40">
        <v>1</v>
      </c>
      <c r="T25" s="40">
        <v>1</v>
      </c>
      <c r="U25" s="10">
        <f>SUM(I25:T25)</f>
        <v>12</v>
      </c>
    </row>
    <row r="26" spans="1:21" ht="17.100000000000001" customHeight="1">
      <c r="A26" s="257"/>
      <c r="B26" s="259"/>
      <c r="C26" s="272"/>
      <c r="D26" s="272"/>
      <c r="E26" s="264"/>
      <c r="F26" s="275"/>
      <c r="G26" s="11">
        <v>0</v>
      </c>
      <c r="H26" s="12" t="s">
        <v>24</v>
      </c>
      <c r="I26" s="13">
        <v>0</v>
      </c>
      <c r="J26" s="13">
        <v>0</v>
      </c>
      <c r="K26" s="13">
        <v>0</v>
      </c>
      <c r="L26" s="13">
        <v>1</v>
      </c>
      <c r="M26" s="13">
        <v>1</v>
      </c>
      <c r="N26" s="13">
        <v>1</v>
      </c>
      <c r="O26" s="13">
        <v>1</v>
      </c>
      <c r="P26" s="13">
        <v>1</v>
      </c>
      <c r="Q26" s="13">
        <v>1</v>
      </c>
      <c r="R26" s="13">
        <v>1</v>
      </c>
      <c r="S26" s="13">
        <v>1</v>
      </c>
      <c r="T26" s="13">
        <v>1</v>
      </c>
      <c r="U26" s="15">
        <f>SUM(I26:T26)</f>
        <v>9</v>
      </c>
    </row>
    <row r="27" spans="1:21" ht="17.100000000000001" customHeight="1" thickBot="1">
      <c r="A27" s="249"/>
      <c r="B27" s="259"/>
      <c r="C27" s="262"/>
      <c r="D27" s="262"/>
      <c r="E27" s="281"/>
      <c r="F27" s="270"/>
      <c r="G27" s="42"/>
      <c r="H27" s="17" t="s">
        <v>25</v>
      </c>
      <c r="I27" s="41">
        <f t="shared" ref="I27:Q27" si="6">I26/I25*1</f>
        <v>0</v>
      </c>
      <c r="J27" s="41">
        <f t="shared" si="6"/>
        <v>0</v>
      </c>
      <c r="K27" s="41">
        <f t="shared" si="6"/>
        <v>0</v>
      </c>
      <c r="L27" s="41">
        <f t="shared" si="6"/>
        <v>1</v>
      </c>
      <c r="M27" s="41">
        <f t="shared" si="6"/>
        <v>1</v>
      </c>
      <c r="N27" s="41">
        <f t="shared" si="6"/>
        <v>1</v>
      </c>
      <c r="O27" s="41">
        <f t="shared" si="6"/>
        <v>1</v>
      </c>
      <c r="P27" s="41">
        <f t="shared" si="6"/>
        <v>1</v>
      </c>
      <c r="Q27" s="41">
        <f t="shared" si="6"/>
        <v>1</v>
      </c>
      <c r="R27" s="42">
        <f>R25/R26*1</f>
        <v>1</v>
      </c>
      <c r="S27" s="41">
        <f>S26/S25*1</f>
        <v>1</v>
      </c>
      <c r="T27" s="43">
        <f>T26/T25*1</f>
        <v>1</v>
      </c>
      <c r="U27" s="44">
        <f>U25/U26*1</f>
        <v>1.3333333333333333</v>
      </c>
    </row>
    <row r="28" spans="1:21" ht="17.100000000000001" customHeight="1">
      <c r="A28" s="257">
        <v>2</v>
      </c>
      <c r="B28" s="295" t="s">
        <v>111</v>
      </c>
      <c r="C28" s="298" t="s">
        <v>112</v>
      </c>
      <c r="D28" s="298" t="s">
        <v>113</v>
      </c>
      <c r="E28" s="263" t="s">
        <v>94</v>
      </c>
      <c r="F28" s="300" t="s">
        <v>114</v>
      </c>
      <c r="G28" s="89">
        <v>100</v>
      </c>
      <c r="H28" s="7" t="s">
        <v>23</v>
      </c>
      <c r="I28" s="89">
        <v>100</v>
      </c>
      <c r="J28" s="89">
        <v>100</v>
      </c>
      <c r="K28" s="89">
        <v>100</v>
      </c>
      <c r="L28" s="89">
        <v>100</v>
      </c>
      <c r="M28" s="89">
        <v>100</v>
      </c>
      <c r="N28" s="89">
        <v>100</v>
      </c>
      <c r="O28" s="89">
        <v>100</v>
      </c>
      <c r="P28" s="89">
        <v>100</v>
      </c>
      <c r="Q28" s="89">
        <v>100</v>
      </c>
      <c r="R28" s="89">
        <v>100</v>
      </c>
      <c r="S28" s="89">
        <v>100</v>
      </c>
      <c r="T28" s="89">
        <v>100</v>
      </c>
      <c r="U28" s="46">
        <f>AVERAGE(I28:T28)</f>
        <v>100</v>
      </c>
    </row>
    <row r="29" spans="1:21" ht="17.100000000000001" customHeight="1">
      <c r="A29" s="257"/>
      <c r="B29" s="296"/>
      <c r="C29" s="299"/>
      <c r="D29" s="299"/>
      <c r="E29" s="264"/>
      <c r="F29" s="301"/>
      <c r="G29" s="62">
        <v>20.583333333333332</v>
      </c>
      <c r="H29" s="12" t="s">
        <v>24</v>
      </c>
      <c r="I29" s="62">
        <v>0</v>
      </c>
      <c r="J29" s="62">
        <v>0</v>
      </c>
      <c r="K29" s="62">
        <v>0</v>
      </c>
      <c r="L29" s="62">
        <v>0</v>
      </c>
      <c r="M29" s="62">
        <v>30</v>
      </c>
      <c r="N29" s="62">
        <v>37</v>
      </c>
      <c r="O29" s="62">
        <v>19</v>
      </c>
      <c r="P29" s="62">
        <v>35</v>
      </c>
      <c r="Q29" s="62">
        <v>0</v>
      </c>
      <c r="R29" s="62">
        <v>0</v>
      </c>
      <c r="S29" s="62">
        <v>33</v>
      </c>
      <c r="T29" s="62">
        <v>34</v>
      </c>
      <c r="U29" s="25">
        <f>AVERAGE(I29:T29)</f>
        <v>15.666666666666666</v>
      </c>
    </row>
    <row r="30" spans="1:21" ht="17.100000000000001" customHeight="1">
      <c r="A30" s="257"/>
      <c r="B30" s="296"/>
      <c r="C30" s="288"/>
      <c r="D30" s="288"/>
      <c r="E30" s="264"/>
      <c r="F30" s="302"/>
      <c r="G30" s="16">
        <v>0.20583333333333331</v>
      </c>
      <c r="H30" s="17" t="s">
        <v>25</v>
      </c>
      <c r="I30" s="16" t="e">
        <f t="shared" ref="I30:T30" si="7">I28/I29*1</f>
        <v>#DIV/0!</v>
      </c>
      <c r="J30" s="16" t="e">
        <f t="shared" si="7"/>
        <v>#DIV/0!</v>
      </c>
      <c r="K30" s="16" t="e">
        <f t="shared" si="7"/>
        <v>#DIV/0!</v>
      </c>
      <c r="L30" s="16" t="e">
        <f t="shared" si="7"/>
        <v>#DIV/0!</v>
      </c>
      <c r="M30" s="16">
        <f t="shared" si="7"/>
        <v>3.3333333333333335</v>
      </c>
      <c r="N30" s="16">
        <f t="shared" si="7"/>
        <v>2.7027027027027026</v>
      </c>
      <c r="O30" s="16">
        <f t="shared" si="7"/>
        <v>5.2631578947368425</v>
      </c>
      <c r="P30" s="16">
        <f t="shared" si="7"/>
        <v>2.8571428571428572</v>
      </c>
      <c r="Q30" s="16" t="e">
        <f t="shared" si="7"/>
        <v>#DIV/0!</v>
      </c>
      <c r="R30" s="16" t="e">
        <f t="shared" si="7"/>
        <v>#DIV/0!</v>
      </c>
      <c r="S30" s="16">
        <f t="shared" si="7"/>
        <v>3.0303030303030303</v>
      </c>
      <c r="T30" s="18">
        <f t="shared" si="7"/>
        <v>2.9411764705882355</v>
      </c>
      <c r="U30" s="19">
        <f>U29/U28*1</f>
        <v>0.15666666666666665</v>
      </c>
    </row>
    <row r="31" spans="1:21" ht="17.100000000000001" customHeight="1">
      <c r="A31" s="257"/>
      <c r="B31" s="296"/>
      <c r="C31" s="287" t="s">
        <v>115</v>
      </c>
      <c r="D31" s="287" t="s">
        <v>116</v>
      </c>
      <c r="E31" s="292" t="s">
        <v>117</v>
      </c>
      <c r="F31" s="304" t="s">
        <v>118</v>
      </c>
      <c r="G31" s="66">
        <v>24</v>
      </c>
      <c r="H31" s="7" t="s">
        <v>23</v>
      </c>
      <c r="I31" s="67">
        <v>1</v>
      </c>
      <c r="J31" s="67">
        <v>1</v>
      </c>
      <c r="K31" s="67">
        <v>1</v>
      </c>
      <c r="L31" s="67">
        <v>1</v>
      </c>
      <c r="M31" s="67">
        <v>1</v>
      </c>
      <c r="N31" s="67">
        <v>1</v>
      </c>
      <c r="O31" s="67">
        <v>1</v>
      </c>
      <c r="P31" s="67">
        <v>1</v>
      </c>
      <c r="Q31" s="67">
        <v>1</v>
      </c>
      <c r="R31" s="67">
        <v>1</v>
      </c>
      <c r="S31" s="67">
        <v>1</v>
      </c>
      <c r="T31" s="67">
        <v>1</v>
      </c>
      <c r="U31" s="108">
        <f>SUM(I31:T31)</f>
        <v>12</v>
      </c>
    </row>
    <row r="32" spans="1:21" ht="17.100000000000001" customHeight="1">
      <c r="A32" s="257"/>
      <c r="B32" s="296"/>
      <c r="C32" s="299"/>
      <c r="D32" s="299"/>
      <c r="E32" s="292"/>
      <c r="F32" s="301"/>
      <c r="G32" s="62">
        <v>8</v>
      </c>
      <c r="H32" s="12" t="s">
        <v>24</v>
      </c>
      <c r="I32" s="63">
        <v>0</v>
      </c>
      <c r="J32" s="63">
        <v>0</v>
      </c>
      <c r="K32" s="63">
        <v>0</v>
      </c>
      <c r="L32" s="63">
        <v>0</v>
      </c>
      <c r="M32" s="63">
        <v>0</v>
      </c>
      <c r="N32" s="63">
        <v>0</v>
      </c>
      <c r="O32" s="63">
        <v>0</v>
      </c>
      <c r="P32" s="63">
        <v>0</v>
      </c>
      <c r="Q32" s="63">
        <v>0</v>
      </c>
      <c r="R32" s="63">
        <v>0</v>
      </c>
      <c r="S32" s="63">
        <v>0</v>
      </c>
      <c r="T32" s="63">
        <v>0</v>
      </c>
      <c r="U32" s="110">
        <f>SUM(I32:T32)</f>
        <v>0</v>
      </c>
    </row>
    <row r="33" spans="1:21" ht="17.100000000000001" customHeight="1">
      <c r="A33" s="257"/>
      <c r="B33" s="296"/>
      <c r="C33" s="288"/>
      <c r="D33" s="288"/>
      <c r="E33" s="292"/>
      <c r="F33" s="302"/>
      <c r="G33" s="16">
        <v>0.33333333333333331</v>
      </c>
      <c r="H33" s="17" t="s">
        <v>25</v>
      </c>
      <c r="I33" s="16">
        <f t="shared" ref="I33:T33" si="8">I32/I31*1</f>
        <v>0</v>
      </c>
      <c r="J33" s="16">
        <f t="shared" si="8"/>
        <v>0</v>
      </c>
      <c r="K33" s="16">
        <f t="shared" si="8"/>
        <v>0</v>
      </c>
      <c r="L33" s="16">
        <f t="shared" si="8"/>
        <v>0</v>
      </c>
      <c r="M33" s="16">
        <f t="shared" si="8"/>
        <v>0</v>
      </c>
      <c r="N33" s="16">
        <f t="shared" si="8"/>
        <v>0</v>
      </c>
      <c r="O33" s="16">
        <f t="shared" si="8"/>
        <v>0</v>
      </c>
      <c r="P33" s="16">
        <f t="shared" si="8"/>
        <v>0</v>
      </c>
      <c r="Q33" s="16">
        <f t="shared" si="8"/>
        <v>0</v>
      </c>
      <c r="R33" s="16">
        <f t="shared" si="8"/>
        <v>0</v>
      </c>
      <c r="S33" s="16">
        <f t="shared" si="8"/>
        <v>0</v>
      </c>
      <c r="T33" s="16">
        <f t="shared" si="8"/>
        <v>0</v>
      </c>
      <c r="U33" s="19" t="e">
        <f>U31/U32</f>
        <v>#DIV/0!</v>
      </c>
    </row>
    <row r="34" spans="1:21" ht="17.100000000000001" customHeight="1">
      <c r="A34" s="257"/>
      <c r="B34" s="296"/>
      <c r="C34" s="286" t="s">
        <v>119</v>
      </c>
      <c r="D34" s="286" t="s">
        <v>120</v>
      </c>
      <c r="E34" s="263" t="s">
        <v>94</v>
      </c>
      <c r="F34" s="270" t="s">
        <v>121</v>
      </c>
      <c r="G34" s="6">
        <v>36</v>
      </c>
      <c r="H34" s="7" t="s">
        <v>23</v>
      </c>
      <c r="I34" s="6">
        <v>2</v>
      </c>
      <c r="J34" s="6">
        <v>2</v>
      </c>
      <c r="K34" s="6">
        <v>2</v>
      </c>
      <c r="L34" s="6">
        <v>2</v>
      </c>
      <c r="M34" s="6">
        <v>2</v>
      </c>
      <c r="N34" s="6">
        <v>2</v>
      </c>
      <c r="O34" s="6">
        <v>2</v>
      </c>
      <c r="P34" s="6">
        <v>2</v>
      </c>
      <c r="Q34" s="6">
        <v>2</v>
      </c>
      <c r="R34" s="6">
        <v>2</v>
      </c>
      <c r="S34" s="6">
        <v>2</v>
      </c>
      <c r="T34" s="6">
        <v>2</v>
      </c>
      <c r="U34" s="10">
        <f>SUM(I34:T34)</f>
        <v>24</v>
      </c>
    </row>
    <row r="35" spans="1:21" ht="17.100000000000001" customHeight="1">
      <c r="A35" s="257"/>
      <c r="B35" s="296"/>
      <c r="C35" s="287"/>
      <c r="D35" s="287"/>
      <c r="E35" s="264"/>
      <c r="F35" s="266"/>
      <c r="G35" s="11">
        <v>13</v>
      </c>
      <c r="H35" s="12" t="s">
        <v>24</v>
      </c>
      <c r="I35" s="11">
        <v>0</v>
      </c>
      <c r="J35" s="13">
        <v>1</v>
      </c>
      <c r="K35" s="13">
        <v>0</v>
      </c>
      <c r="L35" s="13">
        <v>0</v>
      </c>
      <c r="M35" s="13">
        <v>0</v>
      </c>
      <c r="N35" s="13">
        <v>3</v>
      </c>
      <c r="O35" s="13">
        <v>0</v>
      </c>
      <c r="P35" s="13">
        <v>2</v>
      </c>
      <c r="Q35" s="13">
        <v>1</v>
      </c>
      <c r="R35" s="13">
        <v>0</v>
      </c>
      <c r="S35" s="13">
        <v>1</v>
      </c>
      <c r="T35" s="13">
        <v>2</v>
      </c>
      <c r="U35" s="15">
        <f>SUM(I35:T35)</f>
        <v>10</v>
      </c>
    </row>
    <row r="36" spans="1:21" ht="17.100000000000001" customHeight="1">
      <c r="A36" s="257"/>
      <c r="B36" s="296"/>
      <c r="C36" s="288"/>
      <c r="D36" s="288"/>
      <c r="E36" s="264"/>
      <c r="F36" s="271"/>
      <c r="G36" s="16">
        <v>0.3611111111111111</v>
      </c>
      <c r="H36" s="17" t="s">
        <v>25</v>
      </c>
      <c r="I36" s="16">
        <f t="shared" ref="I36:T36" si="9">I35/I34*1</f>
        <v>0</v>
      </c>
      <c r="J36" s="16">
        <f t="shared" si="9"/>
        <v>0.5</v>
      </c>
      <c r="K36" s="16">
        <f t="shared" si="9"/>
        <v>0</v>
      </c>
      <c r="L36" s="16">
        <f t="shared" si="9"/>
        <v>0</v>
      </c>
      <c r="M36" s="16">
        <f t="shared" si="9"/>
        <v>0</v>
      </c>
      <c r="N36" s="16">
        <f t="shared" si="9"/>
        <v>1.5</v>
      </c>
      <c r="O36" s="16">
        <f t="shared" si="9"/>
        <v>0</v>
      </c>
      <c r="P36" s="16">
        <f t="shared" si="9"/>
        <v>1</v>
      </c>
      <c r="Q36" s="16">
        <f t="shared" si="9"/>
        <v>0.5</v>
      </c>
      <c r="R36" s="16">
        <f t="shared" si="9"/>
        <v>0</v>
      </c>
      <c r="S36" s="16">
        <f t="shared" si="9"/>
        <v>0.5</v>
      </c>
      <c r="T36" s="18">
        <f t="shared" si="9"/>
        <v>1</v>
      </c>
      <c r="U36" s="19">
        <f>U34/U35</f>
        <v>2.4</v>
      </c>
    </row>
    <row r="37" spans="1:21" ht="17.100000000000001" customHeight="1">
      <c r="A37" s="257"/>
      <c r="B37" s="296"/>
      <c r="C37" s="293" t="s">
        <v>122</v>
      </c>
      <c r="D37" s="293" t="s">
        <v>120</v>
      </c>
      <c r="E37" s="263" t="s">
        <v>94</v>
      </c>
      <c r="F37" s="275" t="s">
        <v>52</v>
      </c>
      <c r="G37" s="66">
        <v>25</v>
      </c>
      <c r="H37" s="7" t="s">
        <v>23</v>
      </c>
      <c r="I37" s="67">
        <v>1</v>
      </c>
      <c r="J37" s="67">
        <v>1</v>
      </c>
      <c r="K37" s="67">
        <v>1</v>
      </c>
      <c r="L37" s="67">
        <v>1</v>
      </c>
      <c r="M37" s="67">
        <v>1</v>
      </c>
      <c r="N37" s="67">
        <v>1</v>
      </c>
      <c r="O37" s="67">
        <v>1</v>
      </c>
      <c r="P37" s="67">
        <v>1</v>
      </c>
      <c r="Q37" s="67">
        <v>1</v>
      </c>
      <c r="R37" s="67">
        <v>1</v>
      </c>
      <c r="S37" s="67">
        <v>1</v>
      </c>
      <c r="T37" s="67">
        <v>1</v>
      </c>
      <c r="U37" s="10">
        <f>SUM(I37:T37)</f>
        <v>12</v>
      </c>
    </row>
    <row r="38" spans="1:21" ht="17.100000000000001" customHeight="1">
      <c r="A38" s="257"/>
      <c r="B38" s="296"/>
      <c r="C38" s="293"/>
      <c r="D38" s="293"/>
      <c r="E38" s="264"/>
      <c r="F38" s="275"/>
      <c r="G38" s="62">
        <v>8</v>
      </c>
      <c r="H38" s="12" t="s">
        <v>24</v>
      </c>
      <c r="I38" s="63">
        <v>0</v>
      </c>
      <c r="J38" s="63">
        <v>0</v>
      </c>
      <c r="K38" s="63">
        <v>1</v>
      </c>
      <c r="L38" s="63">
        <v>1</v>
      </c>
      <c r="M38" s="63">
        <v>1</v>
      </c>
      <c r="N38" s="63">
        <v>0</v>
      </c>
      <c r="O38" s="63">
        <v>0</v>
      </c>
      <c r="P38" s="63">
        <v>1</v>
      </c>
      <c r="Q38" s="63">
        <v>2</v>
      </c>
      <c r="R38" s="63">
        <v>1</v>
      </c>
      <c r="S38" s="63">
        <v>0</v>
      </c>
      <c r="T38" s="63">
        <v>2</v>
      </c>
      <c r="U38" s="15">
        <f>SUM(I38:T38)</f>
        <v>9</v>
      </c>
    </row>
    <row r="39" spans="1:21" ht="17.100000000000001" customHeight="1">
      <c r="A39" s="257"/>
      <c r="B39" s="296"/>
      <c r="C39" s="293"/>
      <c r="D39" s="293"/>
      <c r="E39" s="264"/>
      <c r="F39" s="275"/>
      <c r="G39" s="16">
        <v>0.32</v>
      </c>
      <c r="H39" s="17" t="s">
        <v>25</v>
      </c>
      <c r="I39" s="16">
        <f t="shared" ref="I39:U39" si="10">I38/I37*1</f>
        <v>0</v>
      </c>
      <c r="J39" s="16">
        <f t="shared" si="10"/>
        <v>0</v>
      </c>
      <c r="K39" s="16">
        <f t="shared" si="10"/>
        <v>1</v>
      </c>
      <c r="L39" s="16">
        <f t="shared" si="10"/>
        <v>1</v>
      </c>
      <c r="M39" s="16">
        <f t="shared" si="10"/>
        <v>1</v>
      </c>
      <c r="N39" s="16">
        <f t="shared" si="10"/>
        <v>0</v>
      </c>
      <c r="O39" s="16">
        <f t="shared" si="10"/>
        <v>0</v>
      </c>
      <c r="P39" s="16">
        <f t="shared" si="10"/>
        <v>1</v>
      </c>
      <c r="Q39" s="16">
        <f t="shared" si="10"/>
        <v>2</v>
      </c>
      <c r="R39" s="16">
        <f t="shared" si="10"/>
        <v>1</v>
      </c>
      <c r="S39" s="16">
        <f t="shared" si="10"/>
        <v>0</v>
      </c>
      <c r="T39" s="16">
        <f t="shared" si="10"/>
        <v>2</v>
      </c>
      <c r="U39" s="52">
        <f t="shared" si="10"/>
        <v>0.75</v>
      </c>
    </row>
    <row r="40" spans="1:21" ht="16.5" customHeight="1">
      <c r="A40" s="257"/>
      <c r="B40" s="296"/>
      <c r="C40" s="287" t="s">
        <v>123</v>
      </c>
      <c r="D40" s="293" t="s">
        <v>120</v>
      </c>
      <c r="E40" s="263" t="s">
        <v>94</v>
      </c>
      <c r="F40" s="304" t="s">
        <v>124</v>
      </c>
      <c r="G40" s="66">
        <v>600</v>
      </c>
      <c r="H40" s="7" t="s">
        <v>23</v>
      </c>
      <c r="I40" s="66">
        <v>30</v>
      </c>
      <c r="J40" s="66">
        <v>30</v>
      </c>
      <c r="K40" s="66">
        <v>30</v>
      </c>
      <c r="L40" s="66">
        <v>30</v>
      </c>
      <c r="M40" s="66">
        <v>30</v>
      </c>
      <c r="N40" s="66">
        <v>30</v>
      </c>
      <c r="O40" s="66">
        <v>30</v>
      </c>
      <c r="P40" s="66">
        <v>30</v>
      </c>
      <c r="Q40" s="66">
        <v>30</v>
      </c>
      <c r="R40" s="66">
        <v>30</v>
      </c>
      <c r="S40" s="66">
        <v>30</v>
      </c>
      <c r="T40" s="66">
        <v>30</v>
      </c>
      <c r="U40" s="54">
        <f>SUM(I40:T40)</f>
        <v>360</v>
      </c>
    </row>
    <row r="41" spans="1:21" ht="17.100000000000001" customHeight="1">
      <c r="A41" s="257"/>
      <c r="B41" s="296"/>
      <c r="C41" s="299"/>
      <c r="D41" s="293"/>
      <c r="E41" s="264"/>
      <c r="F41" s="301"/>
      <c r="G41" s="62">
        <v>209</v>
      </c>
      <c r="H41" s="12" t="s">
        <v>24</v>
      </c>
      <c r="I41" s="62"/>
      <c r="J41" s="63">
        <v>0</v>
      </c>
      <c r="K41" s="63">
        <v>0</v>
      </c>
      <c r="L41" s="63">
        <v>0</v>
      </c>
      <c r="M41" s="63">
        <v>0</v>
      </c>
      <c r="N41" s="63">
        <v>30</v>
      </c>
      <c r="O41" s="63">
        <v>30</v>
      </c>
      <c r="P41" s="63">
        <v>0</v>
      </c>
      <c r="Q41" s="63">
        <v>24</v>
      </c>
      <c r="R41" s="63">
        <v>27</v>
      </c>
      <c r="S41" s="63">
        <v>0</v>
      </c>
      <c r="T41" s="63">
        <v>25</v>
      </c>
      <c r="U41" s="55">
        <f>SUM(I41:T41)</f>
        <v>136</v>
      </c>
    </row>
    <row r="42" spans="1:21" ht="17.100000000000001" customHeight="1" thickBot="1">
      <c r="A42" s="249"/>
      <c r="B42" s="297"/>
      <c r="C42" s="305"/>
      <c r="D42" s="293"/>
      <c r="E42" s="264"/>
      <c r="F42" s="306"/>
      <c r="G42" s="56">
        <v>0.34833333333333333</v>
      </c>
      <c r="H42" s="17" t="s">
        <v>25</v>
      </c>
      <c r="I42" s="56" t="e">
        <f t="shared" ref="I42:T42" si="11">I40/I41*1</f>
        <v>#DIV/0!</v>
      </c>
      <c r="J42" s="56" t="e">
        <f t="shared" si="11"/>
        <v>#DIV/0!</v>
      </c>
      <c r="K42" s="56" t="e">
        <f t="shared" si="11"/>
        <v>#DIV/0!</v>
      </c>
      <c r="L42" s="56" t="e">
        <f t="shared" si="11"/>
        <v>#DIV/0!</v>
      </c>
      <c r="M42" s="56" t="e">
        <f t="shared" si="11"/>
        <v>#DIV/0!</v>
      </c>
      <c r="N42" s="56">
        <f t="shared" si="11"/>
        <v>1</v>
      </c>
      <c r="O42" s="56">
        <f t="shared" si="11"/>
        <v>1</v>
      </c>
      <c r="P42" s="56" t="e">
        <f t="shared" si="11"/>
        <v>#DIV/0!</v>
      </c>
      <c r="Q42" s="56">
        <f t="shared" si="11"/>
        <v>1.25</v>
      </c>
      <c r="R42" s="56">
        <f t="shared" si="11"/>
        <v>1.1111111111111112</v>
      </c>
      <c r="S42" s="56" t="e">
        <f t="shared" si="11"/>
        <v>#DIV/0!</v>
      </c>
      <c r="T42" s="57">
        <f t="shared" si="11"/>
        <v>1.2</v>
      </c>
      <c r="U42" s="58">
        <f>U41/U40*1</f>
        <v>0.37777777777777777</v>
      </c>
    </row>
    <row r="43" spans="1:21" ht="17.100000000000001" customHeight="1">
      <c r="A43" s="257">
        <v>3</v>
      </c>
      <c r="B43" s="258" t="s">
        <v>125</v>
      </c>
      <c r="C43" s="259" t="s">
        <v>126</v>
      </c>
      <c r="D43" s="258" t="s">
        <v>127</v>
      </c>
      <c r="E43" s="308" t="s">
        <v>128</v>
      </c>
      <c r="F43" s="266" t="s">
        <v>31</v>
      </c>
      <c r="G43" s="59">
        <v>67</v>
      </c>
      <c r="H43" s="7" t="s">
        <v>23</v>
      </c>
      <c r="I43" s="59">
        <v>6</v>
      </c>
      <c r="J43" s="60">
        <v>6</v>
      </c>
      <c r="K43" s="60">
        <v>6</v>
      </c>
      <c r="L43" s="60">
        <v>6</v>
      </c>
      <c r="M43" s="60">
        <v>5</v>
      </c>
      <c r="N43" s="60">
        <v>5</v>
      </c>
      <c r="O43" s="60">
        <v>5</v>
      </c>
      <c r="P43" s="60">
        <v>5</v>
      </c>
      <c r="Q43" s="60">
        <v>5</v>
      </c>
      <c r="R43" s="60">
        <v>6</v>
      </c>
      <c r="S43" s="60">
        <v>6</v>
      </c>
      <c r="T43" s="61">
        <v>6</v>
      </c>
      <c r="U43" s="54">
        <f>SUM(I43:T43)</f>
        <v>67</v>
      </c>
    </row>
    <row r="44" spans="1:21" ht="17.100000000000001" customHeight="1">
      <c r="A44" s="257"/>
      <c r="B44" s="259"/>
      <c r="C44" s="259"/>
      <c r="D44" s="259"/>
      <c r="E44" s="264"/>
      <c r="F44" s="266"/>
      <c r="G44" s="62">
        <v>68</v>
      </c>
      <c r="H44" s="12" t="s">
        <v>24</v>
      </c>
      <c r="I44" s="62">
        <v>7</v>
      </c>
      <c r="J44" s="63">
        <v>8</v>
      </c>
      <c r="K44" s="63">
        <v>7</v>
      </c>
      <c r="L44" s="63">
        <v>6</v>
      </c>
      <c r="M44" s="63">
        <v>5</v>
      </c>
      <c r="N44" s="63">
        <v>5</v>
      </c>
      <c r="O44" s="63">
        <v>5</v>
      </c>
      <c r="P44" s="63">
        <v>5</v>
      </c>
      <c r="Q44" s="63">
        <v>5</v>
      </c>
      <c r="R44" s="63">
        <v>7</v>
      </c>
      <c r="S44" s="63">
        <v>6</v>
      </c>
      <c r="T44" s="64">
        <v>6</v>
      </c>
      <c r="U44" s="55">
        <f>SUM(I44:T44)</f>
        <v>72</v>
      </c>
    </row>
    <row r="45" spans="1:21" ht="17.100000000000001" customHeight="1">
      <c r="A45" s="257"/>
      <c r="B45" s="259"/>
      <c r="C45" s="259"/>
      <c r="D45" s="259"/>
      <c r="E45" s="264"/>
      <c r="F45" s="266"/>
      <c r="G45" s="42">
        <v>1.0149253731343284</v>
      </c>
      <c r="H45" s="17" t="s">
        <v>25</v>
      </c>
      <c r="I45" s="42">
        <f t="shared" ref="I45:T45" si="12">I43/I44*1</f>
        <v>0.8571428571428571</v>
      </c>
      <c r="J45" s="42">
        <f t="shared" si="12"/>
        <v>0.75</v>
      </c>
      <c r="K45" s="42">
        <f t="shared" si="12"/>
        <v>0.8571428571428571</v>
      </c>
      <c r="L45" s="42">
        <f t="shared" si="12"/>
        <v>1</v>
      </c>
      <c r="M45" s="42">
        <f t="shared" si="12"/>
        <v>1</v>
      </c>
      <c r="N45" s="42">
        <f t="shared" si="12"/>
        <v>1</v>
      </c>
      <c r="O45" s="42">
        <f t="shared" si="12"/>
        <v>1</v>
      </c>
      <c r="P45" s="42">
        <f t="shared" si="12"/>
        <v>1</v>
      </c>
      <c r="Q45" s="42">
        <f t="shared" si="12"/>
        <v>1</v>
      </c>
      <c r="R45" s="42">
        <f t="shared" si="12"/>
        <v>0.8571428571428571</v>
      </c>
      <c r="S45" s="42">
        <f t="shared" si="12"/>
        <v>1</v>
      </c>
      <c r="T45" s="65">
        <f t="shared" si="12"/>
        <v>1</v>
      </c>
      <c r="U45" s="44">
        <f>U44/U43*1</f>
        <v>1.0746268656716418</v>
      </c>
    </row>
    <row r="46" spans="1:21" ht="17.100000000000001" customHeight="1">
      <c r="A46" s="257"/>
      <c r="B46" s="259"/>
      <c r="C46" s="293" t="s">
        <v>129</v>
      </c>
      <c r="D46" s="259"/>
      <c r="E46" s="264"/>
      <c r="F46" s="275" t="s">
        <v>130</v>
      </c>
      <c r="G46" s="66">
        <v>4</v>
      </c>
      <c r="H46" s="7" t="s">
        <v>23</v>
      </c>
      <c r="I46" s="66">
        <v>5</v>
      </c>
      <c r="J46" s="66">
        <v>5</v>
      </c>
      <c r="K46" s="66">
        <v>5</v>
      </c>
      <c r="L46" s="67">
        <v>6</v>
      </c>
      <c r="M46" s="67">
        <v>5</v>
      </c>
      <c r="N46" s="67">
        <v>5</v>
      </c>
      <c r="O46" s="60">
        <v>5</v>
      </c>
      <c r="P46" s="60">
        <v>5</v>
      </c>
      <c r="Q46" s="60">
        <v>5</v>
      </c>
      <c r="R46" s="67">
        <v>7</v>
      </c>
      <c r="S46" s="67">
        <v>6</v>
      </c>
      <c r="T46" s="67">
        <v>6</v>
      </c>
      <c r="U46" s="20">
        <f>AVERAGE(I46:T46)</f>
        <v>5.416666666666667</v>
      </c>
    </row>
    <row r="47" spans="1:21" ht="17.100000000000001" customHeight="1">
      <c r="A47" s="257"/>
      <c r="B47" s="259"/>
      <c r="C47" s="293"/>
      <c r="D47" s="259"/>
      <c r="E47" s="264"/>
      <c r="F47" s="275"/>
      <c r="G47" s="68">
        <v>4.083333333333333</v>
      </c>
      <c r="H47" s="12" t="s">
        <v>24</v>
      </c>
      <c r="I47" s="68">
        <v>5</v>
      </c>
      <c r="J47" s="69">
        <v>5</v>
      </c>
      <c r="K47" s="69">
        <v>5</v>
      </c>
      <c r="L47" s="69">
        <v>6</v>
      </c>
      <c r="M47" s="69">
        <v>5</v>
      </c>
      <c r="N47" s="69">
        <v>5</v>
      </c>
      <c r="O47" s="63">
        <v>5</v>
      </c>
      <c r="P47" s="63">
        <v>5</v>
      </c>
      <c r="Q47" s="63">
        <v>5</v>
      </c>
      <c r="R47" s="69">
        <v>7</v>
      </c>
      <c r="S47" s="69">
        <v>6</v>
      </c>
      <c r="T47" s="69">
        <v>6</v>
      </c>
      <c r="U47" s="71">
        <f>AVERAGE(I47:T47)</f>
        <v>5.416666666666667</v>
      </c>
    </row>
    <row r="48" spans="1:21" ht="17.100000000000001" customHeight="1" thickBot="1">
      <c r="A48" s="257"/>
      <c r="B48" s="307"/>
      <c r="C48" s="311"/>
      <c r="D48" s="307"/>
      <c r="E48" s="281"/>
      <c r="F48" s="312"/>
      <c r="G48" s="56">
        <v>1.0208333333333333</v>
      </c>
      <c r="H48" s="17" t="s">
        <v>25</v>
      </c>
      <c r="I48" s="72">
        <f t="shared" ref="I48:U48" si="13">I47/I46*1</f>
        <v>1</v>
      </c>
      <c r="J48" s="72">
        <f t="shared" si="13"/>
        <v>1</v>
      </c>
      <c r="K48" s="72">
        <f t="shared" si="13"/>
        <v>1</v>
      </c>
      <c r="L48" s="72">
        <f t="shared" si="13"/>
        <v>1</v>
      </c>
      <c r="M48" s="72">
        <f t="shared" si="13"/>
        <v>1</v>
      </c>
      <c r="N48" s="72">
        <f t="shared" si="13"/>
        <v>1</v>
      </c>
      <c r="O48" s="72">
        <f t="shared" si="13"/>
        <v>1</v>
      </c>
      <c r="P48" s="72">
        <f t="shared" si="13"/>
        <v>1</v>
      </c>
      <c r="Q48" s="72">
        <f t="shared" si="13"/>
        <v>1</v>
      </c>
      <c r="R48" s="72">
        <f t="shared" si="13"/>
        <v>1</v>
      </c>
      <c r="S48" s="72">
        <f t="shared" si="13"/>
        <v>1</v>
      </c>
      <c r="T48" s="73">
        <f t="shared" si="13"/>
        <v>1</v>
      </c>
      <c r="U48" s="74">
        <f t="shared" si="13"/>
        <v>1</v>
      </c>
    </row>
    <row r="49" spans="1:21" ht="17.100000000000001" customHeight="1" thickBot="1">
      <c r="A49" s="313">
        <v>4</v>
      </c>
      <c r="B49" s="314" t="s">
        <v>131</v>
      </c>
      <c r="C49" s="310" t="s">
        <v>132</v>
      </c>
      <c r="D49" s="310" t="s">
        <v>116</v>
      </c>
      <c r="E49" s="308" t="s">
        <v>117</v>
      </c>
      <c r="F49" s="317" t="s">
        <v>133</v>
      </c>
      <c r="G49" s="66">
        <v>100</v>
      </c>
      <c r="H49" s="7" t="s">
        <v>23</v>
      </c>
      <c r="I49" s="75">
        <v>100</v>
      </c>
      <c r="J49" s="67">
        <v>100</v>
      </c>
      <c r="K49" s="67">
        <v>100</v>
      </c>
      <c r="L49" s="67">
        <v>100</v>
      </c>
      <c r="M49" s="67">
        <v>100</v>
      </c>
      <c r="N49" s="67">
        <v>100</v>
      </c>
      <c r="O49" s="67">
        <v>100</v>
      </c>
      <c r="P49" s="67">
        <v>100</v>
      </c>
      <c r="Q49" s="67">
        <v>100</v>
      </c>
      <c r="R49" s="67">
        <v>100</v>
      </c>
      <c r="S49" s="67">
        <v>100</v>
      </c>
      <c r="T49" s="67">
        <v>100</v>
      </c>
      <c r="U49" s="76">
        <f>AVERAGE(I49:T49)</f>
        <v>100</v>
      </c>
    </row>
    <row r="50" spans="1:21" ht="17.100000000000001" customHeight="1" thickBot="1">
      <c r="A50" s="313"/>
      <c r="B50" s="315"/>
      <c r="C50" s="293"/>
      <c r="D50" s="293"/>
      <c r="E50" s="264"/>
      <c r="F50" s="275"/>
      <c r="G50" s="68">
        <v>100</v>
      </c>
      <c r="H50" s="12" t="s">
        <v>24</v>
      </c>
      <c r="I50" s="68">
        <v>100</v>
      </c>
      <c r="J50" s="68">
        <v>100</v>
      </c>
      <c r="K50" s="68">
        <v>100</v>
      </c>
      <c r="L50" s="68">
        <v>100</v>
      </c>
      <c r="M50" s="68">
        <v>100</v>
      </c>
      <c r="N50" s="68">
        <v>100</v>
      </c>
      <c r="O50" s="68">
        <v>100</v>
      </c>
      <c r="P50" s="68">
        <v>100</v>
      </c>
      <c r="Q50" s="68">
        <v>100</v>
      </c>
      <c r="R50" s="68">
        <v>100</v>
      </c>
      <c r="S50" s="68">
        <v>100</v>
      </c>
      <c r="T50" s="68">
        <v>100</v>
      </c>
      <c r="U50" s="77">
        <f>AVERAGE(I50:T50)</f>
        <v>100</v>
      </c>
    </row>
    <row r="51" spans="1:21" ht="17.100000000000001" customHeight="1" thickBot="1">
      <c r="A51" s="313"/>
      <c r="B51" s="315"/>
      <c r="C51" s="293"/>
      <c r="D51" s="338"/>
      <c r="E51" s="335"/>
      <c r="F51" s="275"/>
      <c r="G51" s="16">
        <v>1</v>
      </c>
      <c r="H51" s="17" t="s">
        <v>25</v>
      </c>
      <c r="I51" s="16">
        <f t="shared" ref="I51:U51" si="14">I50/I49*1</f>
        <v>1</v>
      </c>
      <c r="J51" s="16">
        <f t="shared" si="14"/>
        <v>1</v>
      </c>
      <c r="K51" s="16">
        <f t="shared" si="14"/>
        <v>1</v>
      </c>
      <c r="L51" s="16">
        <f t="shared" si="14"/>
        <v>1</v>
      </c>
      <c r="M51" s="16">
        <f t="shared" si="14"/>
        <v>1</v>
      </c>
      <c r="N51" s="16">
        <f t="shared" si="14"/>
        <v>1</v>
      </c>
      <c r="O51" s="16">
        <f t="shared" si="14"/>
        <v>1</v>
      </c>
      <c r="P51" s="16">
        <f t="shared" si="14"/>
        <v>1</v>
      </c>
      <c r="Q51" s="16">
        <f t="shared" si="14"/>
        <v>1</v>
      </c>
      <c r="R51" s="16">
        <f t="shared" si="14"/>
        <v>1</v>
      </c>
      <c r="S51" s="16">
        <f t="shared" si="14"/>
        <v>1</v>
      </c>
      <c r="T51" s="16">
        <f t="shared" si="14"/>
        <v>1</v>
      </c>
      <c r="U51" s="52">
        <f t="shared" si="14"/>
        <v>1</v>
      </c>
    </row>
    <row r="52" spans="1:21" ht="17.100000000000001" customHeight="1" thickBot="1">
      <c r="A52" s="313"/>
      <c r="B52" s="315"/>
      <c r="C52" s="309" t="s">
        <v>134</v>
      </c>
      <c r="D52" s="318" t="s">
        <v>116</v>
      </c>
      <c r="E52" s="337" t="s">
        <v>117</v>
      </c>
      <c r="F52" s="270" t="s">
        <v>135</v>
      </c>
      <c r="G52" s="6">
        <v>0</v>
      </c>
      <c r="H52" s="7" t="s">
        <v>23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54">
        <f>SUM(I52:T52)</f>
        <v>0</v>
      </c>
    </row>
    <row r="53" spans="1:21" ht="17.100000000000001" customHeight="1" thickBot="1">
      <c r="A53" s="313"/>
      <c r="B53" s="315"/>
      <c r="C53" s="315"/>
      <c r="D53" s="293"/>
      <c r="E53" s="292"/>
      <c r="F53" s="266"/>
      <c r="G53" s="11">
        <v>0</v>
      </c>
      <c r="H53" s="12" t="s">
        <v>24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55">
        <f>SUM(I53:T53)</f>
        <v>0</v>
      </c>
    </row>
    <row r="54" spans="1:21" ht="17.100000000000001" customHeight="1" thickBot="1">
      <c r="A54" s="313"/>
      <c r="B54" s="315"/>
      <c r="C54" s="318"/>
      <c r="D54" s="338"/>
      <c r="E54" s="292"/>
      <c r="F54" s="271"/>
      <c r="G54" s="16"/>
      <c r="H54" s="17" t="s">
        <v>25</v>
      </c>
      <c r="I54" s="16" t="e">
        <f t="shared" ref="I54:U54" si="15">I53/I52*1</f>
        <v>#DIV/0!</v>
      </c>
      <c r="J54" s="16" t="e">
        <f t="shared" si="15"/>
        <v>#DIV/0!</v>
      </c>
      <c r="K54" s="16" t="e">
        <f t="shared" si="15"/>
        <v>#DIV/0!</v>
      </c>
      <c r="L54" s="16" t="e">
        <f t="shared" si="15"/>
        <v>#DIV/0!</v>
      </c>
      <c r="M54" s="16" t="e">
        <f t="shared" si="15"/>
        <v>#DIV/0!</v>
      </c>
      <c r="N54" s="16" t="e">
        <f t="shared" si="15"/>
        <v>#DIV/0!</v>
      </c>
      <c r="O54" s="16" t="e">
        <f t="shared" si="15"/>
        <v>#DIV/0!</v>
      </c>
      <c r="P54" s="16" t="e">
        <f t="shared" si="15"/>
        <v>#DIV/0!</v>
      </c>
      <c r="Q54" s="16" t="e">
        <f t="shared" si="15"/>
        <v>#DIV/0!</v>
      </c>
      <c r="R54" s="16" t="e">
        <f t="shared" si="15"/>
        <v>#DIV/0!</v>
      </c>
      <c r="S54" s="16" t="e">
        <f t="shared" si="15"/>
        <v>#DIV/0!</v>
      </c>
      <c r="T54" s="16" t="e">
        <f t="shared" si="15"/>
        <v>#DIV/0!</v>
      </c>
      <c r="U54" s="52" t="e">
        <f t="shared" si="15"/>
        <v>#DIV/0!</v>
      </c>
    </row>
    <row r="55" spans="1:21" ht="17.100000000000001" customHeight="1" thickBot="1">
      <c r="A55" s="313"/>
      <c r="B55" s="315"/>
      <c r="C55" s="293" t="s">
        <v>136</v>
      </c>
      <c r="D55" s="318" t="s">
        <v>116</v>
      </c>
      <c r="E55" s="337" t="s">
        <v>117</v>
      </c>
      <c r="F55" s="275" t="s">
        <v>137</v>
      </c>
      <c r="G55" s="66">
        <v>1200</v>
      </c>
      <c r="H55" s="7" t="s">
        <v>23</v>
      </c>
      <c r="I55" s="75">
        <v>100</v>
      </c>
      <c r="J55" s="67">
        <v>100</v>
      </c>
      <c r="K55" s="67">
        <v>100</v>
      </c>
      <c r="L55" s="67">
        <v>100</v>
      </c>
      <c r="M55" s="67">
        <v>100</v>
      </c>
      <c r="N55" s="67">
        <v>100</v>
      </c>
      <c r="O55" s="67">
        <v>100</v>
      </c>
      <c r="P55" s="67">
        <v>100</v>
      </c>
      <c r="Q55" s="67">
        <v>100</v>
      </c>
      <c r="R55" s="67">
        <v>100</v>
      </c>
      <c r="S55" s="67">
        <v>100</v>
      </c>
      <c r="T55" s="67">
        <v>100</v>
      </c>
      <c r="U55" s="20">
        <f>SUM(I55:T55)</f>
        <v>1200</v>
      </c>
    </row>
    <row r="56" spans="1:21" ht="17.100000000000001" customHeight="1" thickBot="1">
      <c r="A56" s="313"/>
      <c r="B56" s="315"/>
      <c r="C56" s="293"/>
      <c r="D56" s="293"/>
      <c r="E56" s="292"/>
      <c r="F56" s="275"/>
      <c r="G56" s="68">
        <v>0</v>
      </c>
      <c r="H56" s="12" t="s">
        <v>24</v>
      </c>
      <c r="I56" s="68">
        <v>100</v>
      </c>
      <c r="J56" s="68">
        <v>100</v>
      </c>
      <c r="K56" s="68">
        <v>100</v>
      </c>
      <c r="L56" s="68">
        <v>100</v>
      </c>
      <c r="M56" s="68">
        <v>100</v>
      </c>
      <c r="N56" s="68">
        <v>100</v>
      </c>
      <c r="O56" s="68">
        <v>100</v>
      </c>
      <c r="P56" s="68">
        <v>100</v>
      </c>
      <c r="Q56" s="68">
        <v>100</v>
      </c>
      <c r="R56" s="68">
        <v>100</v>
      </c>
      <c r="S56" s="68">
        <v>100</v>
      </c>
      <c r="T56" s="68">
        <v>100</v>
      </c>
      <c r="U56" s="71">
        <v>0</v>
      </c>
    </row>
    <row r="57" spans="1:21" ht="17.100000000000001" customHeight="1" thickBot="1">
      <c r="A57" s="313"/>
      <c r="B57" s="315"/>
      <c r="C57" s="309"/>
      <c r="D57" s="309"/>
      <c r="E57" s="292"/>
      <c r="F57" s="270"/>
      <c r="G57" s="42">
        <v>0</v>
      </c>
      <c r="H57" s="17" t="s">
        <v>25</v>
      </c>
      <c r="I57" s="42">
        <f t="shared" ref="I57:U57" si="16">I56/I55*1</f>
        <v>1</v>
      </c>
      <c r="J57" s="42">
        <f t="shared" si="16"/>
        <v>1</v>
      </c>
      <c r="K57" s="42">
        <f t="shared" si="16"/>
        <v>1</v>
      </c>
      <c r="L57" s="42">
        <f t="shared" si="16"/>
        <v>1</v>
      </c>
      <c r="M57" s="42">
        <f t="shared" si="16"/>
        <v>1</v>
      </c>
      <c r="N57" s="42">
        <f t="shared" si="16"/>
        <v>1</v>
      </c>
      <c r="O57" s="42">
        <f t="shared" si="16"/>
        <v>1</v>
      </c>
      <c r="P57" s="42">
        <f t="shared" si="16"/>
        <v>1</v>
      </c>
      <c r="Q57" s="42">
        <f t="shared" si="16"/>
        <v>1</v>
      </c>
      <c r="R57" s="42">
        <f t="shared" si="16"/>
        <v>1</v>
      </c>
      <c r="S57" s="42">
        <f t="shared" si="16"/>
        <v>1</v>
      </c>
      <c r="T57" s="42">
        <f t="shared" si="16"/>
        <v>1</v>
      </c>
      <c r="U57" s="78">
        <f t="shared" si="16"/>
        <v>0</v>
      </c>
    </row>
    <row r="58" spans="1:21" ht="17.100000000000001" customHeight="1" thickBot="1">
      <c r="A58" s="313"/>
      <c r="B58" s="315"/>
      <c r="C58" s="293" t="s">
        <v>138</v>
      </c>
      <c r="D58" s="321" t="s">
        <v>116</v>
      </c>
      <c r="E58" s="264" t="s">
        <v>117</v>
      </c>
      <c r="F58" s="275" t="s">
        <v>139</v>
      </c>
      <c r="G58" s="111">
        <v>100</v>
      </c>
      <c r="H58" s="7" t="s">
        <v>23</v>
      </c>
      <c r="I58" s="111">
        <v>100</v>
      </c>
      <c r="J58" s="111">
        <v>100</v>
      </c>
      <c r="K58" s="111">
        <v>100</v>
      </c>
      <c r="L58" s="111">
        <v>100</v>
      </c>
      <c r="M58" s="111">
        <v>100</v>
      </c>
      <c r="N58" s="111">
        <v>100</v>
      </c>
      <c r="O58" s="111">
        <v>100</v>
      </c>
      <c r="P58" s="111">
        <v>100</v>
      </c>
      <c r="Q58" s="111">
        <v>100</v>
      </c>
      <c r="R58" s="111">
        <v>100</v>
      </c>
      <c r="S58" s="111">
        <v>100</v>
      </c>
      <c r="T58" s="111">
        <v>100</v>
      </c>
      <c r="U58" s="79">
        <f>AVERAGE(I58:T58)</f>
        <v>100</v>
      </c>
    </row>
    <row r="59" spans="1:21" ht="17.100000000000001" customHeight="1" thickBot="1">
      <c r="A59" s="313"/>
      <c r="B59" s="315"/>
      <c r="C59" s="293"/>
      <c r="D59" s="293"/>
      <c r="E59" s="264"/>
      <c r="F59" s="275"/>
      <c r="G59" s="112">
        <v>92.833333333333329</v>
      </c>
      <c r="H59" s="12" t="s">
        <v>24</v>
      </c>
      <c r="I59" s="112">
        <v>94</v>
      </c>
      <c r="J59" s="112">
        <v>94</v>
      </c>
      <c r="K59" s="112">
        <v>93</v>
      </c>
      <c r="L59" s="113">
        <v>93.888888888888886</v>
      </c>
      <c r="M59" s="114">
        <v>92.666666666666671</v>
      </c>
      <c r="N59" s="114">
        <v>93.111111111111114</v>
      </c>
      <c r="O59" s="114">
        <v>93.444444444444443</v>
      </c>
      <c r="P59" s="114">
        <v>93.888888888888886</v>
      </c>
      <c r="Q59" s="114">
        <v>94.666666666666671</v>
      </c>
      <c r="R59" s="114">
        <v>92.2</v>
      </c>
      <c r="S59" s="114">
        <v>93.3</v>
      </c>
      <c r="T59" s="115">
        <v>92.5</v>
      </c>
      <c r="U59" s="83">
        <f>AVERAGE(I59:T59)</f>
        <v>93.3888888888889</v>
      </c>
    </row>
    <row r="60" spans="1:21" ht="17.100000000000001" customHeight="1" thickBot="1">
      <c r="A60" s="313"/>
      <c r="B60" s="316"/>
      <c r="C60" s="311"/>
      <c r="D60" s="322"/>
      <c r="E60" s="281"/>
      <c r="F60" s="312"/>
      <c r="G60" s="56">
        <v>0.92833333333333323</v>
      </c>
      <c r="H60" s="17" t="s">
        <v>25</v>
      </c>
      <c r="I60" s="72">
        <f t="shared" ref="I60:U60" si="17">I59/I58*1</f>
        <v>0.94</v>
      </c>
      <c r="J60" s="72">
        <f t="shared" si="17"/>
        <v>0.94</v>
      </c>
      <c r="K60" s="72">
        <f t="shared" si="17"/>
        <v>0.93</v>
      </c>
      <c r="L60" s="72">
        <f t="shared" si="17"/>
        <v>0.93888888888888888</v>
      </c>
      <c r="M60" s="72">
        <f t="shared" si="17"/>
        <v>0.92666666666666675</v>
      </c>
      <c r="N60" s="72">
        <f t="shared" si="17"/>
        <v>0.93111111111111111</v>
      </c>
      <c r="O60" s="72">
        <f t="shared" si="17"/>
        <v>0.93444444444444441</v>
      </c>
      <c r="P60" s="72">
        <f t="shared" si="17"/>
        <v>0.93888888888888888</v>
      </c>
      <c r="Q60" s="72">
        <f t="shared" si="17"/>
        <v>0.94666666666666677</v>
      </c>
      <c r="R60" s="72">
        <f t="shared" si="17"/>
        <v>0.92200000000000004</v>
      </c>
      <c r="S60" s="72">
        <f t="shared" si="17"/>
        <v>0.93299999999999994</v>
      </c>
      <c r="T60" s="73">
        <f t="shared" si="17"/>
        <v>0.92500000000000004</v>
      </c>
      <c r="U60" s="74">
        <f t="shared" si="17"/>
        <v>0.93388888888888899</v>
      </c>
    </row>
    <row r="61" spans="1:21" ht="17.100000000000001" customHeight="1" thickBot="1">
      <c r="A61" s="313">
        <v>5</v>
      </c>
      <c r="B61" s="310" t="s">
        <v>140</v>
      </c>
      <c r="C61" s="293" t="s">
        <v>141</v>
      </c>
      <c r="D61" s="318" t="s">
        <v>142</v>
      </c>
      <c r="E61" s="323" t="s">
        <v>143</v>
      </c>
      <c r="F61" s="275" t="s">
        <v>144</v>
      </c>
      <c r="G61" s="59">
        <v>11121569.833333334</v>
      </c>
      <c r="H61" s="7" t="s">
        <v>23</v>
      </c>
      <c r="I61" s="59">
        <v>16065637</v>
      </c>
      <c r="J61" s="60">
        <v>8663027</v>
      </c>
      <c r="K61" s="60">
        <v>15665488</v>
      </c>
      <c r="L61" s="60">
        <f>299438+47450+315363+2397997+10874567+231531+404180</f>
        <v>14570526</v>
      </c>
      <c r="M61" s="60">
        <f>512220+260120+731173+3343630+2204668+141472+624932</f>
        <v>7818215</v>
      </c>
      <c r="N61" s="60">
        <f>14126+8620+30710+1008514+3476040+60770+193175</f>
        <v>4791955</v>
      </c>
      <c r="O61" s="60">
        <f>576700+139000+475510+2762588+10610850+398895+739286</f>
        <v>15702829</v>
      </c>
      <c r="P61" s="60">
        <f>62928+323920+304586+2950972+5440791+169039+723440</f>
        <v>9975676</v>
      </c>
      <c r="Q61" s="60">
        <f>157202+213967+104022+2552483+2174361+474455+554828</f>
        <v>6231318</v>
      </c>
      <c r="R61" s="60">
        <f>473876+550600+184592+2339399+2000148+493268+686342</f>
        <v>6728225</v>
      </c>
      <c r="S61" s="60">
        <f>778910+384550+318235+2077123+5192262+813905+464558</f>
        <v>10029543</v>
      </c>
      <c r="T61" s="61">
        <f>1014338+863220+315033+2097805+3586913+359784+407020</f>
        <v>8644113</v>
      </c>
      <c r="U61" s="86">
        <f>AVERAGE(I61:T61)</f>
        <v>10407212.666666666</v>
      </c>
    </row>
    <row r="62" spans="1:21" ht="17.100000000000001" customHeight="1" thickBot="1">
      <c r="A62" s="313"/>
      <c r="B62" s="293"/>
      <c r="C62" s="293"/>
      <c r="D62" s="293"/>
      <c r="E62" s="294"/>
      <c r="F62" s="275"/>
      <c r="G62" s="59">
        <v>10903007.5</v>
      </c>
      <c r="H62" s="12" t="s">
        <v>24</v>
      </c>
      <c r="I62" s="68">
        <v>15620787</v>
      </c>
      <c r="J62" s="69">
        <v>8397554</v>
      </c>
      <c r="K62" s="69">
        <v>15280982</v>
      </c>
      <c r="L62" s="69">
        <f>395519+227236+10606007+2298538+301814+45730+286657</f>
        <v>14161501</v>
      </c>
      <c r="M62" s="69">
        <f>493909+249671+702053+3201137+2149853+138371+609651</f>
        <v>7544645</v>
      </c>
      <c r="N62" s="69">
        <f>187560+59215+3381872+971613+29758+8387+13622</f>
        <v>4652027</v>
      </c>
      <c r="O62" s="69">
        <f>721796+391760+10364318+2651516+456646+133353+552904</f>
        <v>15272293</v>
      </c>
      <c r="P62" s="69">
        <f>721796+165488+5296726+2861696+295240+309524+59977</f>
        <v>9710447</v>
      </c>
      <c r="Q62" s="69">
        <f>545343+461364+2116778+2457372+99429+207379+151003</f>
        <v>6038668</v>
      </c>
      <c r="R62" s="69">
        <f>680974+495148+2123965+2457372+179904+531013+462575</f>
        <v>6930951</v>
      </c>
      <c r="S62" s="69">
        <f>499230+793031+5075761+1986052+302259+375727+753823</f>
        <v>9785883</v>
      </c>
      <c r="T62" s="70">
        <f>984793+824067+301854+1996044+3489301+349455+410237</f>
        <v>8355751</v>
      </c>
      <c r="U62" s="77">
        <f>AVERAGE(I62:T62)</f>
        <v>10145957.416666666</v>
      </c>
    </row>
    <row r="63" spans="1:21" ht="17.100000000000001" customHeight="1" thickBot="1">
      <c r="A63" s="248"/>
      <c r="B63" s="309"/>
      <c r="C63" s="309"/>
      <c r="D63" s="322"/>
      <c r="E63" s="324"/>
      <c r="F63" s="270"/>
      <c r="G63" s="42">
        <v>0.98034788823801977</v>
      </c>
      <c r="H63" s="17" t="s">
        <v>25</v>
      </c>
      <c r="I63" s="42">
        <f>I62/I61*1</f>
        <v>0.97231046612095118</v>
      </c>
      <c r="J63" s="42">
        <f t="shared" ref="J63:U63" si="18">J62/J61*1</f>
        <v>0.96935563054345786</v>
      </c>
      <c r="K63" s="42">
        <f t="shared" si="18"/>
        <v>0.97545521722655559</v>
      </c>
      <c r="L63" s="42">
        <f t="shared" si="18"/>
        <v>0.97192791804496281</v>
      </c>
      <c r="M63" s="42">
        <f t="shared" si="18"/>
        <v>0.96500863688194816</v>
      </c>
      <c r="N63" s="42">
        <f t="shared" si="18"/>
        <v>0.97079939189746145</v>
      </c>
      <c r="O63" s="42">
        <f t="shared" si="18"/>
        <v>0.97258226527207292</v>
      </c>
      <c r="P63" s="42">
        <f t="shared" si="18"/>
        <v>0.97341242839081787</v>
      </c>
      <c r="Q63" s="42">
        <f t="shared" si="18"/>
        <v>0.96908358713196796</v>
      </c>
      <c r="R63" s="42">
        <f t="shared" si="18"/>
        <v>1.0301306808259236</v>
      </c>
      <c r="S63" s="42">
        <f t="shared" si="18"/>
        <v>0.97570577243649093</v>
      </c>
      <c r="T63" s="42">
        <f t="shared" si="18"/>
        <v>0.96664064895958668</v>
      </c>
      <c r="U63" s="78">
        <f t="shared" si="18"/>
        <v>0.9748967126580611</v>
      </c>
    </row>
    <row r="64" spans="1:21" ht="17.100000000000001" customHeight="1" thickBot="1">
      <c r="A64" s="313">
        <v>6</v>
      </c>
      <c r="B64" s="339" t="s">
        <v>145</v>
      </c>
      <c r="C64" s="298" t="s">
        <v>146</v>
      </c>
      <c r="D64" s="318" t="s">
        <v>142</v>
      </c>
      <c r="E64" s="323" t="s">
        <v>143</v>
      </c>
      <c r="F64" s="330" t="s">
        <v>147</v>
      </c>
      <c r="G64" s="87">
        <v>12</v>
      </c>
      <c r="H64" s="7" t="s">
        <v>23</v>
      </c>
      <c r="I64" s="87">
        <v>1</v>
      </c>
      <c r="J64" s="116">
        <v>1</v>
      </c>
      <c r="K64" s="116">
        <v>1</v>
      </c>
      <c r="L64" s="87">
        <v>1</v>
      </c>
      <c r="M64" s="116">
        <v>1</v>
      </c>
      <c r="N64" s="116">
        <v>1</v>
      </c>
      <c r="O64" s="87">
        <v>1</v>
      </c>
      <c r="P64" s="116">
        <v>1</v>
      </c>
      <c r="Q64" s="116">
        <v>1</v>
      </c>
      <c r="R64" s="87">
        <v>1</v>
      </c>
      <c r="S64" s="116">
        <v>1</v>
      </c>
      <c r="T64" s="116">
        <v>1</v>
      </c>
      <c r="U64" s="88">
        <f>SUM(I64:T64)</f>
        <v>12</v>
      </c>
    </row>
    <row r="65" spans="1:21" ht="17.100000000000001" customHeight="1" thickBot="1">
      <c r="A65" s="313"/>
      <c r="B65" s="340"/>
      <c r="C65" s="299"/>
      <c r="D65" s="293"/>
      <c r="E65" s="294"/>
      <c r="F65" s="266"/>
      <c r="G65" s="11">
        <v>12</v>
      </c>
      <c r="H65" s="12" t="s">
        <v>24</v>
      </c>
      <c r="I65" s="11">
        <v>0</v>
      </c>
      <c r="J65" s="13">
        <v>0</v>
      </c>
      <c r="K65" s="13">
        <v>0</v>
      </c>
      <c r="L65" s="13">
        <v>1</v>
      </c>
      <c r="M65" s="13">
        <v>1</v>
      </c>
      <c r="N65" s="13">
        <v>1</v>
      </c>
      <c r="O65" s="13">
        <v>1</v>
      </c>
      <c r="P65" s="13">
        <v>1</v>
      </c>
      <c r="Q65" s="13">
        <v>1</v>
      </c>
      <c r="R65" s="13">
        <v>1</v>
      </c>
      <c r="S65" s="13">
        <v>1</v>
      </c>
      <c r="T65" s="13">
        <v>1</v>
      </c>
      <c r="U65" s="15">
        <f>SUM(I65:T65)</f>
        <v>9</v>
      </c>
    </row>
    <row r="66" spans="1:21" ht="17.100000000000001" customHeight="1" thickBot="1">
      <c r="A66" s="313"/>
      <c r="B66" s="341"/>
      <c r="C66" s="305"/>
      <c r="D66" s="322"/>
      <c r="E66" s="324"/>
      <c r="F66" s="331"/>
      <c r="G66" s="56">
        <v>1</v>
      </c>
      <c r="H66" s="17" t="s">
        <v>25</v>
      </c>
      <c r="I66" s="56">
        <f t="shared" ref="I66:U66" si="19">I65/I64*1</f>
        <v>0</v>
      </c>
      <c r="J66" s="56">
        <f t="shared" si="19"/>
        <v>0</v>
      </c>
      <c r="K66" s="56">
        <f t="shared" si="19"/>
        <v>0</v>
      </c>
      <c r="L66" s="56">
        <f t="shared" si="19"/>
        <v>1</v>
      </c>
      <c r="M66" s="56">
        <f t="shared" si="19"/>
        <v>1</v>
      </c>
      <c r="N66" s="56">
        <f t="shared" si="19"/>
        <v>1</v>
      </c>
      <c r="O66" s="56">
        <f t="shared" si="19"/>
        <v>1</v>
      </c>
      <c r="P66" s="56">
        <f t="shared" si="19"/>
        <v>1</v>
      </c>
      <c r="Q66" s="56">
        <f t="shared" si="19"/>
        <v>1</v>
      </c>
      <c r="R66" s="56">
        <f t="shared" si="19"/>
        <v>1</v>
      </c>
      <c r="S66" s="56">
        <f t="shared" si="19"/>
        <v>1</v>
      </c>
      <c r="T66" s="57">
        <f t="shared" si="19"/>
        <v>1</v>
      </c>
      <c r="U66" s="58">
        <f t="shared" si="19"/>
        <v>0.75</v>
      </c>
    </row>
    <row r="67" spans="1:21" ht="17.100000000000001" customHeight="1" thickBot="1">
      <c r="A67" s="249">
        <v>7</v>
      </c>
      <c r="B67" s="287" t="s">
        <v>148</v>
      </c>
      <c r="C67" s="287" t="s">
        <v>149</v>
      </c>
      <c r="D67" s="298" t="s">
        <v>120</v>
      </c>
      <c r="E67" s="263" t="s">
        <v>94</v>
      </c>
      <c r="F67" s="266" t="s">
        <v>150</v>
      </c>
      <c r="G67" s="89">
        <v>5500</v>
      </c>
      <c r="H67" s="7" t="s">
        <v>23</v>
      </c>
      <c r="I67" s="89">
        <v>5000</v>
      </c>
      <c r="J67" s="89">
        <v>5000</v>
      </c>
      <c r="K67" s="89">
        <v>5000</v>
      </c>
      <c r="L67" s="89">
        <v>5000</v>
      </c>
      <c r="M67" s="89">
        <v>5000</v>
      </c>
      <c r="N67" s="89">
        <v>5000</v>
      </c>
      <c r="O67" s="89">
        <v>5000</v>
      </c>
      <c r="P67" s="89">
        <v>5000</v>
      </c>
      <c r="Q67" s="89">
        <v>5000</v>
      </c>
      <c r="R67" s="89">
        <v>5000</v>
      </c>
      <c r="S67" s="89">
        <v>5000</v>
      </c>
      <c r="T67" s="89">
        <v>5000</v>
      </c>
      <c r="U67" s="90">
        <f>AVERAGE(I67:T67)</f>
        <v>5000</v>
      </c>
    </row>
    <row r="68" spans="1:21" ht="17.100000000000001" customHeight="1" thickBot="1">
      <c r="A68" s="313"/>
      <c r="B68" s="287"/>
      <c r="C68" s="287"/>
      <c r="D68" s="299"/>
      <c r="E68" s="264"/>
      <c r="F68" s="266"/>
      <c r="G68" s="62">
        <v>4522.8260375031505</v>
      </c>
      <c r="H68" s="12" t="s">
        <v>24</v>
      </c>
      <c r="I68" s="62">
        <v>4782</v>
      </c>
      <c r="J68" s="63">
        <v>4897</v>
      </c>
      <c r="K68" s="63">
        <v>4367</v>
      </c>
      <c r="L68" s="117">
        <v>4015</v>
      </c>
      <c r="M68" s="117">
        <v>4837</v>
      </c>
      <c r="N68" s="117">
        <v>4758</v>
      </c>
      <c r="O68" s="117">
        <v>4337</v>
      </c>
      <c r="P68" s="117">
        <v>4779</v>
      </c>
      <c r="Q68" s="117">
        <v>4121</v>
      </c>
      <c r="R68" s="117">
        <v>4293</v>
      </c>
      <c r="S68" s="117">
        <v>4791</v>
      </c>
      <c r="T68" s="118">
        <v>4873</v>
      </c>
      <c r="U68" s="91">
        <f>AVERAGE(I68:T68)</f>
        <v>4570.833333333333</v>
      </c>
    </row>
    <row r="69" spans="1:21" ht="17.100000000000001" customHeight="1" thickBot="1">
      <c r="A69" s="248"/>
      <c r="B69" s="325"/>
      <c r="C69" s="325"/>
      <c r="D69" s="288"/>
      <c r="E69" s="264"/>
      <c r="F69" s="266"/>
      <c r="G69" s="42">
        <v>0.82233200681875462</v>
      </c>
      <c r="H69" s="17" t="s">
        <v>25</v>
      </c>
      <c r="I69" s="42">
        <f t="shared" ref="I69:T69" si="20">I67/I68*1</f>
        <v>1.0455876202425762</v>
      </c>
      <c r="J69" s="42">
        <f t="shared" si="20"/>
        <v>1.0210332856851134</v>
      </c>
      <c r="K69" s="42">
        <f t="shared" si="20"/>
        <v>1.144950767117014</v>
      </c>
      <c r="L69" s="42">
        <f t="shared" si="20"/>
        <v>1.2453300124533002</v>
      </c>
      <c r="M69" s="42">
        <f t="shared" si="20"/>
        <v>1.0336985734959685</v>
      </c>
      <c r="N69" s="42">
        <f t="shared" si="20"/>
        <v>1.0508617065994115</v>
      </c>
      <c r="O69" s="42">
        <f t="shared" si="20"/>
        <v>1.1528706479133042</v>
      </c>
      <c r="P69" s="42">
        <f t="shared" si="20"/>
        <v>1.0462439840970914</v>
      </c>
      <c r="Q69" s="42">
        <f t="shared" si="20"/>
        <v>1.2132977432661975</v>
      </c>
      <c r="R69" s="42">
        <f t="shared" si="20"/>
        <v>1.1646866992778941</v>
      </c>
      <c r="S69" s="42">
        <f t="shared" si="20"/>
        <v>1.0436234606553956</v>
      </c>
      <c r="T69" s="65">
        <f t="shared" si="20"/>
        <v>1.0260619741432382</v>
      </c>
      <c r="U69" s="44">
        <f>U67/U68</f>
        <v>1.0938924339106655</v>
      </c>
    </row>
    <row r="70" spans="1:21" ht="17.100000000000001" customHeight="1" thickBot="1">
      <c r="A70" s="313">
        <v>8</v>
      </c>
      <c r="B70" s="258" t="s">
        <v>151</v>
      </c>
      <c r="C70" s="298" t="s">
        <v>152</v>
      </c>
      <c r="D70" s="298" t="s">
        <v>153</v>
      </c>
      <c r="E70" s="308" t="s">
        <v>104</v>
      </c>
      <c r="F70" s="330" t="s">
        <v>154</v>
      </c>
      <c r="G70" s="94">
        <v>1</v>
      </c>
      <c r="H70" s="7" t="s">
        <v>23</v>
      </c>
      <c r="I70" s="95">
        <v>1</v>
      </c>
      <c r="J70" s="95">
        <v>1</v>
      </c>
      <c r="K70" s="95">
        <v>1</v>
      </c>
      <c r="L70" s="95">
        <v>1</v>
      </c>
      <c r="M70" s="95">
        <v>1</v>
      </c>
      <c r="N70" s="95">
        <v>1</v>
      </c>
      <c r="O70" s="95">
        <v>1</v>
      </c>
      <c r="P70" s="95">
        <v>1</v>
      </c>
      <c r="Q70" s="95">
        <v>1</v>
      </c>
      <c r="R70" s="95">
        <v>1</v>
      </c>
      <c r="S70" s="95">
        <v>1</v>
      </c>
      <c r="T70" s="95">
        <v>1</v>
      </c>
      <c r="U70" s="97">
        <f>AVERAGE(I70:T70)</f>
        <v>1</v>
      </c>
    </row>
    <row r="71" spans="1:21" ht="17.100000000000001" customHeight="1" thickBot="1">
      <c r="A71" s="313"/>
      <c r="B71" s="259"/>
      <c r="C71" s="299"/>
      <c r="D71" s="299"/>
      <c r="E71" s="264"/>
      <c r="F71" s="266"/>
      <c r="G71" s="98">
        <v>1</v>
      </c>
      <c r="H71" s="12" t="s">
        <v>24</v>
      </c>
      <c r="I71" s="98">
        <v>1</v>
      </c>
      <c r="J71" s="98">
        <v>1</v>
      </c>
      <c r="K71" s="98">
        <v>1</v>
      </c>
      <c r="L71" s="98">
        <v>1</v>
      </c>
      <c r="M71" s="98">
        <v>1</v>
      </c>
      <c r="N71" s="98">
        <v>1</v>
      </c>
      <c r="O71" s="98">
        <v>1</v>
      </c>
      <c r="P71" s="98">
        <v>1</v>
      </c>
      <c r="Q71" s="98">
        <v>1</v>
      </c>
      <c r="R71" s="98">
        <v>1</v>
      </c>
      <c r="S71" s="98">
        <v>1</v>
      </c>
      <c r="T71" s="98">
        <v>1</v>
      </c>
      <c r="U71" s="99">
        <f>AVERAGE(I71:T71)</f>
        <v>1</v>
      </c>
    </row>
    <row r="72" spans="1:21" ht="17.100000000000001" customHeight="1" thickBot="1">
      <c r="A72" s="313"/>
      <c r="B72" s="259"/>
      <c r="C72" s="288"/>
      <c r="D72" s="325"/>
      <c r="E72" s="335"/>
      <c r="F72" s="271"/>
      <c r="G72" s="16">
        <v>1</v>
      </c>
      <c r="H72" s="17" t="s">
        <v>25</v>
      </c>
      <c r="I72" s="16">
        <f t="shared" ref="I72:U72" si="21">I71/I70*1</f>
        <v>1</v>
      </c>
      <c r="J72" s="16">
        <f t="shared" si="21"/>
        <v>1</v>
      </c>
      <c r="K72" s="16">
        <f t="shared" si="21"/>
        <v>1</v>
      </c>
      <c r="L72" s="16">
        <f t="shared" si="21"/>
        <v>1</v>
      </c>
      <c r="M72" s="16">
        <f t="shared" si="21"/>
        <v>1</v>
      </c>
      <c r="N72" s="16">
        <f t="shared" si="21"/>
        <v>1</v>
      </c>
      <c r="O72" s="16">
        <f t="shared" si="21"/>
        <v>1</v>
      </c>
      <c r="P72" s="16">
        <f t="shared" si="21"/>
        <v>1</v>
      </c>
      <c r="Q72" s="16">
        <f t="shared" si="21"/>
        <v>1</v>
      </c>
      <c r="R72" s="16">
        <f t="shared" si="21"/>
        <v>1</v>
      </c>
      <c r="S72" s="16">
        <f t="shared" si="21"/>
        <v>1</v>
      </c>
      <c r="T72" s="18">
        <f t="shared" si="21"/>
        <v>1</v>
      </c>
      <c r="U72" s="19">
        <f t="shared" si="21"/>
        <v>1</v>
      </c>
    </row>
    <row r="73" spans="1:21" ht="17.100000000000001" customHeight="1" thickBot="1">
      <c r="A73" s="313"/>
      <c r="B73" s="259"/>
      <c r="C73" s="287" t="s">
        <v>155</v>
      </c>
      <c r="D73" s="342" t="s">
        <v>120</v>
      </c>
      <c r="E73" s="263" t="s">
        <v>94</v>
      </c>
      <c r="F73" s="304" t="s">
        <v>156</v>
      </c>
      <c r="G73" s="6">
        <v>30</v>
      </c>
      <c r="H73" s="7" t="s">
        <v>23</v>
      </c>
      <c r="I73" s="6">
        <v>3</v>
      </c>
      <c r="J73" s="8">
        <v>3</v>
      </c>
      <c r="K73" s="8">
        <v>2</v>
      </c>
      <c r="L73" s="8">
        <v>3</v>
      </c>
      <c r="M73" s="8">
        <v>2</v>
      </c>
      <c r="N73" s="8">
        <v>2</v>
      </c>
      <c r="O73" s="8">
        <v>2</v>
      </c>
      <c r="P73" s="8">
        <v>2</v>
      </c>
      <c r="Q73" s="8">
        <v>2</v>
      </c>
      <c r="R73" s="8">
        <v>2</v>
      </c>
      <c r="S73" s="8">
        <v>2</v>
      </c>
      <c r="T73" s="8">
        <v>2</v>
      </c>
      <c r="U73" s="10">
        <f>SUM(I73:T73)</f>
        <v>27</v>
      </c>
    </row>
    <row r="74" spans="1:21" ht="17.100000000000001" customHeight="1" thickBot="1">
      <c r="A74" s="313"/>
      <c r="B74" s="259"/>
      <c r="C74" s="299"/>
      <c r="D74" s="299"/>
      <c r="E74" s="264"/>
      <c r="F74" s="301"/>
      <c r="G74" s="6">
        <v>30</v>
      </c>
      <c r="H74" s="100" t="s">
        <v>24</v>
      </c>
      <c r="I74" s="6">
        <v>3</v>
      </c>
      <c r="J74" s="8">
        <v>3</v>
      </c>
      <c r="K74" s="8">
        <v>2</v>
      </c>
      <c r="L74" s="13">
        <v>3</v>
      </c>
      <c r="M74" s="13">
        <v>0</v>
      </c>
      <c r="N74" s="13">
        <v>0</v>
      </c>
      <c r="O74" s="13">
        <v>4</v>
      </c>
      <c r="P74" s="13">
        <v>4</v>
      </c>
      <c r="Q74" s="13">
        <v>2</v>
      </c>
      <c r="R74" s="13">
        <v>2</v>
      </c>
      <c r="S74" s="13">
        <v>2</v>
      </c>
      <c r="T74" s="13">
        <v>2</v>
      </c>
      <c r="U74" s="15">
        <f>SUM(I74:T74)</f>
        <v>27</v>
      </c>
    </row>
    <row r="75" spans="1:21" ht="17.100000000000001" customHeight="1" thickBot="1">
      <c r="A75" s="313"/>
      <c r="B75" s="307"/>
      <c r="C75" s="305"/>
      <c r="D75" s="343"/>
      <c r="E75" s="344"/>
      <c r="F75" s="306"/>
      <c r="G75" s="56">
        <v>1</v>
      </c>
      <c r="H75" s="101" t="s">
        <v>25</v>
      </c>
      <c r="I75" s="56">
        <f t="shared" ref="I75:U75" si="22">I74/I73*1</f>
        <v>1</v>
      </c>
      <c r="J75" s="56">
        <f t="shared" si="22"/>
        <v>1</v>
      </c>
      <c r="K75" s="56">
        <f t="shared" si="22"/>
        <v>1</v>
      </c>
      <c r="L75" s="56">
        <f t="shared" si="22"/>
        <v>1</v>
      </c>
      <c r="M75" s="56">
        <f t="shared" si="22"/>
        <v>0</v>
      </c>
      <c r="N75" s="56">
        <f t="shared" si="22"/>
        <v>0</v>
      </c>
      <c r="O75" s="56">
        <f t="shared" si="22"/>
        <v>2</v>
      </c>
      <c r="P75" s="56">
        <f t="shared" si="22"/>
        <v>2</v>
      </c>
      <c r="Q75" s="56">
        <f t="shared" si="22"/>
        <v>1</v>
      </c>
      <c r="R75" s="56">
        <f t="shared" si="22"/>
        <v>1</v>
      </c>
      <c r="S75" s="56">
        <f t="shared" si="22"/>
        <v>1</v>
      </c>
      <c r="T75" s="57">
        <f t="shared" si="22"/>
        <v>1</v>
      </c>
      <c r="U75" s="58">
        <f t="shared" si="22"/>
        <v>1</v>
      </c>
    </row>
    <row r="76" spans="1:21" ht="15" customHeight="1" thickBot="1">
      <c r="A76" s="332">
        <v>9</v>
      </c>
      <c r="B76" s="259" t="s">
        <v>157</v>
      </c>
      <c r="C76" s="259" t="s">
        <v>158</v>
      </c>
      <c r="D76" s="259" t="s">
        <v>101</v>
      </c>
      <c r="E76" s="264" t="s">
        <v>104</v>
      </c>
      <c r="F76" s="266" t="s">
        <v>159</v>
      </c>
      <c r="G76" s="94">
        <v>1</v>
      </c>
      <c r="H76" s="119" t="s">
        <v>23</v>
      </c>
      <c r="I76" s="93">
        <v>1</v>
      </c>
      <c r="J76" s="93">
        <v>1</v>
      </c>
      <c r="K76" s="93">
        <v>1</v>
      </c>
      <c r="L76" s="93">
        <v>1</v>
      </c>
      <c r="M76" s="93">
        <v>1</v>
      </c>
      <c r="N76" s="93">
        <v>1</v>
      </c>
      <c r="O76" s="93">
        <v>1</v>
      </c>
      <c r="P76" s="93">
        <v>1</v>
      </c>
      <c r="Q76" s="93">
        <v>1</v>
      </c>
      <c r="R76" s="93">
        <v>1</v>
      </c>
      <c r="S76" s="93">
        <v>1</v>
      </c>
      <c r="T76" s="93">
        <v>1</v>
      </c>
      <c r="U76" s="10">
        <f>SUM(I76:T76)</f>
        <v>12</v>
      </c>
    </row>
    <row r="77" spans="1:21" ht="15" customHeight="1" thickBot="1">
      <c r="A77" s="333"/>
      <c r="B77" s="259"/>
      <c r="C77" s="259"/>
      <c r="D77" s="259"/>
      <c r="E77" s="264"/>
      <c r="F77" s="266"/>
      <c r="G77" s="98">
        <v>1</v>
      </c>
      <c r="H77" s="100" t="s">
        <v>24</v>
      </c>
      <c r="I77" s="98">
        <v>1</v>
      </c>
      <c r="J77" s="98">
        <v>1</v>
      </c>
      <c r="K77" s="98">
        <v>1</v>
      </c>
      <c r="L77" s="98">
        <v>1</v>
      </c>
      <c r="M77" s="98">
        <v>1</v>
      </c>
      <c r="N77" s="98">
        <v>1</v>
      </c>
      <c r="O77" s="98">
        <v>1</v>
      </c>
      <c r="P77" s="98">
        <v>1</v>
      </c>
      <c r="Q77" s="98">
        <v>1</v>
      </c>
      <c r="R77" s="98">
        <v>1</v>
      </c>
      <c r="S77" s="98">
        <v>1</v>
      </c>
      <c r="T77" s="98">
        <v>1</v>
      </c>
      <c r="U77" s="15">
        <f>SUM(I77:T77)</f>
        <v>12</v>
      </c>
    </row>
    <row r="78" spans="1:21" ht="15" customHeight="1" thickBot="1">
      <c r="A78" s="333"/>
      <c r="B78" s="307"/>
      <c r="C78" s="307"/>
      <c r="D78" s="307"/>
      <c r="E78" s="281"/>
      <c r="F78" s="334"/>
      <c r="G78" s="16">
        <v>1</v>
      </c>
      <c r="H78" s="101" t="s">
        <v>25</v>
      </c>
      <c r="I78" s="56">
        <f t="shared" ref="I78:U78" si="23">I77/I76*1</f>
        <v>1</v>
      </c>
      <c r="J78" s="56">
        <f t="shared" si="23"/>
        <v>1</v>
      </c>
      <c r="K78" s="56">
        <f t="shared" si="23"/>
        <v>1</v>
      </c>
      <c r="L78" s="56">
        <f t="shared" si="23"/>
        <v>1</v>
      </c>
      <c r="M78" s="56">
        <f t="shared" si="23"/>
        <v>1</v>
      </c>
      <c r="N78" s="56">
        <f t="shared" si="23"/>
        <v>1</v>
      </c>
      <c r="O78" s="56">
        <f t="shared" si="23"/>
        <v>1</v>
      </c>
      <c r="P78" s="56">
        <f t="shared" si="23"/>
        <v>1</v>
      </c>
      <c r="Q78" s="56">
        <f t="shared" si="23"/>
        <v>1</v>
      </c>
      <c r="R78" s="56">
        <f t="shared" si="23"/>
        <v>1</v>
      </c>
      <c r="S78" s="56">
        <f t="shared" si="23"/>
        <v>1</v>
      </c>
      <c r="T78" s="57">
        <f t="shared" si="23"/>
        <v>1</v>
      </c>
      <c r="U78" s="58">
        <f t="shared" si="23"/>
        <v>1</v>
      </c>
    </row>
    <row r="83" spans="9:14">
      <c r="I83" s="102"/>
      <c r="J83" s="103"/>
      <c r="K83" s="103"/>
      <c r="L83" s="103"/>
      <c r="M83" s="103"/>
      <c r="N83" s="103"/>
    </row>
  </sheetData>
  <mergeCells count="120">
    <mergeCell ref="A76:A78"/>
    <mergeCell ref="B76:B78"/>
    <mergeCell ref="C76:C78"/>
    <mergeCell ref="D76:D78"/>
    <mergeCell ref="E76:E78"/>
    <mergeCell ref="F76:F78"/>
    <mergeCell ref="A70:A75"/>
    <mergeCell ref="B70:B75"/>
    <mergeCell ref="C70:C72"/>
    <mergeCell ref="D70:D72"/>
    <mergeCell ref="E70:E72"/>
    <mergeCell ref="F70:F72"/>
    <mergeCell ref="C73:C75"/>
    <mergeCell ref="D73:D75"/>
    <mergeCell ref="E73:E75"/>
    <mergeCell ref="F73:F75"/>
    <mergeCell ref="E58:E60"/>
    <mergeCell ref="F58:F60"/>
    <mergeCell ref="A61:A63"/>
    <mergeCell ref="B61:B63"/>
    <mergeCell ref="C61:C63"/>
    <mergeCell ref="D61:D63"/>
    <mergeCell ref="E61:E63"/>
    <mergeCell ref="F61:F63"/>
    <mergeCell ref="A67:A69"/>
    <mergeCell ref="B67:B69"/>
    <mergeCell ref="C67:C69"/>
    <mergeCell ref="D67:D69"/>
    <mergeCell ref="E67:E69"/>
    <mergeCell ref="F67:F69"/>
    <mergeCell ref="A64:A66"/>
    <mergeCell ref="B64:B66"/>
    <mergeCell ref="C64:C66"/>
    <mergeCell ref="D64:D66"/>
    <mergeCell ref="E64:E66"/>
    <mergeCell ref="F64:F66"/>
    <mergeCell ref="A43:A48"/>
    <mergeCell ref="B43:B48"/>
    <mergeCell ref="C43:C45"/>
    <mergeCell ref="D43:D48"/>
    <mergeCell ref="E43:E48"/>
    <mergeCell ref="F43:F45"/>
    <mergeCell ref="E52:E54"/>
    <mergeCell ref="F52:F54"/>
    <mergeCell ref="C55:C57"/>
    <mergeCell ref="D55:D57"/>
    <mergeCell ref="E55:E57"/>
    <mergeCell ref="F55:F57"/>
    <mergeCell ref="C46:C48"/>
    <mergeCell ref="F46:F48"/>
    <mergeCell ref="A49:A60"/>
    <mergeCell ref="B49:B60"/>
    <mergeCell ref="C49:C51"/>
    <mergeCell ref="D49:D51"/>
    <mergeCell ref="E49:E51"/>
    <mergeCell ref="F49:F51"/>
    <mergeCell ref="C52:C54"/>
    <mergeCell ref="D52:D54"/>
    <mergeCell ref="C58:C60"/>
    <mergeCell ref="D58:D60"/>
    <mergeCell ref="A28:A42"/>
    <mergeCell ref="B28:B42"/>
    <mergeCell ref="C28:C30"/>
    <mergeCell ref="D28:D30"/>
    <mergeCell ref="E28:E30"/>
    <mergeCell ref="F28:F30"/>
    <mergeCell ref="C31:C33"/>
    <mergeCell ref="D31:D33"/>
    <mergeCell ref="E31:E33"/>
    <mergeCell ref="F31:F33"/>
    <mergeCell ref="C40:C42"/>
    <mergeCell ref="D40:D42"/>
    <mergeCell ref="E40:E42"/>
    <mergeCell ref="F40:F42"/>
    <mergeCell ref="E19:E21"/>
    <mergeCell ref="F19:F21"/>
    <mergeCell ref="C34:C36"/>
    <mergeCell ref="D34:D36"/>
    <mergeCell ref="E34:E36"/>
    <mergeCell ref="F34:F36"/>
    <mergeCell ref="C37:C39"/>
    <mergeCell ref="D37:D39"/>
    <mergeCell ref="E37:E39"/>
    <mergeCell ref="F37:F39"/>
    <mergeCell ref="G5:G6"/>
    <mergeCell ref="H5:U5"/>
    <mergeCell ref="A7:A27"/>
    <mergeCell ref="B7:B27"/>
    <mergeCell ref="C7:C9"/>
    <mergeCell ref="D7:D9"/>
    <mergeCell ref="E7:E9"/>
    <mergeCell ref="F7:F9"/>
    <mergeCell ref="C10:C12"/>
    <mergeCell ref="D10:D12"/>
    <mergeCell ref="C22:C24"/>
    <mergeCell ref="D22:D24"/>
    <mergeCell ref="E22:E24"/>
    <mergeCell ref="F22:F24"/>
    <mergeCell ref="C25:C27"/>
    <mergeCell ref="D25:D27"/>
    <mergeCell ref="E25:E27"/>
    <mergeCell ref="F25:F27"/>
    <mergeCell ref="C16:C18"/>
    <mergeCell ref="D16:D18"/>
    <mergeCell ref="E16:E18"/>
    <mergeCell ref="F16:F18"/>
    <mergeCell ref="C19:C21"/>
    <mergeCell ref="D19:D21"/>
    <mergeCell ref="A5:A6"/>
    <mergeCell ref="B5:B6"/>
    <mergeCell ref="C5:C6"/>
    <mergeCell ref="D5:D6"/>
    <mergeCell ref="E5:E6"/>
    <mergeCell ref="F5:F6"/>
    <mergeCell ref="E10:E12"/>
    <mergeCell ref="F10:F12"/>
    <mergeCell ref="C13:C15"/>
    <mergeCell ref="D13:D15"/>
    <mergeCell ref="E13:E15"/>
    <mergeCell ref="F13:F1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85"/>
  <sheetViews>
    <sheetView showGridLines="0" topLeftCell="D3" workbookViewId="0">
      <selection activeCell="I22" sqref="I22:T23"/>
    </sheetView>
  </sheetViews>
  <sheetFormatPr defaultRowHeight="15"/>
  <cols>
    <col min="1" max="1" width="5.42578125" style="1" bestFit="1" customWidth="1"/>
    <col min="2" max="2" width="14.140625" style="1" bestFit="1" customWidth="1"/>
    <col min="3" max="3" width="19.85546875" style="1" bestFit="1" customWidth="1"/>
    <col min="4" max="4" width="11.28515625" style="1" bestFit="1" customWidth="1"/>
    <col min="5" max="5" width="14.140625" style="1" customWidth="1"/>
    <col min="6" max="6" width="32.42578125" style="1" bestFit="1" customWidth="1"/>
    <col min="7" max="7" width="10.7109375" style="1" customWidth="1"/>
    <col min="8" max="21" width="11.140625" style="1" customWidth="1"/>
    <col min="22" max="22" width="13" style="1" bestFit="1" customWidth="1"/>
    <col min="23" max="16384" width="9.140625" style="1"/>
  </cols>
  <sheetData>
    <row r="2" spans="1:22" ht="15" customHeight="1">
      <c r="A2" s="121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04" t="s">
        <v>1</v>
      </c>
      <c r="T2" s="104" t="s">
        <v>2</v>
      </c>
      <c r="U2" s="104" t="s">
        <v>3</v>
      </c>
      <c r="V2" s="124"/>
    </row>
    <row r="3" spans="1:22" ht="30" customHeight="1">
      <c r="A3" s="121"/>
      <c r="B3" s="121" t="s">
        <v>179</v>
      </c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6" t="s">
        <v>243</v>
      </c>
      <c r="T3" s="126" t="s">
        <v>5</v>
      </c>
      <c r="U3" s="126" t="s">
        <v>6</v>
      </c>
      <c r="V3" s="125"/>
    </row>
    <row r="4" spans="1:22" ht="16.5" customHeight="1" thickBot="1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</row>
    <row r="5" spans="1:22" s="105" customFormat="1" ht="17.100000000000001" customHeight="1" thickBot="1">
      <c r="A5" s="345" t="s">
        <v>180</v>
      </c>
      <c r="B5" s="347" t="s">
        <v>8</v>
      </c>
      <c r="C5" s="347" t="s">
        <v>9</v>
      </c>
      <c r="D5" s="347" t="s">
        <v>10</v>
      </c>
      <c r="E5" s="347" t="s">
        <v>11</v>
      </c>
      <c r="F5" s="349" t="s">
        <v>12</v>
      </c>
      <c r="G5" s="358" t="s">
        <v>181</v>
      </c>
      <c r="H5" s="351" t="s">
        <v>182</v>
      </c>
      <c r="I5" s="352"/>
      <c r="J5" s="352"/>
      <c r="K5" s="352"/>
      <c r="L5" s="352"/>
      <c r="M5" s="352"/>
      <c r="N5" s="352"/>
      <c r="O5" s="352"/>
      <c r="P5" s="352"/>
      <c r="Q5" s="352"/>
      <c r="R5" s="352"/>
      <c r="S5" s="352"/>
      <c r="T5" s="352"/>
      <c r="U5" s="353"/>
    </row>
    <row r="6" spans="1:22" s="105" customFormat="1" ht="30.75" customHeight="1" thickBot="1">
      <c r="A6" s="346"/>
      <c r="B6" s="348"/>
      <c r="C6" s="348"/>
      <c r="D6" s="348"/>
      <c r="E6" s="348"/>
      <c r="F6" s="350"/>
      <c r="G6" s="359"/>
      <c r="H6" s="129" t="s">
        <v>16</v>
      </c>
      <c r="I6" s="106">
        <v>44562</v>
      </c>
      <c r="J6" s="106">
        <v>44593</v>
      </c>
      <c r="K6" s="106">
        <v>44621</v>
      </c>
      <c r="L6" s="106">
        <v>44652</v>
      </c>
      <c r="M6" s="106">
        <v>44682</v>
      </c>
      <c r="N6" s="106">
        <v>44713</v>
      </c>
      <c r="O6" s="106">
        <v>44743</v>
      </c>
      <c r="P6" s="106">
        <v>44774</v>
      </c>
      <c r="Q6" s="106">
        <v>44805</v>
      </c>
      <c r="R6" s="106">
        <v>44835</v>
      </c>
      <c r="S6" s="106">
        <v>44866</v>
      </c>
      <c r="T6" s="106">
        <v>44896</v>
      </c>
      <c r="U6" s="107" t="s">
        <v>17</v>
      </c>
    </row>
    <row r="7" spans="1:22" ht="17.100000000000001" customHeight="1">
      <c r="A7" s="248">
        <v>1</v>
      </c>
      <c r="B7" s="258" t="s">
        <v>18</v>
      </c>
      <c r="C7" s="260" t="s">
        <v>19</v>
      </c>
      <c r="D7" s="262" t="s">
        <v>20</v>
      </c>
      <c r="E7" s="263" t="s">
        <v>21</v>
      </c>
      <c r="F7" s="265" t="s">
        <v>22</v>
      </c>
      <c r="G7" s="6"/>
      <c r="H7" s="7" t="s">
        <v>23</v>
      </c>
      <c r="I7" s="6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10">
        <f>SUM(I7:T7)</f>
        <v>0</v>
      </c>
    </row>
    <row r="8" spans="1:22" ht="17.100000000000001" customHeight="1">
      <c r="A8" s="257"/>
      <c r="B8" s="259"/>
      <c r="C8" s="261"/>
      <c r="D8" s="259"/>
      <c r="E8" s="264"/>
      <c r="F8" s="266"/>
      <c r="G8" s="11"/>
      <c r="H8" s="12" t="s">
        <v>24</v>
      </c>
      <c r="I8" s="11"/>
      <c r="J8" s="13"/>
      <c r="K8" s="13"/>
      <c r="L8" s="13"/>
      <c r="M8" s="13"/>
      <c r="N8" s="13"/>
      <c r="O8" s="13"/>
      <c r="P8" s="13"/>
      <c r="Q8" s="13"/>
      <c r="R8" s="13"/>
      <c r="S8" s="13"/>
      <c r="T8" s="14"/>
      <c r="U8" s="15">
        <f>SUM(I8:T8)</f>
        <v>0</v>
      </c>
    </row>
    <row r="9" spans="1:22" ht="17.100000000000001" customHeight="1">
      <c r="A9" s="257"/>
      <c r="B9" s="259"/>
      <c r="C9" s="261"/>
      <c r="D9" s="259"/>
      <c r="E9" s="264"/>
      <c r="F9" s="266"/>
      <c r="G9" s="16"/>
      <c r="H9" s="17" t="s">
        <v>25</v>
      </c>
      <c r="I9" s="16" t="e">
        <f t="shared" ref="I9:U9" si="0">I7/I8*1</f>
        <v>#DIV/0!</v>
      </c>
      <c r="J9" s="16" t="e">
        <f t="shared" si="0"/>
        <v>#DIV/0!</v>
      </c>
      <c r="K9" s="16" t="e">
        <f t="shared" si="0"/>
        <v>#DIV/0!</v>
      </c>
      <c r="L9" s="16" t="e">
        <f t="shared" si="0"/>
        <v>#DIV/0!</v>
      </c>
      <c r="M9" s="16" t="e">
        <f t="shared" si="0"/>
        <v>#DIV/0!</v>
      </c>
      <c r="N9" s="16" t="e">
        <f t="shared" si="0"/>
        <v>#DIV/0!</v>
      </c>
      <c r="O9" s="16" t="e">
        <f t="shared" si="0"/>
        <v>#DIV/0!</v>
      </c>
      <c r="P9" s="16" t="e">
        <f t="shared" si="0"/>
        <v>#DIV/0!</v>
      </c>
      <c r="Q9" s="16" t="e">
        <f t="shared" si="0"/>
        <v>#DIV/0!</v>
      </c>
      <c r="R9" s="16" t="e">
        <f t="shared" si="0"/>
        <v>#DIV/0!</v>
      </c>
      <c r="S9" s="16" t="e">
        <f t="shared" si="0"/>
        <v>#DIV/0!</v>
      </c>
      <c r="T9" s="18" t="e">
        <f t="shared" si="0"/>
        <v>#DIV/0!</v>
      </c>
      <c r="U9" s="19" t="e">
        <f t="shared" si="0"/>
        <v>#DIV/0!</v>
      </c>
    </row>
    <row r="10" spans="1:22" ht="17.100000000000001" customHeight="1">
      <c r="A10" s="257"/>
      <c r="B10" s="259"/>
      <c r="C10" s="267" t="s">
        <v>26</v>
      </c>
      <c r="D10" s="262" t="s">
        <v>20</v>
      </c>
      <c r="E10" s="263" t="s">
        <v>21</v>
      </c>
      <c r="F10" s="270" t="s">
        <v>27</v>
      </c>
      <c r="G10" s="6"/>
      <c r="H10" s="7" t="s">
        <v>23</v>
      </c>
      <c r="I10" s="6"/>
      <c r="J10" s="8"/>
      <c r="K10" s="8"/>
      <c r="L10" s="8"/>
      <c r="M10" s="8"/>
      <c r="N10" s="8"/>
      <c r="O10" s="8"/>
      <c r="P10" s="8"/>
      <c r="Q10" s="8"/>
      <c r="R10" s="8"/>
      <c r="S10" s="8"/>
      <c r="T10" s="9"/>
      <c r="U10" s="10">
        <f>SUM(I10:T10)</f>
        <v>0</v>
      </c>
    </row>
    <row r="11" spans="1:22" ht="17.100000000000001" customHeight="1">
      <c r="A11" s="257"/>
      <c r="B11" s="259"/>
      <c r="C11" s="268"/>
      <c r="D11" s="259"/>
      <c r="E11" s="264"/>
      <c r="F11" s="266"/>
      <c r="G11" s="11"/>
      <c r="H11" s="12" t="s">
        <v>24</v>
      </c>
      <c r="I11" s="11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4"/>
      <c r="U11" s="15">
        <f>SUM(I11:T11)</f>
        <v>0</v>
      </c>
    </row>
    <row r="12" spans="1:22" ht="17.100000000000001" customHeight="1">
      <c r="A12" s="257"/>
      <c r="B12" s="259"/>
      <c r="C12" s="269"/>
      <c r="D12" s="259"/>
      <c r="E12" s="264"/>
      <c r="F12" s="271"/>
      <c r="G12" s="16"/>
      <c r="H12" s="17" t="s">
        <v>25</v>
      </c>
      <c r="I12" s="16" t="e">
        <f t="shared" ref="I12:Q12" si="1">I11/I10*1</f>
        <v>#DIV/0!</v>
      </c>
      <c r="J12" s="16" t="e">
        <f t="shared" si="1"/>
        <v>#DIV/0!</v>
      </c>
      <c r="K12" s="16" t="e">
        <f t="shared" si="1"/>
        <v>#DIV/0!</v>
      </c>
      <c r="L12" s="16" t="e">
        <f t="shared" si="1"/>
        <v>#DIV/0!</v>
      </c>
      <c r="M12" s="16" t="e">
        <f t="shared" si="1"/>
        <v>#DIV/0!</v>
      </c>
      <c r="N12" s="16" t="e">
        <f t="shared" si="1"/>
        <v>#DIV/0!</v>
      </c>
      <c r="O12" s="16" t="e">
        <f t="shared" si="1"/>
        <v>#DIV/0!</v>
      </c>
      <c r="P12" s="16" t="e">
        <f t="shared" si="1"/>
        <v>#DIV/0!</v>
      </c>
      <c r="Q12" s="16" t="e">
        <f t="shared" si="1"/>
        <v>#DIV/0!</v>
      </c>
      <c r="R12" s="16" t="e">
        <f>R10/R11*1</f>
        <v>#DIV/0!</v>
      </c>
      <c r="S12" s="16" t="e">
        <f>S11/S10*1</f>
        <v>#DIV/0!</v>
      </c>
      <c r="T12" s="18" t="e">
        <f>T11/T10*1</f>
        <v>#DIV/0!</v>
      </c>
      <c r="U12" s="19" t="e">
        <f>U10/U11*1</f>
        <v>#DIV/0!</v>
      </c>
    </row>
    <row r="13" spans="1:22" ht="17.100000000000001" customHeight="1">
      <c r="A13" s="257"/>
      <c r="B13" s="259"/>
      <c r="C13" s="272" t="s">
        <v>165</v>
      </c>
      <c r="D13" s="259" t="s">
        <v>29</v>
      </c>
      <c r="E13" s="274" t="s">
        <v>30</v>
      </c>
      <c r="F13" s="275" t="s">
        <v>183</v>
      </c>
      <c r="G13" s="21">
        <v>36600000</v>
      </c>
      <c r="H13" s="7" t="s">
        <v>23</v>
      </c>
      <c r="I13" s="127">
        <v>3100000</v>
      </c>
      <c r="J13" s="127">
        <v>3100000</v>
      </c>
      <c r="K13" s="127">
        <v>3100000</v>
      </c>
      <c r="L13" s="127">
        <v>3100000</v>
      </c>
      <c r="M13" s="127">
        <v>3100000</v>
      </c>
      <c r="N13" s="127">
        <v>3100000</v>
      </c>
      <c r="O13" s="127">
        <v>3100000</v>
      </c>
      <c r="P13" s="127">
        <v>3100000</v>
      </c>
      <c r="Q13" s="127">
        <v>3100000</v>
      </c>
      <c r="R13" s="127">
        <v>3100000</v>
      </c>
      <c r="S13" s="127">
        <v>3100000</v>
      </c>
      <c r="T13" s="127">
        <v>3100000</v>
      </c>
      <c r="U13" s="20">
        <f>SUM(I13:T13)</f>
        <v>37200000</v>
      </c>
    </row>
    <row r="14" spans="1:22" ht="17.100000000000001" customHeight="1">
      <c r="A14" s="257"/>
      <c r="B14" s="259"/>
      <c r="C14" s="272"/>
      <c r="D14" s="259"/>
      <c r="E14" s="274"/>
      <c r="F14" s="275"/>
      <c r="G14" s="22">
        <v>37600720.25250712</v>
      </c>
      <c r="H14" s="12" t="s">
        <v>24</v>
      </c>
      <c r="I14" s="22">
        <v>3219722.3958351798</v>
      </c>
      <c r="J14" s="23">
        <v>3155004</v>
      </c>
      <c r="K14" s="23">
        <v>3229752.1105116098</v>
      </c>
      <c r="L14" s="23">
        <v>3289026.1396173602</v>
      </c>
      <c r="M14" s="23">
        <v>3450022</v>
      </c>
      <c r="N14" s="23">
        <v>3605268</v>
      </c>
      <c r="O14" s="23">
        <v>3602001</v>
      </c>
      <c r="P14" s="23">
        <v>3815006</v>
      </c>
      <c r="Q14" s="23">
        <v>3842005</v>
      </c>
      <c r="R14" s="23">
        <v>3812500</v>
      </c>
      <c r="S14" s="23">
        <v>3954021</v>
      </c>
      <c r="T14" s="23">
        <v>3815650</v>
      </c>
      <c r="U14" s="25">
        <f>SUM(I14:T14)</f>
        <v>42789977.645964146</v>
      </c>
    </row>
    <row r="15" spans="1:22" ht="17.100000000000001" customHeight="1">
      <c r="A15" s="257"/>
      <c r="B15" s="259"/>
      <c r="C15" s="272"/>
      <c r="D15" s="273"/>
      <c r="E15" s="274"/>
      <c r="F15" s="275"/>
      <c r="G15" s="16">
        <v>0.71262874418820654</v>
      </c>
      <c r="H15" s="17" t="s">
        <v>25</v>
      </c>
      <c r="I15" s="16">
        <f t="shared" ref="I15:U15" si="2">I14/I13*1</f>
        <v>1.0386201276887677</v>
      </c>
      <c r="J15" s="16">
        <f t="shared" si="2"/>
        <v>1.0177432258064516</v>
      </c>
      <c r="K15" s="16">
        <f t="shared" si="2"/>
        <v>1.0418555195198742</v>
      </c>
      <c r="L15" s="16">
        <f t="shared" si="2"/>
        <v>1.0609761740701162</v>
      </c>
      <c r="M15" s="16">
        <f t="shared" si="2"/>
        <v>1.1129103225806452</v>
      </c>
      <c r="N15" s="16">
        <f t="shared" si="2"/>
        <v>1.1629896774193549</v>
      </c>
      <c r="O15" s="16">
        <f t="shared" si="2"/>
        <v>1.161935806451613</v>
      </c>
      <c r="P15" s="16">
        <f t="shared" si="2"/>
        <v>1.2306470967741936</v>
      </c>
      <c r="Q15" s="16">
        <f t="shared" si="2"/>
        <v>1.2393564516129032</v>
      </c>
      <c r="R15" s="16">
        <f t="shared" si="2"/>
        <v>1.2298387096774193</v>
      </c>
      <c r="S15" s="16">
        <f t="shared" si="2"/>
        <v>1.2754906451612904</v>
      </c>
      <c r="T15" s="18">
        <f t="shared" si="2"/>
        <v>1.2308548387096774</v>
      </c>
      <c r="U15" s="19">
        <f t="shared" si="2"/>
        <v>1.1502682162893587</v>
      </c>
    </row>
    <row r="16" spans="1:22" ht="17.100000000000001" customHeight="1">
      <c r="A16" s="257"/>
      <c r="B16" s="259"/>
      <c r="C16" s="282" t="s">
        <v>32</v>
      </c>
      <c r="D16" s="285" t="s">
        <v>29</v>
      </c>
      <c r="E16" s="274" t="s">
        <v>30</v>
      </c>
      <c r="F16" s="270" t="s">
        <v>33</v>
      </c>
      <c r="G16" s="127"/>
      <c r="H16" s="7" t="s">
        <v>23</v>
      </c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7"/>
      <c r="U16" s="20">
        <f>SUM(I16:T16)</f>
        <v>0</v>
      </c>
    </row>
    <row r="17" spans="1:21" ht="17.100000000000001" customHeight="1">
      <c r="A17" s="257"/>
      <c r="B17" s="259"/>
      <c r="C17" s="283"/>
      <c r="D17" s="285"/>
      <c r="E17" s="274"/>
      <c r="F17" s="266"/>
      <c r="G17" s="22"/>
      <c r="H17" s="12" t="s">
        <v>24</v>
      </c>
      <c r="I17" s="2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4"/>
      <c r="U17" s="25">
        <f>SUM(I17:T17)</f>
        <v>0</v>
      </c>
    </row>
    <row r="18" spans="1:21" ht="17.100000000000001" customHeight="1">
      <c r="A18" s="257"/>
      <c r="B18" s="259"/>
      <c r="C18" s="284"/>
      <c r="D18" s="285"/>
      <c r="E18" s="274"/>
      <c r="F18" s="271"/>
      <c r="G18" s="16"/>
      <c r="H18" s="17" t="s">
        <v>25</v>
      </c>
      <c r="I18" s="16" t="e">
        <f t="shared" ref="I18:U18" si="3">I17/I16*1</f>
        <v>#DIV/0!</v>
      </c>
      <c r="J18" s="16" t="e">
        <f t="shared" si="3"/>
        <v>#DIV/0!</v>
      </c>
      <c r="K18" s="16" t="e">
        <f t="shared" si="3"/>
        <v>#DIV/0!</v>
      </c>
      <c r="L18" s="16" t="e">
        <f t="shared" si="3"/>
        <v>#DIV/0!</v>
      </c>
      <c r="M18" s="16" t="e">
        <f t="shared" si="3"/>
        <v>#DIV/0!</v>
      </c>
      <c r="N18" s="16" t="e">
        <f t="shared" si="3"/>
        <v>#DIV/0!</v>
      </c>
      <c r="O18" s="16" t="e">
        <f t="shared" si="3"/>
        <v>#DIV/0!</v>
      </c>
      <c r="P18" s="16" t="e">
        <f t="shared" si="3"/>
        <v>#DIV/0!</v>
      </c>
      <c r="Q18" s="16" t="e">
        <f t="shared" si="3"/>
        <v>#DIV/0!</v>
      </c>
      <c r="R18" s="16" t="e">
        <f t="shared" si="3"/>
        <v>#DIV/0!</v>
      </c>
      <c r="S18" s="16" t="e">
        <f t="shared" si="3"/>
        <v>#DIV/0!</v>
      </c>
      <c r="T18" s="18" t="e">
        <f t="shared" si="3"/>
        <v>#DIV/0!</v>
      </c>
      <c r="U18" s="19" t="e">
        <f t="shared" si="3"/>
        <v>#DIV/0!</v>
      </c>
    </row>
    <row r="19" spans="1:21" ht="17.100000000000001" customHeight="1">
      <c r="A19" s="257"/>
      <c r="B19" s="259"/>
      <c r="C19" s="282" t="s">
        <v>34</v>
      </c>
      <c r="D19" s="285" t="s">
        <v>29</v>
      </c>
      <c r="E19" s="274" t="s">
        <v>30</v>
      </c>
      <c r="F19" s="270" t="s">
        <v>35</v>
      </c>
      <c r="G19" s="128"/>
      <c r="H19" s="7" t="s">
        <v>23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9"/>
      <c r="U19" s="30" t="e">
        <f>AVERAGE(I19:T19)</f>
        <v>#DIV/0!</v>
      </c>
    </row>
    <row r="20" spans="1:21" ht="17.100000000000001" customHeight="1">
      <c r="A20" s="257"/>
      <c r="B20" s="259"/>
      <c r="C20" s="283"/>
      <c r="D20" s="285"/>
      <c r="E20" s="274"/>
      <c r="F20" s="266"/>
      <c r="G20" s="31"/>
      <c r="H20" s="12" t="s">
        <v>24</v>
      </c>
      <c r="I20" s="31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3"/>
      <c r="U20" s="34" t="e">
        <f>AVERAGE(I20:T20)</f>
        <v>#DIV/0!</v>
      </c>
    </row>
    <row r="21" spans="1:21" ht="17.100000000000001" customHeight="1">
      <c r="A21" s="257"/>
      <c r="B21" s="259"/>
      <c r="C21" s="284"/>
      <c r="D21" s="285"/>
      <c r="E21" s="274"/>
      <c r="F21" s="271"/>
      <c r="G21" s="16"/>
      <c r="H21" s="17" t="s">
        <v>25</v>
      </c>
      <c r="I21" s="16" t="e">
        <f t="shared" ref="I21:U21" si="4">I20/I19*1</f>
        <v>#DIV/0!</v>
      </c>
      <c r="J21" s="16" t="e">
        <f t="shared" si="4"/>
        <v>#DIV/0!</v>
      </c>
      <c r="K21" s="16" t="e">
        <f t="shared" si="4"/>
        <v>#DIV/0!</v>
      </c>
      <c r="L21" s="16" t="e">
        <f t="shared" si="4"/>
        <v>#DIV/0!</v>
      </c>
      <c r="M21" s="16" t="e">
        <f t="shared" si="4"/>
        <v>#DIV/0!</v>
      </c>
      <c r="N21" s="16" t="e">
        <f t="shared" si="4"/>
        <v>#DIV/0!</v>
      </c>
      <c r="O21" s="16" t="e">
        <f t="shared" si="4"/>
        <v>#DIV/0!</v>
      </c>
      <c r="P21" s="16" t="e">
        <f t="shared" si="4"/>
        <v>#DIV/0!</v>
      </c>
      <c r="Q21" s="16" t="e">
        <f t="shared" si="4"/>
        <v>#DIV/0!</v>
      </c>
      <c r="R21" s="16" t="e">
        <f t="shared" si="4"/>
        <v>#DIV/0!</v>
      </c>
      <c r="S21" s="16" t="e">
        <f t="shared" si="4"/>
        <v>#DIV/0!</v>
      </c>
      <c r="T21" s="18" t="e">
        <f t="shared" si="4"/>
        <v>#DIV/0!</v>
      </c>
      <c r="U21" s="19" t="e">
        <f t="shared" si="4"/>
        <v>#DIV/0!</v>
      </c>
    </row>
    <row r="22" spans="1:21" ht="17.100000000000001" customHeight="1">
      <c r="A22" s="257"/>
      <c r="B22" s="259"/>
      <c r="C22" s="272" t="s">
        <v>166</v>
      </c>
      <c r="D22" s="259" t="s">
        <v>20</v>
      </c>
      <c r="E22" s="274" t="s">
        <v>37</v>
      </c>
      <c r="F22" s="275" t="s">
        <v>167</v>
      </c>
      <c r="G22" s="36">
        <v>72</v>
      </c>
      <c r="H22" s="7" t="s">
        <v>23</v>
      </c>
      <c r="I22" s="36">
        <v>6</v>
      </c>
      <c r="J22" s="36">
        <v>6</v>
      </c>
      <c r="K22" s="36">
        <v>6</v>
      </c>
      <c r="L22" s="36">
        <v>6</v>
      </c>
      <c r="M22" s="36">
        <v>6</v>
      </c>
      <c r="N22" s="36">
        <v>6</v>
      </c>
      <c r="O22" s="36">
        <v>6</v>
      </c>
      <c r="P22" s="36">
        <v>6</v>
      </c>
      <c r="Q22" s="36">
        <v>6</v>
      </c>
      <c r="R22" s="36">
        <v>6</v>
      </c>
      <c r="S22" s="36">
        <v>6</v>
      </c>
      <c r="T22" s="36">
        <v>6</v>
      </c>
      <c r="U22" s="10">
        <f>SUM(I22:T22)</f>
        <v>72</v>
      </c>
    </row>
    <row r="23" spans="1:21" ht="17.100000000000001" customHeight="1">
      <c r="A23" s="257"/>
      <c r="B23" s="259"/>
      <c r="C23" s="272"/>
      <c r="D23" s="259"/>
      <c r="E23" s="274"/>
      <c r="F23" s="275"/>
      <c r="G23" s="11">
        <v>70</v>
      </c>
      <c r="H23" s="12" t="s">
        <v>24</v>
      </c>
      <c r="I23" s="13">
        <v>5</v>
      </c>
      <c r="J23" s="13">
        <v>4</v>
      </c>
      <c r="K23" s="13">
        <v>5</v>
      </c>
      <c r="L23" s="13">
        <v>4</v>
      </c>
      <c r="M23" s="13">
        <v>5</v>
      </c>
      <c r="N23" s="13">
        <v>5</v>
      </c>
      <c r="O23" s="13">
        <v>4</v>
      </c>
      <c r="P23" s="13">
        <v>6</v>
      </c>
      <c r="Q23" s="13">
        <v>5</v>
      </c>
      <c r="R23" s="13">
        <v>6</v>
      </c>
      <c r="S23" s="13">
        <v>5</v>
      </c>
      <c r="T23" s="13">
        <v>5</v>
      </c>
      <c r="U23" s="15">
        <f>SUM(I23:T23)</f>
        <v>59</v>
      </c>
    </row>
    <row r="24" spans="1:21" ht="17.100000000000001" customHeight="1">
      <c r="A24" s="257"/>
      <c r="B24" s="259"/>
      <c r="C24" s="272"/>
      <c r="D24" s="259"/>
      <c r="E24" s="274"/>
      <c r="F24" s="275"/>
      <c r="G24" s="16">
        <v>0.75</v>
      </c>
      <c r="H24" s="17" t="s">
        <v>25</v>
      </c>
      <c r="I24" s="37">
        <f t="shared" ref="I24:U24" si="5">I23/I22*1</f>
        <v>0.83333333333333337</v>
      </c>
      <c r="J24" s="37">
        <f t="shared" si="5"/>
        <v>0.66666666666666663</v>
      </c>
      <c r="K24" s="37">
        <f t="shared" si="5"/>
        <v>0.83333333333333337</v>
      </c>
      <c r="L24" s="37">
        <f t="shared" si="5"/>
        <v>0.66666666666666663</v>
      </c>
      <c r="M24" s="37">
        <f t="shared" si="5"/>
        <v>0.83333333333333337</v>
      </c>
      <c r="N24" s="37">
        <f t="shared" si="5"/>
        <v>0.83333333333333337</v>
      </c>
      <c r="O24" s="37">
        <f t="shared" si="5"/>
        <v>0.66666666666666663</v>
      </c>
      <c r="P24" s="37">
        <f t="shared" si="5"/>
        <v>1</v>
      </c>
      <c r="Q24" s="37">
        <f t="shared" si="5"/>
        <v>0.83333333333333337</v>
      </c>
      <c r="R24" s="37">
        <f t="shared" si="5"/>
        <v>1</v>
      </c>
      <c r="S24" s="37">
        <f t="shared" si="5"/>
        <v>0.83333333333333337</v>
      </c>
      <c r="T24" s="38">
        <f t="shared" si="5"/>
        <v>0.83333333333333337</v>
      </c>
      <c r="U24" s="19">
        <f t="shared" si="5"/>
        <v>0.81944444444444442</v>
      </c>
    </row>
    <row r="25" spans="1:21" ht="17.100000000000001" customHeight="1">
      <c r="A25" s="257"/>
      <c r="B25" s="259"/>
      <c r="C25" s="280" t="s">
        <v>39</v>
      </c>
      <c r="D25" s="272" t="s">
        <v>40</v>
      </c>
      <c r="E25" s="263" t="s">
        <v>21</v>
      </c>
      <c r="F25" s="275" t="s">
        <v>41</v>
      </c>
      <c r="G25" s="36">
        <v>12</v>
      </c>
      <c r="H25" s="7" t="s">
        <v>23</v>
      </c>
      <c r="I25" s="36">
        <v>1</v>
      </c>
      <c r="J25" s="36">
        <v>1</v>
      </c>
      <c r="K25" s="36">
        <v>1</v>
      </c>
      <c r="L25" s="39">
        <v>1</v>
      </c>
      <c r="M25" s="39">
        <v>1</v>
      </c>
      <c r="N25" s="39">
        <v>1</v>
      </c>
      <c r="O25" s="39">
        <v>1</v>
      </c>
      <c r="P25" s="39">
        <v>1</v>
      </c>
      <c r="Q25" s="39">
        <v>1</v>
      </c>
      <c r="R25" s="39">
        <v>1</v>
      </c>
      <c r="S25" s="39">
        <v>1</v>
      </c>
      <c r="T25" s="39">
        <v>1</v>
      </c>
      <c r="U25" s="10">
        <f>SUM(I25:T25)</f>
        <v>12</v>
      </c>
    </row>
    <row r="26" spans="1:21" ht="17.100000000000001" customHeight="1">
      <c r="A26" s="257"/>
      <c r="B26" s="259"/>
      <c r="C26" s="280"/>
      <c r="D26" s="272"/>
      <c r="E26" s="264"/>
      <c r="F26" s="275"/>
      <c r="G26" s="11">
        <v>9</v>
      </c>
      <c r="H26" s="12" t="s">
        <v>24</v>
      </c>
      <c r="I26" s="13">
        <v>1</v>
      </c>
      <c r="J26" s="13">
        <v>1</v>
      </c>
      <c r="K26" s="13">
        <v>1</v>
      </c>
      <c r="L26" s="13">
        <v>1</v>
      </c>
      <c r="M26" s="13">
        <v>1</v>
      </c>
      <c r="N26" s="13">
        <v>1</v>
      </c>
      <c r="O26" s="13">
        <v>1</v>
      </c>
      <c r="P26" s="13">
        <v>1</v>
      </c>
      <c r="Q26" s="13">
        <v>1</v>
      </c>
      <c r="R26" s="13">
        <v>1</v>
      </c>
      <c r="S26" s="13">
        <v>1</v>
      </c>
      <c r="T26" s="13">
        <v>1</v>
      </c>
      <c r="U26" s="15">
        <f>SUM(I26:T26)</f>
        <v>12</v>
      </c>
    </row>
    <row r="27" spans="1:21" ht="17.100000000000001" customHeight="1" thickBot="1">
      <c r="A27" s="249"/>
      <c r="B27" s="259"/>
      <c r="C27" s="260"/>
      <c r="D27" s="262"/>
      <c r="E27" s="281"/>
      <c r="F27" s="270"/>
      <c r="G27" s="42">
        <v>1.3333333333333333</v>
      </c>
      <c r="H27" s="17" t="s">
        <v>25</v>
      </c>
      <c r="I27" s="41">
        <f t="shared" ref="I27:Q27" si="6">I26/I25*1</f>
        <v>1</v>
      </c>
      <c r="J27" s="41">
        <f t="shared" si="6"/>
        <v>1</v>
      </c>
      <c r="K27" s="41">
        <f t="shared" si="6"/>
        <v>1</v>
      </c>
      <c r="L27" s="41">
        <f t="shared" si="6"/>
        <v>1</v>
      </c>
      <c r="M27" s="41">
        <f t="shared" si="6"/>
        <v>1</v>
      </c>
      <c r="N27" s="41">
        <f t="shared" si="6"/>
        <v>1</v>
      </c>
      <c r="O27" s="41">
        <f t="shared" si="6"/>
        <v>1</v>
      </c>
      <c r="P27" s="41">
        <f t="shared" si="6"/>
        <v>1</v>
      </c>
      <c r="Q27" s="41">
        <f t="shared" si="6"/>
        <v>1</v>
      </c>
      <c r="R27" s="42">
        <f>R25/R26*1</f>
        <v>1</v>
      </c>
      <c r="S27" s="41">
        <f>S26/S25*1</f>
        <v>1</v>
      </c>
      <c r="T27" s="43">
        <f>T26/T25*1</f>
        <v>1</v>
      </c>
      <c r="U27" s="44">
        <f>U25/U26*1</f>
        <v>1</v>
      </c>
    </row>
    <row r="28" spans="1:21" ht="17.100000000000001" customHeight="1">
      <c r="A28" s="257">
        <v>2</v>
      </c>
      <c r="B28" s="295" t="s">
        <v>42</v>
      </c>
      <c r="C28" s="298" t="s">
        <v>43</v>
      </c>
      <c r="D28" s="298" t="s">
        <v>44</v>
      </c>
      <c r="E28" s="263" t="s">
        <v>21</v>
      </c>
      <c r="F28" s="300" t="s">
        <v>168</v>
      </c>
      <c r="G28" s="89">
        <v>100</v>
      </c>
      <c r="H28" s="7" t="s">
        <v>23</v>
      </c>
      <c r="I28" s="89">
        <v>100</v>
      </c>
      <c r="J28" s="89">
        <v>100</v>
      </c>
      <c r="K28" s="89">
        <v>100</v>
      </c>
      <c r="L28" s="89">
        <v>100</v>
      </c>
      <c r="M28" s="89">
        <v>100</v>
      </c>
      <c r="N28" s="89">
        <v>100</v>
      </c>
      <c r="O28" s="89">
        <v>100</v>
      </c>
      <c r="P28" s="89">
        <v>100</v>
      </c>
      <c r="Q28" s="89">
        <v>100</v>
      </c>
      <c r="R28" s="89">
        <v>100</v>
      </c>
      <c r="S28" s="89">
        <v>100</v>
      </c>
      <c r="T28" s="89">
        <v>100</v>
      </c>
      <c r="U28" s="46">
        <f>AVERAGE(I28:T28)</f>
        <v>100</v>
      </c>
    </row>
    <row r="29" spans="1:21" ht="17.100000000000001" customHeight="1">
      <c r="A29" s="257"/>
      <c r="B29" s="296"/>
      <c r="C29" s="299"/>
      <c r="D29" s="299"/>
      <c r="E29" s="264"/>
      <c r="F29" s="301"/>
      <c r="G29" s="62">
        <v>15.666666666666666</v>
      </c>
      <c r="H29" s="12" t="s">
        <v>24</v>
      </c>
      <c r="I29" s="62">
        <v>40</v>
      </c>
      <c r="J29" s="62">
        <v>31</v>
      </c>
      <c r="K29" s="62">
        <v>0</v>
      </c>
      <c r="L29" s="62">
        <v>0</v>
      </c>
      <c r="M29" s="62">
        <v>30</v>
      </c>
      <c r="N29" s="62">
        <v>50</v>
      </c>
      <c r="O29" s="62">
        <v>35</v>
      </c>
      <c r="P29" s="62">
        <v>40</v>
      </c>
      <c r="Q29" s="62">
        <v>42</v>
      </c>
      <c r="R29" s="62">
        <v>43</v>
      </c>
      <c r="S29" s="62">
        <v>37</v>
      </c>
      <c r="T29" s="62">
        <v>25</v>
      </c>
      <c r="U29" s="25">
        <f>AVERAGE(I29:T29)</f>
        <v>31.083333333333332</v>
      </c>
    </row>
    <row r="30" spans="1:21" ht="17.100000000000001" customHeight="1" thickBot="1">
      <c r="A30" s="257"/>
      <c r="B30" s="296"/>
      <c r="C30" s="288"/>
      <c r="D30" s="288"/>
      <c r="E30" s="264"/>
      <c r="F30" s="302"/>
      <c r="G30" s="16">
        <v>0.15666666666666665</v>
      </c>
      <c r="H30" s="17" t="s">
        <v>25</v>
      </c>
      <c r="I30" s="16">
        <f t="shared" ref="I30:T30" si="7">I28/I29*1</f>
        <v>2.5</v>
      </c>
      <c r="J30" s="16">
        <f t="shared" si="7"/>
        <v>3.225806451612903</v>
      </c>
      <c r="K30" s="16" t="e">
        <f t="shared" si="7"/>
        <v>#DIV/0!</v>
      </c>
      <c r="L30" s="16" t="e">
        <f t="shared" si="7"/>
        <v>#DIV/0!</v>
      </c>
      <c r="M30" s="16">
        <f t="shared" si="7"/>
        <v>3.3333333333333335</v>
      </c>
      <c r="N30" s="16">
        <f t="shared" si="7"/>
        <v>2</v>
      </c>
      <c r="O30" s="16">
        <f t="shared" si="7"/>
        <v>2.8571428571428572</v>
      </c>
      <c r="P30" s="16">
        <f t="shared" si="7"/>
        <v>2.5</v>
      </c>
      <c r="Q30" s="16">
        <f t="shared" si="7"/>
        <v>2.3809523809523809</v>
      </c>
      <c r="R30" s="16">
        <f t="shared" si="7"/>
        <v>2.3255813953488373</v>
      </c>
      <c r="S30" s="16">
        <f t="shared" si="7"/>
        <v>2.7027027027027026</v>
      </c>
      <c r="T30" s="18">
        <f t="shared" si="7"/>
        <v>4</v>
      </c>
      <c r="U30" s="19">
        <f>U29/U28*1</f>
        <v>0.31083333333333329</v>
      </c>
    </row>
    <row r="31" spans="1:21" ht="17.100000000000001" customHeight="1">
      <c r="A31" s="257"/>
      <c r="B31" s="296"/>
      <c r="C31" s="287" t="s">
        <v>46</v>
      </c>
      <c r="D31" s="290" t="s">
        <v>47</v>
      </c>
      <c r="E31" s="292" t="s">
        <v>21</v>
      </c>
      <c r="F31" s="304" t="s">
        <v>169</v>
      </c>
      <c r="G31" s="89">
        <v>12</v>
      </c>
      <c r="H31" s="7" t="s">
        <v>23</v>
      </c>
      <c r="I31" s="67">
        <v>1</v>
      </c>
      <c r="J31" s="67">
        <v>1</v>
      </c>
      <c r="K31" s="67">
        <v>1</v>
      </c>
      <c r="L31" s="67">
        <v>1</v>
      </c>
      <c r="M31" s="67">
        <v>1</v>
      </c>
      <c r="N31" s="67">
        <v>1</v>
      </c>
      <c r="O31" s="67">
        <v>1</v>
      </c>
      <c r="P31" s="67">
        <v>1</v>
      </c>
      <c r="Q31" s="67">
        <v>1</v>
      </c>
      <c r="R31" s="67">
        <v>1</v>
      </c>
      <c r="S31" s="67">
        <v>1</v>
      </c>
      <c r="T31" s="67">
        <v>1</v>
      </c>
      <c r="U31" s="20">
        <f>SUM(I31:T31)</f>
        <v>12</v>
      </c>
    </row>
    <row r="32" spans="1:21" ht="17.100000000000001" customHeight="1">
      <c r="A32" s="257"/>
      <c r="B32" s="296"/>
      <c r="C32" s="299"/>
      <c r="D32" s="303"/>
      <c r="E32" s="292"/>
      <c r="F32" s="301"/>
      <c r="G32" s="62">
        <v>0</v>
      </c>
      <c r="H32" s="12" t="s">
        <v>24</v>
      </c>
      <c r="I32" s="63">
        <v>0</v>
      </c>
      <c r="J32" s="63">
        <v>0</v>
      </c>
      <c r="K32" s="63">
        <v>0</v>
      </c>
      <c r="L32" s="63">
        <v>0</v>
      </c>
      <c r="M32" s="63">
        <v>0</v>
      </c>
      <c r="N32" s="63">
        <v>0</v>
      </c>
      <c r="O32" s="63">
        <v>0</v>
      </c>
      <c r="P32" s="63">
        <v>0</v>
      </c>
      <c r="Q32" s="63">
        <v>0</v>
      </c>
      <c r="R32" s="63">
        <v>0</v>
      </c>
      <c r="S32" s="63">
        <v>0</v>
      </c>
      <c r="T32" s="63">
        <v>0</v>
      </c>
      <c r="U32" s="25">
        <f>SUM(I32:T32)</f>
        <v>0</v>
      </c>
    </row>
    <row r="33" spans="1:21" ht="17.100000000000001" customHeight="1">
      <c r="A33" s="257"/>
      <c r="B33" s="296"/>
      <c r="C33" s="288"/>
      <c r="D33" s="291"/>
      <c r="E33" s="292"/>
      <c r="F33" s="302"/>
      <c r="G33" s="16"/>
      <c r="H33" s="17" t="s">
        <v>25</v>
      </c>
      <c r="I33" s="16">
        <f t="shared" ref="I33:T33" si="8">I32/I31*1</f>
        <v>0</v>
      </c>
      <c r="J33" s="16">
        <f t="shared" si="8"/>
        <v>0</v>
      </c>
      <c r="K33" s="16">
        <f t="shared" si="8"/>
        <v>0</v>
      </c>
      <c r="L33" s="16">
        <f t="shared" si="8"/>
        <v>0</v>
      </c>
      <c r="M33" s="16">
        <f t="shared" si="8"/>
        <v>0</v>
      </c>
      <c r="N33" s="16">
        <f t="shared" si="8"/>
        <v>0</v>
      </c>
      <c r="O33" s="16">
        <f t="shared" si="8"/>
        <v>0</v>
      </c>
      <c r="P33" s="16">
        <f t="shared" si="8"/>
        <v>0</v>
      </c>
      <c r="Q33" s="16">
        <f t="shared" si="8"/>
        <v>0</v>
      </c>
      <c r="R33" s="16">
        <f t="shared" si="8"/>
        <v>0</v>
      </c>
      <c r="S33" s="16">
        <f t="shared" si="8"/>
        <v>0</v>
      </c>
      <c r="T33" s="16">
        <f t="shared" si="8"/>
        <v>0</v>
      </c>
      <c r="U33" s="19" t="e">
        <f>U31/U32</f>
        <v>#DIV/0!</v>
      </c>
    </row>
    <row r="34" spans="1:21" ht="17.100000000000001" customHeight="1">
      <c r="A34" s="257"/>
      <c r="B34" s="296"/>
      <c r="C34" s="286" t="s">
        <v>49</v>
      </c>
      <c r="D34" s="289" t="s">
        <v>44</v>
      </c>
      <c r="E34" s="292" t="s">
        <v>21</v>
      </c>
      <c r="F34" s="270" t="s">
        <v>170</v>
      </c>
      <c r="G34" s="6">
        <v>24</v>
      </c>
      <c r="H34" s="7" t="s">
        <v>23</v>
      </c>
      <c r="I34" s="6">
        <v>2</v>
      </c>
      <c r="J34" s="6">
        <v>2</v>
      </c>
      <c r="K34" s="6">
        <v>2</v>
      </c>
      <c r="L34" s="6">
        <v>2</v>
      </c>
      <c r="M34" s="6">
        <v>2</v>
      </c>
      <c r="N34" s="6">
        <v>2</v>
      </c>
      <c r="O34" s="6">
        <v>2</v>
      </c>
      <c r="P34" s="6">
        <v>2</v>
      </c>
      <c r="Q34" s="6">
        <v>2</v>
      </c>
      <c r="R34" s="6">
        <v>2</v>
      </c>
      <c r="S34" s="6">
        <v>2</v>
      </c>
      <c r="T34" s="6">
        <v>2</v>
      </c>
      <c r="U34" s="10">
        <f>SUM(I34:T34)</f>
        <v>24</v>
      </c>
    </row>
    <row r="35" spans="1:21" ht="17.100000000000001" customHeight="1">
      <c r="A35" s="257"/>
      <c r="B35" s="296"/>
      <c r="C35" s="287"/>
      <c r="D35" s="290"/>
      <c r="E35" s="292"/>
      <c r="F35" s="266"/>
      <c r="G35" s="11">
        <v>10</v>
      </c>
      <c r="H35" s="12" t="s">
        <v>24</v>
      </c>
      <c r="I35" s="11">
        <v>3</v>
      </c>
      <c r="J35" s="13">
        <v>0</v>
      </c>
      <c r="K35" s="13">
        <v>2</v>
      </c>
      <c r="L35" s="13">
        <v>0</v>
      </c>
      <c r="M35" s="13">
        <v>0</v>
      </c>
      <c r="N35" s="13">
        <v>0</v>
      </c>
      <c r="O35" s="13">
        <v>2</v>
      </c>
      <c r="P35" s="13">
        <v>1</v>
      </c>
      <c r="Q35" s="13">
        <v>1</v>
      </c>
      <c r="R35" s="13">
        <v>2</v>
      </c>
      <c r="S35" s="13">
        <v>0</v>
      </c>
      <c r="T35" s="13">
        <v>0</v>
      </c>
      <c r="U35" s="15">
        <f>SUM(I35:T35)</f>
        <v>11</v>
      </c>
    </row>
    <row r="36" spans="1:21" ht="17.100000000000001" customHeight="1">
      <c r="A36" s="257"/>
      <c r="B36" s="296"/>
      <c r="C36" s="288"/>
      <c r="D36" s="291"/>
      <c r="E36" s="292"/>
      <c r="F36" s="271"/>
      <c r="G36" s="16">
        <v>2.4</v>
      </c>
      <c r="H36" s="17" t="s">
        <v>25</v>
      </c>
      <c r="I36" s="16">
        <f t="shared" ref="I36:T36" si="9">I35/I34*1</f>
        <v>1.5</v>
      </c>
      <c r="J36" s="16">
        <f t="shared" si="9"/>
        <v>0</v>
      </c>
      <c r="K36" s="16">
        <f t="shared" si="9"/>
        <v>1</v>
      </c>
      <c r="L36" s="16">
        <f t="shared" si="9"/>
        <v>0</v>
      </c>
      <c r="M36" s="16">
        <f t="shared" si="9"/>
        <v>0</v>
      </c>
      <c r="N36" s="16">
        <f t="shared" si="9"/>
        <v>0</v>
      </c>
      <c r="O36" s="16">
        <f t="shared" si="9"/>
        <v>1</v>
      </c>
      <c r="P36" s="16">
        <f t="shared" si="9"/>
        <v>0.5</v>
      </c>
      <c r="Q36" s="16">
        <f t="shared" si="9"/>
        <v>0.5</v>
      </c>
      <c r="R36" s="16">
        <f t="shared" si="9"/>
        <v>1</v>
      </c>
      <c r="S36" s="16">
        <f t="shared" si="9"/>
        <v>0</v>
      </c>
      <c r="T36" s="18">
        <f t="shared" si="9"/>
        <v>0</v>
      </c>
      <c r="U36" s="19">
        <f>U34/U35</f>
        <v>2.1818181818181817</v>
      </c>
    </row>
    <row r="37" spans="1:21" ht="17.100000000000001" customHeight="1">
      <c r="A37" s="257"/>
      <c r="B37" s="296"/>
      <c r="C37" s="293" t="s">
        <v>51</v>
      </c>
      <c r="D37" s="294" t="s">
        <v>44</v>
      </c>
      <c r="E37" s="292" t="s">
        <v>21</v>
      </c>
      <c r="F37" s="275" t="s">
        <v>184</v>
      </c>
      <c r="G37" s="66">
        <v>12</v>
      </c>
      <c r="H37" s="7" t="s">
        <v>23</v>
      </c>
      <c r="I37" s="67">
        <v>1</v>
      </c>
      <c r="J37" s="67">
        <v>1</v>
      </c>
      <c r="K37" s="67">
        <v>1</v>
      </c>
      <c r="L37" s="67">
        <v>1</v>
      </c>
      <c r="M37" s="67">
        <v>1</v>
      </c>
      <c r="N37" s="67">
        <v>1</v>
      </c>
      <c r="O37" s="67">
        <v>1</v>
      </c>
      <c r="P37" s="67">
        <v>1</v>
      </c>
      <c r="Q37" s="67">
        <v>1</v>
      </c>
      <c r="R37" s="67">
        <v>1</v>
      </c>
      <c r="S37" s="67">
        <v>1</v>
      </c>
      <c r="T37" s="67">
        <v>1</v>
      </c>
      <c r="U37" s="10">
        <f>SUM(I37:T37)</f>
        <v>12</v>
      </c>
    </row>
    <row r="38" spans="1:21" ht="17.100000000000001" customHeight="1">
      <c r="A38" s="257"/>
      <c r="B38" s="296"/>
      <c r="C38" s="293"/>
      <c r="D38" s="294"/>
      <c r="E38" s="292"/>
      <c r="F38" s="275"/>
      <c r="G38" s="62">
        <v>9</v>
      </c>
      <c r="H38" s="12" t="s">
        <v>24</v>
      </c>
      <c r="I38" s="63">
        <v>0</v>
      </c>
      <c r="J38" s="63">
        <v>0</v>
      </c>
      <c r="K38" s="63">
        <v>0</v>
      </c>
      <c r="L38" s="63">
        <v>0</v>
      </c>
      <c r="M38" s="63">
        <v>2</v>
      </c>
      <c r="N38" s="63">
        <v>1</v>
      </c>
      <c r="O38" s="63">
        <v>0</v>
      </c>
      <c r="P38" s="63">
        <v>2</v>
      </c>
      <c r="Q38" s="63">
        <v>1</v>
      </c>
      <c r="R38" s="63">
        <v>2</v>
      </c>
      <c r="S38" s="63">
        <v>1</v>
      </c>
      <c r="T38" s="63">
        <v>1</v>
      </c>
      <c r="U38" s="15">
        <f>SUM(I38:T38)</f>
        <v>10</v>
      </c>
    </row>
    <row r="39" spans="1:21" ht="17.100000000000001" customHeight="1">
      <c r="A39" s="257"/>
      <c r="B39" s="296"/>
      <c r="C39" s="293"/>
      <c r="D39" s="294"/>
      <c r="E39" s="292"/>
      <c r="F39" s="275"/>
      <c r="G39" s="16">
        <v>0.75</v>
      </c>
      <c r="H39" s="17" t="s">
        <v>25</v>
      </c>
      <c r="I39" s="16">
        <f t="shared" ref="I39:U39" si="10">I38/I37*1</f>
        <v>0</v>
      </c>
      <c r="J39" s="16">
        <f t="shared" si="10"/>
        <v>0</v>
      </c>
      <c r="K39" s="16">
        <f t="shared" si="10"/>
        <v>0</v>
      </c>
      <c r="L39" s="16">
        <f t="shared" si="10"/>
        <v>0</v>
      </c>
      <c r="M39" s="16">
        <f t="shared" si="10"/>
        <v>2</v>
      </c>
      <c r="N39" s="16">
        <f t="shared" si="10"/>
        <v>1</v>
      </c>
      <c r="O39" s="16">
        <f t="shared" si="10"/>
        <v>0</v>
      </c>
      <c r="P39" s="16">
        <f t="shared" si="10"/>
        <v>2</v>
      </c>
      <c r="Q39" s="16">
        <f t="shared" si="10"/>
        <v>1</v>
      </c>
      <c r="R39" s="16">
        <f t="shared" si="10"/>
        <v>2</v>
      </c>
      <c r="S39" s="16">
        <f t="shared" si="10"/>
        <v>1</v>
      </c>
      <c r="T39" s="16">
        <f t="shared" si="10"/>
        <v>1</v>
      </c>
      <c r="U39" s="52">
        <f t="shared" si="10"/>
        <v>0.83333333333333337</v>
      </c>
    </row>
    <row r="40" spans="1:21" ht="16.5" customHeight="1">
      <c r="A40" s="257"/>
      <c r="B40" s="296"/>
      <c r="C40" s="287" t="s">
        <v>53</v>
      </c>
      <c r="D40" s="293" t="s">
        <v>44</v>
      </c>
      <c r="E40" s="264" t="s">
        <v>21</v>
      </c>
      <c r="F40" s="304" t="s">
        <v>171</v>
      </c>
      <c r="G40" s="66">
        <v>360</v>
      </c>
      <c r="H40" s="7" t="s">
        <v>23</v>
      </c>
      <c r="I40" s="66">
        <v>30</v>
      </c>
      <c r="J40" s="66">
        <v>30</v>
      </c>
      <c r="K40" s="66">
        <v>30</v>
      </c>
      <c r="L40" s="66">
        <v>30</v>
      </c>
      <c r="M40" s="66">
        <v>30</v>
      </c>
      <c r="N40" s="66">
        <v>30</v>
      </c>
      <c r="O40" s="66">
        <v>30</v>
      </c>
      <c r="P40" s="66">
        <v>30</v>
      </c>
      <c r="Q40" s="66">
        <v>30</v>
      </c>
      <c r="R40" s="66">
        <v>30</v>
      </c>
      <c r="S40" s="66">
        <v>30</v>
      </c>
      <c r="T40" s="66">
        <v>30</v>
      </c>
      <c r="U40" s="54">
        <f>SUM(I40:T40)</f>
        <v>360</v>
      </c>
    </row>
    <row r="41" spans="1:21" ht="17.100000000000001" customHeight="1">
      <c r="A41" s="257"/>
      <c r="B41" s="296"/>
      <c r="C41" s="299"/>
      <c r="D41" s="293"/>
      <c r="E41" s="264"/>
      <c r="F41" s="301"/>
      <c r="G41" s="62">
        <v>136</v>
      </c>
      <c r="H41" s="12" t="s">
        <v>24</v>
      </c>
      <c r="I41" s="63">
        <v>24</v>
      </c>
      <c r="J41" s="63">
        <v>27</v>
      </c>
      <c r="K41" s="63">
        <v>0</v>
      </c>
      <c r="L41" s="63">
        <v>27</v>
      </c>
      <c r="M41" s="63">
        <v>0</v>
      </c>
      <c r="N41" s="63">
        <v>0</v>
      </c>
      <c r="O41" s="63">
        <v>25</v>
      </c>
      <c r="P41" s="63">
        <v>20</v>
      </c>
      <c r="Q41" s="63">
        <v>0</v>
      </c>
      <c r="R41" s="63">
        <v>10</v>
      </c>
      <c r="S41" s="63">
        <v>15</v>
      </c>
      <c r="T41" s="64"/>
      <c r="U41" s="55">
        <f>SUM(I41:T41)</f>
        <v>148</v>
      </c>
    </row>
    <row r="42" spans="1:21" ht="17.100000000000001" customHeight="1" thickBot="1">
      <c r="A42" s="249"/>
      <c r="B42" s="297"/>
      <c r="C42" s="305"/>
      <c r="D42" s="293"/>
      <c r="E42" s="281"/>
      <c r="F42" s="306"/>
      <c r="G42" s="56">
        <v>0.37777777777777777</v>
      </c>
      <c r="H42" s="17" t="s">
        <v>25</v>
      </c>
      <c r="I42" s="56">
        <f t="shared" ref="I42:T42" si="11">I40/I41*1</f>
        <v>1.25</v>
      </c>
      <c r="J42" s="56">
        <f t="shared" si="11"/>
        <v>1.1111111111111112</v>
      </c>
      <c r="K42" s="56" t="e">
        <f t="shared" si="11"/>
        <v>#DIV/0!</v>
      </c>
      <c r="L42" s="56">
        <f t="shared" si="11"/>
        <v>1.1111111111111112</v>
      </c>
      <c r="M42" s="56" t="e">
        <f t="shared" si="11"/>
        <v>#DIV/0!</v>
      </c>
      <c r="N42" s="56" t="e">
        <f t="shared" si="11"/>
        <v>#DIV/0!</v>
      </c>
      <c r="O42" s="56">
        <f t="shared" si="11"/>
        <v>1.2</v>
      </c>
      <c r="P42" s="56">
        <f t="shared" si="11"/>
        <v>1.5</v>
      </c>
      <c r="Q42" s="56" t="e">
        <f t="shared" si="11"/>
        <v>#DIV/0!</v>
      </c>
      <c r="R42" s="56">
        <f t="shared" si="11"/>
        <v>3</v>
      </c>
      <c r="S42" s="56">
        <f t="shared" si="11"/>
        <v>2</v>
      </c>
      <c r="T42" s="57" t="e">
        <f t="shared" si="11"/>
        <v>#DIV/0!</v>
      </c>
      <c r="U42" s="58">
        <f>U41/U40*1</f>
        <v>0.41111111111111109</v>
      </c>
    </row>
    <row r="43" spans="1:21" ht="17.100000000000001" customHeight="1">
      <c r="A43" s="257">
        <v>3</v>
      </c>
      <c r="B43" s="258" t="s">
        <v>55</v>
      </c>
      <c r="C43" s="259" t="s">
        <v>172</v>
      </c>
      <c r="D43" s="258" t="s">
        <v>57</v>
      </c>
      <c r="E43" s="308" t="s">
        <v>185</v>
      </c>
      <c r="F43" s="266" t="s">
        <v>183</v>
      </c>
      <c r="G43" s="59">
        <v>67</v>
      </c>
      <c r="H43" s="7" t="s">
        <v>23</v>
      </c>
      <c r="I43" s="59">
        <v>6</v>
      </c>
      <c r="J43" s="60">
        <v>6</v>
      </c>
      <c r="K43" s="60">
        <v>6</v>
      </c>
      <c r="L43" s="60">
        <v>6</v>
      </c>
      <c r="M43" s="60">
        <v>5</v>
      </c>
      <c r="N43" s="60">
        <v>5</v>
      </c>
      <c r="O43" s="60">
        <v>7</v>
      </c>
      <c r="P43" s="60">
        <v>7</v>
      </c>
      <c r="Q43" s="60">
        <v>7</v>
      </c>
      <c r="R43" s="60">
        <v>6</v>
      </c>
      <c r="S43" s="60">
        <v>6</v>
      </c>
      <c r="T43" s="61">
        <v>6</v>
      </c>
      <c r="U43" s="54">
        <f>SUM(I43:T43)</f>
        <v>73</v>
      </c>
    </row>
    <row r="44" spans="1:21" ht="17.100000000000001" customHeight="1">
      <c r="A44" s="257"/>
      <c r="B44" s="259"/>
      <c r="C44" s="259"/>
      <c r="D44" s="259"/>
      <c r="E44" s="264"/>
      <c r="F44" s="266"/>
      <c r="G44" s="62">
        <v>72</v>
      </c>
      <c r="H44" s="12" t="s">
        <v>24</v>
      </c>
      <c r="I44" s="62">
        <v>5</v>
      </c>
      <c r="J44" s="63">
        <v>5</v>
      </c>
      <c r="K44" s="63">
        <v>6</v>
      </c>
      <c r="L44" s="63">
        <v>6</v>
      </c>
      <c r="M44" s="63">
        <v>5</v>
      </c>
      <c r="N44" s="63">
        <v>5</v>
      </c>
      <c r="O44" s="63">
        <v>7</v>
      </c>
      <c r="P44" s="63">
        <v>7</v>
      </c>
      <c r="Q44" s="63">
        <v>7</v>
      </c>
      <c r="R44" s="63">
        <v>6</v>
      </c>
      <c r="S44" s="63">
        <v>6</v>
      </c>
      <c r="T44" s="64">
        <v>6</v>
      </c>
      <c r="U44" s="55">
        <f>SUM(I44:T44)</f>
        <v>71</v>
      </c>
    </row>
    <row r="45" spans="1:21" ht="17.100000000000001" customHeight="1">
      <c r="A45" s="257"/>
      <c r="B45" s="259"/>
      <c r="C45" s="259"/>
      <c r="D45" s="259"/>
      <c r="E45" s="264"/>
      <c r="F45" s="266"/>
      <c r="G45" s="42">
        <v>1.0746268656716418</v>
      </c>
      <c r="H45" s="17" t="s">
        <v>25</v>
      </c>
      <c r="I45" s="42">
        <f t="shared" ref="I45:T45" si="12">I43/I44*1</f>
        <v>1.2</v>
      </c>
      <c r="J45" s="42">
        <f t="shared" si="12"/>
        <v>1.2</v>
      </c>
      <c r="K45" s="42">
        <f t="shared" si="12"/>
        <v>1</v>
      </c>
      <c r="L45" s="42">
        <f t="shared" si="12"/>
        <v>1</v>
      </c>
      <c r="M45" s="42">
        <f t="shared" si="12"/>
        <v>1</v>
      </c>
      <c r="N45" s="42">
        <f t="shared" si="12"/>
        <v>1</v>
      </c>
      <c r="O45" s="42">
        <f t="shared" si="12"/>
        <v>1</v>
      </c>
      <c r="P45" s="42">
        <f t="shared" si="12"/>
        <v>1</v>
      </c>
      <c r="Q45" s="42">
        <f t="shared" si="12"/>
        <v>1</v>
      </c>
      <c r="R45" s="42">
        <f t="shared" si="12"/>
        <v>1</v>
      </c>
      <c r="S45" s="42">
        <f t="shared" si="12"/>
        <v>1</v>
      </c>
      <c r="T45" s="42">
        <f t="shared" si="12"/>
        <v>1</v>
      </c>
      <c r="U45" s="44">
        <f>U44/U43*1</f>
        <v>0.9726027397260274</v>
      </c>
    </row>
    <row r="46" spans="1:21" ht="17.100000000000001" customHeight="1">
      <c r="A46" s="257"/>
      <c r="B46" s="259"/>
      <c r="C46" s="293" t="s">
        <v>59</v>
      </c>
      <c r="D46" s="259"/>
      <c r="E46" s="264"/>
      <c r="F46" s="275" t="s">
        <v>173</v>
      </c>
      <c r="G46" s="66">
        <v>5.416666666666667</v>
      </c>
      <c r="H46" s="7" t="s">
        <v>23</v>
      </c>
      <c r="I46" s="66">
        <v>6</v>
      </c>
      <c r="J46" s="66">
        <v>6</v>
      </c>
      <c r="K46" s="66">
        <v>6</v>
      </c>
      <c r="L46" s="66">
        <v>6</v>
      </c>
      <c r="M46" s="66">
        <v>5</v>
      </c>
      <c r="N46" s="66">
        <v>5</v>
      </c>
      <c r="O46" s="66">
        <v>7</v>
      </c>
      <c r="P46" s="66">
        <v>7</v>
      </c>
      <c r="Q46" s="66">
        <v>7</v>
      </c>
      <c r="R46" s="66">
        <v>6</v>
      </c>
      <c r="S46" s="66">
        <v>6</v>
      </c>
      <c r="T46" s="66">
        <v>6</v>
      </c>
      <c r="U46" s="20">
        <f>AVERAGE(I46:T46)</f>
        <v>6.083333333333333</v>
      </c>
    </row>
    <row r="47" spans="1:21" ht="17.100000000000001" customHeight="1">
      <c r="A47" s="257"/>
      <c r="B47" s="259"/>
      <c r="C47" s="293"/>
      <c r="D47" s="259"/>
      <c r="E47" s="264"/>
      <c r="F47" s="275"/>
      <c r="G47" s="68">
        <v>5.416666666666667</v>
      </c>
      <c r="H47" s="12" t="s">
        <v>24</v>
      </c>
      <c r="I47" s="68">
        <v>6</v>
      </c>
      <c r="J47" s="69">
        <v>6</v>
      </c>
      <c r="K47" s="69">
        <v>6</v>
      </c>
      <c r="L47" s="69">
        <v>6</v>
      </c>
      <c r="M47" s="69">
        <v>5</v>
      </c>
      <c r="N47" s="69">
        <v>5</v>
      </c>
      <c r="O47" s="69">
        <v>7</v>
      </c>
      <c r="P47" s="69">
        <v>7</v>
      </c>
      <c r="Q47" s="69">
        <v>7</v>
      </c>
      <c r="R47" s="69">
        <v>6</v>
      </c>
      <c r="S47" s="69">
        <v>6</v>
      </c>
      <c r="T47" s="70">
        <v>6</v>
      </c>
      <c r="U47" s="71">
        <f>AVERAGE(I47:T47)</f>
        <v>6.083333333333333</v>
      </c>
    </row>
    <row r="48" spans="1:21" ht="17.100000000000001" customHeight="1" thickBot="1">
      <c r="A48" s="257"/>
      <c r="B48" s="307"/>
      <c r="C48" s="311"/>
      <c r="D48" s="307"/>
      <c r="E48" s="281"/>
      <c r="F48" s="312"/>
      <c r="G48" s="56">
        <v>1</v>
      </c>
      <c r="H48" s="17" t="s">
        <v>25</v>
      </c>
      <c r="I48" s="72">
        <f t="shared" ref="I48:U48" si="13">I47/I46*1</f>
        <v>1</v>
      </c>
      <c r="J48" s="72">
        <f t="shared" si="13"/>
        <v>1</v>
      </c>
      <c r="K48" s="72">
        <f t="shared" si="13"/>
        <v>1</v>
      </c>
      <c r="L48" s="72">
        <f t="shared" si="13"/>
        <v>1</v>
      </c>
      <c r="M48" s="72">
        <f t="shared" si="13"/>
        <v>1</v>
      </c>
      <c r="N48" s="72">
        <f t="shared" si="13"/>
        <v>1</v>
      </c>
      <c r="O48" s="72">
        <f t="shared" si="13"/>
        <v>1</v>
      </c>
      <c r="P48" s="72">
        <f t="shared" si="13"/>
        <v>1</v>
      </c>
      <c r="Q48" s="72">
        <f t="shared" si="13"/>
        <v>1</v>
      </c>
      <c r="R48" s="72">
        <f t="shared" si="13"/>
        <v>1</v>
      </c>
      <c r="S48" s="72">
        <f t="shared" si="13"/>
        <v>1</v>
      </c>
      <c r="T48" s="73">
        <f t="shared" si="13"/>
        <v>1</v>
      </c>
      <c r="U48" s="74">
        <f t="shared" si="13"/>
        <v>1</v>
      </c>
    </row>
    <row r="49" spans="1:21" ht="17.100000000000001" customHeight="1" thickBot="1">
      <c r="A49" s="313">
        <v>4</v>
      </c>
      <c r="B49" s="314" t="s">
        <v>61</v>
      </c>
      <c r="C49" s="310" t="s">
        <v>62</v>
      </c>
      <c r="D49" s="310" t="s">
        <v>47</v>
      </c>
      <c r="E49" s="263" t="s">
        <v>30</v>
      </c>
      <c r="F49" s="317" t="s">
        <v>63</v>
      </c>
      <c r="G49" s="66">
        <v>100</v>
      </c>
      <c r="H49" s="7" t="s">
        <v>23</v>
      </c>
      <c r="I49" s="89">
        <v>100</v>
      </c>
      <c r="J49" s="89">
        <v>100</v>
      </c>
      <c r="K49" s="89">
        <v>100</v>
      </c>
      <c r="L49" s="89">
        <v>100</v>
      </c>
      <c r="M49" s="89">
        <v>100</v>
      </c>
      <c r="N49" s="89">
        <v>100</v>
      </c>
      <c r="O49" s="89">
        <v>100</v>
      </c>
      <c r="P49" s="89">
        <v>100</v>
      </c>
      <c r="Q49" s="89">
        <v>100</v>
      </c>
      <c r="R49" s="89">
        <v>100</v>
      </c>
      <c r="S49" s="89">
        <v>100</v>
      </c>
      <c r="T49" s="89">
        <v>100</v>
      </c>
      <c r="U49" s="76">
        <f>AVERAGE(I49:T49)</f>
        <v>100</v>
      </c>
    </row>
    <row r="50" spans="1:21" ht="17.100000000000001" customHeight="1" thickBot="1">
      <c r="A50" s="313"/>
      <c r="B50" s="315"/>
      <c r="C50" s="293"/>
      <c r="D50" s="293"/>
      <c r="E50" s="264"/>
      <c r="F50" s="275"/>
      <c r="G50" s="68">
        <v>100</v>
      </c>
      <c r="H50" s="12" t="s">
        <v>24</v>
      </c>
      <c r="I50" s="68">
        <v>100</v>
      </c>
      <c r="J50" s="68">
        <v>100</v>
      </c>
      <c r="K50" s="68">
        <v>100</v>
      </c>
      <c r="L50" s="68">
        <v>100</v>
      </c>
      <c r="M50" s="68">
        <v>100</v>
      </c>
      <c r="N50" s="68">
        <v>100</v>
      </c>
      <c r="O50" s="68">
        <v>100</v>
      </c>
      <c r="P50" s="68">
        <v>100</v>
      </c>
      <c r="Q50" s="68">
        <v>100</v>
      </c>
      <c r="R50" s="68">
        <v>100</v>
      </c>
      <c r="S50" s="68">
        <v>100</v>
      </c>
      <c r="T50" s="68">
        <v>100</v>
      </c>
      <c r="U50" s="77">
        <f>AVERAGE(I50:T50)</f>
        <v>100</v>
      </c>
    </row>
    <row r="51" spans="1:21" ht="17.100000000000001" customHeight="1" thickBot="1">
      <c r="A51" s="313"/>
      <c r="B51" s="315"/>
      <c r="C51" s="293"/>
      <c r="D51" s="309"/>
      <c r="E51" s="264"/>
      <c r="F51" s="275"/>
      <c r="G51" s="16">
        <v>1</v>
      </c>
      <c r="H51" s="17" t="s">
        <v>25</v>
      </c>
      <c r="I51" s="16">
        <f>I50/I49*1</f>
        <v>1</v>
      </c>
      <c r="J51" s="16">
        <f>J50/J49*1</f>
        <v>1</v>
      </c>
      <c r="K51" s="16">
        <f>K50/K49*1</f>
        <v>1</v>
      </c>
      <c r="L51" s="16">
        <f>L50/L49*1</f>
        <v>1</v>
      </c>
      <c r="M51" s="16">
        <f t="shared" ref="M51:U51" si="14">M50/M49*1</f>
        <v>1</v>
      </c>
      <c r="N51" s="16">
        <f t="shared" si="14"/>
        <v>1</v>
      </c>
      <c r="O51" s="16">
        <f t="shared" si="14"/>
        <v>1</v>
      </c>
      <c r="P51" s="16">
        <f t="shared" si="14"/>
        <v>1</v>
      </c>
      <c r="Q51" s="16">
        <f t="shared" si="14"/>
        <v>1</v>
      </c>
      <c r="R51" s="16">
        <f t="shared" si="14"/>
        <v>1</v>
      </c>
      <c r="S51" s="16">
        <f t="shared" si="14"/>
        <v>1</v>
      </c>
      <c r="T51" s="16">
        <f t="shared" si="14"/>
        <v>1</v>
      </c>
      <c r="U51" s="52">
        <f t="shared" si="14"/>
        <v>1</v>
      </c>
    </row>
    <row r="52" spans="1:21" ht="17.100000000000001" customHeight="1" thickBot="1">
      <c r="A52" s="313"/>
      <c r="B52" s="315"/>
      <c r="C52" s="354" t="s">
        <v>64</v>
      </c>
      <c r="D52" s="355" t="s">
        <v>47</v>
      </c>
      <c r="E52" s="292" t="s">
        <v>30</v>
      </c>
      <c r="F52" s="270" t="s">
        <v>65</v>
      </c>
      <c r="G52" s="6">
        <v>0</v>
      </c>
      <c r="H52" s="7" t="s">
        <v>23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54">
        <f>SUM(I52:T52)</f>
        <v>0</v>
      </c>
    </row>
    <row r="53" spans="1:21" ht="17.100000000000001" customHeight="1" thickBot="1">
      <c r="A53" s="313"/>
      <c r="B53" s="315"/>
      <c r="C53" s="356"/>
      <c r="D53" s="355"/>
      <c r="E53" s="292"/>
      <c r="F53" s="266"/>
      <c r="G53" s="11">
        <v>0</v>
      </c>
      <c r="H53" s="12" t="s">
        <v>24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55">
        <f>SUM(I53:T53)</f>
        <v>0</v>
      </c>
    </row>
    <row r="54" spans="1:21" ht="17.100000000000001" customHeight="1" thickBot="1">
      <c r="A54" s="313"/>
      <c r="B54" s="315"/>
      <c r="C54" s="357"/>
      <c r="D54" s="355"/>
      <c r="E54" s="292"/>
      <c r="F54" s="271"/>
      <c r="G54" s="16"/>
      <c r="H54" s="17" t="s">
        <v>25</v>
      </c>
      <c r="I54" s="16" t="e">
        <f>I53/I52*1</f>
        <v>#DIV/0!</v>
      </c>
      <c r="J54" s="16" t="e">
        <f>J53/J52*1</f>
        <v>#DIV/0!</v>
      </c>
      <c r="K54" s="16" t="e">
        <f>K53/K52*1</f>
        <v>#DIV/0!</v>
      </c>
      <c r="L54" s="16" t="e">
        <f>L53/L52*1</f>
        <v>#DIV/0!</v>
      </c>
      <c r="M54" s="16" t="e">
        <f t="shared" ref="M54:U54" si="15">M53/M52*1</f>
        <v>#DIV/0!</v>
      </c>
      <c r="N54" s="16" t="e">
        <f t="shared" si="15"/>
        <v>#DIV/0!</v>
      </c>
      <c r="O54" s="16" t="e">
        <f t="shared" si="15"/>
        <v>#DIV/0!</v>
      </c>
      <c r="P54" s="16" t="e">
        <f t="shared" si="15"/>
        <v>#DIV/0!</v>
      </c>
      <c r="Q54" s="16" t="e">
        <f t="shared" si="15"/>
        <v>#DIV/0!</v>
      </c>
      <c r="R54" s="16" t="e">
        <f t="shared" si="15"/>
        <v>#DIV/0!</v>
      </c>
      <c r="S54" s="16" t="e">
        <f t="shared" si="15"/>
        <v>#DIV/0!</v>
      </c>
      <c r="T54" s="16" t="e">
        <f t="shared" si="15"/>
        <v>#DIV/0!</v>
      </c>
      <c r="U54" s="52" t="e">
        <f t="shared" si="15"/>
        <v>#DIV/0!</v>
      </c>
    </row>
    <row r="55" spans="1:21" ht="17.100000000000001" customHeight="1" thickBot="1">
      <c r="A55" s="313"/>
      <c r="B55" s="315"/>
      <c r="C55" s="294" t="s">
        <v>66</v>
      </c>
      <c r="D55" s="355" t="s">
        <v>47</v>
      </c>
      <c r="E55" s="292" t="s">
        <v>30</v>
      </c>
      <c r="F55" s="275" t="s">
        <v>67</v>
      </c>
      <c r="G55" s="66">
        <v>1200</v>
      </c>
      <c r="H55" s="7" t="s">
        <v>23</v>
      </c>
      <c r="I55" s="75">
        <v>100</v>
      </c>
      <c r="J55" s="67">
        <v>100</v>
      </c>
      <c r="K55" s="67">
        <v>100</v>
      </c>
      <c r="L55" s="67">
        <v>100</v>
      </c>
      <c r="M55" s="67">
        <v>100</v>
      </c>
      <c r="N55" s="67">
        <v>100</v>
      </c>
      <c r="O55" s="67">
        <v>100</v>
      </c>
      <c r="P55" s="67">
        <v>100</v>
      </c>
      <c r="Q55" s="67">
        <v>100</v>
      </c>
      <c r="R55" s="67">
        <v>100</v>
      </c>
      <c r="S55" s="67">
        <v>100</v>
      </c>
      <c r="T55" s="67">
        <v>100</v>
      </c>
      <c r="U55" s="20">
        <f>SUM(I55:T55)</f>
        <v>1200</v>
      </c>
    </row>
    <row r="56" spans="1:21" ht="17.100000000000001" customHeight="1" thickBot="1">
      <c r="A56" s="313"/>
      <c r="B56" s="315"/>
      <c r="C56" s="294"/>
      <c r="D56" s="355"/>
      <c r="E56" s="292"/>
      <c r="F56" s="275"/>
      <c r="G56" s="68">
        <v>1200</v>
      </c>
      <c r="H56" s="12" t="s">
        <v>24</v>
      </c>
      <c r="I56" s="68">
        <v>100</v>
      </c>
      <c r="J56" s="68">
        <v>100</v>
      </c>
      <c r="K56" s="68">
        <v>100</v>
      </c>
      <c r="L56" s="68">
        <v>100</v>
      </c>
      <c r="M56" s="68">
        <v>100</v>
      </c>
      <c r="N56" s="68">
        <v>100</v>
      </c>
      <c r="O56" s="68">
        <v>100</v>
      </c>
      <c r="P56" s="68">
        <v>100</v>
      </c>
      <c r="Q56" s="68">
        <v>100</v>
      </c>
      <c r="R56" s="68">
        <v>100</v>
      </c>
      <c r="S56" s="68">
        <v>100</v>
      </c>
      <c r="T56" s="70">
        <v>100</v>
      </c>
      <c r="U56" s="71">
        <f>SUM(I56:T56)</f>
        <v>1200</v>
      </c>
    </row>
    <row r="57" spans="1:21" ht="17.100000000000001" customHeight="1" thickBot="1">
      <c r="A57" s="313"/>
      <c r="B57" s="315"/>
      <c r="C57" s="354"/>
      <c r="D57" s="355"/>
      <c r="E57" s="292"/>
      <c r="F57" s="270"/>
      <c r="G57" s="42">
        <f t="shared" ref="G57:U57" si="16">G56/G55*1</f>
        <v>1</v>
      </c>
      <c r="H57" s="17" t="s">
        <v>25</v>
      </c>
      <c r="I57" s="42">
        <f t="shared" si="16"/>
        <v>1</v>
      </c>
      <c r="J57" s="42">
        <f t="shared" si="16"/>
        <v>1</v>
      </c>
      <c r="K57" s="42">
        <f t="shared" si="16"/>
        <v>1</v>
      </c>
      <c r="L57" s="42">
        <f t="shared" si="16"/>
        <v>1</v>
      </c>
      <c r="M57" s="42">
        <f t="shared" si="16"/>
        <v>1</v>
      </c>
      <c r="N57" s="42">
        <f t="shared" si="16"/>
        <v>1</v>
      </c>
      <c r="O57" s="42">
        <f t="shared" si="16"/>
        <v>1</v>
      </c>
      <c r="P57" s="42">
        <f t="shared" si="16"/>
        <v>1</v>
      </c>
      <c r="Q57" s="42">
        <f t="shared" si="16"/>
        <v>1</v>
      </c>
      <c r="R57" s="42">
        <f t="shared" si="16"/>
        <v>1</v>
      </c>
      <c r="S57" s="42">
        <f t="shared" si="16"/>
        <v>1</v>
      </c>
      <c r="T57" s="42">
        <f t="shared" si="16"/>
        <v>1</v>
      </c>
      <c r="U57" s="78">
        <f t="shared" si="16"/>
        <v>1</v>
      </c>
    </row>
    <row r="58" spans="1:21" ht="17.100000000000001" customHeight="1" thickBot="1">
      <c r="A58" s="313"/>
      <c r="B58" s="315"/>
      <c r="C58" s="293" t="s">
        <v>68</v>
      </c>
      <c r="D58" s="318" t="s">
        <v>47</v>
      </c>
      <c r="E58" s="264" t="s">
        <v>30</v>
      </c>
      <c r="F58" s="275" t="s">
        <v>174</v>
      </c>
      <c r="G58" s="111">
        <v>100</v>
      </c>
      <c r="H58" s="7" t="s">
        <v>23</v>
      </c>
      <c r="I58" s="6">
        <v>100</v>
      </c>
      <c r="J58" s="8">
        <v>100</v>
      </c>
      <c r="K58" s="8">
        <v>100</v>
      </c>
      <c r="L58" s="8">
        <v>100</v>
      </c>
      <c r="M58" s="8">
        <v>100</v>
      </c>
      <c r="N58" s="8">
        <v>100</v>
      </c>
      <c r="O58" s="8">
        <v>100</v>
      </c>
      <c r="P58" s="8">
        <v>100</v>
      </c>
      <c r="Q58" s="8">
        <v>100</v>
      </c>
      <c r="R58" s="8">
        <v>100</v>
      </c>
      <c r="S58" s="8">
        <v>100</v>
      </c>
      <c r="T58" s="8">
        <v>100</v>
      </c>
      <c r="U58" s="79">
        <f>AVERAGE(I58:T58)</f>
        <v>100</v>
      </c>
    </row>
    <row r="59" spans="1:21" ht="17.100000000000001" customHeight="1" thickBot="1">
      <c r="A59" s="313"/>
      <c r="B59" s="315"/>
      <c r="C59" s="293"/>
      <c r="D59" s="293"/>
      <c r="E59" s="264"/>
      <c r="F59" s="275"/>
      <c r="G59" s="112">
        <v>93.3888888888889</v>
      </c>
      <c r="H59" s="12" t="s">
        <v>24</v>
      </c>
      <c r="I59" s="130">
        <v>92.63636363636364</v>
      </c>
      <c r="J59" s="131">
        <v>93</v>
      </c>
      <c r="K59" s="131">
        <v>93.090909090909093</v>
      </c>
      <c r="L59" s="131">
        <v>92.727272727272734</v>
      </c>
      <c r="M59" s="131">
        <v>92.36363636363636</v>
      </c>
      <c r="N59" s="131">
        <v>93.727272727272734</v>
      </c>
      <c r="O59" s="131">
        <v>92.545454545454547</v>
      </c>
      <c r="P59" s="131">
        <v>93.272727272727266</v>
      </c>
      <c r="Q59" s="131">
        <v>93.090909090909093</v>
      </c>
      <c r="R59" s="131">
        <v>92.909090909090907</v>
      </c>
      <c r="S59" s="131">
        <v>93.090909090909093</v>
      </c>
      <c r="T59" s="131">
        <v>93</v>
      </c>
      <c r="U59" s="83">
        <f>AVERAGE(I59:T59)</f>
        <v>92.954545454545453</v>
      </c>
    </row>
    <row r="60" spans="1:21" ht="17.100000000000001" customHeight="1" thickBot="1">
      <c r="A60" s="313"/>
      <c r="B60" s="316"/>
      <c r="C60" s="311"/>
      <c r="D60" s="322"/>
      <c r="E60" s="281"/>
      <c r="F60" s="312"/>
      <c r="G60" s="56">
        <v>0.93388888888888899</v>
      </c>
      <c r="H60" s="17" t="s">
        <v>25</v>
      </c>
      <c r="I60" s="72">
        <f t="shared" ref="I60:U60" si="17">I59/I58*1</f>
        <v>0.92636363636363639</v>
      </c>
      <c r="J60" s="72">
        <f t="shared" si="17"/>
        <v>0.93</v>
      </c>
      <c r="K60" s="72">
        <f t="shared" si="17"/>
        <v>0.93090909090909091</v>
      </c>
      <c r="L60" s="72">
        <f t="shared" si="17"/>
        <v>0.92727272727272736</v>
      </c>
      <c r="M60" s="72">
        <f t="shared" si="17"/>
        <v>0.92363636363636359</v>
      </c>
      <c r="N60" s="72">
        <f t="shared" si="17"/>
        <v>0.93727272727272737</v>
      </c>
      <c r="O60" s="72">
        <f t="shared" si="17"/>
        <v>0.92545454545454542</v>
      </c>
      <c r="P60" s="72">
        <f t="shared" si="17"/>
        <v>0.93272727272727263</v>
      </c>
      <c r="Q60" s="72">
        <f t="shared" si="17"/>
        <v>0.93090909090909091</v>
      </c>
      <c r="R60" s="72">
        <f t="shared" si="17"/>
        <v>0.92909090909090908</v>
      </c>
      <c r="S60" s="72">
        <f t="shared" si="17"/>
        <v>0.93090909090909091</v>
      </c>
      <c r="T60" s="73">
        <f t="shared" si="17"/>
        <v>0.93</v>
      </c>
      <c r="U60" s="74">
        <f t="shared" si="17"/>
        <v>0.92954545454545456</v>
      </c>
    </row>
    <row r="61" spans="1:21" ht="22.5" customHeight="1" thickBot="1">
      <c r="A61" s="313">
        <v>5</v>
      </c>
      <c r="B61" s="310" t="s">
        <v>70</v>
      </c>
      <c r="C61" s="293" t="s">
        <v>71</v>
      </c>
      <c r="D61" s="318" t="s">
        <v>72</v>
      </c>
      <c r="E61" s="323" t="s">
        <v>73</v>
      </c>
      <c r="F61" s="275" t="s">
        <v>74</v>
      </c>
      <c r="G61" s="59">
        <v>10407212.666666666</v>
      </c>
      <c r="H61" s="7" t="s">
        <v>23</v>
      </c>
      <c r="I61" s="59">
        <f>169593+80860+2450367+2329256+636738+228380+611850</f>
        <v>6507044</v>
      </c>
      <c r="J61" s="60">
        <f>192660+677325+9467147+1857510+730386+207700+849090</f>
        <v>13981818</v>
      </c>
      <c r="K61" s="60">
        <f>556493+283352+16738176+2769950+588900+404650+641160</f>
        <v>21982681</v>
      </c>
      <c r="L61" s="60">
        <f>650154+321451+17546452+31451412+644511+501224+751241</f>
        <v>51866445</v>
      </c>
      <c r="M61" s="60">
        <v>7896397.1500000004</v>
      </c>
      <c r="N61" s="60">
        <v>24839874.550000001</v>
      </c>
      <c r="O61" s="60">
        <v>15859857.289999999</v>
      </c>
      <c r="P61" s="60">
        <v>20075432.760000002</v>
      </c>
      <c r="Q61" s="60">
        <v>36293631.18</v>
      </c>
      <c r="R61" s="60">
        <v>36795507.25</v>
      </c>
      <c r="S61" s="60">
        <v>10129838.43</v>
      </c>
      <c r="T61" s="61">
        <v>8730554.1300000008</v>
      </c>
      <c r="U61" s="86">
        <f>AVERAGE(I61:T61)</f>
        <v>21246590.061666667</v>
      </c>
    </row>
    <row r="62" spans="1:21" ht="24.75" customHeight="1" thickBot="1">
      <c r="A62" s="313"/>
      <c r="B62" s="293"/>
      <c r="C62" s="293"/>
      <c r="D62" s="293"/>
      <c r="E62" s="294"/>
      <c r="F62" s="275"/>
      <c r="G62" s="68">
        <v>10145957.416666666</v>
      </c>
      <c r="H62" s="12" t="s">
        <v>24</v>
      </c>
      <c r="I62" s="68">
        <f>166323+79284+2406657+2236889+619010+224374+601897</f>
        <v>6334434</v>
      </c>
      <c r="J62" s="69">
        <f>827315+200650+707472+1799953+9282189+665453+188722</f>
        <v>13671754</v>
      </c>
      <c r="K62" s="69">
        <f>549169+277677+16513427+2675881+579044+394202+620542</f>
        <v>21609942</v>
      </c>
      <c r="L62" s="69">
        <f>731254+492356+631494+30145451+17157251+315041+640412</f>
        <v>50113259</v>
      </c>
      <c r="M62" s="69">
        <v>7817433.1785000004</v>
      </c>
      <c r="N62" s="69">
        <v>24343077.059</v>
      </c>
      <c r="O62" s="69">
        <v>15066864.425499998</v>
      </c>
      <c r="P62" s="69">
        <v>19473169.777200002</v>
      </c>
      <c r="Q62" s="69">
        <v>34841885.932799995</v>
      </c>
      <c r="R62" s="69">
        <v>36059597.104999997</v>
      </c>
      <c r="S62" s="69">
        <v>10028540.045699999</v>
      </c>
      <c r="T62" s="69">
        <v>8294026.4235000005</v>
      </c>
      <c r="U62" s="77">
        <f>AVERAGE(I62:T62)</f>
        <v>20637831.912266668</v>
      </c>
    </row>
    <row r="63" spans="1:21" ht="24.75" customHeight="1" thickBot="1">
      <c r="A63" s="248"/>
      <c r="B63" s="309"/>
      <c r="C63" s="309"/>
      <c r="D63" s="309"/>
      <c r="E63" s="324"/>
      <c r="F63" s="270"/>
      <c r="G63" s="42">
        <v>0.9748967126580611</v>
      </c>
      <c r="H63" s="17" t="s">
        <v>25</v>
      </c>
      <c r="I63" s="42">
        <f>I62/I61*1</f>
        <v>0.97347336209805868</v>
      </c>
      <c r="J63" s="42">
        <f t="shared" ref="J63:U63" si="18">J62/J61*1</f>
        <v>0.9778237708429619</v>
      </c>
      <c r="K63" s="42">
        <f t="shared" si="18"/>
        <v>0.98304396993251186</v>
      </c>
      <c r="L63" s="42">
        <f t="shared" si="18"/>
        <v>0.96619806890562865</v>
      </c>
      <c r="M63" s="42">
        <f t="shared" si="18"/>
        <v>0.99</v>
      </c>
      <c r="N63" s="42">
        <f t="shared" si="18"/>
        <v>0.98</v>
      </c>
      <c r="O63" s="42">
        <f t="shared" si="18"/>
        <v>0.95</v>
      </c>
      <c r="P63" s="42">
        <f t="shared" si="18"/>
        <v>0.97000000000000008</v>
      </c>
      <c r="Q63" s="42">
        <f t="shared" si="18"/>
        <v>0.95999999999999985</v>
      </c>
      <c r="R63" s="42">
        <f t="shared" si="18"/>
        <v>0.97999999999999987</v>
      </c>
      <c r="S63" s="42">
        <f t="shared" si="18"/>
        <v>0.98999999999999988</v>
      </c>
      <c r="T63" s="42">
        <f t="shared" si="18"/>
        <v>0.95</v>
      </c>
      <c r="U63" s="78">
        <f t="shared" si="18"/>
        <v>0.97134795994872003</v>
      </c>
    </row>
    <row r="64" spans="1:21" ht="17.100000000000001" customHeight="1" thickBot="1">
      <c r="A64" s="313">
        <v>6</v>
      </c>
      <c r="B64" s="326" t="s">
        <v>75</v>
      </c>
      <c r="C64" s="327" t="s">
        <v>76</v>
      </c>
      <c r="D64" s="321" t="s">
        <v>72</v>
      </c>
      <c r="E64" s="323" t="s">
        <v>73</v>
      </c>
      <c r="F64" s="330" t="s">
        <v>175</v>
      </c>
      <c r="G64" s="87">
        <v>12</v>
      </c>
      <c r="H64" s="7" t="s">
        <v>23</v>
      </c>
      <c r="I64" s="87">
        <v>1</v>
      </c>
      <c r="J64" s="87">
        <v>1</v>
      </c>
      <c r="K64" s="87">
        <v>1</v>
      </c>
      <c r="L64" s="87">
        <v>1</v>
      </c>
      <c r="M64" s="87">
        <v>1</v>
      </c>
      <c r="N64" s="87">
        <v>1</v>
      </c>
      <c r="O64" s="87">
        <v>1</v>
      </c>
      <c r="P64" s="87">
        <v>1</v>
      </c>
      <c r="Q64" s="87">
        <v>1</v>
      </c>
      <c r="R64" s="87">
        <v>1</v>
      </c>
      <c r="S64" s="87">
        <v>1</v>
      </c>
      <c r="T64" s="87">
        <v>1</v>
      </c>
      <c r="U64" s="88">
        <f>SUM(I64:T64)</f>
        <v>12</v>
      </c>
    </row>
    <row r="65" spans="1:21" ht="17.100000000000001" customHeight="1" thickBot="1">
      <c r="A65" s="313"/>
      <c r="B65" s="319"/>
      <c r="C65" s="328"/>
      <c r="D65" s="293"/>
      <c r="E65" s="294"/>
      <c r="F65" s="266"/>
      <c r="G65" s="11">
        <v>9</v>
      </c>
      <c r="H65" s="12" t="s">
        <v>24</v>
      </c>
      <c r="I65" s="11">
        <v>1</v>
      </c>
      <c r="J65" s="11">
        <v>1</v>
      </c>
      <c r="K65" s="11">
        <v>1</v>
      </c>
      <c r="L65" s="11">
        <v>1</v>
      </c>
      <c r="M65" s="11">
        <v>1</v>
      </c>
      <c r="N65" s="11">
        <v>1</v>
      </c>
      <c r="O65" s="11">
        <v>1</v>
      </c>
      <c r="P65" s="11">
        <v>1</v>
      </c>
      <c r="Q65" s="11">
        <v>1</v>
      </c>
      <c r="R65" s="11">
        <v>1</v>
      </c>
      <c r="S65" s="11">
        <v>1</v>
      </c>
      <c r="T65" s="11">
        <v>1</v>
      </c>
      <c r="U65" s="15">
        <f>SUM(I65:T65)</f>
        <v>12</v>
      </c>
    </row>
    <row r="66" spans="1:21" ht="17.100000000000001" customHeight="1" thickBot="1">
      <c r="A66" s="313"/>
      <c r="B66" s="320"/>
      <c r="C66" s="329"/>
      <c r="D66" s="338"/>
      <c r="E66" s="324"/>
      <c r="F66" s="331"/>
      <c r="G66" s="56">
        <v>0.75</v>
      </c>
      <c r="H66" s="17" t="s">
        <v>25</v>
      </c>
      <c r="I66" s="56">
        <f t="shared" ref="I66:U66" si="19">I65/I64*1</f>
        <v>1</v>
      </c>
      <c r="J66" s="56">
        <f t="shared" si="19"/>
        <v>1</v>
      </c>
      <c r="K66" s="56">
        <f t="shared" si="19"/>
        <v>1</v>
      </c>
      <c r="L66" s="56">
        <f t="shared" si="19"/>
        <v>1</v>
      </c>
      <c r="M66" s="56">
        <f t="shared" si="19"/>
        <v>1</v>
      </c>
      <c r="N66" s="56">
        <f t="shared" si="19"/>
        <v>1</v>
      </c>
      <c r="O66" s="56">
        <f t="shared" si="19"/>
        <v>1</v>
      </c>
      <c r="P66" s="56">
        <f t="shared" si="19"/>
        <v>1</v>
      </c>
      <c r="Q66" s="56">
        <f t="shared" si="19"/>
        <v>1</v>
      </c>
      <c r="R66" s="56">
        <f t="shared" si="19"/>
        <v>1</v>
      </c>
      <c r="S66" s="56">
        <f t="shared" si="19"/>
        <v>1</v>
      </c>
      <c r="T66" s="57">
        <f t="shared" si="19"/>
        <v>1</v>
      </c>
      <c r="U66" s="58">
        <f t="shared" si="19"/>
        <v>1</v>
      </c>
    </row>
    <row r="67" spans="1:21" ht="17.100000000000001" customHeight="1" thickBot="1">
      <c r="A67" s="249">
        <v>7</v>
      </c>
      <c r="B67" s="287" t="s">
        <v>78</v>
      </c>
      <c r="C67" s="287" t="s">
        <v>79</v>
      </c>
      <c r="D67" s="287" t="s">
        <v>44</v>
      </c>
      <c r="E67" s="263" t="s">
        <v>21</v>
      </c>
      <c r="F67" s="266" t="s">
        <v>176</v>
      </c>
      <c r="G67" s="89">
        <v>5000</v>
      </c>
      <c r="H67" s="7" t="s">
        <v>23</v>
      </c>
      <c r="I67" s="89">
        <v>5000</v>
      </c>
      <c r="J67" s="89">
        <v>5000</v>
      </c>
      <c r="K67" s="89">
        <v>5000</v>
      </c>
      <c r="L67" s="89">
        <v>5000</v>
      </c>
      <c r="M67" s="89">
        <v>5000</v>
      </c>
      <c r="N67" s="89">
        <v>5000</v>
      </c>
      <c r="O67" s="89">
        <v>5000</v>
      </c>
      <c r="P67" s="89">
        <v>5000</v>
      </c>
      <c r="Q67" s="89">
        <v>5000</v>
      </c>
      <c r="R67" s="89">
        <v>5000</v>
      </c>
      <c r="S67" s="89">
        <v>5000</v>
      </c>
      <c r="T67" s="89">
        <v>5000</v>
      </c>
      <c r="U67" s="90">
        <f>AVERAGE(I67:T67)</f>
        <v>5000</v>
      </c>
    </row>
    <row r="68" spans="1:21" ht="17.100000000000001" customHeight="1" thickBot="1">
      <c r="A68" s="313"/>
      <c r="B68" s="287"/>
      <c r="C68" s="287"/>
      <c r="D68" s="287"/>
      <c r="E68" s="264"/>
      <c r="F68" s="266"/>
      <c r="G68" s="62">
        <v>4570.833333333333</v>
      </c>
      <c r="H68" s="12" t="s">
        <v>24</v>
      </c>
      <c r="I68" s="62">
        <v>4281</v>
      </c>
      <c r="J68" s="63">
        <v>4090</v>
      </c>
      <c r="K68" s="63">
        <v>4731</v>
      </c>
      <c r="L68" s="63">
        <v>4321</v>
      </c>
      <c r="M68" s="132">
        <v>4950</v>
      </c>
      <c r="N68" s="132">
        <v>4464</v>
      </c>
      <c r="O68" s="132">
        <v>4854</v>
      </c>
      <c r="P68" s="132">
        <v>4464</v>
      </c>
      <c r="Q68" s="132">
        <v>4762</v>
      </c>
      <c r="R68" s="132">
        <v>4673</v>
      </c>
      <c r="S68" s="132">
        <v>4386</v>
      </c>
      <c r="T68" s="132">
        <v>4348</v>
      </c>
      <c r="U68" s="91">
        <f>AVERAGE(I68:T68)</f>
        <v>4527</v>
      </c>
    </row>
    <row r="69" spans="1:21" ht="17.100000000000001" customHeight="1" thickBot="1">
      <c r="A69" s="248"/>
      <c r="B69" s="325"/>
      <c r="C69" s="325"/>
      <c r="D69" s="325"/>
      <c r="E69" s="281"/>
      <c r="F69" s="266"/>
      <c r="G69" s="42">
        <v>1.0938924339106655</v>
      </c>
      <c r="H69" s="17" t="s">
        <v>25</v>
      </c>
      <c r="I69" s="42">
        <f>I67/I68*1</f>
        <v>1.1679514132212101</v>
      </c>
      <c r="J69" s="42">
        <f t="shared" ref="J69:T69" si="20">J67/J68*1</f>
        <v>1.2224938875305624</v>
      </c>
      <c r="K69" s="42">
        <f t="shared" si="20"/>
        <v>1.056859015007398</v>
      </c>
      <c r="L69" s="42">
        <f t="shared" si="20"/>
        <v>1.1571395510298541</v>
      </c>
      <c r="M69" s="42">
        <f t="shared" si="20"/>
        <v>1.0101010101010102</v>
      </c>
      <c r="N69" s="42">
        <f>N67/N68*1</f>
        <v>1.1200716845878136</v>
      </c>
      <c r="O69" s="42">
        <f t="shared" si="20"/>
        <v>1.0300782859497322</v>
      </c>
      <c r="P69" s="42">
        <f t="shared" si="20"/>
        <v>1.1200716845878136</v>
      </c>
      <c r="Q69" s="42">
        <f t="shared" si="20"/>
        <v>1.0499790004199916</v>
      </c>
      <c r="R69" s="42">
        <f t="shared" si="20"/>
        <v>1.0699764605178685</v>
      </c>
      <c r="S69" s="42">
        <f t="shared" si="20"/>
        <v>1.1399908800729595</v>
      </c>
      <c r="T69" s="65">
        <f t="shared" si="20"/>
        <v>1.1499540018399264</v>
      </c>
      <c r="U69" s="44">
        <f>U67/U68</f>
        <v>1.1044842058758559</v>
      </c>
    </row>
    <row r="70" spans="1:21" ht="17.100000000000001" customHeight="1" thickBot="1">
      <c r="A70" s="313">
        <v>8</v>
      </c>
      <c r="B70" s="258" t="s">
        <v>81</v>
      </c>
      <c r="C70" s="298" t="s">
        <v>82</v>
      </c>
      <c r="D70" s="298" t="s">
        <v>83</v>
      </c>
      <c r="E70" s="308" t="s">
        <v>84</v>
      </c>
      <c r="F70" s="330" t="s">
        <v>85</v>
      </c>
      <c r="G70" s="94">
        <v>1</v>
      </c>
      <c r="H70" s="7" t="s">
        <v>23</v>
      </c>
      <c r="I70" s="95">
        <v>1</v>
      </c>
      <c r="J70" s="95">
        <v>1</v>
      </c>
      <c r="K70" s="95">
        <v>1</v>
      </c>
      <c r="L70" s="95">
        <v>1</v>
      </c>
      <c r="M70" s="95">
        <v>1</v>
      </c>
      <c r="N70" s="95">
        <v>1</v>
      </c>
      <c r="O70" s="95">
        <v>1</v>
      </c>
      <c r="P70" s="95">
        <v>1</v>
      </c>
      <c r="Q70" s="95">
        <v>1</v>
      </c>
      <c r="R70" s="95">
        <v>1</v>
      </c>
      <c r="S70" s="95">
        <v>1</v>
      </c>
      <c r="T70" s="95">
        <v>1</v>
      </c>
      <c r="U70" s="97">
        <f>AVERAGE(I70:T70)</f>
        <v>1</v>
      </c>
    </row>
    <row r="71" spans="1:21" ht="17.100000000000001" customHeight="1" thickBot="1">
      <c r="A71" s="313"/>
      <c r="B71" s="259"/>
      <c r="C71" s="299"/>
      <c r="D71" s="299"/>
      <c r="E71" s="264"/>
      <c r="F71" s="266"/>
      <c r="G71" s="98">
        <v>1</v>
      </c>
      <c r="H71" s="12" t="s">
        <v>24</v>
      </c>
      <c r="I71" s="98">
        <v>1</v>
      </c>
      <c r="J71" s="98">
        <v>1</v>
      </c>
      <c r="K71" s="98">
        <v>1</v>
      </c>
      <c r="L71" s="98">
        <v>1</v>
      </c>
      <c r="M71" s="98">
        <v>1</v>
      </c>
      <c r="N71" s="98">
        <v>1</v>
      </c>
      <c r="O71" s="98">
        <v>1</v>
      </c>
      <c r="P71" s="98">
        <v>1</v>
      </c>
      <c r="Q71" s="98">
        <v>1</v>
      </c>
      <c r="R71" s="98">
        <v>1</v>
      </c>
      <c r="S71" s="98">
        <v>1</v>
      </c>
      <c r="T71" s="98">
        <v>1</v>
      </c>
      <c r="U71" s="99">
        <f>AVERAGE(I71:T71)</f>
        <v>1</v>
      </c>
    </row>
    <row r="72" spans="1:21" ht="17.100000000000001" customHeight="1" thickBot="1">
      <c r="A72" s="313"/>
      <c r="B72" s="259"/>
      <c r="C72" s="288"/>
      <c r="D72" s="288"/>
      <c r="E72" s="335"/>
      <c r="F72" s="271"/>
      <c r="G72" s="16">
        <v>1</v>
      </c>
      <c r="H72" s="17" t="s">
        <v>25</v>
      </c>
      <c r="I72" s="16">
        <f t="shared" ref="I72:U72" si="21">I71/I70*1</f>
        <v>1</v>
      </c>
      <c r="J72" s="16">
        <f t="shared" si="21"/>
        <v>1</v>
      </c>
      <c r="K72" s="16">
        <f t="shared" si="21"/>
        <v>1</v>
      </c>
      <c r="L72" s="16">
        <f t="shared" si="21"/>
        <v>1</v>
      </c>
      <c r="M72" s="16">
        <f t="shared" si="21"/>
        <v>1</v>
      </c>
      <c r="N72" s="16">
        <f t="shared" si="21"/>
        <v>1</v>
      </c>
      <c r="O72" s="16">
        <f t="shared" si="21"/>
        <v>1</v>
      </c>
      <c r="P72" s="16">
        <f t="shared" si="21"/>
        <v>1</v>
      </c>
      <c r="Q72" s="16">
        <f t="shared" si="21"/>
        <v>1</v>
      </c>
      <c r="R72" s="16">
        <f t="shared" si="21"/>
        <v>1</v>
      </c>
      <c r="S72" s="16">
        <f t="shared" si="21"/>
        <v>1</v>
      </c>
      <c r="T72" s="18">
        <f t="shared" si="21"/>
        <v>1</v>
      </c>
      <c r="U72" s="19">
        <f t="shared" si="21"/>
        <v>1</v>
      </c>
    </row>
    <row r="73" spans="1:21" ht="17.100000000000001" customHeight="1" thickBot="1">
      <c r="A73" s="313"/>
      <c r="B73" s="259"/>
      <c r="C73" s="287" t="s">
        <v>86</v>
      </c>
      <c r="D73" s="287" t="s">
        <v>44</v>
      </c>
      <c r="E73" s="264" t="s">
        <v>84</v>
      </c>
      <c r="F73" s="304" t="s">
        <v>87</v>
      </c>
      <c r="G73" s="6">
        <v>27</v>
      </c>
      <c r="H73" s="7" t="s">
        <v>23</v>
      </c>
      <c r="I73" s="8">
        <v>2</v>
      </c>
      <c r="J73" s="8">
        <v>2</v>
      </c>
      <c r="K73" s="8">
        <v>2</v>
      </c>
      <c r="L73" s="8">
        <v>2</v>
      </c>
      <c r="M73" s="8">
        <v>2</v>
      </c>
      <c r="N73" s="8">
        <v>2</v>
      </c>
      <c r="O73" s="8">
        <v>3</v>
      </c>
      <c r="P73" s="8">
        <v>2</v>
      </c>
      <c r="Q73" s="8">
        <v>3</v>
      </c>
      <c r="R73" s="8">
        <v>2</v>
      </c>
      <c r="S73" s="8">
        <v>3</v>
      </c>
      <c r="T73" s="9">
        <v>2</v>
      </c>
      <c r="U73" s="10">
        <f>SUM(I73:T73)</f>
        <v>27</v>
      </c>
    </row>
    <row r="74" spans="1:21" ht="17.100000000000001" customHeight="1" thickBot="1">
      <c r="A74" s="313"/>
      <c r="B74" s="259"/>
      <c r="C74" s="299"/>
      <c r="D74" s="299"/>
      <c r="E74" s="264"/>
      <c r="F74" s="301"/>
      <c r="G74" s="6">
        <v>27</v>
      </c>
      <c r="H74" s="100" t="s">
        <v>24</v>
      </c>
      <c r="I74" s="13">
        <v>2</v>
      </c>
      <c r="J74" s="13">
        <v>2</v>
      </c>
      <c r="K74" s="13">
        <v>2</v>
      </c>
      <c r="L74" s="13">
        <v>2</v>
      </c>
      <c r="M74" s="13">
        <v>2</v>
      </c>
      <c r="N74" s="13">
        <v>2</v>
      </c>
      <c r="O74" s="13">
        <v>3</v>
      </c>
      <c r="P74" s="13">
        <v>2</v>
      </c>
      <c r="Q74" s="13">
        <v>3</v>
      </c>
      <c r="R74" s="13">
        <v>2</v>
      </c>
      <c r="S74" s="13">
        <v>3</v>
      </c>
      <c r="T74" s="14">
        <v>2</v>
      </c>
      <c r="U74" s="15">
        <f>SUM(I74:T74)</f>
        <v>27</v>
      </c>
    </row>
    <row r="75" spans="1:21" ht="17.100000000000001" customHeight="1" thickBot="1">
      <c r="A75" s="313"/>
      <c r="B75" s="307"/>
      <c r="C75" s="305"/>
      <c r="D75" s="305"/>
      <c r="E75" s="281"/>
      <c r="F75" s="306"/>
      <c r="G75" s="56">
        <v>1</v>
      </c>
      <c r="H75" s="101" t="s">
        <v>25</v>
      </c>
      <c r="I75" s="56">
        <f t="shared" ref="I75:U75" si="22">I74/I73*1</f>
        <v>1</v>
      </c>
      <c r="J75" s="56">
        <f t="shared" si="22"/>
        <v>1</v>
      </c>
      <c r="K75" s="56">
        <f t="shared" si="22"/>
        <v>1</v>
      </c>
      <c r="L75" s="56">
        <f t="shared" si="22"/>
        <v>1</v>
      </c>
      <c r="M75" s="56">
        <f t="shared" si="22"/>
        <v>1</v>
      </c>
      <c r="N75" s="56">
        <f t="shared" si="22"/>
        <v>1</v>
      </c>
      <c r="O75" s="56">
        <f t="shared" si="22"/>
        <v>1</v>
      </c>
      <c r="P75" s="56">
        <f t="shared" si="22"/>
        <v>1</v>
      </c>
      <c r="Q75" s="56">
        <f t="shared" si="22"/>
        <v>1</v>
      </c>
      <c r="R75" s="56">
        <f t="shared" si="22"/>
        <v>1</v>
      </c>
      <c r="S75" s="56">
        <f t="shared" si="22"/>
        <v>1</v>
      </c>
      <c r="T75" s="57">
        <f t="shared" si="22"/>
        <v>1</v>
      </c>
      <c r="U75" s="58">
        <f t="shared" si="22"/>
        <v>1</v>
      </c>
    </row>
    <row r="76" spans="1:21" ht="15" customHeight="1" thickBot="1">
      <c r="A76" s="332">
        <v>9</v>
      </c>
      <c r="B76" s="259" t="s">
        <v>88</v>
      </c>
      <c r="C76" s="259" t="s">
        <v>89</v>
      </c>
      <c r="D76" s="259" t="s">
        <v>29</v>
      </c>
      <c r="E76" s="264" t="s">
        <v>84</v>
      </c>
      <c r="F76" s="266" t="s">
        <v>90</v>
      </c>
      <c r="G76" s="93">
        <v>1</v>
      </c>
      <c r="H76" s="119" t="s">
        <v>23</v>
      </c>
      <c r="I76" s="95">
        <v>1</v>
      </c>
      <c r="J76" s="95">
        <v>1</v>
      </c>
      <c r="K76" s="95">
        <v>1</v>
      </c>
      <c r="L76" s="95">
        <v>1</v>
      </c>
      <c r="M76" s="95">
        <v>1</v>
      </c>
      <c r="N76" s="95">
        <v>1</v>
      </c>
      <c r="O76" s="95">
        <v>1</v>
      </c>
      <c r="P76" s="95">
        <v>1</v>
      </c>
      <c r="Q76" s="95">
        <v>1</v>
      </c>
      <c r="R76" s="95">
        <v>1</v>
      </c>
      <c r="S76" s="95">
        <v>1</v>
      </c>
      <c r="T76" s="95">
        <v>1</v>
      </c>
      <c r="U76" s="10">
        <f>SUM(I76:T76)</f>
        <v>12</v>
      </c>
    </row>
    <row r="77" spans="1:21" ht="15" customHeight="1" thickBot="1">
      <c r="A77" s="333"/>
      <c r="B77" s="259"/>
      <c r="C77" s="259"/>
      <c r="D77" s="259"/>
      <c r="E77" s="264"/>
      <c r="F77" s="266"/>
      <c r="G77" s="98">
        <v>1</v>
      </c>
      <c r="H77" s="100" t="s">
        <v>24</v>
      </c>
      <c r="I77" s="98">
        <v>1</v>
      </c>
      <c r="J77" s="98">
        <v>1</v>
      </c>
      <c r="K77" s="98">
        <v>1</v>
      </c>
      <c r="L77" s="98">
        <v>1</v>
      </c>
      <c r="M77" s="98">
        <v>1</v>
      </c>
      <c r="N77" s="98">
        <v>1</v>
      </c>
      <c r="O77" s="98">
        <v>1</v>
      </c>
      <c r="P77" s="98">
        <v>1</v>
      </c>
      <c r="Q77" s="98">
        <v>1</v>
      </c>
      <c r="R77" s="98">
        <v>1</v>
      </c>
      <c r="S77" s="98">
        <v>1</v>
      </c>
      <c r="T77" s="98">
        <v>1</v>
      </c>
      <c r="U77" s="15">
        <f>SUM(I77:T77)</f>
        <v>12</v>
      </c>
    </row>
    <row r="78" spans="1:21" ht="15" customHeight="1" thickBot="1">
      <c r="A78" s="333"/>
      <c r="B78" s="307"/>
      <c r="C78" s="307"/>
      <c r="D78" s="307"/>
      <c r="E78" s="281"/>
      <c r="F78" s="334"/>
      <c r="G78" s="16">
        <f>G76/G77</f>
        <v>1</v>
      </c>
      <c r="H78" s="101" t="s">
        <v>25</v>
      </c>
      <c r="I78" s="56">
        <f t="shared" ref="I78:U78" si="23">I77/I76*1</f>
        <v>1</v>
      </c>
      <c r="J78" s="56">
        <f t="shared" si="23"/>
        <v>1</v>
      </c>
      <c r="K78" s="56">
        <f t="shared" si="23"/>
        <v>1</v>
      </c>
      <c r="L78" s="56">
        <f t="shared" si="23"/>
        <v>1</v>
      </c>
      <c r="M78" s="56">
        <f t="shared" si="23"/>
        <v>1</v>
      </c>
      <c r="N78" s="56">
        <f t="shared" si="23"/>
        <v>1</v>
      </c>
      <c r="O78" s="56">
        <f t="shared" si="23"/>
        <v>1</v>
      </c>
      <c r="P78" s="56">
        <f t="shared" si="23"/>
        <v>1</v>
      </c>
      <c r="Q78" s="56">
        <f t="shared" si="23"/>
        <v>1</v>
      </c>
      <c r="R78" s="56">
        <f t="shared" si="23"/>
        <v>1</v>
      </c>
      <c r="S78" s="56">
        <f t="shared" si="23"/>
        <v>1</v>
      </c>
      <c r="T78" s="57">
        <f t="shared" si="23"/>
        <v>1</v>
      </c>
      <c r="U78" s="58">
        <f t="shared" si="23"/>
        <v>1</v>
      </c>
    </row>
    <row r="82" spans="9:20">
      <c r="M82" s="1">
        <v>0.99009900990099009</v>
      </c>
      <c r="N82" s="1">
        <v>0.89285714285714268</v>
      </c>
      <c r="O82" s="1">
        <v>0.970873786407767</v>
      </c>
      <c r="P82" s="1">
        <v>0.89285714285714268</v>
      </c>
      <c r="Q82" s="1">
        <v>0.95238095238095233</v>
      </c>
      <c r="R82" s="1">
        <v>0.93457943925233644</v>
      </c>
      <c r="S82" s="1">
        <v>0.87719298245614052</v>
      </c>
      <c r="T82" s="1">
        <v>0.86956521739130432</v>
      </c>
    </row>
    <row r="83" spans="9:20">
      <c r="I83" s="102"/>
      <c r="J83" s="103"/>
      <c r="K83" s="103"/>
      <c r="L83" s="103"/>
      <c r="M83" s="103"/>
      <c r="N83" s="103"/>
    </row>
    <row r="85" spans="9:20">
      <c r="M85" s="120"/>
      <c r="N85" s="120"/>
      <c r="O85" s="120"/>
      <c r="P85" s="120"/>
      <c r="Q85" s="120"/>
      <c r="R85" s="120"/>
      <c r="S85" s="120"/>
      <c r="T85" s="120"/>
    </row>
  </sheetData>
  <mergeCells count="120">
    <mergeCell ref="A76:A78"/>
    <mergeCell ref="B76:B78"/>
    <mergeCell ref="C76:C78"/>
    <mergeCell ref="D76:D78"/>
    <mergeCell ref="E76:E78"/>
    <mergeCell ref="F76:F78"/>
    <mergeCell ref="A70:A75"/>
    <mergeCell ref="B70:B75"/>
    <mergeCell ref="C70:C72"/>
    <mergeCell ref="D70:D72"/>
    <mergeCell ref="E70:E72"/>
    <mergeCell ref="F70:F72"/>
    <mergeCell ref="C73:C75"/>
    <mergeCell ref="D73:D75"/>
    <mergeCell ref="E73:E75"/>
    <mergeCell ref="F73:F75"/>
    <mergeCell ref="A67:A69"/>
    <mergeCell ref="B67:B69"/>
    <mergeCell ref="C67:C69"/>
    <mergeCell ref="D67:D69"/>
    <mergeCell ref="E67:E69"/>
    <mergeCell ref="F67:F69"/>
    <mergeCell ref="A64:A66"/>
    <mergeCell ref="B64:B66"/>
    <mergeCell ref="C64:C66"/>
    <mergeCell ref="D64:D66"/>
    <mergeCell ref="E64:E66"/>
    <mergeCell ref="F64:F66"/>
    <mergeCell ref="A61:A63"/>
    <mergeCell ref="B61:B63"/>
    <mergeCell ref="C61:C63"/>
    <mergeCell ref="D61:D63"/>
    <mergeCell ref="E61:E63"/>
    <mergeCell ref="F61:F63"/>
    <mergeCell ref="C55:C57"/>
    <mergeCell ref="D55:D57"/>
    <mergeCell ref="E55:E57"/>
    <mergeCell ref="F55:F57"/>
    <mergeCell ref="C58:C60"/>
    <mergeCell ref="D58:D60"/>
    <mergeCell ref="E58:E60"/>
    <mergeCell ref="F58:F60"/>
    <mergeCell ref="A49:A60"/>
    <mergeCell ref="B49:B60"/>
    <mergeCell ref="C49:C51"/>
    <mergeCell ref="D49:D51"/>
    <mergeCell ref="E49:E51"/>
    <mergeCell ref="F49:F51"/>
    <mergeCell ref="C52:C54"/>
    <mergeCell ref="D52:D54"/>
    <mergeCell ref="E52:E54"/>
    <mergeCell ref="F52:F54"/>
    <mergeCell ref="A43:A48"/>
    <mergeCell ref="B43:B48"/>
    <mergeCell ref="C43:C45"/>
    <mergeCell ref="D43:D48"/>
    <mergeCell ref="E43:E48"/>
    <mergeCell ref="F43:F45"/>
    <mergeCell ref="C46:C48"/>
    <mergeCell ref="F46:F48"/>
    <mergeCell ref="C37:C39"/>
    <mergeCell ref="D37:D39"/>
    <mergeCell ref="E37:E39"/>
    <mergeCell ref="F37:F39"/>
    <mergeCell ref="C40:C42"/>
    <mergeCell ref="D40:D42"/>
    <mergeCell ref="E40:E42"/>
    <mergeCell ref="F40:F42"/>
    <mergeCell ref="A28:A42"/>
    <mergeCell ref="B28:B42"/>
    <mergeCell ref="C31:C33"/>
    <mergeCell ref="D31:D33"/>
    <mergeCell ref="E31:E33"/>
    <mergeCell ref="F31:F33"/>
    <mergeCell ref="C34:C36"/>
    <mergeCell ref="D34:D36"/>
    <mergeCell ref="E34:E36"/>
    <mergeCell ref="F34:F36"/>
    <mergeCell ref="C25:C27"/>
    <mergeCell ref="D25:D27"/>
    <mergeCell ref="E25:E27"/>
    <mergeCell ref="F25:F27"/>
    <mergeCell ref="C28:C30"/>
    <mergeCell ref="D28:D30"/>
    <mergeCell ref="E28:E30"/>
    <mergeCell ref="F28:F30"/>
    <mergeCell ref="E22:E24"/>
    <mergeCell ref="F22:F24"/>
    <mergeCell ref="C13:C15"/>
    <mergeCell ref="D13:D15"/>
    <mergeCell ref="E13:E15"/>
    <mergeCell ref="F13:F15"/>
    <mergeCell ref="C16:C18"/>
    <mergeCell ref="D16:D18"/>
    <mergeCell ref="E16:E18"/>
    <mergeCell ref="F16:F18"/>
    <mergeCell ref="A5:A6"/>
    <mergeCell ref="B5:B6"/>
    <mergeCell ref="C5:C6"/>
    <mergeCell ref="D5:D6"/>
    <mergeCell ref="E5:E6"/>
    <mergeCell ref="F5:F6"/>
    <mergeCell ref="G5:G6"/>
    <mergeCell ref="H5:U5"/>
    <mergeCell ref="A7:A27"/>
    <mergeCell ref="B7:B27"/>
    <mergeCell ref="C7:C9"/>
    <mergeCell ref="D7:D9"/>
    <mergeCell ref="E7:E9"/>
    <mergeCell ref="F7:F9"/>
    <mergeCell ref="C10:C12"/>
    <mergeCell ref="D10:D12"/>
    <mergeCell ref="E10:E12"/>
    <mergeCell ref="F10:F12"/>
    <mergeCell ref="C19:C21"/>
    <mergeCell ref="D19:D21"/>
    <mergeCell ref="E19:E21"/>
    <mergeCell ref="F19:F21"/>
    <mergeCell ref="C22:C24"/>
    <mergeCell ref="D22:D2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3"/>
  <sheetViews>
    <sheetView showGridLines="0" topLeftCell="E1" workbookViewId="0">
      <selection activeCell="U22" sqref="U22:U23"/>
    </sheetView>
  </sheetViews>
  <sheetFormatPr defaultRowHeight="15"/>
  <cols>
    <col min="1" max="1" width="5.42578125" style="1" bestFit="1" customWidth="1"/>
    <col min="2" max="2" width="14.140625" style="1" bestFit="1" customWidth="1"/>
    <col min="3" max="3" width="19.85546875" style="1" bestFit="1" customWidth="1"/>
    <col min="4" max="4" width="11.28515625" style="1" bestFit="1" customWidth="1"/>
    <col min="5" max="5" width="14.140625" style="1" customWidth="1"/>
    <col min="6" max="6" width="32.42578125" style="1" bestFit="1" customWidth="1"/>
    <col min="7" max="7" width="10.7109375" style="133" customWidth="1"/>
    <col min="8" max="21" width="11.140625" style="1" customWidth="1"/>
    <col min="22" max="22" width="13" style="1" bestFit="1" customWidth="1"/>
    <col min="23" max="24" width="13.42578125" style="1" bestFit="1" customWidth="1"/>
    <col min="25" max="16384" width="9.140625" style="1"/>
  </cols>
  <sheetData>
    <row r="1" spans="1:22">
      <c r="G1" s="1"/>
    </row>
    <row r="2" spans="1:22" ht="15" customHeight="1">
      <c r="A2" s="121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04" t="s">
        <v>1</v>
      </c>
      <c r="T2" s="104" t="s">
        <v>2</v>
      </c>
      <c r="U2" s="104" t="s">
        <v>3</v>
      </c>
      <c r="V2" s="124"/>
    </row>
    <row r="3" spans="1:22" ht="30" customHeight="1">
      <c r="A3" s="121"/>
      <c r="B3" s="121" t="s">
        <v>179</v>
      </c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6" t="s">
        <v>243</v>
      </c>
      <c r="T3" s="126" t="s">
        <v>5</v>
      </c>
      <c r="U3" s="126" t="s">
        <v>6</v>
      </c>
      <c r="V3" s="125"/>
    </row>
    <row r="4" spans="1:22" ht="16.5" customHeight="1" thickBot="1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</row>
    <row r="5" spans="1:22" ht="17.100000000000001" customHeight="1" thickBot="1">
      <c r="A5" s="248" t="s">
        <v>180</v>
      </c>
      <c r="B5" s="250" t="s">
        <v>8</v>
      </c>
      <c r="C5" s="250" t="s">
        <v>9</v>
      </c>
      <c r="D5" s="250" t="s">
        <v>10</v>
      </c>
      <c r="E5" s="250" t="s">
        <v>11</v>
      </c>
      <c r="F5" s="252" t="s">
        <v>12</v>
      </c>
      <c r="G5" s="360" t="s">
        <v>181</v>
      </c>
      <c r="H5" s="254" t="s">
        <v>182</v>
      </c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5"/>
      <c r="U5" s="256"/>
    </row>
    <row r="6" spans="1:22" ht="47.25" customHeight="1" thickBot="1">
      <c r="A6" s="249"/>
      <c r="B6" s="251"/>
      <c r="C6" s="251"/>
      <c r="D6" s="251"/>
      <c r="E6" s="251"/>
      <c r="F6" s="253"/>
      <c r="G6" s="361"/>
      <c r="H6" s="3" t="s">
        <v>16</v>
      </c>
      <c r="I6" s="4">
        <v>44562</v>
      </c>
      <c r="J6" s="4">
        <v>44593</v>
      </c>
      <c r="K6" s="4">
        <v>44621</v>
      </c>
      <c r="L6" s="4">
        <v>44652</v>
      </c>
      <c r="M6" s="4">
        <v>44682</v>
      </c>
      <c r="N6" s="4">
        <v>44713</v>
      </c>
      <c r="O6" s="4">
        <v>44743</v>
      </c>
      <c r="P6" s="4">
        <v>44774</v>
      </c>
      <c r="Q6" s="4">
        <v>44805</v>
      </c>
      <c r="R6" s="4">
        <v>44835</v>
      </c>
      <c r="S6" s="4">
        <v>44866</v>
      </c>
      <c r="T6" s="4">
        <v>44896</v>
      </c>
      <c r="U6" s="5" t="s">
        <v>17</v>
      </c>
    </row>
    <row r="7" spans="1:22" ht="17.100000000000001" customHeight="1">
      <c r="A7" s="248">
        <v>1</v>
      </c>
      <c r="B7" s="258" t="s">
        <v>186</v>
      </c>
      <c r="C7" s="262" t="s">
        <v>187</v>
      </c>
      <c r="D7" s="286" t="s">
        <v>93</v>
      </c>
      <c r="E7" s="263" t="s">
        <v>188</v>
      </c>
      <c r="F7" s="265" t="s">
        <v>189</v>
      </c>
      <c r="G7" s="6"/>
      <c r="H7" s="7" t="s">
        <v>23</v>
      </c>
      <c r="I7" s="6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10">
        <f>SUM(I7:T7)</f>
        <v>0</v>
      </c>
    </row>
    <row r="8" spans="1:22" ht="17.100000000000001" customHeight="1">
      <c r="A8" s="257"/>
      <c r="B8" s="259"/>
      <c r="C8" s="259"/>
      <c r="D8" s="299"/>
      <c r="E8" s="264"/>
      <c r="F8" s="266"/>
      <c r="G8" s="11"/>
      <c r="H8" s="12" t="s">
        <v>24</v>
      </c>
      <c r="I8" s="11"/>
      <c r="J8" s="13"/>
      <c r="K8" s="13"/>
      <c r="L8" s="13"/>
      <c r="M8" s="13"/>
      <c r="N8" s="13"/>
      <c r="O8" s="13"/>
      <c r="P8" s="13"/>
      <c r="Q8" s="13"/>
      <c r="R8" s="13"/>
      <c r="S8" s="13"/>
      <c r="T8" s="14"/>
      <c r="U8" s="15">
        <f>SUM(I8:T8)</f>
        <v>0</v>
      </c>
    </row>
    <row r="9" spans="1:22" ht="17.100000000000001" customHeight="1">
      <c r="A9" s="257"/>
      <c r="B9" s="259"/>
      <c r="C9" s="259"/>
      <c r="D9" s="288"/>
      <c r="E9" s="264"/>
      <c r="F9" s="266"/>
      <c r="G9" s="16"/>
      <c r="H9" s="17" t="s">
        <v>25</v>
      </c>
      <c r="I9" s="16" t="e">
        <f t="shared" ref="I9:U9" si="0">I7/I8*1</f>
        <v>#DIV/0!</v>
      </c>
      <c r="J9" s="16" t="e">
        <f t="shared" si="0"/>
        <v>#DIV/0!</v>
      </c>
      <c r="K9" s="16" t="e">
        <f t="shared" si="0"/>
        <v>#DIV/0!</v>
      </c>
      <c r="L9" s="16" t="e">
        <f t="shared" si="0"/>
        <v>#DIV/0!</v>
      </c>
      <c r="M9" s="16" t="e">
        <f t="shared" si="0"/>
        <v>#DIV/0!</v>
      </c>
      <c r="N9" s="16" t="e">
        <f t="shared" si="0"/>
        <v>#DIV/0!</v>
      </c>
      <c r="O9" s="16" t="e">
        <f t="shared" si="0"/>
        <v>#DIV/0!</v>
      </c>
      <c r="P9" s="16" t="e">
        <f t="shared" si="0"/>
        <v>#DIV/0!</v>
      </c>
      <c r="Q9" s="16" t="e">
        <f t="shared" si="0"/>
        <v>#DIV/0!</v>
      </c>
      <c r="R9" s="16" t="e">
        <f t="shared" si="0"/>
        <v>#DIV/0!</v>
      </c>
      <c r="S9" s="16" t="e">
        <f t="shared" si="0"/>
        <v>#DIV/0!</v>
      </c>
      <c r="T9" s="18" t="e">
        <f t="shared" si="0"/>
        <v>#DIV/0!</v>
      </c>
      <c r="U9" s="19" t="e">
        <f t="shared" si="0"/>
        <v>#DIV/0!</v>
      </c>
    </row>
    <row r="10" spans="1:22" ht="17.100000000000001" customHeight="1">
      <c r="A10" s="257"/>
      <c r="B10" s="259"/>
      <c r="C10" s="286" t="s">
        <v>190</v>
      </c>
      <c r="D10" s="286" t="s">
        <v>93</v>
      </c>
      <c r="E10" s="263" t="s">
        <v>21</v>
      </c>
      <c r="F10" s="270" t="s">
        <v>191</v>
      </c>
      <c r="G10" s="6"/>
      <c r="H10" s="7" t="s">
        <v>23</v>
      </c>
      <c r="I10" s="6"/>
      <c r="J10" s="8"/>
      <c r="K10" s="8"/>
      <c r="L10" s="8"/>
      <c r="M10" s="8"/>
      <c r="N10" s="8"/>
      <c r="O10" s="8"/>
      <c r="P10" s="8"/>
      <c r="Q10" s="8"/>
      <c r="R10" s="8"/>
      <c r="S10" s="8"/>
      <c r="T10" s="9"/>
      <c r="U10" s="10">
        <f>SUM(I10:T10)</f>
        <v>0</v>
      </c>
    </row>
    <row r="11" spans="1:22" ht="17.100000000000001" customHeight="1">
      <c r="A11" s="257"/>
      <c r="B11" s="259"/>
      <c r="C11" s="299"/>
      <c r="D11" s="299"/>
      <c r="E11" s="264"/>
      <c r="F11" s="266"/>
      <c r="G11" s="11"/>
      <c r="H11" s="12" t="s">
        <v>24</v>
      </c>
      <c r="I11" s="11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4"/>
      <c r="U11" s="15">
        <f>SUM(I11:T11)</f>
        <v>0</v>
      </c>
    </row>
    <row r="12" spans="1:22" ht="17.100000000000001" customHeight="1">
      <c r="A12" s="257"/>
      <c r="B12" s="259"/>
      <c r="C12" s="288"/>
      <c r="D12" s="288"/>
      <c r="E12" s="264"/>
      <c r="F12" s="271"/>
      <c r="G12" s="16"/>
      <c r="H12" s="17" t="s">
        <v>25</v>
      </c>
      <c r="I12" s="16" t="e">
        <f t="shared" ref="I12:Q12" si="1">I11/I10*1</f>
        <v>#DIV/0!</v>
      </c>
      <c r="J12" s="16" t="e">
        <f t="shared" si="1"/>
        <v>#DIV/0!</v>
      </c>
      <c r="K12" s="16" t="e">
        <f t="shared" si="1"/>
        <v>#DIV/0!</v>
      </c>
      <c r="L12" s="16" t="e">
        <f t="shared" si="1"/>
        <v>#DIV/0!</v>
      </c>
      <c r="M12" s="16" t="e">
        <f t="shared" si="1"/>
        <v>#DIV/0!</v>
      </c>
      <c r="N12" s="16" t="e">
        <f t="shared" si="1"/>
        <v>#DIV/0!</v>
      </c>
      <c r="O12" s="16" t="e">
        <f t="shared" si="1"/>
        <v>#DIV/0!</v>
      </c>
      <c r="P12" s="16" t="e">
        <f t="shared" si="1"/>
        <v>#DIV/0!</v>
      </c>
      <c r="Q12" s="16" t="e">
        <f t="shared" si="1"/>
        <v>#DIV/0!</v>
      </c>
      <c r="R12" s="16" t="e">
        <f>R10/R11*1</f>
        <v>#DIV/0!</v>
      </c>
      <c r="S12" s="16" t="e">
        <f>S11/S10*1</f>
        <v>#DIV/0!</v>
      </c>
      <c r="T12" s="18" t="e">
        <f>T11/T10*1</f>
        <v>#DIV/0!</v>
      </c>
      <c r="U12" s="19" t="e">
        <f>U10/U11*1</f>
        <v>#DIV/0!</v>
      </c>
    </row>
    <row r="13" spans="1:22" ht="17.100000000000001" customHeight="1">
      <c r="A13" s="257"/>
      <c r="B13" s="259"/>
      <c r="C13" s="272" t="s">
        <v>192</v>
      </c>
      <c r="D13" s="272" t="s">
        <v>193</v>
      </c>
      <c r="E13" s="274" t="s">
        <v>30</v>
      </c>
      <c r="F13" s="275" t="s">
        <v>183</v>
      </c>
      <c r="G13" s="21">
        <v>37600000</v>
      </c>
      <c r="H13" s="7" t="s">
        <v>23</v>
      </c>
      <c r="I13" s="127">
        <v>3100000</v>
      </c>
      <c r="J13" s="127">
        <v>3100000</v>
      </c>
      <c r="K13" s="127">
        <v>3100000</v>
      </c>
      <c r="L13" s="127">
        <v>3100000</v>
      </c>
      <c r="M13" s="127">
        <v>3100000</v>
      </c>
      <c r="N13" s="127">
        <v>3100000</v>
      </c>
      <c r="O13" s="127">
        <v>3100000</v>
      </c>
      <c r="P13" s="127">
        <v>3100000</v>
      </c>
      <c r="Q13" s="127">
        <v>3100000</v>
      </c>
      <c r="R13" s="127">
        <v>3100000</v>
      </c>
      <c r="S13" s="127">
        <v>3100000</v>
      </c>
      <c r="T13" s="127">
        <v>3100000</v>
      </c>
      <c r="U13" s="244">
        <f>SUM(I13:T13)</f>
        <v>37200000</v>
      </c>
    </row>
    <row r="14" spans="1:22" ht="17.100000000000001" customHeight="1">
      <c r="A14" s="257"/>
      <c r="B14" s="259"/>
      <c r="C14" s="272"/>
      <c r="D14" s="272"/>
      <c r="E14" s="274"/>
      <c r="F14" s="275"/>
      <c r="G14" s="22">
        <v>37600720.25250712</v>
      </c>
      <c r="H14" s="12" t="s">
        <v>24</v>
      </c>
      <c r="I14" s="22">
        <v>3219722.3958351798</v>
      </c>
      <c r="J14" s="23">
        <v>3155004</v>
      </c>
      <c r="K14" s="23">
        <v>3229752.1105116098</v>
      </c>
      <c r="L14" s="23">
        <v>3289026.1396173602</v>
      </c>
      <c r="M14" s="23">
        <v>3450022</v>
      </c>
      <c r="N14" s="23">
        <v>3605268</v>
      </c>
      <c r="O14" s="23">
        <v>3602001</v>
      </c>
      <c r="P14" s="23">
        <v>3815006</v>
      </c>
      <c r="Q14" s="23">
        <v>3842005</v>
      </c>
      <c r="R14" s="23">
        <v>3812500</v>
      </c>
      <c r="S14" s="23">
        <v>3954021</v>
      </c>
      <c r="T14" s="24">
        <v>3815650</v>
      </c>
      <c r="U14" s="245">
        <f>SUM(I14:T14)</f>
        <v>42789977.645964146</v>
      </c>
    </row>
    <row r="15" spans="1:22" ht="17.100000000000001" customHeight="1">
      <c r="A15" s="257"/>
      <c r="B15" s="259"/>
      <c r="C15" s="272"/>
      <c r="D15" s="272"/>
      <c r="E15" s="274"/>
      <c r="F15" s="275"/>
      <c r="G15" s="16">
        <v>0.71262874418820654</v>
      </c>
      <c r="H15" s="17" t="s">
        <v>25</v>
      </c>
      <c r="I15" s="16">
        <f t="shared" ref="I15:T15" si="2">I14/I13*1</f>
        <v>1.0386201276887677</v>
      </c>
      <c r="J15" s="16">
        <f t="shared" si="2"/>
        <v>1.0177432258064516</v>
      </c>
      <c r="K15" s="16">
        <f t="shared" si="2"/>
        <v>1.0418555195198742</v>
      </c>
      <c r="L15" s="16">
        <f t="shared" si="2"/>
        <v>1.0609761740701162</v>
      </c>
      <c r="M15" s="16">
        <f t="shared" si="2"/>
        <v>1.1129103225806452</v>
      </c>
      <c r="N15" s="16">
        <f t="shared" si="2"/>
        <v>1.1629896774193549</v>
      </c>
      <c r="O15" s="16">
        <f t="shared" si="2"/>
        <v>1.161935806451613</v>
      </c>
      <c r="P15" s="16">
        <f t="shared" si="2"/>
        <v>1.2306470967741936</v>
      </c>
      <c r="Q15" s="16">
        <f t="shared" si="2"/>
        <v>1.2393564516129032</v>
      </c>
      <c r="R15" s="16">
        <f t="shared" si="2"/>
        <v>1.2298387096774193</v>
      </c>
      <c r="S15" s="16">
        <f t="shared" si="2"/>
        <v>1.2754906451612904</v>
      </c>
      <c r="T15" s="18">
        <f t="shared" si="2"/>
        <v>1.2308548387096774</v>
      </c>
      <c r="U15" s="19">
        <f>'2023VN'!G14/'2023VN'!G13*1</f>
        <v>1.1502682162893587</v>
      </c>
    </row>
    <row r="16" spans="1:22" ht="17.100000000000001" customHeight="1">
      <c r="A16" s="257"/>
      <c r="B16" s="259"/>
      <c r="C16" s="262" t="s">
        <v>194</v>
      </c>
      <c r="D16" s="285" t="s">
        <v>195</v>
      </c>
      <c r="E16" s="274" t="s">
        <v>30</v>
      </c>
      <c r="F16" s="270" t="s">
        <v>196</v>
      </c>
      <c r="G16" s="127"/>
      <c r="H16" s="7" t="s">
        <v>23</v>
      </c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7"/>
      <c r="U16" s="20">
        <f>SUM(I16:T16)</f>
        <v>0</v>
      </c>
    </row>
    <row r="17" spans="1:21" ht="17.100000000000001" customHeight="1">
      <c r="A17" s="257"/>
      <c r="B17" s="259"/>
      <c r="C17" s="259"/>
      <c r="D17" s="285"/>
      <c r="E17" s="274"/>
      <c r="F17" s="266"/>
      <c r="G17" s="22"/>
      <c r="H17" s="12" t="s">
        <v>24</v>
      </c>
      <c r="I17" s="2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4"/>
      <c r="U17" s="25">
        <f>SUM(I17:T17)</f>
        <v>0</v>
      </c>
    </row>
    <row r="18" spans="1:21" ht="17.100000000000001" customHeight="1">
      <c r="A18" s="257"/>
      <c r="B18" s="259"/>
      <c r="C18" s="336"/>
      <c r="D18" s="285"/>
      <c r="E18" s="274"/>
      <c r="F18" s="271"/>
      <c r="G18" s="16"/>
      <c r="H18" s="17" t="s">
        <v>25</v>
      </c>
      <c r="I18" s="16" t="e">
        <f t="shared" ref="I18:U18" si="3">I17/I16*1</f>
        <v>#DIV/0!</v>
      </c>
      <c r="J18" s="16" t="e">
        <f t="shared" si="3"/>
        <v>#DIV/0!</v>
      </c>
      <c r="K18" s="16" t="e">
        <f t="shared" si="3"/>
        <v>#DIV/0!</v>
      </c>
      <c r="L18" s="16" t="e">
        <f t="shared" si="3"/>
        <v>#DIV/0!</v>
      </c>
      <c r="M18" s="16" t="e">
        <f t="shared" si="3"/>
        <v>#DIV/0!</v>
      </c>
      <c r="N18" s="16" t="e">
        <f t="shared" si="3"/>
        <v>#DIV/0!</v>
      </c>
      <c r="O18" s="16" t="e">
        <f t="shared" si="3"/>
        <v>#DIV/0!</v>
      </c>
      <c r="P18" s="16" t="e">
        <f t="shared" si="3"/>
        <v>#DIV/0!</v>
      </c>
      <c r="Q18" s="16" t="e">
        <f t="shared" si="3"/>
        <v>#DIV/0!</v>
      </c>
      <c r="R18" s="16" t="e">
        <f t="shared" si="3"/>
        <v>#DIV/0!</v>
      </c>
      <c r="S18" s="16" t="e">
        <f t="shared" si="3"/>
        <v>#DIV/0!</v>
      </c>
      <c r="T18" s="18" t="e">
        <f t="shared" si="3"/>
        <v>#DIV/0!</v>
      </c>
      <c r="U18" s="19" t="e">
        <f t="shared" si="3"/>
        <v>#DIV/0!</v>
      </c>
    </row>
    <row r="19" spans="1:21" ht="17.100000000000001" customHeight="1">
      <c r="A19" s="257"/>
      <c r="B19" s="259"/>
      <c r="C19" s="262" t="s">
        <v>197</v>
      </c>
      <c r="D19" s="285" t="s">
        <v>195</v>
      </c>
      <c r="E19" s="274" t="s">
        <v>198</v>
      </c>
      <c r="F19" s="270" t="s">
        <v>199</v>
      </c>
      <c r="G19" s="128"/>
      <c r="H19" s="7" t="s">
        <v>23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9"/>
      <c r="U19" s="30" t="e">
        <f>AVERAGE(I19:T19)</f>
        <v>#DIV/0!</v>
      </c>
    </row>
    <row r="20" spans="1:21" ht="17.100000000000001" customHeight="1">
      <c r="A20" s="257"/>
      <c r="B20" s="259"/>
      <c r="C20" s="259"/>
      <c r="D20" s="285"/>
      <c r="E20" s="274"/>
      <c r="F20" s="266"/>
      <c r="G20" s="31"/>
      <c r="H20" s="12" t="s">
        <v>24</v>
      </c>
      <c r="I20" s="31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3"/>
      <c r="U20" s="34" t="e">
        <f>AVERAGE(I20:T20)</f>
        <v>#DIV/0!</v>
      </c>
    </row>
    <row r="21" spans="1:21" ht="17.100000000000001" customHeight="1">
      <c r="A21" s="257"/>
      <c r="B21" s="259"/>
      <c r="C21" s="336"/>
      <c r="D21" s="285"/>
      <c r="E21" s="274"/>
      <c r="F21" s="271"/>
      <c r="G21" s="16"/>
      <c r="H21" s="17" t="s">
        <v>25</v>
      </c>
      <c r="I21" s="16" t="e">
        <f t="shared" ref="I21:U21" si="4">I20/I19*1</f>
        <v>#DIV/0!</v>
      </c>
      <c r="J21" s="16" t="e">
        <f t="shared" si="4"/>
        <v>#DIV/0!</v>
      </c>
      <c r="K21" s="16" t="e">
        <f t="shared" si="4"/>
        <v>#DIV/0!</v>
      </c>
      <c r="L21" s="16" t="e">
        <f t="shared" si="4"/>
        <v>#DIV/0!</v>
      </c>
      <c r="M21" s="16" t="e">
        <f t="shared" si="4"/>
        <v>#DIV/0!</v>
      </c>
      <c r="N21" s="16" t="e">
        <f t="shared" si="4"/>
        <v>#DIV/0!</v>
      </c>
      <c r="O21" s="16" t="e">
        <f t="shared" si="4"/>
        <v>#DIV/0!</v>
      </c>
      <c r="P21" s="16" t="e">
        <f t="shared" si="4"/>
        <v>#DIV/0!</v>
      </c>
      <c r="Q21" s="16" t="e">
        <f t="shared" si="4"/>
        <v>#DIV/0!</v>
      </c>
      <c r="R21" s="16" t="e">
        <f t="shared" si="4"/>
        <v>#DIV/0!</v>
      </c>
      <c r="S21" s="16" t="e">
        <f t="shared" si="4"/>
        <v>#DIV/0!</v>
      </c>
      <c r="T21" s="18" t="e">
        <f t="shared" si="4"/>
        <v>#DIV/0!</v>
      </c>
      <c r="U21" s="19" t="e">
        <f t="shared" si="4"/>
        <v>#DIV/0!</v>
      </c>
    </row>
    <row r="22" spans="1:21" ht="17.100000000000001" customHeight="1">
      <c r="A22" s="257"/>
      <c r="B22" s="259"/>
      <c r="C22" s="272" t="s">
        <v>106</v>
      </c>
      <c r="D22" s="259" t="s">
        <v>200</v>
      </c>
      <c r="E22" s="274" t="s">
        <v>188</v>
      </c>
      <c r="F22" s="275" t="s">
        <v>201</v>
      </c>
      <c r="G22" s="36">
        <v>72</v>
      </c>
      <c r="H22" s="7" t="s">
        <v>23</v>
      </c>
      <c r="I22" s="36">
        <v>6</v>
      </c>
      <c r="J22" s="36">
        <v>6</v>
      </c>
      <c r="K22" s="36">
        <v>6</v>
      </c>
      <c r="L22" s="36">
        <v>6</v>
      </c>
      <c r="M22" s="36">
        <v>6</v>
      </c>
      <c r="N22" s="36">
        <v>6</v>
      </c>
      <c r="O22" s="36">
        <v>6</v>
      </c>
      <c r="P22" s="36">
        <v>6</v>
      </c>
      <c r="Q22" s="36">
        <v>6</v>
      </c>
      <c r="R22" s="36">
        <v>6</v>
      </c>
      <c r="S22" s="36">
        <v>6</v>
      </c>
      <c r="T22" s="36">
        <v>6</v>
      </c>
      <c r="U22" s="10">
        <f>SUM(I22:T22)</f>
        <v>72</v>
      </c>
    </row>
    <row r="23" spans="1:21" ht="17.100000000000001" customHeight="1">
      <c r="A23" s="257"/>
      <c r="B23" s="259"/>
      <c r="C23" s="272"/>
      <c r="D23" s="259"/>
      <c r="E23" s="274"/>
      <c r="F23" s="275"/>
      <c r="G23" s="11">
        <v>70</v>
      </c>
      <c r="H23" s="12" t="s">
        <v>24</v>
      </c>
      <c r="I23" s="13">
        <v>5</v>
      </c>
      <c r="J23" s="13">
        <v>4</v>
      </c>
      <c r="K23" s="13">
        <v>5</v>
      </c>
      <c r="L23" s="13">
        <v>4</v>
      </c>
      <c r="M23" s="13">
        <v>5</v>
      </c>
      <c r="N23" s="13">
        <v>5</v>
      </c>
      <c r="O23" s="13">
        <v>4</v>
      </c>
      <c r="P23" s="13">
        <v>6</v>
      </c>
      <c r="Q23" s="13">
        <v>5</v>
      </c>
      <c r="R23" s="13">
        <v>6</v>
      </c>
      <c r="S23" s="13">
        <v>5</v>
      </c>
      <c r="T23" s="13">
        <v>5</v>
      </c>
      <c r="U23" s="15">
        <f>SUM(I23:T23)</f>
        <v>59</v>
      </c>
    </row>
    <row r="24" spans="1:21" ht="17.100000000000001" customHeight="1">
      <c r="A24" s="257"/>
      <c r="B24" s="259"/>
      <c r="C24" s="272"/>
      <c r="D24" s="259"/>
      <c r="E24" s="274"/>
      <c r="F24" s="275"/>
      <c r="G24" s="16">
        <v>0.75</v>
      </c>
      <c r="H24" s="17" t="s">
        <v>25</v>
      </c>
      <c r="I24" s="37">
        <f t="shared" ref="I24:U24" si="5">I23/I22*1</f>
        <v>0.83333333333333337</v>
      </c>
      <c r="J24" s="37">
        <f t="shared" si="5"/>
        <v>0.66666666666666663</v>
      </c>
      <c r="K24" s="37">
        <f t="shared" si="5"/>
        <v>0.83333333333333337</v>
      </c>
      <c r="L24" s="37">
        <f t="shared" si="5"/>
        <v>0.66666666666666663</v>
      </c>
      <c r="M24" s="37">
        <f t="shared" si="5"/>
        <v>0.83333333333333337</v>
      </c>
      <c r="N24" s="37">
        <f t="shared" si="5"/>
        <v>0.83333333333333337</v>
      </c>
      <c r="O24" s="37">
        <f t="shared" si="5"/>
        <v>0.66666666666666663</v>
      </c>
      <c r="P24" s="37">
        <f t="shared" si="5"/>
        <v>1</v>
      </c>
      <c r="Q24" s="37">
        <f t="shared" si="5"/>
        <v>0.83333333333333337</v>
      </c>
      <c r="R24" s="37">
        <f t="shared" si="5"/>
        <v>1</v>
      </c>
      <c r="S24" s="37">
        <f t="shared" si="5"/>
        <v>0.83333333333333337</v>
      </c>
      <c r="T24" s="38">
        <f t="shared" si="5"/>
        <v>0.83333333333333337</v>
      </c>
      <c r="U24" s="19">
        <f t="shared" si="5"/>
        <v>0.81944444444444442</v>
      </c>
    </row>
    <row r="25" spans="1:21" ht="17.100000000000001" customHeight="1">
      <c r="A25" s="257"/>
      <c r="B25" s="259"/>
      <c r="C25" s="272" t="s">
        <v>109</v>
      </c>
      <c r="D25" s="272" t="s">
        <v>202</v>
      </c>
      <c r="E25" s="263" t="s">
        <v>188</v>
      </c>
      <c r="F25" s="275" t="s">
        <v>41</v>
      </c>
      <c r="G25" s="36">
        <v>12</v>
      </c>
      <c r="H25" s="7" t="s">
        <v>23</v>
      </c>
      <c r="I25" s="36">
        <v>1</v>
      </c>
      <c r="J25" s="36">
        <v>1</v>
      </c>
      <c r="K25" s="36">
        <v>1</v>
      </c>
      <c r="L25" s="39">
        <v>1</v>
      </c>
      <c r="M25" s="39">
        <v>1</v>
      </c>
      <c r="N25" s="39">
        <v>1</v>
      </c>
      <c r="O25" s="39">
        <v>1</v>
      </c>
      <c r="P25" s="39">
        <v>1</v>
      </c>
      <c r="Q25" s="39">
        <v>1</v>
      </c>
      <c r="R25" s="39">
        <v>1</v>
      </c>
      <c r="S25" s="39">
        <v>1</v>
      </c>
      <c r="T25" s="39">
        <v>1</v>
      </c>
      <c r="U25" s="10">
        <f>SUM(I25:T25)</f>
        <v>12</v>
      </c>
    </row>
    <row r="26" spans="1:21" ht="17.100000000000001" customHeight="1">
      <c r="A26" s="257"/>
      <c r="B26" s="259"/>
      <c r="C26" s="272"/>
      <c r="D26" s="272"/>
      <c r="E26" s="264"/>
      <c r="F26" s="275"/>
      <c r="G26" s="11">
        <v>9</v>
      </c>
      <c r="H26" s="12" t="s">
        <v>24</v>
      </c>
      <c r="I26" s="13">
        <v>1</v>
      </c>
      <c r="J26" s="13">
        <v>1</v>
      </c>
      <c r="K26" s="13">
        <v>1</v>
      </c>
      <c r="L26" s="13">
        <v>1</v>
      </c>
      <c r="M26" s="13">
        <v>1</v>
      </c>
      <c r="N26" s="13">
        <v>1</v>
      </c>
      <c r="O26" s="13">
        <v>1</v>
      </c>
      <c r="P26" s="13">
        <v>1</v>
      </c>
      <c r="Q26" s="13">
        <v>1</v>
      </c>
      <c r="R26" s="13">
        <v>1</v>
      </c>
      <c r="S26" s="13">
        <v>1</v>
      </c>
      <c r="T26" s="13">
        <v>1</v>
      </c>
      <c r="U26" s="15">
        <f>SUM(I26:T26)</f>
        <v>12</v>
      </c>
    </row>
    <row r="27" spans="1:21" ht="17.100000000000001" customHeight="1" thickBot="1">
      <c r="A27" s="249"/>
      <c r="B27" s="259"/>
      <c r="C27" s="262"/>
      <c r="D27" s="262"/>
      <c r="E27" s="281"/>
      <c r="F27" s="270"/>
      <c r="G27" s="42">
        <v>1.3333333333333333</v>
      </c>
      <c r="H27" s="17" t="s">
        <v>25</v>
      </c>
      <c r="I27" s="41">
        <f t="shared" ref="I27:Q27" si="6">I26/I25*1</f>
        <v>1</v>
      </c>
      <c r="J27" s="41">
        <f t="shared" si="6"/>
        <v>1</v>
      </c>
      <c r="K27" s="41">
        <f t="shared" si="6"/>
        <v>1</v>
      </c>
      <c r="L27" s="41">
        <f t="shared" si="6"/>
        <v>1</v>
      </c>
      <c r="M27" s="41">
        <f t="shared" si="6"/>
        <v>1</v>
      </c>
      <c r="N27" s="41">
        <f t="shared" si="6"/>
        <v>1</v>
      </c>
      <c r="O27" s="41">
        <f t="shared" si="6"/>
        <v>1</v>
      </c>
      <c r="P27" s="41">
        <f t="shared" si="6"/>
        <v>1</v>
      </c>
      <c r="Q27" s="41">
        <f t="shared" si="6"/>
        <v>1</v>
      </c>
      <c r="R27" s="42">
        <f>R25/R26*1</f>
        <v>1</v>
      </c>
      <c r="S27" s="41">
        <f>S26/S25*1</f>
        <v>1</v>
      </c>
      <c r="T27" s="43">
        <f>T26/T25*1</f>
        <v>1</v>
      </c>
      <c r="U27" s="44">
        <f>U25/U26*1</f>
        <v>1</v>
      </c>
    </row>
    <row r="28" spans="1:21" ht="17.100000000000001" customHeight="1">
      <c r="A28" s="257">
        <v>2</v>
      </c>
      <c r="B28" s="295" t="s">
        <v>203</v>
      </c>
      <c r="C28" s="298" t="s">
        <v>204</v>
      </c>
      <c r="D28" s="298" t="s">
        <v>113</v>
      </c>
      <c r="E28" s="263" t="s">
        <v>188</v>
      </c>
      <c r="F28" s="300" t="s">
        <v>205</v>
      </c>
      <c r="G28" s="89">
        <v>100</v>
      </c>
      <c r="H28" s="7" t="s">
        <v>23</v>
      </c>
      <c r="I28" s="89">
        <v>100</v>
      </c>
      <c r="J28" s="89">
        <v>100</v>
      </c>
      <c r="K28" s="89">
        <v>100</v>
      </c>
      <c r="L28" s="89">
        <v>100</v>
      </c>
      <c r="M28" s="89">
        <v>100</v>
      </c>
      <c r="N28" s="89">
        <v>100</v>
      </c>
      <c r="O28" s="89">
        <v>100</v>
      </c>
      <c r="P28" s="89">
        <v>100</v>
      </c>
      <c r="Q28" s="89">
        <v>100</v>
      </c>
      <c r="R28" s="89">
        <v>100</v>
      </c>
      <c r="S28" s="89">
        <v>100</v>
      </c>
      <c r="T28" s="89">
        <v>100</v>
      </c>
      <c r="U28" s="46">
        <f>AVERAGE(I28:T28)</f>
        <v>100</v>
      </c>
    </row>
    <row r="29" spans="1:21" ht="17.100000000000001" customHeight="1">
      <c r="A29" s="257"/>
      <c r="B29" s="296"/>
      <c r="C29" s="299"/>
      <c r="D29" s="299"/>
      <c r="E29" s="264"/>
      <c r="F29" s="301"/>
      <c r="G29" s="62">
        <v>15.666666666666666</v>
      </c>
      <c r="H29" s="12" t="s">
        <v>24</v>
      </c>
      <c r="I29" s="62">
        <v>40</v>
      </c>
      <c r="J29" s="62">
        <v>31</v>
      </c>
      <c r="K29" s="62">
        <v>0</v>
      </c>
      <c r="L29" s="62">
        <v>0</v>
      </c>
      <c r="M29" s="62">
        <v>30</v>
      </c>
      <c r="N29" s="62">
        <v>50</v>
      </c>
      <c r="O29" s="62">
        <v>35</v>
      </c>
      <c r="P29" s="62">
        <v>40</v>
      </c>
      <c r="Q29" s="62">
        <v>42</v>
      </c>
      <c r="R29" s="62">
        <v>43</v>
      </c>
      <c r="S29" s="62">
        <v>37</v>
      </c>
      <c r="T29" s="62">
        <v>25</v>
      </c>
      <c r="U29" s="25">
        <f>AVERAGE(I29:T29)</f>
        <v>31.083333333333332</v>
      </c>
    </row>
    <row r="30" spans="1:21" ht="17.100000000000001" customHeight="1" thickBot="1">
      <c r="A30" s="257"/>
      <c r="B30" s="296"/>
      <c r="C30" s="288"/>
      <c r="D30" s="288"/>
      <c r="E30" s="264"/>
      <c r="F30" s="302"/>
      <c r="G30" s="16">
        <v>0.15666666666666665</v>
      </c>
      <c r="H30" s="17" t="s">
        <v>25</v>
      </c>
      <c r="I30" s="16">
        <f t="shared" ref="I30:T30" si="7">I28/I29*1</f>
        <v>2.5</v>
      </c>
      <c r="J30" s="16">
        <f t="shared" si="7"/>
        <v>3.225806451612903</v>
      </c>
      <c r="K30" s="16" t="e">
        <f t="shared" si="7"/>
        <v>#DIV/0!</v>
      </c>
      <c r="L30" s="16" t="e">
        <f t="shared" si="7"/>
        <v>#DIV/0!</v>
      </c>
      <c r="M30" s="16">
        <f t="shared" si="7"/>
        <v>3.3333333333333335</v>
      </c>
      <c r="N30" s="16">
        <f t="shared" si="7"/>
        <v>2</v>
      </c>
      <c r="O30" s="16">
        <f t="shared" si="7"/>
        <v>2.8571428571428572</v>
      </c>
      <c r="P30" s="16">
        <f t="shared" si="7"/>
        <v>2.5</v>
      </c>
      <c r="Q30" s="16">
        <f t="shared" si="7"/>
        <v>2.3809523809523809</v>
      </c>
      <c r="R30" s="16">
        <f t="shared" si="7"/>
        <v>2.3255813953488373</v>
      </c>
      <c r="S30" s="16">
        <f t="shared" si="7"/>
        <v>2.7027027027027026</v>
      </c>
      <c r="T30" s="18">
        <f t="shared" si="7"/>
        <v>4</v>
      </c>
      <c r="U30" s="19">
        <f>U29/U28*1</f>
        <v>0.31083333333333329</v>
      </c>
    </row>
    <row r="31" spans="1:21" ht="17.100000000000001" customHeight="1">
      <c r="A31" s="257"/>
      <c r="B31" s="296"/>
      <c r="C31" s="287" t="s">
        <v>206</v>
      </c>
      <c r="D31" s="287" t="s">
        <v>207</v>
      </c>
      <c r="E31" s="292" t="s">
        <v>208</v>
      </c>
      <c r="F31" s="304" t="s">
        <v>209</v>
      </c>
      <c r="G31" s="89">
        <v>12</v>
      </c>
      <c r="H31" s="7" t="s">
        <v>23</v>
      </c>
      <c r="I31" s="67">
        <v>1</v>
      </c>
      <c r="J31" s="67">
        <v>1</v>
      </c>
      <c r="K31" s="67">
        <v>1</v>
      </c>
      <c r="L31" s="67">
        <v>1</v>
      </c>
      <c r="M31" s="67">
        <v>1</v>
      </c>
      <c r="N31" s="67">
        <v>1</v>
      </c>
      <c r="O31" s="67">
        <v>1</v>
      </c>
      <c r="P31" s="67">
        <v>1</v>
      </c>
      <c r="Q31" s="67">
        <v>1</v>
      </c>
      <c r="R31" s="67">
        <v>1</v>
      </c>
      <c r="S31" s="67">
        <v>1</v>
      </c>
      <c r="T31" s="67">
        <v>1</v>
      </c>
      <c r="U31" s="20">
        <f>SUM(I31:T31)</f>
        <v>12</v>
      </c>
    </row>
    <row r="32" spans="1:21" ht="17.100000000000001" customHeight="1">
      <c r="A32" s="257"/>
      <c r="B32" s="296"/>
      <c r="C32" s="299"/>
      <c r="D32" s="299"/>
      <c r="E32" s="292"/>
      <c r="F32" s="301"/>
      <c r="G32" s="62">
        <v>0</v>
      </c>
      <c r="H32" s="12" t="s">
        <v>24</v>
      </c>
      <c r="I32" s="63">
        <v>0</v>
      </c>
      <c r="J32" s="63">
        <v>0</v>
      </c>
      <c r="K32" s="63">
        <v>0</v>
      </c>
      <c r="L32" s="63">
        <v>0</v>
      </c>
      <c r="M32" s="63">
        <v>0</v>
      </c>
      <c r="N32" s="63">
        <v>0</v>
      </c>
      <c r="O32" s="63">
        <v>0</v>
      </c>
      <c r="P32" s="63">
        <v>0</v>
      </c>
      <c r="Q32" s="63">
        <v>0</v>
      </c>
      <c r="R32" s="63">
        <v>0</v>
      </c>
      <c r="S32" s="63">
        <v>0</v>
      </c>
      <c r="T32" s="63">
        <v>0</v>
      </c>
      <c r="U32" s="25">
        <f>SUM(I32:T32)</f>
        <v>0</v>
      </c>
    </row>
    <row r="33" spans="1:21" ht="17.100000000000001" customHeight="1">
      <c r="A33" s="257"/>
      <c r="B33" s="296"/>
      <c r="C33" s="288"/>
      <c r="D33" s="288"/>
      <c r="E33" s="292"/>
      <c r="F33" s="302"/>
      <c r="G33" s="16"/>
      <c r="H33" s="17" t="s">
        <v>25</v>
      </c>
      <c r="I33" s="16">
        <f t="shared" ref="I33:T33" si="8">I32/I31*1</f>
        <v>0</v>
      </c>
      <c r="J33" s="16">
        <f t="shared" si="8"/>
        <v>0</v>
      </c>
      <c r="K33" s="16">
        <f t="shared" si="8"/>
        <v>0</v>
      </c>
      <c r="L33" s="16">
        <f t="shared" si="8"/>
        <v>0</v>
      </c>
      <c r="M33" s="16">
        <f t="shared" si="8"/>
        <v>0</v>
      </c>
      <c r="N33" s="16">
        <f t="shared" si="8"/>
        <v>0</v>
      </c>
      <c r="O33" s="16">
        <f t="shared" si="8"/>
        <v>0</v>
      </c>
      <c r="P33" s="16">
        <f t="shared" si="8"/>
        <v>0</v>
      </c>
      <c r="Q33" s="16">
        <f t="shared" si="8"/>
        <v>0</v>
      </c>
      <c r="R33" s="16">
        <f t="shared" si="8"/>
        <v>0</v>
      </c>
      <c r="S33" s="16">
        <f t="shared" si="8"/>
        <v>0</v>
      </c>
      <c r="T33" s="16">
        <f t="shared" si="8"/>
        <v>0</v>
      </c>
      <c r="U33" s="19" t="e">
        <f>U31/U32</f>
        <v>#DIV/0!</v>
      </c>
    </row>
    <row r="34" spans="1:21" ht="17.100000000000001" customHeight="1">
      <c r="A34" s="257"/>
      <c r="B34" s="296"/>
      <c r="C34" s="286" t="s">
        <v>119</v>
      </c>
      <c r="D34" s="286" t="s">
        <v>210</v>
      </c>
      <c r="E34" s="263" t="s">
        <v>188</v>
      </c>
      <c r="F34" s="270" t="s">
        <v>211</v>
      </c>
      <c r="G34" s="6">
        <v>24</v>
      </c>
      <c r="H34" s="7" t="s">
        <v>23</v>
      </c>
      <c r="I34" s="6">
        <v>2</v>
      </c>
      <c r="J34" s="6">
        <v>2</v>
      </c>
      <c r="K34" s="6">
        <v>2</v>
      </c>
      <c r="L34" s="6">
        <v>2</v>
      </c>
      <c r="M34" s="6">
        <v>2</v>
      </c>
      <c r="N34" s="6">
        <v>2</v>
      </c>
      <c r="O34" s="6">
        <v>2</v>
      </c>
      <c r="P34" s="6">
        <v>2</v>
      </c>
      <c r="Q34" s="6">
        <v>2</v>
      </c>
      <c r="R34" s="6">
        <v>2</v>
      </c>
      <c r="S34" s="6">
        <v>2</v>
      </c>
      <c r="T34" s="6">
        <v>2</v>
      </c>
      <c r="U34" s="10">
        <f>SUM(I34:T34)</f>
        <v>24</v>
      </c>
    </row>
    <row r="35" spans="1:21" ht="17.100000000000001" customHeight="1">
      <c r="A35" s="257"/>
      <c r="B35" s="296"/>
      <c r="C35" s="287"/>
      <c r="D35" s="287"/>
      <c r="E35" s="264"/>
      <c r="F35" s="266"/>
      <c r="G35" s="11">
        <v>10</v>
      </c>
      <c r="H35" s="12" t="s">
        <v>24</v>
      </c>
      <c r="I35" s="11">
        <v>3</v>
      </c>
      <c r="J35" s="13">
        <v>0</v>
      </c>
      <c r="K35" s="13">
        <v>2</v>
      </c>
      <c r="L35" s="13">
        <v>0</v>
      </c>
      <c r="M35" s="13">
        <v>0</v>
      </c>
      <c r="N35" s="13">
        <v>0</v>
      </c>
      <c r="O35" s="13">
        <v>2</v>
      </c>
      <c r="P35" s="13">
        <v>1</v>
      </c>
      <c r="Q35" s="13">
        <v>1</v>
      </c>
      <c r="R35" s="13">
        <v>2</v>
      </c>
      <c r="S35" s="13">
        <v>0</v>
      </c>
      <c r="T35" s="13">
        <v>0</v>
      </c>
      <c r="U35" s="15">
        <f>SUM(I35:T35)</f>
        <v>11</v>
      </c>
    </row>
    <row r="36" spans="1:21" ht="17.100000000000001" customHeight="1">
      <c r="A36" s="257"/>
      <c r="B36" s="296"/>
      <c r="C36" s="288"/>
      <c r="D36" s="288"/>
      <c r="E36" s="264"/>
      <c r="F36" s="271"/>
      <c r="G36" s="16">
        <v>2.4</v>
      </c>
      <c r="H36" s="17" t="s">
        <v>25</v>
      </c>
      <c r="I36" s="16">
        <f t="shared" ref="I36:T36" si="9">I35/I34*1</f>
        <v>1.5</v>
      </c>
      <c r="J36" s="16">
        <f t="shared" si="9"/>
        <v>0</v>
      </c>
      <c r="K36" s="16">
        <f t="shared" si="9"/>
        <v>1</v>
      </c>
      <c r="L36" s="16">
        <f t="shared" si="9"/>
        <v>0</v>
      </c>
      <c r="M36" s="16">
        <f t="shared" si="9"/>
        <v>0</v>
      </c>
      <c r="N36" s="16">
        <f t="shared" si="9"/>
        <v>0</v>
      </c>
      <c r="O36" s="16">
        <f t="shared" si="9"/>
        <v>1</v>
      </c>
      <c r="P36" s="16">
        <f t="shared" si="9"/>
        <v>0.5</v>
      </c>
      <c r="Q36" s="16">
        <f t="shared" si="9"/>
        <v>0.5</v>
      </c>
      <c r="R36" s="16">
        <f t="shared" si="9"/>
        <v>1</v>
      </c>
      <c r="S36" s="16">
        <f t="shared" si="9"/>
        <v>0</v>
      </c>
      <c r="T36" s="18">
        <f t="shared" si="9"/>
        <v>0</v>
      </c>
      <c r="U36" s="19">
        <f>U34/U35</f>
        <v>2.1818181818181817</v>
      </c>
    </row>
    <row r="37" spans="1:21" ht="17.100000000000001" customHeight="1">
      <c r="A37" s="257"/>
      <c r="B37" s="296"/>
      <c r="C37" s="293" t="s">
        <v>212</v>
      </c>
      <c r="D37" s="293" t="s">
        <v>210</v>
      </c>
      <c r="E37" s="263" t="s">
        <v>188</v>
      </c>
      <c r="F37" s="275" t="s">
        <v>184</v>
      </c>
      <c r="G37" s="66">
        <v>12</v>
      </c>
      <c r="H37" s="7" t="s">
        <v>23</v>
      </c>
      <c r="I37" s="67">
        <v>1</v>
      </c>
      <c r="J37" s="67">
        <v>1</v>
      </c>
      <c r="K37" s="67">
        <v>1</v>
      </c>
      <c r="L37" s="67">
        <v>1</v>
      </c>
      <c r="M37" s="67">
        <v>1</v>
      </c>
      <c r="N37" s="67">
        <v>1</v>
      </c>
      <c r="O37" s="67">
        <v>1</v>
      </c>
      <c r="P37" s="67">
        <v>1</v>
      </c>
      <c r="Q37" s="67">
        <v>1</v>
      </c>
      <c r="R37" s="67">
        <v>1</v>
      </c>
      <c r="S37" s="67">
        <v>1</v>
      </c>
      <c r="T37" s="67">
        <v>1</v>
      </c>
      <c r="U37" s="10">
        <f>SUM(I37:T37)</f>
        <v>12</v>
      </c>
    </row>
    <row r="38" spans="1:21" ht="17.100000000000001" customHeight="1">
      <c r="A38" s="257"/>
      <c r="B38" s="296"/>
      <c r="C38" s="293"/>
      <c r="D38" s="293"/>
      <c r="E38" s="264"/>
      <c r="F38" s="275"/>
      <c r="G38" s="62">
        <v>9</v>
      </c>
      <c r="H38" s="12" t="s">
        <v>24</v>
      </c>
      <c r="I38" s="63">
        <v>0</v>
      </c>
      <c r="J38" s="63">
        <v>0</v>
      </c>
      <c r="K38" s="63">
        <v>0</v>
      </c>
      <c r="L38" s="63">
        <v>0</v>
      </c>
      <c r="M38" s="63">
        <v>2</v>
      </c>
      <c r="N38" s="63">
        <v>1</v>
      </c>
      <c r="O38" s="63">
        <v>0</v>
      </c>
      <c r="P38" s="63">
        <v>2</v>
      </c>
      <c r="Q38" s="63">
        <v>1</v>
      </c>
      <c r="R38" s="63">
        <v>2</v>
      </c>
      <c r="S38" s="63">
        <v>1</v>
      </c>
      <c r="T38" s="63">
        <v>1</v>
      </c>
      <c r="U38" s="15">
        <f>SUM(I38:T38)</f>
        <v>10</v>
      </c>
    </row>
    <row r="39" spans="1:21" ht="17.100000000000001" customHeight="1">
      <c r="A39" s="257"/>
      <c r="B39" s="296"/>
      <c r="C39" s="293"/>
      <c r="D39" s="293"/>
      <c r="E39" s="264"/>
      <c r="F39" s="275"/>
      <c r="G39" s="16">
        <v>0.75</v>
      </c>
      <c r="H39" s="17" t="s">
        <v>25</v>
      </c>
      <c r="I39" s="16">
        <f t="shared" ref="I39:U39" si="10">I38/I37*1</f>
        <v>0</v>
      </c>
      <c r="J39" s="16">
        <f t="shared" si="10"/>
        <v>0</v>
      </c>
      <c r="K39" s="16">
        <f t="shared" si="10"/>
        <v>0</v>
      </c>
      <c r="L39" s="16">
        <f t="shared" si="10"/>
        <v>0</v>
      </c>
      <c r="M39" s="16">
        <f t="shared" si="10"/>
        <v>2</v>
      </c>
      <c r="N39" s="16">
        <f t="shared" si="10"/>
        <v>1</v>
      </c>
      <c r="O39" s="16">
        <f t="shared" si="10"/>
        <v>0</v>
      </c>
      <c r="P39" s="16">
        <f t="shared" si="10"/>
        <v>2</v>
      </c>
      <c r="Q39" s="16">
        <f t="shared" si="10"/>
        <v>1</v>
      </c>
      <c r="R39" s="16">
        <f t="shared" si="10"/>
        <v>2</v>
      </c>
      <c r="S39" s="16">
        <f t="shared" si="10"/>
        <v>1</v>
      </c>
      <c r="T39" s="16">
        <f t="shared" si="10"/>
        <v>1</v>
      </c>
      <c r="U39" s="52">
        <f t="shared" si="10"/>
        <v>0.83333333333333337</v>
      </c>
    </row>
    <row r="40" spans="1:21" ht="16.5" customHeight="1">
      <c r="A40" s="257"/>
      <c r="B40" s="296"/>
      <c r="C40" s="287" t="s">
        <v>213</v>
      </c>
      <c r="D40" s="293" t="s">
        <v>210</v>
      </c>
      <c r="E40" s="263" t="s">
        <v>188</v>
      </c>
      <c r="F40" s="304" t="s">
        <v>214</v>
      </c>
      <c r="G40" s="66">
        <v>360</v>
      </c>
      <c r="H40" s="7" t="s">
        <v>23</v>
      </c>
      <c r="I40" s="66">
        <v>30</v>
      </c>
      <c r="J40" s="66">
        <v>30</v>
      </c>
      <c r="K40" s="66">
        <v>30</v>
      </c>
      <c r="L40" s="66">
        <v>30</v>
      </c>
      <c r="M40" s="66">
        <v>30</v>
      </c>
      <c r="N40" s="66">
        <v>30</v>
      </c>
      <c r="O40" s="66">
        <v>30</v>
      </c>
      <c r="P40" s="66">
        <v>30</v>
      </c>
      <c r="Q40" s="66">
        <v>30</v>
      </c>
      <c r="R40" s="66">
        <v>30</v>
      </c>
      <c r="S40" s="66">
        <v>30</v>
      </c>
      <c r="T40" s="66">
        <v>30</v>
      </c>
      <c r="U40" s="54">
        <f>SUM(I40:T40)</f>
        <v>360</v>
      </c>
    </row>
    <row r="41" spans="1:21" ht="17.100000000000001" customHeight="1">
      <c r="A41" s="257"/>
      <c r="B41" s="296"/>
      <c r="C41" s="299"/>
      <c r="D41" s="293"/>
      <c r="E41" s="264"/>
      <c r="F41" s="301"/>
      <c r="G41" s="62">
        <v>136</v>
      </c>
      <c r="H41" s="12" t="s">
        <v>24</v>
      </c>
      <c r="I41" s="63">
        <v>24</v>
      </c>
      <c r="J41" s="63">
        <v>27</v>
      </c>
      <c r="K41" s="63">
        <v>0</v>
      </c>
      <c r="L41" s="63">
        <v>27</v>
      </c>
      <c r="M41" s="63">
        <v>0</v>
      </c>
      <c r="N41" s="63">
        <v>0</v>
      </c>
      <c r="O41" s="63">
        <v>25</v>
      </c>
      <c r="P41" s="63">
        <v>20</v>
      </c>
      <c r="Q41" s="63">
        <v>0</v>
      </c>
      <c r="R41" s="63">
        <v>10</v>
      </c>
      <c r="S41" s="63">
        <v>15</v>
      </c>
      <c r="T41" s="64"/>
      <c r="U41" s="55">
        <f>SUM(I41:T41)</f>
        <v>148</v>
      </c>
    </row>
    <row r="42" spans="1:21" ht="17.100000000000001" customHeight="1" thickBot="1">
      <c r="A42" s="249"/>
      <c r="B42" s="297"/>
      <c r="C42" s="305"/>
      <c r="D42" s="293"/>
      <c r="E42" s="264"/>
      <c r="F42" s="306"/>
      <c r="G42" s="56">
        <v>0.37777777777777777</v>
      </c>
      <c r="H42" s="17" t="s">
        <v>25</v>
      </c>
      <c r="I42" s="56">
        <f t="shared" ref="I42:T42" si="11">I40/I41*1</f>
        <v>1.25</v>
      </c>
      <c r="J42" s="56">
        <f t="shared" si="11"/>
        <v>1.1111111111111112</v>
      </c>
      <c r="K42" s="56" t="e">
        <f t="shared" si="11"/>
        <v>#DIV/0!</v>
      </c>
      <c r="L42" s="56">
        <f t="shared" si="11"/>
        <v>1.1111111111111112</v>
      </c>
      <c r="M42" s="56" t="e">
        <f t="shared" si="11"/>
        <v>#DIV/0!</v>
      </c>
      <c r="N42" s="56" t="e">
        <f t="shared" si="11"/>
        <v>#DIV/0!</v>
      </c>
      <c r="O42" s="56">
        <f t="shared" si="11"/>
        <v>1.2</v>
      </c>
      <c r="P42" s="56">
        <f t="shared" si="11"/>
        <v>1.5</v>
      </c>
      <c r="Q42" s="56" t="e">
        <f t="shared" si="11"/>
        <v>#DIV/0!</v>
      </c>
      <c r="R42" s="56">
        <f t="shared" si="11"/>
        <v>3</v>
      </c>
      <c r="S42" s="56">
        <f t="shared" si="11"/>
        <v>2</v>
      </c>
      <c r="T42" s="57" t="e">
        <f t="shared" si="11"/>
        <v>#DIV/0!</v>
      </c>
      <c r="U42" s="58">
        <f>U41/U40*1</f>
        <v>0.41111111111111109</v>
      </c>
    </row>
    <row r="43" spans="1:21" ht="17.100000000000001" customHeight="1">
      <c r="A43" s="257">
        <v>3</v>
      </c>
      <c r="B43" s="258" t="s">
        <v>215</v>
      </c>
      <c r="C43" s="259" t="s">
        <v>216</v>
      </c>
      <c r="D43" s="258" t="s">
        <v>217</v>
      </c>
      <c r="E43" s="308" t="s">
        <v>218</v>
      </c>
      <c r="F43" s="266" t="s">
        <v>183</v>
      </c>
      <c r="G43" s="59">
        <v>67</v>
      </c>
      <c r="H43" s="7" t="s">
        <v>23</v>
      </c>
      <c r="I43" s="59">
        <v>6</v>
      </c>
      <c r="J43" s="60">
        <v>6</v>
      </c>
      <c r="K43" s="60">
        <v>6</v>
      </c>
      <c r="L43" s="60">
        <v>6</v>
      </c>
      <c r="M43" s="60">
        <v>5</v>
      </c>
      <c r="N43" s="60">
        <v>5</v>
      </c>
      <c r="O43" s="60">
        <v>7</v>
      </c>
      <c r="P43" s="60">
        <v>7</v>
      </c>
      <c r="Q43" s="60">
        <v>7</v>
      </c>
      <c r="R43" s="60">
        <v>6</v>
      </c>
      <c r="S43" s="60">
        <v>6</v>
      </c>
      <c r="T43" s="61">
        <v>6</v>
      </c>
      <c r="U43" s="54">
        <f>SUM(I43:T43)</f>
        <v>73</v>
      </c>
    </row>
    <row r="44" spans="1:21" ht="17.100000000000001" customHeight="1">
      <c r="A44" s="257"/>
      <c r="B44" s="259"/>
      <c r="C44" s="259"/>
      <c r="D44" s="259"/>
      <c r="E44" s="264"/>
      <c r="F44" s="266"/>
      <c r="G44" s="62">
        <v>72</v>
      </c>
      <c r="H44" s="12" t="s">
        <v>24</v>
      </c>
      <c r="I44" s="62">
        <v>5</v>
      </c>
      <c r="J44" s="63">
        <v>5</v>
      </c>
      <c r="K44" s="63">
        <v>6</v>
      </c>
      <c r="L44" s="63">
        <v>6</v>
      </c>
      <c r="M44" s="63">
        <v>5</v>
      </c>
      <c r="N44" s="63">
        <v>5</v>
      </c>
      <c r="O44" s="63">
        <v>7</v>
      </c>
      <c r="P44" s="63">
        <v>7</v>
      </c>
      <c r="Q44" s="63">
        <v>7</v>
      </c>
      <c r="R44" s="63">
        <v>6</v>
      </c>
      <c r="S44" s="63">
        <v>6</v>
      </c>
      <c r="T44" s="64">
        <v>6</v>
      </c>
      <c r="U44" s="55">
        <f>SUM(I44:T44)</f>
        <v>71</v>
      </c>
    </row>
    <row r="45" spans="1:21" ht="17.100000000000001" customHeight="1">
      <c r="A45" s="257"/>
      <c r="B45" s="259"/>
      <c r="C45" s="259"/>
      <c r="D45" s="259"/>
      <c r="E45" s="264"/>
      <c r="F45" s="266"/>
      <c r="G45" s="42">
        <v>1.0746268656716418</v>
      </c>
      <c r="H45" s="17" t="s">
        <v>25</v>
      </c>
      <c r="I45" s="42">
        <f t="shared" ref="I45:T45" si="12">I43/I44*1</f>
        <v>1.2</v>
      </c>
      <c r="J45" s="42">
        <f t="shared" si="12"/>
        <v>1.2</v>
      </c>
      <c r="K45" s="42">
        <f t="shared" si="12"/>
        <v>1</v>
      </c>
      <c r="L45" s="42">
        <f t="shared" si="12"/>
        <v>1</v>
      </c>
      <c r="M45" s="42">
        <f t="shared" si="12"/>
        <v>1</v>
      </c>
      <c r="N45" s="42">
        <f t="shared" si="12"/>
        <v>1</v>
      </c>
      <c r="O45" s="42">
        <f t="shared" si="12"/>
        <v>1</v>
      </c>
      <c r="P45" s="42">
        <f t="shared" si="12"/>
        <v>1</v>
      </c>
      <c r="Q45" s="42">
        <f t="shared" si="12"/>
        <v>1</v>
      </c>
      <c r="R45" s="42">
        <f t="shared" si="12"/>
        <v>1</v>
      </c>
      <c r="S45" s="42">
        <f t="shared" si="12"/>
        <v>1</v>
      </c>
      <c r="T45" s="42">
        <f t="shared" si="12"/>
        <v>1</v>
      </c>
      <c r="U45" s="44">
        <f>U44/U43*1</f>
        <v>0.9726027397260274</v>
      </c>
    </row>
    <row r="46" spans="1:21" ht="17.100000000000001" customHeight="1">
      <c r="A46" s="257"/>
      <c r="B46" s="259"/>
      <c r="C46" s="293" t="s">
        <v>219</v>
      </c>
      <c r="D46" s="259"/>
      <c r="E46" s="264"/>
      <c r="F46" s="275" t="s">
        <v>220</v>
      </c>
      <c r="G46" s="66">
        <v>5.416666666666667</v>
      </c>
      <c r="H46" s="7" t="s">
        <v>23</v>
      </c>
      <c r="I46" s="66">
        <v>6</v>
      </c>
      <c r="J46" s="66">
        <v>6</v>
      </c>
      <c r="K46" s="66">
        <v>6</v>
      </c>
      <c r="L46" s="66">
        <v>6</v>
      </c>
      <c r="M46" s="66">
        <v>5</v>
      </c>
      <c r="N46" s="66">
        <v>5</v>
      </c>
      <c r="O46" s="66">
        <v>7</v>
      </c>
      <c r="P46" s="66">
        <v>7</v>
      </c>
      <c r="Q46" s="66">
        <v>7</v>
      </c>
      <c r="R46" s="66">
        <v>6</v>
      </c>
      <c r="S46" s="66">
        <v>6</v>
      </c>
      <c r="T46" s="66">
        <v>6</v>
      </c>
      <c r="U46" s="20">
        <f>AVERAGE(I46:T46)</f>
        <v>6.083333333333333</v>
      </c>
    </row>
    <row r="47" spans="1:21" ht="17.100000000000001" customHeight="1">
      <c r="A47" s="257"/>
      <c r="B47" s="259"/>
      <c r="C47" s="293"/>
      <c r="D47" s="259"/>
      <c r="E47" s="264"/>
      <c r="F47" s="275"/>
      <c r="G47" s="68">
        <v>5.416666666666667</v>
      </c>
      <c r="H47" s="12" t="s">
        <v>24</v>
      </c>
      <c r="I47" s="68">
        <v>6</v>
      </c>
      <c r="J47" s="69">
        <v>6</v>
      </c>
      <c r="K47" s="69">
        <v>6</v>
      </c>
      <c r="L47" s="69">
        <v>6</v>
      </c>
      <c r="M47" s="69">
        <v>5</v>
      </c>
      <c r="N47" s="69">
        <v>5</v>
      </c>
      <c r="O47" s="69">
        <v>7</v>
      </c>
      <c r="P47" s="69">
        <v>7</v>
      </c>
      <c r="Q47" s="69">
        <v>7</v>
      </c>
      <c r="R47" s="69">
        <v>6</v>
      </c>
      <c r="S47" s="69">
        <v>6</v>
      </c>
      <c r="T47" s="70">
        <v>6</v>
      </c>
      <c r="U47" s="71">
        <f>AVERAGE(I47:T47)</f>
        <v>6.083333333333333</v>
      </c>
    </row>
    <row r="48" spans="1:21" ht="17.100000000000001" customHeight="1" thickBot="1">
      <c r="A48" s="257"/>
      <c r="B48" s="307"/>
      <c r="C48" s="311"/>
      <c r="D48" s="307"/>
      <c r="E48" s="281"/>
      <c r="F48" s="312"/>
      <c r="G48" s="56">
        <v>1</v>
      </c>
      <c r="H48" s="17" t="s">
        <v>25</v>
      </c>
      <c r="I48" s="72">
        <f t="shared" ref="I48:U48" si="13">I47/I46*1</f>
        <v>1</v>
      </c>
      <c r="J48" s="72">
        <f t="shared" si="13"/>
        <v>1</v>
      </c>
      <c r="K48" s="72">
        <f t="shared" si="13"/>
        <v>1</v>
      </c>
      <c r="L48" s="72">
        <f t="shared" si="13"/>
        <v>1</v>
      </c>
      <c r="M48" s="72">
        <f t="shared" si="13"/>
        <v>1</v>
      </c>
      <c r="N48" s="72">
        <f t="shared" si="13"/>
        <v>1</v>
      </c>
      <c r="O48" s="72">
        <f t="shared" si="13"/>
        <v>1</v>
      </c>
      <c r="P48" s="72">
        <f t="shared" si="13"/>
        <v>1</v>
      </c>
      <c r="Q48" s="72">
        <f t="shared" si="13"/>
        <v>1</v>
      </c>
      <c r="R48" s="72">
        <f t="shared" si="13"/>
        <v>1</v>
      </c>
      <c r="S48" s="72">
        <f t="shared" si="13"/>
        <v>1</v>
      </c>
      <c r="T48" s="73">
        <f t="shared" si="13"/>
        <v>1</v>
      </c>
      <c r="U48" s="74">
        <f t="shared" si="13"/>
        <v>1</v>
      </c>
    </row>
    <row r="49" spans="1:21" ht="17.100000000000001" customHeight="1" thickBot="1">
      <c r="A49" s="313">
        <v>4</v>
      </c>
      <c r="B49" s="314" t="s">
        <v>221</v>
      </c>
      <c r="C49" s="310" t="s">
        <v>132</v>
      </c>
      <c r="D49" s="310" t="s">
        <v>207</v>
      </c>
      <c r="E49" s="308" t="s">
        <v>208</v>
      </c>
      <c r="F49" s="317" t="s">
        <v>133</v>
      </c>
      <c r="G49" s="66">
        <v>100</v>
      </c>
      <c r="H49" s="7" t="s">
        <v>23</v>
      </c>
      <c r="I49" s="89">
        <v>100</v>
      </c>
      <c r="J49" s="89">
        <v>100</v>
      </c>
      <c r="K49" s="89">
        <v>100</v>
      </c>
      <c r="L49" s="89">
        <v>100</v>
      </c>
      <c r="M49" s="89">
        <v>100</v>
      </c>
      <c r="N49" s="89">
        <v>100</v>
      </c>
      <c r="O49" s="89">
        <v>100</v>
      </c>
      <c r="P49" s="89">
        <v>100</v>
      </c>
      <c r="Q49" s="89">
        <v>100</v>
      </c>
      <c r="R49" s="89">
        <v>100</v>
      </c>
      <c r="S49" s="89">
        <v>100</v>
      </c>
      <c r="T49" s="89">
        <v>100</v>
      </c>
      <c r="U49" s="76">
        <f>AVERAGE(I49:T49)</f>
        <v>100</v>
      </c>
    </row>
    <row r="50" spans="1:21" ht="17.100000000000001" customHeight="1" thickBot="1">
      <c r="A50" s="313"/>
      <c r="B50" s="315"/>
      <c r="C50" s="293"/>
      <c r="D50" s="293"/>
      <c r="E50" s="264"/>
      <c r="F50" s="275"/>
      <c r="G50" s="68">
        <v>100</v>
      </c>
      <c r="H50" s="12" t="s">
        <v>24</v>
      </c>
      <c r="I50" s="68">
        <v>100</v>
      </c>
      <c r="J50" s="68">
        <v>100</v>
      </c>
      <c r="K50" s="68">
        <v>100</v>
      </c>
      <c r="L50" s="68">
        <v>100</v>
      </c>
      <c r="M50" s="68">
        <v>100</v>
      </c>
      <c r="N50" s="68">
        <v>100</v>
      </c>
      <c r="O50" s="68">
        <v>100</v>
      </c>
      <c r="P50" s="68">
        <v>100</v>
      </c>
      <c r="Q50" s="68">
        <v>100</v>
      </c>
      <c r="R50" s="68">
        <v>100</v>
      </c>
      <c r="S50" s="68">
        <v>100</v>
      </c>
      <c r="T50" s="68">
        <v>100</v>
      </c>
      <c r="U50" s="77">
        <f>AVERAGE(I50:T50)</f>
        <v>100</v>
      </c>
    </row>
    <row r="51" spans="1:21" ht="17.100000000000001" customHeight="1" thickBot="1">
      <c r="A51" s="313"/>
      <c r="B51" s="315"/>
      <c r="C51" s="293"/>
      <c r="D51" s="338"/>
      <c r="E51" s="335"/>
      <c r="F51" s="275"/>
      <c r="G51" s="16">
        <v>1</v>
      </c>
      <c r="H51" s="17" t="s">
        <v>25</v>
      </c>
      <c r="I51" s="16">
        <f t="shared" ref="I51:U51" si="14">I50/I49*1</f>
        <v>1</v>
      </c>
      <c r="J51" s="16">
        <f t="shared" si="14"/>
        <v>1</v>
      </c>
      <c r="K51" s="16">
        <f t="shared" si="14"/>
        <v>1</v>
      </c>
      <c r="L51" s="16">
        <f t="shared" si="14"/>
        <v>1</v>
      </c>
      <c r="M51" s="16">
        <f t="shared" si="14"/>
        <v>1</v>
      </c>
      <c r="N51" s="16">
        <f t="shared" si="14"/>
        <v>1</v>
      </c>
      <c r="O51" s="16">
        <f t="shared" si="14"/>
        <v>1</v>
      </c>
      <c r="P51" s="16">
        <f t="shared" si="14"/>
        <v>1</v>
      </c>
      <c r="Q51" s="16">
        <f t="shared" si="14"/>
        <v>1</v>
      </c>
      <c r="R51" s="16">
        <f t="shared" si="14"/>
        <v>1</v>
      </c>
      <c r="S51" s="16">
        <f t="shared" si="14"/>
        <v>1</v>
      </c>
      <c r="T51" s="16">
        <f t="shared" si="14"/>
        <v>1</v>
      </c>
      <c r="U51" s="52">
        <f t="shared" si="14"/>
        <v>1</v>
      </c>
    </row>
    <row r="52" spans="1:21" ht="17.100000000000001" customHeight="1" thickBot="1">
      <c r="A52" s="313"/>
      <c r="B52" s="315"/>
      <c r="C52" s="309" t="s">
        <v>222</v>
      </c>
      <c r="D52" s="318" t="s">
        <v>207</v>
      </c>
      <c r="E52" s="337" t="s">
        <v>208</v>
      </c>
      <c r="F52" s="270" t="s">
        <v>223</v>
      </c>
      <c r="G52" s="6">
        <v>0</v>
      </c>
      <c r="H52" s="7" t="s">
        <v>23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54">
        <f>SUM(I52:T52)</f>
        <v>0</v>
      </c>
    </row>
    <row r="53" spans="1:21" ht="17.100000000000001" customHeight="1" thickBot="1">
      <c r="A53" s="313"/>
      <c r="B53" s="315"/>
      <c r="C53" s="315"/>
      <c r="D53" s="293"/>
      <c r="E53" s="292"/>
      <c r="F53" s="266"/>
      <c r="G53" s="11">
        <v>0</v>
      </c>
      <c r="H53" s="12" t="s">
        <v>24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55">
        <f>SUM(I53:T53)</f>
        <v>0</v>
      </c>
    </row>
    <row r="54" spans="1:21" ht="17.100000000000001" customHeight="1" thickBot="1">
      <c r="A54" s="313"/>
      <c r="B54" s="315"/>
      <c r="C54" s="318"/>
      <c r="D54" s="338"/>
      <c r="E54" s="292"/>
      <c r="F54" s="271"/>
      <c r="G54" s="16"/>
      <c r="H54" s="17" t="s">
        <v>25</v>
      </c>
      <c r="I54" s="16" t="e">
        <f t="shared" ref="I54:U54" si="15">I53/I52*1</f>
        <v>#DIV/0!</v>
      </c>
      <c r="J54" s="16" t="e">
        <f t="shared" si="15"/>
        <v>#DIV/0!</v>
      </c>
      <c r="K54" s="16" t="e">
        <f t="shared" si="15"/>
        <v>#DIV/0!</v>
      </c>
      <c r="L54" s="16" t="e">
        <f t="shared" si="15"/>
        <v>#DIV/0!</v>
      </c>
      <c r="M54" s="16" t="e">
        <f t="shared" si="15"/>
        <v>#DIV/0!</v>
      </c>
      <c r="N54" s="16" t="e">
        <f t="shared" si="15"/>
        <v>#DIV/0!</v>
      </c>
      <c r="O54" s="16" t="e">
        <f t="shared" si="15"/>
        <v>#DIV/0!</v>
      </c>
      <c r="P54" s="16" t="e">
        <f t="shared" si="15"/>
        <v>#DIV/0!</v>
      </c>
      <c r="Q54" s="16" t="e">
        <f t="shared" si="15"/>
        <v>#DIV/0!</v>
      </c>
      <c r="R54" s="16" t="e">
        <f t="shared" si="15"/>
        <v>#DIV/0!</v>
      </c>
      <c r="S54" s="16" t="e">
        <f t="shared" si="15"/>
        <v>#DIV/0!</v>
      </c>
      <c r="T54" s="16" t="e">
        <f t="shared" si="15"/>
        <v>#DIV/0!</v>
      </c>
      <c r="U54" s="52" t="e">
        <f t="shared" si="15"/>
        <v>#DIV/0!</v>
      </c>
    </row>
    <row r="55" spans="1:21" ht="17.100000000000001" customHeight="1" thickBot="1">
      <c r="A55" s="313"/>
      <c r="B55" s="315"/>
      <c r="C55" s="293" t="s">
        <v>136</v>
      </c>
      <c r="D55" s="318" t="s">
        <v>207</v>
      </c>
      <c r="E55" s="337" t="s">
        <v>208</v>
      </c>
      <c r="F55" s="275" t="s">
        <v>224</v>
      </c>
      <c r="G55" s="66">
        <v>1200</v>
      </c>
      <c r="H55" s="7" t="s">
        <v>23</v>
      </c>
      <c r="I55" s="75">
        <v>100</v>
      </c>
      <c r="J55" s="67">
        <v>100</v>
      </c>
      <c r="K55" s="67">
        <v>100</v>
      </c>
      <c r="L55" s="67">
        <v>100</v>
      </c>
      <c r="M55" s="67">
        <v>100</v>
      </c>
      <c r="N55" s="67">
        <v>100</v>
      </c>
      <c r="O55" s="67">
        <v>100</v>
      </c>
      <c r="P55" s="67">
        <v>100</v>
      </c>
      <c r="Q55" s="67">
        <v>100</v>
      </c>
      <c r="R55" s="67">
        <v>100</v>
      </c>
      <c r="S55" s="67">
        <v>100</v>
      </c>
      <c r="T55" s="67">
        <v>100</v>
      </c>
      <c r="U55" s="20">
        <f>SUM(I55:T55)</f>
        <v>1200</v>
      </c>
    </row>
    <row r="56" spans="1:21" ht="17.100000000000001" customHeight="1" thickBot="1">
      <c r="A56" s="313"/>
      <c r="B56" s="315"/>
      <c r="C56" s="293"/>
      <c r="D56" s="293"/>
      <c r="E56" s="292"/>
      <c r="F56" s="275"/>
      <c r="G56" s="68">
        <v>1200</v>
      </c>
      <c r="H56" s="12" t="s">
        <v>24</v>
      </c>
      <c r="I56" s="68">
        <v>100</v>
      </c>
      <c r="J56" s="68">
        <v>100</v>
      </c>
      <c r="K56" s="68">
        <v>100</v>
      </c>
      <c r="L56" s="68">
        <v>100</v>
      </c>
      <c r="M56" s="68">
        <v>100</v>
      </c>
      <c r="N56" s="68">
        <v>100</v>
      </c>
      <c r="O56" s="68">
        <v>100</v>
      </c>
      <c r="P56" s="68">
        <v>100</v>
      </c>
      <c r="Q56" s="68">
        <v>100</v>
      </c>
      <c r="R56" s="68">
        <v>100</v>
      </c>
      <c r="S56" s="68">
        <v>100</v>
      </c>
      <c r="T56" s="70">
        <v>100</v>
      </c>
      <c r="U56" s="71">
        <f>SUM(I56:T56)</f>
        <v>1200</v>
      </c>
    </row>
    <row r="57" spans="1:21" ht="17.100000000000001" customHeight="1" thickBot="1">
      <c r="A57" s="313"/>
      <c r="B57" s="315"/>
      <c r="C57" s="309"/>
      <c r="D57" s="309"/>
      <c r="E57" s="292"/>
      <c r="F57" s="270"/>
      <c r="G57" s="42">
        <f t="shared" ref="G57:U57" si="16">G56/G55*1</f>
        <v>1</v>
      </c>
      <c r="H57" s="17" t="s">
        <v>25</v>
      </c>
      <c r="I57" s="42">
        <f t="shared" si="16"/>
        <v>1</v>
      </c>
      <c r="J57" s="42">
        <f t="shared" si="16"/>
        <v>1</v>
      </c>
      <c r="K57" s="42">
        <f t="shared" si="16"/>
        <v>1</v>
      </c>
      <c r="L57" s="42">
        <f t="shared" si="16"/>
        <v>1</v>
      </c>
      <c r="M57" s="42">
        <f t="shared" si="16"/>
        <v>1</v>
      </c>
      <c r="N57" s="42">
        <f t="shared" si="16"/>
        <v>1</v>
      </c>
      <c r="O57" s="42">
        <f t="shared" si="16"/>
        <v>1</v>
      </c>
      <c r="P57" s="42">
        <f t="shared" si="16"/>
        <v>1</v>
      </c>
      <c r="Q57" s="42">
        <f t="shared" si="16"/>
        <v>1</v>
      </c>
      <c r="R57" s="42">
        <f t="shared" si="16"/>
        <v>1</v>
      </c>
      <c r="S57" s="42">
        <f t="shared" si="16"/>
        <v>1</v>
      </c>
      <c r="T57" s="42">
        <f t="shared" si="16"/>
        <v>1</v>
      </c>
      <c r="U57" s="78">
        <f t="shared" si="16"/>
        <v>1</v>
      </c>
    </row>
    <row r="58" spans="1:21" ht="17.100000000000001" customHeight="1" thickBot="1">
      <c r="A58" s="313"/>
      <c r="B58" s="315"/>
      <c r="C58" s="293" t="s">
        <v>138</v>
      </c>
      <c r="D58" s="321" t="s">
        <v>207</v>
      </c>
      <c r="E58" s="264" t="s">
        <v>208</v>
      </c>
      <c r="F58" s="275" t="s">
        <v>225</v>
      </c>
      <c r="G58" s="111">
        <v>100</v>
      </c>
      <c r="H58" s="7" t="s">
        <v>23</v>
      </c>
      <c r="I58" s="6">
        <v>100</v>
      </c>
      <c r="J58" s="8">
        <v>100</v>
      </c>
      <c r="K58" s="8">
        <v>100</v>
      </c>
      <c r="L58" s="8">
        <v>100</v>
      </c>
      <c r="M58" s="8">
        <v>100</v>
      </c>
      <c r="N58" s="8">
        <v>100</v>
      </c>
      <c r="O58" s="8">
        <v>100</v>
      </c>
      <c r="P58" s="8">
        <v>100</v>
      </c>
      <c r="Q58" s="8">
        <v>100</v>
      </c>
      <c r="R58" s="8">
        <v>100</v>
      </c>
      <c r="S58" s="8">
        <v>100</v>
      </c>
      <c r="T58" s="8">
        <v>100</v>
      </c>
      <c r="U58" s="79">
        <f>AVERAGE(I58:T58)</f>
        <v>100</v>
      </c>
    </row>
    <row r="59" spans="1:21" ht="17.100000000000001" customHeight="1" thickBot="1">
      <c r="A59" s="313"/>
      <c r="B59" s="315"/>
      <c r="C59" s="293"/>
      <c r="D59" s="293"/>
      <c r="E59" s="264"/>
      <c r="F59" s="275"/>
      <c r="G59" s="112">
        <v>93.3888888888889</v>
      </c>
      <c r="H59" s="12" t="s">
        <v>24</v>
      </c>
      <c r="I59" s="130">
        <v>92.63636363636364</v>
      </c>
      <c r="J59" s="131">
        <v>93</v>
      </c>
      <c r="K59" s="131">
        <v>93.090909090909093</v>
      </c>
      <c r="L59" s="131">
        <v>92.727272727272734</v>
      </c>
      <c r="M59" s="131">
        <v>92.36363636363636</v>
      </c>
      <c r="N59" s="131">
        <v>93.727272727272734</v>
      </c>
      <c r="O59" s="131">
        <v>92.545454545454547</v>
      </c>
      <c r="P59" s="131">
        <v>93.272727272727266</v>
      </c>
      <c r="Q59" s="131">
        <v>93.090909090909093</v>
      </c>
      <c r="R59" s="131">
        <v>92.909090909090907</v>
      </c>
      <c r="S59" s="131">
        <v>93.090909090909093</v>
      </c>
      <c r="T59" s="131">
        <v>93</v>
      </c>
      <c r="U59" s="83">
        <f>AVERAGE(I59:T59)</f>
        <v>92.954545454545453</v>
      </c>
    </row>
    <row r="60" spans="1:21" ht="17.100000000000001" customHeight="1" thickBot="1">
      <c r="A60" s="313"/>
      <c r="B60" s="316"/>
      <c r="C60" s="311"/>
      <c r="D60" s="322"/>
      <c r="E60" s="281"/>
      <c r="F60" s="312"/>
      <c r="G60" s="56">
        <v>0.93388888888888899</v>
      </c>
      <c r="H60" s="17" t="s">
        <v>25</v>
      </c>
      <c r="I60" s="72">
        <f t="shared" ref="I60:U60" si="17">I59/I58*1</f>
        <v>0.92636363636363639</v>
      </c>
      <c r="J60" s="72">
        <f t="shared" si="17"/>
        <v>0.93</v>
      </c>
      <c r="K60" s="72">
        <f t="shared" si="17"/>
        <v>0.93090909090909091</v>
      </c>
      <c r="L60" s="72">
        <f t="shared" si="17"/>
        <v>0.92727272727272736</v>
      </c>
      <c r="M60" s="72">
        <f t="shared" si="17"/>
        <v>0.92363636363636359</v>
      </c>
      <c r="N60" s="72">
        <f t="shared" si="17"/>
        <v>0.93727272727272737</v>
      </c>
      <c r="O60" s="72">
        <f t="shared" si="17"/>
        <v>0.92545454545454542</v>
      </c>
      <c r="P60" s="72">
        <f t="shared" si="17"/>
        <v>0.93272727272727263</v>
      </c>
      <c r="Q60" s="72">
        <f t="shared" si="17"/>
        <v>0.93090909090909091</v>
      </c>
      <c r="R60" s="72">
        <f t="shared" si="17"/>
        <v>0.92909090909090908</v>
      </c>
      <c r="S60" s="72">
        <f t="shared" si="17"/>
        <v>0.93090909090909091</v>
      </c>
      <c r="T60" s="73">
        <f t="shared" si="17"/>
        <v>0.93</v>
      </c>
      <c r="U60" s="74">
        <f t="shared" si="17"/>
        <v>0.92954545454545456</v>
      </c>
    </row>
    <row r="61" spans="1:21" ht="17.100000000000001" customHeight="1" thickBot="1">
      <c r="A61" s="313">
        <v>5</v>
      </c>
      <c r="B61" s="310" t="s">
        <v>140</v>
      </c>
      <c r="C61" s="293" t="s">
        <v>226</v>
      </c>
      <c r="D61" s="318" t="s">
        <v>227</v>
      </c>
      <c r="E61" s="323" t="s">
        <v>228</v>
      </c>
      <c r="F61" s="275" t="s">
        <v>229</v>
      </c>
      <c r="G61" s="59">
        <v>10407212.666666666</v>
      </c>
      <c r="H61" s="7" t="s">
        <v>23</v>
      </c>
      <c r="I61" s="59">
        <f>169593+80860+2450367+2329256+636738+228380+611850</f>
        <v>6507044</v>
      </c>
      <c r="J61" s="60">
        <f>192660+677325+9467147+1857510+730386+207700+849090</f>
        <v>13981818</v>
      </c>
      <c r="K61" s="60">
        <f>556493+283352+16738176+2769950+588900+404650+641160</f>
        <v>21982681</v>
      </c>
      <c r="L61" s="60">
        <f>650154+321451+17546452+31451412+644511+501224+751241</f>
        <v>51866445</v>
      </c>
      <c r="M61" s="60">
        <v>7896397.1500000004</v>
      </c>
      <c r="N61" s="60">
        <v>24839874.550000001</v>
      </c>
      <c r="O61" s="60">
        <v>15859857.289999999</v>
      </c>
      <c r="P61" s="60">
        <v>20075432.760000002</v>
      </c>
      <c r="Q61" s="60">
        <v>36293631.18</v>
      </c>
      <c r="R61" s="60">
        <v>36795507.25</v>
      </c>
      <c r="S61" s="60">
        <v>10129838.43</v>
      </c>
      <c r="T61" s="61">
        <v>8730554.1300000008</v>
      </c>
      <c r="U61" s="86">
        <f>AVERAGE(I61:T61)</f>
        <v>21246590.061666667</v>
      </c>
    </row>
    <row r="62" spans="1:21" ht="17.100000000000001" customHeight="1" thickBot="1">
      <c r="A62" s="313"/>
      <c r="B62" s="293"/>
      <c r="C62" s="293"/>
      <c r="D62" s="293"/>
      <c r="E62" s="294"/>
      <c r="F62" s="275"/>
      <c r="G62" s="68">
        <v>10145957.416666666</v>
      </c>
      <c r="H62" s="12" t="s">
        <v>24</v>
      </c>
      <c r="I62" s="68">
        <f>166323+79284+2406657+2236889+619010+224374+601897</f>
        <v>6334434</v>
      </c>
      <c r="J62" s="69">
        <f>827315+200650+707472+1799953+9282189+665453+188722</f>
        <v>13671754</v>
      </c>
      <c r="K62" s="69">
        <f>549169+277677+16513427+2675881+579044+394202+620542</f>
        <v>21609942</v>
      </c>
      <c r="L62" s="69">
        <f>731254+492356+631494+30145451+17157251+315041+640412</f>
        <v>50113259</v>
      </c>
      <c r="M62" s="69">
        <v>7817433.1785000004</v>
      </c>
      <c r="N62" s="69">
        <v>24343077.059</v>
      </c>
      <c r="O62" s="69">
        <v>15066864.425499998</v>
      </c>
      <c r="P62" s="69">
        <v>19473169.777200002</v>
      </c>
      <c r="Q62" s="69">
        <v>34841885.932799995</v>
      </c>
      <c r="R62" s="69">
        <v>36059597.104999997</v>
      </c>
      <c r="S62" s="69">
        <v>10028540.045699999</v>
      </c>
      <c r="T62" s="69">
        <v>8294026.4235000005</v>
      </c>
      <c r="U62" s="77">
        <f>AVERAGE(I62:T62)</f>
        <v>20637831.912266668</v>
      </c>
    </row>
    <row r="63" spans="1:21" ht="17.100000000000001" customHeight="1" thickBot="1">
      <c r="A63" s="248"/>
      <c r="B63" s="309"/>
      <c r="C63" s="309"/>
      <c r="D63" s="322"/>
      <c r="E63" s="324"/>
      <c r="F63" s="270"/>
      <c r="G63" s="42">
        <v>0.9748967126580611</v>
      </c>
      <c r="H63" s="17" t="s">
        <v>25</v>
      </c>
      <c r="I63" s="42">
        <f>I62/I61*1</f>
        <v>0.97347336209805868</v>
      </c>
      <c r="J63" s="42">
        <f t="shared" ref="J63:U63" si="18">J62/J61*1</f>
        <v>0.9778237708429619</v>
      </c>
      <c r="K63" s="42">
        <f t="shared" si="18"/>
        <v>0.98304396993251186</v>
      </c>
      <c r="L63" s="42">
        <f t="shared" si="18"/>
        <v>0.96619806890562865</v>
      </c>
      <c r="M63" s="42">
        <f t="shared" si="18"/>
        <v>0.99</v>
      </c>
      <c r="N63" s="42">
        <f t="shared" si="18"/>
        <v>0.98</v>
      </c>
      <c r="O63" s="42">
        <f t="shared" si="18"/>
        <v>0.95</v>
      </c>
      <c r="P63" s="42">
        <f t="shared" si="18"/>
        <v>0.97000000000000008</v>
      </c>
      <c r="Q63" s="42">
        <f t="shared" si="18"/>
        <v>0.95999999999999985</v>
      </c>
      <c r="R63" s="42">
        <f t="shared" si="18"/>
        <v>0.97999999999999987</v>
      </c>
      <c r="S63" s="42">
        <f t="shared" si="18"/>
        <v>0.98999999999999988</v>
      </c>
      <c r="T63" s="42">
        <f t="shared" si="18"/>
        <v>0.95</v>
      </c>
      <c r="U63" s="78">
        <f t="shared" si="18"/>
        <v>0.97134795994872003</v>
      </c>
    </row>
    <row r="64" spans="1:21" ht="17.100000000000001" customHeight="1" thickBot="1">
      <c r="A64" s="313">
        <v>6</v>
      </c>
      <c r="B64" s="339" t="s">
        <v>230</v>
      </c>
      <c r="C64" s="298" t="s">
        <v>231</v>
      </c>
      <c r="D64" s="318" t="s">
        <v>227</v>
      </c>
      <c r="E64" s="323" t="s">
        <v>228</v>
      </c>
      <c r="F64" s="330" t="s">
        <v>232</v>
      </c>
      <c r="G64" s="87">
        <v>12</v>
      </c>
      <c r="H64" s="7" t="s">
        <v>23</v>
      </c>
      <c r="I64" s="87">
        <v>1</v>
      </c>
      <c r="J64" s="87">
        <v>1</v>
      </c>
      <c r="K64" s="87">
        <v>1</v>
      </c>
      <c r="L64" s="87">
        <v>1</v>
      </c>
      <c r="M64" s="87">
        <v>1</v>
      </c>
      <c r="N64" s="87">
        <v>1</v>
      </c>
      <c r="O64" s="87">
        <v>1</v>
      </c>
      <c r="P64" s="87">
        <v>1</v>
      </c>
      <c r="Q64" s="87">
        <v>1</v>
      </c>
      <c r="R64" s="87">
        <v>1</v>
      </c>
      <c r="S64" s="87">
        <v>1</v>
      </c>
      <c r="T64" s="87">
        <v>1</v>
      </c>
      <c r="U64" s="88">
        <f>SUM(I64:T64)</f>
        <v>12</v>
      </c>
    </row>
    <row r="65" spans="1:21" ht="17.100000000000001" customHeight="1" thickBot="1">
      <c r="A65" s="313"/>
      <c r="B65" s="340"/>
      <c r="C65" s="299"/>
      <c r="D65" s="293"/>
      <c r="E65" s="294"/>
      <c r="F65" s="266"/>
      <c r="G65" s="11">
        <v>9</v>
      </c>
      <c r="H65" s="12" t="s">
        <v>24</v>
      </c>
      <c r="I65" s="11">
        <v>1</v>
      </c>
      <c r="J65" s="11">
        <v>1</v>
      </c>
      <c r="K65" s="11">
        <v>1</v>
      </c>
      <c r="L65" s="11">
        <v>1</v>
      </c>
      <c r="M65" s="11">
        <v>1</v>
      </c>
      <c r="N65" s="11">
        <v>1</v>
      </c>
      <c r="O65" s="11">
        <v>1</v>
      </c>
      <c r="P65" s="11">
        <v>1</v>
      </c>
      <c r="Q65" s="11">
        <v>1</v>
      </c>
      <c r="R65" s="11">
        <v>1</v>
      </c>
      <c r="S65" s="11">
        <v>1</v>
      </c>
      <c r="T65" s="11">
        <v>1</v>
      </c>
      <c r="U65" s="15">
        <f>SUM(I65:T65)</f>
        <v>12</v>
      </c>
    </row>
    <row r="66" spans="1:21" ht="17.100000000000001" customHeight="1" thickBot="1">
      <c r="A66" s="313"/>
      <c r="B66" s="341"/>
      <c r="C66" s="305"/>
      <c r="D66" s="322"/>
      <c r="E66" s="324"/>
      <c r="F66" s="331"/>
      <c r="G66" s="56">
        <v>0.75</v>
      </c>
      <c r="H66" s="17" t="s">
        <v>25</v>
      </c>
      <c r="I66" s="56">
        <f t="shared" ref="I66:U66" si="19">I65/I64*1</f>
        <v>1</v>
      </c>
      <c r="J66" s="56">
        <f t="shared" si="19"/>
        <v>1</v>
      </c>
      <c r="K66" s="56">
        <f t="shared" si="19"/>
        <v>1</v>
      </c>
      <c r="L66" s="56">
        <f t="shared" si="19"/>
        <v>1</v>
      </c>
      <c r="M66" s="56">
        <f t="shared" si="19"/>
        <v>1</v>
      </c>
      <c r="N66" s="56">
        <f t="shared" si="19"/>
        <v>1</v>
      </c>
      <c r="O66" s="56">
        <f t="shared" si="19"/>
        <v>1</v>
      </c>
      <c r="P66" s="56">
        <f t="shared" si="19"/>
        <v>1</v>
      </c>
      <c r="Q66" s="56">
        <f t="shared" si="19"/>
        <v>1</v>
      </c>
      <c r="R66" s="56">
        <f t="shared" si="19"/>
        <v>1</v>
      </c>
      <c r="S66" s="56">
        <f t="shared" si="19"/>
        <v>1</v>
      </c>
      <c r="T66" s="57">
        <f t="shared" si="19"/>
        <v>1</v>
      </c>
      <c r="U66" s="58">
        <f t="shared" si="19"/>
        <v>1</v>
      </c>
    </row>
    <row r="67" spans="1:21" ht="17.100000000000001" customHeight="1" thickBot="1">
      <c r="A67" s="249">
        <v>7</v>
      </c>
      <c r="B67" s="287" t="s">
        <v>233</v>
      </c>
      <c r="C67" s="287" t="s">
        <v>149</v>
      </c>
      <c r="D67" s="298" t="s">
        <v>210</v>
      </c>
      <c r="E67" s="263" t="s">
        <v>188</v>
      </c>
      <c r="F67" s="266" t="s">
        <v>234</v>
      </c>
      <c r="G67" s="89">
        <v>5000</v>
      </c>
      <c r="H67" s="7" t="s">
        <v>23</v>
      </c>
      <c r="I67" s="89">
        <v>5000</v>
      </c>
      <c r="J67" s="89">
        <v>5000</v>
      </c>
      <c r="K67" s="89">
        <v>5000</v>
      </c>
      <c r="L67" s="89">
        <v>5000</v>
      </c>
      <c r="M67" s="89">
        <v>5000</v>
      </c>
      <c r="N67" s="89">
        <v>5000</v>
      </c>
      <c r="O67" s="89">
        <v>5000</v>
      </c>
      <c r="P67" s="89">
        <v>5000</v>
      </c>
      <c r="Q67" s="89">
        <v>5000</v>
      </c>
      <c r="R67" s="89">
        <v>5000</v>
      </c>
      <c r="S67" s="89">
        <v>5000</v>
      </c>
      <c r="T67" s="89">
        <v>5000</v>
      </c>
      <c r="U67" s="90">
        <f>AVERAGE(I67:T67)</f>
        <v>5000</v>
      </c>
    </row>
    <row r="68" spans="1:21" ht="17.100000000000001" customHeight="1" thickBot="1">
      <c r="A68" s="313"/>
      <c r="B68" s="287"/>
      <c r="C68" s="287"/>
      <c r="D68" s="299"/>
      <c r="E68" s="264"/>
      <c r="F68" s="266"/>
      <c r="G68" s="62">
        <v>4570.833333333333</v>
      </c>
      <c r="H68" s="12" t="s">
        <v>24</v>
      </c>
      <c r="I68" s="62">
        <v>4281</v>
      </c>
      <c r="J68" s="63">
        <v>4090</v>
      </c>
      <c r="K68" s="63">
        <v>4731</v>
      </c>
      <c r="L68" s="63">
        <v>4321</v>
      </c>
      <c r="M68" s="132">
        <v>4950</v>
      </c>
      <c r="N68" s="132">
        <v>4464</v>
      </c>
      <c r="O68" s="132">
        <v>4854</v>
      </c>
      <c r="P68" s="132">
        <v>4464</v>
      </c>
      <c r="Q68" s="132">
        <v>4762</v>
      </c>
      <c r="R68" s="132">
        <v>4673</v>
      </c>
      <c r="S68" s="132">
        <v>4386</v>
      </c>
      <c r="T68" s="132">
        <v>4348</v>
      </c>
      <c r="U68" s="91">
        <f>AVERAGE(I68:T68)</f>
        <v>4527</v>
      </c>
    </row>
    <row r="69" spans="1:21" ht="17.100000000000001" customHeight="1" thickBot="1">
      <c r="A69" s="248"/>
      <c r="B69" s="325"/>
      <c r="C69" s="325"/>
      <c r="D69" s="288"/>
      <c r="E69" s="264"/>
      <c r="F69" s="266"/>
      <c r="G69" s="42">
        <v>1.0938924339106655</v>
      </c>
      <c r="H69" s="17" t="s">
        <v>25</v>
      </c>
      <c r="I69" s="42">
        <f>I67/I68*1</f>
        <v>1.1679514132212101</v>
      </c>
      <c r="J69" s="42">
        <f t="shared" ref="J69:T69" si="20">J67/J68*1</f>
        <v>1.2224938875305624</v>
      </c>
      <c r="K69" s="42">
        <f t="shared" si="20"/>
        <v>1.056859015007398</v>
      </c>
      <c r="L69" s="42">
        <f t="shared" si="20"/>
        <v>1.1571395510298541</v>
      </c>
      <c r="M69" s="42">
        <f t="shared" si="20"/>
        <v>1.0101010101010102</v>
      </c>
      <c r="N69" s="42">
        <f>N67/N68*1</f>
        <v>1.1200716845878136</v>
      </c>
      <c r="O69" s="42">
        <f t="shared" si="20"/>
        <v>1.0300782859497322</v>
      </c>
      <c r="P69" s="42">
        <f t="shared" si="20"/>
        <v>1.1200716845878136</v>
      </c>
      <c r="Q69" s="42">
        <f t="shared" si="20"/>
        <v>1.0499790004199916</v>
      </c>
      <c r="R69" s="42">
        <f t="shared" si="20"/>
        <v>1.0699764605178685</v>
      </c>
      <c r="S69" s="42">
        <f t="shared" si="20"/>
        <v>1.1399908800729595</v>
      </c>
      <c r="T69" s="65">
        <f t="shared" si="20"/>
        <v>1.1499540018399264</v>
      </c>
      <c r="U69" s="44">
        <f>U67/U68</f>
        <v>1.1044842058758559</v>
      </c>
    </row>
    <row r="70" spans="1:21" ht="17.100000000000001" customHeight="1" thickBot="1">
      <c r="A70" s="313">
        <v>8</v>
      </c>
      <c r="B70" s="258" t="s">
        <v>235</v>
      </c>
      <c r="C70" s="298" t="s">
        <v>236</v>
      </c>
      <c r="D70" s="298" t="s">
        <v>237</v>
      </c>
      <c r="E70" s="308" t="s">
        <v>198</v>
      </c>
      <c r="F70" s="330" t="s">
        <v>238</v>
      </c>
      <c r="G70" s="94">
        <v>1</v>
      </c>
      <c r="H70" s="7" t="s">
        <v>23</v>
      </c>
      <c r="I70" s="95">
        <v>1</v>
      </c>
      <c r="J70" s="95">
        <v>1</v>
      </c>
      <c r="K70" s="95">
        <v>1</v>
      </c>
      <c r="L70" s="95">
        <v>1</v>
      </c>
      <c r="M70" s="95">
        <v>1</v>
      </c>
      <c r="N70" s="95">
        <v>1</v>
      </c>
      <c r="O70" s="95">
        <v>1</v>
      </c>
      <c r="P70" s="95">
        <v>1</v>
      </c>
      <c r="Q70" s="95">
        <v>1</v>
      </c>
      <c r="R70" s="95">
        <v>1</v>
      </c>
      <c r="S70" s="95">
        <v>1</v>
      </c>
      <c r="T70" s="95">
        <v>1</v>
      </c>
      <c r="U70" s="97">
        <f>AVERAGE(I70:T70)</f>
        <v>1</v>
      </c>
    </row>
    <row r="71" spans="1:21" ht="17.100000000000001" customHeight="1" thickBot="1">
      <c r="A71" s="313"/>
      <c r="B71" s="259"/>
      <c r="C71" s="299"/>
      <c r="D71" s="299"/>
      <c r="E71" s="264"/>
      <c r="F71" s="266"/>
      <c r="G71" s="98">
        <v>1</v>
      </c>
      <c r="H71" s="12" t="s">
        <v>24</v>
      </c>
      <c r="I71" s="98">
        <v>1</v>
      </c>
      <c r="J71" s="98">
        <v>1</v>
      </c>
      <c r="K71" s="98">
        <v>1</v>
      </c>
      <c r="L71" s="98">
        <v>1</v>
      </c>
      <c r="M71" s="98">
        <v>1</v>
      </c>
      <c r="N71" s="98">
        <v>1</v>
      </c>
      <c r="O71" s="98">
        <v>1</v>
      </c>
      <c r="P71" s="98">
        <v>1</v>
      </c>
      <c r="Q71" s="98">
        <v>1</v>
      </c>
      <c r="R71" s="98">
        <v>1</v>
      </c>
      <c r="S71" s="98">
        <v>1</v>
      </c>
      <c r="T71" s="98">
        <v>1</v>
      </c>
      <c r="U71" s="99">
        <f>AVERAGE(I71:T71)</f>
        <v>1</v>
      </c>
    </row>
    <row r="72" spans="1:21" ht="17.100000000000001" customHeight="1" thickBot="1">
      <c r="A72" s="313"/>
      <c r="B72" s="259"/>
      <c r="C72" s="288"/>
      <c r="D72" s="325"/>
      <c r="E72" s="335"/>
      <c r="F72" s="271"/>
      <c r="G72" s="16">
        <v>1</v>
      </c>
      <c r="H72" s="17" t="s">
        <v>25</v>
      </c>
      <c r="I72" s="16">
        <f t="shared" ref="I72:U72" si="21">I71/I70*1</f>
        <v>1</v>
      </c>
      <c r="J72" s="16">
        <f t="shared" si="21"/>
        <v>1</v>
      </c>
      <c r="K72" s="16">
        <f t="shared" si="21"/>
        <v>1</v>
      </c>
      <c r="L72" s="16">
        <f t="shared" si="21"/>
        <v>1</v>
      </c>
      <c r="M72" s="16">
        <f t="shared" si="21"/>
        <v>1</v>
      </c>
      <c r="N72" s="16">
        <f t="shared" si="21"/>
        <v>1</v>
      </c>
      <c r="O72" s="16">
        <f t="shared" si="21"/>
        <v>1</v>
      </c>
      <c r="P72" s="16">
        <f t="shared" si="21"/>
        <v>1</v>
      </c>
      <c r="Q72" s="16">
        <f t="shared" si="21"/>
        <v>1</v>
      </c>
      <c r="R72" s="16">
        <f t="shared" si="21"/>
        <v>1</v>
      </c>
      <c r="S72" s="16">
        <f t="shared" si="21"/>
        <v>1</v>
      </c>
      <c r="T72" s="18">
        <f t="shared" si="21"/>
        <v>1</v>
      </c>
      <c r="U72" s="19">
        <f t="shared" si="21"/>
        <v>1</v>
      </c>
    </row>
    <row r="73" spans="1:21" ht="17.100000000000001" customHeight="1" thickBot="1">
      <c r="A73" s="313"/>
      <c r="B73" s="259"/>
      <c r="C73" s="287" t="s">
        <v>239</v>
      </c>
      <c r="D73" s="342" t="s">
        <v>210</v>
      </c>
      <c r="E73" s="263" t="s">
        <v>188</v>
      </c>
      <c r="F73" s="304" t="s">
        <v>240</v>
      </c>
      <c r="G73" s="6">
        <v>27</v>
      </c>
      <c r="H73" s="7" t="s">
        <v>23</v>
      </c>
      <c r="I73" s="8">
        <v>2</v>
      </c>
      <c r="J73" s="8">
        <v>2</v>
      </c>
      <c r="K73" s="8">
        <v>2</v>
      </c>
      <c r="L73" s="8">
        <v>2</v>
      </c>
      <c r="M73" s="8">
        <v>2</v>
      </c>
      <c r="N73" s="8">
        <v>2</v>
      </c>
      <c r="O73" s="8">
        <v>3</v>
      </c>
      <c r="P73" s="8">
        <v>2</v>
      </c>
      <c r="Q73" s="8">
        <v>3</v>
      </c>
      <c r="R73" s="8">
        <v>2</v>
      </c>
      <c r="S73" s="8">
        <v>3</v>
      </c>
      <c r="T73" s="9">
        <v>2</v>
      </c>
      <c r="U73" s="10">
        <f>SUM(I73:T73)</f>
        <v>27</v>
      </c>
    </row>
    <row r="74" spans="1:21" ht="17.100000000000001" customHeight="1" thickBot="1">
      <c r="A74" s="313"/>
      <c r="B74" s="259"/>
      <c r="C74" s="299"/>
      <c r="D74" s="299"/>
      <c r="E74" s="264"/>
      <c r="F74" s="301"/>
      <c r="G74" s="6">
        <v>27</v>
      </c>
      <c r="H74" s="100" t="s">
        <v>24</v>
      </c>
      <c r="I74" s="13">
        <v>2</v>
      </c>
      <c r="J74" s="13">
        <v>2</v>
      </c>
      <c r="K74" s="13">
        <v>2</v>
      </c>
      <c r="L74" s="13">
        <v>2</v>
      </c>
      <c r="M74" s="13">
        <v>2</v>
      </c>
      <c r="N74" s="13">
        <v>2</v>
      </c>
      <c r="O74" s="13">
        <v>3</v>
      </c>
      <c r="P74" s="13">
        <v>2</v>
      </c>
      <c r="Q74" s="13">
        <v>3</v>
      </c>
      <c r="R74" s="13">
        <v>2</v>
      </c>
      <c r="S74" s="13">
        <v>3</v>
      </c>
      <c r="T74" s="14">
        <v>2</v>
      </c>
      <c r="U74" s="15">
        <f>SUM(I74:T74)</f>
        <v>27</v>
      </c>
    </row>
    <row r="75" spans="1:21" ht="17.100000000000001" customHeight="1" thickBot="1">
      <c r="A75" s="313"/>
      <c r="B75" s="307"/>
      <c r="C75" s="305"/>
      <c r="D75" s="343"/>
      <c r="E75" s="344"/>
      <c r="F75" s="306"/>
      <c r="G75" s="56">
        <v>1</v>
      </c>
      <c r="H75" s="101" t="s">
        <v>25</v>
      </c>
      <c r="I75" s="56">
        <f t="shared" ref="I75:U75" si="22">I74/I73*1</f>
        <v>1</v>
      </c>
      <c r="J75" s="56">
        <f t="shared" si="22"/>
        <v>1</v>
      </c>
      <c r="K75" s="56">
        <f t="shared" si="22"/>
        <v>1</v>
      </c>
      <c r="L75" s="56">
        <f t="shared" si="22"/>
        <v>1</v>
      </c>
      <c r="M75" s="56">
        <f t="shared" si="22"/>
        <v>1</v>
      </c>
      <c r="N75" s="56">
        <f t="shared" si="22"/>
        <v>1</v>
      </c>
      <c r="O75" s="56">
        <f t="shared" si="22"/>
        <v>1</v>
      </c>
      <c r="P75" s="56">
        <f t="shared" si="22"/>
        <v>1</v>
      </c>
      <c r="Q75" s="56">
        <f t="shared" si="22"/>
        <v>1</v>
      </c>
      <c r="R75" s="56">
        <f t="shared" si="22"/>
        <v>1</v>
      </c>
      <c r="S75" s="56">
        <f t="shared" si="22"/>
        <v>1</v>
      </c>
      <c r="T75" s="57">
        <f t="shared" si="22"/>
        <v>1</v>
      </c>
      <c r="U75" s="58">
        <f t="shared" si="22"/>
        <v>1</v>
      </c>
    </row>
    <row r="76" spans="1:21" ht="15" customHeight="1" thickBot="1">
      <c r="A76" s="332">
        <v>9</v>
      </c>
      <c r="B76" s="259" t="s">
        <v>241</v>
      </c>
      <c r="C76" s="259" t="s">
        <v>158</v>
      </c>
      <c r="D76" s="259" t="s">
        <v>195</v>
      </c>
      <c r="E76" s="264" t="s">
        <v>198</v>
      </c>
      <c r="F76" s="266" t="s">
        <v>242</v>
      </c>
      <c r="G76" s="93">
        <v>1</v>
      </c>
      <c r="H76" s="119" t="s">
        <v>23</v>
      </c>
      <c r="I76" s="95">
        <v>1</v>
      </c>
      <c r="J76" s="95">
        <v>1</v>
      </c>
      <c r="K76" s="95">
        <v>1</v>
      </c>
      <c r="L76" s="95">
        <v>1</v>
      </c>
      <c r="M76" s="95">
        <v>1</v>
      </c>
      <c r="N76" s="95">
        <v>1</v>
      </c>
      <c r="O76" s="95">
        <v>1</v>
      </c>
      <c r="P76" s="95">
        <v>1</v>
      </c>
      <c r="Q76" s="95">
        <v>1</v>
      </c>
      <c r="R76" s="95">
        <v>1</v>
      </c>
      <c r="S76" s="95">
        <v>1</v>
      </c>
      <c r="T76" s="95">
        <v>1</v>
      </c>
      <c r="U76" s="10">
        <f>SUM(I76:T76)</f>
        <v>12</v>
      </c>
    </row>
    <row r="77" spans="1:21" ht="15" customHeight="1" thickBot="1">
      <c r="A77" s="333"/>
      <c r="B77" s="259"/>
      <c r="C77" s="259"/>
      <c r="D77" s="259"/>
      <c r="E77" s="264"/>
      <c r="F77" s="266"/>
      <c r="G77" s="98">
        <v>1</v>
      </c>
      <c r="H77" s="100" t="s">
        <v>24</v>
      </c>
      <c r="I77" s="98">
        <v>1</v>
      </c>
      <c r="J77" s="98">
        <v>1</v>
      </c>
      <c r="K77" s="98">
        <v>1</v>
      </c>
      <c r="L77" s="98">
        <v>1</v>
      </c>
      <c r="M77" s="98">
        <v>1</v>
      </c>
      <c r="N77" s="98">
        <v>1</v>
      </c>
      <c r="O77" s="98">
        <v>1</v>
      </c>
      <c r="P77" s="98">
        <v>1</v>
      </c>
      <c r="Q77" s="98">
        <v>1</v>
      </c>
      <c r="R77" s="98">
        <v>1</v>
      </c>
      <c r="S77" s="98">
        <v>1</v>
      </c>
      <c r="T77" s="98">
        <v>1</v>
      </c>
      <c r="U77" s="15">
        <f>SUM(I77:T77)</f>
        <v>12</v>
      </c>
    </row>
    <row r="78" spans="1:21" ht="15" customHeight="1" thickBot="1">
      <c r="A78" s="333"/>
      <c r="B78" s="307"/>
      <c r="C78" s="307"/>
      <c r="D78" s="307"/>
      <c r="E78" s="281"/>
      <c r="F78" s="334"/>
      <c r="G78" s="16">
        <f>G76/G77</f>
        <v>1</v>
      </c>
      <c r="H78" s="101" t="s">
        <v>25</v>
      </c>
      <c r="I78" s="56">
        <f t="shared" ref="I78:U78" si="23">I77/I76*1</f>
        <v>1</v>
      </c>
      <c r="J78" s="56">
        <f t="shared" si="23"/>
        <v>1</v>
      </c>
      <c r="K78" s="56">
        <f t="shared" si="23"/>
        <v>1</v>
      </c>
      <c r="L78" s="56">
        <f t="shared" si="23"/>
        <v>1</v>
      </c>
      <c r="M78" s="56">
        <f t="shared" si="23"/>
        <v>1</v>
      </c>
      <c r="N78" s="56">
        <f t="shared" si="23"/>
        <v>1</v>
      </c>
      <c r="O78" s="56">
        <f t="shared" si="23"/>
        <v>1</v>
      </c>
      <c r="P78" s="56">
        <f t="shared" si="23"/>
        <v>1</v>
      </c>
      <c r="Q78" s="56">
        <f t="shared" si="23"/>
        <v>1</v>
      </c>
      <c r="R78" s="56">
        <f t="shared" si="23"/>
        <v>1</v>
      </c>
      <c r="S78" s="56">
        <f t="shared" si="23"/>
        <v>1</v>
      </c>
      <c r="T78" s="57">
        <f t="shared" si="23"/>
        <v>1</v>
      </c>
      <c r="U78" s="58">
        <f t="shared" si="23"/>
        <v>1</v>
      </c>
    </row>
    <row r="83" spans="9:14">
      <c r="I83" s="102"/>
      <c r="J83" s="103"/>
      <c r="K83" s="103"/>
      <c r="L83" s="103"/>
      <c r="M83" s="103"/>
      <c r="N83" s="103"/>
    </row>
  </sheetData>
  <mergeCells count="120">
    <mergeCell ref="A76:A78"/>
    <mergeCell ref="B76:B78"/>
    <mergeCell ref="C76:C78"/>
    <mergeCell ref="D76:D78"/>
    <mergeCell ref="E76:E78"/>
    <mergeCell ref="F76:F78"/>
    <mergeCell ref="A70:A75"/>
    <mergeCell ref="B70:B75"/>
    <mergeCell ref="C70:C72"/>
    <mergeCell ref="D70:D72"/>
    <mergeCell ref="E70:E72"/>
    <mergeCell ref="F70:F72"/>
    <mergeCell ref="C73:C75"/>
    <mergeCell ref="D73:D75"/>
    <mergeCell ref="E73:E75"/>
    <mergeCell ref="F73:F75"/>
    <mergeCell ref="E58:E60"/>
    <mergeCell ref="F58:F60"/>
    <mergeCell ref="A61:A63"/>
    <mergeCell ref="B61:B63"/>
    <mergeCell ref="C61:C63"/>
    <mergeCell ref="D61:D63"/>
    <mergeCell ref="E61:E63"/>
    <mergeCell ref="F61:F63"/>
    <mergeCell ref="A67:A69"/>
    <mergeCell ref="B67:B69"/>
    <mergeCell ref="C67:C69"/>
    <mergeCell ref="D67:D69"/>
    <mergeCell ref="E67:E69"/>
    <mergeCell ref="F67:F69"/>
    <mergeCell ref="A64:A66"/>
    <mergeCell ref="B64:B66"/>
    <mergeCell ref="C64:C66"/>
    <mergeCell ref="D64:D66"/>
    <mergeCell ref="E64:E66"/>
    <mergeCell ref="F64:F66"/>
    <mergeCell ref="A43:A48"/>
    <mergeCell ref="B43:B48"/>
    <mergeCell ref="C43:C45"/>
    <mergeCell ref="D43:D48"/>
    <mergeCell ref="E43:E48"/>
    <mergeCell ref="F43:F45"/>
    <mergeCell ref="E52:E54"/>
    <mergeCell ref="F52:F54"/>
    <mergeCell ref="C55:C57"/>
    <mergeCell ref="D55:D57"/>
    <mergeCell ref="E55:E57"/>
    <mergeCell ref="F55:F57"/>
    <mergeCell ref="C46:C48"/>
    <mergeCell ref="F46:F48"/>
    <mergeCell ref="A49:A60"/>
    <mergeCell ref="B49:B60"/>
    <mergeCell ref="C49:C51"/>
    <mergeCell ref="D49:D51"/>
    <mergeCell ref="E49:E51"/>
    <mergeCell ref="F49:F51"/>
    <mergeCell ref="C52:C54"/>
    <mergeCell ref="D52:D54"/>
    <mergeCell ref="C58:C60"/>
    <mergeCell ref="D58:D60"/>
    <mergeCell ref="C34:C36"/>
    <mergeCell ref="D34:D36"/>
    <mergeCell ref="E34:E36"/>
    <mergeCell ref="F34:F36"/>
    <mergeCell ref="C37:C39"/>
    <mergeCell ref="D37:D39"/>
    <mergeCell ref="E37:E39"/>
    <mergeCell ref="F37:F39"/>
    <mergeCell ref="A28:A42"/>
    <mergeCell ref="B28:B42"/>
    <mergeCell ref="C28:C30"/>
    <mergeCell ref="D28:D30"/>
    <mergeCell ref="E28:E30"/>
    <mergeCell ref="F28:F30"/>
    <mergeCell ref="C31:C33"/>
    <mergeCell ref="D31:D33"/>
    <mergeCell ref="E31:E33"/>
    <mergeCell ref="F31:F33"/>
    <mergeCell ref="C40:C42"/>
    <mergeCell ref="D40:D42"/>
    <mergeCell ref="E40:E42"/>
    <mergeCell ref="F40:F42"/>
    <mergeCell ref="E22:E24"/>
    <mergeCell ref="F22:F24"/>
    <mergeCell ref="C25:C27"/>
    <mergeCell ref="D25:D27"/>
    <mergeCell ref="E25:E27"/>
    <mergeCell ref="F25:F27"/>
    <mergeCell ref="C16:C18"/>
    <mergeCell ref="D16:D18"/>
    <mergeCell ref="E16:E18"/>
    <mergeCell ref="F16:F18"/>
    <mergeCell ref="C19:C21"/>
    <mergeCell ref="D19:D21"/>
    <mergeCell ref="E19:E21"/>
    <mergeCell ref="F19:F21"/>
    <mergeCell ref="E10:E12"/>
    <mergeCell ref="F10:F12"/>
    <mergeCell ref="C13:C15"/>
    <mergeCell ref="D13:D15"/>
    <mergeCell ref="E13:E15"/>
    <mergeCell ref="F13:F15"/>
    <mergeCell ref="G5:G6"/>
    <mergeCell ref="H5:U5"/>
    <mergeCell ref="A7:A27"/>
    <mergeCell ref="B7:B27"/>
    <mergeCell ref="C7:C9"/>
    <mergeCell ref="D7:D9"/>
    <mergeCell ref="E7:E9"/>
    <mergeCell ref="F7:F9"/>
    <mergeCell ref="C10:C12"/>
    <mergeCell ref="D10:D12"/>
    <mergeCell ref="A5:A6"/>
    <mergeCell ref="B5:B6"/>
    <mergeCell ref="C5:C6"/>
    <mergeCell ref="D5:D6"/>
    <mergeCell ref="E5:E6"/>
    <mergeCell ref="F5:F6"/>
    <mergeCell ref="C22:C24"/>
    <mergeCell ref="D22:D2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89"/>
  <sheetViews>
    <sheetView showGridLines="0" topLeftCell="D4" zoomScaleNormal="100" workbookViewId="0">
      <selection activeCell="G22" sqref="G22:G23"/>
    </sheetView>
  </sheetViews>
  <sheetFormatPr defaultRowHeight="15"/>
  <cols>
    <col min="1" max="1" width="5.42578125" style="1" bestFit="1" customWidth="1"/>
    <col min="2" max="2" width="14.140625" style="1" bestFit="1" customWidth="1"/>
    <col min="3" max="3" width="26.140625" style="1" customWidth="1"/>
    <col min="4" max="4" width="11.28515625" style="1" bestFit="1" customWidth="1"/>
    <col min="5" max="5" width="14.140625" style="1" customWidth="1"/>
    <col min="6" max="6" width="32.42578125" style="1" bestFit="1" customWidth="1"/>
    <col min="7" max="7" width="10.7109375" style="1" customWidth="1"/>
    <col min="8" max="21" width="11.140625" style="1" customWidth="1"/>
    <col min="22" max="22" width="13" style="1" bestFit="1" customWidth="1"/>
    <col min="23" max="30" width="9.7109375" style="1" customWidth="1"/>
    <col min="31" max="16384" width="9.140625" style="1"/>
  </cols>
  <sheetData>
    <row r="2" spans="1:24" ht="16.5" customHeight="1">
      <c r="A2" s="121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04" t="s">
        <v>1</v>
      </c>
      <c r="T2" s="104" t="s">
        <v>2</v>
      </c>
      <c r="U2" s="104" t="s">
        <v>3</v>
      </c>
      <c r="V2" s="124"/>
    </row>
    <row r="3" spans="1:24" ht="30.75" customHeight="1">
      <c r="A3" s="121"/>
      <c r="B3" s="121" t="s">
        <v>244</v>
      </c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6" t="s">
        <v>243</v>
      </c>
      <c r="T3" s="135"/>
      <c r="U3" s="126" t="s">
        <v>245</v>
      </c>
      <c r="V3" s="125"/>
    </row>
    <row r="4" spans="1:24" ht="24.95" customHeight="1" thickBot="1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</row>
    <row r="5" spans="1:24" s="105" customFormat="1" ht="17.100000000000001" customHeight="1" thickBot="1">
      <c r="A5" s="137" t="s">
        <v>180</v>
      </c>
      <c r="B5" s="138" t="s">
        <v>8</v>
      </c>
      <c r="C5" s="138" t="s">
        <v>9</v>
      </c>
      <c r="D5" s="138" t="s">
        <v>10</v>
      </c>
      <c r="E5" s="138" t="s">
        <v>11</v>
      </c>
      <c r="F5" s="139" t="s">
        <v>12</v>
      </c>
      <c r="G5" s="439" t="s">
        <v>246</v>
      </c>
      <c r="H5" s="140" t="s">
        <v>247</v>
      </c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2"/>
    </row>
    <row r="6" spans="1:24" s="105" customFormat="1" ht="32.25" customHeight="1" thickBot="1">
      <c r="A6" s="143"/>
      <c r="B6" s="144"/>
      <c r="C6" s="144"/>
      <c r="D6" s="144"/>
      <c r="E6" s="144"/>
      <c r="F6" s="145"/>
      <c r="G6" s="440"/>
      <c r="H6" s="146" t="s">
        <v>16</v>
      </c>
      <c r="I6" s="147">
        <v>44927</v>
      </c>
      <c r="J6" s="147">
        <v>44958</v>
      </c>
      <c r="K6" s="147">
        <v>44986</v>
      </c>
      <c r="L6" s="147">
        <v>45017</v>
      </c>
      <c r="M6" s="147">
        <v>45047</v>
      </c>
      <c r="N6" s="147">
        <v>45078</v>
      </c>
      <c r="O6" s="147">
        <v>45108</v>
      </c>
      <c r="P6" s="147">
        <v>45139</v>
      </c>
      <c r="Q6" s="147">
        <v>45170</v>
      </c>
      <c r="R6" s="147">
        <v>45200</v>
      </c>
      <c r="S6" s="147">
        <v>45231</v>
      </c>
      <c r="T6" s="147">
        <v>45261</v>
      </c>
      <c r="U6" s="148" t="s">
        <v>17</v>
      </c>
    </row>
    <row r="7" spans="1:24" ht="17.100000000000001" customHeight="1">
      <c r="A7" s="371">
        <v>1</v>
      </c>
      <c r="B7" s="374" t="s">
        <v>18</v>
      </c>
      <c r="C7" s="375" t="s">
        <v>19</v>
      </c>
      <c r="D7" s="377" t="s">
        <v>20</v>
      </c>
      <c r="E7" s="362" t="s">
        <v>248</v>
      </c>
      <c r="F7" s="378" t="s">
        <v>164</v>
      </c>
      <c r="G7" s="149">
        <v>0</v>
      </c>
      <c r="H7" s="150" t="s">
        <v>23</v>
      </c>
      <c r="I7" s="149">
        <v>0</v>
      </c>
      <c r="J7" s="149">
        <v>0</v>
      </c>
      <c r="K7" s="149">
        <v>0</v>
      </c>
      <c r="L7" s="149">
        <v>0</v>
      </c>
      <c r="M7" s="149">
        <v>0</v>
      </c>
      <c r="N7" s="149">
        <v>0</v>
      </c>
      <c r="O7" s="149">
        <v>0</v>
      </c>
      <c r="P7" s="149">
        <v>0</v>
      </c>
      <c r="Q7" s="149">
        <v>0</v>
      </c>
      <c r="R7" s="149">
        <v>0</v>
      </c>
      <c r="S7" s="149">
        <v>0</v>
      </c>
      <c r="T7" s="149">
        <v>0</v>
      </c>
      <c r="U7" s="152">
        <f>SUM(I7:T7)</f>
        <v>0</v>
      </c>
    </row>
    <row r="8" spans="1:24" ht="17.100000000000001" customHeight="1">
      <c r="A8" s="372"/>
      <c r="B8" s="368"/>
      <c r="C8" s="376"/>
      <c r="D8" s="368"/>
      <c r="E8" s="363"/>
      <c r="F8" s="365"/>
      <c r="G8" s="153">
        <v>0</v>
      </c>
      <c r="H8" s="154" t="s">
        <v>24</v>
      </c>
      <c r="I8" s="153">
        <v>0</v>
      </c>
      <c r="J8" s="153">
        <v>0</v>
      </c>
      <c r="K8" s="153">
        <v>0</v>
      </c>
      <c r="L8" s="153">
        <v>0</v>
      </c>
      <c r="M8" s="153">
        <v>0</v>
      </c>
      <c r="N8" s="153">
        <v>0</v>
      </c>
      <c r="O8" s="153">
        <v>0</v>
      </c>
      <c r="P8" s="153">
        <v>0</v>
      </c>
      <c r="Q8" s="153">
        <v>0</v>
      </c>
      <c r="R8" s="153">
        <v>0</v>
      </c>
      <c r="S8" s="153">
        <v>0</v>
      </c>
      <c r="T8" s="153">
        <v>0</v>
      </c>
      <c r="U8" s="157">
        <f>SUM(I8:T8)</f>
        <v>0</v>
      </c>
    </row>
    <row r="9" spans="1:24" ht="17.100000000000001" customHeight="1">
      <c r="A9" s="372"/>
      <c r="B9" s="368"/>
      <c r="C9" s="376"/>
      <c r="D9" s="368"/>
      <c r="E9" s="363"/>
      <c r="F9" s="365"/>
      <c r="G9" s="158" t="e">
        <v>#DIV/0!</v>
      </c>
      <c r="H9" s="159" t="s">
        <v>25</v>
      </c>
      <c r="I9" s="158" t="e">
        <f t="shared" ref="I9:U9" si="0">I7/I8*1</f>
        <v>#DIV/0!</v>
      </c>
      <c r="J9" s="158" t="e">
        <f t="shared" si="0"/>
        <v>#DIV/0!</v>
      </c>
      <c r="K9" s="158" t="e">
        <f t="shared" si="0"/>
        <v>#DIV/0!</v>
      </c>
      <c r="L9" s="158" t="e">
        <f t="shared" si="0"/>
        <v>#DIV/0!</v>
      </c>
      <c r="M9" s="158" t="e">
        <f t="shared" si="0"/>
        <v>#DIV/0!</v>
      </c>
      <c r="N9" s="158" t="e">
        <f t="shared" si="0"/>
        <v>#DIV/0!</v>
      </c>
      <c r="O9" s="158" t="e">
        <f t="shared" si="0"/>
        <v>#DIV/0!</v>
      </c>
      <c r="P9" s="158" t="e">
        <f t="shared" si="0"/>
        <v>#DIV/0!</v>
      </c>
      <c r="Q9" s="158" t="e">
        <f t="shared" si="0"/>
        <v>#DIV/0!</v>
      </c>
      <c r="R9" s="158" t="e">
        <f t="shared" si="0"/>
        <v>#DIV/0!</v>
      </c>
      <c r="S9" s="158" t="e">
        <f t="shared" si="0"/>
        <v>#DIV/0!</v>
      </c>
      <c r="T9" s="160" t="e">
        <f t="shared" si="0"/>
        <v>#DIV/0!</v>
      </c>
      <c r="U9" s="161" t="e">
        <f t="shared" si="0"/>
        <v>#DIV/0!</v>
      </c>
    </row>
    <row r="10" spans="1:24" ht="17.100000000000001" customHeight="1">
      <c r="A10" s="372"/>
      <c r="B10" s="368"/>
      <c r="C10" s="379" t="s">
        <v>26</v>
      </c>
      <c r="D10" s="377" t="s">
        <v>20</v>
      </c>
      <c r="E10" s="362" t="s">
        <v>248</v>
      </c>
      <c r="F10" s="364" t="s">
        <v>27</v>
      </c>
      <c r="G10" s="149">
        <v>0</v>
      </c>
      <c r="H10" s="150" t="s">
        <v>23</v>
      </c>
      <c r="I10" s="149">
        <v>0</v>
      </c>
      <c r="J10" s="149">
        <v>0</v>
      </c>
      <c r="K10" s="149">
        <v>0</v>
      </c>
      <c r="L10" s="149">
        <v>0</v>
      </c>
      <c r="M10" s="149">
        <v>0</v>
      </c>
      <c r="N10" s="149">
        <v>0</v>
      </c>
      <c r="O10" s="149">
        <v>0</v>
      </c>
      <c r="P10" s="149">
        <v>0</v>
      </c>
      <c r="Q10" s="149">
        <v>0</v>
      </c>
      <c r="R10" s="149">
        <v>0</v>
      </c>
      <c r="S10" s="149">
        <v>0</v>
      </c>
      <c r="T10" s="149">
        <v>0</v>
      </c>
      <c r="U10" s="152">
        <f>SUM(I10:T10)</f>
        <v>0</v>
      </c>
    </row>
    <row r="11" spans="1:24" ht="17.100000000000001" customHeight="1">
      <c r="A11" s="372"/>
      <c r="B11" s="368"/>
      <c r="C11" s="380"/>
      <c r="D11" s="368"/>
      <c r="E11" s="363"/>
      <c r="F11" s="365"/>
      <c r="G11" s="153">
        <v>0</v>
      </c>
      <c r="H11" s="154" t="s">
        <v>24</v>
      </c>
      <c r="I11" s="153">
        <v>0</v>
      </c>
      <c r="J11" s="153">
        <v>0</v>
      </c>
      <c r="K11" s="153">
        <v>0</v>
      </c>
      <c r="L11" s="153">
        <v>0</v>
      </c>
      <c r="M11" s="153">
        <v>0</v>
      </c>
      <c r="N11" s="153">
        <v>0</v>
      </c>
      <c r="O11" s="153">
        <v>0</v>
      </c>
      <c r="P11" s="153">
        <v>0</v>
      </c>
      <c r="Q11" s="153">
        <v>0</v>
      </c>
      <c r="R11" s="153">
        <v>0</v>
      </c>
      <c r="S11" s="153">
        <v>0</v>
      </c>
      <c r="T11" s="153">
        <v>0</v>
      </c>
      <c r="U11" s="157">
        <f>SUM(I11:T11)</f>
        <v>0</v>
      </c>
    </row>
    <row r="12" spans="1:24" ht="17.100000000000001" customHeight="1">
      <c r="A12" s="372"/>
      <c r="B12" s="368"/>
      <c r="C12" s="381"/>
      <c r="D12" s="368"/>
      <c r="E12" s="363"/>
      <c r="F12" s="366"/>
      <c r="G12" s="158" t="e">
        <v>#DIV/0!</v>
      </c>
      <c r="H12" s="159" t="s">
        <v>25</v>
      </c>
      <c r="I12" s="158" t="e">
        <f t="shared" ref="I12:Q12" si="1">I11/I10*1</f>
        <v>#DIV/0!</v>
      </c>
      <c r="J12" s="158" t="e">
        <f t="shared" si="1"/>
        <v>#DIV/0!</v>
      </c>
      <c r="K12" s="158" t="e">
        <f t="shared" si="1"/>
        <v>#DIV/0!</v>
      </c>
      <c r="L12" s="158" t="e">
        <f t="shared" si="1"/>
        <v>#DIV/0!</v>
      </c>
      <c r="M12" s="158" t="e">
        <f t="shared" si="1"/>
        <v>#DIV/0!</v>
      </c>
      <c r="N12" s="158" t="e">
        <f t="shared" si="1"/>
        <v>#DIV/0!</v>
      </c>
      <c r="O12" s="158" t="e">
        <f t="shared" si="1"/>
        <v>#DIV/0!</v>
      </c>
      <c r="P12" s="158" t="e">
        <f t="shared" si="1"/>
        <v>#DIV/0!</v>
      </c>
      <c r="Q12" s="158" t="e">
        <f t="shared" si="1"/>
        <v>#DIV/0!</v>
      </c>
      <c r="R12" s="158" t="e">
        <f>R10/R11*1</f>
        <v>#DIV/0!</v>
      </c>
      <c r="S12" s="158" t="e">
        <f>S11/S10*1</f>
        <v>#DIV/0!</v>
      </c>
      <c r="T12" s="160" t="e">
        <f>T11/T10*1</f>
        <v>#DIV/0!</v>
      </c>
      <c r="U12" s="161" t="e">
        <f>U10/U11*1</f>
        <v>#DIV/0!</v>
      </c>
    </row>
    <row r="13" spans="1:24" ht="17.100000000000001" customHeight="1">
      <c r="A13" s="372"/>
      <c r="B13" s="368"/>
      <c r="C13" s="367" t="s">
        <v>165</v>
      </c>
      <c r="D13" s="368" t="s">
        <v>29</v>
      </c>
      <c r="E13" s="362" t="s">
        <v>248</v>
      </c>
      <c r="F13" s="370" t="s">
        <v>183</v>
      </c>
      <c r="G13" s="246">
        <v>37200000</v>
      </c>
      <c r="H13" s="150" t="s">
        <v>23</v>
      </c>
      <c r="I13" s="164">
        <v>4200000</v>
      </c>
      <c r="J13" s="164">
        <v>4200000</v>
      </c>
      <c r="K13" s="164">
        <v>4200000</v>
      </c>
      <c r="L13" s="164">
        <v>4200000</v>
      </c>
      <c r="M13" s="164">
        <v>4200000</v>
      </c>
      <c r="N13" s="164">
        <v>4200000</v>
      </c>
      <c r="O13" s="164">
        <v>4200000</v>
      </c>
      <c r="P13" s="164">
        <v>4200000</v>
      </c>
      <c r="Q13" s="164">
        <v>4200000</v>
      </c>
      <c r="R13" s="164">
        <v>4200000</v>
      </c>
      <c r="S13" s="164">
        <v>4200000</v>
      </c>
      <c r="T13" s="164">
        <v>4200000</v>
      </c>
      <c r="U13" s="165">
        <f>SUM(I13:T13)</f>
        <v>50400000</v>
      </c>
    </row>
    <row r="14" spans="1:24" ht="17.100000000000001" customHeight="1">
      <c r="A14" s="372"/>
      <c r="B14" s="368"/>
      <c r="C14" s="367"/>
      <c r="D14" s="368"/>
      <c r="E14" s="363"/>
      <c r="F14" s="370"/>
      <c r="G14" s="247">
        <v>42789977.645964146</v>
      </c>
      <c r="H14" s="154" t="s">
        <v>24</v>
      </c>
      <c r="I14" s="166">
        <v>4425015</v>
      </c>
      <c r="J14" s="167">
        <v>4515240</v>
      </c>
      <c r="K14" s="167">
        <v>4524005</v>
      </c>
      <c r="L14" s="167">
        <v>4515062</v>
      </c>
      <c r="M14" s="167">
        <v>4502112</v>
      </c>
      <c r="N14" s="167">
        <v>4506062</v>
      </c>
      <c r="O14" s="167">
        <v>4605015</v>
      </c>
      <c r="P14" s="167">
        <v>4705014</v>
      </c>
      <c r="Q14" s="167">
        <v>4501504</v>
      </c>
      <c r="R14" s="167">
        <v>4611141</v>
      </c>
      <c r="S14" s="167">
        <v>4513149</v>
      </c>
      <c r="T14" s="167">
        <v>4682131</v>
      </c>
      <c r="U14" s="169">
        <f>SUM(I14:T14)</f>
        <v>54605450</v>
      </c>
    </row>
    <row r="15" spans="1:24" ht="17.100000000000001" customHeight="1">
      <c r="A15" s="372"/>
      <c r="B15" s="368"/>
      <c r="C15" s="367"/>
      <c r="D15" s="369"/>
      <c r="E15" s="363"/>
      <c r="F15" s="370"/>
      <c r="G15" s="158">
        <v>0.99998733013105812</v>
      </c>
      <c r="H15" s="159" t="s">
        <v>25</v>
      </c>
      <c r="I15" s="158">
        <f>I14/J13*1</f>
        <v>1.0535749999999999</v>
      </c>
      <c r="J15" s="158" t="e">
        <f>J14/#REF!*1</f>
        <v>#REF!</v>
      </c>
      <c r="K15" s="158">
        <f t="shared" ref="K15:U15" si="2">K14/K13*1</f>
        <v>1.0771440476190477</v>
      </c>
      <c r="L15" s="158">
        <f t="shared" si="2"/>
        <v>1.0750147619047619</v>
      </c>
      <c r="M15" s="158">
        <f t="shared" si="2"/>
        <v>1.0719314285714285</v>
      </c>
      <c r="N15" s="158">
        <f t="shared" si="2"/>
        <v>1.0728719047619049</v>
      </c>
      <c r="O15" s="158">
        <f t="shared" si="2"/>
        <v>1.0964321428571429</v>
      </c>
      <c r="P15" s="158">
        <f t="shared" si="2"/>
        <v>1.1202414285714286</v>
      </c>
      <c r="Q15" s="158">
        <f t="shared" si="2"/>
        <v>1.0717866666666667</v>
      </c>
      <c r="R15" s="158">
        <f t="shared" si="2"/>
        <v>1.0978907142857144</v>
      </c>
      <c r="S15" s="158">
        <f t="shared" si="2"/>
        <v>1.0745592857142856</v>
      </c>
      <c r="T15" s="160">
        <f t="shared" si="2"/>
        <v>1.1147930952380953</v>
      </c>
      <c r="U15" s="161">
        <f t="shared" si="2"/>
        <v>1.0834414682539681</v>
      </c>
    </row>
    <row r="16" spans="1:24" ht="17.100000000000001" customHeight="1">
      <c r="A16" s="372"/>
      <c r="B16" s="368"/>
      <c r="C16" s="384" t="s">
        <v>32</v>
      </c>
      <c r="D16" s="387" t="s">
        <v>29</v>
      </c>
      <c r="E16" s="362" t="s">
        <v>248</v>
      </c>
      <c r="F16" s="364" t="s">
        <v>33</v>
      </c>
      <c r="G16" s="164">
        <v>0</v>
      </c>
      <c r="H16" s="150" t="s">
        <v>23</v>
      </c>
      <c r="I16" s="170">
        <v>0</v>
      </c>
      <c r="J16" s="170">
        <v>0</v>
      </c>
      <c r="K16" s="170">
        <v>0</v>
      </c>
      <c r="L16" s="170">
        <v>0</v>
      </c>
      <c r="M16" s="170">
        <v>0</v>
      </c>
      <c r="N16" s="170">
        <v>0</v>
      </c>
      <c r="O16" s="170">
        <v>0</v>
      </c>
      <c r="P16" s="170">
        <v>0</v>
      </c>
      <c r="Q16" s="170">
        <v>0</v>
      </c>
      <c r="R16" s="170">
        <v>0</v>
      </c>
      <c r="S16" s="170">
        <v>0</v>
      </c>
      <c r="T16" s="170">
        <v>0</v>
      </c>
      <c r="U16" s="165">
        <f>SUM(I16:T16)</f>
        <v>0</v>
      </c>
      <c r="W16" s="134"/>
      <c r="X16" s="134"/>
    </row>
    <row r="17" spans="1:21" ht="17.100000000000001" customHeight="1">
      <c r="A17" s="372"/>
      <c r="B17" s="368"/>
      <c r="C17" s="385"/>
      <c r="D17" s="387"/>
      <c r="E17" s="363"/>
      <c r="F17" s="365"/>
      <c r="G17" s="166">
        <v>0</v>
      </c>
      <c r="H17" s="154" t="s">
        <v>24</v>
      </c>
      <c r="I17" s="166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8"/>
      <c r="U17" s="169">
        <f>SUM(I17:T17)</f>
        <v>0</v>
      </c>
    </row>
    <row r="18" spans="1:21" ht="17.100000000000001" customHeight="1">
      <c r="A18" s="372"/>
      <c r="B18" s="368"/>
      <c r="C18" s="386"/>
      <c r="D18" s="387"/>
      <c r="E18" s="363"/>
      <c r="F18" s="366"/>
      <c r="G18" s="158" t="e">
        <v>#DIV/0!</v>
      </c>
      <c r="H18" s="159" t="s">
        <v>25</v>
      </c>
      <c r="I18" s="158" t="e">
        <f t="shared" ref="I18:U18" si="3">I17/I16*1</f>
        <v>#DIV/0!</v>
      </c>
      <c r="J18" s="158" t="e">
        <f t="shared" si="3"/>
        <v>#DIV/0!</v>
      </c>
      <c r="K18" s="158" t="e">
        <f t="shared" si="3"/>
        <v>#DIV/0!</v>
      </c>
      <c r="L18" s="158" t="e">
        <f t="shared" si="3"/>
        <v>#DIV/0!</v>
      </c>
      <c r="M18" s="158" t="e">
        <f t="shared" si="3"/>
        <v>#DIV/0!</v>
      </c>
      <c r="N18" s="158" t="e">
        <f t="shared" si="3"/>
        <v>#DIV/0!</v>
      </c>
      <c r="O18" s="158" t="e">
        <f t="shared" si="3"/>
        <v>#DIV/0!</v>
      </c>
      <c r="P18" s="158" t="e">
        <f t="shared" si="3"/>
        <v>#DIV/0!</v>
      </c>
      <c r="Q18" s="158" t="e">
        <f t="shared" si="3"/>
        <v>#DIV/0!</v>
      </c>
      <c r="R18" s="158" t="e">
        <f t="shared" si="3"/>
        <v>#DIV/0!</v>
      </c>
      <c r="S18" s="158" t="e">
        <f t="shared" si="3"/>
        <v>#DIV/0!</v>
      </c>
      <c r="T18" s="160" t="e">
        <f t="shared" si="3"/>
        <v>#DIV/0!</v>
      </c>
      <c r="U18" s="161" t="e">
        <f t="shared" si="3"/>
        <v>#DIV/0!</v>
      </c>
    </row>
    <row r="19" spans="1:21" ht="17.100000000000001" customHeight="1">
      <c r="A19" s="372"/>
      <c r="B19" s="368"/>
      <c r="C19" s="384" t="s">
        <v>34</v>
      </c>
      <c r="D19" s="387" t="s">
        <v>29</v>
      </c>
      <c r="E19" s="362" t="s">
        <v>248</v>
      </c>
      <c r="F19" s="364" t="s">
        <v>35</v>
      </c>
      <c r="G19" s="172" t="e">
        <v>#DIV/0!</v>
      </c>
      <c r="H19" s="150" t="s">
        <v>23</v>
      </c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4"/>
      <c r="U19" s="175" t="e">
        <f>AVERAGE(I19:T19)</f>
        <v>#DIV/0!</v>
      </c>
    </row>
    <row r="20" spans="1:21" ht="17.100000000000001" customHeight="1">
      <c r="A20" s="372"/>
      <c r="B20" s="368"/>
      <c r="C20" s="385"/>
      <c r="D20" s="387"/>
      <c r="E20" s="363"/>
      <c r="F20" s="365"/>
      <c r="G20" s="176" t="e">
        <v>#DIV/0!</v>
      </c>
      <c r="H20" s="154" t="s">
        <v>24</v>
      </c>
      <c r="I20" s="176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8"/>
      <c r="U20" s="179" t="e">
        <f>AVERAGE(I20:T20)</f>
        <v>#DIV/0!</v>
      </c>
    </row>
    <row r="21" spans="1:21" ht="17.100000000000001" customHeight="1">
      <c r="A21" s="372"/>
      <c r="B21" s="368"/>
      <c r="C21" s="386"/>
      <c r="D21" s="387"/>
      <c r="E21" s="363"/>
      <c r="F21" s="366"/>
      <c r="G21" s="158" t="e">
        <v>#DIV/0!</v>
      </c>
      <c r="H21" s="159" t="s">
        <v>25</v>
      </c>
      <c r="I21" s="158" t="e">
        <f t="shared" ref="I21:U21" si="4">I20/I19*1</f>
        <v>#DIV/0!</v>
      </c>
      <c r="J21" s="158" t="e">
        <f t="shared" si="4"/>
        <v>#DIV/0!</v>
      </c>
      <c r="K21" s="158" t="e">
        <f t="shared" si="4"/>
        <v>#DIV/0!</v>
      </c>
      <c r="L21" s="158" t="e">
        <f t="shared" si="4"/>
        <v>#DIV/0!</v>
      </c>
      <c r="M21" s="158" t="e">
        <f t="shared" si="4"/>
        <v>#DIV/0!</v>
      </c>
      <c r="N21" s="158" t="e">
        <f t="shared" si="4"/>
        <v>#DIV/0!</v>
      </c>
      <c r="O21" s="158" t="e">
        <f t="shared" si="4"/>
        <v>#DIV/0!</v>
      </c>
      <c r="P21" s="158" t="e">
        <f t="shared" si="4"/>
        <v>#DIV/0!</v>
      </c>
      <c r="Q21" s="158" t="e">
        <f t="shared" si="4"/>
        <v>#DIV/0!</v>
      </c>
      <c r="R21" s="158" t="e">
        <f t="shared" si="4"/>
        <v>#DIV/0!</v>
      </c>
      <c r="S21" s="158" t="e">
        <f t="shared" si="4"/>
        <v>#DIV/0!</v>
      </c>
      <c r="T21" s="160" t="e">
        <f t="shared" si="4"/>
        <v>#DIV/0!</v>
      </c>
      <c r="U21" s="161" t="e">
        <f t="shared" si="4"/>
        <v>#DIV/0!</v>
      </c>
    </row>
    <row r="22" spans="1:21" ht="17.100000000000001" customHeight="1">
      <c r="A22" s="372"/>
      <c r="B22" s="368"/>
      <c r="C22" s="367" t="s">
        <v>166</v>
      </c>
      <c r="D22" s="368" t="s">
        <v>20</v>
      </c>
      <c r="E22" s="382" t="s">
        <v>249</v>
      </c>
      <c r="F22" s="370" t="s">
        <v>167</v>
      </c>
      <c r="G22" s="180">
        <v>72</v>
      </c>
      <c r="H22" s="150" t="s">
        <v>23</v>
      </c>
      <c r="I22" s="180">
        <v>5</v>
      </c>
      <c r="J22" s="180">
        <v>5</v>
      </c>
      <c r="K22" s="180">
        <v>5</v>
      </c>
      <c r="L22" s="180">
        <v>5</v>
      </c>
      <c r="M22" s="180">
        <v>5</v>
      </c>
      <c r="N22" s="180">
        <v>5</v>
      </c>
      <c r="O22" s="180">
        <v>5</v>
      </c>
      <c r="P22" s="180">
        <v>5</v>
      </c>
      <c r="Q22" s="180">
        <v>5</v>
      </c>
      <c r="R22" s="180">
        <v>5</v>
      </c>
      <c r="S22" s="180">
        <v>5</v>
      </c>
      <c r="T22" s="180">
        <v>5</v>
      </c>
      <c r="U22" s="152">
        <f>SUM(I22:T22)</f>
        <v>60</v>
      </c>
    </row>
    <row r="23" spans="1:21" ht="17.100000000000001" customHeight="1">
      <c r="A23" s="372"/>
      <c r="B23" s="368"/>
      <c r="C23" s="367"/>
      <c r="D23" s="368"/>
      <c r="E23" s="382"/>
      <c r="F23" s="370"/>
      <c r="G23" s="153">
        <v>59</v>
      </c>
      <c r="H23" s="154" t="s">
        <v>24</v>
      </c>
      <c r="I23" s="155">
        <v>5</v>
      </c>
      <c r="J23" s="155">
        <v>5</v>
      </c>
      <c r="K23" s="155">
        <v>4</v>
      </c>
      <c r="L23" s="155">
        <v>5</v>
      </c>
      <c r="M23" s="155">
        <v>5</v>
      </c>
      <c r="N23" s="155">
        <v>5</v>
      </c>
      <c r="O23" s="155">
        <v>4</v>
      </c>
      <c r="P23" s="155">
        <v>4</v>
      </c>
      <c r="Q23" s="155">
        <v>5</v>
      </c>
      <c r="R23" s="155">
        <v>5</v>
      </c>
      <c r="S23" s="155">
        <v>5</v>
      </c>
      <c r="T23" s="155">
        <v>5</v>
      </c>
      <c r="U23" s="157">
        <f>SUM(I23:T23)</f>
        <v>57</v>
      </c>
    </row>
    <row r="24" spans="1:21" ht="17.100000000000001" customHeight="1">
      <c r="A24" s="372"/>
      <c r="B24" s="368"/>
      <c r="C24" s="367"/>
      <c r="D24" s="368"/>
      <c r="E24" s="382"/>
      <c r="F24" s="370"/>
      <c r="G24" s="158">
        <v>1</v>
      </c>
      <c r="H24" s="159" t="s">
        <v>25</v>
      </c>
      <c r="I24" s="181">
        <f t="shared" ref="I24:U24" si="5">I23/I22*1</f>
        <v>1</v>
      </c>
      <c r="J24" s="181">
        <f t="shared" si="5"/>
        <v>1</v>
      </c>
      <c r="K24" s="181">
        <f t="shared" si="5"/>
        <v>0.8</v>
      </c>
      <c r="L24" s="181">
        <f t="shared" si="5"/>
        <v>1</v>
      </c>
      <c r="M24" s="181">
        <f t="shared" si="5"/>
        <v>1</v>
      </c>
      <c r="N24" s="181">
        <f t="shared" si="5"/>
        <v>1</v>
      </c>
      <c r="O24" s="181">
        <f t="shared" si="5"/>
        <v>0.8</v>
      </c>
      <c r="P24" s="181">
        <f t="shared" si="5"/>
        <v>0.8</v>
      </c>
      <c r="Q24" s="181">
        <f t="shared" si="5"/>
        <v>1</v>
      </c>
      <c r="R24" s="181">
        <f t="shared" si="5"/>
        <v>1</v>
      </c>
      <c r="S24" s="181">
        <f t="shared" si="5"/>
        <v>1</v>
      </c>
      <c r="T24" s="182">
        <f t="shared" si="5"/>
        <v>1</v>
      </c>
      <c r="U24" s="161">
        <f t="shared" si="5"/>
        <v>0.95</v>
      </c>
    </row>
    <row r="25" spans="1:21" ht="17.100000000000001" customHeight="1">
      <c r="A25" s="372"/>
      <c r="B25" s="368"/>
      <c r="C25" s="383" t="s">
        <v>39</v>
      </c>
      <c r="D25" s="367" t="s">
        <v>40</v>
      </c>
      <c r="E25" s="362" t="s">
        <v>248</v>
      </c>
      <c r="F25" s="370" t="s">
        <v>41</v>
      </c>
      <c r="G25" s="180">
        <v>12</v>
      </c>
      <c r="H25" s="150" t="s">
        <v>23</v>
      </c>
      <c r="I25" s="180">
        <v>1</v>
      </c>
      <c r="J25" s="180">
        <v>1</v>
      </c>
      <c r="K25" s="180">
        <v>1</v>
      </c>
      <c r="L25" s="183">
        <v>1</v>
      </c>
      <c r="M25" s="183">
        <v>1</v>
      </c>
      <c r="N25" s="183">
        <v>1</v>
      </c>
      <c r="O25" s="183">
        <v>1</v>
      </c>
      <c r="P25" s="183">
        <v>1</v>
      </c>
      <c r="Q25" s="183">
        <v>1</v>
      </c>
      <c r="R25" s="183">
        <v>1</v>
      </c>
      <c r="S25" s="183">
        <v>1</v>
      </c>
      <c r="T25" s="183">
        <v>1</v>
      </c>
      <c r="U25" s="152">
        <f>SUM(I25:T25)</f>
        <v>12</v>
      </c>
    </row>
    <row r="26" spans="1:21" ht="17.100000000000001" customHeight="1">
      <c r="A26" s="372"/>
      <c r="B26" s="368"/>
      <c r="C26" s="383"/>
      <c r="D26" s="367"/>
      <c r="E26" s="363"/>
      <c r="F26" s="370"/>
      <c r="G26" s="153">
        <v>12</v>
      </c>
      <c r="H26" s="154" t="s">
        <v>24</v>
      </c>
      <c r="I26" s="155">
        <v>1</v>
      </c>
      <c r="J26" s="155">
        <v>1</v>
      </c>
      <c r="K26" s="155">
        <v>1</v>
      </c>
      <c r="L26" s="155">
        <v>1</v>
      </c>
      <c r="M26" s="155">
        <v>1</v>
      </c>
      <c r="N26" s="155">
        <v>1</v>
      </c>
      <c r="O26" s="155">
        <v>1</v>
      </c>
      <c r="P26" s="155">
        <v>1</v>
      </c>
      <c r="Q26" s="155">
        <v>1</v>
      </c>
      <c r="R26" s="155">
        <v>1</v>
      </c>
      <c r="S26" s="155">
        <v>1</v>
      </c>
      <c r="T26" s="155">
        <v>1</v>
      </c>
      <c r="U26" s="157">
        <f>SUM(I26:T26)</f>
        <v>12</v>
      </c>
    </row>
    <row r="27" spans="1:21" ht="17.100000000000001" customHeight="1" thickBot="1">
      <c r="A27" s="373"/>
      <c r="B27" s="368"/>
      <c r="C27" s="375"/>
      <c r="D27" s="377"/>
      <c r="E27" s="363"/>
      <c r="F27" s="364"/>
      <c r="G27" s="184">
        <v>1</v>
      </c>
      <c r="H27" s="159" t="s">
        <v>25</v>
      </c>
      <c r="I27" s="185">
        <f t="shared" ref="I27:Q27" si="6">I26/I25*1</f>
        <v>1</v>
      </c>
      <c r="J27" s="185">
        <f t="shared" si="6"/>
        <v>1</v>
      </c>
      <c r="K27" s="185">
        <f t="shared" si="6"/>
        <v>1</v>
      </c>
      <c r="L27" s="185">
        <f t="shared" si="6"/>
        <v>1</v>
      </c>
      <c r="M27" s="185">
        <f t="shared" si="6"/>
        <v>1</v>
      </c>
      <c r="N27" s="185">
        <f t="shared" si="6"/>
        <v>1</v>
      </c>
      <c r="O27" s="185">
        <f t="shared" si="6"/>
        <v>1</v>
      </c>
      <c r="P27" s="185">
        <f t="shared" si="6"/>
        <v>1</v>
      </c>
      <c r="Q27" s="185">
        <f t="shared" si="6"/>
        <v>1</v>
      </c>
      <c r="R27" s="184">
        <f>R25/R26*1</f>
        <v>1</v>
      </c>
      <c r="S27" s="185">
        <f>S26/S25*1</f>
        <v>1</v>
      </c>
      <c r="T27" s="186">
        <f>T26/T25*1</f>
        <v>1</v>
      </c>
      <c r="U27" s="187">
        <f>U25/U26*1</f>
        <v>1</v>
      </c>
    </row>
    <row r="28" spans="1:21" ht="17.100000000000001" customHeight="1">
      <c r="A28" s="372">
        <v>2</v>
      </c>
      <c r="B28" s="396" t="s">
        <v>42</v>
      </c>
      <c r="C28" s="399" t="s">
        <v>43</v>
      </c>
      <c r="D28" s="399" t="s">
        <v>44</v>
      </c>
      <c r="E28" s="362" t="s">
        <v>248</v>
      </c>
      <c r="F28" s="401" t="s">
        <v>168</v>
      </c>
      <c r="G28" s="188">
        <v>100</v>
      </c>
      <c r="H28" s="150" t="s">
        <v>23</v>
      </c>
      <c r="I28" s="188">
        <v>100</v>
      </c>
      <c r="J28" s="188">
        <v>100</v>
      </c>
      <c r="K28" s="188">
        <v>100</v>
      </c>
      <c r="L28" s="188">
        <v>100</v>
      </c>
      <c r="M28" s="188">
        <v>100</v>
      </c>
      <c r="N28" s="188">
        <v>100</v>
      </c>
      <c r="O28" s="188">
        <v>100</v>
      </c>
      <c r="P28" s="188">
        <v>100</v>
      </c>
      <c r="Q28" s="188">
        <v>100</v>
      </c>
      <c r="R28" s="188">
        <v>100</v>
      </c>
      <c r="S28" s="188">
        <v>100</v>
      </c>
      <c r="T28" s="188">
        <v>100</v>
      </c>
      <c r="U28" s="189">
        <f>AVERAGE(I28:T28)</f>
        <v>100</v>
      </c>
    </row>
    <row r="29" spans="1:21" ht="17.100000000000001" customHeight="1">
      <c r="A29" s="372"/>
      <c r="B29" s="397"/>
      <c r="C29" s="400"/>
      <c r="D29" s="400"/>
      <c r="E29" s="363"/>
      <c r="F29" s="402"/>
      <c r="G29" s="190">
        <v>31.083333333333332</v>
      </c>
      <c r="H29" s="154" t="s">
        <v>24</v>
      </c>
      <c r="I29" s="190">
        <v>40</v>
      </c>
      <c r="J29" s="190">
        <v>35</v>
      </c>
      <c r="K29" s="190">
        <v>40</v>
      </c>
      <c r="L29" s="190">
        <v>42</v>
      </c>
      <c r="M29" s="190">
        <v>69</v>
      </c>
      <c r="N29" s="190">
        <v>54</v>
      </c>
      <c r="O29" s="190">
        <v>53</v>
      </c>
      <c r="P29" s="190">
        <v>48</v>
      </c>
      <c r="Q29" s="190">
        <v>62</v>
      </c>
      <c r="R29" s="190">
        <v>72</v>
      </c>
      <c r="S29" s="190">
        <v>54</v>
      </c>
      <c r="T29" s="190">
        <v>59</v>
      </c>
      <c r="U29" s="169">
        <f>AVERAGE(I29:T29)</f>
        <v>52.333333333333336</v>
      </c>
    </row>
    <row r="30" spans="1:21" ht="17.100000000000001" customHeight="1" thickBot="1">
      <c r="A30" s="372"/>
      <c r="B30" s="397"/>
      <c r="C30" s="390"/>
      <c r="D30" s="390"/>
      <c r="E30" s="363"/>
      <c r="F30" s="403"/>
      <c r="G30" s="158">
        <v>0.31083333333333329</v>
      </c>
      <c r="H30" s="159" t="s">
        <v>25</v>
      </c>
      <c r="I30" s="158">
        <f t="shared" ref="I30:T30" si="7">I28/I29*1</f>
        <v>2.5</v>
      </c>
      <c r="J30" s="158">
        <f t="shared" si="7"/>
        <v>2.8571428571428572</v>
      </c>
      <c r="K30" s="158">
        <f t="shared" si="7"/>
        <v>2.5</v>
      </c>
      <c r="L30" s="158">
        <f t="shared" si="7"/>
        <v>2.3809523809523809</v>
      </c>
      <c r="M30" s="158">
        <f t="shared" si="7"/>
        <v>1.4492753623188406</v>
      </c>
      <c r="N30" s="158">
        <f t="shared" si="7"/>
        <v>1.8518518518518519</v>
      </c>
      <c r="O30" s="158">
        <f t="shared" si="7"/>
        <v>1.8867924528301887</v>
      </c>
      <c r="P30" s="158">
        <f t="shared" si="7"/>
        <v>2.0833333333333335</v>
      </c>
      <c r="Q30" s="158">
        <f t="shared" si="7"/>
        <v>1.6129032258064515</v>
      </c>
      <c r="R30" s="158">
        <f t="shared" si="7"/>
        <v>1.3888888888888888</v>
      </c>
      <c r="S30" s="158">
        <f t="shared" si="7"/>
        <v>1.8518518518518519</v>
      </c>
      <c r="T30" s="160">
        <f t="shared" si="7"/>
        <v>1.6949152542372881</v>
      </c>
      <c r="U30" s="161">
        <f>U29/U28*1</f>
        <v>0.52333333333333332</v>
      </c>
    </row>
    <row r="31" spans="1:21" ht="17.100000000000001" customHeight="1">
      <c r="A31" s="372"/>
      <c r="B31" s="397"/>
      <c r="C31" s="389" t="s">
        <v>46</v>
      </c>
      <c r="D31" s="392" t="s">
        <v>47</v>
      </c>
      <c r="E31" s="362" t="s">
        <v>250</v>
      </c>
      <c r="F31" s="405" t="s">
        <v>169</v>
      </c>
      <c r="G31" s="188">
        <v>12</v>
      </c>
      <c r="H31" s="150" t="s">
        <v>23</v>
      </c>
      <c r="I31" s="191">
        <v>3</v>
      </c>
      <c r="J31" s="191">
        <v>3</v>
      </c>
      <c r="K31" s="191">
        <v>3</v>
      </c>
      <c r="L31" s="191">
        <v>3</v>
      </c>
      <c r="M31" s="191">
        <v>3</v>
      </c>
      <c r="N31" s="191">
        <v>3</v>
      </c>
      <c r="O31" s="191">
        <v>3</v>
      </c>
      <c r="P31" s="191">
        <v>3</v>
      </c>
      <c r="Q31" s="191">
        <v>3</v>
      </c>
      <c r="R31" s="191">
        <v>3</v>
      </c>
      <c r="S31" s="191">
        <v>3</v>
      </c>
      <c r="T31" s="191">
        <v>3</v>
      </c>
      <c r="U31" s="165">
        <f>SUM(I31:T31)</f>
        <v>36</v>
      </c>
    </row>
    <row r="32" spans="1:21" ht="17.100000000000001" customHeight="1">
      <c r="A32" s="372"/>
      <c r="B32" s="397"/>
      <c r="C32" s="400"/>
      <c r="D32" s="404"/>
      <c r="E32" s="363"/>
      <c r="F32" s="402"/>
      <c r="G32" s="190">
        <v>0</v>
      </c>
      <c r="H32" s="154" t="s">
        <v>24</v>
      </c>
      <c r="I32" s="192">
        <v>1</v>
      </c>
      <c r="J32" s="192">
        <v>3</v>
      </c>
      <c r="K32" s="192">
        <v>0</v>
      </c>
      <c r="L32" s="192">
        <v>4</v>
      </c>
      <c r="M32" s="192">
        <v>1</v>
      </c>
      <c r="N32" s="192">
        <v>2</v>
      </c>
      <c r="O32" s="192">
        <v>0</v>
      </c>
      <c r="P32" s="192">
        <v>1</v>
      </c>
      <c r="Q32" s="192">
        <v>1</v>
      </c>
      <c r="R32" s="192">
        <v>0</v>
      </c>
      <c r="S32" s="192">
        <v>0</v>
      </c>
      <c r="T32" s="192">
        <v>3</v>
      </c>
      <c r="U32" s="169">
        <f>SUM(I32:T32)</f>
        <v>16</v>
      </c>
    </row>
    <row r="33" spans="1:21" ht="17.100000000000001" customHeight="1">
      <c r="A33" s="372"/>
      <c r="B33" s="397"/>
      <c r="C33" s="390"/>
      <c r="D33" s="393"/>
      <c r="E33" s="363"/>
      <c r="F33" s="403"/>
      <c r="G33" s="158" t="e">
        <v>#DIV/0!</v>
      </c>
      <c r="H33" s="159" t="s">
        <v>25</v>
      </c>
      <c r="I33" s="158">
        <f t="shared" ref="I33:T33" si="8">I32/I31*1</f>
        <v>0.33333333333333331</v>
      </c>
      <c r="J33" s="158">
        <f t="shared" si="8"/>
        <v>1</v>
      </c>
      <c r="K33" s="158">
        <f t="shared" si="8"/>
        <v>0</v>
      </c>
      <c r="L33" s="158">
        <f t="shared" si="8"/>
        <v>1.3333333333333333</v>
      </c>
      <c r="M33" s="158">
        <f t="shared" si="8"/>
        <v>0.33333333333333331</v>
      </c>
      <c r="N33" s="158">
        <f t="shared" si="8"/>
        <v>0.66666666666666663</v>
      </c>
      <c r="O33" s="158">
        <f t="shared" si="8"/>
        <v>0</v>
      </c>
      <c r="P33" s="158">
        <f t="shared" si="8"/>
        <v>0.33333333333333331</v>
      </c>
      <c r="Q33" s="158">
        <f t="shared" si="8"/>
        <v>0.33333333333333331</v>
      </c>
      <c r="R33" s="158">
        <f t="shared" si="8"/>
        <v>0</v>
      </c>
      <c r="S33" s="158">
        <f t="shared" si="8"/>
        <v>0</v>
      </c>
      <c r="T33" s="158">
        <f t="shared" si="8"/>
        <v>1</v>
      </c>
      <c r="U33" s="161">
        <f>U31/U32</f>
        <v>2.25</v>
      </c>
    </row>
    <row r="34" spans="1:21" ht="17.100000000000001" customHeight="1">
      <c r="A34" s="372"/>
      <c r="B34" s="397"/>
      <c r="C34" s="388" t="s">
        <v>49</v>
      </c>
      <c r="D34" s="391" t="s">
        <v>44</v>
      </c>
      <c r="E34" s="362" t="s">
        <v>248</v>
      </c>
      <c r="F34" s="364" t="s">
        <v>170</v>
      </c>
      <c r="G34" s="149">
        <v>24</v>
      </c>
      <c r="H34" s="150" t="s">
        <v>23</v>
      </c>
      <c r="I34" s="149">
        <v>2</v>
      </c>
      <c r="J34" s="149">
        <v>2</v>
      </c>
      <c r="K34" s="149">
        <v>2</v>
      </c>
      <c r="L34" s="149">
        <v>2</v>
      </c>
      <c r="M34" s="149">
        <v>2</v>
      </c>
      <c r="N34" s="149">
        <v>2</v>
      </c>
      <c r="O34" s="149">
        <v>2</v>
      </c>
      <c r="P34" s="149">
        <v>2</v>
      </c>
      <c r="Q34" s="149">
        <v>2</v>
      </c>
      <c r="R34" s="149">
        <v>2</v>
      </c>
      <c r="S34" s="149">
        <v>2</v>
      </c>
      <c r="T34" s="149">
        <v>2</v>
      </c>
      <c r="U34" s="152">
        <f>SUM(I34:T34)</f>
        <v>24</v>
      </c>
    </row>
    <row r="35" spans="1:21" ht="17.100000000000001" customHeight="1">
      <c r="A35" s="372"/>
      <c r="B35" s="397"/>
      <c r="C35" s="389"/>
      <c r="D35" s="392"/>
      <c r="E35" s="363"/>
      <c r="F35" s="365"/>
      <c r="G35" s="153">
        <v>11</v>
      </c>
      <c r="H35" s="154" t="s">
        <v>24</v>
      </c>
      <c r="I35" s="153">
        <v>2</v>
      </c>
      <c r="J35" s="155">
        <v>1</v>
      </c>
      <c r="K35" s="155">
        <v>1</v>
      </c>
      <c r="L35" s="155">
        <v>2</v>
      </c>
      <c r="M35" s="155">
        <v>2</v>
      </c>
      <c r="N35" s="155">
        <v>2</v>
      </c>
      <c r="O35" s="155">
        <v>2</v>
      </c>
      <c r="P35" s="155">
        <v>1</v>
      </c>
      <c r="Q35" s="155">
        <v>1</v>
      </c>
      <c r="R35" s="155">
        <v>0</v>
      </c>
      <c r="S35" s="155">
        <v>0</v>
      </c>
      <c r="T35" s="155">
        <v>1</v>
      </c>
      <c r="U35" s="157">
        <f>SUM(I35:T35)</f>
        <v>15</v>
      </c>
    </row>
    <row r="36" spans="1:21" ht="17.100000000000001" customHeight="1">
      <c r="A36" s="372"/>
      <c r="B36" s="397"/>
      <c r="C36" s="390"/>
      <c r="D36" s="393"/>
      <c r="E36" s="363"/>
      <c r="F36" s="366"/>
      <c r="G36" s="158">
        <v>2.1818181818181817</v>
      </c>
      <c r="H36" s="159" t="s">
        <v>25</v>
      </c>
      <c r="I36" s="158">
        <f t="shared" ref="I36:T36" si="9">I35/I34*1</f>
        <v>1</v>
      </c>
      <c r="J36" s="158">
        <f t="shared" si="9"/>
        <v>0.5</v>
      </c>
      <c r="K36" s="158">
        <f t="shared" si="9"/>
        <v>0.5</v>
      </c>
      <c r="L36" s="158">
        <f t="shared" si="9"/>
        <v>1</v>
      </c>
      <c r="M36" s="158">
        <f t="shared" si="9"/>
        <v>1</v>
      </c>
      <c r="N36" s="158">
        <f t="shared" si="9"/>
        <v>1</v>
      </c>
      <c r="O36" s="158">
        <f t="shared" si="9"/>
        <v>1</v>
      </c>
      <c r="P36" s="158">
        <f t="shared" si="9"/>
        <v>0.5</v>
      </c>
      <c r="Q36" s="158">
        <f t="shared" si="9"/>
        <v>0.5</v>
      </c>
      <c r="R36" s="158">
        <f t="shared" si="9"/>
        <v>0</v>
      </c>
      <c r="S36" s="158">
        <f t="shared" si="9"/>
        <v>0</v>
      </c>
      <c r="T36" s="160">
        <f t="shared" si="9"/>
        <v>0.5</v>
      </c>
      <c r="U36" s="161">
        <f>U34/U35</f>
        <v>1.6</v>
      </c>
    </row>
    <row r="37" spans="1:21" ht="17.100000000000001" customHeight="1">
      <c r="A37" s="372"/>
      <c r="B37" s="397"/>
      <c r="C37" s="394" t="s">
        <v>51</v>
      </c>
      <c r="D37" s="395" t="s">
        <v>44</v>
      </c>
      <c r="E37" s="362" t="s">
        <v>248</v>
      </c>
      <c r="F37" s="370" t="s">
        <v>184</v>
      </c>
      <c r="G37" s="193">
        <v>12</v>
      </c>
      <c r="H37" s="150" t="s">
        <v>23</v>
      </c>
      <c r="I37" s="191">
        <v>2</v>
      </c>
      <c r="J37" s="191">
        <v>2</v>
      </c>
      <c r="K37" s="191">
        <v>2</v>
      </c>
      <c r="L37" s="191">
        <v>2</v>
      </c>
      <c r="M37" s="191">
        <v>2</v>
      </c>
      <c r="N37" s="191">
        <v>2</v>
      </c>
      <c r="O37" s="191">
        <v>2</v>
      </c>
      <c r="P37" s="191">
        <v>2</v>
      </c>
      <c r="Q37" s="191">
        <v>2</v>
      </c>
      <c r="R37" s="191">
        <v>2</v>
      </c>
      <c r="S37" s="191">
        <v>2</v>
      </c>
      <c r="T37" s="191">
        <v>2</v>
      </c>
      <c r="U37" s="152">
        <f>SUM(I37:T37)</f>
        <v>24</v>
      </c>
    </row>
    <row r="38" spans="1:21" ht="17.100000000000001" customHeight="1">
      <c r="A38" s="372"/>
      <c r="B38" s="397"/>
      <c r="C38" s="394"/>
      <c r="D38" s="395"/>
      <c r="E38" s="363"/>
      <c r="F38" s="370"/>
      <c r="G38" s="190">
        <v>10</v>
      </c>
      <c r="H38" s="154" t="s">
        <v>24</v>
      </c>
      <c r="I38" s="192">
        <v>2</v>
      </c>
      <c r="J38" s="192">
        <v>1</v>
      </c>
      <c r="K38" s="192">
        <v>1</v>
      </c>
      <c r="L38" s="192">
        <v>2</v>
      </c>
      <c r="M38" s="192">
        <v>1</v>
      </c>
      <c r="N38" s="192">
        <v>1</v>
      </c>
      <c r="O38" s="192">
        <v>1</v>
      </c>
      <c r="P38" s="192">
        <v>1</v>
      </c>
      <c r="Q38" s="192">
        <v>0</v>
      </c>
      <c r="R38" s="192">
        <v>0</v>
      </c>
      <c r="S38" s="192">
        <v>2</v>
      </c>
      <c r="T38" s="192">
        <v>1</v>
      </c>
      <c r="U38" s="157">
        <f>SUM(I38:T38)</f>
        <v>13</v>
      </c>
    </row>
    <row r="39" spans="1:21" ht="17.100000000000001" customHeight="1">
      <c r="A39" s="372"/>
      <c r="B39" s="397"/>
      <c r="C39" s="394"/>
      <c r="D39" s="395"/>
      <c r="E39" s="363"/>
      <c r="F39" s="370"/>
      <c r="G39" s="158">
        <v>0.83333333333333337</v>
      </c>
      <c r="H39" s="159" t="s">
        <v>25</v>
      </c>
      <c r="I39" s="158">
        <f t="shared" ref="I39:U39" si="10">I38/I37*1</f>
        <v>1</v>
      </c>
      <c r="J39" s="158">
        <f t="shared" si="10"/>
        <v>0.5</v>
      </c>
      <c r="K39" s="158">
        <f t="shared" si="10"/>
        <v>0.5</v>
      </c>
      <c r="L39" s="158">
        <f t="shared" si="10"/>
        <v>1</v>
      </c>
      <c r="M39" s="158">
        <f t="shared" si="10"/>
        <v>0.5</v>
      </c>
      <c r="N39" s="158">
        <f t="shared" si="10"/>
        <v>0.5</v>
      </c>
      <c r="O39" s="158">
        <f t="shared" si="10"/>
        <v>0.5</v>
      </c>
      <c r="P39" s="158">
        <f t="shared" si="10"/>
        <v>0.5</v>
      </c>
      <c r="Q39" s="158">
        <f t="shared" si="10"/>
        <v>0</v>
      </c>
      <c r="R39" s="158">
        <f t="shared" si="10"/>
        <v>0</v>
      </c>
      <c r="S39" s="158">
        <f t="shared" si="10"/>
        <v>1</v>
      </c>
      <c r="T39" s="158">
        <f t="shared" si="10"/>
        <v>0.5</v>
      </c>
      <c r="U39" s="194">
        <f t="shared" si="10"/>
        <v>0.54166666666666663</v>
      </c>
    </row>
    <row r="40" spans="1:21" ht="16.5" customHeight="1">
      <c r="A40" s="372"/>
      <c r="B40" s="397"/>
      <c r="C40" s="389" t="s">
        <v>53</v>
      </c>
      <c r="D40" s="394" t="s">
        <v>44</v>
      </c>
      <c r="E40" s="362" t="s">
        <v>248</v>
      </c>
      <c r="F40" s="405" t="s">
        <v>171</v>
      </c>
      <c r="G40" s="193">
        <v>360</v>
      </c>
      <c r="H40" s="150" t="s">
        <v>23</v>
      </c>
      <c r="I40" s="193">
        <v>30</v>
      </c>
      <c r="J40" s="193">
        <v>30</v>
      </c>
      <c r="K40" s="193">
        <v>30</v>
      </c>
      <c r="L40" s="193">
        <v>30</v>
      </c>
      <c r="M40" s="193">
        <v>30</v>
      </c>
      <c r="N40" s="193">
        <v>30</v>
      </c>
      <c r="O40" s="193">
        <v>30</v>
      </c>
      <c r="P40" s="193">
        <v>30</v>
      </c>
      <c r="Q40" s="193">
        <v>30</v>
      </c>
      <c r="R40" s="193">
        <v>30</v>
      </c>
      <c r="S40" s="193">
        <v>30</v>
      </c>
      <c r="T40" s="193">
        <v>30</v>
      </c>
      <c r="U40" s="195">
        <f>SUM(I40:T40)</f>
        <v>360</v>
      </c>
    </row>
    <row r="41" spans="1:21" ht="17.100000000000001" customHeight="1">
      <c r="A41" s="372"/>
      <c r="B41" s="397"/>
      <c r="C41" s="400"/>
      <c r="D41" s="394"/>
      <c r="E41" s="363"/>
      <c r="F41" s="402"/>
      <c r="G41" s="190">
        <v>148</v>
      </c>
      <c r="H41" s="154" t="s">
        <v>24</v>
      </c>
      <c r="I41" s="192">
        <v>15</v>
      </c>
      <c r="J41" s="192">
        <v>10</v>
      </c>
      <c r="K41" s="192">
        <v>20</v>
      </c>
      <c r="L41" s="192">
        <v>25</v>
      </c>
      <c r="M41" s="192">
        <v>27</v>
      </c>
      <c r="N41" s="192">
        <v>25</v>
      </c>
      <c r="O41" s="192">
        <v>28</v>
      </c>
      <c r="P41" s="192">
        <v>28</v>
      </c>
      <c r="Q41" s="192">
        <v>27</v>
      </c>
      <c r="R41" s="192">
        <v>24</v>
      </c>
      <c r="S41" s="192">
        <v>24</v>
      </c>
      <c r="T41" s="196">
        <v>24</v>
      </c>
      <c r="U41" s="197">
        <f>SUM(I41:T41)</f>
        <v>277</v>
      </c>
    </row>
    <row r="42" spans="1:21" ht="17.100000000000001" customHeight="1" thickBot="1">
      <c r="A42" s="373"/>
      <c r="B42" s="398"/>
      <c r="C42" s="406"/>
      <c r="D42" s="394"/>
      <c r="E42" s="363"/>
      <c r="F42" s="407"/>
      <c r="G42" s="198">
        <v>0.41111111111111109</v>
      </c>
      <c r="H42" s="159" t="s">
        <v>25</v>
      </c>
      <c r="I42" s="198">
        <f t="shared" ref="I42:T42" si="11">I40/I41*1</f>
        <v>2</v>
      </c>
      <c r="J42" s="198">
        <f t="shared" si="11"/>
        <v>3</v>
      </c>
      <c r="K42" s="198">
        <f t="shared" si="11"/>
        <v>1.5</v>
      </c>
      <c r="L42" s="198">
        <f t="shared" si="11"/>
        <v>1.2</v>
      </c>
      <c r="M42" s="198">
        <f t="shared" si="11"/>
        <v>1.1111111111111112</v>
      </c>
      <c r="N42" s="198">
        <f t="shared" si="11"/>
        <v>1.2</v>
      </c>
      <c r="O42" s="198">
        <f t="shared" si="11"/>
        <v>1.0714285714285714</v>
      </c>
      <c r="P42" s="198">
        <f t="shared" si="11"/>
        <v>1.0714285714285714</v>
      </c>
      <c r="Q42" s="198">
        <f t="shared" si="11"/>
        <v>1.1111111111111112</v>
      </c>
      <c r="R42" s="198">
        <f t="shared" si="11"/>
        <v>1.25</v>
      </c>
      <c r="S42" s="198">
        <f t="shared" si="11"/>
        <v>1.25</v>
      </c>
      <c r="T42" s="199">
        <f t="shared" si="11"/>
        <v>1.25</v>
      </c>
      <c r="U42" s="200">
        <f>U41/U40*1</f>
        <v>0.76944444444444449</v>
      </c>
    </row>
    <row r="43" spans="1:21" ht="17.100000000000001" customHeight="1">
      <c r="A43" s="372">
        <v>3</v>
      </c>
      <c r="B43" s="374" t="s">
        <v>55</v>
      </c>
      <c r="C43" s="368" t="s">
        <v>172</v>
      </c>
      <c r="D43" s="374" t="s">
        <v>57</v>
      </c>
      <c r="E43" s="409" t="s">
        <v>251</v>
      </c>
      <c r="F43" s="365" t="s">
        <v>183</v>
      </c>
      <c r="G43" s="201">
        <v>73</v>
      </c>
      <c r="H43" s="150" t="s">
        <v>23</v>
      </c>
      <c r="I43" s="201">
        <v>6</v>
      </c>
      <c r="J43" s="202">
        <v>6</v>
      </c>
      <c r="K43" s="202">
        <v>6</v>
      </c>
      <c r="L43" s="202">
        <v>6</v>
      </c>
      <c r="M43" s="202">
        <v>5</v>
      </c>
      <c r="N43" s="202">
        <v>5</v>
      </c>
      <c r="O43" s="202">
        <v>7</v>
      </c>
      <c r="P43" s="202">
        <v>7</v>
      </c>
      <c r="Q43" s="202">
        <v>7</v>
      </c>
      <c r="R43" s="202">
        <v>6</v>
      </c>
      <c r="S43" s="202">
        <v>6</v>
      </c>
      <c r="T43" s="203">
        <v>6</v>
      </c>
      <c r="U43" s="195">
        <f>SUM(I43:T43)</f>
        <v>73</v>
      </c>
    </row>
    <row r="44" spans="1:21" ht="17.100000000000001" customHeight="1">
      <c r="A44" s="372"/>
      <c r="B44" s="368"/>
      <c r="C44" s="368"/>
      <c r="D44" s="368"/>
      <c r="E44" s="363"/>
      <c r="F44" s="365"/>
      <c r="G44" s="190">
        <v>71</v>
      </c>
      <c r="H44" s="154" t="s">
        <v>24</v>
      </c>
      <c r="I44" s="190">
        <v>6</v>
      </c>
      <c r="J44" s="192">
        <v>6</v>
      </c>
      <c r="K44" s="192">
        <v>6</v>
      </c>
      <c r="L44" s="192">
        <v>6</v>
      </c>
      <c r="M44" s="192">
        <v>4</v>
      </c>
      <c r="N44" s="192">
        <v>4</v>
      </c>
      <c r="O44" s="192">
        <v>3</v>
      </c>
      <c r="P44" s="192">
        <v>3</v>
      </c>
      <c r="Q44" s="192">
        <v>5</v>
      </c>
      <c r="R44" s="192">
        <v>4</v>
      </c>
      <c r="S44" s="192">
        <v>6</v>
      </c>
      <c r="T44" s="196">
        <v>6</v>
      </c>
      <c r="U44" s="197">
        <f>SUM(I44:T44)</f>
        <v>59</v>
      </c>
    </row>
    <row r="45" spans="1:21" ht="17.100000000000001" customHeight="1">
      <c r="A45" s="372"/>
      <c r="B45" s="368"/>
      <c r="C45" s="368"/>
      <c r="D45" s="368"/>
      <c r="E45" s="363"/>
      <c r="F45" s="365"/>
      <c r="G45" s="184">
        <v>0.9726027397260274</v>
      </c>
      <c r="H45" s="159" t="s">
        <v>25</v>
      </c>
      <c r="I45" s="184">
        <f t="shared" ref="I45:T45" si="12">I43/I44*1</f>
        <v>1</v>
      </c>
      <c r="J45" s="184">
        <f t="shared" si="12"/>
        <v>1</v>
      </c>
      <c r="K45" s="184">
        <f t="shared" si="12"/>
        <v>1</v>
      </c>
      <c r="L45" s="184">
        <f t="shared" si="12"/>
        <v>1</v>
      </c>
      <c r="M45" s="184">
        <f t="shared" si="12"/>
        <v>1.25</v>
      </c>
      <c r="N45" s="184">
        <f t="shared" si="12"/>
        <v>1.25</v>
      </c>
      <c r="O45" s="184">
        <f t="shared" si="12"/>
        <v>2.3333333333333335</v>
      </c>
      <c r="P45" s="184">
        <f t="shared" si="12"/>
        <v>2.3333333333333335</v>
      </c>
      <c r="Q45" s="184">
        <f t="shared" si="12"/>
        <v>1.4</v>
      </c>
      <c r="R45" s="184">
        <f t="shared" si="12"/>
        <v>1.5</v>
      </c>
      <c r="S45" s="184">
        <f t="shared" si="12"/>
        <v>1</v>
      </c>
      <c r="T45" s="184">
        <f t="shared" si="12"/>
        <v>1</v>
      </c>
      <c r="U45" s="187">
        <f>U44/U43*1</f>
        <v>0.80821917808219179</v>
      </c>
    </row>
    <row r="46" spans="1:21" ht="17.100000000000001" customHeight="1">
      <c r="A46" s="372"/>
      <c r="B46" s="368"/>
      <c r="C46" s="394" t="s">
        <v>59</v>
      </c>
      <c r="D46" s="368"/>
      <c r="E46" s="363"/>
      <c r="F46" s="370" t="s">
        <v>173</v>
      </c>
      <c r="G46" s="193">
        <v>6.083333333333333</v>
      </c>
      <c r="H46" s="150" t="s">
        <v>23</v>
      </c>
      <c r="I46" s="193">
        <v>6</v>
      </c>
      <c r="J46" s="193">
        <v>6</v>
      </c>
      <c r="K46" s="193">
        <v>6</v>
      </c>
      <c r="L46" s="193">
        <v>6</v>
      </c>
      <c r="M46" s="193">
        <v>5</v>
      </c>
      <c r="N46" s="193">
        <v>5</v>
      </c>
      <c r="O46" s="193">
        <v>7</v>
      </c>
      <c r="P46" s="193">
        <v>7</v>
      </c>
      <c r="Q46" s="193">
        <v>7</v>
      </c>
      <c r="R46" s="193">
        <v>6</v>
      </c>
      <c r="S46" s="193">
        <v>6</v>
      </c>
      <c r="T46" s="193">
        <v>6</v>
      </c>
      <c r="U46" s="165">
        <f>AVERAGE(I46:T46)</f>
        <v>6.083333333333333</v>
      </c>
    </row>
    <row r="47" spans="1:21" ht="17.100000000000001" customHeight="1">
      <c r="A47" s="372"/>
      <c r="B47" s="368"/>
      <c r="C47" s="394"/>
      <c r="D47" s="368"/>
      <c r="E47" s="363"/>
      <c r="F47" s="370"/>
      <c r="G47" s="204">
        <v>6.083333333333333</v>
      </c>
      <c r="H47" s="154" t="s">
        <v>24</v>
      </c>
      <c r="I47" s="204">
        <v>6</v>
      </c>
      <c r="J47" s="205">
        <v>6</v>
      </c>
      <c r="K47" s="205">
        <v>6</v>
      </c>
      <c r="L47" s="205">
        <v>6</v>
      </c>
      <c r="M47" s="205">
        <v>5</v>
      </c>
      <c r="N47" s="205">
        <v>5</v>
      </c>
      <c r="O47" s="205">
        <v>7</v>
      </c>
      <c r="P47" s="205">
        <v>7</v>
      </c>
      <c r="Q47" s="205">
        <v>7</v>
      </c>
      <c r="R47" s="205">
        <v>6</v>
      </c>
      <c r="S47" s="205">
        <v>6</v>
      </c>
      <c r="T47" s="206">
        <v>6</v>
      </c>
      <c r="U47" s="207">
        <f>AVERAGE(I47:T47)</f>
        <v>6.083333333333333</v>
      </c>
    </row>
    <row r="48" spans="1:21" ht="17.100000000000001" customHeight="1" thickBot="1">
      <c r="A48" s="372"/>
      <c r="B48" s="408"/>
      <c r="C48" s="413"/>
      <c r="D48" s="408"/>
      <c r="E48" s="410"/>
      <c r="F48" s="414"/>
      <c r="G48" s="198">
        <v>1</v>
      </c>
      <c r="H48" s="159" t="s">
        <v>25</v>
      </c>
      <c r="I48" s="208">
        <f t="shared" ref="I48:U48" si="13">I47/I46*1</f>
        <v>1</v>
      </c>
      <c r="J48" s="208">
        <f t="shared" si="13"/>
        <v>1</v>
      </c>
      <c r="K48" s="208">
        <f t="shared" si="13"/>
        <v>1</v>
      </c>
      <c r="L48" s="208">
        <f t="shared" si="13"/>
        <v>1</v>
      </c>
      <c r="M48" s="208">
        <f t="shared" si="13"/>
        <v>1</v>
      </c>
      <c r="N48" s="208">
        <f t="shared" si="13"/>
        <v>1</v>
      </c>
      <c r="O48" s="208">
        <f t="shared" si="13"/>
        <v>1</v>
      </c>
      <c r="P48" s="208">
        <f t="shared" si="13"/>
        <v>1</v>
      </c>
      <c r="Q48" s="208">
        <f t="shared" si="13"/>
        <v>1</v>
      </c>
      <c r="R48" s="208">
        <f t="shared" si="13"/>
        <v>1</v>
      </c>
      <c r="S48" s="208">
        <f t="shared" si="13"/>
        <v>1</v>
      </c>
      <c r="T48" s="209">
        <f t="shared" si="13"/>
        <v>1</v>
      </c>
      <c r="U48" s="210">
        <f t="shared" si="13"/>
        <v>1</v>
      </c>
    </row>
    <row r="49" spans="1:21" ht="17.100000000000001" customHeight="1" thickBot="1">
      <c r="A49" s="415">
        <v>4</v>
      </c>
      <c r="B49" s="416" t="s">
        <v>61</v>
      </c>
      <c r="C49" s="419" t="s">
        <v>62</v>
      </c>
      <c r="D49" s="419" t="s">
        <v>47</v>
      </c>
      <c r="E49" s="362" t="s">
        <v>252</v>
      </c>
      <c r="F49" s="421" t="s">
        <v>63</v>
      </c>
      <c r="G49" s="193">
        <v>100</v>
      </c>
      <c r="H49" s="150" t="s">
        <v>23</v>
      </c>
      <c r="I49" s="188">
        <v>100</v>
      </c>
      <c r="J49" s="188">
        <v>100</v>
      </c>
      <c r="K49" s="188">
        <v>100</v>
      </c>
      <c r="L49" s="188">
        <v>100</v>
      </c>
      <c r="M49" s="188">
        <v>100</v>
      </c>
      <c r="N49" s="188">
        <v>100</v>
      </c>
      <c r="O49" s="188">
        <v>100</v>
      </c>
      <c r="P49" s="188">
        <v>100</v>
      </c>
      <c r="Q49" s="188">
        <v>100</v>
      </c>
      <c r="R49" s="188">
        <v>100</v>
      </c>
      <c r="S49" s="188">
        <v>100</v>
      </c>
      <c r="T49" s="188">
        <v>100</v>
      </c>
      <c r="U49" s="211">
        <f>AVERAGE(I49:T49)</f>
        <v>100</v>
      </c>
    </row>
    <row r="50" spans="1:21" ht="17.100000000000001" customHeight="1" thickBot="1">
      <c r="A50" s="415"/>
      <c r="B50" s="417"/>
      <c r="C50" s="394"/>
      <c r="D50" s="394"/>
      <c r="E50" s="363"/>
      <c r="F50" s="370"/>
      <c r="G50" s="204">
        <v>100</v>
      </c>
      <c r="H50" s="154" t="s">
        <v>24</v>
      </c>
      <c r="I50" s="204">
        <v>100</v>
      </c>
      <c r="J50" s="204">
        <v>100</v>
      </c>
      <c r="K50" s="204">
        <v>100</v>
      </c>
      <c r="L50" s="204">
        <v>100</v>
      </c>
      <c r="M50" s="204">
        <v>100</v>
      </c>
      <c r="N50" s="204">
        <v>100</v>
      </c>
      <c r="O50" s="204">
        <v>100</v>
      </c>
      <c r="P50" s="204">
        <v>100</v>
      </c>
      <c r="Q50" s="204">
        <v>100</v>
      </c>
      <c r="R50" s="204">
        <v>100</v>
      </c>
      <c r="S50" s="204">
        <v>100</v>
      </c>
      <c r="T50" s="204">
        <v>100</v>
      </c>
      <c r="U50" s="212">
        <f>AVERAGE(I50:T50)</f>
        <v>100</v>
      </c>
    </row>
    <row r="51" spans="1:21" ht="17.100000000000001" customHeight="1" thickBot="1">
      <c r="A51" s="415"/>
      <c r="B51" s="417"/>
      <c r="C51" s="394"/>
      <c r="D51" s="420"/>
      <c r="E51" s="363"/>
      <c r="F51" s="370"/>
      <c r="G51" s="158">
        <v>1</v>
      </c>
      <c r="H51" s="159" t="s">
        <v>25</v>
      </c>
      <c r="I51" s="158">
        <f t="shared" ref="I51:U51" si="14">I50/I49*1</f>
        <v>1</v>
      </c>
      <c r="J51" s="158">
        <f t="shared" si="14"/>
        <v>1</v>
      </c>
      <c r="K51" s="158">
        <f t="shared" si="14"/>
        <v>1</v>
      </c>
      <c r="L51" s="158">
        <f t="shared" si="14"/>
        <v>1</v>
      </c>
      <c r="M51" s="158">
        <f t="shared" si="14"/>
        <v>1</v>
      </c>
      <c r="N51" s="158">
        <f t="shared" si="14"/>
        <v>1</v>
      </c>
      <c r="O51" s="158">
        <f t="shared" si="14"/>
        <v>1</v>
      </c>
      <c r="P51" s="158">
        <f t="shared" si="14"/>
        <v>1</v>
      </c>
      <c r="Q51" s="158">
        <f t="shared" si="14"/>
        <v>1</v>
      </c>
      <c r="R51" s="158">
        <f t="shared" si="14"/>
        <v>1</v>
      </c>
      <c r="S51" s="158">
        <f t="shared" si="14"/>
        <v>1</v>
      </c>
      <c r="T51" s="158">
        <f t="shared" si="14"/>
        <v>1</v>
      </c>
      <c r="U51" s="194">
        <f t="shared" si="14"/>
        <v>1</v>
      </c>
    </row>
    <row r="52" spans="1:21" ht="17.100000000000001" customHeight="1" thickBot="1">
      <c r="A52" s="415"/>
      <c r="B52" s="417"/>
      <c r="C52" s="411" t="s">
        <v>64</v>
      </c>
      <c r="D52" s="412" t="s">
        <v>47</v>
      </c>
      <c r="E52" s="362" t="s">
        <v>252</v>
      </c>
      <c r="F52" s="364" t="s">
        <v>65</v>
      </c>
      <c r="G52" s="149">
        <v>0</v>
      </c>
      <c r="H52" s="150" t="s">
        <v>23</v>
      </c>
      <c r="I52" s="151">
        <v>0</v>
      </c>
      <c r="J52" s="151">
        <v>0</v>
      </c>
      <c r="K52" s="151">
        <v>0</v>
      </c>
      <c r="L52" s="151">
        <v>0</v>
      </c>
      <c r="M52" s="151">
        <v>0</v>
      </c>
      <c r="N52" s="151">
        <v>0</v>
      </c>
      <c r="O52" s="151">
        <v>0</v>
      </c>
      <c r="P52" s="151">
        <v>0</v>
      </c>
      <c r="Q52" s="151">
        <v>0</v>
      </c>
      <c r="R52" s="151">
        <v>0</v>
      </c>
      <c r="S52" s="151">
        <v>0</v>
      </c>
      <c r="T52" s="151">
        <v>0</v>
      </c>
      <c r="U52" s="195">
        <f>SUM(I52:T52)</f>
        <v>0</v>
      </c>
    </row>
    <row r="53" spans="1:21" ht="17.100000000000001" customHeight="1" thickBot="1">
      <c r="A53" s="415"/>
      <c r="B53" s="417"/>
      <c r="C53" s="422"/>
      <c r="D53" s="412"/>
      <c r="E53" s="363"/>
      <c r="F53" s="365"/>
      <c r="G53" s="153">
        <v>0</v>
      </c>
      <c r="H53" s="154" t="s">
        <v>24</v>
      </c>
      <c r="I53" s="155">
        <v>0</v>
      </c>
      <c r="J53" s="155">
        <v>0</v>
      </c>
      <c r="K53" s="155">
        <v>0</v>
      </c>
      <c r="L53" s="155">
        <v>0</v>
      </c>
      <c r="M53" s="155">
        <v>0</v>
      </c>
      <c r="N53" s="155">
        <v>0</v>
      </c>
      <c r="O53" s="155">
        <v>0</v>
      </c>
      <c r="P53" s="155">
        <v>0</v>
      </c>
      <c r="Q53" s="155">
        <v>0</v>
      </c>
      <c r="R53" s="155">
        <v>0</v>
      </c>
      <c r="S53" s="155">
        <v>0</v>
      </c>
      <c r="T53" s="155">
        <v>0</v>
      </c>
      <c r="U53" s="197">
        <f>SUM(I53:T53)</f>
        <v>0</v>
      </c>
    </row>
    <row r="54" spans="1:21" ht="17.100000000000001" customHeight="1" thickBot="1">
      <c r="A54" s="415"/>
      <c r="B54" s="417"/>
      <c r="C54" s="423"/>
      <c r="D54" s="412"/>
      <c r="E54" s="363"/>
      <c r="F54" s="366"/>
      <c r="G54" s="158" t="e">
        <v>#DIV/0!</v>
      </c>
      <c r="H54" s="159" t="s">
        <v>25</v>
      </c>
      <c r="I54" s="158" t="e">
        <f t="shared" ref="I54:U54" si="15">I53/I52*1</f>
        <v>#DIV/0!</v>
      </c>
      <c r="J54" s="158" t="e">
        <f t="shared" si="15"/>
        <v>#DIV/0!</v>
      </c>
      <c r="K54" s="158" t="e">
        <f t="shared" si="15"/>
        <v>#DIV/0!</v>
      </c>
      <c r="L54" s="158" t="e">
        <f t="shared" si="15"/>
        <v>#DIV/0!</v>
      </c>
      <c r="M54" s="158" t="e">
        <f t="shared" si="15"/>
        <v>#DIV/0!</v>
      </c>
      <c r="N54" s="158" t="e">
        <f t="shared" si="15"/>
        <v>#DIV/0!</v>
      </c>
      <c r="O54" s="158" t="e">
        <f t="shared" si="15"/>
        <v>#DIV/0!</v>
      </c>
      <c r="P54" s="158" t="e">
        <f t="shared" si="15"/>
        <v>#DIV/0!</v>
      </c>
      <c r="Q54" s="158" t="e">
        <f t="shared" si="15"/>
        <v>#DIV/0!</v>
      </c>
      <c r="R54" s="158" t="e">
        <f t="shared" si="15"/>
        <v>#DIV/0!</v>
      </c>
      <c r="S54" s="158" t="e">
        <f t="shared" si="15"/>
        <v>#DIV/0!</v>
      </c>
      <c r="T54" s="158" t="e">
        <f t="shared" si="15"/>
        <v>#DIV/0!</v>
      </c>
      <c r="U54" s="194" t="e">
        <f t="shared" si="15"/>
        <v>#DIV/0!</v>
      </c>
    </row>
    <row r="55" spans="1:21" ht="17.100000000000001" customHeight="1" thickBot="1">
      <c r="A55" s="415"/>
      <c r="B55" s="417"/>
      <c r="C55" s="395" t="s">
        <v>66</v>
      </c>
      <c r="D55" s="412" t="s">
        <v>47</v>
      </c>
      <c r="E55" s="362" t="s">
        <v>252</v>
      </c>
      <c r="F55" s="370" t="s">
        <v>67</v>
      </c>
      <c r="G55" s="193">
        <v>1200</v>
      </c>
      <c r="H55" s="150" t="s">
        <v>23</v>
      </c>
      <c r="I55" s="213">
        <v>100</v>
      </c>
      <c r="J55" s="191">
        <v>100</v>
      </c>
      <c r="K55" s="191">
        <v>100</v>
      </c>
      <c r="L55" s="191">
        <v>100</v>
      </c>
      <c r="M55" s="191">
        <v>100</v>
      </c>
      <c r="N55" s="191">
        <v>100</v>
      </c>
      <c r="O55" s="191">
        <v>100</v>
      </c>
      <c r="P55" s="191">
        <v>100</v>
      </c>
      <c r="Q55" s="191">
        <v>100</v>
      </c>
      <c r="R55" s="191">
        <v>100</v>
      </c>
      <c r="S55" s="191">
        <v>100</v>
      </c>
      <c r="T55" s="191">
        <v>100</v>
      </c>
      <c r="U55" s="165">
        <f>SUM(I55:T55)</f>
        <v>1200</v>
      </c>
    </row>
    <row r="56" spans="1:21" ht="17.100000000000001" customHeight="1" thickBot="1">
      <c r="A56" s="415"/>
      <c r="B56" s="417"/>
      <c r="C56" s="395"/>
      <c r="D56" s="412"/>
      <c r="E56" s="363"/>
      <c r="F56" s="370"/>
      <c r="G56" s="204">
        <v>1200</v>
      </c>
      <c r="H56" s="154" t="s">
        <v>24</v>
      </c>
      <c r="I56" s="204">
        <v>100</v>
      </c>
      <c r="J56" s="204">
        <v>100</v>
      </c>
      <c r="K56" s="204">
        <v>100</v>
      </c>
      <c r="L56" s="204">
        <v>100</v>
      </c>
      <c r="M56" s="204">
        <v>100</v>
      </c>
      <c r="N56" s="204">
        <v>100</v>
      </c>
      <c r="O56" s="204">
        <v>100</v>
      </c>
      <c r="P56" s="204">
        <v>100</v>
      </c>
      <c r="Q56" s="204">
        <v>100</v>
      </c>
      <c r="R56" s="204">
        <v>100</v>
      </c>
      <c r="S56" s="204">
        <v>100</v>
      </c>
      <c r="T56" s="206">
        <v>100</v>
      </c>
      <c r="U56" s="207">
        <f>SUM(I56:T56)</f>
        <v>1200</v>
      </c>
    </row>
    <row r="57" spans="1:21" ht="17.100000000000001" customHeight="1" thickBot="1">
      <c r="A57" s="415"/>
      <c r="B57" s="417"/>
      <c r="C57" s="411"/>
      <c r="D57" s="412"/>
      <c r="E57" s="363"/>
      <c r="F57" s="364"/>
      <c r="G57" s="184">
        <v>1</v>
      </c>
      <c r="H57" s="159" t="s">
        <v>25</v>
      </c>
      <c r="I57" s="184">
        <f t="shared" ref="I57:U57" si="16">I56/I55*1</f>
        <v>1</v>
      </c>
      <c r="J57" s="184">
        <f t="shared" si="16"/>
        <v>1</v>
      </c>
      <c r="K57" s="184">
        <f t="shared" si="16"/>
        <v>1</v>
      </c>
      <c r="L57" s="184">
        <f t="shared" si="16"/>
        <v>1</v>
      </c>
      <c r="M57" s="184">
        <f t="shared" si="16"/>
        <v>1</v>
      </c>
      <c r="N57" s="184">
        <f t="shared" si="16"/>
        <v>1</v>
      </c>
      <c r="O57" s="184">
        <f t="shared" si="16"/>
        <v>1</v>
      </c>
      <c r="P57" s="184">
        <f t="shared" si="16"/>
        <v>1</v>
      </c>
      <c r="Q57" s="184">
        <f t="shared" si="16"/>
        <v>1</v>
      </c>
      <c r="R57" s="184">
        <f t="shared" si="16"/>
        <v>1</v>
      </c>
      <c r="S57" s="184">
        <f t="shared" si="16"/>
        <v>1</v>
      </c>
      <c r="T57" s="184">
        <f t="shared" si="16"/>
        <v>1</v>
      </c>
      <c r="U57" s="214">
        <f t="shared" si="16"/>
        <v>1</v>
      </c>
    </row>
    <row r="58" spans="1:21" ht="17.100000000000001" customHeight="1" thickBot="1">
      <c r="A58" s="415"/>
      <c r="B58" s="417"/>
      <c r="C58" s="394" t="s">
        <v>68</v>
      </c>
      <c r="D58" s="424" t="s">
        <v>47</v>
      </c>
      <c r="E58" s="362" t="s">
        <v>252</v>
      </c>
      <c r="F58" s="370" t="s">
        <v>174</v>
      </c>
      <c r="G58" s="215">
        <v>100</v>
      </c>
      <c r="H58" s="150" t="s">
        <v>23</v>
      </c>
      <c r="I58" s="149">
        <v>100</v>
      </c>
      <c r="J58" s="151">
        <v>100</v>
      </c>
      <c r="K58" s="151">
        <v>100</v>
      </c>
      <c r="L58" s="151">
        <v>100</v>
      </c>
      <c r="M58" s="151">
        <v>100</v>
      </c>
      <c r="N58" s="151">
        <v>100</v>
      </c>
      <c r="O58" s="151">
        <v>100</v>
      </c>
      <c r="P58" s="151">
        <v>100</v>
      </c>
      <c r="Q58" s="151">
        <v>100</v>
      </c>
      <c r="R58" s="151">
        <v>100</v>
      </c>
      <c r="S58" s="151">
        <v>100</v>
      </c>
      <c r="T58" s="151">
        <v>100</v>
      </c>
      <c r="U58" s="216">
        <f>AVERAGE(I58:T58)</f>
        <v>100</v>
      </c>
    </row>
    <row r="59" spans="1:21" ht="17.100000000000001" customHeight="1" thickBot="1">
      <c r="A59" s="415"/>
      <c r="B59" s="417"/>
      <c r="C59" s="394"/>
      <c r="D59" s="394"/>
      <c r="E59" s="363"/>
      <c r="F59" s="370"/>
      <c r="G59" s="217">
        <v>92.954545454545453</v>
      </c>
      <c r="H59" s="154" t="s">
        <v>24</v>
      </c>
      <c r="I59" s="218">
        <v>93.727272727272734</v>
      </c>
      <c r="J59" s="219">
        <v>92.545454545454547</v>
      </c>
      <c r="K59" s="219">
        <v>93.272727272727266</v>
      </c>
      <c r="L59" s="219">
        <v>93.090909090909093</v>
      </c>
      <c r="M59" s="219">
        <v>95</v>
      </c>
      <c r="N59" s="219">
        <v>96</v>
      </c>
      <c r="O59" s="219">
        <v>96</v>
      </c>
      <c r="P59" s="219">
        <v>94</v>
      </c>
      <c r="Q59" s="219">
        <v>95</v>
      </c>
      <c r="R59" s="219">
        <v>97</v>
      </c>
      <c r="S59" s="219">
        <v>96</v>
      </c>
      <c r="T59" s="219">
        <v>96</v>
      </c>
      <c r="U59" s="220">
        <f>AVERAGE(I59:T59)</f>
        <v>94.803030303030297</v>
      </c>
    </row>
    <row r="60" spans="1:21" ht="17.100000000000001" customHeight="1" thickBot="1">
      <c r="A60" s="415"/>
      <c r="B60" s="418"/>
      <c r="C60" s="413"/>
      <c r="D60" s="425"/>
      <c r="E60" s="363"/>
      <c r="F60" s="414"/>
      <c r="G60" s="198">
        <v>0.92954545454545456</v>
      </c>
      <c r="H60" s="159" t="s">
        <v>25</v>
      </c>
      <c r="I60" s="208">
        <f t="shared" ref="I60:U60" si="17">I59/I58*1</f>
        <v>0.93727272727272737</v>
      </c>
      <c r="J60" s="208">
        <f t="shared" si="17"/>
        <v>0.92545454545454542</v>
      </c>
      <c r="K60" s="208">
        <f t="shared" si="17"/>
        <v>0.93272727272727263</v>
      </c>
      <c r="L60" s="208">
        <f t="shared" si="17"/>
        <v>0.93090909090909091</v>
      </c>
      <c r="M60" s="208">
        <f t="shared" si="17"/>
        <v>0.95</v>
      </c>
      <c r="N60" s="208">
        <f t="shared" si="17"/>
        <v>0.96</v>
      </c>
      <c r="O60" s="208">
        <f t="shared" si="17"/>
        <v>0.96</v>
      </c>
      <c r="P60" s="208">
        <f t="shared" si="17"/>
        <v>0.94</v>
      </c>
      <c r="Q60" s="208">
        <f t="shared" si="17"/>
        <v>0.95</v>
      </c>
      <c r="R60" s="208">
        <f t="shared" si="17"/>
        <v>0.97</v>
      </c>
      <c r="S60" s="208">
        <f t="shared" si="17"/>
        <v>0.96</v>
      </c>
      <c r="T60" s="209">
        <f t="shared" si="17"/>
        <v>0.96</v>
      </c>
      <c r="U60" s="210">
        <f t="shared" si="17"/>
        <v>0.948030303030303</v>
      </c>
    </row>
    <row r="61" spans="1:21" ht="22.5" customHeight="1" thickBot="1">
      <c r="A61" s="415">
        <v>5</v>
      </c>
      <c r="B61" s="419" t="s">
        <v>70</v>
      </c>
      <c r="C61" s="394" t="s">
        <v>71</v>
      </c>
      <c r="D61" s="424" t="s">
        <v>72</v>
      </c>
      <c r="E61" s="435" t="s">
        <v>253</v>
      </c>
      <c r="F61" s="370" t="s">
        <v>74</v>
      </c>
      <c r="G61" s="201">
        <v>21246590.061666667</v>
      </c>
      <c r="H61" s="150" t="s">
        <v>23</v>
      </c>
      <c r="I61" s="201">
        <v>7157748.4000000004</v>
      </c>
      <c r="J61" s="202">
        <v>15379999.800000001</v>
      </c>
      <c r="K61" s="202">
        <v>24180949.100000001</v>
      </c>
      <c r="L61" s="202">
        <v>57053089.5</v>
      </c>
      <c r="M61" s="202">
        <v>8686036.8650000002</v>
      </c>
      <c r="N61" s="202">
        <v>27323862.005000003</v>
      </c>
      <c r="O61" s="202">
        <v>17445843.018999998</v>
      </c>
      <c r="P61" s="202">
        <v>22082976.036000002</v>
      </c>
      <c r="Q61" s="202">
        <v>39922994.298</v>
      </c>
      <c r="R61" s="202">
        <v>40475057.975000001</v>
      </c>
      <c r="S61" s="202">
        <v>11142822.273</v>
      </c>
      <c r="T61" s="203">
        <v>9603609.5430000015</v>
      </c>
      <c r="U61" s="221">
        <f>AVERAGE(I61:T61)</f>
        <v>23371249.067833334</v>
      </c>
    </row>
    <row r="62" spans="1:21" ht="24.75" customHeight="1" thickBot="1">
      <c r="A62" s="415"/>
      <c r="B62" s="394"/>
      <c r="C62" s="394"/>
      <c r="D62" s="394"/>
      <c r="E62" s="395"/>
      <c r="F62" s="370"/>
      <c r="G62" s="204">
        <v>20637831.912266668</v>
      </c>
      <c r="H62" s="154" t="s">
        <v>24</v>
      </c>
      <c r="I62" s="204">
        <v>7014593.432</v>
      </c>
      <c r="J62" s="205">
        <v>14610999.810000001</v>
      </c>
      <c r="K62" s="205">
        <v>23455520.627</v>
      </c>
      <c r="L62" s="205">
        <v>55912027.710000001</v>
      </c>
      <c r="M62" s="205">
        <v>8571306</v>
      </c>
      <c r="N62" s="205">
        <v>27323862</v>
      </c>
      <c r="O62" s="205">
        <v>17365892</v>
      </c>
      <c r="P62" s="205">
        <v>22082976</v>
      </c>
      <c r="Q62" s="205">
        <v>39922994</v>
      </c>
      <c r="R62" s="205">
        <v>40425867</v>
      </c>
      <c r="S62" s="205">
        <v>11124822</v>
      </c>
      <c r="T62" s="205">
        <v>9603610</v>
      </c>
      <c r="U62" s="212">
        <f>AVERAGE(I62:T62)</f>
        <v>23117872.548250001</v>
      </c>
    </row>
    <row r="63" spans="1:21" ht="24.75" customHeight="1" thickBot="1">
      <c r="A63" s="371"/>
      <c r="B63" s="420"/>
      <c r="C63" s="420"/>
      <c r="D63" s="420"/>
      <c r="E63" s="436"/>
      <c r="F63" s="364"/>
      <c r="G63" s="184">
        <v>0.97134795994872003</v>
      </c>
      <c r="H63" s="159" t="s">
        <v>25</v>
      </c>
      <c r="I63" s="184">
        <f>I62/I61*1</f>
        <v>0.98</v>
      </c>
      <c r="J63" s="184">
        <f t="shared" ref="J63:U63" si="18">J62/J61*1</f>
        <v>0.95</v>
      </c>
      <c r="K63" s="184">
        <f t="shared" si="18"/>
        <v>0.97</v>
      </c>
      <c r="L63" s="184">
        <f t="shared" si="18"/>
        <v>0.98</v>
      </c>
      <c r="M63" s="184">
        <f t="shared" si="18"/>
        <v>0.98679134491561937</v>
      </c>
      <c r="N63" s="184">
        <f t="shared" si="18"/>
        <v>0.99999999981700971</v>
      </c>
      <c r="O63" s="184">
        <f t="shared" si="18"/>
        <v>0.99541718798495871</v>
      </c>
      <c r="P63" s="184">
        <f t="shared" si="18"/>
        <v>0.99999999836978481</v>
      </c>
      <c r="Q63" s="184">
        <f t="shared" si="18"/>
        <v>0.99999999253562999</v>
      </c>
      <c r="R63" s="184">
        <f t="shared" si="18"/>
        <v>0.99878465955427698</v>
      </c>
      <c r="S63" s="184">
        <f t="shared" si="18"/>
        <v>0.99838458582942524</v>
      </c>
      <c r="T63" s="184">
        <f t="shared" si="18"/>
        <v>1.0000000475862743</v>
      </c>
      <c r="U63" s="214">
        <f t="shared" si="18"/>
        <v>0.98915862310790803</v>
      </c>
    </row>
    <row r="64" spans="1:21" ht="17.100000000000001" customHeight="1" thickBot="1">
      <c r="A64" s="415">
        <v>6</v>
      </c>
      <c r="B64" s="427" t="s">
        <v>75</v>
      </c>
      <c r="C64" s="430" t="s">
        <v>76</v>
      </c>
      <c r="D64" s="433" t="s">
        <v>72</v>
      </c>
      <c r="E64" s="435" t="s">
        <v>253</v>
      </c>
      <c r="F64" s="437" t="s">
        <v>175</v>
      </c>
      <c r="G64" s="222">
        <v>12</v>
      </c>
      <c r="H64" s="150" t="s">
        <v>23</v>
      </c>
      <c r="I64" s="222">
        <v>1</v>
      </c>
      <c r="J64" s="222">
        <v>1</v>
      </c>
      <c r="K64" s="222">
        <v>1</v>
      </c>
      <c r="L64" s="222">
        <v>1</v>
      </c>
      <c r="M64" s="222">
        <v>1</v>
      </c>
      <c r="N64" s="222">
        <v>1</v>
      </c>
      <c r="O64" s="222">
        <v>1</v>
      </c>
      <c r="P64" s="222">
        <v>1</v>
      </c>
      <c r="Q64" s="222">
        <v>1</v>
      </c>
      <c r="R64" s="222">
        <v>1</v>
      </c>
      <c r="S64" s="222">
        <v>1</v>
      </c>
      <c r="T64" s="222">
        <v>1</v>
      </c>
      <c r="U64" s="223">
        <f>SUM(I64:T64)</f>
        <v>12</v>
      </c>
    </row>
    <row r="65" spans="1:21" ht="17.100000000000001" customHeight="1" thickBot="1">
      <c r="A65" s="415"/>
      <c r="B65" s="428"/>
      <c r="C65" s="431"/>
      <c r="D65" s="394"/>
      <c r="E65" s="395"/>
      <c r="F65" s="365"/>
      <c r="G65" s="153">
        <v>12</v>
      </c>
      <c r="H65" s="154" t="s">
        <v>24</v>
      </c>
      <c r="I65" s="153">
        <v>1</v>
      </c>
      <c r="J65" s="153">
        <v>1</v>
      </c>
      <c r="K65" s="153">
        <v>1</v>
      </c>
      <c r="L65" s="153">
        <v>1</v>
      </c>
      <c r="M65" s="153">
        <v>1</v>
      </c>
      <c r="N65" s="153">
        <v>1</v>
      </c>
      <c r="O65" s="153">
        <v>1</v>
      </c>
      <c r="P65" s="153">
        <v>1</v>
      </c>
      <c r="Q65" s="153">
        <v>1</v>
      </c>
      <c r="R65" s="153">
        <v>1</v>
      </c>
      <c r="S65" s="153">
        <v>1</v>
      </c>
      <c r="T65" s="153">
        <v>1</v>
      </c>
      <c r="U65" s="157">
        <f>SUM(I65:T65)</f>
        <v>12</v>
      </c>
    </row>
    <row r="66" spans="1:21" ht="17.100000000000001" customHeight="1" thickBot="1">
      <c r="A66" s="415"/>
      <c r="B66" s="429"/>
      <c r="C66" s="432"/>
      <c r="D66" s="434"/>
      <c r="E66" s="436"/>
      <c r="F66" s="438"/>
      <c r="G66" s="198">
        <v>1</v>
      </c>
      <c r="H66" s="159" t="s">
        <v>25</v>
      </c>
      <c r="I66" s="198">
        <f t="shared" ref="I66:U66" si="19">I65/I64*1</f>
        <v>1</v>
      </c>
      <c r="J66" s="198">
        <f t="shared" si="19"/>
        <v>1</v>
      </c>
      <c r="K66" s="198">
        <f t="shared" si="19"/>
        <v>1</v>
      </c>
      <c r="L66" s="198">
        <f t="shared" si="19"/>
        <v>1</v>
      </c>
      <c r="M66" s="198">
        <f t="shared" si="19"/>
        <v>1</v>
      </c>
      <c r="N66" s="198">
        <f t="shared" si="19"/>
        <v>1</v>
      </c>
      <c r="O66" s="198">
        <f t="shared" si="19"/>
        <v>1</v>
      </c>
      <c r="P66" s="198">
        <f t="shared" si="19"/>
        <v>1</v>
      </c>
      <c r="Q66" s="198">
        <f t="shared" si="19"/>
        <v>1</v>
      </c>
      <c r="R66" s="198">
        <f t="shared" si="19"/>
        <v>1</v>
      </c>
      <c r="S66" s="198">
        <f t="shared" si="19"/>
        <v>1</v>
      </c>
      <c r="T66" s="199">
        <f t="shared" si="19"/>
        <v>1</v>
      </c>
      <c r="U66" s="200">
        <f t="shared" si="19"/>
        <v>1</v>
      </c>
    </row>
    <row r="67" spans="1:21" ht="17.100000000000001" customHeight="1" thickBot="1">
      <c r="A67" s="373">
        <v>7</v>
      </c>
      <c r="B67" s="389" t="s">
        <v>78</v>
      </c>
      <c r="C67" s="389" t="s">
        <v>79</v>
      </c>
      <c r="D67" s="389" t="s">
        <v>44</v>
      </c>
      <c r="E67" s="362" t="s">
        <v>248</v>
      </c>
      <c r="F67" s="365" t="s">
        <v>176</v>
      </c>
      <c r="G67" s="188">
        <v>5000</v>
      </c>
      <c r="H67" s="150" t="s">
        <v>23</v>
      </c>
      <c r="I67" s="188">
        <v>5000</v>
      </c>
      <c r="J67" s="188">
        <v>5000</v>
      </c>
      <c r="K67" s="188">
        <v>5000</v>
      </c>
      <c r="L67" s="188">
        <v>5000</v>
      </c>
      <c r="M67" s="188">
        <v>5000</v>
      </c>
      <c r="N67" s="188">
        <v>5000</v>
      </c>
      <c r="O67" s="188">
        <v>5000</v>
      </c>
      <c r="P67" s="188">
        <v>5000</v>
      </c>
      <c r="Q67" s="188">
        <v>5000</v>
      </c>
      <c r="R67" s="188">
        <v>5000</v>
      </c>
      <c r="S67" s="188">
        <v>5000</v>
      </c>
      <c r="T67" s="188">
        <v>5000</v>
      </c>
      <c r="U67" s="224">
        <f>AVERAGE(I67:T67)</f>
        <v>5000</v>
      </c>
    </row>
    <row r="68" spans="1:21" ht="17.100000000000001" customHeight="1" thickBot="1">
      <c r="A68" s="415"/>
      <c r="B68" s="389"/>
      <c r="C68" s="389"/>
      <c r="D68" s="389"/>
      <c r="E68" s="363"/>
      <c r="F68" s="365"/>
      <c r="G68" s="190">
        <v>4527</v>
      </c>
      <c r="H68" s="154" t="s">
        <v>24</v>
      </c>
      <c r="I68" s="190">
        <v>4950</v>
      </c>
      <c r="J68" s="192">
        <v>4464</v>
      </c>
      <c r="K68" s="192">
        <v>4854</v>
      </c>
      <c r="L68" s="192">
        <v>4464</v>
      </c>
      <c r="M68" s="225">
        <v>4635</v>
      </c>
      <c r="N68" s="225">
        <v>4852</v>
      </c>
      <c r="O68" s="225">
        <v>4268</v>
      </c>
      <c r="P68" s="225">
        <v>4785</v>
      </c>
      <c r="Q68" s="225">
        <v>4853</v>
      </c>
      <c r="R68" s="225">
        <v>4902</v>
      </c>
      <c r="S68" s="225">
        <v>4852</v>
      </c>
      <c r="T68" s="225">
        <v>4758</v>
      </c>
      <c r="U68" s="226">
        <f>AVERAGE(I68:T68)</f>
        <v>4719.75</v>
      </c>
    </row>
    <row r="69" spans="1:21" ht="17.100000000000001" customHeight="1" thickBot="1">
      <c r="A69" s="371"/>
      <c r="B69" s="426"/>
      <c r="C69" s="426"/>
      <c r="D69" s="426"/>
      <c r="E69" s="410"/>
      <c r="F69" s="365"/>
      <c r="G69" s="184">
        <v>1.1044842058758559</v>
      </c>
      <c r="H69" s="159" t="s">
        <v>25</v>
      </c>
      <c r="I69" s="184">
        <f>I67/I68*1</f>
        <v>1.0101010101010102</v>
      </c>
      <c r="J69" s="184">
        <f t="shared" ref="J69:T69" si="20">J67/J68*1</f>
        <v>1.1200716845878136</v>
      </c>
      <c r="K69" s="184">
        <f t="shared" si="20"/>
        <v>1.0300782859497322</v>
      </c>
      <c r="L69" s="184">
        <f t="shared" si="20"/>
        <v>1.1200716845878136</v>
      </c>
      <c r="M69" s="184">
        <f t="shared" si="20"/>
        <v>1.0787486515641855</v>
      </c>
      <c r="N69" s="184">
        <f>N67/N68*1</f>
        <v>1.0305028854080791</v>
      </c>
      <c r="O69" s="184">
        <f t="shared" si="20"/>
        <v>1.1715089034676665</v>
      </c>
      <c r="P69" s="184">
        <f t="shared" si="20"/>
        <v>1.044932079414838</v>
      </c>
      <c r="Q69" s="184">
        <f t="shared" si="20"/>
        <v>1.030290541932825</v>
      </c>
      <c r="R69" s="184">
        <f t="shared" si="20"/>
        <v>1.0199918400652794</v>
      </c>
      <c r="S69" s="184">
        <f t="shared" si="20"/>
        <v>1.0305028854080791</v>
      </c>
      <c r="T69" s="227">
        <f t="shared" si="20"/>
        <v>1.0508617065994115</v>
      </c>
      <c r="U69" s="187">
        <f>U67/U68</f>
        <v>1.059378145028868</v>
      </c>
    </row>
    <row r="70" spans="1:21" ht="17.100000000000001" customHeight="1" thickBot="1">
      <c r="A70" s="415">
        <v>8</v>
      </c>
      <c r="B70" s="374" t="s">
        <v>81</v>
      </c>
      <c r="C70" s="399" t="s">
        <v>82</v>
      </c>
      <c r="D70" s="399" t="s">
        <v>83</v>
      </c>
      <c r="E70" s="409" t="s">
        <v>84</v>
      </c>
      <c r="F70" s="437" t="s">
        <v>85</v>
      </c>
      <c r="G70" s="228">
        <v>1</v>
      </c>
      <c r="H70" s="150" t="s">
        <v>23</v>
      </c>
      <c r="I70" s="229">
        <v>1</v>
      </c>
      <c r="J70" s="229">
        <v>1</v>
      </c>
      <c r="K70" s="229">
        <v>1</v>
      </c>
      <c r="L70" s="229">
        <v>1</v>
      </c>
      <c r="M70" s="229">
        <v>1</v>
      </c>
      <c r="N70" s="229">
        <v>1</v>
      </c>
      <c r="O70" s="229">
        <v>1</v>
      </c>
      <c r="P70" s="229">
        <v>1</v>
      </c>
      <c r="Q70" s="229">
        <v>1</v>
      </c>
      <c r="R70" s="229">
        <v>1</v>
      </c>
      <c r="S70" s="229">
        <v>1</v>
      </c>
      <c r="T70" s="229">
        <v>1</v>
      </c>
      <c r="U70" s="230">
        <f>AVERAGE(I70:T70)</f>
        <v>1</v>
      </c>
    </row>
    <row r="71" spans="1:21" ht="17.100000000000001" customHeight="1" thickBot="1">
      <c r="A71" s="415"/>
      <c r="B71" s="368"/>
      <c r="C71" s="400"/>
      <c r="D71" s="400"/>
      <c r="E71" s="363"/>
      <c r="F71" s="365"/>
      <c r="G71" s="231">
        <v>1</v>
      </c>
      <c r="H71" s="154" t="s">
        <v>24</v>
      </c>
      <c r="I71" s="231">
        <v>1</v>
      </c>
      <c r="J71" s="231">
        <v>1</v>
      </c>
      <c r="K71" s="231">
        <v>1</v>
      </c>
      <c r="L71" s="231">
        <v>1</v>
      </c>
      <c r="M71" s="231">
        <v>1</v>
      </c>
      <c r="N71" s="231">
        <v>1</v>
      </c>
      <c r="O71" s="231">
        <v>1</v>
      </c>
      <c r="P71" s="231">
        <v>1</v>
      </c>
      <c r="Q71" s="231">
        <v>1</v>
      </c>
      <c r="R71" s="231">
        <v>1</v>
      </c>
      <c r="S71" s="231">
        <v>1</v>
      </c>
      <c r="T71" s="231">
        <v>1</v>
      </c>
      <c r="U71" s="232">
        <f>AVERAGE(I71:T71)</f>
        <v>1</v>
      </c>
    </row>
    <row r="72" spans="1:21" ht="17.100000000000001" customHeight="1" thickBot="1">
      <c r="A72" s="415"/>
      <c r="B72" s="368"/>
      <c r="C72" s="390"/>
      <c r="D72" s="390"/>
      <c r="E72" s="444"/>
      <c r="F72" s="366"/>
      <c r="G72" s="158">
        <v>1</v>
      </c>
      <c r="H72" s="159" t="s">
        <v>25</v>
      </c>
      <c r="I72" s="158">
        <f t="shared" ref="I72:U72" si="21">I71/I70*1</f>
        <v>1</v>
      </c>
      <c r="J72" s="158">
        <f t="shared" si="21"/>
        <v>1</v>
      </c>
      <c r="K72" s="158">
        <f t="shared" si="21"/>
        <v>1</v>
      </c>
      <c r="L72" s="158">
        <f t="shared" si="21"/>
        <v>1</v>
      </c>
      <c r="M72" s="158">
        <f t="shared" si="21"/>
        <v>1</v>
      </c>
      <c r="N72" s="158">
        <f t="shared" si="21"/>
        <v>1</v>
      </c>
      <c r="O72" s="158">
        <f t="shared" si="21"/>
        <v>1</v>
      </c>
      <c r="P72" s="158">
        <f t="shared" si="21"/>
        <v>1</v>
      </c>
      <c r="Q72" s="158">
        <f t="shared" si="21"/>
        <v>1</v>
      </c>
      <c r="R72" s="158">
        <f t="shared" si="21"/>
        <v>1</v>
      </c>
      <c r="S72" s="158">
        <f t="shared" si="21"/>
        <v>1</v>
      </c>
      <c r="T72" s="160">
        <f t="shared" si="21"/>
        <v>1</v>
      </c>
      <c r="U72" s="161">
        <f t="shared" si="21"/>
        <v>1</v>
      </c>
    </row>
    <row r="73" spans="1:21" ht="17.100000000000001" customHeight="1" thickBot="1">
      <c r="A73" s="415"/>
      <c r="B73" s="368"/>
      <c r="C73" s="389" t="s">
        <v>86</v>
      </c>
      <c r="D73" s="389" t="s">
        <v>44</v>
      </c>
      <c r="E73" s="363" t="s">
        <v>84</v>
      </c>
      <c r="F73" s="405" t="s">
        <v>87</v>
      </c>
      <c r="G73" s="149">
        <v>27</v>
      </c>
      <c r="H73" s="150" t="s">
        <v>23</v>
      </c>
      <c r="I73" s="151">
        <v>2</v>
      </c>
      <c r="J73" s="151">
        <v>2</v>
      </c>
      <c r="K73" s="151">
        <v>2</v>
      </c>
      <c r="L73" s="151">
        <v>2</v>
      </c>
      <c r="M73" s="151">
        <v>2</v>
      </c>
      <c r="N73" s="151">
        <v>2</v>
      </c>
      <c r="O73" s="151">
        <v>3</v>
      </c>
      <c r="P73" s="151">
        <v>2</v>
      </c>
      <c r="Q73" s="151">
        <v>3</v>
      </c>
      <c r="R73" s="151">
        <v>2</v>
      </c>
      <c r="S73" s="151">
        <v>3</v>
      </c>
      <c r="T73" s="162">
        <v>2</v>
      </c>
      <c r="U73" s="152">
        <f>SUM(I73:T73)</f>
        <v>27</v>
      </c>
    </row>
    <row r="74" spans="1:21" ht="17.100000000000001" customHeight="1" thickBot="1">
      <c r="A74" s="415"/>
      <c r="B74" s="368"/>
      <c r="C74" s="400"/>
      <c r="D74" s="400"/>
      <c r="E74" s="363"/>
      <c r="F74" s="402"/>
      <c r="G74" s="149">
        <v>27</v>
      </c>
      <c r="H74" s="233" t="s">
        <v>24</v>
      </c>
      <c r="I74" s="155">
        <v>2</v>
      </c>
      <c r="J74" s="155">
        <v>2</v>
      </c>
      <c r="K74" s="155">
        <v>2</v>
      </c>
      <c r="L74" s="155">
        <v>2</v>
      </c>
      <c r="M74" s="155">
        <v>2</v>
      </c>
      <c r="N74" s="155">
        <v>2</v>
      </c>
      <c r="O74" s="155">
        <v>2</v>
      </c>
      <c r="P74" s="155">
        <v>2</v>
      </c>
      <c r="Q74" s="155">
        <v>3</v>
      </c>
      <c r="R74" s="155">
        <v>2</v>
      </c>
      <c r="S74" s="155">
        <v>2</v>
      </c>
      <c r="T74" s="156">
        <v>2</v>
      </c>
      <c r="U74" s="157">
        <f>SUM(I74:T74)</f>
        <v>25</v>
      </c>
    </row>
    <row r="75" spans="1:21" ht="17.100000000000001" customHeight="1" thickBot="1">
      <c r="A75" s="415"/>
      <c r="B75" s="408"/>
      <c r="C75" s="406"/>
      <c r="D75" s="406"/>
      <c r="E75" s="410"/>
      <c r="F75" s="407"/>
      <c r="G75" s="198">
        <v>1</v>
      </c>
      <c r="H75" s="234" t="s">
        <v>25</v>
      </c>
      <c r="I75" s="198">
        <f t="shared" ref="I75:U75" si="22">I74/I73*1</f>
        <v>1</v>
      </c>
      <c r="J75" s="198">
        <f t="shared" si="22"/>
        <v>1</v>
      </c>
      <c r="K75" s="198">
        <f t="shared" si="22"/>
        <v>1</v>
      </c>
      <c r="L75" s="198">
        <f t="shared" si="22"/>
        <v>1</v>
      </c>
      <c r="M75" s="198">
        <f t="shared" si="22"/>
        <v>1</v>
      </c>
      <c r="N75" s="198">
        <f t="shared" si="22"/>
        <v>1</v>
      </c>
      <c r="O75" s="198">
        <f t="shared" si="22"/>
        <v>0.66666666666666663</v>
      </c>
      <c r="P75" s="198">
        <f t="shared" si="22"/>
        <v>1</v>
      </c>
      <c r="Q75" s="198">
        <f t="shared" si="22"/>
        <v>1</v>
      </c>
      <c r="R75" s="198">
        <f t="shared" si="22"/>
        <v>1</v>
      </c>
      <c r="S75" s="198">
        <f t="shared" si="22"/>
        <v>0.66666666666666663</v>
      </c>
      <c r="T75" s="199">
        <f t="shared" si="22"/>
        <v>1</v>
      </c>
      <c r="U75" s="200">
        <f t="shared" si="22"/>
        <v>0.92592592592592593</v>
      </c>
    </row>
    <row r="76" spans="1:21" ht="15" customHeight="1" thickBot="1">
      <c r="A76" s="441">
        <v>9</v>
      </c>
      <c r="B76" s="368" t="s">
        <v>88</v>
      </c>
      <c r="C76" s="368" t="s">
        <v>89</v>
      </c>
      <c r="D76" s="368" t="s">
        <v>29</v>
      </c>
      <c r="E76" s="363" t="s">
        <v>84</v>
      </c>
      <c r="F76" s="365" t="s">
        <v>90</v>
      </c>
      <c r="G76" s="235">
        <v>12</v>
      </c>
      <c r="H76" s="236" t="s">
        <v>23</v>
      </c>
      <c r="I76" s="237">
        <v>1</v>
      </c>
      <c r="J76" s="237">
        <v>1</v>
      </c>
      <c r="K76" s="237">
        <v>1</v>
      </c>
      <c r="L76" s="237">
        <v>1</v>
      </c>
      <c r="M76" s="237">
        <v>1</v>
      </c>
      <c r="N76" s="237">
        <v>1</v>
      </c>
      <c r="O76" s="237">
        <v>1</v>
      </c>
      <c r="P76" s="237">
        <v>1</v>
      </c>
      <c r="Q76" s="237">
        <v>1</v>
      </c>
      <c r="R76" s="237">
        <v>1</v>
      </c>
      <c r="S76" s="237">
        <v>1</v>
      </c>
      <c r="T76" s="237">
        <v>1</v>
      </c>
      <c r="U76" s="152">
        <f>SUM(I76:T76)</f>
        <v>12</v>
      </c>
    </row>
    <row r="77" spans="1:21" ht="15" customHeight="1" thickBot="1">
      <c r="A77" s="442"/>
      <c r="B77" s="368"/>
      <c r="C77" s="368"/>
      <c r="D77" s="368"/>
      <c r="E77" s="363"/>
      <c r="F77" s="365"/>
      <c r="G77" s="231">
        <v>12</v>
      </c>
      <c r="H77" s="233" t="s">
        <v>24</v>
      </c>
      <c r="I77" s="238">
        <v>1</v>
      </c>
      <c r="J77" s="238">
        <v>1</v>
      </c>
      <c r="K77" s="238">
        <v>1</v>
      </c>
      <c r="L77" s="238">
        <v>1</v>
      </c>
      <c r="M77" s="238">
        <v>1</v>
      </c>
      <c r="N77" s="238">
        <v>1</v>
      </c>
      <c r="O77" s="238">
        <v>1</v>
      </c>
      <c r="P77" s="238">
        <v>1</v>
      </c>
      <c r="Q77" s="238">
        <v>1</v>
      </c>
      <c r="R77" s="238">
        <v>1</v>
      </c>
      <c r="S77" s="238">
        <v>1</v>
      </c>
      <c r="T77" s="238">
        <v>1</v>
      </c>
      <c r="U77" s="157">
        <f>SUM(I77:T77)</f>
        <v>12</v>
      </c>
    </row>
    <row r="78" spans="1:21" ht="15" customHeight="1" thickBot="1">
      <c r="A78" s="442"/>
      <c r="B78" s="408"/>
      <c r="C78" s="408"/>
      <c r="D78" s="408"/>
      <c r="E78" s="410"/>
      <c r="F78" s="443"/>
      <c r="G78" s="158">
        <v>1</v>
      </c>
      <c r="H78" s="234" t="s">
        <v>25</v>
      </c>
      <c r="I78" s="198">
        <f t="shared" ref="I78:U78" si="23">I77/I76*1</f>
        <v>1</v>
      </c>
      <c r="J78" s="198">
        <f t="shared" si="23"/>
        <v>1</v>
      </c>
      <c r="K78" s="198">
        <f t="shared" si="23"/>
        <v>1</v>
      </c>
      <c r="L78" s="198">
        <f t="shared" si="23"/>
        <v>1</v>
      </c>
      <c r="M78" s="198">
        <f t="shared" si="23"/>
        <v>1</v>
      </c>
      <c r="N78" s="198">
        <f t="shared" si="23"/>
        <v>1</v>
      </c>
      <c r="O78" s="198">
        <f t="shared" si="23"/>
        <v>1</v>
      </c>
      <c r="P78" s="198">
        <f t="shared" si="23"/>
        <v>1</v>
      </c>
      <c r="Q78" s="198">
        <f t="shared" si="23"/>
        <v>1</v>
      </c>
      <c r="R78" s="198">
        <f t="shared" si="23"/>
        <v>1</v>
      </c>
      <c r="S78" s="198">
        <f t="shared" si="23"/>
        <v>1</v>
      </c>
      <c r="T78" s="199">
        <f t="shared" si="23"/>
        <v>1</v>
      </c>
      <c r="U78" s="200">
        <f t="shared" si="23"/>
        <v>1</v>
      </c>
    </row>
    <row r="82" spans="9:20">
      <c r="I82" s="1">
        <v>0.98</v>
      </c>
      <c r="J82" s="1">
        <v>0.95</v>
      </c>
      <c r="K82" s="1">
        <v>0.97</v>
      </c>
      <c r="L82" s="1">
        <v>0.98</v>
      </c>
      <c r="M82" s="1">
        <v>0.99009900990099009</v>
      </c>
      <c r="N82" s="1">
        <v>0.89285714285714268</v>
      </c>
      <c r="O82" s="1">
        <v>0.970873786407767</v>
      </c>
      <c r="P82" s="1">
        <v>0.89285714285714268</v>
      </c>
      <c r="Q82" s="1">
        <v>0.95238095238095233</v>
      </c>
      <c r="R82" s="1">
        <v>0.93457943925233644</v>
      </c>
      <c r="S82" s="1">
        <v>0.87719298245614052</v>
      </c>
      <c r="T82" s="1">
        <v>0.86956521739130432</v>
      </c>
    </row>
    <row r="83" spans="9:20">
      <c r="I83" s="120">
        <f>I82*I$61</f>
        <v>7014593.432</v>
      </c>
      <c r="J83" s="120">
        <f>J82*J$61</f>
        <v>14610999.810000001</v>
      </c>
      <c r="K83" s="120">
        <f>K82*K$61</f>
        <v>23455520.627</v>
      </c>
      <c r="L83" s="120">
        <f>L82*L$61</f>
        <v>55912027.710000001</v>
      </c>
      <c r="M83" s="103"/>
      <c r="N83" s="103"/>
    </row>
    <row r="84" spans="9:20">
      <c r="I84" s="1">
        <v>0.1</v>
      </c>
      <c r="J84" s="1">
        <v>0.1</v>
      </c>
      <c r="K84" s="1">
        <v>0.1</v>
      </c>
      <c r="L84" s="1">
        <v>0.1</v>
      </c>
      <c r="M84" s="1">
        <v>0.1</v>
      </c>
      <c r="N84" s="1">
        <v>0.1</v>
      </c>
      <c r="O84" s="1">
        <v>0.1</v>
      </c>
      <c r="P84" s="1">
        <v>0.1</v>
      </c>
      <c r="Q84" s="1">
        <v>0.1</v>
      </c>
      <c r="R84" s="1">
        <v>0.1</v>
      </c>
      <c r="S84" s="1">
        <v>0.1</v>
      </c>
      <c r="T84" s="1">
        <v>0.1</v>
      </c>
    </row>
    <row r="85" spans="9:20">
      <c r="I85" s="120">
        <f>I84*I$61+I$61</f>
        <v>7873523.2400000002</v>
      </c>
      <c r="J85" s="120">
        <f t="shared" ref="J85:T85" si="24">J84*J$61+J$61</f>
        <v>16917999.780000001</v>
      </c>
      <c r="K85" s="120">
        <f t="shared" si="24"/>
        <v>26599044.010000002</v>
      </c>
      <c r="L85" s="120">
        <f t="shared" si="24"/>
        <v>62758398.450000003</v>
      </c>
      <c r="M85" s="120">
        <f t="shared" si="24"/>
        <v>9554640.5515000001</v>
      </c>
      <c r="N85" s="120">
        <f t="shared" si="24"/>
        <v>30056248.205500003</v>
      </c>
      <c r="O85" s="120">
        <f t="shared" si="24"/>
        <v>19190427.320899997</v>
      </c>
      <c r="P85" s="120">
        <f t="shared" si="24"/>
        <v>24291273.639600001</v>
      </c>
      <c r="Q85" s="120">
        <f t="shared" si="24"/>
        <v>43915293.727799997</v>
      </c>
      <c r="R85" s="120">
        <f t="shared" si="24"/>
        <v>44522563.772500001</v>
      </c>
      <c r="S85" s="120">
        <f t="shared" si="24"/>
        <v>12257104.500299999</v>
      </c>
      <c r="T85" s="120">
        <f t="shared" si="24"/>
        <v>10563970.497300001</v>
      </c>
    </row>
    <row r="87" spans="9:20">
      <c r="I87" s="1">
        <v>1</v>
      </c>
      <c r="J87" s="1">
        <v>0.98</v>
      </c>
      <c r="K87" s="1">
        <v>1</v>
      </c>
      <c r="L87" s="1">
        <v>1</v>
      </c>
      <c r="M87" s="1">
        <v>0.99009900990099009</v>
      </c>
      <c r="N87" s="1">
        <v>1</v>
      </c>
      <c r="O87" s="1">
        <v>1</v>
      </c>
      <c r="P87" s="1">
        <v>1</v>
      </c>
      <c r="Q87" s="1">
        <v>0.95238095238095233</v>
      </c>
      <c r="R87" s="1">
        <v>0.93457943925233644</v>
      </c>
      <c r="S87" s="1">
        <v>1</v>
      </c>
      <c r="T87" s="1">
        <v>1</v>
      </c>
    </row>
    <row r="88" spans="9:20">
      <c r="I88" s="1">
        <v>0.10100000000000001</v>
      </c>
      <c r="J88" s="1">
        <v>0.10100000000000001</v>
      </c>
      <c r="K88" s="1">
        <v>0.10100000000000001</v>
      </c>
      <c r="L88" s="1">
        <v>0.10100000000000001</v>
      </c>
      <c r="M88" s="1">
        <v>0.10100000000000001</v>
      </c>
      <c r="N88" s="1">
        <v>0.10100000000000001</v>
      </c>
      <c r="O88" s="1">
        <v>0.10100000000000001</v>
      </c>
      <c r="P88" s="1">
        <v>0.10100000000000001</v>
      </c>
      <c r="Q88" s="1">
        <v>0.10100000000000001</v>
      </c>
      <c r="R88" s="1">
        <v>0.10100000000000001</v>
      </c>
      <c r="S88" s="1">
        <v>0.10100000000000001</v>
      </c>
      <c r="T88" s="1">
        <v>0.10100000000000001</v>
      </c>
    </row>
    <row r="89" spans="9:20">
      <c r="I89" s="120">
        <f>I88*I$62+I$62</f>
        <v>7723067.3686319999</v>
      </c>
      <c r="J89" s="120">
        <f t="shared" ref="J89:T89" si="25">J88*J$62+J$62</f>
        <v>16086710.79081</v>
      </c>
      <c r="K89" s="120">
        <f t="shared" si="25"/>
        <v>25824528.210326999</v>
      </c>
      <c r="L89" s="120">
        <f t="shared" si="25"/>
        <v>61559142.508710004</v>
      </c>
      <c r="M89" s="120">
        <f t="shared" si="25"/>
        <v>9437007.9059999995</v>
      </c>
      <c r="N89" s="120">
        <f t="shared" si="25"/>
        <v>30083572.061999999</v>
      </c>
      <c r="O89" s="120">
        <f t="shared" si="25"/>
        <v>19119847.092</v>
      </c>
      <c r="P89" s="120">
        <f t="shared" si="25"/>
        <v>24313356.576000001</v>
      </c>
      <c r="Q89" s="120">
        <f t="shared" si="25"/>
        <v>43955216.394000001</v>
      </c>
      <c r="R89" s="120">
        <f t="shared" si="25"/>
        <v>44508879.567000002</v>
      </c>
      <c r="S89" s="120">
        <f t="shared" si="25"/>
        <v>12248429.022</v>
      </c>
      <c r="T89" s="120">
        <f t="shared" si="25"/>
        <v>10573574.609999999</v>
      </c>
    </row>
  </sheetData>
  <mergeCells count="113">
    <mergeCell ref="G5:G6"/>
    <mergeCell ref="A76:A78"/>
    <mergeCell ref="B76:B78"/>
    <mergeCell ref="C76:C78"/>
    <mergeCell ref="D76:D78"/>
    <mergeCell ref="E76:E78"/>
    <mergeCell ref="F76:F78"/>
    <mergeCell ref="A70:A75"/>
    <mergeCell ref="B70:B75"/>
    <mergeCell ref="C70:C72"/>
    <mergeCell ref="D70:D72"/>
    <mergeCell ref="E70:E72"/>
    <mergeCell ref="F70:F72"/>
    <mergeCell ref="C73:C75"/>
    <mergeCell ref="D73:D75"/>
    <mergeCell ref="E73:E75"/>
    <mergeCell ref="F73:F75"/>
    <mergeCell ref="E58:E60"/>
    <mergeCell ref="F58:F60"/>
    <mergeCell ref="A61:A63"/>
    <mergeCell ref="B61:B63"/>
    <mergeCell ref="C61:C63"/>
    <mergeCell ref="D61:D63"/>
    <mergeCell ref="E61:E63"/>
    <mergeCell ref="F61:F63"/>
    <mergeCell ref="A67:A69"/>
    <mergeCell ref="B67:B69"/>
    <mergeCell ref="C67:C69"/>
    <mergeCell ref="D67:D69"/>
    <mergeCell ref="E67:E69"/>
    <mergeCell ref="F67:F69"/>
    <mergeCell ref="A64:A66"/>
    <mergeCell ref="B64:B66"/>
    <mergeCell ref="C64:C66"/>
    <mergeCell ref="D64:D66"/>
    <mergeCell ref="E64:E66"/>
    <mergeCell ref="F64:F66"/>
    <mergeCell ref="A43:A48"/>
    <mergeCell ref="B43:B48"/>
    <mergeCell ref="C43:C45"/>
    <mergeCell ref="D43:D48"/>
    <mergeCell ref="E43:E48"/>
    <mergeCell ref="F43:F45"/>
    <mergeCell ref="E52:E54"/>
    <mergeCell ref="F52:F54"/>
    <mergeCell ref="C55:C57"/>
    <mergeCell ref="D55:D57"/>
    <mergeCell ref="E55:E57"/>
    <mergeCell ref="F55:F57"/>
    <mergeCell ref="C46:C48"/>
    <mergeCell ref="F46:F48"/>
    <mergeCell ref="A49:A60"/>
    <mergeCell ref="B49:B60"/>
    <mergeCell ref="C49:C51"/>
    <mergeCell ref="D49:D51"/>
    <mergeCell ref="E49:E51"/>
    <mergeCell ref="F49:F51"/>
    <mergeCell ref="C52:C54"/>
    <mergeCell ref="D52:D54"/>
    <mergeCell ref="C58:C60"/>
    <mergeCell ref="D58:D60"/>
    <mergeCell ref="C37:C39"/>
    <mergeCell ref="D37:D39"/>
    <mergeCell ref="E37:E39"/>
    <mergeCell ref="F37:F39"/>
    <mergeCell ref="A28:A42"/>
    <mergeCell ref="B28:B42"/>
    <mergeCell ref="C28:C30"/>
    <mergeCell ref="D28:D30"/>
    <mergeCell ref="E28:E30"/>
    <mergeCell ref="F28:F30"/>
    <mergeCell ref="C31:C33"/>
    <mergeCell ref="D31:D33"/>
    <mergeCell ref="E31:E33"/>
    <mergeCell ref="F31:F33"/>
    <mergeCell ref="C40:C42"/>
    <mergeCell ref="D40:D42"/>
    <mergeCell ref="E40:E42"/>
    <mergeCell ref="F40:F42"/>
    <mergeCell ref="E16:E18"/>
    <mergeCell ref="F16:F18"/>
    <mergeCell ref="C19:C21"/>
    <mergeCell ref="D19:D21"/>
    <mergeCell ref="E19:E21"/>
    <mergeCell ref="F19:F21"/>
    <mergeCell ref="C34:C36"/>
    <mergeCell ref="D34:D36"/>
    <mergeCell ref="E34:E36"/>
    <mergeCell ref="F34:F36"/>
    <mergeCell ref="E10:E12"/>
    <mergeCell ref="F10:F12"/>
    <mergeCell ref="C13:C15"/>
    <mergeCell ref="D13:D15"/>
    <mergeCell ref="E13:E15"/>
    <mergeCell ref="F13:F15"/>
    <mergeCell ref="A7:A27"/>
    <mergeCell ref="B7:B27"/>
    <mergeCell ref="C7:C9"/>
    <mergeCell ref="D7:D9"/>
    <mergeCell ref="E7:E9"/>
    <mergeCell ref="F7:F9"/>
    <mergeCell ref="C10:C12"/>
    <mergeCell ref="D10:D12"/>
    <mergeCell ref="C22:C24"/>
    <mergeCell ref="D22:D24"/>
    <mergeCell ref="E22:E24"/>
    <mergeCell ref="F22:F24"/>
    <mergeCell ref="C25:C27"/>
    <mergeCell ref="D25:D27"/>
    <mergeCell ref="E25:E27"/>
    <mergeCell ref="F25:F27"/>
    <mergeCell ref="C16:C18"/>
    <mergeCell ref="D16:D18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89"/>
  <sheetViews>
    <sheetView showGridLines="0" topLeftCell="A3" zoomScale="85" zoomScaleNormal="85" workbookViewId="0">
      <selection activeCell="U22" sqref="U22:U23"/>
    </sheetView>
  </sheetViews>
  <sheetFormatPr defaultRowHeight="15"/>
  <cols>
    <col min="1" max="1" width="5.42578125" style="1" bestFit="1" customWidth="1"/>
    <col min="2" max="2" width="14.140625" style="1" bestFit="1" customWidth="1"/>
    <col min="3" max="3" width="26.140625" style="1" customWidth="1"/>
    <col min="4" max="4" width="11.28515625" style="1" bestFit="1" customWidth="1"/>
    <col min="5" max="5" width="14.140625" style="1" customWidth="1"/>
    <col min="6" max="6" width="32.42578125" style="1" bestFit="1" customWidth="1"/>
    <col min="7" max="7" width="10.7109375" style="1" customWidth="1"/>
    <col min="8" max="21" width="11.140625" style="1" customWidth="1"/>
    <col min="22" max="22" width="13" style="1" bestFit="1" customWidth="1"/>
    <col min="23" max="30" width="9.7109375" style="1" customWidth="1"/>
    <col min="31" max="16384" width="9.140625" style="1"/>
  </cols>
  <sheetData>
    <row r="2" spans="1:24" ht="16.5" customHeight="1">
      <c r="A2" s="121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04" t="s">
        <v>1</v>
      </c>
      <c r="T2" s="104" t="s">
        <v>2</v>
      </c>
      <c r="U2" s="104" t="s">
        <v>3</v>
      </c>
      <c r="V2" s="124"/>
    </row>
    <row r="3" spans="1:24" ht="30.75" customHeight="1">
      <c r="A3" s="121"/>
      <c r="B3" s="121" t="s">
        <v>244</v>
      </c>
      <c r="C3" s="121"/>
      <c r="D3" s="121"/>
      <c r="E3" s="121"/>
      <c r="F3" s="121"/>
      <c r="G3" s="121"/>
      <c r="H3" s="121"/>
      <c r="I3" s="121"/>
      <c r="J3" s="239"/>
      <c r="K3" s="121"/>
      <c r="L3" s="121"/>
      <c r="M3" s="121"/>
      <c r="N3" s="121"/>
      <c r="O3" s="121"/>
      <c r="P3" s="121"/>
      <c r="Q3" s="121"/>
      <c r="R3" s="121"/>
      <c r="S3" s="126" t="s">
        <v>243</v>
      </c>
      <c r="T3" s="135"/>
      <c r="U3" s="126" t="s">
        <v>245</v>
      </c>
      <c r="V3" s="125"/>
    </row>
    <row r="4" spans="1:24" ht="24.95" customHeight="1" thickBot="1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</row>
    <row r="5" spans="1:24" s="105" customFormat="1" ht="17.100000000000001" customHeight="1" thickBot="1">
      <c r="A5" s="137" t="s">
        <v>180</v>
      </c>
      <c r="B5" s="138" t="s">
        <v>8</v>
      </c>
      <c r="C5" s="138" t="s">
        <v>9</v>
      </c>
      <c r="D5" s="138" t="s">
        <v>10</v>
      </c>
      <c r="E5" s="138" t="s">
        <v>11</v>
      </c>
      <c r="F5" s="139" t="s">
        <v>12</v>
      </c>
      <c r="G5" s="439" t="s">
        <v>246</v>
      </c>
      <c r="H5" s="140" t="s">
        <v>247</v>
      </c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2"/>
    </row>
    <row r="6" spans="1:24" s="105" customFormat="1" ht="30" customHeight="1" thickBot="1">
      <c r="A6" s="143"/>
      <c r="B6" s="144"/>
      <c r="C6" s="144"/>
      <c r="D6" s="144"/>
      <c r="E6" s="144"/>
      <c r="F6" s="145"/>
      <c r="G6" s="440"/>
      <c r="H6" s="146" t="s">
        <v>16</v>
      </c>
      <c r="I6" s="147">
        <v>44927</v>
      </c>
      <c r="J6" s="147">
        <v>44958</v>
      </c>
      <c r="K6" s="147">
        <v>44986</v>
      </c>
      <c r="L6" s="147">
        <v>45017</v>
      </c>
      <c r="M6" s="147">
        <v>45047</v>
      </c>
      <c r="N6" s="147">
        <v>45078</v>
      </c>
      <c r="O6" s="147">
        <v>45108</v>
      </c>
      <c r="P6" s="147">
        <v>45139</v>
      </c>
      <c r="Q6" s="147">
        <v>45170</v>
      </c>
      <c r="R6" s="147">
        <v>45200</v>
      </c>
      <c r="S6" s="147">
        <v>45231</v>
      </c>
      <c r="T6" s="147">
        <v>45261</v>
      </c>
      <c r="U6" s="148" t="s">
        <v>17</v>
      </c>
    </row>
    <row r="7" spans="1:24" ht="17.100000000000001" customHeight="1">
      <c r="A7" s="371">
        <v>1</v>
      </c>
      <c r="B7" s="374" t="s">
        <v>186</v>
      </c>
      <c r="C7" s="377" t="s">
        <v>187</v>
      </c>
      <c r="D7" s="388" t="s">
        <v>93</v>
      </c>
      <c r="E7" s="362" t="s">
        <v>188</v>
      </c>
      <c r="F7" s="378" t="s">
        <v>189</v>
      </c>
      <c r="G7" s="149">
        <v>0</v>
      </c>
      <c r="H7" s="150" t="s">
        <v>23</v>
      </c>
      <c r="I7" s="149">
        <v>0</v>
      </c>
      <c r="J7" s="149">
        <v>0</v>
      </c>
      <c r="K7" s="149">
        <v>0</v>
      </c>
      <c r="L7" s="149">
        <v>0</v>
      </c>
      <c r="M7" s="149">
        <v>0</v>
      </c>
      <c r="N7" s="149">
        <v>0</v>
      </c>
      <c r="O7" s="149">
        <v>0</v>
      </c>
      <c r="P7" s="149">
        <v>0</v>
      </c>
      <c r="Q7" s="149">
        <v>0</v>
      </c>
      <c r="R7" s="149">
        <v>0</v>
      </c>
      <c r="S7" s="149">
        <v>0</v>
      </c>
      <c r="T7" s="149">
        <v>0</v>
      </c>
      <c r="U7" s="152">
        <f>SUM(I7:T7)</f>
        <v>0</v>
      </c>
    </row>
    <row r="8" spans="1:24" ht="17.100000000000001" customHeight="1">
      <c r="A8" s="372"/>
      <c r="B8" s="368"/>
      <c r="C8" s="368"/>
      <c r="D8" s="400"/>
      <c r="E8" s="363"/>
      <c r="F8" s="365"/>
      <c r="G8" s="153">
        <v>0</v>
      </c>
      <c r="H8" s="154" t="s">
        <v>24</v>
      </c>
      <c r="I8" s="153">
        <v>0</v>
      </c>
      <c r="J8" s="153">
        <v>0</v>
      </c>
      <c r="K8" s="153">
        <v>0</v>
      </c>
      <c r="L8" s="153">
        <v>0</v>
      </c>
      <c r="M8" s="153">
        <v>0</v>
      </c>
      <c r="N8" s="153">
        <v>0</v>
      </c>
      <c r="O8" s="153">
        <v>0</v>
      </c>
      <c r="P8" s="153">
        <v>0</v>
      </c>
      <c r="Q8" s="153">
        <v>0</v>
      </c>
      <c r="R8" s="153">
        <v>0</v>
      </c>
      <c r="S8" s="153">
        <v>0</v>
      </c>
      <c r="T8" s="153">
        <v>0</v>
      </c>
      <c r="U8" s="157">
        <f>SUM(I8:T8)</f>
        <v>0</v>
      </c>
    </row>
    <row r="9" spans="1:24" ht="17.100000000000001" customHeight="1">
      <c r="A9" s="372"/>
      <c r="B9" s="368"/>
      <c r="C9" s="368"/>
      <c r="D9" s="390"/>
      <c r="E9" s="363"/>
      <c r="F9" s="365"/>
      <c r="G9" s="158" t="e">
        <v>#DIV/0!</v>
      </c>
      <c r="H9" s="159" t="s">
        <v>25</v>
      </c>
      <c r="I9" s="158" t="e">
        <f t="shared" ref="I9:U9" si="0">I7/I8*1</f>
        <v>#DIV/0!</v>
      </c>
      <c r="J9" s="158" t="e">
        <f t="shared" si="0"/>
        <v>#DIV/0!</v>
      </c>
      <c r="K9" s="158" t="e">
        <f t="shared" si="0"/>
        <v>#DIV/0!</v>
      </c>
      <c r="L9" s="158" t="e">
        <f t="shared" si="0"/>
        <v>#DIV/0!</v>
      </c>
      <c r="M9" s="158" t="e">
        <f t="shared" si="0"/>
        <v>#DIV/0!</v>
      </c>
      <c r="N9" s="158" t="e">
        <f t="shared" si="0"/>
        <v>#DIV/0!</v>
      </c>
      <c r="O9" s="158" t="e">
        <f t="shared" si="0"/>
        <v>#DIV/0!</v>
      </c>
      <c r="P9" s="158" t="e">
        <f t="shared" si="0"/>
        <v>#DIV/0!</v>
      </c>
      <c r="Q9" s="158" t="e">
        <f t="shared" si="0"/>
        <v>#DIV/0!</v>
      </c>
      <c r="R9" s="158" t="e">
        <f t="shared" si="0"/>
        <v>#DIV/0!</v>
      </c>
      <c r="S9" s="158" t="e">
        <f t="shared" si="0"/>
        <v>#DIV/0!</v>
      </c>
      <c r="T9" s="160" t="e">
        <f t="shared" si="0"/>
        <v>#DIV/0!</v>
      </c>
      <c r="U9" s="161" t="e">
        <f t="shared" si="0"/>
        <v>#DIV/0!</v>
      </c>
    </row>
    <row r="10" spans="1:24" ht="17.100000000000001" customHeight="1">
      <c r="A10" s="372"/>
      <c r="B10" s="368"/>
      <c r="C10" s="388" t="s">
        <v>190</v>
      </c>
      <c r="D10" s="388" t="s">
        <v>93</v>
      </c>
      <c r="E10" s="362" t="s">
        <v>21</v>
      </c>
      <c r="F10" s="364" t="s">
        <v>191</v>
      </c>
      <c r="G10" s="149">
        <v>0</v>
      </c>
      <c r="H10" s="150" t="s">
        <v>23</v>
      </c>
      <c r="I10" s="149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62"/>
      <c r="U10" s="152">
        <f>SUM(I10:T10)</f>
        <v>0</v>
      </c>
    </row>
    <row r="11" spans="1:24" ht="17.100000000000001" customHeight="1">
      <c r="A11" s="372"/>
      <c r="B11" s="368"/>
      <c r="C11" s="400"/>
      <c r="D11" s="400"/>
      <c r="E11" s="363"/>
      <c r="F11" s="365"/>
      <c r="G11" s="153">
        <v>0</v>
      </c>
      <c r="H11" s="154" t="s">
        <v>24</v>
      </c>
      <c r="I11" s="153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6"/>
      <c r="U11" s="157">
        <f>SUM(I11:T11)</f>
        <v>0</v>
      </c>
    </row>
    <row r="12" spans="1:24" ht="17.100000000000001" customHeight="1">
      <c r="A12" s="372"/>
      <c r="B12" s="368"/>
      <c r="C12" s="390"/>
      <c r="D12" s="390"/>
      <c r="E12" s="363"/>
      <c r="F12" s="366"/>
      <c r="G12" s="158" t="e">
        <v>#DIV/0!</v>
      </c>
      <c r="H12" s="159" t="s">
        <v>25</v>
      </c>
      <c r="I12" s="158" t="e">
        <f t="shared" ref="I12:Q12" si="1">I11/I10*1</f>
        <v>#DIV/0!</v>
      </c>
      <c r="J12" s="158" t="e">
        <f t="shared" si="1"/>
        <v>#DIV/0!</v>
      </c>
      <c r="K12" s="158" t="e">
        <f t="shared" si="1"/>
        <v>#DIV/0!</v>
      </c>
      <c r="L12" s="158" t="e">
        <f t="shared" si="1"/>
        <v>#DIV/0!</v>
      </c>
      <c r="M12" s="158" t="e">
        <f t="shared" si="1"/>
        <v>#DIV/0!</v>
      </c>
      <c r="N12" s="158" t="e">
        <f t="shared" si="1"/>
        <v>#DIV/0!</v>
      </c>
      <c r="O12" s="158" t="e">
        <f t="shared" si="1"/>
        <v>#DIV/0!</v>
      </c>
      <c r="P12" s="158" t="e">
        <f t="shared" si="1"/>
        <v>#DIV/0!</v>
      </c>
      <c r="Q12" s="158" t="e">
        <f t="shared" si="1"/>
        <v>#DIV/0!</v>
      </c>
      <c r="R12" s="158" t="e">
        <f>R10/R11*1</f>
        <v>#DIV/0!</v>
      </c>
      <c r="S12" s="158" t="e">
        <f>S11/S10*1</f>
        <v>#DIV/0!</v>
      </c>
      <c r="T12" s="160" t="e">
        <f>T11/T10*1</f>
        <v>#DIV/0!</v>
      </c>
      <c r="U12" s="161" t="e">
        <f>U10/U11*1</f>
        <v>#DIV/0!</v>
      </c>
    </row>
    <row r="13" spans="1:24" ht="17.100000000000001" customHeight="1">
      <c r="A13" s="372"/>
      <c r="B13" s="368"/>
      <c r="C13" s="367" t="s">
        <v>192</v>
      </c>
      <c r="D13" s="367" t="s">
        <v>193</v>
      </c>
      <c r="E13" s="382" t="s">
        <v>30</v>
      </c>
      <c r="F13" s="370" t="s">
        <v>183</v>
      </c>
      <c r="G13" s="163">
        <v>37200000</v>
      </c>
      <c r="H13" s="150" t="s">
        <v>23</v>
      </c>
      <c r="I13" s="164">
        <v>4200000</v>
      </c>
      <c r="J13" s="164">
        <v>4200000</v>
      </c>
      <c r="K13" s="164">
        <v>4200000</v>
      </c>
      <c r="L13" s="164">
        <v>4200000</v>
      </c>
      <c r="M13" s="164">
        <v>4200000</v>
      </c>
      <c r="N13" s="164">
        <v>4200000</v>
      </c>
      <c r="O13" s="164">
        <v>4200000</v>
      </c>
      <c r="P13" s="164">
        <v>4200000</v>
      </c>
      <c r="Q13" s="164">
        <v>4200000</v>
      </c>
      <c r="R13" s="164">
        <v>4200000</v>
      </c>
      <c r="S13" s="164">
        <v>4200000</v>
      </c>
      <c r="T13" s="164">
        <v>4200000</v>
      </c>
      <c r="U13" s="165">
        <f>SUM(I13:T13)</f>
        <v>50400000</v>
      </c>
    </row>
    <row r="14" spans="1:24" ht="17.100000000000001" customHeight="1">
      <c r="A14" s="372"/>
      <c r="B14" s="368"/>
      <c r="C14" s="367"/>
      <c r="D14" s="367"/>
      <c r="E14" s="382"/>
      <c r="F14" s="370"/>
      <c r="G14" s="166">
        <v>42789977.645964146</v>
      </c>
      <c r="H14" s="154" t="s">
        <v>24</v>
      </c>
      <c r="I14" s="166">
        <v>4425015</v>
      </c>
      <c r="J14" s="167">
        <v>4515240</v>
      </c>
      <c r="K14" s="167">
        <v>4524005</v>
      </c>
      <c r="L14" s="167">
        <v>4515062</v>
      </c>
      <c r="M14" s="167">
        <v>4502112</v>
      </c>
      <c r="N14" s="167">
        <v>4506062</v>
      </c>
      <c r="O14" s="167">
        <v>4605015</v>
      </c>
      <c r="P14" s="167">
        <v>4705014</v>
      </c>
      <c r="Q14" s="167">
        <v>4501504</v>
      </c>
      <c r="R14" s="167">
        <v>4611141</v>
      </c>
      <c r="S14" s="167">
        <v>4513149</v>
      </c>
      <c r="T14" s="168">
        <v>4682131</v>
      </c>
      <c r="U14" s="169">
        <f>SUM(I14:T14)</f>
        <v>54605450</v>
      </c>
    </row>
    <row r="15" spans="1:24" ht="17.100000000000001" customHeight="1">
      <c r="A15" s="372"/>
      <c r="B15" s="368"/>
      <c r="C15" s="367"/>
      <c r="D15" s="367"/>
      <c r="E15" s="382"/>
      <c r="F15" s="370"/>
      <c r="G15" s="158">
        <v>0.99998733013105812</v>
      </c>
      <c r="H15" s="159" t="s">
        <v>25</v>
      </c>
      <c r="I15" s="158">
        <f t="shared" ref="I15:U15" si="2">I14/I13*1</f>
        <v>1.0535749999999999</v>
      </c>
      <c r="J15" s="158">
        <f t="shared" si="2"/>
        <v>1.0750571428571429</v>
      </c>
      <c r="K15" s="158">
        <f t="shared" si="2"/>
        <v>1.0771440476190477</v>
      </c>
      <c r="L15" s="158">
        <f t="shared" si="2"/>
        <v>1.0750147619047619</v>
      </c>
      <c r="M15" s="158">
        <f t="shared" si="2"/>
        <v>1.0719314285714285</v>
      </c>
      <c r="N15" s="158">
        <f t="shared" si="2"/>
        <v>1.0728719047619049</v>
      </c>
      <c r="O15" s="158">
        <f t="shared" si="2"/>
        <v>1.0964321428571429</v>
      </c>
      <c r="P15" s="158">
        <f t="shared" si="2"/>
        <v>1.1202414285714286</v>
      </c>
      <c r="Q15" s="158">
        <f t="shared" si="2"/>
        <v>1.0717866666666667</v>
      </c>
      <c r="R15" s="158">
        <f t="shared" si="2"/>
        <v>1.0978907142857144</v>
      </c>
      <c r="S15" s="158">
        <f t="shared" si="2"/>
        <v>1.0745592857142856</v>
      </c>
      <c r="T15" s="160">
        <f t="shared" si="2"/>
        <v>1.1147930952380953</v>
      </c>
      <c r="U15" s="161">
        <f t="shared" si="2"/>
        <v>1.0834414682539681</v>
      </c>
    </row>
    <row r="16" spans="1:24" ht="17.100000000000001" customHeight="1">
      <c r="A16" s="372"/>
      <c r="B16" s="368"/>
      <c r="C16" s="377" t="s">
        <v>194</v>
      </c>
      <c r="D16" s="387" t="s">
        <v>195</v>
      </c>
      <c r="E16" s="382" t="s">
        <v>30</v>
      </c>
      <c r="F16" s="364" t="s">
        <v>196</v>
      </c>
      <c r="G16" s="164">
        <v>0</v>
      </c>
      <c r="H16" s="150" t="s">
        <v>23</v>
      </c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1"/>
      <c r="U16" s="165">
        <f>SUM(I16:T16)</f>
        <v>0</v>
      </c>
      <c r="W16" s="134"/>
      <c r="X16" s="134"/>
    </row>
    <row r="17" spans="1:21" ht="17.100000000000001" customHeight="1">
      <c r="A17" s="372"/>
      <c r="B17" s="368"/>
      <c r="C17" s="368"/>
      <c r="D17" s="387"/>
      <c r="E17" s="382"/>
      <c r="F17" s="365"/>
      <c r="G17" s="166">
        <v>0</v>
      </c>
      <c r="H17" s="154" t="s">
        <v>24</v>
      </c>
      <c r="I17" s="166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8"/>
      <c r="U17" s="169">
        <f>SUM(I17:T17)</f>
        <v>0</v>
      </c>
    </row>
    <row r="18" spans="1:21" ht="17.100000000000001" customHeight="1">
      <c r="A18" s="372"/>
      <c r="B18" s="368"/>
      <c r="C18" s="453"/>
      <c r="D18" s="387"/>
      <c r="E18" s="382"/>
      <c r="F18" s="366"/>
      <c r="G18" s="158" t="e">
        <v>#DIV/0!</v>
      </c>
      <c r="H18" s="159" t="s">
        <v>25</v>
      </c>
      <c r="I18" s="158" t="e">
        <f t="shared" ref="I18:U18" si="3">I17/I16*1</f>
        <v>#DIV/0!</v>
      </c>
      <c r="J18" s="158" t="e">
        <f t="shared" si="3"/>
        <v>#DIV/0!</v>
      </c>
      <c r="K18" s="158" t="e">
        <f t="shared" si="3"/>
        <v>#DIV/0!</v>
      </c>
      <c r="L18" s="158" t="e">
        <f t="shared" si="3"/>
        <v>#DIV/0!</v>
      </c>
      <c r="M18" s="158" t="e">
        <f t="shared" si="3"/>
        <v>#DIV/0!</v>
      </c>
      <c r="N18" s="158" t="e">
        <f t="shared" si="3"/>
        <v>#DIV/0!</v>
      </c>
      <c r="O18" s="158" t="e">
        <f t="shared" si="3"/>
        <v>#DIV/0!</v>
      </c>
      <c r="P18" s="158" t="e">
        <f t="shared" si="3"/>
        <v>#DIV/0!</v>
      </c>
      <c r="Q18" s="158" t="e">
        <f t="shared" si="3"/>
        <v>#DIV/0!</v>
      </c>
      <c r="R18" s="158" t="e">
        <f t="shared" si="3"/>
        <v>#DIV/0!</v>
      </c>
      <c r="S18" s="158" t="e">
        <f t="shared" si="3"/>
        <v>#DIV/0!</v>
      </c>
      <c r="T18" s="160" t="e">
        <f t="shared" si="3"/>
        <v>#DIV/0!</v>
      </c>
      <c r="U18" s="161" t="e">
        <f t="shared" si="3"/>
        <v>#DIV/0!</v>
      </c>
    </row>
    <row r="19" spans="1:21" ht="17.100000000000001" customHeight="1">
      <c r="A19" s="372"/>
      <c r="B19" s="368"/>
      <c r="C19" s="377" t="s">
        <v>197</v>
      </c>
      <c r="D19" s="387" t="s">
        <v>195</v>
      </c>
      <c r="E19" s="382" t="s">
        <v>198</v>
      </c>
      <c r="F19" s="364" t="s">
        <v>199</v>
      </c>
      <c r="G19" s="172" t="e">
        <v>#DIV/0!</v>
      </c>
      <c r="H19" s="150" t="s">
        <v>23</v>
      </c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4"/>
      <c r="U19" s="175" t="e">
        <f>AVERAGE(I19:T19)</f>
        <v>#DIV/0!</v>
      </c>
    </row>
    <row r="20" spans="1:21" ht="17.100000000000001" customHeight="1">
      <c r="A20" s="372"/>
      <c r="B20" s="368"/>
      <c r="C20" s="368"/>
      <c r="D20" s="387"/>
      <c r="E20" s="382"/>
      <c r="F20" s="365"/>
      <c r="G20" s="176" t="e">
        <v>#DIV/0!</v>
      </c>
      <c r="H20" s="154" t="s">
        <v>24</v>
      </c>
      <c r="I20" s="176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8"/>
      <c r="U20" s="179" t="e">
        <f>AVERAGE(I20:T20)</f>
        <v>#DIV/0!</v>
      </c>
    </row>
    <row r="21" spans="1:21" ht="17.100000000000001" customHeight="1">
      <c r="A21" s="372"/>
      <c r="B21" s="368"/>
      <c r="C21" s="453"/>
      <c r="D21" s="387"/>
      <c r="E21" s="382"/>
      <c r="F21" s="366"/>
      <c r="G21" s="158" t="e">
        <v>#DIV/0!</v>
      </c>
      <c r="H21" s="159" t="s">
        <v>25</v>
      </c>
      <c r="I21" s="158" t="e">
        <f t="shared" ref="I21:U21" si="4">I20/I19*1</f>
        <v>#DIV/0!</v>
      </c>
      <c r="J21" s="158" t="e">
        <f t="shared" si="4"/>
        <v>#DIV/0!</v>
      </c>
      <c r="K21" s="158" t="e">
        <f t="shared" si="4"/>
        <v>#DIV/0!</v>
      </c>
      <c r="L21" s="158" t="e">
        <f t="shared" si="4"/>
        <v>#DIV/0!</v>
      </c>
      <c r="M21" s="158" t="e">
        <f t="shared" si="4"/>
        <v>#DIV/0!</v>
      </c>
      <c r="N21" s="158" t="e">
        <f t="shared" si="4"/>
        <v>#DIV/0!</v>
      </c>
      <c r="O21" s="158" t="e">
        <f t="shared" si="4"/>
        <v>#DIV/0!</v>
      </c>
      <c r="P21" s="158" t="e">
        <f t="shared" si="4"/>
        <v>#DIV/0!</v>
      </c>
      <c r="Q21" s="158" t="e">
        <f t="shared" si="4"/>
        <v>#DIV/0!</v>
      </c>
      <c r="R21" s="158" t="e">
        <f t="shared" si="4"/>
        <v>#DIV/0!</v>
      </c>
      <c r="S21" s="158" t="e">
        <f t="shared" si="4"/>
        <v>#DIV/0!</v>
      </c>
      <c r="T21" s="160" t="e">
        <f t="shared" si="4"/>
        <v>#DIV/0!</v>
      </c>
      <c r="U21" s="161" t="e">
        <f t="shared" si="4"/>
        <v>#DIV/0!</v>
      </c>
    </row>
    <row r="22" spans="1:21" ht="17.100000000000001" customHeight="1">
      <c r="A22" s="372"/>
      <c r="B22" s="368"/>
      <c r="C22" s="367" t="s">
        <v>106</v>
      </c>
      <c r="D22" s="368" t="s">
        <v>200</v>
      </c>
      <c r="E22" s="382" t="s">
        <v>188</v>
      </c>
      <c r="F22" s="370" t="s">
        <v>201</v>
      </c>
      <c r="G22" s="180">
        <v>72</v>
      </c>
      <c r="H22" s="150" t="s">
        <v>23</v>
      </c>
      <c r="I22" s="180">
        <v>5</v>
      </c>
      <c r="J22" s="180">
        <v>5</v>
      </c>
      <c r="K22" s="180">
        <v>5</v>
      </c>
      <c r="L22" s="180">
        <v>5</v>
      </c>
      <c r="M22" s="180">
        <v>5</v>
      </c>
      <c r="N22" s="180">
        <v>5</v>
      </c>
      <c r="O22" s="180">
        <v>5</v>
      </c>
      <c r="P22" s="180">
        <v>5</v>
      </c>
      <c r="Q22" s="180">
        <v>5</v>
      </c>
      <c r="R22" s="180">
        <v>5</v>
      </c>
      <c r="S22" s="180">
        <v>5</v>
      </c>
      <c r="T22" s="180">
        <v>5</v>
      </c>
      <c r="U22" s="152">
        <f>SUM(I22:T22)</f>
        <v>60</v>
      </c>
    </row>
    <row r="23" spans="1:21" ht="17.100000000000001" customHeight="1">
      <c r="A23" s="372"/>
      <c r="B23" s="368"/>
      <c r="C23" s="367"/>
      <c r="D23" s="368"/>
      <c r="E23" s="382"/>
      <c r="F23" s="370"/>
      <c r="G23" s="153">
        <v>59</v>
      </c>
      <c r="H23" s="154" t="s">
        <v>24</v>
      </c>
      <c r="I23" s="155">
        <v>5</v>
      </c>
      <c r="J23" s="155">
        <v>5</v>
      </c>
      <c r="K23" s="155">
        <v>4</v>
      </c>
      <c r="L23" s="155">
        <v>5</v>
      </c>
      <c r="M23" s="155">
        <v>5</v>
      </c>
      <c r="N23" s="155">
        <v>5</v>
      </c>
      <c r="O23" s="155">
        <v>4</v>
      </c>
      <c r="P23" s="155">
        <v>4</v>
      </c>
      <c r="Q23" s="155">
        <v>5</v>
      </c>
      <c r="R23" s="155">
        <v>5</v>
      </c>
      <c r="S23" s="155">
        <v>5</v>
      </c>
      <c r="T23" s="155">
        <v>5</v>
      </c>
      <c r="U23" s="157">
        <f>SUM(I23:T23)</f>
        <v>57</v>
      </c>
    </row>
    <row r="24" spans="1:21" ht="17.100000000000001" customHeight="1">
      <c r="A24" s="372"/>
      <c r="B24" s="368"/>
      <c r="C24" s="367"/>
      <c r="D24" s="368"/>
      <c r="E24" s="382"/>
      <c r="F24" s="370"/>
      <c r="G24" s="158">
        <v>1</v>
      </c>
      <c r="H24" s="159" t="s">
        <v>25</v>
      </c>
      <c r="I24" s="181">
        <f t="shared" ref="I24:U24" si="5">I23/I22*1</f>
        <v>1</v>
      </c>
      <c r="J24" s="181">
        <f t="shared" si="5"/>
        <v>1</v>
      </c>
      <c r="K24" s="181">
        <f t="shared" si="5"/>
        <v>0.8</v>
      </c>
      <c r="L24" s="181">
        <f t="shared" si="5"/>
        <v>1</v>
      </c>
      <c r="M24" s="181">
        <f t="shared" si="5"/>
        <v>1</v>
      </c>
      <c r="N24" s="181">
        <f t="shared" si="5"/>
        <v>1</v>
      </c>
      <c r="O24" s="181">
        <f t="shared" si="5"/>
        <v>0.8</v>
      </c>
      <c r="P24" s="181">
        <f t="shared" si="5"/>
        <v>0.8</v>
      </c>
      <c r="Q24" s="181">
        <f t="shared" si="5"/>
        <v>1</v>
      </c>
      <c r="R24" s="181">
        <f t="shared" si="5"/>
        <v>1</v>
      </c>
      <c r="S24" s="181">
        <f t="shared" si="5"/>
        <v>1</v>
      </c>
      <c r="T24" s="182">
        <f t="shared" si="5"/>
        <v>1</v>
      </c>
      <c r="U24" s="161">
        <f t="shared" si="5"/>
        <v>0.95</v>
      </c>
    </row>
    <row r="25" spans="1:21" ht="17.100000000000001" customHeight="1">
      <c r="A25" s="372"/>
      <c r="B25" s="368"/>
      <c r="C25" s="367" t="s">
        <v>109</v>
      </c>
      <c r="D25" s="367" t="s">
        <v>202</v>
      </c>
      <c r="E25" s="362" t="s">
        <v>188</v>
      </c>
      <c r="F25" s="370" t="s">
        <v>41</v>
      </c>
      <c r="G25" s="180">
        <v>12</v>
      </c>
      <c r="H25" s="150" t="s">
        <v>23</v>
      </c>
      <c r="I25" s="180">
        <v>1</v>
      </c>
      <c r="J25" s="180">
        <v>1</v>
      </c>
      <c r="K25" s="180">
        <v>1</v>
      </c>
      <c r="L25" s="183">
        <v>1</v>
      </c>
      <c r="M25" s="183">
        <v>1</v>
      </c>
      <c r="N25" s="183">
        <v>1</v>
      </c>
      <c r="O25" s="183">
        <v>1</v>
      </c>
      <c r="P25" s="183">
        <v>1</v>
      </c>
      <c r="Q25" s="183">
        <v>1</v>
      </c>
      <c r="R25" s="183">
        <v>1</v>
      </c>
      <c r="S25" s="183">
        <v>1</v>
      </c>
      <c r="T25" s="183">
        <v>1</v>
      </c>
      <c r="U25" s="152">
        <f>SUM(I25:T25)</f>
        <v>12</v>
      </c>
    </row>
    <row r="26" spans="1:21" ht="17.100000000000001" customHeight="1">
      <c r="A26" s="372"/>
      <c r="B26" s="368"/>
      <c r="C26" s="367"/>
      <c r="D26" s="367"/>
      <c r="E26" s="363"/>
      <c r="F26" s="370"/>
      <c r="G26" s="153">
        <v>12</v>
      </c>
      <c r="H26" s="154" t="s">
        <v>24</v>
      </c>
      <c r="I26" s="155">
        <v>1</v>
      </c>
      <c r="J26" s="155">
        <v>1</v>
      </c>
      <c r="K26" s="155">
        <v>1</v>
      </c>
      <c r="L26" s="155">
        <v>1</v>
      </c>
      <c r="M26" s="155">
        <v>1</v>
      </c>
      <c r="N26" s="155">
        <v>1</v>
      </c>
      <c r="O26" s="155">
        <v>1</v>
      </c>
      <c r="P26" s="155">
        <v>1</v>
      </c>
      <c r="Q26" s="155">
        <v>1</v>
      </c>
      <c r="R26" s="155">
        <v>1</v>
      </c>
      <c r="S26" s="155">
        <v>1</v>
      </c>
      <c r="T26" s="155">
        <v>1</v>
      </c>
      <c r="U26" s="157">
        <f>SUM(I26:T26)</f>
        <v>12</v>
      </c>
    </row>
    <row r="27" spans="1:21" ht="17.100000000000001" customHeight="1" thickBot="1">
      <c r="A27" s="373"/>
      <c r="B27" s="368"/>
      <c r="C27" s="377"/>
      <c r="D27" s="377"/>
      <c r="E27" s="410"/>
      <c r="F27" s="364"/>
      <c r="G27" s="184">
        <v>1</v>
      </c>
      <c r="H27" s="159" t="s">
        <v>25</v>
      </c>
      <c r="I27" s="185">
        <f t="shared" ref="I27:Q27" si="6">I26/I25*1</f>
        <v>1</v>
      </c>
      <c r="J27" s="185">
        <f t="shared" si="6"/>
        <v>1</v>
      </c>
      <c r="K27" s="185">
        <f t="shared" si="6"/>
        <v>1</v>
      </c>
      <c r="L27" s="185">
        <f t="shared" si="6"/>
        <v>1</v>
      </c>
      <c r="M27" s="185">
        <f t="shared" si="6"/>
        <v>1</v>
      </c>
      <c r="N27" s="185">
        <f t="shared" si="6"/>
        <v>1</v>
      </c>
      <c r="O27" s="185">
        <f t="shared" si="6"/>
        <v>1</v>
      </c>
      <c r="P27" s="185">
        <f t="shared" si="6"/>
        <v>1</v>
      </c>
      <c r="Q27" s="185">
        <f t="shared" si="6"/>
        <v>1</v>
      </c>
      <c r="R27" s="184">
        <f>R25/R26*1</f>
        <v>1</v>
      </c>
      <c r="S27" s="185">
        <f>S26/S25*1</f>
        <v>1</v>
      </c>
      <c r="T27" s="186">
        <f>T26/T25*1</f>
        <v>1</v>
      </c>
      <c r="U27" s="187">
        <f>U25/U26*1</f>
        <v>1</v>
      </c>
    </row>
    <row r="28" spans="1:21" ht="17.100000000000001" customHeight="1">
      <c r="A28" s="372">
        <v>2</v>
      </c>
      <c r="B28" s="396" t="s">
        <v>203</v>
      </c>
      <c r="C28" s="399" t="s">
        <v>204</v>
      </c>
      <c r="D28" s="399" t="s">
        <v>113</v>
      </c>
      <c r="E28" s="362" t="s">
        <v>188</v>
      </c>
      <c r="F28" s="401" t="s">
        <v>205</v>
      </c>
      <c r="G28" s="188">
        <v>100</v>
      </c>
      <c r="H28" s="150" t="s">
        <v>23</v>
      </c>
      <c r="I28" s="188">
        <v>100</v>
      </c>
      <c r="J28" s="188">
        <v>100</v>
      </c>
      <c r="K28" s="188">
        <v>100</v>
      </c>
      <c r="L28" s="188">
        <v>100</v>
      </c>
      <c r="M28" s="188">
        <v>100</v>
      </c>
      <c r="N28" s="188">
        <v>100</v>
      </c>
      <c r="O28" s="188">
        <v>100</v>
      </c>
      <c r="P28" s="188">
        <v>100</v>
      </c>
      <c r="Q28" s="188">
        <v>100</v>
      </c>
      <c r="R28" s="188">
        <v>100</v>
      </c>
      <c r="S28" s="188">
        <v>100</v>
      </c>
      <c r="T28" s="188">
        <v>100</v>
      </c>
      <c r="U28" s="189">
        <f>AVERAGE(I28:T28)</f>
        <v>100</v>
      </c>
    </row>
    <row r="29" spans="1:21" ht="17.100000000000001" customHeight="1">
      <c r="A29" s="372"/>
      <c r="B29" s="397"/>
      <c r="C29" s="400"/>
      <c r="D29" s="400"/>
      <c r="E29" s="363"/>
      <c r="F29" s="402"/>
      <c r="G29" s="190">
        <v>31.083333333333332</v>
      </c>
      <c r="H29" s="154" t="s">
        <v>24</v>
      </c>
      <c r="I29" s="190">
        <v>40</v>
      </c>
      <c r="J29" s="190">
        <v>35</v>
      </c>
      <c r="K29" s="190">
        <v>40</v>
      </c>
      <c r="L29" s="190">
        <v>42</v>
      </c>
      <c r="M29" s="190">
        <v>69</v>
      </c>
      <c r="N29" s="190">
        <v>54</v>
      </c>
      <c r="O29" s="190">
        <v>53</v>
      </c>
      <c r="P29" s="190">
        <v>48</v>
      </c>
      <c r="Q29" s="190">
        <v>62</v>
      </c>
      <c r="R29" s="190">
        <v>72</v>
      </c>
      <c r="S29" s="190">
        <v>54</v>
      </c>
      <c r="T29" s="190">
        <v>59</v>
      </c>
      <c r="U29" s="169">
        <f>AVERAGE(I29:T29)</f>
        <v>52.333333333333336</v>
      </c>
    </row>
    <row r="30" spans="1:21" ht="17.100000000000001" customHeight="1" thickBot="1">
      <c r="A30" s="372"/>
      <c r="B30" s="397"/>
      <c r="C30" s="390"/>
      <c r="D30" s="390"/>
      <c r="E30" s="363"/>
      <c r="F30" s="403"/>
      <c r="G30" s="158">
        <v>0.31083333333333329</v>
      </c>
      <c r="H30" s="159" t="s">
        <v>25</v>
      </c>
      <c r="I30" s="158">
        <f t="shared" ref="I30:T30" si="7">I28/I29*1</f>
        <v>2.5</v>
      </c>
      <c r="J30" s="158">
        <f t="shared" si="7"/>
        <v>2.8571428571428572</v>
      </c>
      <c r="K30" s="158">
        <f t="shared" si="7"/>
        <v>2.5</v>
      </c>
      <c r="L30" s="158">
        <f t="shared" si="7"/>
        <v>2.3809523809523809</v>
      </c>
      <c r="M30" s="158">
        <f t="shared" si="7"/>
        <v>1.4492753623188406</v>
      </c>
      <c r="N30" s="158">
        <f t="shared" si="7"/>
        <v>1.8518518518518519</v>
      </c>
      <c r="O30" s="158">
        <f t="shared" si="7"/>
        <v>1.8867924528301887</v>
      </c>
      <c r="P30" s="158">
        <f t="shared" si="7"/>
        <v>2.0833333333333335</v>
      </c>
      <c r="Q30" s="158">
        <f t="shared" si="7"/>
        <v>1.6129032258064515</v>
      </c>
      <c r="R30" s="158">
        <f t="shared" si="7"/>
        <v>1.3888888888888888</v>
      </c>
      <c r="S30" s="158">
        <f t="shared" si="7"/>
        <v>1.8518518518518519</v>
      </c>
      <c r="T30" s="160">
        <f t="shared" si="7"/>
        <v>1.6949152542372881</v>
      </c>
      <c r="U30" s="161">
        <f>U29/U28*1</f>
        <v>0.52333333333333332</v>
      </c>
    </row>
    <row r="31" spans="1:21" ht="17.100000000000001" customHeight="1">
      <c r="A31" s="372"/>
      <c r="B31" s="397"/>
      <c r="C31" s="389" t="s">
        <v>206</v>
      </c>
      <c r="D31" s="389" t="s">
        <v>207</v>
      </c>
      <c r="E31" s="452" t="s">
        <v>208</v>
      </c>
      <c r="F31" s="405" t="s">
        <v>209</v>
      </c>
      <c r="G31" s="188">
        <v>12</v>
      </c>
      <c r="H31" s="150" t="s">
        <v>23</v>
      </c>
      <c r="I31" s="191">
        <v>3</v>
      </c>
      <c r="J31" s="191">
        <v>3</v>
      </c>
      <c r="K31" s="191">
        <v>3</v>
      </c>
      <c r="L31" s="191">
        <v>3</v>
      </c>
      <c r="M31" s="191">
        <v>3</v>
      </c>
      <c r="N31" s="191">
        <v>3</v>
      </c>
      <c r="O31" s="191">
        <v>3</v>
      </c>
      <c r="P31" s="191">
        <v>3</v>
      </c>
      <c r="Q31" s="191">
        <v>3</v>
      </c>
      <c r="R31" s="191">
        <v>3</v>
      </c>
      <c r="S31" s="191">
        <v>3</v>
      </c>
      <c r="T31" s="191">
        <v>3</v>
      </c>
      <c r="U31" s="165">
        <f>SUM(I31:T31)</f>
        <v>36</v>
      </c>
    </row>
    <row r="32" spans="1:21" ht="17.100000000000001" customHeight="1">
      <c r="A32" s="372"/>
      <c r="B32" s="397"/>
      <c r="C32" s="400"/>
      <c r="D32" s="400"/>
      <c r="E32" s="452"/>
      <c r="F32" s="402"/>
      <c r="G32" s="190">
        <v>0</v>
      </c>
      <c r="H32" s="154" t="s">
        <v>24</v>
      </c>
      <c r="I32" s="192">
        <v>1</v>
      </c>
      <c r="J32" s="192">
        <v>3</v>
      </c>
      <c r="K32" s="192">
        <v>0</v>
      </c>
      <c r="L32" s="192">
        <v>4</v>
      </c>
      <c r="M32" s="192">
        <v>1</v>
      </c>
      <c r="N32" s="192">
        <v>2</v>
      </c>
      <c r="O32" s="192">
        <v>0</v>
      </c>
      <c r="P32" s="192">
        <v>1</v>
      </c>
      <c r="Q32" s="192">
        <v>1</v>
      </c>
      <c r="R32" s="192">
        <v>0</v>
      </c>
      <c r="S32" s="192">
        <v>0</v>
      </c>
      <c r="T32" s="192">
        <v>3</v>
      </c>
      <c r="U32" s="169">
        <f>SUM(I32:T32)</f>
        <v>16</v>
      </c>
    </row>
    <row r="33" spans="1:21" ht="17.100000000000001" customHeight="1">
      <c r="A33" s="372"/>
      <c r="B33" s="397"/>
      <c r="C33" s="390"/>
      <c r="D33" s="390"/>
      <c r="E33" s="452"/>
      <c r="F33" s="403"/>
      <c r="G33" s="158" t="e">
        <v>#DIV/0!</v>
      </c>
      <c r="H33" s="159" t="s">
        <v>25</v>
      </c>
      <c r="I33" s="158">
        <f t="shared" ref="I33:T33" si="8">I32/I31*1</f>
        <v>0.33333333333333331</v>
      </c>
      <c r="J33" s="158">
        <f t="shared" si="8"/>
        <v>1</v>
      </c>
      <c r="K33" s="158">
        <f t="shared" si="8"/>
        <v>0</v>
      </c>
      <c r="L33" s="158">
        <f t="shared" si="8"/>
        <v>1.3333333333333333</v>
      </c>
      <c r="M33" s="158">
        <f t="shared" si="8"/>
        <v>0.33333333333333331</v>
      </c>
      <c r="N33" s="158">
        <f t="shared" si="8"/>
        <v>0.66666666666666663</v>
      </c>
      <c r="O33" s="158">
        <f t="shared" si="8"/>
        <v>0</v>
      </c>
      <c r="P33" s="158">
        <f t="shared" si="8"/>
        <v>0.33333333333333331</v>
      </c>
      <c r="Q33" s="158">
        <f t="shared" si="8"/>
        <v>0.33333333333333331</v>
      </c>
      <c r="R33" s="158">
        <f t="shared" si="8"/>
        <v>0</v>
      </c>
      <c r="S33" s="158">
        <f t="shared" si="8"/>
        <v>0</v>
      </c>
      <c r="T33" s="158">
        <f t="shared" si="8"/>
        <v>1</v>
      </c>
      <c r="U33" s="161">
        <f>U31/U32</f>
        <v>2.25</v>
      </c>
    </row>
    <row r="34" spans="1:21" ht="17.100000000000001" customHeight="1">
      <c r="A34" s="372"/>
      <c r="B34" s="397"/>
      <c r="C34" s="388" t="s">
        <v>119</v>
      </c>
      <c r="D34" s="388" t="s">
        <v>210</v>
      </c>
      <c r="E34" s="362" t="s">
        <v>188</v>
      </c>
      <c r="F34" s="364" t="s">
        <v>211</v>
      </c>
      <c r="G34" s="149">
        <v>24</v>
      </c>
      <c r="H34" s="150" t="s">
        <v>23</v>
      </c>
      <c r="I34" s="149">
        <v>2</v>
      </c>
      <c r="J34" s="149">
        <v>2</v>
      </c>
      <c r="K34" s="149">
        <v>2</v>
      </c>
      <c r="L34" s="149">
        <v>2</v>
      </c>
      <c r="M34" s="149">
        <v>2</v>
      </c>
      <c r="N34" s="149">
        <v>2</v>
      </c>
      <c r="O34" s="149">
        <v>2</v>
      </c>
      <c r="P34" s="149">
        <v>2</v>
      </c>
      <c r="Q34" s="149">
        <v>2</v>
      </c>
      <c r="R34" s="149">
        <v>2</v>
      </c>
      <c r="S34" s="149">
        <v>2</v>
      </c>
      <c r="T34" s="149">
        <v>2</v>
      </c>
      <c r="U34" s="152">
        <f>SUM(I34:T34)</f>
        <v>24</v>
      </c>
    </row>
    <row r="35" spans="1:21" ht="17.100000000000001" customHeight="1">
      <c r="A35" s="372"/>
      <c r="B35" s="397"/>
      <c r="C35" s="389"/>
      <c r="D35" s="389"/>
      <c r="E35" s="363"/>
      <c r="F35" s="365"/>
      <c r="G35" s="153">
        <v>11</v>
      </c>
      <c r="H35" s="154" t="s">
        <v>24</v>
      </c>
      <c r="I35" s="153">
        <v>2</v>
      </c>
      <c r="J35" s="155">
        <v>1</v>
      </c>
      <c r="K35" s="155">
        <v>1</v>
      </c>
      <c r="L35" s="155">
        <v>2</v>
      </c>
      <c r="M35" s="155"/>
      <c r="N35" s="155"/>
      <c r="O35" s="155"/>
      <c r="P35" s="155"/>
      <c r="Q35" s="155"/>
      <c r="R35" s="155"/>
      <c r="S35" s="155"/>
      <c r="T35" s="155"/>
      <c r="U35" s="157">
        <f>SUM(I35:T35)</f>
        <v>6</v>
      </c>
    </row>
    <row r="36" spans="1:21" ht="17.100000000000001" customHeight="1">
      <c r="A36" s="372"/>
      <c r="B36" s="397"/>
      <c r="C36" s="390"/>
      <c r="D36" s="390"/>
      <c r="E36" s="363"/>
      <c r="F36" s="366"/>
      <c r="G36" s="158">
        <v>2.1818181818181817</v>
      </c>
      <c r="H36" s="159" t="s">
        <v>25</v>
      </c>
      <c r="I36" s="158">
        <f t="shared" ref="I36:T36" si="9">I35/I34*1</f>
        <v>1</v>
      </c>
      <c r="J36" s="158">
        <f t="shared" si="9"/>
        <v>0.5</v>
      </c>
      <c r="K36" s="158">
        <f t="shared" si="9"/>
        <v>0.5</v>
      </c>
      <c r="L36" s="158">
        <f t="shared" si="9"/>
        <v>1</v>
      </c>
      <c r="M36" s="158">
        <f t="shared" si="9"/>
        <v>0</v>
      </c>
      <c r="N36" s="158">
        <f t="shared" si="9"/>
        <v>0</v>
      </c>
      <c r="O36" s="158">
        <f t="shared" si="9"/>
        <v>0</v>
      </c>
      <c r="P36" s="158">
        <f t="shared" si="9"/>
        <v>0</v>
      </c>
      <c r="Q36" s="158">
        <f t="shared" si="9"/>
        <v>0</v>
      </c>
      <c r="R36" s="158">
        <f t="shared" si="9"/>
        <v>0</v>
      </c>
      <c r="S36" s="158">
        <f t="shared" si="9"/>
        <v>0</v>
      </c>
      <c r="T36" s="160">
        <f t="shared" si="9"/>
        <v>0</v>
      </c>
      <c r="U36" s="161">
        <f>U34/U35</f>
        <v>4</v>
      </c>
    </row>
    <row r="37" spans="1:21" ht="17.100000000000001" customHeight="1">
      <c r="A37" s="372"/>
      <c r="B37" s="397"/>
      <c r="C37" s="394" t="s">
        <v>212</v>
      </c>
      <c r="D37" s="394" t="s">
        <v>210</v>
      </c>
      <c r="E37" s="362" t="s">
        <v>188</v>
      </c>
      <c r="F37" s="370" t="s">
        <v>184</v>
      </c>
      <c r="G37" s="193">
        <v>12</v>
      </c>
      <c r="H37" s="150" t="s">
        <v>23</v>
      </c>
      <c r="I37" s="191">
        <v>2</v>
      </c>
      <c r="J37" s="191">
        <v>2</v>
      </c>
      <c r="K37" s="191">
        <v>2</v>
      </c>
      <c r="L37" s="191">
        <v>2</v>
      </c>
      <c r="M37" s="191">
        <v>2</v>
      </c>
      <c r="N37" s="191">
        <v>2</v>
      </c>
      <c r="O37" s="191">
        <v>2</v>
      </c>
      <c r="P37" s="191">
        <v>2</v>
      </c>
      <c r="Q37" s="191">
        <v>2</v>
      </c>
      <c r="R37" s="191">
        <v>2</v>
      </c>
      <c r="S37" s="191">
        <v>2</v>
      </c>
      <c r="T37" s="191">
        <v>2</v>
      </c>
      <c r="U37" s="152">
        <f>SUM(I37:T37)</f>
        <v>24</v>
      </c>
    </row>
    <row r="38" spans="1:21" ht="17.100000000000001" customHeight="1">
      <c r="A38" s="372"/>
      <c r="B38" s="397"/>
      <c r="C38" s="394"/>
      <c r="D38" s="394"/>
      <c r="E38" s="363"/>
      <c r="F38" s="370"/>
      <c r="G38" s="190">
        <v>10</v>
      </c>
      <c r="H38" s="154" t="s">
        <v>24</v>
      </c>
      <c r="I38" s="192">
        <v>2</v>
      </c>
      <c r="J38" s="192">
        <v>1</v>
      </c>
      <c r="K38" s="192">
        <v>1</v>
      </c>
      <c r="L38" s="192">
        <v>2</v>
      </c>
      <c r="M38" s="192">
        <v>1</v>
      </c>
      <c r="N38" s="192">
        <v>1</v>
      </c>
      <c r="O38" s="192">
        <v>1</v>
      </c>
      <c r="P38" s="192">
        <v>1</v>
      </c>
      <c r="Q38" s="192">
        <v>0</v>
      </c>
      <c r="R38" s="192">
        <v>0</v>
      </c>
      <c r="S38" s="192">
        <v>2</v>
      </c>
      <c r="T38" s="192">
        <v>1</v>
      </c>
      <c r="U38" s="157">
        <f>SUM(I38:T38)</f>
        <v>13</v>
      </c>
    </row>
    <row r="39" spans="1:21" ht="17.100000000000001" customHeight="1">
      <c r="A39" s="372"/>
      <c r="B39" s="397"/>
      <c r="C39" s="394"/>
      <c r="D39" s="394"/>
      <c r="E39" s="363"/>
      <c r="F39" s="370"/>
      <c r="G39" s="158">
        <v>0.83333333333333337</v>
      </c>
      <c r="H39" s="159" t="s">
        <v>25</v>
      </c>
      <c r="I39" s="158">
        <f t="shared" ref="I39:U39" si="10">I38/I37*1</f>
        <v>1</v>
      </c>
      <c r="J39" s="158">
        <f t="shared" si="10"/>
        <v>0.5</v>
      </c>
      <c r="K39" s="158">
        <f t="shared" si="10"/>
        <v>0.5</v>
      </c>
      <c r="L39" s="158">
        <f t="shared" si="10"/>
        <v>1</v>
      </c>
      <c r="M39" s="158">
        <f t="shared" si="10"/>
        <v>0.5</v>
      </c>
      <c r="N39" s="158">
        <f t="shared" si="10"/>
        <v>0.5</v>
      </c>
      <c r="O39" s="158">
        <f t="shared" si="10"/>
        <v>0.5</v>
      </c>
      <c r="P39" s="158">
        <f t="shared" si="10"/>
        <v>0.5</v>
      </c>
      <c r="Q39" s="158">
        <f t="shared" si="10"/>
        <v>0</v>
      </c>
      <c r="R39" s="158">
        <f t="shared" si="10"/>
        <v>0</v>
      </c>
      <c r="S39" s="158">
        <f t="shared" si="10"/>
        <v>1</v>
      </c>
      <c r="T39" s="158">
        <f t="shared" si="10"/>
        <v>0.5</v>
      </c>
      <c r="U39" s="194">
        <f t="shared" si="10"/>
        <v>0.54166666666666663</v>
      </c>
    </row>
    <row r="40" spans="1:21" ht="16.5" customHeight="1">
      <c r="A40" s="372"/>
      <c r="B40" s="397"/>
      <c r="C40" s="389" t="s">
        <v>213</v>
      </c>
      <c r="D40" s="394" t="s">
        <v>210</v>
      </c>
      <c r="E40" s="362" t="s">
        <v>188</v>
      </c>
      <c r="F40" s="405" t="s">
        <v>214</v>
      </c>
      <c r="G40" s="193">
        <v>360</v>
      </c>
      <c r="H40" s="150" t="s">
        <v>23</v>
      </c>
      <c r="I40" s="193">
        <v>30</v>
      </c>
      <c r="J40" s="193">
        <v>30</v>
      </c>
      <c r="K40" s="193">
        <v>30</v>
      </c>
      <c r="L40" s="193">
        <v>30</v>
      </c>
      <c r="M40" s="193">
        <v>30</v>
      </c>
      <c r="N40" s="193">
        <v>30</v>
      </c>
      <c r="O40" s="193">
        <v>30</v>
      </c>
      <c r="P40" s="193">
        <v>30</v>
      </c>
      <c r="Q40" s="193">
        <v>30</v>
      </c>
      <c r="R40" s="193">
        <v>30</v>
      </c>
      <c r="S40" s="193">
        <v>30</v>
      </c>
      <c r="T40" s="193">
        <v>30</v>
      </c>
      <c r="U40" s="195">
        <f>SUM(I40:T40)</f>
        <v>360</v>
      </c>
    </row>
    <row r="41" spans="1:21" ht="17.100000000000001" customHeight="1">
      <c r="A41" s="372"/>
      <c r="B41" s="397"/>
      <c r="C41" s="400"/>
      <c r="D41" s="394"/>
      <c r="E41" s="363"/>
      <c r="F41" s="402"/>
      <c r="G41" s="190">
        <v>148</v>
      </c>
      <c r="H41" s="154" t="s">
        <v>24</v>
      </c>
      <c r="I41" s="192">
        <v>15</v>
      </c>
      <c r="J41" s="192">
        <v>10</v>
      </c>
      <c r="K41" s="192">
        <v>20</v>
      </c>
      <c r="L41" s="192">
        <v>25</v>
      </c>
      <c r="M41" s="192">
        <v>27</v>
      </c>
      <c r="N41" s="192">
        <v>25</v>
      </c>
      <c r="O41" s="192">
        <v>28</v>
      </c>
      <c r="P41" s="192">
        <v>28</v>
      </c>
      <c r="Q41" s="192">
        <v>27</v>
      </c>
      <c r="R41" s="192">
        <v>24</v>
      </c>
      <c r="S41" s="192">
        <v>24</v>
      </c>
      <c r="T41" s="196">
        <v>24</v>
      </c>
      <c r="U41" s="197">
        <f>SUM(I41:T41)</f>
        <v>277</v>
      </c>
    </row>
    <row r="42" spans="1:21" ht="17.100000000000001" customHeight="1" thickBot="1">
      <c r="A42" s="373"/>
      <c r="B42" s="398"/>
      <c r="C42" s="406"/>
      <c r="D42" s="394"/>
      <c r="E42" s="363"/>
      <c r="F42" s="407"/>
      <c r="G42" s="198">
        <v>0.41111111111111109</v>
      </c>
      <c r="H42" s="159" t="s">
        <v>25</v>
      </c>
      <c r="I42" s="198">
        <f t="shared" ref="I42:T42" si="11">I40/I41*1</f>
        <v>2</v>
      </c>
      <c r="J42" s="198">
        <f t="shared" si="11"/>
        <v>3</v>
      </c>
      <c r="K42" s="198">
        <f t="shared" si="11"/>
        <v>1.5</v>
      </c>
      <c r="L42" s="198">
        <f t="shared" si="11"/>
        <v>1.2</v>
      </c>
      <c r="M42" s="198">
        <f t="shared" si="11"/>
        <v>1.1111111111111112</v>
      </c>
      <c r="N42" s="198">
        <f t="shared" si="11"/>
        <v>1.2</v>
      </c>
      <c r="O42" s="198">
        <f t="shared" si="11"/>
        <v>1.0714285714285714</v>
      </c>
      <c r="P42" s="198">
        <f t="shared" si="11"/>
        <v>1.0714285714285714</v>
      </c>
      <c r="Q42" s="198">
        <f t="shared" si="11"/>
        <v>1.1111111111111112</v>
      </c>
      <c r="R42" s="198">
        <f t="shared" si="11"/>
        <v>1.25</v>
      </c>
      <c r="S42" s="198">
        <f t="shared" si="11"/>
        <v>1.25</v>
      </c>
      <c r="T42" s="199">
        <f t="shared" si="11"/>
        <v>1.25</v>
      </c>
      <c r="U42" s="200">
        <f>U41/U40*1</f>
        <v>0.76944444444444449</v>
      </c>
    </row>
    <row r="43" spans="1:21" ht="17.100000000000001" customHeight="1">
      <c r="A43" s="372">
        <v>3</v>
      </c>
      <c r="B43" s="374" t="s">
        <v>215</v>
      </c>
      <c r="C43" s="368" t="s">
        <v>216</v>
      </c>
      <c r="D43" s="374" t="s">
        <v>217</v>
      </c>
      <c r="E43" s="409" t="s">
        <v>218</v>
      </c>
      <c r="F43" s="365" t="s">
        <v>183</v>
      </c>
      <c r="G43" s="201">
        <v>73</v>
      </c>
      <c r="H43" s="150" t="s">
        <v>23</v>
      </c>
      <c r="I43" s="201">
        <v>6</v>
      </c>
      <c r="J43" s="202">
        <v>6</v>
      </c>
      <c r="K43" s="202">
        <v>6</v>
      </c>
      <c r="L43" s="202">
        <v>6</v>
      </c>
      <c r="M43" s="202">
        <v>5</v>
      </c>
      <c r="N43" s="202">
        <v>5</v>
      </c>
      <c r="O43" s="202">
        <v>7</v>
      </c>
      <c r="P43" s="202">
        <v>7</v>
      </c>
      <c r="Q43" s="202">
        <v>7</v>
      </c>
      <c r="R43" s="202">
        <v>6</v>
      </c>
      <c r="S43" s="202">
        <v>6</v>
      </c>
      <c r="T43" s="203">
        <v>6</v>
      </c>
      <c r="U43" s="195">
        <f>SUM(I43:T43)</f>
        <v>73</v>
      </c>
    </row>
    <row r="44" spans="1:21" ht="17.100000000000001" customHeight="1">
      <c r="A44" s="372"/>
      <c r="B44" s="368"/>
      <c r="C44" s="368"/>
      <c r="D44" s="368"/>
      <c r="E44" s="363"/>
      <c r="F44" s="365"/>
      <c r="G44" s="190">
        <v>71</v>
      </c>
      <c r="H44" s="154" t="s">
        <v>24</v>
      </c>
      <c r="I44" s="190">
        <v>6</v>
      </c>
      <c r="J44" s="192">
        <v>6</v>
      </c>
      <c r="K44" s="192">
        <v>6</v>
      </c>
      <c r="L44" s="192">
        <v>6</v>
      </c>
      <c r="M44" s="192">
        <v>4</v>
      </c>
      <c r="N44" s="192">
        <v>4</v>
      </c>
      <c r="O44" s="192">
        <v>3</v>
      </c>
      <c r="P44" s="192">
        <v>3</v>
      </c>
      <c r="Q44" s="192">
        <v>5</v>
      </c>
      <c r="R44" s="192">
        <v>4</v>
      </c>
      <c r="S44" s="192">
        <v>6</v>
      </c>
      <c r="T44" s="196">
        <v>6</v>
      </c>
      <c r="U44" s="197">
        <f>SUM(I44:T44)</f>
        <v>59</v>
      </c>
    </row>
    <row r="45" spans="1:21" ht="17.100000000000001" customHeight="1">
      <c r="A45" s="372"/>
      <c r="B45" s="368"/>
      <c r="C45" s="368"/>
      <c r="D45" s="368"/>
      <c r="E45" s="363"/>
      <c r="F45" s="365"/>
      <c r="G45" s="184">
        <v>0.9726027397260274</v>
      </c>
      <c r="H45" s="159" t="s">
        <v>25</v>
      </c>
      <c r="I45" s="184">
        <f t="shared" ref="I45:T45" si="12">I43/I44*1</f>
        <v>1</v>
      </c>
      <c r="J45" s="184">
        <f t="shared" si="12"/>
        <v>1</v>
      </c>
      <c r="K45" s="184">
        <f t="shared" si="12"/>
        <v>1</v>
      </c>
      <c r="L45" s="184">
        <f t="shared" si="12"/>
        <v>1</v>
      </c>
      <c r="M45" s="184">
        <f t="shared" si="12"/>
        <v>1.25</v>
      </c>
      <c r="N45" s="184">
        <f t="shared" si="12"/>
        <v>1.25</v>
      </c>
      <c r="O45" s="184">
        <f t="shared" si="12"/>
        <v>2.3333333333333335</v>
      </c>
      <c r="P45" s="184">
        <f t="shared" si="12"/>
        <v>2.3333333333333335</v>
      </c>
      <c r="Q45" s="184">
        <f t="shared" si="12"/>
        <v>1.4</v>
      </c>
      <c r="R45" s="184">
        <f t="shared" si="12"/>
        <v>1.5</v>
      </c>
      <c r="S45" s="184">
        <f t="shared" si="12"/>
        <v>1</v>
      </c>
      <c r="T45" s="184">
        <f t="shared" si="12"/>
        <v>1</v>
      </c>
      <c r="U45" s="187">
        <f>U44/U43*1</f>
        <v>0.80821917808219179</v>
      </c>
    </row>
    <row r="46" spans="1:21" ht="17.100000000000001" customHeight="1">
      <c r="A46" s="372"/>
      <c r="B46" s="368"/>
      <c r="C46" s="394" t="s">
        <v>219</v>
      </c>
      <c r="D46" s="368"/>
      <c r="E46" s="363"/>
      <c r="F46" s="370" t="s">
        <v>220</v>
      </c>
      <c r="G46" s="193">
        <v>6.083333333333333</v>
      </c>
      <c r="H46" s="150" t="s">
        <v>23</v>
      </c>
      <c r="I46" s="193">
        <v>6</v>
      </c>
      <c r="J46" s="193">
        <v>6</v>
      </c>
      <c r="K46" s="193">
        <v>6</v>
      </c>
      <c r="L46" s="193">
        <v>6</v>
      </c>
      <c r="M46" s="193">
        <v>5</v>
      </c>
      <c r="N46" s="193">
        <v>5</v>
      </c>
      <c r="O46" s="193">
        <v>7</v>
      </c>
      <c r="P46" s="193">
        <v>7</v>
      </c>
      <c r="Q46" s="193">
        <v>7</v>
      </c>
      <c r="R46" s="193">
        <v>6</v>
      </c>
      <c r="S46" s="193">
        <v>6</v>
      </c>
      <c r="T46" s="193">
        <v>6</v>
      </c>
      <c r="U46" s="165">
        <f>AVERAGE(I46:T46)</f>
        <v>6.083333333333333</v>
      </c>
    </row>
    <row r="47" spans="1:21" ht="17.100000000000001" customHeight="1">
      <c r="A47" s="372"/>
      <c r="B47" s="368"/>
      <c r="C47" s="394"/>
      <c r="D47" s="368"/>
      <c r="E47" s="363"/>
      <c r="F47" s="370"/>
      <c r="G47" s="204">
        <v>6.083333333333333</v>
      </c>
      <c r="H47" s="154" t="s">
        <v>24</v>
      </c>
      <c r="I47" s="204">
        <v>6</v>
      </c>
      <c r="J47" s="205">
        <v>6</v>
      </c>
      <c r="K47" s="205">
        <v>6</v>
      </c>
      <c r="L47" s="205">
        <v>6</v>
      </c>
      <c r="M47" s="205">
        <v>5</v>
      </c>
      <c r="N47" s="205">
        <v>5</v>
      </c>
      <c r="O47" s="205">
        <v>7</v>
      </c>
      <c r="P47" s="205">
        <v>7</v>
      </c>
      <c r="Q47" s="205">
        <v>7</v>
      </c>
      <c r="R47" s="205">
        <v>6</v>
      </c>
      <c r="S47" s="205">
        <v>6</v>
      </c>
      <c r="T47" s="206">
        <v>6</v>
      </c>
      <c r="U47" s="207">
        <f>AVERAGE(I47:T47)</f>
        <v>6.083333333333333</v>
      </c>
    </row>
    <row r="48" spans="1:21" ht="17.100000000000001" customHeight="1" thickBot="1">
      <c r="A48" s="372"/>
      <c r="B48" s="408"/>
      <c r="C48" s="413"/>
      <c r="D48" s="408"/>
      <c r="E48" s="410"/>
      <c r="F48" s="414"/>
      <c r="G48" s="198">
        <v>1</v>
      </c>
      <c r="H48" s="159" t="s">
        <v>25</v>
      </c>
      <c r="I48" s="208">
        <f t="shared" ref="I48:U48" si="13">I47/I46*1</f>
        <v>1</v>
      </c>
      <c r="J48" s="208">
        <f t="shared" si="13"/>
        <v>1</v>
      </c>
      <c r="K48" s="208">
        <f t="shared" si="13"/>
        <v>1</v>
      </c>
      <c r="L48" s="208">
        <f t="shared" si="13"/>
        <v>1</v>
      </c>
      <c r="M48" s="208">
        <f t="shared" si="13"/>
        <v>1</v>
      </c>
      <c r="N48" s="208">
        <f t="shared" si="13"/>
        <v>1</v>
      </c>
      <c r="O48" s="208">
        <f t="shared" si="13"/>
        <v>1</v>
      </c>
      <c r="P48" s="208">
        <f t="shared" si="13"/>
        <v>1</v>
      </c>
      <c r="Q48" s="208">
        <f t="shared" si="13"/>
        <v>1</v>
      </c>
      <c r="R48" s="208">
        <f t="shared" si="13"/>
        <v>1</v>
      </c>
      <c r="S48" s="208">
        <f t="shared" si="13"/>
        <v>1</v>
      </c>
      <c r="T48" s="209">
        <f t="shared" si="13"/>
        <v>1</v>
      </c>
      <c r="U48" s="210">
        <f t="shared" si="13"/>
        <v>1</v>
      </c>
    </row>
    <row r="49" spans="1:21" ht="17.100000000000001" customHeight="1" thickBot="1">
      <c r="A49" s="415">
        <v>4</v>
      </c>
      <c r="B49" s="416" t="s">
        <v>221</v>
      </c>
      <c r="C49" s="419" t="s">
        <v>132</v>
      </c>
      <c r="D49" s="419" t="s">
        <v>207</v>
      </c>
      <c r="E49" s="409" t="s">
        <v>208</v>
      </c>
      <c r="F49" s="421" t="s">
        <v>133</v>
      </c>
      <c r="G49" s="193">
        <v>100</v>
      </c>
      <c r="H49" s="150" t="s">
        <v>23</v>
      </c>
      <c r="I49" s="188">
        <v>100</v>
      </c>
      <c r="J49" s="188">
        <v>100</v>
      </c>
      <c r="K49" s="188">
        <v>100</v>
      </c>
      <c r="L49" s="188">
        <v>100</v>
      </c>
      <c r="M49" s="188">
        <v>100</v>
      </c>
      <c r="N49" s="188">
        <v>100</v>
      </c>
      <c r="O49" s="188">
        <v>100</v>
      </c>
      <c r="P49" s="188">
        <v>100</v>
      </c>
      <c r="Q49" s="188">
        <v>100</v>
      </c>
      <c r="R49" s="188">
        <v>100</v>
      </c>
      <c r="S49" s="188">
        <v>100</v>
      </c>
      <c r="T49" s="188">
        <v>100</v>
      </c>
      <c r="U49" s="211">
        <f>AVERAGE(I49:T49)</f>
        <v>100</v>
      </c>
    </row>
    <row r="50" spans="1:21" ht="17.100000000000001" customHeight="1" thickBot="1">
      <c r="A50" s="415"/>
      <c r="B50" s="417"/>
      <c r="C50" s="394"/>
      <c r="D50" s="394"/>
      <c r="E50" s="363"/>
      <c r="F50" s="370"/>
      <c r="G50" s="204">
        <v>100</v>
      </c>
      <c r="H50" s="154" t="s">
        <v>24</v>
      </c>
      <c r="I50" s="204">
        <v>100</v>
      </c>
      <c r="J50" s="204">
        <v>100</v>
      </c>
      <c r="K50" s="204">
        <v>100</v>
      </c>
      <c r="L50" s="204">
        <v>100</v>
      </c>
      <c r="M50" s="204">
        <v>100</v>
      </c>
      <c r="N50" s="204">
        <v>100</v>
      </c>
      <c r="O50" s="204">
        <v>100</v>
      </c>
      <c r="P50" s="204">
        <v>100</v>
      </c>
      <c r="Q50" s="204">
        <v>100</v>
      </c>
      <c r="R50" s="204">
        <v>100</v>
      </c>
      <c r="S50" s="204">
        <v>100</v>
      </c>
      <c r="T50" s="204">
        <v>100</v>
      </c>
      <c r="U50" s="212">
        <f>AVERAGE(I50:T50)</f>
        <v>100</v>
      </c>
    </row>
    <row r="51" spans="1:21" ht="17.100000000000001" customHeight="1" thickBot="1">
      <c r="A51" s="415"/>
      <c r="B51" s="417"/>
      <c r="C51" s="394"/>
      <c r="D51" s="434"/>
      <c r="E51" s="444"/>
      <c r="F51" s="370"/>
      <c r="G51" s="158">
        <v>1</v>
      </c>
      <c r="H51" s="159" t="s">
        <v>25</v>
      </c>
      <c r="I51" s="158">
        <f t="shared" ref="I51:U51" si="14">I50/I49*1</f>
        <v>1</v>
      </c>
      <c r="J51" s="158">
        <f t="shared" si="14"/>
        <v>1</v>
      </c>
      <c r="K51" s="158">
        <f t="shared" si="14"/>
        <v>1</v>
      </c>
      <c r="L51" s="158">
        <f t="shared" si="14"/>
        <v>1</v>
      </c>
      <c r="M51" s="158">
        <f t="shared" si="14"/>
        <v>1</v>
      </c>
      <c r="N51" s="158">
        <f t="shared" si="14"/>
        <v>1</v>
      </c>
      <c r="O51" s="158">
        <f t="shared" si="14"/>
        <v>1</v>
      </c>
      <c r="P51" s="158">
        <f t="shared" si="14"/>
        <v>1</v>
      </c>
      <c r="Q51" s="158">
        <f t="shared" si="14"/>
        <v>1</v>
      </c>
      <c r="R51" s="158">
        <f t="shared" si="14"/>
        <v>1</v>
      </c>
      <c r="S51" s="158">
        <f t="shared" si="14"/>
        <v>1</v>
      </c>
      <c r="T51" s="158">
        <f t="shared" si="14"/>
        <v>1</v>
      </c>
      <c r="U51" s="194">
        <f t="shared" si="14"/>
        <v>1</v>
      </c>
    </row>
    <row r="52" spans="1:21" ht="17.100000000000001" customHeight="1" thickBot="1">
      <c r="A52" s="415"/>
      <c r="B52" s="417"/>
      <c r="C52" s="420" t="s">
        <v>222</v>
      </c>
      <c r="D52" s="424" t="s">
        <v>207</v>
      </c>
      <c r="E52" s="451" t="s">
        <v>208</v>
      </c>
      <c r="F52" s="364" t="s">
        <v>223</v>
      </c>
      <c r="G52" s="149">
        <v>0</v>
      </c>
      <c r="H52" s="150" t="s">
        <v>23</v>
      </c>
      <c r="I52" s="151">
        <v>0</v>
      </c>
      <c r="J52" s="151">
        <v>0</v>
      </c>
      <c r="K52" s="151">
        <v>0</v>
      </c>
      <c r="L52" s="151">
        <v>0</v>
      </c>
      <c r="M52" s="151">
        <v>0</v>
      </c>
      <c r="N52" s="151">
        <v>0</v>
      </c>
      <c r="O52" s="151">
        <v>0</v>
      </c>
      <c r="P52" s="151">
        <v>0</v>
      </c>
      <c r="Q52" s="151">
        <v>0</v>
      </c>
      <c r="R52" s="151">
        <v>0</v>
      </c>
      <c r="S52" s="151">
        <v>0</v>
      </c>
      <c r="T52" s="151">
        <v>0</v>
      </c>
      <c r="U52" s="195">
        <f>SUM(I52:T52)</f>
        <v>0</v>
      </c>
    </row>
    <row r="53" spans="1:21" ht="17.100000000000001" customHeight="1" thickBot="1">
      <c r="A53" s="415"/>
      <c r="B53" s="417"/>
      <c r="C53" s="417"/>
      <c r="D53" s="394"/>
      <c r="E53" s="452"/>
      <c r="F53" s="365"/>
      <c r="G53" s="153">
        <v>0</v>
      </c>
      <c r="H53" s="154" t="s">
        <v>24</v>
      </c>
      <c r="I53" s="155">
        <v>0</v>
      </c>
      <c r="J53" s="155">
        <v>0</v>
      </c>
      <c r="K53" s="155">
        <v>0</v>
      </c>
      <c r="L53" s="155">
        <v>0</v>
      </c>
      <c r="M53" s="155">
        <v>0</v>
      </c>
      <c r="N53" s="155">
        <v>0</v>
      </c>
      <c r="O53" s="155">
        <v>0</v>
      </c>
      <c r="P53" s="155">
        <v>0</v>
      </c>
      <c r="Q53" s="155">
        <v>0</v>
      </c>
      <c r="R53" s="155">
        <v>0</v>
      </c>
      <c r="S53" s="155">
        <v>0</v>
      </c>
      <c r="T53" s="155">
        <v>0</v>
      </c>
      <c r="U53" s="197">
        <f>SUM(I53:T53)</f>
        <v>0</v>
      </c>
    </row>
    <row r="54" spans="1:21" ht="17.100000000000001" customHeight="1" thickBot="1">
      <c r="A54" s="415"/>
      <c r="B54" s="417"/>
      <c r="C54" s="424"/>
      <c r="D54" s="434"/>
      <c r="E54" s="452"/>
      <c r="F54" s="366"/>
      <c r="G54" s="158" t="e">
        <v>#DIV/0!</v>
      </c>
      <c r="H54" s="159" t="s">
        <v>25</v>
      </c>
      <c r="I54" s="158" t="e">
        <f t="shared" ref="I54:U54" si="15">I53/I52*1</f>
        <v>#DIV/0!</v>
      </c>
      <c r="J54" s="158" t="e">
        <f t="shared" si="15"/>
        <v>#DIV/0!</v>
      </c>
      <c r="K54" s="158" t="e">
        <f t="shared" si="15"/>
        <v>#DIV/0!</v>
      </c>
      <c r="L54" s="158" t="e">
        <f t="shared" si="15"/>
        <v>#DIV/0!</v>
      </c>
      <c r="M54" s="158" t="e">
        <f t="shared" si="15"/>
        <v>#DIV/0!</v>
      </c>
      <c r="N54" s="158" t="e">
        <f t="shared" si="15"/>
        <v>#DIV/0!</v>
      </c>
      <c r="O54" s="158" t="e">
        <f t="shared" si="15"/>
        <v>#DIV/0!</v>
      </c>
      <c r="P54" s="158" t="e">
        <f t="shared" si="15"/>
        <v>#DIV/0!</v>
      </c>
      <c r="Q54" s="158" t="e">
        <f t="shared" si="15"/>
        <v>#DIV/0!</v>
      </c>
      <c r="R54" s="158" t="e">
        <f t="shared" si="15"/>
        <v>#DIV/0!</v>
      </c>
      <c r="S54" s="158" t="e">
        <f t="shared" si="15"/>
        <v>#DIV/0!</v>
      </c>
      <c r="T54" s="158" t="e">
        <f t="shared" si="15"/>
        <v>#DIV/0!</v>
      </c>
      <c r="U54" s="194" t="e">
        <f t="shared" si="15"/>
        <v>#DIV/0!</v>
      </c>
    </row>
    <row r="55" spans="1:21" ht="17.100000000000001" customHeight="1" thickBot="1">
      <c r="A55" s="415"/>
      <c r="B55" s="417"/>
      <c r="C55" s="394" t="s">
        <v>136</v>
      </c>
      <c r="D55" s="424" t="s">
        <v>207</v>
      </c>
      <c r="E55" s="451" t="s">
        <v>208</v>
      </c>
      <c r="F55" s="370" t="s">
        <v>224</v>
      </c>
      <c r="G55" s="193">
        <v>1200</v>
      </c>
      <c r="H55" s="150" t="s">
        <v>23</v>
      </c>
      <c r="I55" s="213">
        <v>100</v>
      </c>
      <c r="J55" s="191">
        <v>100</v>
      </c>
      <c r="K55" s="191">
        <v>100</v>
      </c>
      <c r="L55" s="191">
        <v>100</v>
      </c>
      <c r="M55" s="191">
        <v>100</v>
      </c>
      <c r="N55" s="191">
        <v>100</v>
      </c>
      <c r="O55" s="191">
        <v>100</v>
      </c>
      <c r="P55" s="191">
        <v>100</v>
      </c>
      <c r="Q55" s="191">
        <v>100</v>
      </c>
      <c r="R55" s="191">
        <v>100</v>
      </c>
      <c r="S55" s="191">
        <v>100</v>
      </c>
      <c r="T55" s="191">
        <v>100</v>
      </c>
      <c r="U55" s="165">
        <f>SUM(I55:T55)</f>
        <v>1200</v>
      </c>
    </row>
    <row r="56" spans="1:21" ht="17.100000000000001" customHeight="1" thickBot="1">
      <c r="A56" s="415"/>
      <c r="B56" s="417"/>
      <c r="C56" s="394"/>
      <c r="D56" s="394"/>
      <c r="E56" s="452"/>
      <c r="F56" s="370"/>
      <c r="G56" s="204">
        <v>1200</v>
      </c>
      <c r="H56" s="154" t="s">
        <v>24</v>
      </c>
      <c r="I56" s="204">
        <v>100</v>
      </c>
      <c r="J56" s="204">
        <v>100</v>
      </c>
      <c r="K56" s="204">
        <v>100</v>
      </c>
      <c r="L56" s="204">
        <v>100</v>
      </c>
      <c r="M56" s="204">
        <v>100</v>
      </c>
      <c r="N56" s="204">
        <v>100</v>
      </c>
      <c r="O56" s="204">
        <v>100</v>
      </c>
      <c r="P56" s="204">
        <v>100</v>
      </c>
      <c r="Q56" s="204">
        <v>100</v>
      </c>
      <c r="R56" s="204">
        <v>100</v>
      </c>
      <c r="S56" s="204">
        <v>100</v>
      </c>
      <c r="T56" s="206">
        <v>100</v>
      </c>
      <c r="U56" s="207">
        <f>SUM(I56:T56)</f>
        <v>1200</v>
      </c>
    </row>
    <row r="57" spans="1:21" ht="17.100000000000001" customHeight="1" thickBot="1">
      <c r="A57" s="415"/>
      <c r="B57" s="417"/>
      <c r="C57" s="420"/>
      <c r="D57" s="420"/>
      <c r="E57" s="452"/>
      <c r="F57" s="364"/>
      <c r="G57" s="184">
        <v>1</v>
      </c>
      <c r="H57" s="159" t="s">
        <v>25</v>
      </c>
      <c r="I57" s="184">
        <f t="shared" ref="I57:U57" si="16">I56/I55*1</f>
        <v>1</v>
      </c>
      <c r="J57" s="184">
        <f t="shared" si="16"/>
        <v>1</v>
      </c>
      <c r="K57" s="184">
        <f t="shared" si="16"/>
        <v>1</v>
      </c>
      <c r="L57" s="184">
        <f t="shared" si="16"/>
        <v>1</v>
      </c>
      <c r="M57" s="184">
        <f t="shared" si="16"/>
        <v>1</v>
      </c>
      <c r="N57" s="184">
        <f t="shared" si="16"/>
        <v>1</v>
      </c>
      <c r="O57" s="184">
        <f t="shared" si="16"/>
        <v>1</v>
      </c>
      <c r="P57" s="184">
        <f t="shared" si="16"/>
        <v>1</v>
      </c>
      <c r="Q57" s="184">
        <f t="shared" si="16"/>
        <v>1</v>
      </c>
      <c r="R57" s="184">
        <f t="shared" si="16"/>
        <v>1</v>
      </c>
      <c r="S57" s="184">
        <f t="shared" si="16"/>
        <v>1</v>
      </c>
      <c r="T57" s="184">
        <f t="shared" si="16"/>
        <v>1</v>
      </c>
      <c r="U57" s="214">
        <f t="shared" si="16"/>
        <v>1</v>
      </c>
    </row>
    <row r="58" spans="1:21" ht="17.100000000000001" customHeight="1" thickBot="1">
      <c r="A58" s="415"/>
      <c r="B58" s="417"/>
      <c r="C58" s="394" t="s">
        <v>138</v>
      </c>
      <c r="D58" s="433" t="s">
        <v>207</v>
      </c>
      <c r="E58" s="363" t="s">
        <v>208</v>
      </c>
      <c r="F58" s="370" t="s">
        <v>225</v>
      </c>
      <c r="G58" s="215">
        <v>100</v>
      </c>
      <c r="H58" s="150" t="s">
        <v>23</v>
      </c>
      <c r="I58" s="149">
        <v>100</v>
      </c>
      <c r="J58" s="151">
        <v>100</v>
      </c>
      <c r="K58" s="151">
        <v>100</v>
      </c>
      <c r="L58" s="151">
        <v>100</v>
      </c>
      <c r="M58" s="151">
        <v>100</v>
      </c>
      <c r="N58" s="151">
        <v>100</v>
      </c>
      <c r="O58" s="151">
        <v>100</v>
      </c>
      <c r="P58" s="151">
        <v>100</v>
      </c>
      <c r="Q58" s="151">
        <v>100</v>
      </c>
      <c r="R58" s="151">
        <v>100</v>
      </c>
      <c r="S58" s="151">
        <v>100</v>
      </c>
      <c r="T58" s="151">
        <v>100</v>
      </c>
      <c r="U58" s="216">
        <f>AVERAGE(I58:T58)</f>
        <v>100</v>
      </c>
    </row>
    <row r="59" spans="1:21" ht="17.100000000000001" customHeight="1" thickBot="1">
      <c r="A59" s="415"/>
      <c r="B59" s="417"/>
      <c r="C59" s="394"/>
      <c r="D59" s="394"/>
      <c r="E59" s="363"/>
      <c r="F59" s="370"/>
      <c r="G59" s="217">
        <v>92.954545454545453</v>
      </c>
      <c r="H59" s="154" t="s">
        <v>24</v>
      </c>
      <c r="I59" s="218">
        <v>93.727272727272734</v>
      </c>
      <c r="J59" s="219">
        <v>92.545454545454547</v>
      </c>
      <c r="K59" s="219">
        <v>93.272727272727266</v>
      </c>
      <c r="L59" s="219">
        <v>93.090909090909093</v>
      </c>
      <c r="M59" s="219">
        <v>95</v>
      </c>
      <c r="N59" s="219">
        <v>96</v>
      </c>
      <c r="O59" s="219">
        <v>96</v>
      </c>
      <c r="P59" s="219">
        <v>94</v>
      </c>
      <c r="Q59" s="219">
        <v>95</v>
      </c>
      <c r="R59" s="219">
        <v>97</v>
      </c>
      <c r="S59" s="219">
        <v>96</v>
      </c>
      <c r="T59" s="219">
        <v>96</v>
      </c>
      <c r="U59" s="220">
        <f>AVERAGE(I59:T59)</f>
        <v>94.803030303030297</v>
      </c>
    </row>
    <row r="60" spans="1:21" ht="17.100000000000001" customHeight="1" thickBot="1">
      <c r="A60" s="415"/>
      <c r="B60" s="418"/>
      <c r="C60" s="413"/>
      <c r="D60" s="425"/>
      <c r="E60" s="410"/>
      <c r="F60" s="414"/>
      <c r="G60" s="198">
        <v>0.92954545454545456</v>
      </c>
      <c r="H60" s="159" t="s">
        <v>25</v>
      </c>
      <c r="I60" s="208">
        <f t="shared" ref="I60:U60" si="17">I59/I58*1</f>
        <v>0.93727272727272737</v>
      </c>
      <c r="J60" s="208">
        <f t="shared" si="17"/>
        <v>0.92545454545454542</v>
      </c>
      <c r="K60" s="208">
        <f t="shared" si="17"/>
        <v>0.93272727272727263</v>
      </c>
      <c r="L60" s="208">
        <f t="shared" si="17"/>
        <v>0.93090909090909091</v>
      </c>
      <c r="M60" s="208">
        <f t="shared" si="17"/>
        <v>0.95</v>
      </c>
      <c r="N60" s="208">
        <f t="shared" si="17"/>
        <v>0.96</v>
      </c>
      <c r="O60" s="208">
        <f t="shared" si="17"/>
        <v>0.96</v>
      </c>
      <c r="P60" s="208">
        <f t="shared" si="17"/>
        <v>0.94</v>
      </c>
      <c r="Q60" s="208">
        <f t="shared" si="17"/>
        <v>0.95</v>
      </c>
      <c r="R60" s="208">
        <f t="shared" si="17"/>
        <v>0.97</v>
      </c>
      <c r="S60" s="208">
        <f t="shared" si="17"/>
        <v>0.96</v>
      </c>
      <c r="T60" s="209">
        <f t="shared" si="17"/>
        <v>0.96</v>
      </c>
      <c r="U60" s="210">
        <f t="shared" si="17"/>
        <v>0.948030303030303</v>
      </c>
    </row>
    <row r="61" spans="1:21" ht="22.5" customHeight="1" thickBot="1">
      <c r="A61" s="415">
        <v>5</v>
      </c>
      <c r="B61" s="419" t="s">
        <v>140</v>
      </c>
      <c r="C61" s="394" t="s">
        <v>226</v>
      </c>
      <c r="D61" s="424" t="s">
        <v>227</v>
      </c>
      <c r="E61" s="435" t="s">
        <v>228</v>
      </c>
      <c r="F61" s="370" t="s">
        <v>229</v>
      </c>
      <c r="G61" s="201">
        <v>21246590.061666667</v>
      </c>
      <c r="H61" s="150" t="s">
        <v>23</v>
      </c>
      <c r="I61" s="201">
        <v>7157748.4000000004</v>
      </c>
      <c r="J61" s="202">
        <v>15379999.800000001</v>
      </c>
      <c r="K61" s="202">
        <v>24180949.100000001</v>
      </c>
      <c r="L61" s="202">
        <v>57053089.5</v>
      </c>
      <c r="M61" s="202">
        <v>8686036.8650000002</v>
      </c>
      <c r="N61" s="202">
        <v>27323862.005000003</v>
      </c>
      <c r="O61" s="202">
        <v>17445843.018999998</v>
      </c>
      <c r="P61" s="202">
        <v>22082976.036000002</v>
      </c>
      <c r="Q61" s="202">
        <v>39922994.298</v>
      </c>
      <c r="R61" s="202">
        <v>40475057.975000001</v>
      </c>
      <c r="S61" s="202">
        <v>11142822.273</v>
      </c>
      <c r="T61" s="203">
        <v>9603609.5430000015</v>
      </c>
      <c r="U61" s="221">
        <f>AVERAGE(I61:T61)</f>
        <v>23371249.067833334</v>
      </c>
    </row>
    <row r="62" spans="1:21" ht="24.75" customHeight="1" thickBot="1">
      <c r="A62" s="415"/>
      <c r="B62" s="394"/>
      <c r="C62" s="394"/>
      <c r="D62" s="394"/>
      <c r="E62" s="395"/>
      <c r="F62" s="370"/>
      <c r="G62" s="204">
        <v>20637831.912266668</v>
      </c>
      <c r="H62" s="154" t="s">
        <v>24</v>
      </c>
      <c r="I62" s="204">
        <v>7014593.432</v>
      </c>
      <c r="J62" s="205">
        <v>14610999.810000001</v>
      </c>
      <c r="K62" s="205">
        <v>23455520.627</v>
      </c>
      <c r="L62" s="205">
        <v>55912027.710000001</v>
      </c>
      <c r="M62" s="205">
        <v>8571306</v>
      </c>
      <c r="N62" s="205">
        <v>27323862</v>
      </c>
      <c r="O62" s="205">
        <v>17365892</v>
      </c>
      <c r="P62" s="205">
        <v>22082976</v>
      </c>
      <c r="Q62" s="205">
        <v>39922994</v>
      </c>
      <c r="R62" s="205">
        <v>40425867</v>
      </c>
      <c r="S62" s="205">
        <v>11124822</v>
      </c>
      <c r="T62" s="205">
        <v>9603610</v>
      </c>
      <c r="U62" s="212">
        <f>AVERAGE(I62:T62)</f>
        <v>23117872.548250001</v>
      </c>
    </row>
    <row r="63" spans="1:21" ht="24.75" customHeight="1" thickBot="1">
      <c r="A63" s="371"/>
      <c r="B63" s="420"/>
      <c r="C63" s="420"/>
      <c r="D63" s="425"/>
      <c r="E63" s="436"/>
      <c r="F63" s="364"/>
      <c r="G63" s="184">
        <v>0.97134795994872003</v>
      </c>
      <c r="H63" s="159" t="s">
        <v>25</v>
      </c>
      <c r="I63" s="184">
        <f>I62/I61*1</f>
        <v>0.98</v>
      </c>
      <c r="J63" s="184">
        <f t="shared" ref="J63:U63" si="18">J62/J61*1</f>
        <v>0.95</v>
      </c>
      <c r="K63" s="184">
        <f t="shared" si="18"/>
        <v>0.97</v>
      </c>
      <c r="L63" s="184">
        <f t="shared" si="18"/>
        <v>0.98</v>
      </c>
      <c r="M63" s="184">
        <f t="shared" si="18"/>
        <v>0.98679134491561937</v>
      </c>
      <c r="N63" s="184">
        <f t="shared" si="18"/>
        <v>0.99999999981700971</v>
      </c>
      <c r="O63" s="184">
        <f t="shared" si="18"/>
        <v>0.99541718798495871</v>
      </c>
      <c r="P63" s="184">
        <f t="shared" si="18"/>
        <v>0.99999999836978481</v>
      </c>
      <c r="Q63" s="184">
        <f t="shared" si="18"/>
        <v>0.99999999253562999</v>
      </c>
      <c r="R63" s="184">
        <f t="shared" si="18"/>
        <v>0.99878465955427698</v>
      </c>
      <c r="S63" s="184">
        <f t="shared" si="18"/>
        <v>0.99838458582942524</v>
      </c>
      <c r="T63" s="184">
        <f t="shared" si="18"/>
        <v>1.0000000475862743</v>
      </c>
      <c r="U63" s="214">
        <f t="shared" si="18"/>
        <v>0.98915862310790803</v>
      </c>
    </row>
    <row r="64" spans="1:21" ht="17.100000000000001" customHeight="1" thickBot="1">
      <c r="A64" s="415">
        <v>6</v>
      </c>
      <c r="B64" s="448" t="s">
        <v>230</v>
      </c>
      <c r="C64" s="399" t="s">
        <v>231</v>
      </c>
      <c r="D64" s="424" t="s">
        <v>227</v>
      </c>
      <c r="E64" s="435" t="s">
        <v>228</v>
      </c>
      <c r="F64" s="437" t="s">
        <v>232</v>
      </c>
      <c r="G64" s="222">
        <v>12</v>
      </c>
      <c r="H64" s="150" t="s">
        <v>23</v>
      </c>
      <c r="I64" s="222">
        <v>1</v>
      </c>
      <c r="J64" s="222">
        <v>1</v>
      </c>
      <c r="K64" s="222">
        <v>1</v>
      </c>
      <c r="L64" s="222">
        <v>1</v>
      </c>
      <c r="M64" s="222">
        <v>1</v>
      </c>
      <c r="N64" s="222">
        <v>1</v>
      </c>
      <c r="O64" s="222">
        <v>1</v>
      </c>
      <c r="P64" s="222">
        <v>1</v>
      </c>
      <c r="Q64" s="222">
        <v>1</v>
      </c>
      <c r="R64" s="222">
        <v>1</v>
      </c>
      <c r="S64" s="222">
        <v>1</v>
      </c>
      <c r="T64" s="222">
        <v>1</v>
      </c>
      <c r="U64" s="223">
        <f>SUM(I64:T64)</f>
        <v>12</v>
      </c>
    </row>
    <row r="65" spans="1:21" ht="17.100000000000001" customHeight="1" thickBot="1">
      <c r="A65" s="415"/>
      <c r="B65" s="449"/>
      <c r="C65" s="400"/>
      <c r="D65" s="394"/>
      <c r="E65" s="395"/>
      <c r="F65" s="365"/>
      <c r="G65" s="153">
        <v>12</v>
      </c>
      <c r="H65" s="154" t="s">
        <v>24</v>
      </c>
      <c r="I65" s="153">
        <v>1</v>
      </c>
      <c r="J65" s="153">
        <v>1</v>
      </c>
      <c r="K65" s="153">
        <v>1</v>
      </c>
      <c r="L65" s="153">
        <v>1</v>
      </c>
      <c r="M65" s="153">
        <v>1</v>
      </c>
      <c r="N65" s="153">
        <v>1</v>
      </c>
      <c r="O65" s="153">
        <v>1</v>
      </c>
      <c r="P65" s="153">
        <v>1</v>
      </c>
      <c r="Q65" s="153">
        <v>1</v>
      </c>
      <c r="R65" s="153">
        <v>1</v>
      </c>
      <c r="S65" s="153">
        <v>1</v>
      </c>
      <c r="T65" s="153">
        <v>1</v>
      </c>
      <c r="U65" s="157">
        <f>SUM(I65:T65)</f>
        <v>12</v>
      </c>
    </row>
    <row r="66" spans="1:21" ht="17.100000000000001" customHeight="1" thickBot="1">
      <c r="A66" s="415"/>
      <c r="B66" s="450"/>
      <c r="C66" s="406"/>
      <c r="D66" s="425"/>
      <c r="E66" s="436"/>
      <c r="F66" s="438"/>
      <c r="G66" s="198">
        <v>1</v>
      </c>
      <c r="H66" s="159" t="s">
        <v>25</v>
      </c>
      <c r="I66" s="198">
        <f t="shared" ref="I66:U66" si="19">I65/I64*1</f>
        <v>1</v>
      </c>
      <c r="J66" s="198">
        <f t="shared" si="19"/>
        <v>1</v>
      </c>
      <c r="K66" s="198">
        <f t="shared" si="19"/>
        <v>1</v>
      </c>
      <c r="L66" s="198">
        <f t="shared" si="19"/>
        <v>1</v>
      </c>
      <c r="M66" s="198">
        <f t="shared" si="19"/>
        <v>1</v>
      </c>
      <c r="N66" s="198">
        <f t="shared" si="19"/>
        <v>1</v>
      </c>
      <c r="O66" s="198">
        <f t="shared" si="19"/>
        <v>1</v>
      </c>
      <c r="P66" s="198">
        <f t="shared" si="19"/>
        <v>1</v>
      </c>
      <c r="Q66" s="198">
        <f t="shared" si="19"/>
        <v>1</v>
      </c>
      <c r="R66" s="198">
        <f t="shared" si="19"/>
        <v>1</v>
      </c>
      <c r="S66" s="198">
        <f t="shared" si="19"/>
        <v>1</v>
      </c>
      <c r="T66" s="199">
        <f t="shared" si="19"/>
        <v>1</v>
      </c>
      <c r="U66" s="200">
        <f t="shared" si="19"/>
        <v>1</v>
      </c>
    </row>
    <row r="67" spans="1:21" ht="17.100000000000001" customHeight="1" thickBot="1">
      <c r="A67" s="373">
        <v>7</v>
      </c>
      <c r="B67" s="389" t="s">
        <v>233</v>
      </c>
      <c r="C67" s="389" t="s">
        <v>149</v>
      </c>
      <c r="D67" s="399" t="s">
        <v>210</v>
      </c>
      <c r="E67" s="362" t="s">
        <v>188</v>
      </c>
      <c r="F67" s="365" t="s">
        <v>234</v>
      </c>
      <c r="G67" s="188">
        <v>5000</v>
      </c>
      <c r="H67" s="150" t="s">
        <v>23</v>
      </c>
      <c r="I67" s="188">
        <v>5000</v>
      </c>
      <c r="J67" s="188">
        <v>5000</v>
      </c>
      <c r="K67" s="188">
        <v>5000</v>
      </c>
      <c r="L67" s="188">
        <v>5000</v>
      </c>
      <c r="M67" s="188">
        <v>5000</v>
      </c>
      <c r="N67" s="188">
        <v>5000</v>
      </c>
      <c r="O67" s="188">
        <v>5000</v>
      </c>
      <c r="P67" s="188">
        <v>5000</v>
      </c>
      <c r="Q67" s="188">
        <v>5000</v>
      </c>
      <c r="R67" s="188">
        <v>5000</v>
      </c>
      <c r="S67" s="188">
        <v>5000</v>
      </c>
      <c r="T67" s="188">
        <v>5000</v>
      </c>
      <c r="U67" s="224">
        <f>AVERAGE(I67:T67)</f>
        <v>5000</v>
      </c>
    </row>
    <row r="68" spans="1:21" ht="17.100000000000001" customHeight="1" thickBot="1">
      <c r="A68" s="415"/>
      <c r="B68" s="389"/>
      <c r="C68" s="389"/>
      <c r="D68" s="400"/>
      <c r="E68" s="363"/>
      <c r="F68" s="365"/>
      <c r="G68" s="190">
        <v>4527</v>
      </c>
      <c r="H68" s="154" t="s">
        <v>24</v>
      </c>
      <c r="I68" s="190">
        <v>4950</v>
      </c>
      <c r="J68" s="192">
        <v>4464</v>
      </c>
      <c r="K68" s="192">
        <v>4854</v>
      </c>
      <c r="L68" s="192">
        <v>4464</v>
      </c>
      <c r="M68" s="225">
        <v>4635</v>
      </c>
      <c r="N68" s="225">
        <v>4852</v>
      </c>
      <c r="O68" s="225">
        <v>4268</v>
      </c>
      <c r="P68" s="225">
        <v>4785</v>
      </c>
      <c r="Q68" s="225">
        <v>4853</v>
      </c>
      <c r="R68" s="225">
        <v>4902</v>
      </c>
      <c r="S68" s="225">
        <v>4852</v>
      </c>
      <c r="T68" s="225">
        <v>4758</v>
      </c>
      <c r="U68" s="226">
        <f>AVERAGE(I68:T68)</f>
        <v>4719.75</v>
      </c>
    </row>
    <row r="69" spans="1:21" ht="17.100000000000001" customHeight="1" thickBot="1">
      <c r="A69" s="371"/>
      <c r="B69" s="426"/>
      <c r="C69" s="426"/>
      <c r="D69" s="390"/>
      <c r="E69" s="363"/>
      <c r="F69" s="365"/>
      <c r="G69" s="184">
        <v>1.1044842058758559</v>
      </c>
      <c r="H69" s="159" t="s">
        <v>25</v>
      </c>
      <c r="I69" s="184">
        <f>I67/I68*1</f>
        <v>1.0101010101010102</v>
      </c>
      <c r="J69" s="184">
        <f t="shared" ref="J69:T69" si="20">J67/J68*1</f>
        <v>1.1200716845878136</v>
      </c>
      <c r="K69" s="184">
        <f t="shared" si="20"/>
        <v>1.0300782859497322</v>
      </c>
      <c r="L69" s="184">
        <f t="shared" si="20"/>
        <v>1.1200716845878136</v>
      </c>
      <c r="M69" s="184">
        <f t="shared" si="20"/>
        <v>1.0787486515641855</v>
      </c>
      <c r="N69" s="184">
        <f>N67/N68*1</f>
        <v>1.0305028854080791</v>
      </c>
      <c r="O69" s="184">
        <f t="shared" si="20"/>
        <v>1.1715089034676665</v>
      </c>
      <c r="P69" s="184">
        <f t="shared" si="20"/>
        <v>1.044932079414838</v>
      </c>
      <c r="Q69" s="184">
        <f t="shared" si="20"/>
        <v>1.030290541932825</v>
      </c>
      <c r="R69" s="184">
        <f t="shared" si="20"/>
        <v>1.0199918400652794</v>
      </c>
      <c r="S69" s="184">
        <f t="shared" si="20"/>
        <v>1.0305028854080791</v>
      </c>
      <c r="T69" s="227">
        <f t="shared" si="20"/>
        <v>1.0508617065994115</v>
      </c>
      <c r="U69" s="187">
        <f>U67/U68</f>
        <v>1.059378145028868</v>
      </c>
    </row>
    <row r="70" spans="1:21" ht="17.100000000000001" customHeight="1" thickBot="1">
      <c r="A70" s="415">
        <v>8</v>
      </c>
      <c r="B70" s="374" t="s">
        <v>235</v>
      </c>
      <c r="C70" s="399" t="s">
        <v>236</v>
      </c>
      <c r="D70" s="399" t="s">
        <v>237</v>
      </c>
      <c r="E70" s="409" t="s">
        <v>198</v>
      </c>
      <c r="F70" s="437" t="s">
        <v>238</v>
      </c>
      <c r="G70" s="228">
        <v>1</v>
      </c>
      <c r="H70" s="150" t="s">
        <v>23</v>
      </c>
      <c r="I70" s="229">
        <v>1</v>
      </c>
      <c r="J70" s="229">
        <v>1</v>
      </c>
      <c r="K70" s="229">
        <v>1</v>
      </c>
      <c r="L70" s="229">
        <v>1</v>
      </c>
      <c r="M70" s="229">
        <v>1</v>
      </c>
      <c r="N70" s="229">
        <v>1</v>
      </c>
      <c r="O70" s="229">
        <v>1</v>
      </c>
      <c r="P70" s="229">
        <v>1</v>
      </c>
      <c r="Q70" s="229">
        <v>1</v>
      </c>
      <c r="R70" s="229">
        <v>1</v>
      </c>
      <c r="S70" s="229">
        <v>1</v>
      </c>
      <c r="T70" s="229">
        <v>1</v>
      </c>
      <c r="U70" s="230">
        <f>AVERAGE(I70:T70)</f>
        <v>1</v>
      </c>
    </row>
    <row r="71" spans="1:21" ht="17.100000000000001" customHeight="1" thickBot="1">
      <c r="A71" s="415"/>
      <c r="B71" s="368"/>
      <c r="C71" s="400"/>
      <c r="D71" s="400"/>
      <c r="E71" s="363"/>
      <c r="F71" s="365"/>
      <c r="G71" s="231">
        <v>1</v>
      </c>
      <c r="H71" s="154" t="s">
        <v>24</v>
      </c>
      <c r="I71" s="231">
        <v>1</v>
      </c>
      <c r="J71" s="231">
        <v>1</v>
      </c>
      <c r="K71" s="231">
        <v>1</v>
      </c>
      <c r="L71" s="231">
        <v>1</v>
      </c>
      <c r="M71" s="231">
        <v>1</v>
      </c>
      <c r="N71" s="231">
        <v>1</v>
      </c>
      <c r="O71" s="231">
        <v>1</v>
      </c>
      <c r="P71" s="231">
        <v>1</v>
      </c>
      <c r="Q71" s="231">
        <v>1</v>
      </c>
      <c r="R71" s="231">
        <v>1</v>
      </c>
      <c r="S71" s="231">
        <v>1</v>
      </c>
      <c r="T71" s="231">
        <v>1</v>
      </c>
      <c r="U71" s="232">
        <f>AVERAGE(I71:T71)</f>
        <v>1</v>
      </c>
    </row>
    <row r="72" spans="1:21" ht="17.100000000000001" customHeight="1" thickBot="1">
      <c r="A72" s="415"/>
      <c r="B72" s="368"/>
      <c r="C72" s="390"/>
      <c r="D72" s="426"/>
      <c r="E72" s="444"/>
      <c r="F72" s="366"/>
      <c r="G72" s="158">
        <v>1</v>
      </c>
      <c r="H72" s="159" t="s">
        <v>25</v>
      </c>
      <c r="I72" s="158">
        <f t="shared" ref="I72:U72" si="21">I71/I70*1</f>
        <v>1</v>
      </c>
      <c r="J72" s="158">
        <f t="shared" si="21"/>
        <v>1</v>
      </c>
      <c r="K72" s="158">
        <f t="shared" si="21"/>
        <v>1</v>
      </c>
      <c r="L72" s="158">
        <f t="shared" si="21"/>
        <v>1</v>
      </c>
      <c r="M72" s="158">
        <f t="shared" si="21"/>
        <v>1</v>
      </c>
      <c r="N72" s="158">
        <f t="shared" si="21"/>
        <v>1</v>
      </c>
      <c r="O72" s="158">
        <f t="shared" si="21"/>
        <v>1</v>
      </c>
      <c r="P72" s="158">
        <f t="shared" si="21"/>
        <v>1</v>
      </c>
      <c r="Q72" s="158">
        <f t="shared" si="21"/>
        <v>1</v>
      </c>
      <c r="R72" s="158">
        <f t="shared" si="21"/>
        <v>1</v>
      </c>
      <c r="S72" s="158">
        <f t="shared" si="21"/>
        <v>1</v>
      </c>
      <c r="T72" s="160">
        <f t="shared" si="21"/>
        <v>1</v>
      </c>
      <c r="U72" s="161">
        <f t="shared" si="21"/>
        <v>1</v>
      </c>
    </row>
    <row r="73" spans="1:21" ht="17.100000000000001" customHeight="1" thickBot="1">
      <c r="A73" s="415"/>
      <c r="B73" s="368"/>
      <c r="C73" s="389" t="s">
        <v>239</v>
      </c>
      <c r="D73" s="445" t="s">
        <v>210</v>
      </c>
      <c r="E73" s="362" t="s">
        <v>188</v>
      </c>
      <c r="F73" s="405" t="s">
        <v>240</v>
      </c>
      <c r="G73" s="149">
        <v>27</v>
      </c>
      <c r="H73" s="150" t="s">
        <v>23</v>
      </c>
      <c r="I73" s="151">
        <v>2</v>
      </c>
      <c r="J73" s="151">
        <v>2</v>
      </c>
      <c r="K73" s="151">
        <v>2</v>
      </c>
      <c r="L73" s="151">
        <v>2</v>
      </c>
      <c r="M73" s="151">
        <v>2</v>
      </c>
      <c r="N73" s="151">
        <v>2</v>
      </c>
      <c r="O73" s="151">
        <v>3</v>
      </c>
      <c r="P73" s="151">
        <v>2</v>
      </c>
      <c r="Q73" s="151">
        <v>3</v>
      </c>
      <c r="R73" s="151">
        <v>2</v>
      </c>
      <c r="S73" s="151">
        <v>3</v>
      </c>
      <c r="T73" s="162">
        <v>2</v>
      </c>
      <c r="U73" s="152">
        <f>SUM(I73:T73)</f>
        <v>27</v>
      </c>
    </row>
    <row r="74" spans="1:21" ht="17.100000000000001" customHeight="1" thickBot="1">
      <c r="A74" s="415"/>
      <c r="B74" s="368"/>
      <c r="C74" s="400"/>
      <c r="D74" s="400"/>
      <c r="E74" s="363"/>
      <c r="F74" s="402"/>
      <c r="G74" s="149">
        <v>27</v>
      </c>
      <c r="H74" s="233" t="s">
        <v>24</v>
      </c>
      <c r="I74" s="155">
        <v>2</v>
      </c>
      <c r="J74" s="155">
        <v>2</v>
      </c>
      <c r="K74" s="155">
        <v>2</v>
      </c>
      <c r="L74" s="155">
        <v>2</v>
      </c>
      <c r="M74" s="155">
        <v>2</v>
      </c>
      <c r="N74" s="155">
        <v>2</v>
      </c>
      <c r="O74" s="155">
        <v>2</v>
      </c>
      <c r="P74" s="155">
        <v>2</v>
      </c>
      <c r="Q74" s="155">
        <v>3</v>
      </c>
      <c r="R74" s="155">
        <v>2</v>
      </c>
      <c r="S74" s="155">
        <v>2</v>
      </c>
      <c r="T74" s="156">
        <v>2</v>
      </c>
      <c r="U74" s="157">
        <f>SUM(I74:T74)</f>
        <v>25</v>
      </c>
    </row>
    <row r="75" spans="1:21" ht="17.100000000000001" customHeight="1" thickBot="1">
      <c r="A75" s="415"/>
      <c r="B75" s="408"/>
      <c r="C75" s="406"/>
      <c r="D75" s="446"/>
      <c r="E75" s="447"/>
      <c r="F75" s="407"/>
      <c r="G75" s="198">
        <v>1</v>
      </c>
      <c r="H75" s="234" t="s">
        <v>25</v>
      </c>
      <c r="I75" s="198">
        <f t="shared" ref="I75:U75" si="22">I74/I73*1</f>
        <v>1</v>
      </c>
      <c r="J75" s="198">
        <f t="shared" si="22"/>
        <v>1</v>
      </c>
      <c r="K75" s="198">
        <f t="shared" si="22"/>
        <v>1</v>
      </c>
      <c r="L75" s="198">
        <f t="shared" si="22"/>
        <v>1</v>
      </c>
      <c r="M75" s="198">
        <f t="shared" si="22"/>
        <v>1</v>
      </c>
      <c r="N75" s="198">
        <f t="shared" si="22"/>
        <v>1</v>
      </c>
      <c r="O75" s="198">
        <f t="shared" si="22"/>
        <v>0.66666666666666663</v>
      </c>
      <c r="P75" s="198">
        <f t="shared" si="22"/>
        <v>1</v>
      </c>
      <c r="Q75" s="198">
        <f t="shared" si="22"/>
        <v>1</v>
      </c>
      <c r="R75" s="198">
        <f t="shared" si="22"/>
        <v>1</v>
      </c>
      <c r="S75" s="198">
        <f t="shared" si="22"/>
        <v>0.66666666666666663</v>
      </c>
      <c r="T75" s="199">
        <f t="shared" si="22"/>
        <v>1</v>
      </c>
      <c r="U75" s="200">
        <f t="shared" si="22"/>
        <v>0.92592592592592593</v>
      </c>
    </row>
    <row r="76" spans="1:21" ht="15" customHeight="1" thickBot="1">
      <c r="A76" s="441">
        <v>9</v>
      </c>
      <c r="B76" s="368" t="s">
        <v>241</v>
      </c>
      <c r="C76" s="368" t="s">
        <v>158</v>
      </c>
      <c r="D76" s="368" t="s">
        <v>195</v>
      </c>
      <c r="E76" s="363" t="s">
        <v>198</v>
      </c>
      <c r="F76" s="365" t="s">
        <v>242</v>
      </c>
      <c r="G76" s="235">
        <v>12</v>
      </c>
      <c r="H76" s="236" t="s">
        <v>23</v>
      </c>
      <c r="I76" s="237">
        <v>1</v>
      </c>
      <c r="J76" s="237">
        <v>1</v>
      </c>
      <c r="K76" s="237">
        <v>1</v>
      </c>
      <c r="L76" s="237">
        <v>1</v>
      </c>
      <c r="M76" s="237">
        <v>1</v>
      </c>
      <c r="N76" s="237">
        <v>1</v>
      </c>
      <c r="O76" s="237">
        <v>1</v>
      </c>
      <c r="P76" s="237">
        <v>1</v>
      </c>
      <c r="Q76" s="237">
        <v>1</v>
      </c>
      <c r="R76" s="237">
        <v>1</v>
      </c>
      <c r="S76" s="237">
        <v>1</v>
      </c>
      <c r="T76" s="237">
        <v>1</v>
      </c>
      <c r="U76" s="152">
        <f>SUM(I76:T76)</f>
        <v>12</v>
      </c>
    </row>
    <row r="77" spans="1:21" ht="15" customHeight="1" thickBot="1">
      <c r="A77" s="442"/>
      <c r="B77" s="368"/>
      <c r="C77" s="368"/>
      <c r="D77" s="368"/>
      <c r="E77" s="363"/>
      <c r="F77" s="365"/>
      <c r="G77" s="231">
        <v>12</v>
      </c>
      <c r="H77" s="233" t="s">
        <v>24</v>
      </c>
      <c r="I77" s="238">
        <v>1</v>
      </c>
      <c r="J77" s="238">
        <v>1</v>
      </c>
      <c r="K77" s="238">
        <v>1</v>
      </c>
      <c r="L77" s="238">
        <v>1</v>
      </c>
      <c r="M77" s="238">
        <v>1</v>
      </c>
      <c r="N77" s="238">
        <v>1</v>
      </c>
      <c r="O77" s="238">
        <v>1</v>
      </c>
      <c r="P77" s="238">
        <v>1</v>
      </c>
      <c r="Q77" s="238">
        <v>1</v>
      </c>
      <c r="R77" s="238">
        <v>1</v>
      </c>
      <c r="S77" s="238">
        <v>1</v>
      </c>
      <c r="T77" s="238">
        <v>1</v>
      </c>
      <c r="U77" s="157">
        <f>SUM(I77:T77)</f>
        <v>12</v>
      </c>
    </row>
    <row r="78" spans="1:21" ht="15" customHeight="1" thickBot="1">
      <c r="A78" s="442"/>
      <c r="B78" s="408"/>
      <c r="C78" s="408"/>
      <c r="D78" s="408"/>
      <c r="E78" s="410"/>
      <c r="F78" s="443"/>
      <c r="G78" s="158">
        <v>1</v>
      </c>
      <c r="H78" s="234" t="s">
        <v>25</v>
      </c>
      <c r="I78" s="198">
        <f t="shared" ref="I78:U78" si="23">I77/I76*1</f>
        <v>1</v>
      </c>
      <c r="J78" s="198">
        <f t="shared" si="23"/>
        <v>1</v>
      </c>
      <c r="K78" s="198">
        <f t="shared" si="23"/>
        <v>1</v>
      </c>
      <c r="L78" s="198">
        <f t="shared" si="23"/>
        <v>1</v>
      </c>
      <c r="M78" s="198">
        <f t="shared" si="23"/>
        <v>1</v>
      </c>
      <c r="N78" s="198">
        <f t="shared" si="23"/>
        <v>1</v>
      </c>
      <c r="O78" s="198">
        <f t="shared" si="23"/>
        <v>1</v>
      </c>
      <c r="P78" s="198">
        <f t="shared" si="23"/>
        <v>1</v>
      </c>
      <c r="Q78" s="198">
        <f t="shared" si="23"/>
        <v>1</v>
      </c>
      <c r="R78" s="198">
        <f t="shared" si="23"/>
        <v>1</v>
      </c>
      <c r="S78" s="198">
        <f t="shared" si="23"/>
        <v>1</v>
      </c>
      <c r="T78" s="199">
        <f t="shared" si="23"/>
        <v>1</v>
      </c>
      <c r="U78" s="200">
        <f t="shared" si="23"/>
        <v>1</v>
      </c>
    </row>
    <row r="82" spans="9:20">
      <c r="I82" s="1">
        <v>0.98</v>
      </c>
      <c r="J82" s="1">
        <v>0.95</v>
      </c>
      <c r="K82" s="1">
        <v>0.97</v>
      </c>
      <c r="L82" s="1">
        <v>0.98</v>
      </c>
      <c r="M82" s="1">
        <v>0.99009900990099009</v>
      </c>
      <c r="N82" s="1">
        <v>0.89285714285714268</v>
      </c>
      <c r="O82" s="1">
        <v>0.970873786407767</v>
      </c>
      <c r="P82" s="1">
        <v>0.89285714285714268</v>
      </c>
      <c r="Q82" s="1">
        <v>0.95238095238095233</v>
      </c>
      <c r="R82" s="1">
        <v>0.93457943925233644</v>
      </c>
      <c r="S82" s="1">
        <v>0.87719298245614052</v>
      </c>
      <c r="T82" s="1">
        <v>0.86956521739130432</v>
      </c>
    </row>
    <row r="83" spans="9:20">
      <c r="I83" s="120">
        <f>I82*I$61</f>
        <v>7014593.432</v>
      </c>
      <c r="J83" s="120">
        <f>J82*J$61</f>
        <v>14610999.810000001</v>
      </c>
      <c r="K83" s="120">
        <f>K82*K$61</f>
        <v>23455520.627</v>
      </c>
      <c r="L83" s="120">
        <f>L82*L$61</f>
        <v>55912027.710000001</v>
      </c>
      <c r="M83" s="103"/>
      <c r="N83" s="103"/>
    </row>
    <row r="84" spans="9:20">
      <c r="I84" s="1">
        <v>0.1</v>
      </c>
      <c r="J84" s="1">
        <v>0.1</v>
      </c>
      <c r="K84" s="1">
        <v>0.1</v>
      </c>
      <c r="L84" s="1">
        <v>0.1</v>
      </c>
      <c r="M84" s="1">
        <v>0.1</v>
      </c>
      <c r="N84" s="1">
        <v>0.1</v>
      </c>
      <c r="O84" s="1">
        <v>0.1</v>
      </c>
      <c r="P84" s="1">
        <v>0.1</v>
      </c>
      <c r="Q84" s="1">
        <v>0.1</v>
      </c>
      <c r="R84" s="1">
        <v>0.1</v>
      </c>
      <c r="S84" s="1">
        <v>0.1</v>
      </c>
      <c r="T84" s="1">
        <v>0.1</v>
      </c>
    </row>
    <row r="85" spans="9:20">
      <c r="I85" s="120">
        <f>I84*I$61+I$61</f>
        <v>7873523.2400000002</v>
      </c>
      <c r="J85" s="120">
        <f t="shared" ref="J85:T85" si="24">J84*J$61+J$61</f>
        <v>16917999.780000001</v>
      </c>
      <c r="K85" s="120">
        <f t="shared" si="24"/>
        <v>26599044.010000002</v>
      </c>
      <c r="L85" s="120">
        <f t="shared" si="24"/>
        <v>62758398.450000003</v>
      </c>
      <c r="M85" s="120">
        <f t="shared" si="24"/>
        <v>9554640.5515000001</v>
      </c>
      <c r="N85" s="120">
        <f t="shared" si="24"/>
        <v>30056248.205500003</v>
      </c>
      <c r="O85" s="120">
        <f t="shared" si="24"/>
        <v>19190427.320899997</v>
      </c>
      <c r="P85" s="120">
        <f t="shared" si="24"/>
        <v>24291273.639600001</v>
      </c>
      <c r="Q85" s="120">
        <f t="shared" si="24"/>
        <v>43915293.727799997</v>
      </c>
      <c r="R85" s="120">
        <f t="shared" si="24"/>
        <v>44522563.772500001</v>
      </c>
      <c r="S85" s="120">
        <f t="shared" si="24"/>
        <v>12257104.500299999</v>
      </c>
      <c r="T85" s="120">
        <f t="shared" si="24"/>
        <v>10563970.497300001</v>
      </c>
    </row>
    <row r="87" spans="9:20">
      <c r="I87" s="1">
        <v>1</v>
      </c>
      <c r="J87" s="1">
        <v>0.98</v>
      </c>
      <c r="K87" s="1">
        <v>1</v>
      </c>
      <c r="L87" s="1">
        <v>1</v>
      </c>
      <c r="M87" s="1">
        <v>0.99009900990099009</v>
      </c>
      <c r="N87" s="1">
        <v>1</v>
      </c>
      <c r="O87" s="1">
        <v>1</v>
      </c>
      <c r="P87" s="1">
        <v>1</v>
      </c>
      <c r="Q87" s="1">
        <v>0.95238095238095233</v>
      </c>
      <c r="R87" s="1">
        <v>0.93457943925233644</v>
      </c>
      <c r="S87" s="1">
        <v>1</v>
      </c>
      <c r="T87" s="1">
        <v>1</v>
      </c>
    </row>
    <row r="88" spans="9:20">
      <c r="I88" s="1">
        <v>0.10100000000000001</v>
      </c>
      <c r="J88" s="1">
        <v>0.10100000000000001</v>
      </c>
      <c r="K88" s="1">
        <v>0.10100000000000001</v>
      </c>
      <c r="L88" s="1">
        <v>0.10100000000000001</v>
      </c>
      <c r="M88" s="1">
        <v>0.10100000000000001</v>
      </c>
      <c r="N88" s="1">
        <v>0.10100000000000001</v>
      </c>
      <c r="O88" s="1">
        <v>0.10100000000000001</v>
      </c>
      <c r="P88" s="1">
        <v>0.10100000000000001</v>
      </c>
      <c r="Q88" s="1">
        <v>0.10100000000000001</v>
      </c>
      <c r="R88" s="1">
        <v>0.10100000000000001</v>
      </c>
      <c r="S88" s="1">
        <v>0.10100000000000001</v>
      </c>
      <c r="T88" s="1">
        <v>0.10100000000000001</v>
      </c>
    </row>
    <row r="89" spans="9:20">
      <c r="I89" s="120">
        <f>I88*I$62+I$62</f>
        <v>7723067.3686319999</v>
      </c>
      <c r="J89" s="120">
        <f t="shared" ref="J89:T89" si="25">J88*J$62+J$62</f>
        <v>16086710.79081</v>
      </c>
      <c r="K89" s="120">
        <f t="shared" si="25"/>
        <v>25824528.210326999</v>
      </c>
      <c r="L89" s="120">
        <f t="shared" si="25"/>
        <v>61559142.508710004</v>
      </c>
      <c r="M89" s="120">
        <f t="shared" si="25"/>
        <v>9437007.9059999995</v>
      </c>
      <c r="N89" s="120">
        <f t="shared" si="25"/>
        <v>30083572.061999999</v>
      </c>
      <c r="O89" s="120">
        <f t="shared" si="25"/>
        <v>19119847.092</v>
      </c>
      <c r="P89" s="120">
        <f t="shared" si="25"/>
        <v>24313356.576000001</v>
      </c>
      <c r="Q89" s="120">
        <f t="shared" si="25"/>
        <v>43955216.394000001</v>
      </c>
      <c r="R89" s="120">
        <f t="shared" si="25"/>
        <v>44508879.567000002</v>
      </c>
      <c r="S89" s="120">
        <f t="shared" si="25"/>
        <v>12248429.022</v>
      </c>
      <c r="T89" s="120">
        <f t="shared" si="25"/>
        <v>10573574.609999999</v>
      </c>
    </row>
  </sheetData>
  <mergeCells count="113">
    <mergeCell ref="G5:G6"/>
    <mergeCell ref="A7:A27"/>
    <mergeCell ref="B7:B27"/>
    <mergeCell ref="C7:C9"/>
    <mergeCell ref="D7:D9"/>
    <mergeCell ref="E7:E9"/>
    <mergeCell ref="F7:F9"/>
    <mergeCell ref="C10:C12"/>
    <mergeCell ref="D10:D12"/>
    <mergeCell ref="E10:E12"/>
    <mergeCell ref="F10:F12"/>
    <mergeCell ref="C19:C21"/>
    <mergeCell ref="D19:D21"/>
    <mergeCell ref="E19:E21"/>
    <mergeCell ref="F19:F21"/>
    <mergeCell ref="C22:C24"/>
    <mergeCell ref="D22:D24"/>
    <mergeCell ref="E22:E24"/>
    <mergeCell ref="F22:F24"/>
    <mergeCell ref="C13:C15"/>
    <mergeCell ref="D13:D15"/>
    <mergeCell ref="E13:E15"/>
    <mergeCell ref="F13:F15"/>
    <mergeCell ref="C16:C18"/>
    <mergeCell ref="D16:D18"/>
    <mergeCell ref="E16:E18"/>
    <mergeCell ref="F16:F18"/>
    <mergeCell ref="C31:C33"/>
    <mergeCell ref="D31:D33"/>
    <mergeCell ref="E31:E33"/>
    <mergeCell ref="F31:F33"/>
    <mergeCell ref="C34:C36"/>
    <mergeCell ref="D34:D36"/>
    <mergeCell ref="E34:E36"/>
    <mergeCell ref="F34:F36"/>
    <mergeCell ref="C25:C27"/>
    <mergeCell ref="D25:D27"/>
    <mergeCell ref="E25:E27"/>
    <mergeCell ref="F25:F27"/>
    <mergeCell ref="C28:C30"/>
    <mergeCell ref="D28:D30"/>
    <mergeCell ref="E28:E30"/>
    <mergeCell ref="F28:F30"/>
    <mergeCell ref="A43:A48"/>
    <mergeCell ref="B43:B48"/>
    <mergeCell ref="C43:C45"/>
    <mergeCell ref="D43:D48"/>
    <mergeCell ref="E43:E48"/>
    <mergeCell ref="F43:F45"/>
    <mergeCell ref="C46:C48"/>
    <mergeCell ref="F46:F48"/>
    <mergeCell ref="C37:C39"/>
    <mergeCell ref="D37:D39"/>
    <mergeCell ref="E37:E39"/>
    <mergeCell ref="F37:F39"/>
    <mergeCell ref="C40:C42"/>
    <mergeCell ref="D40:D42"/>
    <mergeCell ref="E40:E42"/>
    <mergeCell ref="F40:F42"/>
    <mergeCell ref="A28:A42"/>
    <mergeCell ref="B28:B42"/>
    <mergeCell ref="A61:A63"/>
    <mergeCell ref="B61:B63"/>
    <mergeCell ref="C61:C63"/>
    <mergeCell ref="D61:D63"/>
    <mergeCell ref="E61:E63"/>
    <mergeCell ref="F61:F63"/>
    <mergeCell ref="C55:C57"/>
    <mergeCell ref="D55:D57"/>
    <mergeCell ref="E55:E57"/>
    <mergeCell ref="F55:F57"/>
    <mergeCell ref="C58:C60"/>
    <mergeCell ref="D58:D60"/>
    <mergeCell ref="E58:E60"/>
    <mergeCell ref="F58:F60"/>
    <mergeCell ref="A49:A60"/>
    <mergeCell ref="B49:B60"/>
    <mergeCell ref="C49:C51"/>
    <mergeCell ref="D49:D51"/>
    <mergeCell ref="E49:E51"/>
    <mergeCell ref="F49:F51"/>
    <mergeCell ref="C52:C54"/>
    <mergeCell ref="D52:D54"/>
    <mergeCell ref="E52:E54"/>
    <mergeCell ref="F52:F54"/>
    <mergeCell ref="A67:A69"/>
    <mergeCell ref="B67:B69"/>
    <mergeCell ref="C67:C69"/>
    <mergeCell ref="D67:D69"/>
    <mergeCell ref="E67:E69"/>
    <mergeCell ref="F67:F69"/>
    <mergeCell ref="A64:A66"/>
    <mergeCell ref="B64:B66"/>
    <mergeCell ref="C64:C66"/>
    <mergeCell ref="D64:D66"/>
    <mergeCell ref="E64:E66"/>
    <mergeCell ref="F64:F66"/>
    <mergeCell ref="A76:A78"/>
    <mergeCell ref="B76:B78"/>
    <mergeCell ref="C76:C78"/>
    <mergeCell ref="D76:D78"/>
    <mergeCell ref="E76:E78"/>
    <mergeCell ref="F76:F78"/>
    <mergeCell ref="A70:A75"/>
    <mergeCell ref="B70:B75"/>
    <mergeCell ref="C70:C72"/>
    <mergeCell ref="D70:D72"/>
    <mergeCell ref="E70:E72"/>
    <mergeCell ref="F70:F72"/>
    <mergeCell ref="C73:C75"/>
    <mergeCell ref="D73:D75"/>
    <mergeCell ref="E73:E75"/>
    <mergeCell ref="F73:F75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89"/>
  <sheetViews>
    <sheetView showGridLines="0" zoomScale="85" zoomScaleNormal="85" workbookViewId="0">
      <selection activeCell="I22" sqref="I22:K23"/>
    </sheetView>
  </sheetViews>
  <sheetFormatPr defaultRowHeight="15"/>
  <cols>
    <col min="1" max="1" width="5.42578125" style="1" bestFit="1" customWidth="1"/>
    <col min="2" max="2" width="14.140625" style="1" bestFit="1" customWidth="1"/>
    <col min="3" max="3" width="26.140625" style="1" customWidth="1"/>
    <col min="4" max="4" width="11.28515625" style="1" bestFit="1" customWidth="1"/>
    <col min="5" max="5" width="14.140625" style="1" customWidth="1"/>
    <col min="6" max="6" width="32.42578125" style="1" bestFit="1" customWidth="1"/>
    <col min="7" max="7" width="10.7109375" style="1" customWidth="1"/>
    <col min="8" max="21" width="11.140625" style="1" customWidth="1"/>
    <col min="22" max="22" width="13" style="1" bestFit="1" customWidth="1"/>
    <col min="23" max="30" width="9.7109375" style="1" customWidth="1"/>
    <col min="31" max="16384" width="9.140625" style="1"/>
  </cols>
  <sheetData>
    <row r="2" spans="1:24" ht="16.5" customHeight="1">
      <c r="A2" s="121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04" t="s">
        <v>1</v>
      </c>
      <c r="T2" s="104" t="s">
        <v>2</v>
      </c>
      <c r="U2" s="104" t="s">
        <v>3</v>
      </c>
      <c r="V2" s="124"/>
    </row>
    <row r="3" spans="1:24" ht="30.75" customHeight="1">
      <c r="A3" s="121"/>
      <c r="B3" s="121" t="s">
        <v>254</v>
      </c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6" t="s">
        <v>243</v>
      </c>
      <c r="T3" s="135"/>
      <c r="U3" s="126" t="s">
        <v>245</v>
      </c>
      <c r="V3" s="125"/>
    </row>
    <row r="4" spans="1:24" ht="24.95" customHeight="1" thickBot="1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</row>
    <row r="5" spans="1:24" s="105" customFormat="1" ht="17.100000000000001" customHeight="1" thickBot="1">
      <c r="A5" s="137" t="s">
        <v>180</v>
      </c>
      <c r="B5" s="138" t="s">
        <v>8</v>
      </c>
      <c r="C5" s="138" t="s">
        <v>9</v>
      </c>
      <c r="D5" s="454" t="s">
        <v>10</v>
      </c>
      <c r="E5" s="138" t="s">
        <v>11</v>
      </c>
      <c r="F5" s="139" t="s">
        <v>12</v>
      </c>
      <c r="G5" s="439" t="s">
        <v>255</v>
      </c>
      <c r="H5" s="140" t="s">
        <v>256</v>
      </c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2"/>
    </row>
    <row r="6" spans="1:24" s="105" customFormat="1" ht="32.25" customHeight="1" thickBot="1">
      <c r="A6" s="143"/>
      <c r="B6" s="144"/>
      <c r="C6" s="144"/>
      <c r="D6" s="455"/>
      <c r="E6" s="144"/>
      <c r="F6" s="145"/>
      <c r="G6" s="440"/>
      <c r="H6" s="146" t="s">
        <v>16</v>
      </c>
      <c r="I6" s="147">
        <v>44927</v>
      </c>
      <c r="J6" s="147">
        <v>44958</v>
      </c>
      <c r="K6" s="147">
        <v>44986</v>
      </c>
      <c r="L6" s="147">
        <v>45017</v>
      </c>
      <c r="M6" s="147">
        <v>45047</v>
      </c>
      <c r="N6" s="147">
        <v>45078</v>
      </c>
      <c r="O6" s="147">
        <v>45108</v>
      </c>
      <c r="P6" s="147">
        <v>45139</v>
      </c>
      <c r="Q6" s="147">
        <v>45170</v>
      </c>
      <c r="R6" s="147">
        <v>45200</v>
      </c>
      <c r="S6" s="147">
        <v>45231</v>
      </c>
      <c r="T6" s="147">
        <v>45261</v>
      </c>
      <c r="U6" s="148" t="s">
        <v>17</v>
      </c>
    </row>
    <row r="7" spans="1:24" ht="17.100000000000001" customHeight="1">
      <c r="A7" s="371">
        <v>1</v>
      </c>
      <c r="B7" s="374" t="s">
        <v>18</v>
      </c>
      <c r="C7" s="375" t="s">
        <v>19</v>
      </c>
      <c r="D7" s="377" t="s">
        <v>20</v>
      </c>
      <c r="E7" s="362" t="s">
        <v>248</v>
      </c>
      <c r="F7" s="378" t="s">
        <v>164</v>
      </c>
      <c r="G7" s="149">
        <v>0</v>
      </c>
      <c r="H7" s="150" t="s">
        <v>23</v>
      </c>
      <c r="I7" s="149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2">
        <f>SUM(I7:T7)</f>
        <v>0</v>
      </c>
    </row>
    <row r="8" spans="1:24" ht="17.100000000000001" customHeight="1">
      <c r="A8" s="372"/>
      <c r="B8" s="368"/>
      <c r="C8" s="376"/>
      <c r="D8" s="368"/>
      <c r="E8" s="363"/>
      <c r="F8" s="365"/>
      <c r="G8" s="153">
        <v>0</v>
      </c>
      <c r="H8" s="154" t="s">
        <v>24</v>
      </c>
      <c r="I8" s="153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6"/>
      <c r="U8" s="157">
        <f>SUM(I8:T8)</f>
        <v>0</v>
      </c>
    </row>
    <row r="9" spans="1:24" ht="17.100000000000001" customHeight="1">
      <c r="A9" s="372"/>
      <c r="B9" s="368"/>
      <c r="C9" s="376"/>
      <c r="D9" s="368"/>
      <c r="E9" s="363"/>
      <c r="F9" s="365"/>
      <c r="G9" s="158" t="e">
        <v>#DIV/0!</v>
      </c>
      <c r="H9" s="159" t="s">
        <v>25</v>
      </c>
      <c r="I9" s="158" t="e">
        <f t="shared" ref="I9:U9" si="0">I7/I8*1</f>
        <v>#DIV/0!</v>
      </c>
      <c r="J9" s="158" t="e">
        <f t="shared" si="0"/>
        <v>#DIV/0!</v>
      </c>
      <c r="K9" s="158" t="e">
        <f t="shared" si="0"/>
        <v>#DIV/0!</v>
      </c>
      <c r="L9" s="158" t="e">
        <f t="shared" si="0"/>
        <v>#DIV/0!</v>
      </c>
      <c r="M9" s="158" t="e">
        <f t="shared" si="0"/>
        <v>#DIV/0!</v>
      </c>
      <c r="N9" s="158" t="e">
        <f t="shared" si="0"/>
        <v>#DIV/0!</v>
      </c>
      <c r="O9" s="158" t="e">
        <f t="shared" si="0"/>
        <v>#DIV/0!</v>
      </c>
      <c r="P9" s="158" t="e">
        <f t="shared" si="0"/>
        <v>#DIV/0!</v>
      </c>
      <c r="Q9" s="158" t="e">
        <f t="shared" si="0"/>
        <v>#DIV/0!</v>
      </c>
      <c r="R9" s="158" t="e">
        <f t="shared" si="0"/>
        <v>#DIV/0!</v>
      </c>
      <c r="S9" s="158" t="e">
        <f t="shared" si="0"/>
        <v>#DIV/0!</v>
      </c>
      <c r="T9" s="160" t="e">
        <f t="shared" si="0"/>
        <v>#DIV/0!</v>
      </c>
      <c r="U9" s="161" t="e">
        <f t="shared" si="0"/>
        <v>#DIV/0!</v>
      </c>
    </row>
    <row r="10" spans="1:24" ht="17.100000000000001" customHeight="1">
      <c r="A10" s="372"/>
      <c r="B10" s="368"/>
      <c r="C10" s="379" t="s">
        <v>26</v>
      </c>
      <c r="D10" s="377" t="s">
        <v>20</v>
      </c>
      <c r="E10" s="362" t="s">
        <v>248</v>
      </c>
      <c r="F10" s="364" t="s">
        <v>27</v>
      </c>
      <c r="G10" s="149">
        <v>0</v>
      </c>
      <c r="H10" s="150" t="s">
        <v>23</v>
      </c>
      <c r="I10" s="149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62"/>
      <c r="U10" s="152">
        <f>SUM(I10:T10)</f>
        <v>0</v>
      </c>
    </row>
    <row r="11" spans="1:24" ht="17.100000000000001" customHeight="1">
      <c r="A11" s="372"/>
      <c r="B11" s="368"/>
      <c r="C11" s="380"/>
      <c r="D11" s="368"/>
      <c r="E11" s="363"/>
      <c r="F11" s="365"/>
      <c r="G11" s="153">
        <v>0</v>
      </c>
      <c r="H11" s="154" t="s">
        <v>24</v>
      </c>
      <c r="I11" s="153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6"/>
      <c r="U11" s="157">
        <f>SUM(I11:T11)</f>
        <v>0</v>
      </c>
    </row>
    <row r="12" spans="1:24" ht="17.100000000000001" customHeight="1">
      <c r="A12" s="372"/>
      <c r="B12" s="368"/>
      <c r="C12" s="381"/>
      <c r="D12" s="368"/>
      <c r="E12" s="363"/>
      <c r="F12" s="366"/>
      <c r="G12" s="158" t="e">
        <v>#DIV/0!</v>
      </c>
      <c r="H12" s="159" t="s">
        <v>25</v>
      </c>
      <c r="I12" s="158" t="e">
        <f t="shared" ref="I12:Q12" si="1">I11/I10*1</f>
        <v>#DIV/0!</v>
      </c>
      <c r="J12" s="158" t="e">
        <f t="shared" si="1"/>
        <v>#DIV/0!</v>
      </c>
      <c r="K12" s="158" t="e">
        <f t="shared" si="1"/>
        <v>#DIV/0!</v>
      </c>
      <c r="L12" s="158" t="e">
        <f t="shared" si="1"/>
        <v>#DIV/0!</v>
      </c>
      <c r="M12" s="158" t="e">
        <f t="shared" si="1"/>
        <v>#DIV/0!</v>
      </c>
      <c r="N12" s="158" t="e">
        <f t="shared" si="1"/>
        <v>#DIV/0!</v>
      </c>
      <c r="O12" s="158" t="e">
        <f t="shared" si="1"/>
        <v>#DIV/0!</v>
      </c>
      <c r="P12" s="158" t="e">
        <f t="shared" si="1"/>
        <v>#DIV/0!</v>
      </c>
      <c r="Q12" s="158" t="e">
        <f t="shared" si="1"/>
        <v>#DIV/0!</v>
      </c>
      <c r="R12" s="158" t="e">
        <f>R10/R11*1</f>
        <v>#DIV/0!</v>
      </c>
      <c r="S12" s="158" t="e">
        <f>S11/S10*1</f>
        <v>#DIV/0!</v>
      </c>
      <c r="T12" s="160" t="e">
        <f>T11/T10*1</f>
        <v>#DIV/0!</v>
      </c>
      <c r="U12" s="161" t="e">
        <f>U10/U11*1</f>
        <v>#DIV/0!</v>
      </c>
    </row>
    <row r="13" spans="1:24" ht="17.100000000000001" customHeight="1">
      <c r="A13" s="372"/>
      <c r="B13" s="368"/>
      <c r="C13" s="367" t="s">
        <v>165</v>
      </c>
      <c r="D13" s="368" t="s">
        <v>29</v>
      </c>
      <c r="E13" s="362" t="s">
        <v>248</v>
      </c>
      <c r="F13" s="370" t="s">
        <v>183</v>
      </c>
      <c r="G13" s="163">
        <v>50400000</v>
      </c>
      <c r="H13" s="150" t="s">
        <v>23</v>
      </c>
      <c r="I13" s="164">
        <v>4500000</v>
      </c>
      <c r="J13" s="164">
        <v>4500000</v>
      </c>
      <c r="K13" s="164">
        <v>4500000</v>
      </c>
      <c r="L13" s="164">
        <v>4500000</v>
      </c>
      <c r="M13" s="164">
        <v>4500000</v>
      </c>
      <c r="N13" s="164">
        <v>4500000</v>
      </c>
      <c r="O13" s="164">
        <v>4500000</v>
      </c>
      <c r="P13" s="164">
        <v>4500000</v>
      </c>
      <c r="Q13" s="164">
        <v>4500000</v>
      </c>
      <c r="R13" s="164">
        <v>4500000</v>
      </c>
      <c r="S13" s="164">
        <v>4500000</v>
      </c>
      <c r="T13" s="164">
        <v>4500000</v>
      </c>
      <c r="U13" s="165">
        <f>SUM(I13:T13)</f>
        <v>54000000</v>
      </c>
    </row>
    <row r="14" spans="1:24" ht="17.100000000000001" customHeight="1">
      <c r="A14" s="372"/>
      <c r="B14" s="368"/>
      <c r="C14" s="367"/>
      <c r="D14" s="368"/>
      <c r="E14" s="363"/>
      <c r="F14" s="370"/>
      <c r="G14" s="166">
        <v>54605450</v>
      </c>
      <c r="H14" s="154" t="s">
        <v>24</v>
      </c>
      <c r="I14" s="166">
        <v>4556287</v>
      </c>
      <c r="J14" s="167">
        <v>4508743</v>
      </c>
      <c r="K14" s="167">
        <v>4506842</v>
      </c>
      <c r="L14" s="167"/>
      <c r="M14" s="167"/>
      <c r="N14" s="167"/>
      <c r="O14" s="167"/>
      <c r="P14" s="167"/>
      <c r="Q14" s="167"/>
      <c r="R14" s="167"/>
      <c r="S14" s="167"/>
      <c r="T14" s="168"/>
      <c r="U14" s="169">
        <f>SUM(I14:T14)</f>
        <v>13571872</v>
      </c>
    </row>
    <row r="15" spans="1:24" ht="17.100000000000001" customHeight="1">
      <c r="A15" s="372"/>
      <c r="B15" s="368"/>
      <c r="C15" s="367"/>
      <c r="D15" s="369"/>
      <c r="E15" s="363"/>
      <c r="F15" s="370"/>
      <c r="G15" s="158">
        <v>0.42668182952215594</v>
      </c>
      <c r="H15" s="159" t="s">
        <v>25</v>
      </c>
      <c r="I15" s="158">
        <f t="shared" ref="I15:U15" si="2">I14/I13*1</f>
        <v>1.0125082222222221</v>
      </c>
      <c r="J15" s="158">
        <f t="shared" si="2"/>
        <v>1.0019428888888888</v>
      </c>
      <c r="K15" s="158">
        <f t="shared" si="2"/>
        <v>1.0015204444444445</v>
      </c>
      <c r="L15" s="158">
        <f t="shared" si="2"/>
        <v>0</v>
      </c>
      <c r="M15" s="158">
        <f t="shared" si="2"/>
        <v>0</v>
      </c>
      <c r="N15" s="158">
        <f t="shared" si="2"/>
        <v>0</v>
      </c>
      <c r="O15" s="158">
        <f t="shared" si="2"/>
        <v>0</v>
      </c>
      <c r="P15" s="158">
        <f t="shared" si="2"/>
        <v>0</v>
      </c>
      <c r="Q15" s="158">
        <f t="shared" si="2"/>
        <v>0</v>
      </c>
      <c r="R15" s="158">
        <f t="shared" si="2"/>
        <v>0</v>
      </c>
      <c r="S15" s="158">
        <f t="shared" si="2"/>
        <v>0</v>
      </c>
      <c r="T15" s="160">
        <f t="shared" si="2"/>
        <v>0</v>
      </c>
      <c r="U15" s="161">
        <f t="shared" si="2"/>
        <v>0.25133096296296298</v>
      </c>
    </row>
    <row r="16" spans="1:24" ht="17.100000000000001" customHeight="1">
      <c r="A16" s="372"/>
      <c r="B16" s="368"/>
      <c r="C16" s="384" t="s">
        <v>32</v>
      </c>
      <c r="D16" s="387" t="s">
        <v>29</v>
      </c>
      <c r="E16" s="362" t="s">
        <v>248</v>
      </c>
      <c r="F16" s="364" t="s">
        <v>33</v>
      </c>
      <c r="G16" s="164">
        <v>0</v>
      </c>
      <c r="H16" s="150" t="s">
        <v>23</v>
      </c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1"/>
      <c r="U16" s="165">
        <f>SUM(I16:T16)</f>
        <v>0</v>
      </c>
      <c r="W16" s="134"/>
      <c r="X16" s="134"/>
    </row>
    <row r="17" spans="1:21" ht="17.100000000000001" customHeight="1">
      <c r="A17" s="372"/>
      <c r="B17" s="368"/>
      <c r="C17" s="385"/>
      <c r="D17" s="387"/>
      <c r="E17" s="363"/>
      <c r="F17" s="365"/>
      <c r="G17" s="166">
        <v>0</v>
      </c>
      <c r="H17" s="154" t="s">
        <v>24</v>
      </c>
      <c r="I17" s="166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8"/>
      <c r="U17" s="169">
        <f>SUM(I17:T17)</f>
        <v>0</v>
      </c>
    </row>
    <row r="18" spans="1:21" ht="17.100000000000001" customHeight="1">
      <c r="A18" s="372"/>
      <c r="B18" s="368"/>
      <c r="C18" s="386"/>
      <c r="D18" s="387"/>
      <c r="E18" s="363"/>
      <c r="F18" s="366"/>
      <c r="G18" s="158" t="e">
        <v>#DIV/0!</v>
      </c>
      <c r="H18" s="159" t="s">
        <v>25</v>
      </c>
      <c r="I18" s="158" t="e">
        <f t="shared" ref="I18:U18" si="3">I17/I16*1</f>
        <v>#DIV/0!</v>
      </c>
      <c r="J18" s="158" t="e">
        <f t="shared" si="3"/>
        <v>#DIV/0!</v>
      </c>
      <c r="K18" s="158" t="e">
        <f t="shared" si="3"/>
        <v>#DIV/0!</v>
      </c>
      <c r="L18" s="158" t="e">
        <f t="shared" si="3"/>
        <v>#DIV/0!</v>
      </c>
      <c r="M18" s="158" t="e">
        <f t="shared" si="3"/>
        <v>#DIV/0!</v>
      </c>
      <c r="N18" s="158" t="e">
        <f t="shared" si="3"/>
        <v>#DIV/0!</v>
      </c>
      <c r="O18" s="158" t="e">
        <f t="shared" si="3"/>
        <v>#DIV/0!</v>
      </c>
      <c r="P18" s="158" t="e">
        <f t="shared" si="3"/>
        <v>#DIV/0!</v>
      </c>
      <c r="Q18" s="158" t="e">
        <f t="shared" si="3"/>
        <v>#DIV/0!</v>
      </c>
      <c r="R18" s="158" t="e">
        <f t="shared" si="3"/>
        <v>#DIV/0!</v>
      </c>
      <c r="S18" s="158" t="e">
        <f t="shared" si="3"/>
        <v>#DIV/0!</v>
      </c>
      <c r="T18" s="160" t="e">
        <f t="shared" si="3"/>
        <v>#DIV/0!</v>
      </c>
      <c r="U18" s="161" t="e">
        <f t="shared" si="3"/>
        <v>#DIV/0!</v>
      </c>
    </row>
    <row r="19" spans="1:21" ht="17.100000000000001" customHeight="1">
      <c r="A19" s="372"/>
      <c r="B19" s="368"/>
      <c r="C19" s="384" t="s">
        <v>34</v>
      </c>
      <c r="D19" s="387" t="s">
        <v>29</v>
      </c>
      <c r="E19" s="362" t="s">
        <v>248</v>
      </c>
      <c r="F19" s="364" t="s">
        <v>35</v>
      </c>
      <c r="G19" s="172" t="e">
        <v>#DIV/0!</v>
      </c>
      <c r="H19" s="150" t="s">
        <v>23</v>
      </c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4"/>
      <c r="U19" s="175" t="e">
        <f>AVERAGE(I19:T19)</f>
        <v>#DIV/0!</v>
      </c>
    </row>
    <row r="20" spans="1:21" ht="17.100000000000001" customHeight="1">
      <c r="A20" s="372"/>
      <c r="B20" s="368"/>
      <c r="C20" s="385"/>
      <c r="D20" s="387"/>
      <c r="E20" s="363"/>
      <c r="F20" s="365"/>
      <c r="G20" s="176" t="e">
        <v>#DIV/0!</v>
      </c>
      <c r="H20" s="154" t="s">
        <v>24</v>
      </c>
      <c r="I20" s="176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8"/>
      <c r="U20" s="179" t="e">
        <f>AVERAGE(I20:T20)</f>
        <v>#DIV/0!</v>
      </c>
    </row>
    <row r="21" spans="1:21" ht="17.100000000000001" customHeight="1">
      <c r="A21" s="372"/>
      <c r="B21" s="368"/>
      <c r="C21" s="386"/>
      <c r="D21" s="387"/>
      <c r="E21" s="363"/>
      <c r="F21" s="366"/>
      <c r="G21" s="158" t="e">
        <v>#DIV/0!</v>
      </c>
      <c r="H21" s="159" t="s">
        <v>25</v>
      </c>
      <c r="I21" s="158" t="e">
        <f t="shared" ref="I21:U21" si="4">I20/I19*1</f>
        <v>#DIV/0!</v>
      </c>
      <c r="J21" s="158" t="e">
        <f t="shared" si="4"/>
        <v>#DIV/0!</v>
      </c>
      <c r="K21" s="158" t="e">
        <f t="shared" si="4"/>
        <v>#DIV/0!</v>
      </c>
      <c r="L21" s="158" t="e">
        <f t="shared" si="4"/>
        <v>#DIV/0!</v>
      </c>
      <c r="M21" s="158" t="e">
        <f t="shared" si="4"/>
        <v>#DIV/0!</v>
      </c>
      <c r="N21" s="158" t="e">
        <f t="shared" si="4"/>
        <v>#DIV/0!</v>
      </c>
      <c r="O21" s="158" t="e">
        <f t="shared" si="4"/>
        <v>#DIV/0!</v>
      </c>
      <c r="P21" s="158" t="e">
        <f t="shared" si="4"/>
        <v>#DIV/0!</v>
      </c>
      <c r="Q21" s="158" t="e">
        <f t="shared" si="4"/>
        <v>#DIV/0!</v>
      </c>
      <c r="R21" s="158" t="e">
        <f t="shared" si="4"/>
        <v>#DIV/0!</v>
      </c>
      <c r="S21" s="158" t="e">
        <f t="shared" si="4"/>
        <v>#DIV/0!</v>
      </c>
      <c r="T21" s="160" t="e">
        <f t="shared" si="4"/>
        <v>#DIV/0!</v>
      </c>
      <c r="U21" s="161" t="e">
        <f t="shared" si="4"/>
        <v>#DIV/0!</v>
      </c>
    </row>
    <row r="22" spans="1:21" ht="17.100000000000001" customHeight="1">
      <c r="A22" s="372"/>
      <c r="B22" s="368"/>
      <c r="C22" s="367" t="s">
        <v>166</v>
      </c>
      <c r="D22" s="368" t="s">
        <v>20</v>
      </c>
      <c r="E22" s="382" t="s">
        <v>257</v>
      </c>
      <c r="F22" s="370" t="s">
        <v>167</v>
      </c>
      <c r="G22" s="180">
        <v>60</v>
      </c>
      <c r="H22" s="150" t="s">
        <v>23</v>
      </c>
      <c r="I22" s="180">
        <v>5</v>
      </c>
      <c r="J22" s="180">
        <v>5</v>
      </c>
      <c r="K22" s="180">
        <v>5</v>
      </c>
      <c r="L22" s="180"/>
      <c r="M22" s="180"/>
      <c r="N22" s="180"/>
      <c r="O22" s="180"/>
      <c r="P22" s="180"/>
      <c r="Q22" s="180"/>
      <c r="R22" s="180"/>
      <c r="S22" s="180"/>
      <c r="T22" s="180"/>
      <c r="U22" s="152">
        <f>SUM(I22:T22)</f>
        <v>15</v>
      </c>
    </row>
    <row r="23" spans="1:21" ht="17.100000000000001" customHeight="1">
      <c r="A23" s="372"/>
      <c r="B23" s="368"/>
      <c r="C23" s="367"/>
      <c r="D23" s="368"/>
      <c r="E23" s="382"/>
      <c r="F23" s="370"/>
      <c r="G23" s="153">
        <v>57</v>
      </c>
      <c r="H23" s="154" t="s">
        <v>24</v>
      </c>
      <c r="I23" s="155">
        <v>5</v>
      </c>
      <c r="J23" s="155">
        <v>4</v>
      </c>
      <c r="K23" s="155">
        <v>5</v>
      </c>
      <c r="L23" s="155"/>
      <c r="M23" s="155"/>
      <c r="N23" s="155"/>
      <c r="O23" s="155"/>
      <c r="P23" s="155"/>
      <c r="Q23" s="155"/>
      <c r="R23" s="155"/>
      <c r="S23" s="155"/>
      <c r="T23" s="155"/>
      <c r="U23" s="157">
        <f>SUM(I23:T23)</f>
        <v>14</v>
      </c>
    </row>
    <row r="24" spans="1:21" ht="17.100000000000001" customHeight="1">
      <c r="A24" s="372"/>
      <c r="B24" s="368"/>
      <c r="C24" s="367"/>
      <c r="D24" s="368"/>
      <c r="E24" s="382"/>
      <c r="F24" s="370"/>
      <c r="G24" s="158">
        <v>1</v>
      </c>
      <c r="H24" s="159" t="s">
        <v>25</v>
      </c>
      <c r="I24" s="181">
        <f t="shared" ref="I24:U24" si="5">I23/I22*1</f>
        <v>1</v>
      </c>
      <c r="J24" s="181">
        <f t="shared" si="5"/>
        <v>0.8</v>
      </c>
      <c r="K24" s="181">
        <f t="shared" si="5"/>
        <v>1</v>
      </c>
      <c r="L24" s="181" t="e">
        <f t="shared" si="5"/>
        <v>#DIV/0!</v>
      </c>
      <c r="M24" s="181" t="e">
        <f t="shared" si="5"/>
        <v>#DIV/0!</v>
      </c>
      <c r="N24" s="181" t="e">
        <f t="shared" si="5"/>
        <v>#DIV/0!</v>
      </c>
      <c r="O24" s="181" t="e">
        <f t="shared" si="5"/>
        <v>#DIV/0!</v>
      </c>
      <c r="P24" s="181" t="e">
        <f t="shared" si="5"/>
        <v>#DIV/0!</v>
      </c>
      <c r="Q24" s="181" t="e">
        <f t="shared" si="5"/>
        <v>#DIV/0!</v>
      </c>
      <c r="R24" s="181" t="e">
        <f t="shared" si="5"/>
        <v>#DIV/0!</v>
      </c>
      <c r="S24" s="181" t="e">
        <f t="shared" si="5"/>
        <v>#DIV/0!</v>
      </c>
      <c r="T24" s="182" t="e">
        <f t="shared" si="5"/>
        <v>#DIV/0!</v>
      </c>
      <c r="U24" s="161">
        <f t="shared" si="5"/>
        <v>0.93333333333333335</v>
      </c>
    </row>
    <row r="25" spans="1:21" ht="17.100000000000001" customHeight="1">
      <c r="A25" s="372"/>
      <c r="B25" s="368"/>
      <c r="C25" s="383" t="s">
        <v>39</v>
      </c>
      <c r="D25" s="367" t="s">
        <v>40</v>
      </c>
      <c r="E25" s="362" t="s">
        <v>248</v>
      </c>
      <c r="F25" s="370" t="s">
        <v>41</v>
      </c>
      <c r="G25" s="180">
        <v>12</v>
      </c>
      <c r="H25" s="150" t="s">
        <v>23</v>
      </c>
      <c r="I25" s="180">
        <v>1</v>
      </c>
      <c r="J25" s="180">
        <v>1</v>
      </c>
      <c r="K25" s="180">
        <v>1</v>
      </c>
      <c r="L25" s="183"/>
      <c r="M25" s="183"/>
      <c r="N25" s="183"/>
      <c r="O25" s="183"/>
      <c r="P25" s="183"/>
      <c r="Q25" s="183"/>
      <c r="R25" s="183"/>
      <c r="S25" s="183"/>
      <c r="T25" s="183"/>
      <c r="U25" s="152">
        <f>SUM(I25:T25)</f>
        <v>3</v>
      </c>
    </row>
    <row r="26" spans="1:21" ht="17.100000000000001" customHeight="1">
      <c r="A26" s="372"/>
      <c r="B26" s="368"/>
      <c r="C26" s="383"/>
      <c r="D26" s="367"/>
      <c r="E26" s="363"/>
      <c r="F26" s="370"/>
      <c r="G26" s="153">
        <v>12</v>
      </c>
      <c r="H26" s="154" t="s">
        <v>24</v>
      </c>
      <c r="I26" s="155">
        <v>1</v>
      </c>
      <c r="J26" s="155">
        <v>1</v>
      </c>
      <c r="K26" s="155">
        <v>1</v>
      </c>
      <c r="L26" s="155"/>
      <c r="M26" s="155"/>
      <c r="N26" s="155"/>
      <c r="O26" s="155"/>
      <c r="P26" s="155"/>
      <c r="Q26" s="155"/>
      <c r="R26" s="155"/>
      <c r="S26" s="155"/>
      <c r="T26" s="155"/>
      <c r="U26" s="157">
        <f>SUM(I26:T26)</f>
        <v>3</v>
      </c>
    </row>
    <row r="27" spans="1:21" ht="17.100000000000001" customHeight="1" thickBot="1">
      <c r="A27" s="373"/>
      <c r="B27" s="368"/>
      <c r="C27" s="375"/>
      <c r="D27" s="377"/>
      <c r="E27" s="363"/>
      <c r="F27" s="364"/>
      <c r="G27" s="184">
        <v>1</v>
      </c>
      <c r="H27" s="159" t="s">
        <v>25</v>
      </c>
      <c r="I27" s="185">
        <f t="shared" ref="I27:Q27" si="6">I26/I25*1</f>
        <v>1</v>
      </c>
      <c r="J27" s="185">
        <f t="shared" si="6"/>
        <v>1</v>
      </c>
      <c r="K27" s="185">
        <f t="shared" si="6"/>
        <v>1</v>
      </c>
      <c r="L27" s="185" t="e">
        <f t="shared" si="6"/>
        <v>#DIV/0!</v>
      </c>
      <c r="M27" s="185" t="e">
        <f t="shared" si="6"/>
        <v>#DIV/0!</v>
      </c>
      <c r="N27" s="185" t="e">
        <f t="shared" si="6"/>
        <v>#DIV/0!</v>
      </c>
      <c r="O27" s="185" t="e">
        <f t="shared" si="6"/>
        <v>#DIV/0!</v>
      </c>
      <c r="P27" s="185" t="e">
        <f t="shared" si="6"/>
        <v>#DIV/0!</v>
      </c>
      <c r="Q27" s="185" t="e">
        <f t="shared" si="6"/>
        <v>#DIV/0!</v>
      </c>
      <c r="R27" s="184" t="e">
        <f>R25/R26*1</f>
        <v>#DIV/0!</v>
      </c>
      <c r="S27" s="185" t="e">
        <f>S26/S25*1</f>
        <v>#DIV/0!</v>
      </c>
      <c r="T27" s="186" t="e">
        <f>T26/T25*1</f>
        <v>#DIV/0!</v>
      </c>
      <c r="U27" s="187">
        <f>U25/U26*1</f>
        <v>1</v>
      </c>
    </row>
    <row r="28" spans="1:21" ht="17.100000000000001" customHeight="1">
      <c r="A28" s="372">
        <v>2</v>
      </c>
      <c r="B28" s="396" t="s">
        <v>42</v>
      </c>
      <c r="C28" s="399" t="s">
        <v>43</v>
      </c>
      <c r="D28" s="399" t="s">
        <v>44</v>
      </c>
      <c r="E28" s="362" t="s">
        <v>248</v>
      </c>
      <c r="F28" s="401" t="s">
        <v>168</v>
      </c>
      <c r="G28" s="188">
        <v>100</v>
      </c>
      <c r="H28" s="150" t="s">
        <v>23</v>
      </c>
      <c r="I28" s="188">
        <v>100</v>
      </c>
      <c r="J28" s="188">
        <v>100</v>
      </c>
      <c r="K28" s="188">
        <v>100</v>
      </c>
      <c r="L28" s="188"/>
      <c r="M28" s="188"/>
      <c r="N28" s="188"/>
      <c r="O28" s="188"/>
      <c r="P28" s="188"/>
      <c r="Q28" s="188"/>
      <c r="R28" s="188"/>
      <c r="S28" s="188"/>
      <c r="T28" s="188"/>
      <c r="U28" s="189">
        <f>AVERAGE(I28:T28)</f>
        <v>100</v>
      </c>
    </row>
    <row r="29" spans="1:21" ht="17.100000000000001" customHeight="1">
      <c r="A29" s="372"/>
      <c r="B29" s="397"/>
      <c r="C29" s="400"/>
      <c r="D29" s="400"/>
      <c r="E29" s="363"/>
      <c r="F29" s="402"/>
      <c r="G29" s="190">
        <v>52.333333333333336</v>
      </c>
      <c r="H29" s="154" t="s">
        <v>24</v>
      </c>
      <c r="I29" s="190">
        <v>20</v>
      </c>
      <c r="J29" s="190">
        <v>14</v>
      </c>
      <c r="K29" s="190">
        <v>19</v>
      </c>
      <c r="L29" s="190"/>
      <c r="M29" s="190"/>
      <c r="N29" s="190"/>
      <c r="O29" s="190"/>
      <c r="P29" s="190"/>
      <c r="Q29" s="190"/>
      <c r="R29" s="190"/>
      <c r="S29" s="190"/>
      <c r="T29" s="190"/>
      <c r="U29" s="169">
        <f>AVERAGE(I29:T29)</f>
        <v>17.666666666666668</v>
      </c>
    </row>
    <row r="30" spans="1:21" ht="17.100000000000001" customHeight="1" thickBot="1">
      <c r="A30" s="372"/>
      <c r="B30" s="397"/>
      <c r="C30" s="390"/>
      <c r="D30" s="390"/>
      <c r="E30" s="363"/>
      <c r="F30" s="403"/>
      <c r="G30" s="158">
        <v>0.52333333333333332</v>
      </c>
      <c r="H30" s="159" t="s">
        <v>25</v>
      </c>
      <c r="I30" s="158">
        <f>I29/I28</f>
        <v>0.2</v>
      </c>
      <c r="J30" s="158">
        <f t="shared" ref="J30:T30" si="7">J29/J28</f>
        <v>0.14000000000000001</v>
      </c>
      <c r="K30" s="158">
        <f t="shared" si="7"/>
        <v>0.19</v>
      </c>
      <c r="L30" s="158" t="e">
        <f t="shared" si="7"/>
        <v>#DIV/0!</v>
      </c>
      <c r="M30" s="158" t="e">
        <f t="shared" si="7"/>
        <v>#DIV/0!</v>
      </c>
      <c r="N30" s="158" t="e">
        <f t="shared" si="7"/>
        <v>#DIV/0!</v>
      </c>
      <c r="O30" s="158" t="e">
        <f t="shared" si="7"/>
        <v>#DIV/0!</v>
      </c>
      <c r="P30" s="158" t="e">
        <f t="shared" si="7"/>
        <v>#DIV/0!</v>
      </c>
      <c r="Q30" s="158" t="e">
        <f t="shared" si="7"/>
        <v>#DIV/0!</v>
      </c>
      <c r="R30" s="158" t="e">
        <f t="shared" si="7"/>
        <v>#DIV/0!</v>
      </c>
      <c r="S30" s="158" t="e">
        <f t="shared" si="7"/>
        <v>#DIV/0!</v>
      </c>
      <c r="T30" s="158" t="e">
        <f t="shared" si="7"/>
        <v>#DIV/0!</v>
      </c>
      <c r="U30" s="161">
        <f>U29/U28*1</f>
        <v>0.17666666666666667</v>
      </c>
    </row>
    <row r="31" spans="1:21" ht="17.100000000000001" customHeight="1">
      <c r="A31" s="372"/>
      <c r="B31" s="397"/>
      <c r="C31" s="389" t="s">
        <v>46</v>
      </c>
      <c r="D31" s="392" t="s">
        <v>47</v>
      </c>
      <c r="E31" s="362" t="s">
        <v>250</v>
      </c>
      <c r="F31" s="405" t="s">
        <v>169</v>
      </c>
      <c r="G31" s="188">
        <v>36</v>
      </c>
      <c r="H31" s="150" t="s">
        <v>23</v>
      </c>
      <c r="I31" s="191">
        <v>2</v>
      </c>
      <c r="J31" s="191">
        <v>2</v>
      </c>
      <c r="K31" s="191">
        <v>2</v>
      </c>
      <c r="L31" s="191"/>
      <c r="M31" s="191"/>
      <c r="N31" s="191"/>
      <c r="O31" s="191"/>
      <c r="P31" s="191"/>
      <c r="Q31" s="191"/>
      <c r="R31" s="191"/>
      <c r="S31" s="191"/>
      <c r="T31" s="191"/>
      <c r="U31" s="165">
        <f>SUM(I31:T31)</f>
        <v>6</v>
      </c>
    </row>
    <row r="32" spans="1:21" ht="17.100000000000001" customHeight="1">
      <c r="A32" s="372"/>
      <c r="B32" s="397"/>
      <c r="C32" s="400"/>
      <c r="D32" s="404"/>
      <c r="E32" s="363"/>
      <c r="F32" s="402"/>
      <c r="G32" s="190">
        <v>16</v>
      </c>
      <c r="H32" s="154" t="s">
        <v>24</v>
      </c>
      <c r="I32" s="192">
        <v>0</v>
      </c>
      <c r="J32" s="192">
        <v>0</v>
      </c>
      <c r="K32" s="192">
        <v>0</v>
      </c>
      <c r="L32" s="192"/>
      <c r="M32" s="192"/>
      <c r="N32" s="192"/>
      <c r="O32" s="192"/>
      <c r="P32" s="192"/>
      <c r="Q32" s="192"/>
      <c r="R32" s="192"/>
      <c r="S32" s="192"/>
      <c r="T32" s="192"/>
      <c r="U32" s="169">
        <f>SUM(I32:T32)</f>
        <v>0</v>
      </c>
    </row>
    <row r="33" spans="1:21" ht="17.100000000000001" customHeight="1">
      <c r="A33" s="372"/>
      <c r="B33" s="397"/>
      <c r="C33" s="390"/>
      <c r="D33" s="393"/>
      <c r="E33" s="363"/>
      <c r="F33" s="403"/>
      <c r="G33" s="158">
        <v>2.25</v>
      </c>
      <c r="H33" s="159" t="s">
        <v>25</v>
      </c>
      <c r="I33" s="158">
        <f t="shared" ref="I33:T33" si="8">I32/I31*1</f>
        <v>0</v>
      </c>
      <c r="J33" s="158">
        <f t="shared" si="8"/>
        <v>0</v>
      </c>
      <c r="K33" s="158">
        <f t="shared" si="8"/>
        <v>0</v>
      </c>
      <c r="L33" s="158" t="e">
        <f t="shared" si="8"/>
        <v>#DIV/0!</v>
      </c>
      <c r="M33" s="158" t="e">
        <f t="shared" si="8"/>
        <v>#DIV/0!</v>
      </c>
      <c r="N33" s="158" t="e">
        <f t="shared" si="8"/>
        <v>#DIV/0!</v>
      </c>
      <c r="O33" s="158" t="e">
        <f t="shared" si="8"/>
        <v>#DIV/0!</v>
      </c>
      <c r="P33" s="158" t="e">
        <f t="shared" si="8"/>
        <v>#DIV/0!</v>
      </c>
      <c r="Q33" s="158" t="e">
        <f t="shared" si="8"/>
        <v>#DIV/0!</v>
      </c>
      <c r="R33" s="158" t="e">
        <f t="shared" si="8"/>
        <v>#DIV/0!</v>
      </c>
      <c r="S33" s="158" t="e">
        <f t="shared" si="8"/>
        <v>#DIV/0!</v>
      </c>
      <c r="T33" s="158" t="e">
        <f t="shared" si="8"/>
        <v>#DIV/0!</v>
      </c>
      <c r="U33" s="161" t="e">
        <f>U31/U32</f>
        <v>#DIV/0!</v>
      </c>
    </row>
    <row r="34" spans="1:21" ht="17.100000000000001" customHeight="1">
      <c r="A34" s="372"/>
      <c r="B34" s="397"/>
      <c r="C34" s="388" t="s">
        <v>49</v>
      </c>
      <c r="D34" s="391" t="s">
        <v>44</v>
      </c>
      <c r="E34" s="362" t="s">
        <v>248</v>
      </c>
      <c r="F34" s="364" t="s">
        <v>170</v>
      </c>
      <c r="G34" s="149">
        <v>24</v>
      </c>
      <c r="H34" s="150" t="s">
        <v>23</v>
      </c>
      <c r="I34" s="149">
        <v>2</v>
      </c>
      <c r="J34" s="149">
        <v>2</v>
      </c>
      <c r="K34" s="149">
        <v>2</v>
      </c>
      <c r="L34" s="149"/>
      <c r="M34" s="149"/>
      <c r="N34" s="149"/>
      <c r="O34" s="149"/>
      <c r="P34" s="149"/>
      <c r="Q34" s="149"/>
      <c r="R34" s="149"/>
      <c r="S34" s="149"/>
      <c r="T34" s="149"/>
      <c r="U34" s="152">
        <f>SUM(I34:T34)</f>
        <v>6</v>
      </c>
    </row>
    <row r="35" spans="1:21" ht="17.100000000000001" customHeight="1">
      <c r="A35" s="372"/>
      <c r="B35" s="397"/>
      <c r="C35" s="389"/>
      <c r="D35" s="392"/>
      <c r="E35" s="363"/>
      <c r="F35" s="365"/>
      <c r="G35" s="153">
        <v>6</v>
      </c>
      <c r="H35" s="154" t="s">
        <v>24</v>
      </c>
      <c r="I35" s="153">
        <v>2</v>
      </c>
      <c r="J35" s="155">
        <v>2</v>
      </c>
      <c r="K35" s="155">
        <v>2</v>
      </c>
      <c r="L35" s="155"/>
      <c r="M35" s="155"/>
      <c r="N35" s="155"/>
      <c r="O35" s="155"/>
      <c r="P35" s="155"/>
      <c r="Q35" s="155"/>
      <c r="R35" s="155"/>
      <c r="S35" s="155"/>
      <c r="T35" s="155"/>
      <c r="U35" s="157">
        <f>SUM(I35:T35)</f>
        <v>6</v>
      </c>
    </row>
    <row r="36" spans="1:21" ht="17.100000000000001" customHeight="1">
      <c r="A36" s="372"/>
      <c r="B36" s="397"/>
      <c r="C36" s="390"/>
      <c r="D36" s="393"/>
      <c r="E36" s="363"/>
      <c r="F36" s="366"/>
      <c r="G36" s="158">
        <v>4</v>
      </c>
      <c r="H36" s="159" t="s">
        <v>25</v>
      </c>
      <c r="I36" s="158">
        <f t="shared" ref="I36:T36" si="9">I35/I34*1</f>
        <v>1</v>
      </c>
      <c r="J36" s="158">
        <f t="shared" si="9"/>
        <v>1</v>
      </c>
      <c r="K36" s="158">
        <f t="shared" si="9"/>
        <v>1</v>
      </c>
      <c r="L36" s="158" t="e">
        <f t="shared" si="9"/>
        <v>#DIV/0!</v>
      </c>
      <c r="M36" s="158" t="e">
        <f t="shared" si="9"/>
        <v>#DIV/0!</v>
      </c>
      <c r="N36" s="158" t="e">
        <f t="shared" si="9"/>
        <v>#DIV/0!</v>
      </c>
      <c r="O36" s="158" t="e">
        <f t="shared" si="9"/>
        <v>#DIV/0!</v>
      </c>
      <c r="P36" s="158" t="e">
        <f t="shared" si="9"/>
        <v>#DIV/0!</v>
      </c>
      <c r="Q36" s="158" t="e">
        <f t="shared" si="9"/>
        <v>#DIV/0!</v>
      </c>
      <c r="R36" s="158" t="e">
        <f t="shared" si="9"/>
        <v>#DIV/0!</v>
      </c>
      <c r="S36" s="158" t="e">
        <f t="shared" si="9"/>
        <v>#DIV/0!</v>
      </c>
      <c r="T36" s="160" t="e">
        <f t="shared" si="9"/>
        <v>#DIV/0!</v>
      </c>
      <c r="U36" s="161">
        <f>U34/U35</f>
        <v>1</v>
      </c>
    </row>
    <row r="37" spans="1:21" ht="17.100000000000001" customHeight="1">
      <c r="A37" s="372"/>
      <c r="B37" s="397"/>
      <c r="C37" s="394" t="s">
        <v>51</v>
      </c>
      <c r="D37" s="395" t="s">
        <v>44</v>
      </c>
      <c r="E37" s="362" t="s">
        <v>248</v>
      </c>
      <c r="F37" s="370" t="s">
        <v>184</v>
      </c>
      <c r="G37" s="193">
        <v>24</v>
      </c>
      <c r="H37" s="150" t="s">
        <v>23</v>
      </c>
      <c r="I37" s="191">
        <v>2</v>
      </c>
      <c r="J37" s="191">
        <v>2</v>
      </c>
      <c r="K37" s="191">
        <v>2</v>
      </c>
      <c r="L37" s="191"/>
      <c r="M37" s="191"/>
      <c r="N37" s="191"/>
      <c r="O37" s="191"/>
      <c r="P37" s="191"/>
      <c r="Q37" s="191"/>
      <c r="R37" s="191"/>
      <c r="S37" s="191"/>
      <c r="T37" s="191"/>
      <c r="U37" s="152">
        <f>SUM(I37:T37)</f>
        <v>6</v>
      </c>
    </row>
    <row r="38" spans="1:21" ht="17.100000000000001" customHeight="1">
      <c r="A38" s="372"/>
      <c r="B38" s="397"/>
      <c r="C38" s="394"/>
      <c r="D38" s="395"/>
      <c r="E38" s="363"/>
      <c r="F38" s="370"/>
      <c r="G38" s="190">
        <v>13</v>
      </c>
      <c r="H38" s="154" t="s">
        <v>24</v>
      </c>
      <c r="I38" s="192">
        <v>1</v>
      </c>
      <c r="J38" s="192">
        <v>1</v>
      </c>
      <c r="K38" s="192">
        <v>1</v>
      </c>
      <c r="L38" s="192"/>
      <c r="M38" s="192"/>
      <c r="N38" s="192"/>
      <c r="O38" s="192"/>
      <c r="P38" s="192"/>
      <c r="Q38" s="192"/>
      <c r="R38" s="192"/>
      <c r="S38" s="192"/>
      <c r="T38" s="192"/>
      <c r="U38" s="157">
        <f>SUM(I38:T38)</f>
        <v>3</v>
      </c>
    </row>
    <row r="39" spans="1:21" ht="17.100000000000001" customHeight="1">
      <c r="A39" s="372"/>
      <c r="B39" s="397"/>
      <c r="C39" s="394"/>
      <c r="D39" s="395"/>
      <c r="E39" s="363"/>
      <c r="F39" s="370"/>
      <c r="G39" s="158">
        <v>0.54166666666666663</v>
      </c>
      <c r="H39" s="159" t="s">
        <v>25</v>
      </c>
      <c r="I39" s="158">
        <f t="shared" ref="I39:U39" si="10">I38/I37*1</f>
        <v>0.5</v>
      </c>
      <c r="J39" s="158">
        <f t="shared" si="10"/>
        <v>0.5</v>
      </c>
      <c r="K39" s="158">
        <f t="shared" si="10"/>
        <v>0.5</v>
      </c>
      <c r="L39" s="158" t="e">
        <f t="shared" si="10"/>
        <v>#DIV/0!</v>
      </c>
      <c r="M39" s="158" t="e">
        <f t="shared" si="10"/>
        <v>#DIV/0!</v>
      </c>
      <c r="N39" s="158" t="e">
        <f t="shared" si="10"/>
        <v>#DIV/0!</v>
      </c>
      <c r="O39" s="158" t="e">
        <f t="shared" si="10"/>
        <v>#DIV/0!</v>
      </c>
      <c r="P39" s="158" t="e">
        <f t="shared" si="10"/>
        <v>#DIV/0!</v>
      </c>
      <c r="Q39" s="158" t="e">
        <f t="shared" si="10"/>
        <v>#DIV/0!</v>
      </c>
      <c r="R39" s="158" t="e">
        <f t="shared" si="10"/>
        <v>#DIV/0!</v>
      </c>
      <c r="S39" s="158" t="e">
        <f t="shared" si="10"/>
        <v>#DIV/0!</v>
      </c>
      <c r="T39" s="158" t="e">
        <f t="shared" si="10"/>
        <v>#DIV/0!</v>
      </c>
      <c r="U39" s="194">
        <f t="shared" si="10"/>
        <v>0.5</v>
      </c>
    </row>
    <row r="40" spans="1:21" ht="16.5" customHeight="1">
      <c r="A40" s="372"/>
      <c r="B40" s="397"/>
      <c r="C40" s="389" t="s">
        <v>53</v>
      </c>
      <c r="D40" s="394" t="s">
        <v>44</v>
      </c>
      <c r="E40" s="362" t="s">
        <v>248</v>
      </c>
      <c r="F40" s="405" t="s">
        <v>171</v>
      </c>
      <c r="G40" s="193">
        <v>360</v>
      </c>
      <c r="H40" s="150" t="s">
        <v>23</v>
      </c>
      <c r="I40" s="193">
        <v>20</v>
      </c>
      <c r="J40" s="193">
        <v>20</v>
      </c>
      <c r="K40" s="193">
        <v>20</v>
      </c>
      <c r="L40" s="193"/>
      <c r="M40" s="193"/>
      <c r="N40" s="193"/>
      <c r="O40" s="193"/>
      <c r="P40" s="193"/>
      <c r="Q40" s="193"/>
      <c r="R40" s="193"/>
      <c r="S40" s="193"/>
      <c r="T40" s="193"/>
      <c r="U40" s="195">
        <f>SUM(I40:T40)</f>
        <v>60</v>
      </c>
    </row>
    <row r="41" spans="1:21" ht="17.100000000000001" customHeight="1">
      <c r="A41" s="372"/>
      <c r="B41" s="397"/>
      <c r="C41" s="400"/>
      <c r="D41" s="394"/>
      <c r="E41" s="363"/>
      <c r="F41" s="402"/>
      <c r="G41" s="190">
        <v>277</v>
      </c>
      <c r="H41" s="154" t="s">
        <v>24</v>
      </c>
      <c r="I41" s="192">
        <v>10</v>
      </c>
      <c r="J41" s="192">
        <v>5</v>
      </c>
      <c r="K41" s="192">
        <v>5</v>
      </c>
      <c r="L41" s="192"/>
      <c r="M41" s="192"/>
      <c r="N41" s="192"/>
      <c r="O41" s="192"/>
      <c r="P41" s="192"/>
      <c r="Q41" s="192"/>
      <c r="R41" s="192"/>
      <c r="S41" s="192"/>
      <c r="T41" s="196"/>
      <c r="U41" s="197">
        <f>SUM(I41:T41)</f>
        <v>20</v>
      </c>
    </row>
    <row r="42" spans="1:21" ht="17.100000000000001" customHeight="1" thickBot="1">
      <c r="A42" s="373"/>
      <c r="B42" s="398"/>
      <c r="C42" s="406"/>
      <c r="D42" s="394"/>
      <c r="E42" s="363"/>
      <c r="F42" s="407"/>
      <c r="G42" s="198">
        <v>0.76944444444444449</v>
      </c>
      <c r="H42" s="159" t="s">
        <v>25</v>
      </c>
      <c r="I42" s="198">
        <f>I41/I40</f>
        <v>0.5</v>
      </c>
      <c r="J42" s="198">
        <f t="shared" ref="J42:T42" si="11">J41/J40</f>
        <v>0.25</v>
      </c>
      <c r="K42" s="198">
        <f t="shared" si="11"/>
        <v>0.25</v>
      </c>
      <c r="L42" s="198" t="e">
        <f t="shared" si="11"/>
        <v>#DIV/0!</v>
      </c>
      <c r="M42" s="198" t="e">
        <f t="shared" si="11"/>
        <v>#DIV/0!</v>
      </c>
      <c r="N42" s="198" t="e">
        <f t="shared" si="11"/>
        <v>#DIV/0!</v>
      </c>
      <c r="O42" s="198" t="e">
        <f t="shared" si="11"/>
        <v>#DIV/0!</v>
      </c>
      <c r="P42" s="198" t="e">
        <f t="shared" si="11"/>
        <v>#DIV/0!</v>
      </c>
      <c r="Q42" s="198" t="e">
        <f t="shared" si="11"/>
        <v>#DIV/0!</v>
      </c>
      <c r="R42" s="198" t="e">
        <f t="shared" si="11"/>
        <v>#DIV/0!</v>
      </c>
      <c r="S42" s="198" t="e">
        <f t="shared" si="11"/>
        <v>#DIV/0!</v>
      </c>
      <c r="T42" s="198" t="e">
        <f t="shared" si="11"/>
        <v>#DIV/0!</v>
      </c>
      <c r="U42" s="200">
        <f>U41/U40*1</f>
        <v>0.33333333333333331</v>
      </c>
    </row>
    <row r="43" spans="1:21" ht="17.100000000000001" customHeight="1">
      <c r="A43" s="372">
        <v>3</v>
      </c>
      <c r="B43" s="374" t="s">
        <v>55</v>
      </c>
      <c r="C43" s="368" t="s">
        <v>172</v>
      </c>
      <c r="D43" s="374" t="s">
        <v>57</v>
      </c>
      <c r="E43" s="409" t="s">
        <v>251</v>
      </c>
      <c r="F43" s="365" t="s">
        <v>183</v>
      </c>
      <c r="G43" s="201">
        <v>73</v>
      </c>
      <c r="H43" s="150" t="s">
        <v>23</v>
      </c>
      <c r="I43" s="201">
        <v>6</v>
      </c>
      <c r="J43" s="202">
        <v>6</v>
      </c>
      <c r="K43" s="202">
        <v>6</v>
      </c>
      <c r="L43" s="202"/>
      <c r="M43" s="202"/>
      <c r="N43" s="202"/>
      <c r="O43" s="202"/>
      <c r="P43" s="202"/>
      <c r="Q43" s="202"/>
      <c r="R43" s="202"/>
      <c r="S43" s="202"/>
      <c r="T43" s="203"/>
      <c r="U43" s="195">
        <f>SUM(I43:T43)</f>
        <v>18</v>
      </c>
    </row>
    <row r="44" spans="1:21" ht="17.100000000000001" customHeight="1">
      <c r="A44" s="372"/>
      <c r="B44" s="368"/>
      <c r="C44" s="368"/>
      <c r="D44" s="368"/>
      <c r="E44" s="363"/>
      <c r="F44" s="365"/>
      <c r="G44" s="190">
        <v>59</v>
      </c>
      <c r="H44" s="154" t="s">
        <v>24</v>
      </c>
      <c r="I44" s="190">
        <v>6</v>
      </c>
      <c r="J44" s="192">
        <v>6</v>
      </c>
      <c r="K44" s="192">
        <v>6</v>
      </c>
      <c r="L44" s="192"/>
      <c r="M44" s="192"/>
      <c r="N44" s="192"/>
      <c r="O44" s="192"/>
      <c r="P44" s="192"/>
      <c r="Q44" s="192"/>
      <c r="R44" s="192"/>
      <c r="S44" s="192"/>
      <c r="T44" s="196"/>
      <c r="U44" s="197">
        <f>SUM(I44:T44)</f>
        <v>18</v>
      </c>
    </row>
    <row r="45" spans="1:21" ht="17.100000000000001" customHeight="1">
      <c r="A45" s="372"/>
      <c r="B45" s="368"/>
      <c r="C45" s="368"/>
      <c r="D45" s="368"/>
      <c r="E45" s="363"/>
      <c r="F45" s="365"/>
      <c r="G45" s="184">
        <v>0.80821917808219179</v>
      </c>
      <c r="H45" s="159" t="s">
        <v>25</v>
      </c>
      <c r="I45" s="184">
        <f t="shared" ref="I45:T45" si="12">I43/I44*1</f>
        <v>1</v>
      </c>
      <c r="J45" s="184">
        <f t="shared" si="12"/>
        <v>1</v>
      </c>
      <c r="K45" s="184">
        <f t="shared" si="12"/>
        <v>1</v>
      </c>
      <c r="L45" s="184" t="e">
        <f t="shared" si="12"/>
        <v>#DIV/0!</v>
      </c>
      <c r="M45" s="184" t="e">
        <f t="shared" si="12"/>
        <v>#DIV/0!</v>
      </c>
      <c r="N45" s="184" t="e">
        <f t="shared" si="12"/>
        <v>#DIV/0!</v>
      </c>
      <c r="O45" s="184" t="e">
        <f t="shared" si="12"/>
        <v>#DIV/0!</v>
      </c>
      <c r="P45" s="184" t="e">
        <f t="shared" si="12"/>
        <v>#DIV/0!</v>
      </c>
      <c r="Q45" s="184" t="e">
        <f t="shared" si="12"/>
        <v>#DIV/0!</v>
      </c>
      <c r="R45" s="184" t="e">
        <f t="shared" si="12"/>
        <v>#DIV/0!</v>
      </c>
      <c r="S45" s="184" t="e">
        <f t="shared" si="12"/>
        <v>#DIV/0!</v>
      </c>
      <c r="T45" s="184" t="e">
        <f t="shared" si="12"/>
        <v>#DIV/0!</v>
      </c>
      <c r="U45" s="187">
        <f>U44/U43*1</f>
        <v>1</v>
      </c>
    </row>
    <row r="46" spans="1:21" ht="17.100000000000001" customHeight="1">
      <c r="A46" s="372"/>
      <c r="B46" s="368"/>
      <c r="C46" s="394" t="s">
        <v>59</v>
      </c>
      <c r="D46" s="368"/>
      <c r="E46" s="363"/>
      <c r="F46" s="370" t="s">
        <v>173</v>
      </c>
      <c r="G46" s="193">
        <v>6.083333333333333</v>
      </c>
      <c r="H46" s="150" t="s">
        <v>23</v>
      </c>
      <c r="I46" s="193">
        <v>6</v>
      </c>
      <c r="J46" s="193">
        <v>6</v>
      </c>
      <c r="K46" s="193">
        <v>6</v>
      </c>
      <c r="L46" s="193"/>
      <c r="M46" s="193"/>
      <c r="N46" s="193"/>
      <c r="O46" s="193"/>
      <c r="P46" s="193"/>
      <c r="Q46" s="193"/>
      <c r="R46" s="193"/>
      <c r="S46" s="193"/>
      <c r="T46" s="193"/>
      <c r="U46" s="165">
        <f>AVERAGE(I46:T46)</f>
        <v>6</v>
      </c>
    </row>
    <row r="47" spans="1:21" ht="17.100000000000001" customHeight="1">
      <c r="A47" s="372"/>
      <c r="B47" s="368"/>
      <c r="C47" s="394"/>
      <c r="D47" s="368"/>
      <c r="E47" s="363"/>
      <c r="F47" s="370"/>
      <c r="G47" s="204">
        <v>6.083333333333333</v>
      </c>
      <c r="H47" s="154" t="s">
        <v>24</v>
      </c>
      <c r="I47" s="204">
        <v>6</v>
      </c>
      <c r="J47" s="205">
        <v>6</v>
      </c>
      <c r="K47" s="205">
        <v>6</v>
      </c>
      <c r="L47" s="205"/>
      <c r="M47" s="205"/>
      <c r="N47" s="205"/>
      <c r="O47" s="205"/>
      <c r="P47" s="205"/>
      <c r="Q47" s="205"/>
      <c r="R47" s="205"/>
      <c r="S47" s="205"/>
      <c r="T47" s="206"/>
      <c r="U47" s="207">
        <f>AVERAGE(I47:T47)</f>
        <v>6</v>
      </c>
    </row>
    <row r="48" spans="1:21" ht="17.100000000000001" customHeight="1" thickBot="1">
      <c r="A48" s="372"/>
      <c r="B48" s="408"/>
      <c r="C48" s="413"/>
      <c r="D48" s="408"/>
      <c r="E48" s="410"/>
      <c r="F48" s="414"/>
      <c r="G48" s="198">
        <v>1</v>
      </c>
      <c r="H48" s="159" t="s">
        <v>25</v>
      </c>
      <c r="I48" s="208">
        <f t="shared" ref="I48:U48" si="13">I47/I46*1</f>
        <v>1</v>
      </c>
      <c r="J48" s="208">
        <f t="shared" si="13"/>
        <v>1</v>
      </c>
      <c r="K48" s="208">
        <f t="shared" si="13"/>
        <v>1</v>
      </c>
      <c r="L48" s="208" t="e">
        <f t="shared" si="13"/>
        <v>#DIV/0!</v>
      </c>
      <c r="M48" s="208" t="e">
        <f t="shared" si="13"/>
        <v>#DIV/0!</v>
      </c>
      <c r="N48" s="208" t="e">
        <f t="shared" si="13"/>
        <v>#DIV/0!</v>
      </c>
      <c r="O48" s="208" t="e">
        <f t="shared" si="13"/>
        <v>#DIV/0!</v>
      </c>
      <c r="P48" s="208" t="e">
        <f t="shared" si="13"/>
        <v>#DIV/0!</v>
      </c>
      <c r="Q48" s="208" t="e">
        <f t="shared" si="13"/>
        <v>#DIV/0!</v>
      </c>
      <c r="R48" s="208" t="e">
        <f t="shared" si="13"/>
        <v>#DIV/0!</v>
      </c>
      <c r="S48" s="208" t="e">
        <f t="shared" si="13"/>
        <v>#DIV/0!</v>
      </c>
      <c r="T48" s="209" t="e">
        <f t="shared" si="13"/>
        <v>#DIV/0!</v>
      </c>
      <c r="U48" s="210">
        <f t="shared" si="13"/>
        <v>1</v>
      </c>
    </row>
    <row r="49" spans="1:21" ht="17.100000000000001" customHeight="1" thickBot="1">
      <c r="A49" s="415">
        <v>4</v>
      </c>
      <c r="B49" s="416" t="s">
        <v>61</v>
      </c>
      <c r="C49" s="419" t="s">
        <v>62</v>
      </c>
      <c r="D49" s="419" t="s">
        <v>47</v>
      </c>
      <c r="E49" s="362" t="s">
        <v>252</v>
      </c>
      <c r="F49" s="421" t="s">
        <v>63</v>
      </c>
      <c r="G49" s="193">
        <v>100</v>
      </c>
      <c r="H49" s="150" t="s">
        <v>23</v>
      </c>
      <c r="I49" s="188">
        <v>100</v>
      </c>
      <c r="J49" s="188">
        <v>100</v>
      </c>
      <c r="K49" s="188">
        <v>100</v>
      </c>
      <c r="L49" s="188"/>
      <c r="M49" s="188"/>
      <c r="N49" s="188"/>
      <c r="O49" s="188"/>
      <c r="P49" s="188"/>
      <c r="Q49" s="188"/>
      <c r="R49" s="188"/>
      <c r="S49" s="188"/>
      <c r="T49" s="188"/>
      <c r="U49" s="211">
        <f>AVERAGE(I49:T49)</f>
        <v>100</v>
      </c>
    </row>
    <row r="50" spans="1:21" ht="17.100000000000001" customHeight="1" thickBot="1">
      <c r="A50" s="415"/>
      <c r="B50" s="417"/>
      <c r="C50" s="394"/>
      <c r="D50" s="394"/>
      <c r="E50" s="363"/>
      <c r="F50" s="370"/>
      <c r="G50" s="204">
        <v>100</v>
      </c>
      <c r="H50" s="154" t="s">
        <v>24</v>
      </c>
      <c r="I50" s="204">
        <v>100</v>
      </c>
      <c r="J50" s="204">
        <v>100</v>
      </c>
      <c r="K50" s="204">
        <v>100</v>
      </c>
      <c r="L50" s="204"/>
      <c r="M50" s="204"/>
      <c r="N50" s="204"/>
      <c r="O50" s="204"/>
      <c r="P50" s="204"/>
      <c r="Q50" s="204"/>
      <c r="R50" s="204"/>
      <c r="S50" s="204"/>
      <c r="T50" s="204"/>
      <c r="U50" s="212">
        <f>AVERAGE(I50:T50)</f>
        <v>100</v>
      </c>
    </row>
    <row r="51" spans="1:21" ht="17.100000000000001" customHeight="1" thickBot="1">
      <c r="A51" s="415"/>
      <c r="B51" s="417"/>
      <c r="C51" s="394"/>
      <c r="D51" s="420"/>
      <c r="E51" s="363"/>
      <c r="F51" s="370"/>
      <c r="G51" s="158">
        <v>1</v>
      </c>
      <c r="H51" s="159" t="s">
        <v>25</v>
      </c>
      <c r="I51" s="158">
        <f t="shared" ref="I51:U51" si="14">I50/I49*1</f>
        <v>1</v>
      </c>
      <c r="J51" s="158">
        <f t="shared" si="14"/>
        <v>1</v>
      </c>
      <c r="K51" s="158">
        <f t="shared" si="14"/>
        <v>1</v>
      </c>
      <c r="L51" s="158" t="e">
        <f t="shared" si="14"/>
        <v>#DIV/0!</v>
      </c>
      <c r="M51" s="158" t="e">
        <f t="shared" si="14"/>
        <v>#DIV/0!</v>
      </c>
      <c r="N51" s="158" t="e">
        <f t="shared" si="14"/>
        <v>#DIV/0!</v>
      </c>
      <c r="O51" s="158" t="e">
        <f t="shared" si="14"/>
        <v>#DIV/0!</v>
      </c>
      <c r="P51" s="158" t="e">
        <f t="shared" si="14"/>
        <v>#DIV/0!</v>
      </c>
      <c r="Q51" s="158" t="e">
        <f t="shared" si="14"/>
        <v>#DIV/0!</v>
      </c>
      <c r="R51" s="158" t="e">
        <f t="shared" si="14"/>
        <v>#DIV/0!</v>
      </c>
      <c r="S51" s="158" t="e">
        <f t="shared" si="14"/>
        <v>#DIV/0!</v>
      </c>
      <c r="T51" s="158" t="e">
        <f t="shared" si="14"/>
        <v>#DIV/0!</v>
      </c>
      <c r="U51" s="194">
        <f t="shared" si="14"/>
        <v>1</v>
      </c>
    </row>
    <row r="52" spans="1:21" ht="17.100000000000001" customHeight="1" thickBot="1">
      <c r="A52" s="415"/>
      <c r="B52" s="417"/>
      <c r="C52" s="411" t="s">
        <v>64</v>
      </c>
      <c r="D52" s="412" t="s">
        <v>47</v>
      </c>
      <c r="E52" s="362" t="s">
        <v>252</v>
      </c>
      <c r="F52" s="364" t="s">
        <v>65</v>
      </c>
      <c r="G52" s="149">
        <v>0</v>
      </c>
      <c r="H52" s="150" t="s">
        <v>23</v>
      </c>
      <c r="I52" s="151">
        <v>0</v>
      </c>
      <c r="J52" s="151">
        <v>0</v>
      </c>
      <c r="K52" s="151">
        <v>0</v>
      </c>
      <c r="L52" s="151"/>
      <c r="M52" s="151"/>
      <c r="N52" s="151"/>
      <c r="O52" s="151"/>
      <c r="P52" s="151"/>
      <c r="Q52" s="151"/>
      <c r="R52" s="151"/>
      <c r="S52" s="151"/>
      <c r="T52" s="151"/>
      <c r="U52" s="195">
        <f>SUM(I52:T52)</f>
        <v>0</v>
      </c>
    </row>
    <row r="53" spans="1:21" ht="17.100000000000001" customHeight="1" thickBot="1">
      <c r="A53" s="415"/>
      <c r="B53" s="417"/>
      <c r="C53" s="422"/>
      <c r="D53" s="412"/>
      <c r="E53" s="363"/>
      <c r="F53" s="365"/>
      <c r="G53" s="153">
        <v>0</v>
      </c>
      <c r="H53" s="154" t="s">
        <v>24</v>
      </c>
      <c r="I53" s="155">
        <v>0</v>
      </c>
      <c r="J53" s="155">
        <v>0</v>
      </c>
      <c r="K53" s="155">
        <v>0</v>
      </c>
      <c r="L53" s="155"/>
      <c r="M53" s="155"/>
      <c r="N53" s="155"/>
      <c r="O53" s="155"/>
      <c r="P53" s="155"/>
      <c r="Q53" s="155"/>
      <c r="R53" s="155"/>
      <c r="S53" s="155"/>
      <c r="T53" s="155"/>
      <c r="U53" s="197">
        <f>SUM(I53:T53)</f>
        <v>0</v>
      </c>
    </row>
    <row r="54" spans="1:21" ht="17.100000000000001" customHeight="1" thickBot="1">
      <c r="A54" s="415"/>
      <c r="B54" s="417"/>
      <c r="C54" s="423"/>
      <c r="D54" s="412"/>
      <c r="E54" s="363"/>
      <c r="F54" s="366"/>
      <c r="G54" s="158" t="e">
        <v>#DIV/0!</v>
      </c>
      <c r="H54" s="159" t="s">
        <v>25</v>
      </c>
      <c r="I54" s="158" t="e">
        <f t="shared" ref="I54:U54" si="15">I53/I52*1</f>
        <v>#DIV/0!</v>
      </c>
      <c r="J54" s="158" t="e">
        <f t="shared" si="15"/>
        <v>#DIV/0!</v>
      </c>
      <c r="K54" s="158" t="e">
        <f t="shared" si="15"/>
        <v>#DIV/0!</v>
      </c>
      <c r="L54" s="158" t="e">
        <f t="shared" si="15"/>
        <v>#DIV/0!</v>
      </c>
      <c r="M54" s="158" t="e">
        <f t="shared" si="15"/>
        <v>#DIV/0!</v>
      </c>
      <c r="N54" s="158" t="e">
        <f t="shared" si="15"/>
        <v>#DIV/0!</v>
      </c>
      <c r="O54" s="158" t="e">
        <f t="shared" si="15"/>
        <v>#DIV/0!</v>
      </c>
      <c r="P54" s="158" t="e">
        <f t="shared" si="15"/>
        <v>#DIV/0!</v>
      </c>
      <c r="Q54" s="158" t="e">
        <f t="shared" si="15"/>
        <v>#DIV/0!</v>
      </c>
      <c r="R54" s="158" t="e">
        <f t="shared" si="15"/>
        <v>#DIV/0!</v>
      </c>
      <c r="S54" s="158" t="e">
        <f t="shared" si="15"/>
        <v>#DIV/0!</v>
      </c>
      <c r="T54" s="158" t="e">
        <f t="shared" si="15"/>
        <v>#DIV/0!</v>
      </c>
      <c r="U54" s="194" t="e">
        <f t="shared" si="15"/>
        <v>#DIV/0!</v>
      </c>
    </row>
    <row r="55" spans="1:21" ht="17.100000000000001" customHeight="1" thickBot="1">
      <c r="A55" s="415"/>
      <c r="B55" s="417"/>
      <c r="C55" s="395" t="s">
        <v>66</v>
      </c>
      <c r="D55" s="412" t="s">
        <v>47</v>
      </c>
      <c r="E55" s="362" t="s">
        <v>252</v>
      </c>
      <c r="F55" s="370" t="s">
        <v>67</v>
      </c>
      <c r="G55" s="193">
        <v>1200</v>
      </c>
      <c r="H55" s="150" t="s">
        <v>23</v>
      </c>
      <c r="I55" s="213">
        <v>100</v>
      </c>
      <c r="J55" s="191">
        <v>100</v>
      </c>
      <c r="K55" s="191">
        <v>100</v>
      </c>
      <c r="L55" s="191"/>
      <c r="M55" s="191"/>
      <c r="N55" s="191"/>
      <c r="O55" s="191"/>
      <c r="P55" s="191"/>
      <c r="Q55" s="191"/>
      <c r="R55" s="191"/>
      <c r="S55" s="191"/>
      <c r="T55" s="191"/>
      <c r="U55" s="165">
        <f>SUM(I55:T55)</f>
        <v>300</v>
      </c>
    </row>
    <row r="56" spans="1:21" ht="17.100000000000001" customHeight="1" thickBot="1">
      <c r="A56" s="415"/>
      <c r="B56" s="417"/>
      <c r="C56" s="395"/>
      <c r="D56" s="412"/>
      <c r="E56" s="363"/>
      <c r="F56" s="370"/>
      <c r="G56" s="204">
        <v>1200</v>
      </c>
      <c r="H56" s="154" t="s">
        <v>24</v>
      </c>
      <c r="I56" s="204">
        <v>100</v>
      </c>
      <c r="J56" s="204">
        <v>100</v>
      </c>
      <c r="K56" s="204">
        <v>100</v>
      </c>
      <c r="L56" s="204"/>
      <c r="M56" s="204"/>
      <c r="N56" s="204"/>
      <c r="O56" s="204"/>
      <c r="P56" s="204"/>
      <c r="Q56" s="204"/>
      <c r="R56" s="204"/>
      <c r="S56" s="204"/>
      <c r="T56" s="206"/>
      <c r="U56" s="207">
        <f>SUM(I56:T56)</f>
        <v>300</v>
      </c>
    </row>
    <row r="57" spans="1:21" ht="17.100000000000001" customHeight="1" thickBot="1">
      <c r="A57" s="415"/>
      <c r="B57" s="417"/>
      <c r="C57" s="411"/>
      <c r="D57" s="412"/>
      <c r="E57" s="363"/>
      <c r="F57" s="364"/>
      <c r="G57" s="184">
        <v>1</v>
      </c>
      <c r="H57" s="159" t="s">
        <v>25</v>
      </c>
      <c r="I57" s="184">
        <f t="shared" ref="I57:U57" si="16">I56/I55*1</f>
        <v>1</v>
      </c>
      <c r="J57" s="184">
        <f t="shared" si="16"/>
        <v>1</v>
      </c>
      <c r="K57" s="184">
        <f t="shared" si="16"/>
        <v>1</v>
      </c>
      <c r="L57" s="184" t="e">
        <f t="shared" si="16"/>
        <v>#DIV/0!</v>
      </c>
      <c r="M57" s="184" t="e">
        <f t="shared" si="16"/>
        <v>#DIV/0!</v>
      </c>
      <c r="N57" s="184" t="e">
        <f t="shared" si="16"/>
        <v>#DIV/0!</v>
      </c>
      <c r="O57" s="184" t="e">
        <f t="shared" si="16"/>
        <v>#DIV/0!</v>
      </c>
      <c r="P57" s="184" t="e">
        <f t="shared" si="16"/>
        <v>#DIV/0!</v>
      </c>
      <c r="Q57" s="184" t="e">
        <f t="shared" si="16"/>
        <v>#DIV/0!</v>
      </c>
      <c r="R57" s="184" t="e">
        <f t="shared" si="16"/>
        <v>#DIV/0!</v>
      </c>
      <c r="S57" s="184" t="e">
        <f t="shared" si="16"/>
        <v>#DIV/0!</v>
      </c>
      <c r="T57" s="184" t="e">
        <f t="shared" si="16"/>
        <v>#DIV/0!</v>
      </c>
      <c r="U57" s="214">
        <f t="shared" si="16"/>
        <v>1</v>
      </c>
    </row>
    <row r="58" spans="1:21" ht="17.100000000000001" customHeight="1" thickBot="1">
      <c r="A58" s="415"/>
      <c r="B58" s="417"/>
      <c r="C58" s="394" t="s">
        <v>68</v>
      </c>
      <c r="D58" s="424" t="s">
        <v>47</v>
      </c>
      <c r="E58" s="362" t="s">
        <v>252</v>
      </c>
      <c r="F58" s="370" t="s">
        <v>174</v>
      </c>
      <c r="G58" s="215">
        <v>100</v>
      </c>
      <c r="H58" s="150" t="s">
        <v>23</v>
      </c>
      <c r="I58" s="149">
        <v>100</v>
      </c>
      <c r="J58" s="151">
        <v>100</v>
      </c>
      <c r="K58" s="151">
        <v>100</v>
      </c>
      <c r="L58" s="151"/>
      <c r="M58" s="151"/>
      <c r="N58" s="151"/>
      <c r="O58" s="151"/>
      <c r="P58" s="151"/>
      <c r="Q58" s="151"/>
      <c r="R58" s="151"/>
      <c r="S58" s="151"/>
      <c r="T58" s="151"/>
      <c r="U58" s="216">
        <f>AVERAGE(I58:T58)</f>
        <v>100</v>
      </c>
    </row>
    <row r="59" spans="1:21" ht="17.100000000000001" customHeight="1" thickBot="1">
      <c r="A59" s="415"/>
      <c r="B59" s="417"/>
      <c r="C59" s="394"/>
      <c r="D59" s="394"/>
      <c r="E59" s="363"/>
      <c r="F59" s="370"/>
      <c r="G59" s="217">
        <v>94.803030303030297</v>
      </c>
      <c r="H59" s="154" t="s">
        <v>24</v>
      </c>
      <c r="I59" s="218">
        <v>96</v>
      </c>
      <c r="J59" s="219">
        <v>95</v>
      </c>
      <c r="K59" s="219">
        <v>96</v>
      </c>
      <c r="L59" s="219"/>
      <c r="M59" s="219"/>
      <c r="N59" s="219"/>
      <c r="O59" s="219"/>
      <c r="P59" s="219"/>
      <c r="Q59" s="219"/>
      <c r="R59" s="219"/>
      <c r="S59" s="219"/>
      <c r="T59" s="219"/>
      <c r="U59" s="220">
        <f>AVERAGE(I59:T59)</f>
        <v>95.666666666666671</v>
      </c>
    </row>
    <row r="60" spans="1:21" ht="17.100000000000001" customHeight="1" thickBot="1">
      <c r="A60" s="415"/>
      <c r="B60" s="418"/>
      <c r="C60" s="413"/>
      <c r="D60" s="425"/>
      <c r="E60" s="363"/>
      <c r="F60" s="414"/>
      <c r="G60" s="198">
        <v>0.948030303030303</v>
      </c>
      <c r="H60" s="159" t="s">
        <v>25</v>
      </c>
      <c r="I60" s="208">
        <f t="shared" ref="I60:U60" si="17">I59/I58*1</f>
        <v>0.96</v>
      </c>
      <c r="J60" s="208">
        <f t="shared" si="17"/>
        <v>0.95</v>
      </c>
      <c r="K60" s="208">
        <f t="shared" si="17"/>
        <v>0.96</v>
      </c>
      <c r="L60" s="208" t="e">
        <f t="shared" si="17"/>
        <v>#DIV/0!</v>
      </c>
      <c r="M60" s="208" t="e">
        <f t="shared" si="17"/>
        <v>#DIV/0!</v>
      </c>
      <c r="N60" s="208" t="e">
        <f t="shared" si="17"/>
        <v>#DIV/0!</v>
      </c>
      <c r="O60" s="208" t="e">
        <f t="shared" si="17"/>
        <v>#DIV/0!</v>
      </c>
      <c r="P60" s="208" t="e">
        <f t="shared" si="17"/>
        <v>#DIV/0!</v>
      </c>
      <c r="Q60" s="208" t="e">
        <f t="shared" si="17"/>
        <v>#DIV/0!</v>
      </c>
      <c r="R60" s="208" t="e">
        <f t="shared" si="17"/>
        <v>#DIV/0!</v>
      </c>
      <c r="S60" s="208" t="e">
        <f t="shared" si="17"/>
        <v>#DIV/0!</v>
      </c>
      <c r="T60" s="209" t="e">
        <f t="shared" si="17"/>
        <v>#DIV/0!</v>
      </c>
      <c r="U60" s="210">
        <f t="shared" si="17"/>
        <v>0.95666666666666667</v>
      </c>
    </row>
    <row r="61" spans="1:21" ht="22.5" customHeight="1" thickBot="1">
      <c r="A61" s="415">
        <v>5</v>
      </c>
      <c r="B61" s="419" t="s">
        <v>70</v>
      </c>
      <c r="C61" s="394" t="s">
        <v>71</v>
      </c>
      <c r="D61" s="424" t="s">
        <v>72</v>
      </c>
      <c r="E61" s="435" t="s">
        <v>253</v>
      </c>
      <c r="F61" s="370" t="s">
        <v>74</v>
      </c>
      <c r="G61" s="201">
        <v>23371249.067833334</v>
      </c>
      <c r="H61" s="150" t="s">
        <v>23</v>
      </c>
      <c r="I61" s="201">
        <v>30000000</v>
      </c>
      <c r="J61" s="201">
        <v>30000000</v>
      </c>
      <c r="K61" s="201">
        <v>30000000</v>
      </c>
      <c r="L61" s="201">
        <v>30000000</v>
      </c>
      <c r="M61" s="201">
        <v>30000000</v>
      </c>
      <c r="N61" s="201">
        <v>30000000</v>
      </c>
      <c r="O61" s="201">
        <v>30000000</v>
      </c>
      <c r="P61" s="201">
        <v>30000000</v>
      </c>
      <c r="Q61" s="201">
        <v>30000000</v>
      </c>
      <c r="R61" s="201">
        <v>30000000</v>
      </c>
      <c r="S61" s="201">
        <v>30000000</v>
      </c>
      <c r="T61" s="201">
        <v>30000000</v>
      </c>
      <c r="U61" s="221">
        <f>AVERAGE(I61:T61)</f>
        <v>30000000</v>
      </c>
    </row>
    <row r="62" spans="1:21" ht="24.75" customHeight="1" thickBot="1">
      <c r="A62" s="415"/>
      <c r="B62" s="394"/>
      <c r="C62" s="394"/>
      <c r="D62" s="394"/>
      <c r="E62" s="395"/>
      <c r="F62" s="370"/>
      <c r="G62" s="204">
        <v>23117872.548250001</v>
      </c>
      <c r="H62" s="154" t="s">
        <v>24</v>
      </c>
      <c r="I62" s="204">
        <v>29576381</v>
      </c>
      <c r="J62" s="205">
        <v>28547612</v>
      </c>
      <c r="K62" s="205">
        <v>29357891</v>
      </c>
      <c r="L62" s="205"/>
      <c r="M62" s="205"/>
      <c r="N62" s="205"/>
      <c r="O62" s="205"/>
      <c r="P62" s="205"/>
      <c r="Q62" s="205"/>
      <c r="R62" s="205"/>
      <c r="S62" s="205"/>
      <c r="T62" s="205"/>
      <c r="U62" s="212">
        <f>AVERAGE(I62:T62)</f>
        <v>29160628</v>
      </c>
    </row>
    <row r="63" spans="1:21" ht="24.75" customHeight="1" thickBot="1">
      <c r="A63" s="371"/>
      <c r="B63" s="420"/>
      <c r="C63" s="420"/>
      <c r="D63" s="420"/>
      <c r="E63" s="436"/>
      <c r="F63" s="364"/>
      <c r="G63" s="184">
        <v>0.98915862310790803</v>
      </c>
      <c r="H63" s="159" t="s">
        <v>25</v>
      </c>
      <c r="I63" s="184">
        <f>I62/I61*1</f>
        <v>0.98587936666666665</v>
      </c>
      <c r="J63" s="184">
        <f t="shared" ref="J63:U63" si="18">J62/J61*1</f>
        <v>0.9515870666666667</v>
      </c>
      <c r="K63" s="184">
        <f t="shared" si="18"/>
        <v>0.97859636666666672</v>
      </c>
      <c r="L63" s="184">
        <f t="shared" si="18"/>
        <v>0</v>
      </c>
      <c r="M63" s="184">
        <f t="shared" si="18"/>
        <v>0</v>
      </c>
      <c r="N63" s="184">
        <f t="shared" si="18"/>
        <v>0</v>
      </c>
      <c r="O63" s="184">
        <f t="shared" si="18"/>
        <v>0</v>
      </c>
      <c r="P63" s="184">
        <f t="shared" si="18"/>
        <v>0</v>
      </c>
      <c r="Q63" s="184">
        <f t="shared" si="18"/>
        <v>0</v>
      </c>
      <c r="R63" s="184">
        <f t="shared" si="18"/>
        <v>0</v>
      </c>
      <c r="S63" s="184">
        <f t="shared" si="18"/>
        <v>0</v>
      </c>
      <c r="T63" s="184">
        <f t="shared" si="18"/>
        <v>0</v>
      </c>
      <c r="U63" s="214">
        <f t="shared" si="18"/>
        <v>0.97202093333333328</v>
      </c>
    </row>
    <row r="64" spans="1:21" ht="17.100000000000001" customHeight="1" thickBot="1">
      <c r="A64" s="415">
        <v>6</v>
      </c>
      <c r="B64" s="427" t="s">
        <v>75</v>
      </c>
      <c r="C64" s="430" t="s">
        <v>76</v>
      </c>
      <c r="D64" s="433" t="s">
        <v>72</v>
      </c>
      <c r="E64" s="435" t="s">
        <v>253</v>
      </c>
      <c r="F64" s="437" t="s">
        <v>175</v>
      </c>
      <c r="G64" s="222">
        <v>12</v>
      </c>
      <c r="H64" s="150" t="s">
        <v>23</v>
      </c>
      <c r="I64" s="222">
        <v>1</v>
      </c>
      <c r="J64" s="222">
        <v>1</v>
      </c>
      <c r="K64" s="222">
        <v>1</v>
      </c>
      <c r="L64" s="222"/>
      <c r="M64" s="222"/>
      <c r="N64" s="222"/>
      <c r="O64" s="222"/>
      <c r="P64" s="222"/>
      <c r="Q64" s="222"/>
      <c r="R64" s="222"/>
      <c r="S64" s="222"/>
      <c r="T64" s="222"/>
      <c r="U64" s="223">
        <f>SUM(I64:T64)</f>
        <v>3</v>
      </c>
    </row>
    <row r="65" spans="1:21" ht="17.100000000000001" customHeight="1" thickBot="1">
      <c r="A65" s="415"/>
      <c r="B65" s="428"/>
      <c r="C65" s="431"/>
      <c r="D65" s="394"/>
      <c r="E65" s="395"/>
      <c r="F65" s="365"/>
      <c r="G65" s="153">
        <v>12</v>
      </c>
      <c r="H65" s="154" t="s">
        <v>24</v>
      </c>
      <c r="I65" s="153">
        <v>1</v>
      </c>
      <c r="J65" s="153">
        <v>1</v>
      </c>
      <c r="K65" s="153">
        <v>1</v>
      </c>
      <c r="L65" s="153"/>
      <c r="M65" s="153"/>
      <c r="N65" s="153"/>
      <c r="O65" s="153"/>
      <c r="P65" s="153"/>
      <c r="Q65" s="153"/>
      <c r="R65" s="153"/>
      <c r="S65" s="153"/>
      <c r="T65" s="153"/>
      <c r="U65" s="157">
        <f>SUM(I65:T65)</f>
        <v>3</v>
      </c>
    </row>
    <row r="66" spans="1:21" ht="17.100000000000001" customHeight="1" thickBot="1">
      <c r="A66" s="415"/>
      <c r="B66" s="429"/>
      <c r="C66" s="432"/>
      <c r="D66" s="434"/>
      <c r="E66" s="436"/>
      <c r="F66" s="438"/>
      <c r="G66" s="198">
        <v>1</v>
      </c>
      <c r="H66" s="159" t="s">
        <v>25</v>
      </c>
      <c r="I66" s="198">
        <f t="shared" ref="I66:U66" si="19">I65/I64*1</f>
        <v>1</v>
      </c>
      <c r="J66" s="198">
        <f t="shared" si="19"/>
        <v>1</v>
      </c>
      <c r="K66" s="198">
        <f t="shared" si="19"/>
        <v>1</v>
      </c>
      <c r="L66" s="198" t="e">
        <f t="shared" si="19"/>
        <v>#DIV/0!</v>
      </c>
      <c r="M66" s="198" t="e">
        <f t="shared" si="19"/>
        <v>#DIV/0!</v>
      </c>
      <c r="N66" s="198" t="e">
        <f t="shared" si="19"/>
        <v>#DIV/0!</v>
      </c>
      <c r="O66" s="198" t="e">
        <f t="shared" si="19"/>
        <v>#DIV/0!</v>
      </c>
      <c r="P66" s="198" t="e">
        <f t="shared" si="19"/>
        <v>#DIV/0!</v>
      </c>
      <c r="Q66" s="198" t="e">
        <f t="shared" si="19"/>
        <v>#DIV/0!</v>
      </c>
      <c r="R66" s="198" t="e">
        <f t="shared" si="19"/>
        <v>#DIV/0!</v>
      </c>
      <c r="S66" s="198" t="e">
        <f t="shared" si="19"/>
        <v>#DIV/0!</v>
      </c>
      <c r="T66" s="199" t="e">
        <f t="shared" si="19"/>
        <v>#DIV/0!</v>
      </c>
      <c r="U66" s="200">
        <f t="shared" si="19"/>
        <v>1</v>
      </c>
    </row>
    <row r="67" spans="1:21" ht="17.100000000000001" customHeight="1" thickBot="1">
      <c r="A67" s="373">
        <v>7</v>
      </c>
      <c r="B67" s="389" t="s">
        <v>78</v>
      </c>
      <c r="C67" s="389" t="s">
        <v>79</v>
      </c>
      <c r="D67" s="389" t="s">
        <v>44</v>
      </c>
      <c r="E67" s="362" t="s">
        <v>248</v>
      </c>
      <c r="F67" s="365" t="s">
        <v>176</v>
      </c>
      <c r="G67" s="188">
        <v>5000</v>
      </c>
      <c r="H67" s="150" t="s">
        <v>23</v>
      </c>
      <c r="I67" s="188">
        <v>4000</v>
      </c>
      <c r="J67" s="188">
        <v>4000</v>
      </c>
      <c r="K67" s="188">
        <v>4000</v>
      </c>
      <c r="L67" s="188">
        <v>4000</v>
      </c>
      <c r="M67" s="188">
        <v>4000</v>
      </c>
      <c r="N67" s="188">
        <v>4000</v>
      </c>
      <c r="O67" s="188">
        <v>4000</v>
      </c>
      <c r="P67" s="188">
        <v>4000</v>
      </c>
      <c r="Q67" s="188">
        <v>4000</v>
      </c>
      <c r="R67" s="188">
        <v>4000</v>
      </c>
      <c r="S67" s="188">
        <v>4000</v>
      </c>
      <c r="T67" s="188">
        <v>4000</v>
      </c>
      <c r="U67" s="224">
        <f>AVERAGE(I67:T67)</f>
        <v>4000</v>
      </c>
    </row>
    <row r="68" spans="1:21" ht="17.100000000000001" customHeight="1" thickBot="1">
      <c r="A68" s="415"/>
      <c r="B68" s="389"/>
      <c r="C68" s="389"/>
      <c r="D68" s="389"/>
      <c r="E68" s="363"/>
      <c r="F68" s="365"/>
      <c r="G68" s="190">
        <v>4719.75</v>
      </c>
      <c r="H68" s="154" t="s">
        <v>24</v>
      </c>
      <c r="I68" s="190">
        <v>2140</v>
      </c>
      <c r="J68" s="192">
        <v>2634</v>
      </c>
      <c r="K68" s="192">
        <v>3485</v>
      </c>
      <c r="L68" s="192"/>
      <c r="M68" s="225"/>
      <c r="N68" s="225"/>
      <c r="O68" s="225"/>
      <c r="P68" s="225"/>
      <c r="Q68" s="225"/>
      <c r="R68" s="225"/>
      <c r="S68" s="225"/>
      <c r="T68" s="225"/>
      <c r="U68" s="226">
        <f>AVERAGE(I68:T68)</f>
        <v>2753</v>
      </c>
    </row>
    <row r="69" spans="1:21" ht="17.100000000000001" customHeight="1" thickBot="1">
      <c r="A69" s="371"/>
      <c r="B69" s="426"/>
      <c r="C69" s="426"/>
      <c r="D69" s="426"/>
      <c r="E69" s="410"/>
      <c r="F69" s="365"/>
      <c r="G69" s="184">
        <v>1.059378145028868</v>
      </c>
      <c r="H69" s="159" t="s">
        <v>25</v>
      </c>
      <c r="I69" s="184">
        <f>I67/I68*1</f>
        <v>1.8691588785046729</v>
      </c>
      <c r="J69" s="184">
        <f t="shared" ref="J69:T69" si="20">J67/J68*1</f>
        <v>1.5186028853454823</v>
      </c>
      <c r="K69" s="184">
        <f t="shared" si="20"/>
        <v>1.1477761836441893</v>
      </c>
      <c r="L69" s="184" t="e">
        <f t="shared" si="20"/>
        <v>#DIV/0!</v>
      </c>
      <c r="M69" s="184" t="e">
        <f t="shared" si="20"/>
        <v>#DIV/0!</v>
      </c>
      <c r="N69" s="184" t="e">
        <f>N67/N68*1</f>
        <v>#DIV/0!</v>
      </c>
      <c r="O69" s="184" t="e">
        <f t="shared" si="20"/>
        <v>#DIV/0!</v>
      </c>
      <c r="P69" s="184" t="e">
        <f t="shared" si="20"/>
        <v>#DIV/0!</v>
      </c>
      <c r="Q69" s="184" t="e">
        <f t="shared" si="20"/>
        <v>#DIV/0!</v>
      </c>
      <c r="R69" s="184" t="e">
        <f t="shared" si="20"/>
        <v>#DIV/0!</v>
      </c>
      <c r="S69" s="184" t="e">
        <f t="shared" si="20"/>
        <v>#DIV/0!</v>
      </c>
      <c r="T69" s="227" t="e">
        <f t="shared" si="20"/>
        <v>#DIV/0!</v>
      </c>
      <c r="U69" s="187">
        <f>U67/U68</f>
        <v>1.4529604068289139</v>
      </c>
    </row>
    <row r="70" spans="1:21" ht="17.100000000000001" customHeight="1" thickBot="1">
      <c r="A70" s="415">
        <v>8</v>
      </c>
      <c r="B70" s="374" t="s">
        <v>81</v>
      </c>
      <c r="C70" s="399" t="s">
        <v>82</v>
      </c>
      <c r="D70" s="399" t="s">
        <v>83</v>
      </c>
      <c r="E70" s="409" t="s">
        <v>84</v>
      </c>
      <c r="F70" s="437" t="s">
        <v>85</v>
      </c>
      <c r="G70" s="228">
        <v>1</v>
      </c>
      <c r="H70" s="150" t="s">
        <v>23</v>
      </c>
      <c r="I70" s="229">
        <v>1</v>
      </c>
      <c r="J70" s="229">
        <v>1</v>
      </c>
      <c r="K70" s="229">
        <v>1</v>
      </c>
      <c r="L70" s="229"/>
      <c r="M70" s="229"/>
      <c r="N70" s="229"/>
      <c r="O70" s="229"/>
      <c r="P70" s="229"/>
      <c r="Q70" s="229"/>
      <c r="R70" s="229"/>
      <c r="S70" s="229"/>
      <c r="T70" s="229"/>
      <c r="U70" s="230">
        <f>AVERAGE(I70:T70)</f>
        <v>1</v>
      </c>
    </row>
    <row r="71" spans="1:21" ht="17.100000000000001" customHeight="1" thickBot="1">
      <c r="A71" s="415"/>
      <c r="B71" s="368"/>
      <c r="C71" s="400"/>
      <c r="D71" s="400"/>
      <c r="E71" s="363"/>
      <c r="F71" s="365"/>
      <c r="G71" s="231">
        <v>1</v>
      </c>
      <c r="H71" s="154" t="s">
        <v>24</v>
      </c>
      <c r="I71" s="231">
        <v>1</v>
      </c>
      <c r="J71" s="231">
        <v>1</v>
      </c>
      <c r="K71" s="231">
        <v>1</v>
      </c>
      <c r="L71" s="231"/>
      <c r="M71" s="231"/>
      <c r="N71" s="231"/>
      <c r="O71" s="231"/>
      <c r="P71" s="231"/>
      <c r="Q71" s="231"/>
      <c r="R71" s="231"/>
      <c r="S71" s="231"/>
      <c r="T71" s="231"/>
      <c r="U71" s="232">
        <f>AVERAGE(I71:T71)</f>
        <v>1</v>
      </c>
    </row>
    <row r="72" spans="1:21" ht="17.100000000000001" customHeight="1" thickBot="1">
      <c r="A72" s="415"/>
      <c r="B72" s="368"/>
      <c r="C72" s="390"/>
      <c r="D72" s="390"/>
      <c r="E72" s="444"/>
      <c r="F72" s="366"/>
      <c r="G72" s="158">
        <v>1</v>
      </c>
      <c r="H72" s="159" t="s">
        <v>25</v>
      </c>
      <c r="I72" s="158">
        <f t="shared" ref="I72:U72" si="21">I71/I70*1</f>
        <v>1</v>
      </c>
      <c r="J72" s="158">
        <f t="shared" si="21"/>
        <v>1</v>
      </c>
      <c r="K72" s="158">
        <f t="shared" si="21"/>
        <v>1</v>
      </c>
      <c r="L72" s="158" t="e">
        <f t="shared" si="21"/>
        <v>#DIV/0!</v>
      </c>
      <c r="M72" s="158" t="e">
        <f t="shared" si="21"/>
        <v>#DIV/0!</v>
      </c>
      <c r="N72" s="158" t="e">
        <f t="shared" si="21"/>
        <v>#DIV/0!</v>
      </c>
      <c r="O72" s="158" t="e">
        <f t="shared" si="21"/>
        <v>#DIV/0!</v>
      </c>
      <c r="P72" s="158" t="e">
        <f t="shared" si="21"/>
        <v>#DIV/0!</v>
      </c>
      <c r="Q72" s="158" t="e">
        <f t="shared" si="21"/>
        <v>#DIV/0!</v>
      </c>
      <c r="R72" s="158" t="e">
        <f t="shared" si="21"/>
        <v>#DIV/0!</v>
      </c>
      <c r="S72" s="158" t="e">
        <f t="shared" si="21"/>
        <v>#DIV/0!</v>
      </c>
      <c r="T72" s="160" t="e">
        <f t="shared" si="21"/>
        <v>#DIV/0!</v>
      </c>
      <c r="U72" s="161">
        <f t="shared" si="21"/>
        <v>1</v>
      </c>
    </row>
    <row r="73" spans="1:21" ht="17.100000000000001" customHeight="1" thickBot="1">
      <c r="A73" s="415"/>
      <c r="B73" s="368"/>
      <c r="C73" s="389" t="s">
        <v>86</v>
      </c>
      <c r="D73" s="389" t="s">
        <v>44</v>
      </c>
      <c r="E73" s="363" t="s">
        <v>84</v>
      </c>
      <c r="F73" s="405" t="s">
        <v>87</v>
      </c>
      <c r="G73" s="149">
        <v>27</v>
      </c>
      <c r="H73" s="150" t="s">
        <v>23</v>
      </c>
      <c r="I73" s="151">
        <v>2</v>
      </c>
      <c r="J73" s="151">
        <v>2</v>
      </c>
      <c r="K73" s="151">
        <v>2</v>
      </c>
      <c r="L73" s="151"/>
      <c r="M73" s="151"/>
      <c r="N73" s="151"/>
      <c r="O73" s="151"/>
      <c r="P73" s="151"/>
      <c r="Q73" s="151"/>
      <c r="R73" s="151"/>
      <c r="S73" s="151"/>
      <c r="T73" s="162"/>
      <c r="U73" s="152">
        <f>SUM(I73:T73)</f>
        <v>6</v>
      </c>
    </row>
    <row r="74" spans="1:21" ht="17.100000000000001" customHeight="1" thickBot="1">
      <c r="A74" s="415"/>
      <c r="B74" s="368"/>
      <c r="C74" s="400"/>
      <c r="D74" s="400"/>
      <c r="E74" s="363"/>
      <c r="F74" s="402"/>
      <c r="G74" s="149">
        <v>25</v>
      </c>
      <c r="H74" s="233" t="s">
        <v>24</v>
      </c>
      <c r="I74" s="155">
        <v>2</v>
      </c>
      <c r="J74" s="155">
        <v>2</v>
      </c>
      <c r="K74" s="155">
        <v>2</v>
      </c>
      <c r="L74" s="155"/>
      <c r="M74" s="155"/>
      <c r="N74" s="155"/>
      <c r="O74" s="155"/>
      <c r="P74" s="155"/>
      <c r="Q74" s="155"/>
      <c r="R74" s="155"/>
      <c r="S74" s="155"/>
      <c r="T74" s="156"/>
      <c r="U74" s="157">
        <f>SUM(I74:T74)</f>
        <v>6</v>
      </c>
    </row>
    <row r="75" spans="1:21" ht="17.100000000000001" customHeight="1" thickBot="1">
      <c r="A75" s="415"/>
      <c r="B75" s="408"/>
      <c r="C75" s="406"/>
      <c r="D75" s="406"/>
      <c r="E75" s="410"/>
      <c r="F75" s="407"/>
      <c r="G75" s="198">
        <v>0.92592592592592593</v>
      </c>
      <c r="H75" s="234" t="s">
        <v>25</v>
      </c>
      <c r="I75" s="198">
        <f t="shared" ref="I75:U75" si="22">I74/I73*1</f>
        <v>1</v>
      </c>
      <c r="J75" s="198">
        <f t="shared" si="22"/>
        <v>1</v>
      </c>
      <c r="K75" s="198">
        <f t="shared" si="22"/>
        <v>1</v>
      </c>
      <c r="L75" s="198" t="e">
        <f t="shared" si="22"/>
        <v>#DIV/0!</v>
      </c>
      <c r="M75" s="198" t="e">
        <f t="shared" si="22"/>
        <v>#DIV/0!</v>
      </c>
      <c r="N75" s="198" t="e">
        <f t="shared" si="22"/>
        <v>#DIV/0!</v>
      </c>
      <c r="O75" s="198" t="e">
        <f t="shared" si="22"/>
        <v>#DIV/0!</v>
      </c>
      <c r="P75" s="198" t="e">
        <f t="shared" si="22"/>
        <v>#DIV/0!</v>
      </c>
      <c r="Q75" s="198" t="e">
        <f t="shared" si="22"/>
        <v>#DIV/0!</v>
      </c>
      <c r="R75" s="198" t="e">
        <f t="shared" si="22"/>
        <v>#DIV/0!</v>
      </c>
      <c r="S75" s="198" t="e">
        <f t="shared" si="22"/>
        <v>#DIV/0!</v>
      </c>
      <c r="T75" s="199" t="e">
        <f t="shared" si="22"/>
        <v>#DIV/0!</v>
      </c>
      <c r="U75" s="200">
        <f t="shared" si="22"/>
        <v>1</v>
      </c>
    </row>
    <row r="76" spans="1:21" ht="15" customHeight="1" thickBot="1">
      <c r="A76" s="441">
        <v>9</v>
      </c>
      <c r="B76" s="368" t="s">
        <v>88</v>
      </c>
      <c r="C76" s="368" t="s">
        <v>89</v>
      </c>
      <c r="D76" s="368" t="s">
        <v>29</v>
      </c>
      <c r="E76" s="363" t="s">
        <v>84</v>
      </c>
      <c r="F76" s="365" t="s">
        <v>90</v>
      </c>
      <c r="G76" s="235">
        <v>12</v>
      </c>
      <c r="H76" s="236" t="s">
        <v>23</v>
      </c>
      <c r="I76" s="237">
        <v>1</v>
      </c>
      <c r="J76" s="237">
        <v>1</v>
      </c>
      <c r="K76" s="237">
        <v>1</v>
      </c>
      <c r="L76" s="237"/>
      <c r="M76" s="237"/>
      <c r="N76" s="237"/>
      <c r="O76" s="237"/>
      <c r="P76" s="237"/>
      <c r="Q76" s="237"/>
      <c r="R76" s="237"/>
      <c r="S76" s="237"/>
      <c r="T76" s="237"/>
      <c r="U76" s="152">
        <f>SUM(I76:T76)</f>
        <v>3</v>
      </c>
    </row>
    <row r="77" spans="1:21" ht="15" customHeight="1" thickBot="1">
      <c r="A77" s="442"/>
      <c r="B77" s="368"/>
      <c r="C77" s="368"/>
      <c r="D77" s="368"/>
      <c r="E77" s="363"/>
      <c r="F77" s="365"/>
      <c r="G77" s="231">
        <v>12</v>
      </c>
      <c r="H77" s="233" t="s">
        <v>24</v>
      </c>
      <c r="I77" s="238">
        <v>1</v>
      </c>
      <c r="J77" s="238">
        <v>1</v>
      </c>
      <c r="K77" s="238">
        <v>1</v>
      </c>
      <c r="L77" s="238"/>
      <c r="M77" s="238"/>
      <c r="N77" s="238"/>
      <c r="O77" s="238"/>
      <c r="P77" s="238"/>
      <c r="Q77" s="238"/>
      <c r="R77" s="238"/>
      <c r="S77" s="238"/>
      <c r="T77" s="238"/>
      <c r="U77" s="157">
        <f>SUM(I77:T77)</f>
        <v>3</v>
      </c>
    </row>
    <row r="78" spans="1:21" ht="15" customHeight="1" thickBot="1">
      <c r="A78" s="442"/>
      <c r="B78" s="408"/>
      <c r="C78" s="408"/>
      <c r="D78" s="408"/>
      <c r="E78" s="410"/>
      <c r="F78" s="443"/>
      <c r="G78" s="158">
        <v>1</v>
      </c>
      <c r="H78" s="234" t="s">
        <v>25</v>
      </c>
      <c r="I78" s="198">
        <f t="shared" ref="I78:U78" si="23">I77/I76*1</f>
        <v>1</v>
      </c>
      <c r="J78" s="198">
        <f t="shared" si="23"/>
        <v>1</v>
      </c>
      <c r="K78" s="198">
        <f t="shared" si="23"/>
        <v>1</v>
      </c>
      <c r="L78" s="198" t="e">
        <f t="shared" si="23"/>
        <v>#DIV/0!</v>
      </c>
      <c r="M78" s="198" t="e">
        <f t="shared" si="23"/>
        <v>#DIV/0!</v>
      </c>
      <c r="N78" s="198" t="e">
        <f t="shared" si="23"/>
        <v>#DIV/0!</v>
      </c>
      <c r="O78" s="198" t="e">
        <f t="shared" si="23"/>
        <v>#DIV/0!</v>
      </c>
      <c r="P78" s="198" t="e">
        <f t="shared" si="23"/>
        <v>#DIV/0!</v>
      </c>
      <c r="Q78" s="198" t="e">
        <f t="shared" si="23"/>
        <v>#DIV/0!</v>
      </c>
      <c r="R78" s="198" t="e">
        <f t="shared" si="23"/>
        <v>#DIV/0!</v>
      </c>
      <c r="S78" s="198" t="e">
        <f t="shared" si="23"/>
        <v>#DIV/0!</v>
      </c>
      <c r="T78" s="199" t="e">
        <f t="shared" si="23"/>
        <v>#DIV/0!</v>
      </c>
      <c r="U78" s="200">
        <f t="shared" si="23"/>
        <v>1</v>
      </c>
    </row>
    <row r="82" spans="9:20">
      <c r="I82" s="1">
        <v>0.98</v>
      </c>
      <c r="J82" s="1">
        <v>0.95</v>
      </c>
      <c r="K82" s="1">
        <v>0.97</v>
      </c>
      <c r="L82" s="1">
        <v>0.98</v>
      </c>
      <c r="M82" s="1">
        <v>0.99009900990099009</v>
      </c>
      <c r="N82" s="1">
        <v>0.89285714285714268</v>
      </c>
      <c r="O82" s="1">
        <v>0.970873786407767</v>
      </c>
      <c r="P82" s="1">
        <v>0.89285714285714268</v>
      </c>
      <c r="Q82" s="1">
        <v>0.95238095238095233</v>
      </c>
      <c r="R82" s="1">
        <v>0.93457943925233644</v>
      </c>
      <c r="S82" s="1">
        <v>0.87719298245614052</v>
      </c>
      <c r="T82" s="1">
        <v>0.86956521739130432</v>
      </c>
    </row>
    <row r="83" spans="9:20">
      <c r="I83" s="120">
        <f>I82*I$61</f>
        <v>29400000</v>
      </c>
      <c r="J83" s="120">
        <f>J82*J$61</f>
        <v>28500000</v>
      </c>
      <c r="K83" s="120">
        <f>K82*K$61</f>
        <v>29100000</v>
      </c>
      <c r="L83" s="120">
        <f>L82*L$61</f>
        <v>29400000</v>
      </c>
      <c r="M83" s="103"/>
      <c r="N83" s="103"/>
    </row>
    <row r="84" spans="9:20">
      <c r="I84" s="1">
        <v>0.1</v>
      </c>
      <c r="J84" s="1">
        <v>0.1</v>
      </c>
      <c r="K84" s="1">
        <v>0.1</v>
      </c>
      <c r="L84" s="1">
        <v>0.1</v>
      </c>
      <c r="M84" s="1">
        <v>0.1</v>
      </c>
      <c r="N84" s="1">
        <v>0.1</v>
      </c>
      <c r="O84" s="1">
        <v>0.1</v>
      </c>
      <c r="P84" s="1">
        <v>0.1</v>
      </c>
      <c r="Q84" s="1">
        <v>0.1</v>
      </c>
      <c r="R84" s="1">
        <v>0.1</v>
      </c>
      <c r="S84" s="1">
        <v>0.1</v>
      </c>
      <c r="T84" s="1">
        <v>0.1</v>
      </c>
    </row>
    <row r="85" spans="9:20">
      <c r="I85" s="120">
        <f>I84*I$61+I$61</f>
        <v>33000000</v>
      </c>
      <c r="J85" s="120">
        <f t="shared" ref="J85:T85" si="24">J84*J$61+J$61</f>
        <v>33000000</v>
      </c>
      <c r="K85" s="120">
        <f t="shared" si="24"/>
        <v>33000000</v>
      </c>
      <c r="L85" s="120">
        <f t="shared" si="24"/>
        <v>33000000</v>
      </c>
      <c r="M85" s="120">
        <f t="shared" si="24"/>
        <v>33000000</v>
      </c>
      <c r="N85" s="120">
        <f t="shared" si="24"/>
        <v>33000000</v>
      </c>
      <c r="O85" s="120">
        <f t="shared" si="24"/>
        <v>33000000</v>
      </c>
      <c r="P85" s="120">
        <f t="shared" si="24"/>
        <v>33000000</v>
      </c>
      <c r="Q85" s="120">
        <f t="shared" si="24"/>
        <v>33000000</v>
      </c>
      <c r="R85" s="120">
        <f t="shared" si="24"/>
        <v>33000000</v>
      </c>
      <c r="S85" s="120">
        <f t="shared" si="24"/>
        <v>33000000</v>
      </c>
      <c r="T85" s="120">
        <f t="shared" si="24"/>
        <v>33000000</v>
      </c>
    </row>
    <row r="87" spans="9:20">
      <c r="I87" s="1">
        <v>1</v>
      </c>
      <c r="J87" s="1">
        <v>0.98</v>
      </c>
      <c r="K87" s="1">
        <v>1</v>
      </c>
      <c r="L87" s="1">
        <v>1</v>
      </c>
      <c r="M87" s="1">
        <v>0.99009900990099009</v>
      </c>
      <c r="N87" s="1">
        <v>1</v>
      </c>
      <c r="O87" s="1">
        <v>1</v>
      </c>
      <c r="P87" s="1">
        <v>1</v>
      </c>
      <c r="Q87" s="1">
        <v>0.95238095238095233</v>
      </c>
      <c r="R87" s="1">
        <v>0.93457943925233644</v>
      </c>
      <c r="S87" s="1">
        <v>1</v>
      </c>
      <c r="T87" s="1">
        <v>1</v>
      </c>
    </row>
    <row r="88" spans="9:20">
      <c r="I88" s="1">
        <v>0.10100000000000001</v>
      </c>
      <c r="J88" s="1">
        <v>0.10100000000000001</v>
      </c>
      <c r="K88" s="1">
        <v>0.10100000000000001</v>
      </c>
      <c r="L88" s="1">
        <v>0.10100000000000001</v>
      </c>
      <c r="M88" s="1">
        <v>0.10100000000000001</v>
      </c>
      <c r="N88" s="1">
        <v>0.10100000000000001</v>
      </c>
      <c r="O88" s="1">
        <v>0.10100000000000001</v>
      </c>
      <c r="P88" s="1">
        <v>0.10100000000000001</v>
      </c>
      <c r="Q88" s="1">
        <v>0.10100000000000001</v>
      </c>
      <c r="R88" s="1">
        <v>0.10100000000000001</v>
      </c>
      <c r="S88" s="1">
        <v>0.10100000000000001</v>
      </c>
      <c r="T88" s="1">
        <v>0.10100000000000001</v>
      </c>
    </row>
    <row r="89" spans="9:20">
      <c r="I89" s="120">
        <f>I88*I$62+I$62</f>
        <v>32563595.480999999</v>
      </c>
      <c r="J89" s="120">
        <f t="shared" ref="J89:T89" si="25">J88*J$62+J$62</f>
        <v>31430920.811999999</v>
      </c>
      <c r="K89" s="120">
        <f t="shared" si="25"/>
        <v>32323037.991</v>
      </c>
      <c r="L89" s="120">
        <f t="shared" si="25"/>
        <v>0</v>
      </c>
      <c r="M89" s="120">
        <f t="shared" si="25"/>
        <v>0</v>
      </c>
      <c r="N89" s="120">
        <f t="shared" si="25"/>
        <v>0</v>
      </c>
      <c r="O89" s="120">
        <f t="shared" si="25"/>
        <v>0</v>
      </c>
      <c r="P89" s="120">
        <f t="shared" si="25"/>
        <v>0</v>
      </c>
      <c r="Q89" s="120">
        <f t="shared" si="25"/>
        <v>0</v>
      </c>
      <c r="R89" s="120">
        <f t="shared" si="25"/>
        <v>0</v>
      </c>
      <c r="S89" s="120">
        <f t="shared" si="25"/>
        <v>0</v>
      </c>
      <c r="T89" s="120">
        <f t="shared" si="25"/>
        <v>0</v>
      </c>
    </row>
  </sheetData>
  <mergeCells count="114">
    <mergeCell ref="D5:D6"/>
    <mergeCell ref="A7:A27"/>
    <mergeCell ref="B7:B27"/>
    <mergeCell ref="C7:C9"/>
    <mergeCell ref="D7:D9"/>
    <mergeCell ref="E7:E9"/>
    <mergeCell ref="F7:F9"/>
    <mergeCell ref="C10:C12"/>
    <mergeCell ref="D10:D12"/>
    <mergeCell ref="E10:E12"/>
    <mergeCell ref="F10:F12"/>
    <mergeCell ref="C19:C21"/>
    <mergeCell ref="D19:D21"/>
    <mergeCell ref="E19:E21"/>
    <mergeCell ref="F19:F21"/>
    <mergeCell ref="C22:C24"/>
    <mergeCell ref="D22:D24"/>
    <mergeCell ref="E22:E24"/>
    <mergeCell ref="F22:F24"/>
    <mergeCell ref="C13:C15"/>
    <mergeCell ref="D13:D15"/>
    <mergeCell ref="E13:E15"/>
    <mergeCell ref="F13:F15"/>
    <mergeCell ref="C16:C18"/>
    <mergeCell ref="D16:D18"/>
    <mergeCell ref="E16:E18"/>
    <mergeCell ref="F16:F18"/>
    <mergeCell ref="C31:C33"/>
    <mergeCell ref="D31:D33"/>
    <mergeCell ref="E31:E33"/>
    <mergeCell ref="F31:F33"/>
    <mergeCell ref="C34:C36"/>
    <mergeCell ref="D34:D36"/>
    <mergeCell ref="E34:E36"/>
    <mergeCell ref="F34:F36"/>
    <mergeCell ref="C25:C27"/>
    <mergeCell ref="D25:D27"/>
    <mergeCell ref="E25:E27"/>
    <mergeCell ref="F25:F27"/>
    <mergeCell ref="C28:C30"/>
    <mergeCell ref="D28:D30"/>
    <mergeCell ref="E28:E30"/>
    <mergeCell ref="F28:F30"/>
    <mergeCell ref="A43:A48"/>
    <mergeCell ref="B43:B48"/>
    <mergeCell ref="C43:C45"/>
    <mergeCell ref="D43:D48"/>
    <mergeCell ref="E43:E48"/>
    <mergeCell ref="F43:F45"/>
    <mergeCell ref="C46:C48"/>
    <mergeCell ref="F46:F48"/>
    <mergeCell ref="C37:C39"/>
    <mergeCell ref="D37:D39"/>
    <mergeCell ref="E37:E39"/>
    <mergeCell ref="F37:F39"/>
    <mergeCell ref="C40:C42"/>
    <mergeCell ref="D40:D42"/>
    <mergeCell ref="E40:E42"/>
    <mergeCell ref="F40:F42"/>
    <mergeCell ref="A28:A42"/>
    <mergeCell ref="B28:B42"/>
    <mergeCell ref="C55:C57"/>
    <mergeCell ref="D55:D57"/>
    <mergeCell ref="E55:E57"/>
    <mergeCell ref="F55:F57"/>
    <mergeCell ref="C58:C60"/>
    <mergeCell ref="D58:D60"/>
    <mergeCell ref="E58:E60"/>
    <mergeCell ref="F58:F60"/>
    <mergeCell ref="A49:A60"/>
    <mergeCell ref="B49:B60"/>
    <mergeCell ref="C49:C51"/>
    <mergeCell ref="D49:D51"/>
    <mergeCell ref="E49:E51"/>
    <mergeCell ref="F49:F51"/>
    <mergeCell ref="C52:C54"/>
    <mergeCell ref="D52:D54"/>
    <mergeCell ref="E52:E54"/>
    <mergeCell ref="F52:F54"/>
    <mergeCell ref="B64:B66"/>
    <mergeCell ref="C64:C66"/>
    <mergeCell ref="D64:D66"/>
    <mergeCell ref="E64:E66"/>
    <mergeCell ref="F64:F66"/>
    <mergeCell ref="A61:A63"/>
    <mergeCell ref="B61:B63"/>
    <mergeCell ref="C61:C63"/>
    <mergeCell ref="D61:D63"/>
    <mergeCell ref="E61:E63"/>
    <mergeCell ref="F61:F63"/>
    <mergeCell ref="G5:G6"/>
    <mergeCell ref="A76:A78"/>
    <mergeCell ref="B76:B78"/>
    <mergeCell ref="C76:C78"/>
    <mergeCell ref="D76:D78"/>
    <mergeCell ref="E76:E78"/>
    <mergeCell ref="F76:F78"/>
    <mergeCell ref="A70:A75"/>
    <mergeCell ref="B70:B75"/>
    <mergeCell ref="C70:C72"/>
    <mergeCell ref="D70:D72"/>
    <mergeCell ref="E70:E72"/>
    <mergeCell ref="F70:F72"/>
    <mergeCell ref="C73:C75"/>
    <mergeCell ref="D73:D75"/>
    <mergeCell ref="E73:E75"/>
    <mergeCell ref="F73:F75"/>
    <mergeCell ref="A67:A69"/>
    <mergeCell ref="B67:B69"/>
    <mergeCell ref="C67:C69"/>
    <mergeCell ref="D67:D69"/>
    <mergeCell ref="E67:E69"/>
    <mergeCell ref="F67:F69"/>
    <mergeCell ref="A64:A66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89"/>
  <sheetViews>
    <sheetView showGridLines="0" tabSelected="1" workbookViewId="0">
      <selection activeCell="H15" sqref="H15"/>
    </sheetView>
  </sheetViews>
  <sheetFormatPr defaultRowHeight="15"/>
  <cols>
    <col min="1" max="1" width="5.42578125" style="1" bestFit="1" customWidth="1"/>
    <col min="2" max="2" width="14.140625" style="1" bestFit="1" customWidth="1"/>
    <col min="3" max="3" width="26.140625" style="1" customWidth="1"/>
    <col min="4" max="4" width="11.28515625" style="1" bestFit="1" customWidth="1"/>
    <col min="5" max="5" width="14.140625" style="1" customWidth="1"/>
    <col min="6" max="6" width="32.42578125" style="1" bestFit="1" customWidth="1"/>
    <col min="7" max="7" width="10.7109375" style="1" customWidth="1"/>
    <col min="8" max="21" width="11.140625" style="1" customWidth="1"/>
    <col min="22" max="22" width="13" style="1" bestFit="1" customWidth="1"/>
    <col min="23" max="30" width="9.7109375" style="1" customWidth="1"/>
    <col min="31" max="16384" width="9.140625" style="1"/>
  </cols>
  <sheetData>
    <row r="2" spans="1:24" ht="16.5" customHeight="1">
      <c r="A2" s="121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04" t="s">
        <v>1</v>
      </c>
      <c r="T2" s="104" t="s">
        <v>2</v>
      </c>
      <c r="U2" s="104" t="s">
        <v>3</v>
      </c>
      <c r="V2" s="124"/>
    </row>
    <row r="3" spans="1:24" ht="30.75" customHeight="1">
      <c r="A3" s="121"/>
      <c r="B3" s="121" t="s">
        <v>254</v>
      </c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6" t="s">
        <v>243</v>
      </c>
      <c r="T3" s="135"/>
      <c r="U3" s="126" t="s">
        <v>245</v>
      </c>
      <c r="V3" s="125"/>
    </row>
    <row r="4" spans="1:24" ht="24.95" customHeight="1" thickBot="1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</row>
    <row r="5" spans="1:24" s="105" customFormat="1" ht="17.100000000000001" customHeight="1" thickBot="1">
      <c r="A5" s="137" t="s">
        <v>180</v>
      </c>
      <c r="B5" s="138" t="s">
        <v>8</v>
      </c>
      <c r="C5" s="138" t="s">
        <v>9</v>
      </c>
      <c r="D5" s="138" t="s">
        <v>10</v>
      </c>
      <c r="E5" s="138" t="s">
        <v>11</v>
      </c>
      <c r="F5" s="139" t="s">
        <v>12</v>
      </c>
      <c r="G5" s="439" t="s">
        <v>255</v>
      </c>
      <c r="H5" s="140" t="s">
        <v>256</v>
      </c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2"/>
    </row>
    <row r="6" spans="1:24" s="105" customFormat="1" ht="22.5" customHeight="1" thickBot="1">
      <c r="A6" s="143"/>
      <c r="B6" s="144"/>
      <c r="C6" s="144"/>
      <c r="D6" s="144"/>
      <c r="E6" s="144"/>
      <c r="F6" s="145"/>
      <c r="G6" s="440"/>
      <c r="H6" s="146" t="s">
        <v>16</v>
      </c>
      <c r="I6" s="147">
        <v>44927</v>
      </c>
      <c r="J6" s="147">
        <v>44958</v>
      </c>
      <c r="K6" s="147">
        <v>44986</v>
      </c>
      <c r="L6" s="147">
        <v>45017</v>
      </c>
      <c r="M6" s="147">
        <v>45047</v>
      </c>
      <c r="N6" s="147">
        <v>45078</v>
      </c>
      <c r="O6" s="147">
        <v>45108</v>
      </c>
      <c r="P6" s="147">
        <v>45139</v>
      </c>
      <c r="Q6" s="147">
        <v>45170</v>
      </c>
      <c r="R6" s="147">
        <v>45200</v>
      </c>
      <c r="S6" s="147">
        <v>45231</v>
      </c>
      <c r="T6" s="147">
        <v>45261</v>
      </c>
      <c r="U6" s="148" t="s">
        <v>17</v>
      </c>
    </row>
    <row r="7" spans="1:24" ht="17.100000000000001" customHeight="1">
      <c r="A7" s="371">
        <v>1</v>
      </c>
      <c r="B7" s="374" t="s">
        <v>186</v>
      </c>
      <c r="C7" s="377" t="s">
        <v>187</v>
      </c>
      <c r="D7" s="388" t="s">
        <v>93</v>
      </c>
      <c r="E7" s="362" t="s">
        <v>248</v>
      </c>
      <c r="F7" s="378" t="s">
        <v>189</v>
      </c>
      <c r="G7" s="149">
        <v>0</v>
      </c>
      <c r="H7" s="150" t="s">
        <v>23</v>
      </c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52">
        <f>SUM(I7:T7)</f>
        <v>0</v>
      </c>
    </row>
    <row r="8" spans="1:24" ht="17.100000000000001" customHeight="1">
      <c r="A8" s="372"/>
      <c r="B8" s="368"/>
      <c r="C8" s="368"/>
      <c r="D8" s="400"/>
      <c r="E8" s="363"/>
      <c r="F8" s="365"/>
      <c r="G8" s="153">
        <v>0</v>
      </c>
      <c r="H8" s="154" t="s">
        <v>24</v>
      </c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7">
        <f>SUM(I8:T8)</f>
        <v>0</v>
      </c>
    </row>
    <row r="9" spans="1:24" ht="17.100000000000001" customHeight="1">
      <c r="A9" s="372"/>
      <c r="B9" s="368"/>
      <c r="C9" s="368"/>
      <c r="D9" s="390"/>
      <c r="E9" s="363"/>
      <c r="F9" s="365"/>
      <c r="G9" s="158" t="e">
        <v>#DIV/0!</v>
      </c>
      <c r="H9" s="159" t="s">
        <v>25</v>
      </c>
      <c r="I9" s="158" t="e">
        <v>#DIV/0!</v>
      </c>
      <c r="J9" s="158" t="e">
        <v>#DIV/0!</v>
      </c>
      <c r="K9" s="158" t="e">
        <v>#DIV/0!</v>
      </c>
      <c r="L9" s="158" t="e">
        <v>#DIV/0!</v>
      </c>
      <c r="M9" s="158" t="e">
        <v>#DIV/0!</v>
      </c>
      <c r="N9" s="158" t="e">
        <v>#DIV/0!</v>
      </c>
      <c r="O9" s="158" t="e">
        <v>#DIV/0!</v>
      </c>
      <c r="P9" s="158" t="e">
        <v>#DIV/0!</v>
      </c>
      <c r="Q9" s="158" t="e">
        <v>#DIV/0!</v>
      </c>
      <c r="R9" s="158" t="e">
        <v>#DIV/0!</v>
      </c>
      <c r="S9" s="158" t="e">
        <v>#DIV/0!</v>
      </c>
      <c r="T9" s="160" t="e">
        <v>#DIV/0!</v>
      </c>
      <c r="U9" s="161" t="e">
        <f t="shared" ref="U9" si="0">U7/U8*1</f>
        <v>#DIV/0!</v>
      </c>
    </row>
    <row r="10" spans="1:24" ht="17.100000000000001" customHeight="1">
      <c r="A10" s="372"/>
      <c r="B10" s="368"/>
      <c r="C10" s="388" t="s">
        <v>190</v>
      </c>
      <c r="D10" s="388" t="s">
        <v>93</v>
      </c>
      <c r="E10" s="362" t="s">
        <v>248</v>
      </c>
      <c r="F10" s="364" t="s">
        <v>191</v>
      </c>
      <c r="G10" s="149">
        <v>0</v>
      </c>
      <c r="H10" s="150" t="s">
        <v>23</v>
      </c>
      <c r="I10" s="149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62"/>
      <c r="U10" s="152">
        <f>SUM(I10:T10)</f>
        <v>0</v>
      </c>
    </row>
    <row r="11" spans="1:24" ht="17.100000000000001" customHeight="1">
      <c r="A11" s="372"/>
      <c r="B11" s="368"/>
      <c r="C11" s="400"/>
      <c r="D11" s="400"/>
      <c r="E11" s="363"/>
      <c r="F11" s="365"/>
      <c r="G11" s="153">
        <v>0</v>
      </c>
      <c r="H11" s="154" t="s">
        <v>24</v>
      </c>
      <c r="I11" s="153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6"/>
      <c r="U11" s="157">
        <f>SUM(I11:T11)</f>
        <v>0</v>
      </c>
    </row>
    <row r="12" spans="1:24" ht="17.100000000000001" customHeight="1">
      <c r="A12" s="372"/>
      <c r="B12" s="368"/>
      <c r="C12" s="390"/>
      <c r="D12" s="390"/>
      <c r="E12" s="363"/>
      <c r="F12" s="366"/>
      <c r="G12" s="158" t="e">
        <v>#DIV/0!</v>
      </c>
      <c r="H12" s="159" t="s">
        <v>25</v>
      </c>
      <c r="I12" s="158" t="e">
        <v>#DIV/0!</v>
      </c>
      <c r="J12" s="158" t="e">
        <v>#DIV/0!</v>
      </c>
      <c r="K12" s="158" t="e">
        <v>#DIV/0!</v>
      </c>
      <c r="L12" s="158" t="e">
        <v>#DIV/0!</v>
      </c>
      <c r="M12" s="158" t="e">
        <v>#DIV/0!</v>
      </c>
      <c r="N12" s="158" t="e">
        <v>#DIV/0!</v>
      </c>
      <c r="O12" s="158" t="e">
        <v>#DIV/0!</v>
      </c>
      <c r="P12" s="158" t="e">
        <v>#DIV/0!</v>
      </c>
      <c r="Q12" s="158" t="e">
        <v>#DIV/0!</v>
      </c>
      <c r="R12" s="158" t="e">
        <v>#DIV/0!</v>
      </c>
      <c r="S12" s="158" t="e">
        <v>#DIV/0!</v>
      </c>
      <c r="T12" s="160" t="e">
        <v>#DIV/0!</v>
      </c>
      <c r="U12" s="161" t="e">
        <f>U10/U11*1</f>
        <v>#DIV/0!</v>
      </c>
    </row>
    <row r="13" spans="1:24" ht="17.100000000000001" customHeight="1">
      <c r="A13" s="372"/>
      <c r="B13" s="368"/>
      <c r="C13" s="367" t="s">
        <v>192</v>
      </c>
      <c r="D13" s="367" t="s">
        <v>193</v>
      </c>
      <c r="E13" s="382" t="s">
        <v>248</v>
      </c>
      <c r="F13" s="370" t="s">
        <v>183</v>
      </c>
      <c r="G13" s="163">
        <v>50400000</v>
      </c>
      <c r="H13" s="150" t="s">
        <v>23</v>
      </c>
      <c r="I13" s="164">
        <v>4500000</v>
      </c>
      <c r="J13" s="164">
        <v>4500000</v>
      </c>
      <c r="K13" s="164">
        <v>4500000</v>
      </c>
      <c r="L13" s="164">
        <v>4500000</v>
      </c>
      <c r="M13" s="164">
        <v>4500000</v>
      </c>
      <c r="N13" s="164">
        <v>4500000</v>
      </c>
      <c r="O13" s="164">
        <v>4500000</v>
      </c>
      <c r="P13" s="164">
        <v>4500000</v>
      </c>
      <c r="Q13" s="164">
        <v>4500000</v>
      </c>
      <c r="R13" s="164">
        <v>4500000</v>
      </c>
      <c r="S13" s="164">
        <v>4500000</v>
      </c>
      <c r="T13" s="164">
        <v>4500000</v>
      </c>
      <c r="U13" s="165">
        <f>SUM(I13:T13)</f>
        <v>54000000</v>
      </c>
    </row>
    <row r="14" spans="1:24" ht="17.100000000000001" customHeight="1">
      <c r="A14" s="372"/>
      <c r="B14" s="368"/>
      <c r="C14" s="367"/>
      <c r="D14" s="367"/>
      <c r="E14" s="382"/>
      <c r="F14" s="370"/>
      <c r="G14" s="166">
        <v>54605450</v>
      </c>
      <c r="H14" s="154" t="s">
        <v>24</v>
      </c>
      <c r="I14" s="166">
        <v>4556287</v>
      </c>
      <c r="J14" s="167">
        <v>4508743</v>
      </c>
      <c r="K14" s="167">
        <v>4506842</v>
      </c>
      <c r="L14" s="167"/>
      <c r="M14" s="167"/>
      <c r="N14" s="167"/>
      <c r="O14" s="167"/>
      <c r="P14" s="167"/>
      <c r="Q14" s="167"/>
      <c r="R14" s="167"/>
      <c r="S14" s="167"/>
      <c r="T14" s="168"/>
      <c r="U14" s="169">
        <f>SUM(I14:T14)</f>
        <v>13571872</v>
      </c>
    </row>
    <row r="15" spans="1:24" ht="17.100000000000001" customHeight="1">
      <c r="A15" s="372"/>
      <c r="B15" s="368"/>
      <c r="C15" s="367"/>
      <c r="D15" s="367"/>
      <c r="E15" s="382"/>
      <c r="F15" s="370"/>
      <c r="G15" s="158">
        <v>0.99998733013105812</v>
      </c>
      <c r="H15" s="159" t="s">
        <v>25</v>
      </c>
      <c r="I15" s="158">
        <v>0.82604783333333331</v>
      </c>
      <c r="J15" s="158">
        <v>0.86979050000000002</v>
      </c>
      <c r="K15" s="158">
        <v>0.72114033333333338</v>
      </c>
      <c r="L15" s="158">
        <v>0</v>
      </c>
      <c r="M15" s="158">
        <v>0</v>
      </c>
      <c r="N15" s="158">
        <v>0</v>
      </c>
      <c r="O15" s="158">
        <v>0</v>
      </c>
      <c r="P15" s="158">
        <v>0</v>
      </c>
      <c r="Q15" s="158">
        <v>0</v>
      </c>
      <c r="R15" s="158">
        <v>0</v>
      </c>
      <c r="S15" s="158">
        <v>0</v>
      </c>
      <c r="T15" s="160">
        <v>0</v>
      </c>
      <c r="U15" s="161">
        <f t="shared" ref="U15" si="1">U14/U13*1</f>
        <v>0.25133096296296298</v>
      </c>
    </row>
    <row r="16" spans="1:24" ht="17.100000000000001" customHeight="1">
      <c r="A16" s="372"/>
      <c r="B16" s="368"/>
      <c r="C16" s="377" t="s">
        <v>194</v>
      </c>
      <c r="D16" s="387" t="s">
        <v>195</v>
      </c>
      <c r="E16" s="382" t="s">
        <v>248</v>
      </c>
      <c r="F16" s="364" t="s">
        <v>196</v>
      </c>
      <c r="G16" s="164">
        <v>0</v>
      </c>
      <c r="H16" s="150" t="s">
        <v>23</v>
      </c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1"/>
      <c r="U16" s="165">
        <f>SUM(I16:T16)</f>
        <v>0</v>
      </c>
      <c r="W16" s="134"/>
      <c r="X16" s="134"/>
    </row>
    <row r="17" spans="1:21" ht="17.100000000000001" customHeight="1">
      <c r="A17" s="372"/>
      <c r="B17" s="368"/>
      <c r="C17" s="368"/>
      <c r="D17" s="387"/>
      <c r="E17" s="382"/>
      <c r="F17" s="365"/>
      <c r="G17" s="166">
        <v>0</v>
      </c>
      <c r="H17" s="154" t="s">
        <v>24</v>
      </c>
      <c r="I17" s="166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8"/>
      <c r="U17" s="169">
        <f>SUM(I17:T17)</f>
        <v>0</v>
      </c>
    </row>
    <row r="18" spans="1:21" ht="17.100000000000001" customHeight="1">
      <c r="A18" s="372"/>
      <c r="B18" s="368"/>
      <c r="C18" s="453"/>
      <c r="D18" s="387"/>
      <c r="E18" s="382"/>
      <c r="F18" s="366"/>
      <c r="G18" s="158" t="e">
        <v>#DIV/0!</v>
      </c>
      <c r="H18" s="159" t="s">
        <v>25</v>
      </c>
      <c r="I18" s="158" t="e">
        <v>#DIV/0!</v>
      </c>
      <c r="J18" s="158" t="e">
        <v>#DIV/0!</v>
      </c>
      <c r="K18" s="158" t="e">
        <v>#DIV/0!</v>
      </c>
      <c r="L18" s="158" t="e">
        <v>#DIV/0!</v>
      </c>
      <c r="M18" s="158" t="e">
        <v>#DIV/0!</v>
      </c>
      <c r="N18" s="158" t="e">
        <v>#DIV/0!</v>
      </c>
      <c r="O18" s="158" t="e">
        <v>#DIV/0!</v>
      </c>
      <c r="P18" s="158" t="e">
        <v>#DIV/0!</v>
      </c>
      <c r="Q18" s="158" t="e">
        <v>#DIV/0!</v>
      </c>
      <c r="R18" s="158" t="e">
        <v>#DIV/0!</v>
      </c>
      <c r="S18" s="158" t="e">
        <v>#DIV/0!</v>
      </c>
      <c r="T18" s="160" t="e">
        <v>#DIV/0!</v>
      </c>
      <c r="U18" s="161" t="e">
        <f t="shared" ref="U18" si="2">U17/U16*1</f>
        <v>#DIV/0!</v>
      </c>
    </row>
    <row r="19" spans="1:21" ht="17.100000000000001" customHeight="1">
      <c r="A19" s="372"/>
      <c r="B19" s="368"/>
      <c r="C19" s="377" t="s">
        <v>197</v>
      </c>
      <c r="D19" s="387" t="s">
        <v>195</v>
      </c>
      <c r="E19" s="382" t="s">
        <v>248</v>
      </c>
      <c r="F19" s="364" t="s">
        <v>199</v>
      </c>
      <c r="G19" s="172" t="e">
        <v>#DIV/0!</v>
      </c>
      <c r="H19" s="150" t="s">
        <v>23</v>
      </c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4"/>
      <c r="U19" s="175" t="e">
        <f>AVERAGE(I19:T19)</f>
        <v>#DIV/0!</v>
      </c>
    </row>
    <row r="20" spans="1:21" ht="17.100000000000001" customHeight="1">
      <c r="A20" s="372"/>
      <c r="B20" s="368"/>
      <c r="C20" s="368"/>
      <c r="D20" s="387"/>
      <c r="E20" s="382"/>
      <c r="F20" s="365"/>
      <c r="G20" s="176" t="e">
        <v>#DIV/0!</v>
      </c>
      <c r="H20" s="154" t="s">
        <v>24</v>
      </c>
      <c r="I20" s="176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8"/>
      <c r="U20" s="179" t="e">
        <f>AVERAGE(I20:T20)</f>
        <v>#DIV/0!</v>
      </c>
    </row>
    <row r="21" spans="1:21" ht="17.100000000000001" customHeight="1">
      <c r="A21" s="372"/>
      <c r="B21" s="368"/>
      <c r="C21" s="453"/>
      <c r="D21" s="387"/>
      <c r="E21" s="382"/>
      <c r="F21" s="366"/>
      <c r="G21" s="158" t="e">
        <v>#DIV/0!</v>
      </c>
      <c r="H21" s="159" t="s">
        <v>25</v>
      </c>
      <c r="I21" s="158" t="e">
        <v>#DIV/0!</v>
      </c>
      <c r="J21" s="158" t="e">
        <v>#DIV/0!</v>
      </c>
      <c r="K21" s="158" t="e">
        <v>#DIV/0!</v>
      </c>
      <c r="L21" s="158" t="e">
        <v>#DIV/0!</v>
      </c>
      <c r="M21" s="158" t="e">
        <v>#DIV/0!</v>
      </c>
      <c r="N21" s="158" t="e">
        <v>#DIV/0!</v>
      </c>
      <c r="O21" s="158" t="e">
        <v>#DIV/0!</v>
      </c>
      <c r="P21" s="158" t="e">
        <v>#DIV/0!</v>
      </c>
      <c r="Q21" s="158" t="e">
        <v>#DIV/0!</v>
      </c>
      <c r="R21" s="158" t="e">
        <v>#DIV/0!</v>
      </c>
      <c r="S21" s="158" t="e">
        <v>#DIV/0!</v>
      </c>
      <c r="T21" s="160" t="e">
        <v>#DIV/0!</v>
      </c>
      <c r="U21" s="161" t="e">
        <f t="shared" ref="U21" si="3">U20/U19*1</f>
        <v>#DIV/0!</v>
      </c>
    </row>
    <row r="22" spans="1:21" ht="17.100000000000001" customHeight="1">
      <c r="A22" s="372"/>
      <c r="B22" s="368"/>
      <c r="C22" s="367" t="s">
        <v>106</v>
      </c>
      <c r="D22" s="368" t="s">
        <v>200</v>
      </c>
      <c r="E22" s="382" t="s">
        <v>257</v>
      </c>
      <c r="F22" s="370" t="s">
        <v>201</v>
      </c>
      <c r="G22" s="180">
        <v>60</v>
      </c>
      <c r="H22" s="150" t="s">
        <v>23</v>
      </c>
      <c r="I22" s="180">
        <v>5</v>
      </c>
      <c r="J22" s="180">
        <v>5</v>
      </c>
      <c r="K22" s="180">
        <v>5</v>
      </c>
      <c r="L22" s="180"/>
      <c r="M22" s="180"/>
      <c r="N22" s="180"/>
      <c r="O22" s="180"/>
      <c r="P22" s="180"/>
      <c r="Q22" s="180"/>
      <c r="R22" s="180"/>
      <c r="S22" s="180"/>
      <c r="T22" s="180"/>
      <c r="U22" s="152">
        <f>SUM(I22:T22)</f>
        <v>15</v>
      </c>
    </row>
    <row r="23" spans="1:21" ht="17.100000000000001" customHeight="1">
      <c r="A23" s="372"/>
      <c r="B23" s="368"/>
      <c r="C23" s="367"/>
      <c r="D23" s="368"/>
      <c r="E23" s="382"/>
      <c r="F23" s="370"/>
      <c r="G23" s="153">
        <v>57</v>
      </c>
      <c r="H23" s="154" t="s">
        <v>24</v>
      </c>
      <c r="I23" s="155">
        <v>5</v>
      </c>
      <c r="J23" s="155">
        <v>4</v>
      </c>
      <c r="K23" s="155">
        <v>5</v>
      </c>
      <c r="L23" s="155"/>
      <c r="M23" s="155"/>
      <c r="N23" s="155"/>
      <c r="O23" s="155"/>
      <c r="P23" s="155"/>
      <c r="Q23" s="155"/>
      <c r="R23" s="155"/>
      <c r="S23" s="155"/>
      <c r="T23" s="155"/>
      <c r="U23" s="157">
        <f>SUM(I23:T23)</f>
        <v>14</v>
      </c>
    </row>
    <row r="24" spans="1:21" ht="17.100000000000001" customHeight="1">
      <c r="A24" s="372"/>
      <c r="B24" s="368"/>
      <c r="C24" s="367"/>
      <c r="D24" s="368"/>
      <c r="E24" s="382"/>
      <c r="F24" s="370"/>
      <c r="G24" s="158">
        <v>1</v>
      </c>
      <c r="H24" s="159" t="s">
        <v>25</v>
      </c>
      <c r="I24" s="181">
        <v>1</v>
      </c>
      <c r="J24" s="181">
        <v>1</v>
      </c>
      <c r="K24" s="181">
        <v>1</v>
      </c>
      <c r="L24" s="181" t="e">
        <v>#DIV/0!</v>
      </c>
      <c r="M24" s="181" t="e">
        <v>#DIV/0!</v>
      </c>
      <c r="N24" s="181" t="e">
        <v>#DIV/0!</v>
      </c>
      <c r="O24" s="181" t="e">
        <v>#DIV/0!</v>
      </c>
      <c r="P24" s="181" t="e">
        <v>#DIV/0!</v>
      </c>
      <c r="Q24" s="181" t="e">
        <v>#DIV/0!</v>
      </c>
      <c r="R24" s="181" t="e">
        <v>#DIV/0!</v>
      </c>
      <c r="S24" s="181" t="e">
        <v>#DIV/0!</v>
      </c>
      <c r="T24" s="182" t="e">
        <v>#DIV/0!</v>
      </c>
      <c r="U24" s="161">
        <f t="shared" ref="U24" si="4">U23/U22*1</f>
        <v>0.93333333333333335</v>
      </c>
    </row>
    <row r="25" spans="1:21" ht="17.100000000000001" customHeight="1">
      <c r="A25" s="372"/>
      <c r="B25" s="368"/>
      <c r="C25" s="367" t="s">
        <v>109</v>
      </c>
      <c r="D25" s="367" t="s">
        <v>202</v>
      </c>
      <c r="E25" s="362" t="s">
        <v>248</v>
      </c>
      <c r="F25" s="370" t="s">
        <v>41</v>
      </c>
      <c r="G25" s="180">
        <v>12</v>
      </c>
      <c r="H25" s="150" t="s">
        <v>23</v>
      </c>
      <c r="I25" s="180">
        <v>1</v>
      </c>
      <c r="J25" s="180">
        <v>1</v>
      </c>
      <c r="K25" s="180">
        <v>1</v>
      </c>
      <c r="L25" s="183"/>
      <c r="M25" s="183"/>
      <c r="N25" s="183"/>
      <c r="O25" s="183"/>
      <c r="P25" s="183"/>
      <c r="Q25" s="183"/>
      <c r="R25" s="183"/>
      <c r="S25" s="183"/>
      <c r="T25" s="183"/>
      <c r="U25" s="152">
        <f>SUM(I25:T25)</f>
        <v>3</v>
      </c>
    </row>
    <row r="26" spans="1:21" ht="17.100000000000001" customHeight="1">
      <c r="A26" s="372"/>
      <c r="B26" s="368"/>
      <c r="C26" s="367"/>
      <c r="D26" s="367"/>
      <c r="E26" s="363"/>
      <c r="F26" s="370"/>
      <c r="G26" s="153">
        <v>12</v>
      </c>
      <c r="H26" s="154" t="s">
        <v>24</v>
      </c>
      <c r="I26" s="155">
        <v>1</v>
      </c>
      <c r="J26" s="155">
        <v>1</v>
      </c>
      <c r="K26" s="155">
        <v>1</v>
      </c>
      <c r="L26" s="155"/>
      <c r="M26" s="155"/>
      <c r="N26" s="155"/>
      <c r="O26" s="155"/>
      <c r="P26" s="155"/>
      <c r="Q26" s="155"/>
      <c r="R26" s="155"/>
      <c r="S26" s="155"/>
      <c r="T26" s="155"/>
      <c r="U26" s="157">
        <f>SUM(I26:T26)</f>
        <v>3</v>
      </c>
    </row>
    <row r="27" spans="1:21" ht="17.100000000000001" customHeight="1" thickBot="1">
      <c r="A27" s="373"/>
      <c r="B27" s="368"/>
      <c r="C27" s="377"/>
      <c r="D27" s="377"/>
      <c r="E27" s="410"/>
      <c r="F27" s="364"/>
      <c r="G27" s="184">
        <v>1</v>
      </c>
      <c r="H27" s="159" t="s">
        <v>25</v>
      </c>
      <c r="I27" s="185">
        <v>1</v>
      </c>
      <c r="J27" s="185">
        <v>1</v>
      </c>
      <c r="K27" s="185">
        <v>1</v>
      </c>
      <c r="L27" s="185" t="e">
        <v>#DIV/0!</v>
      </c>
      <c r="M27" s="185" t="e">
        <v>#DIV/0!</v>
      </c>
      <c r="N27" s="185" t="e">
        <v>#DIV/0!</v>
      </c>
      <c r="O27" s="185" t="e">
        <v>#DIV/0!</v>
      </c>
      <c r="P27" s="185" t="e">
        <v>#DIV/0!</v>
      </c>
      <c r="Q27" s="185" t="e">
        <v>#DIV/0!</v>
      </c>
      <c r="R27" s="184" t="e">
        <v>#DIV/0!</v>
      </c>
      <c r="S27" s="185" t="e">
        <v>#DIV/0!</v>
      </c>
      <c r="T27" s="186" t="e">
        <v>#DIV/0!</v>
      </c>
      <c r="U27" s="187">
        <f>U25/U26*1</f>
        <v>1</v>
      </c>
    </row>
    <row r="28" spans="1:21" ht="17.100000000000001" customHeight="1">
      <c r="A28" s="372">
        <v>2</v>
      </c>
      <c r="B28" s="396" t="s">
        <v>203</v>
      </c>
      <c r="C28" s="399" t="s">
        <v>204</v>
      </c>
      <c r="D28" s="399" t="s">
        <v>113</v>
      </c>
      <c r="E28" s="362" t="s">
        <v>248</v>
      </c>
      <c r="F28" s="401" t="s">
        <v>205</v>
      </c>
      <c r="G28" s="188">
        <v>100</v>
      </c>
      <c r="H28" s="150" t="s">
        <v>23</v>
      </c>
      <c r="I28" s="188">
        <v>100</v>
      </c>
      <c r="J28" s="188">
        <v>100</v>
      </c>
      <c r="K28" s="188">
        <v>100</v>
      </c>
      <c r="L28" s="188"/>
      <c r="M28" s="188"/>
      <c r="N28" s="188"/>
      <c r="O28" s="188"/>
      <c r="P28" s="188"/>
      <c r="Q28" s="188"/>
      <c r="R28" s="188"/>
      <c r="S28" s="188"/>
      <c r="T28" s="188"/>
      <c r="U28" s="189">
        <f>AVERAGE(I28:T28)</f>
        <v>100</v>
      </c>
    </row>
    <row r="29" spans="1:21" ht="17.100000000000001" customHeight="1">
      <c r="A29" s="372"/>
      <c r="B29" s="397"/>
      <c r="C29" s="400"/>
      <c r="D29" s="400"/>
      <c r="E29" s="363"/>
      <c r="F29" s="402"/>
      <c r="G29" s="190">
        <v>31.083333333333332</v>
      </c>
      <c r="H29" s="154" t="s">
        <v>24</v>
      </c>
      <c r="I29" s="190">
        <v>20</v>
      </c>
      <c r="J29" s="190">
        <v>14</v>
      </c>
      <c r="K29" s="190">
        <v>19</v>
      </c>
      <c r="L29" s="190"/>
      <c r="M29" s="190"/>
      <c r="N29" s="190"/>
      <c r="O29" s="190"/>
      <c r="P29" s="190"/>
      <c r="Q29" s="190"/>
      <c r="R29" s="190"/>
      <c r="S29" s="190"/>
      <c r="T29" s="190"/>
      <c r="U29" s="169">
        <f>AVERAGE(I29:T29)</f>
        <v>17.666666666666668</v>
      </c>
    </row>
    <row r="30" spans="1:21" ht="17.100000000000001" customHeight="1" thickBot="1">
      <c r="A30" s="372"/>
      <c r="B30" s="397"/>
      <c r="C30" s="390"/>
      <c r="D30" s="390"/>
      <c r="E30" s="363"/>
      <c r="F30" s="403"/>
      <c r="G30" s="158">
        <v>0.31083333333333329</v>
      </c>
      <c r="H30" s="159" t="s">
        <v>25</v>
      </c>
      <c r="I30" s="158">
        <v>0.2</v>
      </c>
      <c r="J30" s="158">
        <v>0.14000000000000001</v>
      </c>
      <c r="K30" s="158">
        <v>0.19</v>
      </c>
      <c r="L30" s="158" t="e">
        <v>#DIV/0!</v>
      </c>
      <c r="M30" s="158" t="e">
        <v>#DIV/0!</v>
      </c>
      <c r="N30" s="158" t="e">
        <v>#DIV/0!</v>
      </c>
      <c r="O30" s="158" t="e">
        <v>#DIV/0!</v>
      </c>
      <c r="P30" s="158" t="e">
        <v>#DIV/0!</v>
      </c>
      <c r="Q30" s="158" t="e">
        <v>#DIV/0!</v>
      </c>
      <c r="R30" s="158" t="e">
        <v>#DIV/0!</v>
      </c>
      <c r="S30" s="158" t="e">
        <v>#DIV/0!</v>
      </c>
      <c r="T30" s="160" t="e">
        <v>#DIV/0!</v>
      </c>
      <c r="U30" s="161">
        <f>U29/U28*1</f>
        <v>0.17666666666666667</v>
      </c>
    </row>
    <row r="31" spans="1:21" ht="17.100000000000001" customHeight="1">
      <c r="A31" s="372"/>
      <c r="B31" s="397"/>
      <c r="C31" s="389" t="s">
        <v>206</v>
      </c>
      <c r="D31" s="389" t="s">
        <v>207</v>
      </c>
      <c r="E31" s="452" t="s">
        <v>250</v>
      </c>
      <c r="F31" s="405" t="s">
        <v>209</v>
      </c>
      <c r="G31" s="188">
        <v>12</v>
      </c>
      <c r="H31" s="150" t="s">
        <v>23</v>
      </c>
      <c r="I31" s="191">
        <v>2</v>
      </c>
      <c r="J31" s="191">
        <v>2</v>
      </c>
      <c r="K31" s="191">
        <v>2</v>
      </c>
      <c r="L31" s="191"/>
      <c r="M31" s="191"/>
      <c r="N31" s="191"/>
      <c r="O31" s="191"/>
      <c r="P31" s="191"/>
      <c r="Q31" s="191"/>
      <c r="R31" s="191"/>
      <c r="S31" s="191"/>
      <c r="T31" s="191"/>
      <c r="U31" s="165">
        <f>SUM(I31:T31)</f>
        <v>6</v>
      </c>
    </row>
    <row r="32" spans="1:21" ht="17.100000000000001" customHeight="1">
      <c r="A32" s="372"/>
      <c r="B32" s="397"/>
      <c r="C32" s="400"/>
      <c r="D32" s="400"/>
      <c r="E32" s="452"/>
      <c r="F32" s="402"/>
      <c r="G32" s="190">
        <v>0</v>
      </c>
      <c r="H32" s="154" t="s">
        <v>24</v>
      </c>
      <c r="I32" s="192">
        <v>0</v>
      </c>
      <c r="J32" s="192">
        <v>0</v>
      </c>
      <c r="K32" s="192">
        <v>0</v>
      </c>
      <c r="L32" s="192"/>
      <c r="M32" s="192"/>
      <c r="N32" s="192"/>
      <c r="O32" s="192"/>
      <c r="P32" s="192"/>
      <c r="Q32" s="192"/>
      <c r="R32" s="192"/>
      <c r="S32" s="192"/>
      <c r="T32" s="192"/>
      <c r="U32" s="169">
        <f>SUM(I32:T32)</f>
        <v>0</v>
      </c>
    </row>
    <row r="33" spans="1:21" ht="17.100000000000001" customHeight="1">
      <c r="A33" s="372"/>
      <c r="B33" s="397"/>
      <c r="C33" s="390"/>
      <c r="D33" s="390"/>
      <c r="E33" s="452"/>
      <c r="F33" s="403"/>
      <c r="G33" s="158" t="e">
        <v>#DIV/0!</v>
      </c>
      <c r="H33" s="159" t="s">
        <v>25</v>
      </c>
      <c r="I33" s="158">
        <v>0</v>
      </c>
      <c r="J33" s="158">
        <v>0</v>
      </c>
      <c r="K33" s="158">
        <v>0</v>
      </c>
      <c r="L33" s="158" t="e">
        <v>#DIV/0!</v>
      </c>
      <c r="M33" s="158" t="e">
        <v>#DIV/0!</v>
      </c>
      <c r="N33" s="158" t="e">
        <v>#DIV/0!</v>
      </c>
      <c r="O33" s="158" t="e">
        <v>#DIV/0!</v>
      </c>
      <c r="P33" s="158" t="e">
        <v>#DIV/0!</v>
      </c>
      <c r="Q33" s="158" t="e">
        <v>#DIV/0!</v>
      </c>
      <c r="R33" s="158" t="e">
        <v>#DIV/0!</v>
      </c>
      <c r="S33" s="158" t="e">
        <v>#DIV/0!</v>
      </c>
      <c r="T33" s="158" t="e">
        <v>#DIV/0!</v>
      </c>
      <c r="U33" s="161" t="e">
        <f>U31/U32</f>
        <v>#DIV/0!</v>
      </c>
    </row>
    <row r="34" spans="1:21" ht="17.100000000000001" customHeight="1">
      <c r="A34" s="372"/>
      <c r="B34" s="397"/>
      <c r="C34" s="388" t="s">
        <v>119</v>
      </c>
      <c r="D34" s="388" t="s">
        <v>210</v>
      </c>
      <c r="E34" s="362" t="s">
        <v>248</v>
      </c>
      <c r="F34" s="364" t="s">
        <v>211</v>
      </c>
      <c r="G34" s="149">
        <v>24</v>
      </c>
      <c r="H34" s="150" t="s">
        <v>23</v>
      </c>
      <c r="I34" s="149">
        <v>2</v>
      </c>
      <c r="J34" s="149">
        <v>2</v>
      </c>
      <c r="K34" s="149">
        <v>2</v>
      </c>
      <c r="L34" s="149"/>
      <c r="M34" s="149"/>
      <c r="N34" s="149"/>
      <c r="O34" s="149"/>
      <c r="P34" s="149"/>
      <c r="Q34" s="149"/>
      <c r="R34" s="149"/>
      <c r="S34" s="149"/>
      <c r="T34" s="149"/>
      <c r="U34" s="152">
        <f>SUM(I34:T34)</f>
        <v>6</v>
      </c>
    </row>
    <row r="35" spans="1:21" ht="17.100000000000001" customHeight="1">
      <c r="A35" s="372"/>
      <c r="B35" s="397"/>
      <c r="C35" s="389"/>
      <c r="D35" s="389"/>
      <c r="E35" s="363"/>
      <c r="F35" s="365"/>
      <c r="G35" s="153">
        <v>11</v>
      </c>
      <c r="H35" s="154" t="s">
        <v>24</v>
      </c>
      <c r="I35" s="153">
        <v>2</v>
      </c>
      <c r="J35" s="155">
        <v>2</v>
      </c>
      <c r="K35" s="155">
        <v>2</v>
      </c>
      <c r="L35" s="155"/>
      <c r="M35" s="155"/>
      <c r="N35" s="155"/>
      <c r="O35" s="155"/>
      <c r="P35" s="155"/>
      <c r="Q35" s="155"/>
      <c r="R35" s="155"/>
      <c r="S35" s="155"/>
      <c r="T35" s="155"/>
      <c r="U35" s="157">
        <f>SUM(I35:T35)</f>
        <v>6</v>
      </c>
    </row>
    <row r="36" spans="1:21" ht="17.100000000000001" customHeight="1">
      <c r="A36" s="372"/>
      <c r="B36" s="397"/>
      <c r="C36" s="390"/>
      <c r="D36" s="390"/>
      <c r="E36" s="363"/>
      <c r="F36" s="366"/>
      <c r="G36" s="158">
        <v>2.1818181818181817</v>
      </c>
      <c r="H36" s="159" t="s">
        <v>25</v>
      </c>
      <c r="I36" s="158">
        <v>1</v>
      </c>
      <c r="J36" s="158">
        <v>1</v>
      </c>
      <c r="K36" s="158">
        <v>1</v>
      </c>
      <c r="L36" s="158" t="e">
        <v>#DIV/0!</v>
      </c>
      <c r="M36" s="158" t="e">
        <v>#DIV/0!</v>
      </c>
      <c r="N36" s="158" t="e">
        <v>#DIV/0!</v>
      </c>
      <c r="O36" s="158" t="e">
        <v>#DIV/0!</v>
      </c>
      <c r="P36" s="158" t="e">
        <v>#DIV/0!</v>
      </c>
      <c r="Q36" s="158" t="e">
        <v>#DIV/0!</v>
      </c>
      <c r="R36" s="158" t="e">
        <v>#DIV/0!</v>
      </c>
      <c r="S36" s="158" t="e">
        <v>#DIV/0!</v>
      </c>
      <c r="T36" s="160" t="e">
        <v>#DIV/0!</v>
      </c>
      <c r="U36" s="161">
        <f>U34/U35</f>
        <v>1</v>
      </c>
    </row>
    <row r="37" spans="1:21" ht="17.100000000000001" customHeight="1">
      <c r="A37" s="372"/>
      <c r="B37" s="397"/>
      <c r="C37" s="394" t="s">
        <v>212</v>
      </c>
      <c r="D37" s="394" t="s">
        <v>210</v>
      </c>
      <c r="E37" s="362" t="s">
        <v>248</v>
      </c>
      <c r="F37" s="370" t="s">
        <v>184</v>
      </c>
      <c r="G37" s="193">
        <v>12</v>
      </c>
      <c r="H37" s="150" t="s">
        <v>23</v>
      </c>
      <c r="I37" s="191">
        <v>2</v>
      </c>
      <c r="J37" s="191">
        <v>2</v>
      </c>
      <c r="K37" s="191">
        <v>2</v>
      </c>
      <c r="L37" s="191"/>
      <c r="M37" s="191"/>
      <c r="N37" s="191"/>
      <c r="O37" s="191"/>
      <c r="P37" s="191"/>
      <c r="Q37" s="191"/>
      <c r="R37" s="191"/>
      <c r="S37" s="191"/>
      <c r="T37" s="191"/>
      <c r="U37" s="152">
        <f>SUM(I37:T37)</f>
        <v>6</v>
      </c>
    </row>
    <row r="38" spans="1:21" ht="17.100000000000001" customHeight="1">
      <c r="A38" s="372"/>
      <c r="B38" s="397"/>
      <c r="C38" s="394"/>
      <c r="D38" s="394"/>
      <c r="E38" s="363"/>
      <c r="F38" s="370"/>
      <c r="G38" s="190">
        <v>10</v>
      </c>
      <c r="H38" s="154" t="s">
        <v>24</v>
      </c>
      <c r="I38" s="192">
        <v>1</v>
      </c>
      <c r="J38" s="192">
        <v>1</v>
      </c>
      <c r="K38" s="192">
        <v>1</v>
      </c>
      <c r="L38" s="192"/>
      <c r="M38" s="192"/>
      <c r="N38" s="192"/>
      <c r="O38" s="192"/>
      <c r="P38" s="192"/>
      <c r="Q38" s="192"/>
      <c r="R38" s="192"/>
      <c r="S38" s="192"/>
      <c r="T38" s="192"/>
      <c r="U38" s="157">
        <f>SUM(I38:T38)</f>
        <v>3</v>
      </c>
    </row>
    <row r="39" spans="1:21" ht="17.100000000000001" customHeight="1">
      <c r="A39" s="372"/>
      <c r="B39" s="397"/>
      <c r="C39" s="394"/>
      <c r="D39" s="394"/>
      <c r="E39" s="363"/>
      <c r="F39" s="370"/>
      <c r="G39" s="158">
        <v>0.83333333333333337</v>
      </c>
      <c r="H39" s="159" t="s">
        <v>25</v>
      </c>
      <c r="I39" s="158">
        <v>0.5</v>
      </c>
      <c r="J39" s="158">
        <v>0.5</v>
      </c>
      <c r="K39" s="158">
        <v>0.5</v>
      </c>
      <c r="L39" s="158" t="e">
        <v>#DIV/0!</v>
      </c>
      <c r="M39" s="158" t="e">
        <v>#DIV/0!</v>
      </c>
      <c r="N39" s="158" t="e">
        <v>#DIV/0!</v>
      </c>
      <c r="O39" s="158" t="e">
        <v>#DIV/0!</v>
      </c>
      <c r="P39" s="158" t="e">
        <v>#DIV/0!</v>
      </c>
      <c r="Q39" s="158" t="e">
        <v>#DIV/0!</v>
      </c>
      <c r="R39" s="158" t="e">
        <v>#DIV/0!</v>
      </c>
      <c r="S39" s="158" t="e">
        <v>#DIV/0!</v>
      </c>
      <c r="T39" s="158" t="e">
        <v>#DIV/0!</v>
      </c>
      <c r="U39" s="194">
        <f t="shared" ref="U39" si="5">U38/U37*1</f>
        <v>0.5</v>
      </c>
    </row>
    <row r="40" spans="1:21" ht="16.5" customHeight="1">
      <c r="A40" s="372"/>
      <c r="B40" s="397"/>
      <c r="C40" s="389" t="s">
        <v>213</v>
      </c>
      <c r="D40" s="394" t="s">
        <v>210</v>
      </c>
      <c r="E40" s="362" t="s">
        <v>248</v>
      </c>
      <c r="F40" s="405" t="s">
        <v>214</v>
      </c>
      <c r="G40" s="193">
        <v>360</v>
      </c>
      <c r="H40" s="150" t="s">
        <v>23</v>
      </c>
      <c r="I40" s="193">
        <v>20</v>
      </c>
      <c r="J40" s="193">
        <v>20</v>
      </c>
      <c r="K40" s="193">
        <v>20</v>
      </c>
      <c r="L40" s="193"/>
      <c r="M40" s="193"/>
      <c r="N40" s="193"/>
      <c r="O40" s="193"/>
      <c r="P40" s="193"/>
      <c r="Q40" s="193"/>
      <c r="R40" s="193"/>
      <c r="S40" s="193"/>
      <c r="T40" s="193"/>
      <c r="U40" s="195">
        <f>SUM(I40:T40)</f>
        <v>60</v>
      </c>
    </row>
    <row r="41" spans="1:21" ht="17.100000000000001" customHeight="1">
      <c r="A41" s="372"/>
      <c r="B41" s="397"/>
      <c r="C41" s="400"/>
      <c r="D41" s="394"/>
      <c r="E41" s="363"/>
      <c r="F41" s="402"/>
      <c r="G41" s="190">
        <v>148</v>
      </c>
      <c r="H41" s="154" t="s">
        <v>24</v>
      </c>
      <c r="I41" s="192">
        <v>10</v>
      </c>
      <c r="J41" s="192">
        <v>5</v>
      </c>
      <c r="K41" s="192">
        <v>5</v>
      </c>
      <c r="L41" s="192"/>
      <c r="M41" s="192"/>
      <c r="N41" s="192"/>
      <c r="O41" s="192"/>
      <c r="P41" s="192"/>
      <c r="Q41" s="192"/>
      <c r="R41" s="192"/>
      <c r="S41" s="192"/>
      <c r="T41" s="196"/>
      <c r="U41" s="197">
        <f>SUM(I41:T41)</f>
        <v>20</v>
      </c>
    </row>
    <row r="42" spans="1:21" ht="17.100000000000001" customHeight="1" thickBot="1">
      <c r="A42" s="373"/>
      <c r="B42" s="398"/>
      <c r="C42" s="406"/>
      <c r="D42" s="394"/>
      <c r="E42" s="363"/>
      <c r="F42" s="407"/>
      <c r="G42" s="198">
        <v>0.41111111111111109</v>
      </c>
      <c r="H42" s="159" t="s">
        <v>25</v>
      </c>
      <c r="I42" s="198">
        <v>0.5</v>
      </c>
      <c r="J42" s="198">
        <v>0.25</v>
      </c>
      <c r="K42" s="198">
        <v>0.25</v>
      </c>
      <c r="L42" s="198" t="e">
        <v>#DIV/0!</v>
      </c>
      <c r="M42" s="198" t="e">
        <v>#DIV/0!</v>
      </c>
      <c r="N42" s="198" t="e">
        <v>#DIV/0!</v>
      </c>
      <c r="O42" s="198" t="e">
        <v>#DIV/0!</v>
      </c>
      <c r="P42" s="198" t="e">
        <v>#DIV/0!</v>
      </c>
      <c r="Q42" s="198" t="e">
        <v>#DIV/0!</v>
      </c>
      <c r="R42" s="198" t="e">
        <v>#DIV/0!</v>
      </c>
      <c r="S42" s="198" t="e">
        <v>#DIV/0!</v>
      </c>
      <c r="T42" s="199" t="e">
        <v>#DIV/0!</v>
      </c>
      <c r="U42" s="200">
        <f>U41/U40*1</f>
        <v>0.33333333333333331</v>
      </c>
    </row>
    <row r="43" spans="1:21" ht="17.100000000000001" customHeight="1">
      <c r="A43" s="372">
        <v>3</v>
      </c>
      <c r="B43" s="374" t="s">
        <v>215</v>
      </c>
      <c r="C43" s="368" t="s">
        <v>216</v>
      </c>
      <c r="D43" s="374" t="s">
        <v>217</v>
      </c>
      <c r="E43" s="409" t="s">
        <v>251</v>
      </c>
      <c r="F43" s="365" t="s">
        <v>183</v>
      </c>
      <c r="G43" s="201">
        <v>73</v>
      </c>
      <c r="H43" s="150" t="s">
        <v>23</v>
      </c>
      <c r="I43" s="201">
        <v>6</v>
      </c>
      <c r="J43" s="202">
        <v>6</v>
      </c>
      <c r="K43" s="202">
        <v>6</v>
      </c>
      <c r="L43" s="202"/>
      <c r="M43" s="202"/>
      <c r="N43" s="202"/>
      <c r="O43" s="202"/>
      <c r="P43" s="202"/>
      <c r="Q43" s="202"/>
      <c r="R43" s="202"/>
      <c r="S43" s="202"/>
      <c r="T43" s="203"/>
      <c r="U43" s="195">
        <f>SUM(I43:T43)</f>
        <v>18</v>
      </c>
    </row>
    <row r="44" spans="1:21" ht="17.100000000000001" customHeight="1">
      <c r="A44" s="372"/>
      <c r="B44" s="368"/>
      <c r="C44" s="368"/>
      <c r="D44" s="368"/>
      <c r="E44" s="363"/>
      <c r="F44" s="365"/>
      <c r="G44" s="190">
        <v>71</v>
      </c>
      <c r="H44" s="154" t="s">
        <v>24</v>
      </c>
      <c r="I44" s="190">
        <v>6</v>
      </c>
      <c r="J44" s="192">
        <v>6</v>
      </c>
      <c r="K44" s="192">
        <v>6</v>
      </c>
      <c r="L44" s="192"/>
      <c r="M44" s="192"/>
      <c r="N44" s="192"/>
      <c r="O44" s="192"/>
      <c r="P44" s="192"/>
      <c r="Q44" s="192"/>
      <c r="R44" s="192"/>
      <c r="S44" s="192"/>
      <c r="T44" s="196"/>
      <c r="U44" s="197">
        <f>SUM(I44:T44)</f>
        <v>18</v>
      </c>
    </row>
    <row r="45" spans="1:21" ht="17.100000000000001" customHeight="1">
      <c r="A45" s="372"/>
      <c r="B45" s="368"/>
      <c r="C45" s="368"/>
      <c r="D45" s="368"/>
      <c r="E45" s="363"/>
      <c r="F45" s="365"/>
      <c r="G45" s="184">
        <v>0.9726027397260274</v>
      </c>
      <c r="H45" s="159" t="s">
        <v>25</v>
      </c>
      <c r="I45" s="184">
        <v>1</v>
      </c>
      <c r="J45" s="184">
        <v>1</v>
      </c>
      <c r="K45" s="184">
        <v>1</v>
      </c>
      <c r="L45" s="184" t="e">
        <v>#DIV/0!</v>
      </c>
      <c r="M45" s="184" t="e">
        <v>#DIV/0!</v>
      </c>
      <c r="N45" s="184" t="e">
        <v>#DIV/0!</v>
      </c>
      <c r="O45" s="184" t="e">
        <v>#DIV/0!</v>
      </c>
      <c r="P45" s="184" t="e">
        <v>#DIV/0!</v>
      </c>
      <c r="Q45" s="184" t="e">
        <v>#DIV/0!</v>
      </c>
      <c r="R45" s="184" t="e">
        <v>#DIV/0!</v>
      </c>
      <c r="S45" s="184" t="e">
        <v>#DIV/0!</v>
      </c>
      <c r="T45" s="184" t="e">
        <v>#DIV/0!</v>
      </c>
      <c r="U45" s="187">
        <f>U44/U43*1</f>
        <v>1</v>
      </c>
    </row>
    <row r="46" spans="1:21" ht="17.100000000000001" customHeight="1">
      <c r="A46" s="372"/>
      <c r="B46" s="368"/>
      <c r="C46" s="394" t="s">
        <v>219</v>
      </c>
      <c r="D46" s="368"/>
      <c r="E46" s="363"/>
      <c r="F46" s="370" t="s">
        <v>220</v>
      </c>
      <c r="G46" s="193">
        <v>6.083333333333333</v>
      </c>
      <c r="H46" s="150" t="s">
        <v>23</v>
      </c>
      <c r="I46" s="193">
        <v>6</v>
      </c>
      <c r="J46" s="193">
        <v>6</v>
      </c>
      <c r="K46" s="193">
        <v>6</v>
      </c>
      <c r="L46" s="193"/>
      <c r="M46" s="193"/>
      <c r="N46" s="193"/>
      <c r="O46" s="193"/>
      <c r="P46" s="193"/>
      <c r="Q46" s="193"/>
      <c r="R46" s="193"/>
      <c r="S46" s="193"/>
      <c r="T46" s="193"/>
      <c r="U46" s="165">
        <f>AVERAGE(I46:T46)</f>
        <v>6</v>
      </c>
    </row>
    <row r="47" spans="1:21" ht="17.100000000000001" customHeight="1">
      <c r="A47" s="372"/>
      <c r="B47" s="368"/>
      <c r="C47" s="394"/>
      <c r="D47" s="368"/>
      <c r="E47" s="363"/>
      <c r="F47" s="370"/>
      <c r="G47" s="204">
        <v>6.083333333333333</v>
      </c>
      <c r="H47" s="154" t="s">
        <v>24</v>
      </c>
      <c r="I47" s="204">
        <v>6</v>
      </c>
      <c r="J47" s="205">
        <v>6</v>
      </c>
      <c r="K47" s="205">
        <v>6</v>
      </c>
      <c r="L47" s="205"/>
      <c r="M47" s="205"/>
      <c r="N47" s="205"/>
      <c r="O47" s="205"/>
      <c r="P47" s="205"/>
      <c r="Q47" s="205"/>
      <c r="R47" s="205"/>
      <c r="S47" s="205"/>
      <c r="T47" s="206"/>
      <c r="U47" s="207">
        <f>AVERAGE(I47:T47)</f>
        <v>6</v>
      </c>
    </row>
    <row r="48" spans="1:21" ht="17.100000000000001" customHeight="1" thickBot="1">
      <c r="A48" s="372"/>
      <c r="B48" s="408"/>
      <c r="C48" s="413"/>
      <c r="D48" s="408"/>
      <c r="E48" s="410"/>
      <c r="F48" s="414"/>
      <c r="G48" s="198">
        <v>1</v>
      </c>
      <c r="H48" s="159" t="s">
        <v>25</v>
      </c>
      <c r="I48" s="208">
        <v>1</v>
      </c>
      <c r="J48" s="208">
        <v>1</v>
      </c>
      <c r="K48" s="208">
        <v>1</v>
      </c>
      <c r="L48" s="208" t="e">
        <v>#DIV/0!</v>
      </c>
      <c r="M48" s="208" t="e">
        <v>#DIV/0!</v>
      </c>
      <c r="N48" s="208" t="e">
        <v>#DIV/0!</v>
      </c>
      <c r="O48" s="208" t="e">
        <v>#DIV/0!</v>
      </c>
      <c r="P48" s="208" t="e">
        <v>#DIV/0!</v>
      </c>
      <c r="Q48" s="208" t="e">
        <v>#DIV/0!</v>
      </c>
      <c r="R48" s="208" t="e">
        <v>#DIV/0!</v>
      </c>
      <c r="S48" s="208" t="e">
        <v>#DIV/0!</v>
      </c>
      <c r="T48" s="209" t="e">
        <v>#DIV/0!</v>
      </c>
      <c r="U48" s="210">
        <f t="shared" ref="U48" si="6">U47/U46*1</f>
        <v>1</v>
      </c>
    </row>
    <row r="49" spans="1:21" ht="17.100000000000001" customHeight="1" thickBot="1">
      <c r="A49" s="415">
        <v>4</v>
      </c>
      <c r="B49" s="416" t="s">
        <v>221</v>
      </c>
      <c r="C49" s="419" t="s">
        <v>132</v>
      </c>
      <c r="D49" s="419" t="s">
        <v>207</v>
      </c>
      <c r="E49" s="409" t="s">
        <v>252</v>
      </c>
      <c r="F49" s="421" t="s">
        <v>133</v>
      </c>
      <c r="G49" s="193">
        <v>100</v>
      </c>
      <c r="H49" s="150" t="s">
        <v>23</v>
      </c>
      <c r="I49" s="188">
        <v>100</v>
      </c>
      <c r="J49" s="188">
        <v>100</v>
      </c>
      <c r="K49" s="188">
        <v>100</v>
      </c>
      <c r="L49" s="188"/>
      <c r="M49" s="188"/>
      <c r="N49" s="188"/>
      <c r="O49" s="188"/>
      <c r="P49" s="188"/>
      <c r="Q49" s="188"/>
      <c r="R49" s="188"/>
      <c r="S49" s="188"/>
      <c r="T49" s="188"/>
      <c r="U49" s="211">
        <f>AVERAGE(I49:T49)</f>
        <v>100</v>
      </c>
    </row>
    <row r="50" spans="1:21" ht="17.100000000000001" customHeight="1" thickBot="1">
      <c r="A50" s="415"/>
      <c r="B50" s="417"/>
      <c r="C50" s="394"/>
      <c r="D50" s="394"/>
      <c r="E50" s="363"/>
      <c r="F50" s="370"/>
      <c r="G50" s="204">
        <v>100</v>
      </c>
      <c r="H50" s="154" t="s">
        <v>24</v>
      </c>
      <c r="I50" s="204">
        <v>100</v>
      </c>
      <c r="J50" s="204">
        <v>100</v>
      </c>
      <c r="K50" s="204">
        <v>100</v>
      </c>
      <c r="L50" s="204"/>
      <c r="M50" s="204"/>
      <c r="N50" s="204"/>
      <c r="O50" s="204"/>
      <c r="P50" s="204"/>
      <c r="Q50" s="204"/>
      <c r="R50" s="204"/>
      <c r="S50" s="204"/>
      <c r="T50" s="204"/>
      <c r="U50" s="212">
        <f>AVERAGE(I50:T50)</f>
        <v>100</v>
      </c>
    </row>
    <row r="51" spans="1:21" ht="17.100000000000001" customHeight="1" thickBot="1">
      <c r="A51" s="415"/>
      <c r="B51" s="417"/>
      <c r="C51" s="394"/>
      <c r="D51" s="434"/>
      <c r="E51" s="444"/>
      <c r="F51" s="370"/>
      <c r="G51" s="158">
        <v>1</v>
      </c>
      <c r="H51" s="159" t="s">
        <v>25</v>
      </c>
      <c r="I51" s="158">
        <v>1</v>
      </c>
      <c r="J51" s="158">
        <v>1</v>
      </c>
      <c r="K51" s="158">
        <v>1</v>
      </c>
      <c r="L51" s="158" t="e">
        <v>#DIV/0!</v>
      </c>
      <c r="M51" s="158" t="e">
        <v>#DIV/0!</v>
      </c>
      <c r="N51" s="158" t="e">
        <v>#DIV/0!</v>
      </c>
      <c r="O51" s="158" t="e">
        <v>#DIV/0!</v>
      </c>
      <c r="P51" s="158" t="e">
        <v>#DIV/0!</v>
      </c>
      <c r="Q51" s="158" t="e">
        <v>#DIV/0!</v>
      </c>
      <c r="R51" s="158" t="e">
        <v>#DIV/0!</v>
      </c>
      <c r="S51" s="158" t="e">
        <v>#DIV/0!</v>
      </c>
      <c r="T51" s="158" t="e">
        <v>#DIV/0!</v>
      </c>
      <c r="U51" s="194">
        <f t="shared" ref="U51" si="7">U50/U49*1</f>
        <v>1</v>
      </c>
    </row>
    <row r="52" spans="1:21" ht="17.100000000000001" customHeight="1" thickBot="1">
      <c r="A52" s="415"/>
      <c r="B52" s="417"/>
      <c r="C52" s="420" t="s">
        <v>222</v>
      </c>
      <c r="D52" s="424" t="s">
        <v>207</v>
      </c>
      <c r="E52" s="451" t="s">
        <v>252</v>
      </c>
      <c r="F52" s="364" t="s">
        <v>223</v>
      </c>
      <c r="G52" s="149">
        <v>0</v>
      </c>
      <c r="H52" s="150" t="s">
        <v>23</v>
      </c>
      <c r="I52" s="151">
        <v>0</v>
      </c>
      <c r="J52" s="151">
        <v>0</v>
      </c>
      <c r="K52" s="151">
        <v>0</v>
      </c>
      <c r="L52" s="151"/>
      <c r="M52" s="151"/>
      <c r="N52" s="151"/>
      <c r="O52" s="151"/>
      <c r="P52" s="151"/>
      <c r="Q52" s="151"/>
      <c r="R52" s="151"/>
      <c r="S52" s="151"/>
      <c r="T52" s="151"/>
      <c r="U52" s="195">
        <f>SUM(I52:T52)</f>
        <v>0</v>
      </c>
    </row>
    <row r="53" spans="1:21" ht="17.100000000000001" customHeight="1" thickBot="1">
      <c r="A53" s="415"/>
      <c r="B53" s="417"/>
      <c r="C53" s="417"/>
      <c r="D53" s="394"/>
      <c r="E53" s="452"/>
      <c r="F53" s="365"/>
      <c r="G53" s="153">
        <v>0</v>
      </c>
      <c r="H53" s="154" t="s">
        <v>24</v>
      </c>
      <c r="I53" s="155">
        <v>0</v>
      </c>
      <c r="J53" s="155">
        <v>0</v>
      </c>
      <c r="K53" s="155">
        <v>0</v>
      </c>
      <c r="L53" s="155"/>
      <c r="M53" s="155"/>
      <c r="N53" s="155"/>
      <c r="O53" s="155"/>
      <c r="P53" s="155"/>
      <c r="Q53" s="155"/>
      <c r="R53" s="155"/>
      <c r="S53" s="155"/>
      <c r="T53" s="155"/>
      <c r="U53" s="197">
        <f>SUM(I53:T53)</f>
        <v>0</v>
      </c>
    </row>
    <row r="54" spans="1:21" ht="17.100000000000001" customHeight="1" thickBot="1">
      <c r="A54" s="415"/>
      <c r="B54" s="417"/>
      <c r="C54" s="424"/>
      <c r="D54" s="434"/>
      <c r="E54" s="452"/>
      <c r="F54" s="366"/>
      <c r="G54" s="158" t="e">
        <v>#DIV/0!</v>
      </c>
      <c r="H54" s="159" t="s">
        <v>25</v>
      </c>
      <c r="I54" s="158" t="e">
        <v>#DIV/0!</v>
      </c>
      <c r="J54" s="158" t="e">
        <v>#DIV/0!</v>
      </c>
      <c r="K54" s="158" t="e">
        <v>#DIV/0!</v>
      </c>
      <c r="L54" s="158" t="e">
        <v>#DIV/0!</v>
      </c>
      <c r="M54" s="158" t="e">
        <v>#DIV/0!</v>
      </c>
      <c r="N54" s="158" t="e">
        <v>#DIV/0!</v>
      </c>
      <c r="O54" s="158" t="e">
        <v>#DIV/0!</v>
      </c>
      <c r="P54" s="158" t="e">
        <v>#DIV/0!</v>
      </c>
      <c r="Q54" s="158" t="e">
        <v>#DIV/0!</v>
      </c>
      <c r="R54" s="158" t="e">
        <v>#DIV/0!</v>
      </c>
      <c r="S54" s="158" t="e">
        <v>#DIV/0!</v>
      </c>
      <c r="T54" s="158" t="e">
        <v>#DIV/0!</v>
      </c>
      <c r="U54" s="194" t="e">
        <f t="shared" ref="U54" si="8">U53/U52*1</f>
        <v>#DIV/0!</v>
      </c>
    </row>
    <row r="55" spans="1:21" ht="17.100000000000001" customHeight="1" thickBot="1">
      <c r="A55" s="415"/>
      <c r="B55" s="417"/>
      <c r="C55" s="394" t="s">
        <v>136</v>
      </c>
      <c r="D55" s="424" t="s">
        <v>207</v>
      </c>
      <c r="E55" s="451" t="s">
        <v>252</v>
      </c>
      <c r="F55" s="370" t="s">
        <v>224</v>
      </c>
      <c r="G55" s="193">
        <v>1200</v>
      </c>
      <c r="H55" s="150" t="s">
        <v>23</v>
      </c>
      <c r="I55" s="213">
        <v>100</v>
      </c>
      <c r="J55" s="191">
        <v>100</v>
      </c>
      <c r="K55" s="191">
        <v>100</v>
      </c>
      <c r="L55" s="191"/>
      <c r="M55" s="191"/>
      <c r="N55" s="191"/>
      <c r="O55" s="191"/>
      <c r="P55" s="191"/>
      <c r="Q55" s="191"/>
      <c r="R55" s="191"/>
      <c r="S55" s="191"/>
      <c r="T55" s="191"/>
      <c r="U55" s="165">
        <f>SUM(I55:T55)</f>
        <v>300</v>
      </c>
    </row>
    <row r="56" spans="1:21" ht="17.100000000000001" customHeight="1" thickBot="1">
      <c r="A56" s="415"/>
      <c r="B56" s="417"/>
      <c r="C56" s="394"/>
      <c r="D56" s="394"/>
      <c r="E56" s="452"/>
      <c r="F56" s="370"/>
      <c r="G56" s="204">
        <v>1200</v>
      </c>
      <c r="H56" s="154" t="s">
        <v>24</v>
      </c>
      <c r="I56" s="204">
        <v>100</v>
      </c>
      <c r="J56" s="204">
        <v>100</v>
      </c>
      <c r="K56" s="204">
        <v>100</v>
      </c>
      <c r="L56" s="204"/>
      <c r="M56" s="204"/>
      <c r="N56" s="204"/>
      <c r="O56" s="204"/>
      <c r="P56" s="204"/>
      <c r="Q56" s="204"/>
      <c r="R56" s="204"/>
      <c r="S56" s="204"/>
      <c r="T56" s="206"/>
      <c r="U56" s="207">
        <f>SUM(I56:T56)</f>
        <v>300</v>
      </c>
    </row>
    <row r="57" spans="1:21" ht="17.100000000000001" customHeight="1" thickBot="1">
      <c r="A57" s="415"/>
      <c r="B57" s="417"/>
      <c r="C57" s="420"/>
      <c r="D57" s="420"/>
      <c r="E57" s="452"/>
      <c r="F57" s="364"/>
      <c r="G57" s="184">
        <v>1</v>
      </c>
      <c r="H57" s="159" t="s">
        <v>25</v>
      </c>
      <c r="I57" s="184">
        <v>1</v>
      </c>
      <c r="J57" s="184">
        <v>1</v>
      </c>
      <c r="K57" s="184">
        <v>1</v>
      </c>
      <c r="L57" s="184" t="e">
        <v>#DIV/0!</v>
      </c>
      <c r="M57" s="184" t="e">
        <v>#DIV/0!</v>
      </c>
      <c r="N57" s="184" t="e">
        <v>#DIV/0!</v>
      </c>
      <c r="O57" s="184" t="e">
        <v>#DIV/0!</v>
      </c>
      <c r="P57" s="184" t="e">
        <v>#DIV/0!</v>
      </c>
      <c r="Q57" s="184" t="e">
        <v>#DIV/0!</v>
      </c>
      <c r="R57" s="184" t="e">
        <v>#DIV/0!</v>
      </c>
      <c r="S57" s="184" t="e">
        <v>#DIV/0!</v>
      </c>
      <c r="T57" s="184" t="e">
        <v>#DIV/0!</v>
      </c>
      <c r="U57" s="214">
        <f t="shared" ref="U57" si="9">U56/U55*1</f>
        <v>1</v>
      </c>
    </row>
    <row r="58" spans="1:21" ht="17.100000000000001" customHeight="1" thickBot="1">
      <c r="A58" s="415"/>
      <c r="B58" s="417"/>
      <c r="C58" s="394" t="s">
        <v>138</v>
      </c>
      <c r="D58" s="433" t="s">
        <v>207</v>
      </c>
      <c r="E58" s="363" t="s">
        <v>252</v>
      </c>
      <c r="F58" s="370" t="s">
        <v>225</v>
      </c>
      <c r="G58" s="215">
        <v>100</v>
      </c>
      <c r="H58" s="150" t="s">
        <v>23</v>
      </c>
      <c r="I58" s="149">
        <v>100</v>
      </c>
      <c r="J58" s="151">
        <v>100</v>
      </c>
      <c r="K58" s="151">
        <v>100</v>
      </c>
      <c r="L58" s="151"/>
      <c r="M58" s="151"/>
      <c r="N58" s="151"/>
      <c r="O58" s="151"/>
      <c r="P58" s="151"/>
      <c r="Q58" s="151"/>
      <c r="R58" s="151"/>
      <c r="S58" s="151"/>
      <c r="T58" s="151"/>
      <c r="U58" s="216">
        <f>AVERAGE(I58:T58)</f>
        <v>100</v>
      </c>
    </row>
    <row r="59" spans="1:21" ht="17.100000000000001" customHeight="1" thickBot="1">
      <c r="A59" s="415"/>
      <c r="B59" s="417"/>
      <c r="C59" s="394"/>
      <c r="D59" s="394"/>
      <c r="E59" s="363"/>
      <c r="F59" s="370"/>
      <c r="G59" s="217">
        <v>92.954545454545453</v>
      </c>
      <c r="H59" s="154" t="s">
        <v>24</v>
      </c>
      <c r="I59" s="218">
        <v>96</v>
      </c>
      <c r="J59" s="219">
        <v>95</v>
      </c>
      <c r="K59" s="219">
        <v>96</v>
      </c>
      <c r="L59" s="219"/>
      <c r="M59" s="219"/>
      <c r="N59" s="219"/>
      <c r="O59" s="219"/>
      <c r="P59" s="219"/>
      <c r="Q59" s="219"/>
      <c r="R59" s="219"/>
      <c r="S59" s="219"/>
      <c r="T59" s="219"/>
      <c r="U59" s="220">
        <f>AVERAGE(I59:T59)</f>
        <v>95.666666666666671</v>
      </c>
    </row>
    <row r="60" spans="1:21" ht="17.100000000000001" customHeight="1" thickBot="1">
      <c r="A60" s="415"/>
      <c r="B60" s="418"/>
      <c r="C60" s="413"/>
      <c r="D60" s="425"/>
      <c r="E60" s="410"/>
      <c r="F60" s="414"/>
      <c r="G60" s="198">
        <v>0.92954545454545456</v>
      </c>
      <c r="H60" s="159" t="s">
        <v>25</v>
      </c>
      <c r="I60" s="208">
        <v>0.96</v>
      </c>
      <c r="J60" s="208">
        <v>0.95</v>
      </c>
      <c r="K60" s="208">
        <v>0.96</v>
      </c>
      <c r="L60" s="208" t="e">
        <v>#DIV/0!</v>
      </c>
      <c r="M60" s="208" t="e">
        <v>#DIV/0!</v>
      </c>
      <c r="N60" s="208" t="e">
        <v>#DIV/0!</v>
      </c>
      <c r="O60" s="208" t="e">
        <v>#DIV/0!</v>
      </c>
      <c r="P60" s="208" t="e">
        <v>#DIV/0!</v>
      </c>
      <c r="Q60" s="208" t="e">
        <v>#DIV/0!</v>
      </c>
      <c r="R60" s="208" t="e">
        <v>#DIV/0!</v>
      </c>
      <c r="S60" s="208" t="e">
        <v>#DIV/0!</v>
      </c>
      <c r="T60" s="209" t="e">
        <v>#DIV/0!</v>
      </c>
      <c r="U60" s="210">
        <f t="shared" ref="U60" si="10">U59/U58*1</f>
        <v>0.95666666666666667</v>
      </c>
    </row>
    <row r="61" spans="1:21" ht="22.5" customHeight="1" thickBot="1">
      <c r="A61" s="415">
        <v>5</v>
      </c>
      <c r="B61" s="419" t="s">
        <v>140</v>
      </c>
      <c r="C61" s="394" t="s">
        <v>226</v>
      </c>
      <c r="D61" s="424" t="s">
        <v>227</v>
      </c>
      <c r="E61" s="435" t="s">
        <v>253</v>
      </c>
      <c r="F61" s="370" t="s">
        <v>229</v>
      </c>
      <c r="G61" s="201">
        <v>21246590.061666667</v>
      </c>
      <c r="H61" s="150" t="s">
        <v>23</v>
      </c>
      <c r="I61" s="201">
        <v>30000000</v>
      </c>
      <c r="J61" s="202">
        <v>30000000</v>
      </c>
      <c r="K61" s="202">
        <v>30000000</v>
      </c>
      <c r="L61" s="202">
        <v>30000000</v>
      </c>
      <c r="M61" s="202">
        <v>30000000</v>
      </c>
      <c r="N61" s="202">
        <v>30000000</v>
      </c>
      <c r="O61" s="202">
        <v>30000000</v>
      </c>
      <c r="P61" s="202">
        <v>30000000</v>
      </c>
      <c r="Q61" s="202">
        <v>30000000</v>
      </c>
      <c r="R61" s="202">
        <v>30000000</v>
      </c>
      <c r="S61" s="202">
        <v>30000000</v>
      </c>
      <c r="T61" s="203">
        <v>30000000</v>
      </c>
      <c r="U61" s="221">
        <f>AVERAGE(I61:T61)</f>
        <v>30000000</v>
      </c>
    </row>
    <row r="62" spans="1:21" ht="24.75" customHeight="1" thickBot="1">
      <c r="A62" s="415"/>
      <c r="B62" s="394"/>
      <c r="C62" s="394"/>
      <c r="D62" s="394"/>
      <c r="E62" s="395"/>
      <c r="F62" s="370"/>
      <c r="G62" s="204">
        <v>20637831.912266668</v>
      </c>
      <c r="H62" s="154" t="s">
        <v>24</v>
      </c>
      <c r="I62" s="204">
        <v>29576381</v>
      </c>
      <c r="J62" s="205">
        <v>28547612</v>
      </c>
      <c r="K62" s="205">
        <v>29357891</v>
      </c>
      <c r="L62" s="205"/>
      <c r="M62" s="205"/>
      <c r="N62" s="205"/>
      <c r="O62" s="205"/>
      <c r="P62" s="205"/>
      <c r="Q62" s="205"/>
      <c r="R62" s="205"/>
      <c r="S62" s="205"/>
      <c r="T62" s="205"/>
      <c r="U62" s="212">
        <f>AVERAGE(I62:T62)</f>
        <v>29160628</v>
      </c>
    </row>
    <row r="63" spans="1:21" ht="24.75" customHeight="1" thickBot="1">
      <c r="A63" s="371"/>
      <c r="B63" s="420"/>
      <c r="C63" s="420"/>
      <c r="D63" s="425"/>
      <c r="E63" s="436"/>
      <c r="F63" s="364"/>
      <c r="G63" s="184">
        <v>0.97134795994872003</v>
      </c>
      <c r="H63" s="159" t="s">
        <v>25</v>
      </c>
      <c r="I63" s="184">
        <v>0.98587936666666665</v>
      </c>
      <c r="J63" s="184">
        <v>0.9515870666666667</v>
      </c>
      <c r="K63" s="184">
        <v>0.97859636666666672</v>
      </c>
      <c r="L63" s="184">
        <v>0</v>
      </c>
      <c r="M63" s="184">
        <v>0</v>
      </c>
      <c r="N63" s="184">
        <v>0</v>
      </c>
      <c r="O63" s="184">
        <v>0</v>
      </c>
      <c r="P63" s="184">
        <v>0</v>
      </c>
      <c r="Q63" s="184">
        <v>0</v>
      </c>
      <c r="R63" s="184">
        <v>0</v>
      </c>
      <c r="S63" s="184">
        <v>0</v>
      </c>
      <c r="T63" s="184">
        <v>0</v>
      </c>
      <c r="U63" s="214">
        <f t="shared" ref="U63" si="11">U62/U61*1</f>
        <v>0.97202093333333328</v>
      </c>
    </row>
    <row r="64" spans="1:21" ht="17.100000000000001" customHeight="1" thickBot="1">
      <c r="A64" s="415">
        <v>6</v>
      </c>
      <c r="B64" s="448" t="s">
        <v>230</v>
      </c>
      <c r="C64" s="399" t="s">
        <v>231</v>
      </c>
      <c r="D64" s="424" t="s">
        <v>227</v>
      </c>
      <c r="E64" s="435" t="s">
        <v>253</v>
      </c>
      <c r="F64" s="437" t="s">
        <v>232</v>
      </c>
      <c r="G64" s="222">
        <v>12</v>
      </c>
      <c r="H64" s="150" t="s">
        <v>23</v>
      </c>
      <c r="I64" s="222">
        <v>1</v>
      </c>
      <c r="J64" s="222">
        <v>1</v>
      </c>
      <c r="K64" s="222">
        <v>1</v>
      </c>
      <c r="L64" s="222"/>
      <c r="M64" s="222"/>
      <c r="N64" s="222"/>
      <c r="O64" s="222"/>
      <c r="P64" s="222"/>
      <c r="Q64" s="222"/>
      <c r="R64" s="222"/>
      <c r="S64" s="222"/>
      <c r="T64" s="222"/>
      <c r="U64" s="223">
        <f>SUM(I64:T64)</f>
        <v>3</v>
      </c>
    </row>
    <row r="65" spans="1:21" ht="17.100000000000001" customHeight="1" thickBot="1">
      <c r="A65" s="415"/>
      <c r="B65" s="449"/>
      <c r="C65" s="400"/>
      <c r="D65" s="394"/>
      <c r="E65" s="395"/>
      <c r="F65" s="365"/>
      <c r="G65" s="153">
        <v>12</v>
      </c>
      <c r="H65" s="154" t="s">
        <v>24</v>
      </c>
      <c r="I65" s="153">
        <v>1</v>
      </c>
      <c r="J65" s="153">
        <v>1</v>
      </c>
      <c r="K65" s="153">
        <v>1</v>
      </c>
      <c r="L65" s="153"/>
      <c r="M65" s="153"/>
      <c r="N65" s="153"/>
      <c r="O65" s="153"/>
      <c r="P65" s="153"/>
      <c r="Q65" s="153"/>
      <c r="R65" s="153"/>
      <c r="S65" s="153"/>
      <c r="T65" s="153"/>
      <c r="U65" s="157">
        <f>SUM(I65:T65)</f>
        <v>3</v>
      </c>
    </row>
    <row r="66" spans="1:21" ht="17.100000000000001" customHeight="1" thickBot="1">
      <c r="A66" s="415"/>
      <c r="B66" s="450"/>
      <c r="C66" s="406"/>
      <c r="D66" s="425"/>
      <c r="E66" s="436"/>
      <c r="F66" s="438"/>
      <c r="G66" s="198">
        <v>1</v>
      </c>
      <c r="H66" s="159" t="s">
        <v>25</v>
      </c>
      <c r="I66" s="198">
        <v>1</v>
      </c>
      <c r="J66" s="198">
        <v>1</v>
      </c>
      <c r="K66" s="198">
        <v>1</v>
      </c>
      <c r="L66" s="198" t="e">
        <v>#DIV/0!</v>
      </c>
      <c r="M66" s="198" t="e">
        <v>#DIV/0!</v>
      </c>
      <c r="N66" s="198" t="e">
        <v>#DIV/0!</v>
      </c>
      <c r="O66" s="198" t="e">
        <v>#DIV/0!</v>
      </c>
      <c r="P66" s="198" t="e">
        <v>#DIV/0!</v>
      </c>
      <c r="Q66" s="198" t="e">
        <v>#DIV/0!</v>
      </c>
      <c r="R66" s="198" t="e">
        <v>#DIV/0!</v>
      </c>
      <c r="S66" s="198" t="e">
        <v>#DIV/0!</v>
      </c>
      <c r="T66" s="199" t="e">
        <v>#DIV/0!</v>
      </c>
      <c r="U66" s="200">
        <f t="shared" ref="U66" si="12">U65/U64*1</f>
        <v>1</v>
      </c>
    </row>
    <row r="67" spans="1:21" ht="17.100000000000001" customHeight="1" thickBot="1">
      <c r="A67" s="373">
        <v>7</v>
      </c>
      <c r="B67" s="389" t="s">
        <v>233</v>
      </c>
      <c r="C67" s="389" t="s">
        <v>149</v>
      </c>
      <c r="D67" s="399" t="s">
        <v>210</v>
      </c>
      <c r="E67" s="362" t="s">
        <v>248</v>
      </c>
      <c r="F67" s="365" t="s">
        <v>234</v>
      </c>
      <c r="G67" s="188">
        <v>5000</v>
      </c>
      <c r="H67" s="150" t="s">
        <v>23</v>
      </c>
      <c r="I67" s="188">
        <v>4000</v>
      </c>
      <c r="J67" s="188">
        <v>4000</v>
      </c>
      <c r="K67" s="188">
        <v>4000</v>
      </c>
      <c r="L67" s="188">
        <v>4000</v>
      </c>
      <c r="M67" s="188">
        <v>4000</v>
      </c>
      <c r="N67" s="188">
        <v>4000</v>
      </c>
      <c r="O67" s="188">
        <v>4000</v>
      </c>
      <c r="P67" s="188">
        <v>4000</v>
      </c>
      <c r="Q67" s="188">
        <v>4000</v>
      </c>
      <c r="R67" s="188">
        <v>4000</v>
      </c>
      <c r="S67" s="188">
        <v>4000</v>
      </c>
      <c r="T67" s="188">
        <v>4000</v>
      </c>
      <c r="U67" s="224">
        <f>AVERAGE(I67:T67)</f>
        <v>4000</v>
      </c>
    </row>
    <row r="68" spans="1:21" ht="17.100000000000001" customHeight="1" thickBot="1">
      <c r="A68" s="415"/>
      <c r="B68" s="389"/>
      <c r="C68" s="389"/>
      <c r="D68" s="400"/>
      <c r="E68" s="363"/>
      <c r="F68" s="365"/>
      <c r="G68" s="190">
        <v>4527</v>
      </c>
      <c r="H68" s="154" t="s">
        <v>24</v>
      </c>
      <c r="I68" s="190">
        <v>2140</v>
      </c>
      <c r="J68" s="192">
        <v>2634</v>
      </c>
      <c r="K68" s="192">
        <v>3485</v>
      </c>
      <c r="L68" s="192"/>
      <c r="M68" s="225"/>
      <c r="N68" s="225"/>
      <c r="O68" s="225"/>
      <c r="P68" s="225"/>
      <c r="Q68" s="225"/>
      <c r="R68" s="225"/>
      <c r="S68" s="225"/>
      <c r="T68" s="225"/>
      <c r="U68" s="226">
        <f>AVERAGE(I68:T68)</f>
        <v>2753</v>
      </c>
    </row>
    <row r="69" spans="1:21" ht="17.100000000000001" customHeight="1" thickBot="1">
      <c r="A69" s="371"/>
      <c r="B69" s="426"/>
      <c r="C69" s="426"/>
      <c r="D69" s="390"/>
      <c r="E69" s="363"/>
      <c r="F69" s="365"/>
      <c r="G69" s="184">
        <v>1.1044842058758559</v>
      </c>
      <c r="H69" s="159" t="s">
        <v>25</v>
      </c>
      <c r="I69" s="184">
        <v>1.8691588785046729</v>
      </c>
      <c r="J69" s="184">
        <v>1.5186028853454823</v>
      </c>
      <c r="K69" s="184">
        <v>1.1477761836441893</v>
      </c>
      <c r="L69" s="184" t="e">
        <v>#DIV/0!</v>
      </c>
      <c r="M69" s="184" t="e">
        <v>#DIV/0!</v>
      </c>
      <c r="N69" s="184" t="e">
        <v>#DIV/0!</v>
      </c>
      <c r="O69" s="184" t="e">
        <v>#DIV/0!</v>
      </c>
      <c r="P69" s="184" t="e">
        <v>#DIV/0!</v>
      </c>
      <c r="Q69" s="184" t="e">
        <v>#DIV/0!</v>
      </c>
      <c r="R69" s="184" t="e">
        <v>#DIV/0!</v>
      </c>
      <c r="S69" s="184" t="e">
        <v>#DIV/0!</v>
      </c>
      <c r="T69" s="227" t="e">
        <v>#DIV/0!</v>
      </c>
      <c r="U69" s="187">
        <f>U67/U68</f>
        <v>1.4529604068289139</v>
      </c>
    </row>
    <row r="70" spans="1:21" ht="17.100000000000001" customHeight="1" thickBot="1">
      <c r="A70" s="415">
        <v>8</v>
      </c>
      <c r="B70" s="374" t="s">
        <v>235</v>
      </c>
      <c r="C70" s="399" t="s">
        <v>236</v>
      </c>
      <c r="D70" s="399" t="s">
        <v>237</v>
      </c>
      <c r="E70" s="409" t="s">
        <v>84</v>
      </c>
      <c r="F70" s="437" t="s">
        <v>238</v>
      </c>
      <c r="G70" s="228">
        <v>1</v>
      </c>
      <c r="H70" s="150" t="s">
        <v>23</v>
      </c>
      <c r="I70" s="229">
        <v>1</v>
      </c>
      <c r="J70" s="229">
        <v>1</v>
      </c>
      <c r="K70" s="229">
        <v>1</v>
      </c>
      <c r="L70" s="229"/>
      <c r="M70" s="229"/>
      <c r="N70" s="229"/>
      <c r="O70" s="229"/>
      <c r="P70" s="229"/>
      <c r="Q70" s="229"/>
      <c r="R70" s="229"/>
      <c r="S70" s="229"/>
      <c r="T70" s="229"/>
      <c r="U70" s="230">
        <f>AVERAGE(I70:T70)</f>
        <v>1</v>
      </c>
    </row>
    <row r="71" spans="1:21" ht="17.100000000000001" customHeight="1" thickBot="1">
      <c r="A71" s="415"/>
      <c r="B71" s="368"/>
      <c r="C71" s="400"/>
      <c r="D71" s="400"/>
      <c r="E71" s="363"/>
      <c r="F71" s="365"/>
      <c r="G71" s="231">
        <v>1</v>
      </c>
      <c r="H71" s="154" t="s">
        <v>24</v>
      </c>
      <c r="I71" s="231">
        <v>1</v>
      </c>
      <c r="J71" s="231">
        <v>1</v>
      </c>
      <c r="K71" s="231">
        <v>1</v>
      </c>
      <c r="L71" s="231"/>
      <c r="M71" s="231"/>
      <c r="N71" s="231"/>
      <c r="O71" s="231"/>
      <c r="P71" s="231"/>
      <c r="Q71" s="231"/>
      <c r="R71" s="231"/>
      <c r="S71" s="231"/>
      <c r="T71" s="231"/>
      <c r="U71" s="232">
        <f>AVERAGE(I71:T71)</f>
        <v>1</v>
      </c>
    </row>
    <row r="72" spans="1:21" ht="17.100000000000001" customHeight="1" thickBot="1">
      <c r="A72" s="415"/>
      <c r="B72" s="368"/>
      <c r="C72" s="390"/>
      <c r="D72" s="426"/>
      <c r="E72" s="444"/>
      <c r="F72" s="366"/>
      <c r="G72" s="158">
        <v>1</v>
      </c>
      <c r="H72" s="159" t="s">
        <v>25</v>
      </c>
      <c r="I72" s="158">
        <v>1</v>
      </c>
      <c r="J72" s="158">
        <v>1</v>
      </c>
      <c r="K72" s="158">
        <v>1</v>
      </c>
      <c r="L72" s="158" t="e">
        <v>#DIV/0!</v>
      </c>
      <c r="M72" s="158" t="e">
        <v>#DIV/0!</v>
      </c>
      <c r="N72" s="158" t="e">
        <v>#DIV/0!</v>
      </c>
      <c r="O72" s="158" t="e">
        <v>#DIV/0!</v>
      </c>
      <c r="P72" s="158" t="e">
        <v>#DIV/0!</v>
      </c>
      <c r="Q72" s="158" t="e">
        <v>#DIV/0!</v>
      </c>
      <c r="R72" s="158" t="e">
        <v>#DIV/0!</v>
      </c>
      <c r="S72" s="158" t="e">
        <v>#DIV/0!</v>
      </c>
      <c r="T72" s="160" t="e">
        <v>#DIV/0!</v>
      </c>
      <c r="U72" s="161">
        <f t="shared" ref="U72" si="13">U71/U70*1</f>
        <v>1</v>
      </c>
    </row>
    <row r="73" spans="1:21" ht="17.100000000000001" customHeight="1" thickBot="1">
      <c r="A73" s="415"/>
      <c r="B73" s="368"/>
      <c r="C73" s="389" t="s">
        <v>239</v>
      </c>
      <c r="D73" s="445" t="s">
        <v>210</v>
      </c>
      <c r="E73" s="362" t="s">
        <v>84</v>
      </c>
      <c r="F73" s="405" t="s">
        <v>240</v>
      </c>
      <c r="G73" s="149">
        <v>27</v>
      </c>
      <c r="H73" s="150" t="s">
        <v>23</v>
      </c>
      <c r="I73" s="151">
        <v>2</v>
      </c>
      <c r="J73" s="151">
        <v>2</v>
      </c>
      <c r="K73" s="151">
        <v>2</v>
      </c>
      <c r="L73" s="151"/>
      <c r="M73" s="151"/>
      <c r="N73" s="151"/>
      <c r="O73" s="151"/>
      <c r="P73" s="151"/>
      <c r="Q73" s="151"/>
      <c r="R73" s="151"/>
      <c r="S73" s="151"/>
      <c r="T73" s="162"/>
      <c r="U73" s="152">
        <f>SUM(I73:T73)</f>
        <v>6</v>
      </c>
    </row>
    <row r="74" spans="1:21" ht="17.100000000000001" customHeight="1" thickBot="1">
      <c r="A74" s="415"/>
      <c r="B74" s="368"/>
      <c r="C74" s="400"/>
      <c r="D74" s="400"/>
      <c r="E74" s="363"/>
      <c r="F74" s="402"/>
      <c r="G74" s="149">
        <v>27</v>
      </c>
      <c r="H74" s="233" t="s">
        <v>24</v>
      </c>
      <c r="I74" s="155">
        <v>2</v>
      </c>
      <c r="J74" s="155">
        <v>2</v>
      </c>
      <c r="K74" s="155">
        <v>2</v>
      </c>
      <c r="L74" s="155"/>
      <c r="M74" s="155"/>
      <c r="N74" s="155"/>
      <c r="O74" s="155"/>
      <c r="P74" s="155"/>
      <c r="Q74" s="155"/>
      <c r="R74" s="155"/>
      <c r="S74" s="155"/>
      <c r="T74" s="156"/>
      <c r="U74" s="157">
        <f>SUM(I74:T74)</f>
        <v>6</v>
      </c>
    </row>
    <row r="75" spans="1:21" ht="17.100000000000001" customHeight="1" thickBot="1">
      <c r="A75" s="415"/>
      <c r="B75" s="408"/>
      <c r="C75" s="406"/>
      <c r="D75" s="446"/>
      <c r="E75" s="447"/>
      <c r="F75" s="407"/>
      <c r="G75" s="198">
        <v>1</v>
      </c>
      <c r="H75" s="234" t="s">
        <v>25</v>
      </c>
      <c r="I75" s="198">
        <v>1</v>
      </c>
      <c r="J75" s="198">
        <v>1</v>
      </c>
      <c r="K75" s="198">
        <v>1</v>
      </c>
      <c r="L75" s="198" t="e">
        <v>#DIV/0!</v>
      </c>
      <c r="M75" s="198" t="e">
        <v>#DIV/0!</v>
      </c>
      <c r="N75" s="198" t="e">
        <v>#DIV/0!</v>
      </c>
      <c r="O75" s="198" t="e">
        <v>#DIV/0!</v>
      </c>
      <c r="P75" s="198" t="e">
        <v>#DIV/0!</v>
      </c>
      <c r="Q75" s="198" t="e">
        <v>#DIV/0!</v>
      </c>
      <c r="R75" s="198" t="e">
        <v>#DIV/0!</v>
      </c>
      <c r="S75" s="198" t="e">
        <v>#DIV/0!</v>
      </c>
      <c r="T75" s="199" t="e">
        <v>#DIV/0!</v>
      </c>
      <c r="U75" s="200">
        <f t="shared" ref="U75" si="14">U74/U73*1</f>
        <v>1</v>
      </c>
    </row>
    <row r="76" spans="1:21" ht="15" customHeight="1" thickBot="1">
      <c r="A76" s="441">
        <v>9</v>
      </c>
      <c r="B76" s="368" t="s">
        <v>241</v>
      </c>
      <c r="C76" s="368" t="s">
        <v>158</v>
      </c>
      <c r="D76" s="368" t="s">
        <v>195</v>
      </c>
      <c r="E76" s="363" t="s">
        <v>84</v>
      </c>
      <c r="F76" s="365" t="s">
        <v>242</v>
      </c>
      <c r="G76" s="235">
        <v>12</v>
      </c>
      <c r="H76" s="236" t="s">
        <v>23</v>
      </c>
      <c r="I76" s="237">
        <v>1</v>
      </c>
      <c r="J76" s="237">
        <v>1</v>
      </c>
      <c r="K76" s="237">
        <v>1</v>
      </c>
      <c r="L76" s="237"/>
      <c r="M76" s="237"/>
      <c r="N76" s="237"/>
      <c r="O76" s="237"/>
      <c r="P76" s="237"/>
      <c r="Q76" s="237"/>
      <c r="R76" s="237"/>
      <c r="S76" s="237"/>
      <c r="T76" s="237"/>
      <c r="U76" s="152">
        <f>SUM(I76:T76)</f>
        <v>3</v>
      </c>
    </row>
    <row r="77" spans="1:21" ht="15" customHeight="1" thickBot="1">
      <c r="A77" s="442"/>
      <c r="B77" s="368"/>
      <c r="C77" s="368"/>
      <c r="D77" s="368"/>
      <c r="E77" s="363"/>
      <c r="F77" s="365"/>
      <c r="G77" s="231">
        <v>12</v>
      </c>
      <c r="H77" s="233" t="s">
        <v>24</v>
      </c>
      <c r="I77" s="238">
        <v>1</v>
      </c>
      <c r="J77" s="238">
        <v>1</v>
      </c>
      <c r="K77" s="238">
        <v>1</v>
      </c>
      <c r="L77" s="238"/>
      <c r="M77" s="238"/>
      <c r="N77" s="238"/>
      <c r="O77" s="238"/>
      <c r="P77" s="238"/>
      <c r="Q77" s="238"/>
      <c r="R77" s="238"/>
      <c r="S77" s="238"/>
      <c r="T77" s="238"/>
      <c r="U77" s="157">
        <f>SUM(I77:T77)</f>
        <v>3</v>
      </c>
    </row>
    <row r="78" spans="1:21" ht="15" customHeight="1" thickBot="1">
      <c r="A78" s="442"/>
      <c r="B78" s="408"/>
      <c r="C78" s="408"/>
      <c r="D78" s="408"/>
      <c r="E78" s="410"/>
      <c r="F78" s="443"/>
      <c r="G78" s="158">
        <v>1</v>
      </c>
      <c r="H78" s="234" t="s">
        <v>25</v>
      </c>
      <c r="I78" s="198">
        <v>1</v>
      </c>
      <c r="J78" s="198">
        <v>1</v>
      </c>
      <c r="K78" s="198">
        <v>1</v>
      </c>
      <c r="L78" s="198" t="e">
        <v>#DIV/0!</v>
      </c>
      <c r="M78" s="198" t="e">
        <v>#DIV/0!</v>
      </c>
      <c r="N78" s="198" t="e">
        <v>#DIV/0!</v>
      </c>
      <c r="O78" s="198" t="e">
        <v>#DIV/0!</v>
      </c>
      <c r="P78" s="198" t="e">
        <v>#DIV/0!</v>
      </c>
      <c r="Q78" s="198" t="e">
        <v>#DIV/0!</v>
      </c>
      <c r="R78" s="198" t="e">
        <v>#DIV/0!</v>
      </c>
      <c r="S78" s="198" t="e">
        <v>#DIV/0!</v>
      </c>
      <c r="T78" s="199" t="e">
        <v>#DIV/0!</v>
      </c>
      <c r="U78" s="200">
        <f t="shared" ref="U78" si="15">U77/U76*1</f>
        <v>1</v>
      </c>
    </row>
    <row r="82" spans="9:20">
      <c r="I82" s="1">
        <v>0.98</v>
      </c>
      <c r="J82" s="1">
        <v>0.95</v>
      </c>
      <c r="K82" s="1">
        <v>0.97</v>
      </c>
      <c r="L82" s="1">
        <v>0.98</v>
      </c>
      <c r="M82" s="1">
        <v>0.99009900990099009</v>
      </c>
      <c r="N82" s="1">
        <v>0.89285714285714268</v>
      </c>
      <c r="O82" s="1">
        <v>0.970873786407767</v>
      </c>
      <c r="P82" s="1">
        <v>0.89285714285714268</v>
      </c>
      <c r="Q82" s="1">
        <v>0.95238095238095233</v>
      </c>
      <c r="R82" s="1">
        <v>0.93457943925233644</v>
      </c>
      <c r="S82" s="1">
        <v>0.87719298245614052</v>
      </c>
      <c r="T82" s="1">
        <v>0.86956521739130432</v>
      </c>
    </row>
    <row r="83" spans="9:20">
      <c r="I83" s="120">
        <f>I82*I$61</f>
        <v>29400000</v>
      </c>
      <c r="J83" s="120">
        <f>J82*J$61</f>
        <v>28500000</v>
      </c>
      <c r="K83" s="120">
        <f>K82*K$61</f>
        <v>29100000</v>
      </c>
      <c r="L83" s="120">
        <f>L82*L$61</f>
        <v>29400000</v>
      </c>
      <c r="M83" s="103"/>
      <c r="N83" s="103"/>
    </row>
    <row r="84" spans="9:20">
      <c r="I84" s="1">
        <v>0.1</v>
      </c>
      <c r="J84" s="1">
        <v>0.1</v>
      </c>
      <c r="K84" s="1">
        <v>0.1</v>
      </c>
      <c r="L84" s="1">
        <v>0.1</v>
      </c>
      <c r="M84" s="1">
        <v>0.1</v>
      </c>
      <c r="N84" s="1">
        <v>0.1</v>
      </c>
      <c r="O84" s="1">
        <v>0.1</v>
      </c>
      <c r="P84" s="1">
        <v>0.1</v>
      </c>
      <c r="Q84" s="1">
        <v>0.1</v>
      </c>
      <c r="R84" s="1">
        <v>0.1</v>
      </c>
      <c r="S84" s="1">
        <v>0.1</v>
      </c>
      <c r="T84" s="1">
        <v>0.1</v>
      </c>
    </row>
    <row r="85" spans="9:20">
      <c r="I85" s="120">
        <f>I84*I$61+I$61</f>
        <v>33000000</v>
      </c>
      <c r="J85" s="120">
        <f t="shared" ref="J85:T85" si="16">J84*J$61+J$61</f>
        <v>33000000</v>
      </c>
      <c r="K85" s="120">
        <f t="shared" si="16"/>
        <v>33000000</v>
      </c>
      <c r="L85" s="120">
        <f t="shared" si="16"/>
        <v>33000000</v>
      </c>
      <c r="M85" s="120">
        <f t="shared" si="16"/>
        <v>33000000</v>
      </c>
      <c r="N85" s="120">
        <f t="shared" si="16"/>
        <v>33000000</v>
      </c>
      <c r="O85" s="120">
        <f t="shared" si="16"/>
        <v>33000000</v>
      </c>
      <c r="P85" s="120">
        <f t="shared" si="16"/>
        <v>33000000</v>
      </c>
      <c r="Q85" s="120">
        <f t="shared" si="16"/>
        <v>33000000</v>
      </c>
      <c r="R85" s="120">
        <f t="shared" si="16"/>
        <v>33000000</v>
      </c>
      <c r="S85" s="120">
        <f t="shared" si="16"/>
        <v>33000000</v>
      </c>
      <c r="T85" s="120">
        <f t="shared" si="16"/>
        <v>33000000</v>
      </c>
    </row>
    <row r="87" spans="9:20">
      <c r="I87" s="1">
        <v>1</v>
      </c>
      <c r="J87" s="1">
        <v>0.98</v>
      </c>
      <c r="K87" s="1">
        <v>1</v>
      </c>
      <c r="L87" s="1">
        <v>1</v>
      </c>
      <c r="M87" s="1">
        <v>0.99009900990099009</v>
      </c>
      <c r="N87" s="1">
        <v>1</v>
      </c>
      <c r="O87" s="1">
        <v>1</v>
      </c>
      <c r="P87" s="1">
        <v>1</v>
      </c>
      <c r="Q87" s="1">
        <v>0.95238095238095233</v>
      </c>
      <c r="R87" s="1">
        <v>0.93457943925233644</v>
      </c>
      <c r="S87" s="1">
        <v>1</v>
      </c>
      <c r="T87" s="1">
        <v>1</v>
      </c>
    </row>
    <row r="88" spans="9:20">
      <c r="I88" s="1">
        <v>0.10100000000000001</v>
      </c>
      <c r="J88" s="1">
        <v>0.10100000000000001</v>
      </c>
      <c r="K88" s="1">
        <v>0.10100000000000001</v>
      </c>
      <c r="L88" s="1">
        <v>0.10100000000000001</v>
      </c>
      <c r="M88" s="1">
        <v>0.10100000000000001</v>
      </c>
      <c r="N88" s="1">
        <v>0.10100000000000001</v>
      </c>
      <c r="O88" s="1">
        <v>0.10100000000000001</v>
      </c>
      <c r="P88" s="1">
        <v>0.10100000000000001</v>
      </c>
      <c r="Q88" s="1">
        <v>0.10100000000000001</v>
      </c>
      <c r="R88" s="1">
        <v>0.10100000000000001</v>
      </c>
      <c r="S88" s="1">
        <v>0.10100000000000001</v>
      </c>
      <c r="T88" s="1">
        <v>0.10100000000000001</v>
      </c>
    </row>
    <row r="89" spans="9:20">
      <c r="I89" s="120">
        <f>I88*I$62+I$62</f>
        <v>32563595.480999999</v>
      </c>
      <c r="J89" s="120">
        <f t="shared" ref="J89:T89" si="17">J88*J$62+J$62</f>
        <v>31430920.811999999</v>
      </c>
      <c r="K89" s="120">
        <f t="shared" si="17"/>
        <v>32323037.991</v>
      </c>
      <c r="L89" s="120">
        <f t="shared" si="17"/>
        <v>0</v>
      </c>
      <c r="M89" s="120">
        <f t="shared" si="17"/>
        <v>0</v>
      </c>
      <c r="N89" s="120">
        <f t="shared" si="17"/>
        <v>0</v>
      </c>
      <c r="O89" s="120">
        <f t="shared" si="17"/>
        <v>0</v>
      </c>
      <c r="P89" s="120">
        <f t="shared" si="17"/>
        <v>0</v>
      </c>
      <c r="Q89" s="120">
        <f t="shared" si="17"/>
        <v>0</v>
      </c>
      <c r="R89" s="120">
        <f t="shared" si="17"/>
        <v>0</v>
      </c>
      <c r="S89" s="120">
        <f t="shared" si="17"/>
        <v>0</v>
      </c>
      <c r="T89" s="120">
        <f t="shared" si="17"/>
        <v>0</v>
      </c>
    </row>
  </sheetData>
  <mergeCells count="113">
    <mergeCell ref="G5:G6"/>
    <mergeCell ref="A76:A78"/>
    <mergeCell ref="B76:B78"/>
    <mergeCell ref="C76:C78"/>
    <mergeCell ref="D76:D78"/>
    <mergeCell ref="E76:E78"/>
    <mergeCell ref="F76:F78"/>
    <mergeCell ref="A70:A75"/>
    <mergeCell ref="B70:B75"/>
    <mergeCell ref="C70:C72"/>
    <mergeCell ref="D70:D72"/>
    <mergeCell ref="E70:E72"/>
    <mergeCell ref="F70:F72"/>
    <mergeCell ref="C73:C75"/>
    <mergeCell ref="D73:D75"/>
    <mergeCell ref="E73:E75"/>
    <mergeCell ref="F73:F75"/>
    <mergeCell ref="A67:A69"/>
    <mergeCell ref="B67:B69"/>
    <mergeCell ref="C67:C69"/>
    <mergeCell ref="D67:D69"/>
    <mergeCell ref="E67:E69"/>
    <mergeCell ref="F67:F69"/>
    <mergeCell ref="A64:A66"/>
    <mergeCell ref="B64:B66"/>
    <mergeCell ref="C64:C66"/>
    <mergeCell ref="D64:D66"/>
    <mergeCell ref="E64:E66"/>
    <mergeCell ref="F64:F66"/>
    <mergeCell ref="A61:A63"/>
    <mergeCell ref="B61:B63"/>
    <mergeCell ref="C61:C63"/>
    <mergeCell ref="D61:D63"/>
    <mergeCell ref="E61:E63"/>
    <mergeCell ref="F61:F63"/>
    <mergeCell ref="C55:C57"/>
    <mergeCell ref="D55:D57"/>
    <mergeCell ref="E55:E57"/>
    <mergeCell ref="F55:F57"/>
    <mergeCell ref="C58:C60"/>
    <mergeCell ref="D58:D60"/>
    <mergeCell ref="E58:E60"/>
    <mergeCell ref="F58:F60"/>
    <mergeCell ref="A49:A60"/>
    <mergeCell ref="B49:B60"/>
    <mergeCell ref="C49:C51"/>
    <mergeCell ref="D49:D51"/>
    <mergeCell ref="E49:E51"/>
    <mergeCell ref="F49:F51"/>
    <mergeCell ref="C52:C54"/>
    <mergeCell ref="D52:D54"/>
    <mergeCell ref="E52:E54"/>
    <mergeCell ref="F52:F54"/>
    <mergeCell ref="A43:A48"/>
    <mergeCell ref="B43:B48"/>
    <mergeCell ref="C43:C45"/>
    <mergeCell ref="D43:D48"/>
    <mergeCell ref="E43:E48"/>
    <mergeCell ref="F43:F45"/>
    <mergeCell ref="C46:C48"/>
    <mergeCell ref="F46:F48"/>
    <mergeCell ref="C37:C39"/>
    <mergeCell ref="D37:D39"/>
    <mergeCell ref="E37:E39"/>
    <mergeCell ref="F37:F39"/>
    <mergeCell ref="C40:C42"/>
    <mergeCell ref="D40:D42"/>
    <mergeCell ref="E40:E42"/>
    <mergeCell ref="F40:F42"/>
    <mergeCell ref="A28:A42"/>
    <mergeCell ref="B28:B42"/>
    <mergeCell ref="E16:E18"/>
    <mergeCell ref="F16:F18"/>
    <mergeCell ref="C31:C33"/>
    <mergeCell ref="D31:D33"/>
    <mergeCell ref="E31:E33"/>
    <mergeCell ref="F31:F33"/>
    <mergeCell ref="C34:C36"/>
    <mergeCell ref="D34:D36"/>
    <mergeCell ref="E34:E36"/>
    <mergeCell ref="F34:F36"/>
    <mergeCell ref="C25:C27"/>
    <mergeCell ref="D25:D27"/>
    <mergeCell ref="E25:E27"/>
    <mergeCell ref="F25:F27"/>
    <mergeCell ref="C28:C30"/>
    <mergeCell ref="D28:D30"/>
    <mergeCell ref="E28:E30"/>
    <mergeCell ref="F28:F30"/>
    <mergeCell ref="A7:A27"/>
    <mergeCell ref="B7:B27"/>
    <mergeCell ref="C7:C9"/>
    <mergeCell ref="D7:D9"/>
    <mergeCell ref="E7:E9"/>
    <mergeCell ref="F7:F9"/>
    <mergeCell ref="C10:C12"/>
    <mergeCell ref="D10:D12"/>
    <mergeCell ref="E10:E12"/>
    <mergeCell ref="F10:F12"/>
    <mergeCell ref="C19:C21"/>
    <mergeCell ref="D19:D21"/>
    <mergeCell ref="E19:E21"/>
    <mergeCell ref="F19:F21"/>
    <mergeCell ref="C22:C24"/>
    <mergeCell ref="D22:D24"/>
    <mergeCell ref="E22:E24"/>
    <mergeCell ref="F22:F24"/>
    <mergeCell ref="C13:C15"/>
    <mergeCell ref="D13:D15"/>
    <mergeCell ref="E13:E15"/>
    <mergeCell ref="F13:F15"/>
    <mergeCell ref="C16:C18"/>
    <mergeCell ref="D16:D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2020 VN</vt:lpstr>
      <vt:lpstr>2020 KR</vt:lpstr>
      <vt:lpstr>2021.Vn</vt:lpstr>
      <vt:lpstr>2021.KR</vt:lpstr>
      <vt:lpstr>2022.VN</vt:lpstr>
      <vt:lpstr>2022 KR</vt:lpstr>
      <vt:lpstr>2023VN</vt:lpstr>
      <vt:lpstr>2023 KR</vt:lpstr>
      <vt:lpstr>2024 VN</vt:lpstr>
      <vt:lpstr>2024 KR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DPC</dc:creator>
  <cp:lastModifiedBy>DPC</cp:lastModifiedBy>
  <dcterms:created xsi:type="dcterms:W3CDTF">2024-04-10T06:25:54Z</dcterms:created>
  <dcterms:modified xsi:type="dcterms:W3CDTF">2024-04-20T10:26:51Z</dcterms:modified>
</cp:coreProperties>
</file>