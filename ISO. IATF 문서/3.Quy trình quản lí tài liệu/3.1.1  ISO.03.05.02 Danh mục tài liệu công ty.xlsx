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3.Quy trình quản lí tài liệu\"/>
    </mc:Choice>
  </mc:AlternateContent>
  <bookViews>
    <workbookView xWindow="0" yWindow="0" windowWidth="25200" windowHeight="13170" firstSheet="2" activeTab="2"/>
  </bookViews>
  <sheets>
    <sheet name="QC. C Hậu" sheetId="1" state="hidden" r:id="rId1"/>
    <sheet name="QC 00. Tổng hợp từ các nhóm" sheetId="2" state="hidden" r:id="rId2"/>
    <sheet name="QC 01" sheetId="10" r:id="rId3"/>
    <sheet name="CNC" sheetId="9" r:id="rId4"/>
    <sheet name="Casting" sheetId="4" r:id="rId5"/>
    <sheet name="KHSX" sheetId="5" r:id="rId6"/>
    <sheet name="Mua hàng" sheetId="6" r:id="rId7"/>
    <sheet name="RD" sheetId="8" r:id="rId8"/>
    <sheet name="SALE" sheetId="7" r:id="rId9"/>
  </sheets>
  <definedNames>
    <definedName name="_xlnm._FilterDatabase" localSheetId="4" hidden="1">Casting!$A$6:$G$34</definedName>
    <definedName name="_xlnm._FilterDatabase" localSheetId="6" hidden="1">'Mua hàng'!$A$6:$N$38</definedName>
    <definedName name="_xlnm._FilterDatabase" localSheetId="2" hidden="1">'QC 01'!$A$7:$H$225</definedName>
    <definedName name="_xlnm._FilterDatabase" localSheetId="7" hidden="1">RD!$A$7:$F$32</definedName>
    <definedName name="_xlnm._FilterDatabase" localSheetId="8" hidden="1">SALE!$A$6:$N$29</definedName>
    <definedName name="_xlnm.Print_Area" localSheetId="6">'Mua hàng'!$A$1:$K$39</definedName>
    <definedName name="_xlnm.Print_Area" localSheetId="8">SALE!$A$1:$K$30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0" i="10" l="1"/>
  <c r="A182" i="10" s="1"/>
  <c r="A184" i="10" s="1"/>
  <c r="A186" i="10" s="1"/>
  <c r="A188" i="10" s="1"/>
  <c r="A190" i="10" s="1"/>
  <c r="A192" i="10" s="1"/>
  <c r="A194" i="10" s="1"/>
  <c r="A196" i="10" s="1"/>
  <c r="A198" i="10" s="1"/>
  <c r="A200" i="10" s="1"/>
  <c r="A202" i="10" s="1"/>
  <c r="A204" i="10" s="1"/>
  <c r="A206" i="10" s="1"/>
  <c r="A208" i="10" s="1"/>
  <c r="A210" i="10" s="1"/>
  <c r="A212" i="10" s="1"/>
  <c r="A214" i="10" s="1"/>
  <c r="A216" i="10" s="1"/>
  <c r="A218" i="10" s="1"/>
  <c r="A220" i="10" s="1"/>
  <c r="A10" i="10" l="1"/>
  <c r="A12" i="10" s="1"/>
  <c r="A14" i="10" s="1"/>
  <c r="A16" i="10" s="1"/>
  <c r="A18" i="10" s="1"/>
  <c r="A20" i="10" s="1"/>
  <c r="A22" i="10" s="1"/>
  <c r="A24" i="10" s="1"/>
  <c r="A26" i="10" s="1"/>
  <c r="A28" i="10" s="1"/>
  <c r="A30" i="10" s="1"/>
  <c r="A32" i="10" s="1"/>
  <c r="A34" i="10" l="1"/>
  <c r="A36" i="10" s="1"/>
  <c r="A38" i="10" s="1"/>
  <c r="A40" i="10" s="1"/>
  <c r="A42" i="10" s="1"/>
  <c r="A44" i="10" s="1"/>
  <c r="A46" i="10" s="1"/>
  <c r="A48" i="10" s="1"/>
  <c r="A50" i="10" s="1"/>
  <c r="A52" i="10" s="1"/>
  <c r="A54" i="10" s="1"/>
  <c r="A56" i="10" s="1"/>
  <c r="A58" i="10" s="1"/>
  <c r="A60" i="10" s="1"/>
  <c r="A62" i="10" s="1"/>
  <c r="A64" i="10" s="1"/>
  <c r="A66" i="10" s="1"/>
  <c r="A68" i="10" s="1"/>
  <c r="A70" i="10" s="1"/>
  <c r="A72" i="10" s="1"/>
  <c r="A74" i="10" s="1"/>
  <c r="A76" i="10" s="1"/>
  <c r="A78" i="10" s="1"/>
  <c r="A80" i="10" s="1"/>
  <c r="A82" i="10" s="1"/>
  <c r="A84" i="10" s="1"/>
  <c r="A86" i="10" s="1"/>
  <c r="A88" i="10" s="1"/>
  <c r="A90" i="10" s="1"/>
  <c r="A92" i="10" s="1"/>
  <c r="A94" i="10" s="1"/>
  <c r="A96" i="10" s="1"/>
  <c r="A98" i="10" s="1"/>
  <c r="A100" i="10" s="1"/>
  <c r="A102" i="10" s="1"/>
  <c r="A104" i="10" s="1"/>
  <c r="A106" i="10" s="1"/>
  <c r="A108" i="10" s="1"/>
  <c r="A110" i="10" s="1"/>
  <c r="A112" i="10" s="1"/>
  <c r="A114" i="10" s="1"/>
  <c r="A116" i="10" s="1"/>
  <c r="A118" i="10" s="1"/>
  <c r="A120" i="10" s="1"/>
  <c r="A122" i="10" s="1"/>
  <c r="A124" i="10" s="1"/>
  <c r="A126" i="10" s="1"/>
  <c r="A128" i="10" s="1"/>
  <c r="A130" i="10" s="1"/>
  <c r="A132" i="10" s="1"/>
  <c r="A134" i="10" s="1"/>
  <c r="A136" i="10" s="1"/>
  <c r="A138" i="10" s="1"/>
  <c r="A140" i="10" s="1"/>
  <c r="A142" i="10" s="1"/>
  <c r="A144" i="10" s="1"/>
  <c r="A146" i="10" s="1"/>
  <c r="A148" i="10" s="1"/>
  <c r="A150" i="10" s="1"/>
  <c r="A152" i="10" s="1"/>
  <c r="A154" i="10" s="1"/>
  <c r="A156" i="10" s="1"/>
  <c r="A158" i="10" s="1"/>
  <c r="A160" i="10" s="1"/>
  <c r="A162" i="10" s="1"/>
  <c r="A164" i="10" s="1"/>
  <c r="A166" i="10" s="1"/>
  <c r="A168" i="10" s="1"/>
  <c r="A170" i="10" s="1"/>
  <c r="A172" i="10" s="1"/>
  <c r="A174" i="10" s="1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9" i="5" l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9" i="2"/>
</calcChain>
</file>

<file path=xl/sharedStrings.xml><?xml version="1.0" encoding="utf-8"?>
<sst xmlns="http://schemas.openxmlformats.org/spreadsheetml/2006/main" count="1808" uniqueCount="891">
  <si>
    <t>DANH MỤC TÀI LIỆU NỘI BỘ</t>
  </si>
  <si>
    <t>ISO.04.00.01.</t>
  </si>
  <si>
    <t>Lần sửa đổi : 00</t>
  </si>
  <si>
    <t xml:space="preserve">Công ty : TNHH M&amp;C Electronics Vina </t>
  </si>
  <si>
    <t>Bộ phận : Quản lý chất lượng (QLCL)</t>
  </si>
  <si>
    <t>STT</t>
  </si>
  <si>
    <t>Tên tài liệu</t>
  </si>
  <si>
    <t>Mã số</t>
  </si>
  <si>
    <t>Bộ phận ban hành</t>
  </si>
  <si>
    <t>Ngày ban hành</t>
  </si>
  <si>
    <t>Lần BH/SĐ</t>
  </si>
  <si>
    <r>
      <t>1.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</si>
  <si>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Mục tiêu chất lượng, môi trường phòng QLCL</t>
  </si>
  <si>
    <t>QM.01.00.01</t>
  </si>
  <si>
    <t>QLCL</t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</si>
  <si>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</si>
  <si>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Sơ đồ tổ chức phòng QLCL </t>
  </si>
  <si>
    <t>QM.03.00.01</t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</si>
  <si>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</si>
  <si>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Quy trình kiểm tra nhập  </t>
  </si>
  <si>
    <t>QM.02.00.01</t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</si>
  <si>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</si>
  <si>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Quy trình xử lý hàng nguyên vật liệu không đạt  </t>
  </si>
  <si>
    <t>QM.02.00.02</t>
  </si>
  <si>
    <r>
      <t>5.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</si>
  <si>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Tiêu chuẩn kiểm tra đầu vào</t>
  </si>
  <si>
    <t>QM.03.00.02</t>
  </si>
  <si>
    <r>
      <t>6.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</si>
  <si>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AQL</t>
  </si>
  <si>
    <t>QM.03.00.03</t>
  </si>
  <si>
    <r>
      <t>7.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</si>
  <si>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Bản kết quả kiểm tra sản phẩm IQC </t>
  </si>
  <si>
    <t>QM.04.00.01</t>
  </si>
  <si>
    <r>
      <t>8.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</si>
  <si>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Báo cáo kiểm tra  nhập</t>
  </si>
  <si>
    <t>QM.04.00.02</t>
  </si>
  <si>
    <r>
      <t>9.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</si>
  <si>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Sổ quản lý nhập IQC</t>
  </si>
  <si>
    <t>QM.04.00.03</t>
  </si>
  <si>
    <r>
      <t>10.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</si>
  <si>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Biên bản cuộc họp </t>
  </si>
  <si>
    <t>QM.04.00.04</t>
  </si>
  <si>
    <r>
      <t>11.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</si>
  <si>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Quality problem notice</t>
  </si>
  <si>
    <t>QM.04.00.05</t>
  </si>
  <si>
    <r>
      <t>12.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</si>
  <si>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List vấn đề phát sinh lỗi từ nhà cung cấp </t>
  </si>
  <si>
    <t>QM.04.00.06</t>
  </si>
  <si>
    <r>
      <t>13.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</si>
  <si>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Quy trình kiểm tra hàng PQC  </t>
  </si>
  <si>
    <t>QM.02.00.03</t>
  </si>
  <si>
    <r>
      <t>14.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</si>
  <si>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Tiêu chuẩn kiểm tra công đoạn </t>
  </si>
  <si>
    <t>QM.03.00.04</t>
  </si>
  <si>
    <r>
      <t>15.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</si>
  <si>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Bản kết quả kiểm tra công đoạn (F_M_L)</t>
  </si>
  <si>
    <t>QM.04.00.07</t>
  </si>
  <si>
    <r>
      <t>16.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</si>
  <si>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List quản lý vấn đề phát sinh tại M&amp;C</t>
  </si>
  <si>
    <t>QM.04.00.08</t>
  </si>
  <si>
    <r>
      <t>17.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</si>
  <si>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Báo cáo kiểm tra công đoạn </t>
  </si>
  <si>
    <t>QM.04.00.09</t>
  </si>
  <si>
    <r>
      <t>18.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</si>
  <si>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Báo cáo tuần </t>
  </si>
  <si>
    <t>QM.04.00.10</t>
  </si>
  <si>
    <r>
      <t>19.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</si>
  <si>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Phiếu yêu cầu sửa khuôn </t>
  </si>
  <si>
    <t>QM.04.00.11</t>
  </si>
  <si>
    <r>
      <t>20.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</si>
  <si>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Quy trình kiểm tra hàng OQC</t>
  </si>
  <si>
    <t>QM.02.00.04</t>
  </si>
  <si>
    <t>Quy trình kiểm tra hàng trả về OQC</t>
  </si>
  <si>
    <t>QM.02.00.05</t>
  </si>
  <si>
    <t xml:space="preserve">Tiêu chuẩn kiểm tra hàng xuất </t>
  </si>
  <si>
    <t>QM.03.00.05</t>
  </si>
  <si>
    <t xml:space="preserve">Hướng dẫn kiểm tra hàng xuất </t>
  </si>
  <si>
    <t>QM.03.00.06</t>
  </si>
  <si>
    <t>Báo cáo hàng ngày OQC</t>
  </si>
  <si>
    <t>QM.04.00.12</t>
  </si>
  <si>
    <r>
      <t>5.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Times New Roman"/>
        <family val="1"/>
      </rPr>
      <t> </t>
    </r>
  </si>
  <si>
    <t xml:space="preserve">Báo cáo kết quả kiểm tra hàng xuất </t>
  </si>
  <si>
    <t>QM.04.00.13</t>
  </si>
  <si>
    <t>Kết quả đo CPK công đoạn xuất hàng</t>
  </si>
  <si>
    <t>QM.04.00.14</t>
  </si>
  <si>
    <t xml:space="preserve">Sổ quản lý vật tư không phù hợp </t>
  </si>
  <si>
    <t>QM.04.00.15</t>
  </si>
  <si>
    <t xml:space="preserve">Sơ đồ layout phòng tin cậy </t>
  </si>
  <si>
    <t>QM.04.00.16</t>
  </si>
  <si>
    <t xml:space="preserve">Quy định quản lý môi trường sản phẩm </t>
  </si>
  <si>
    <t>QM.03.00.07</t>
  </si>
  <si>
    <t xml:space="preserve">Quy định quản lý ROHS không đạt tiêu chuẩn </t>
  </si>
  <si>
    <t>QM.03.00.08</t>
  </si>
  <si>
    <t>Quy định quản lý jig</t>
  </si>
  <si>
    <t>QM.03.00.09</t>
  </si>
  <si>
    <t xml:space="preserve">Tiêu chuẩn vận hành thí nghiệm tính tin cậy </t>
  </si>
  <si>
    <t>QM.03.00.10</t>
  </si>
  <si>
    <t xml:space="preserve">Hướng dẫn thao tác sử dụng máy </t>
  </si>
  <si>
    <t>QM.03.00.11</t>
  </si>
  <si>
    <t xml:space="preserve">Danh sách quản lý thiết bị </t>
  </si>
  <si>
    <t>QM.04.00.17</t>
  </si>
  <si>
    <t xml:space="preserve">Thẻ quản lý máy móc thiết bị </t>
  </si>
  <si>
    <t>QM.04.00.18</t>
  </si>
  <si>
    <t>Bảng kiểm tra thiết bị hàng ngày</t>
  </si>
  <si>
    <t>QM.04.00.19</t>
  </si>
  <si>
    <t xml:space="preserve">Phiếu đề nghị báo cáo thường quy độ tin cậy </t>
  </si>
  <si>
    <t>QM.04.00.20</t>
  </si>
  <si>
    <t>Báo cáo độ tin cậy hàng ngày</t>
  </si>
  <si>
    <t>QM.04.00.21</t>
  </si>
  <si>
    <t xml:space="preserve">Quy trình tiếp nhận và xử lý phản hồi khách hàng </t>
  </si>
  <si>
    <t>QM.02.00.06</t>
  </si>
  <si>
    <t xml:space="preserve">Thông báo lỗi phát sinh </t>
  </si>
  <si>
    <t>QM.04.00.22</t>
  </si>
  <si>
    <r>
      <t>21.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</si>
  <si>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Quản lý trọng điểm </t>
  </si>
  <si>
    <t>QM.04.00.23</t>
  </si>
  <si>
    <r>
      <t>22.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</si>
  <si>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Đối sách cải tiến </t>
  </si>
  <si>
    <t>QM.04.00.24</t>
  </si>
  <si>
    <r>
      <t>23.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</si>
  <si>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List quản lý vấn đề phát sinh tại khách hàng </t>
  </si>
  <si>
    <t>QM.04.00.25</t>
  </si>
  <si>
    <r>
      <t>24.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</si>
  <si>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Quy trình kiểm soát công đoạn </t>
  </si>
  <si>
    <t>QM.02.00.07</t>
  </si>
  <si>
    <r>
      <t>25.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</si>
  <si>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Báo cáo Patrol công đoạn </t>
  </si>
  <si>
    <t>QM.04.00.26</t>
  </si>
  <si>
    <t xml:space="preserve">Check sheet audit công đoạn </t>
  </si>
  <si>
    <t>QM.04.00.27</t>
  </si>
  <si>
    <t xml:space="preserve">Quy định lưu hồ sơ </t>
  </si>
  <si>
    <t>QM.03.00.12</t>
  </si>
  <si>
    <t>Quy trình hủy hàng mẫu phòng QC</t>
  </si>
  <si>
    <t>QM.02.00.08</t>
  </si>
  <si>
    <t xml:space="preserve">Quy định lưu mẫu </t>
  </si>
  <si>
    <t>QM.03.00.13</t>
  </si>
  <si>
    <t xml:space="preserve">File quản lý hàng lưu mẫu </t>
  </si>
  <si>
    <t>QM.04.00.28</t>
  </si>
  <si>
    <t xml:space="preserve">Phiếu đề nghị báo hủy sản phẩm </t>
  </si>
  <si>
    <t>QM.04.00.29</t>
  </si>
  <si>
    <t>Phiếu xác nhận hủy hàng</t>
  </si>
  <si>
    <t>QM.04.00.30</t>
  </si>
  <si>
    <t>Sơ đồ tổ chức IQC</t>
  </si>
  <si>
    <t>QM.03.05.02</t>
  </si>
  <si>
    <t>Chương trình đào tạo</t>
  </si>
  <si>
    <t>QM.03.05.14</t>
  </si>
  <si>
    <t>Kế hoạch đào tạo</t>
  </si>
  <si>
    <t>QM.03.05.15</t>
  </si>
  <si>
    <t>Hồ sơ đào tạo</t>
  </si>
  <si>
    <t>QM.04.00.31</t>
  </si>
  <si>
    <t>Quy trình kiểm tra nguyên vật liệu</t>
  </si>
  <si>
    <t>QM.02.02.01</t>
  </si>
  <si>
    <t>Sổ quản lý nhập nguyên vật liệu đầu vào</t>
  </si>
  <si>
    <t>Tiêu chuẩn kiểm tra nguyên vật liệu</t>
  </si>
  <si>
    <t>QM.03.02.04</t>
  </si>
  <si>
    <t>Báo cáo kiểm tra nguyên vật liệu</t>
  </si>
  <si>
    <t>SGS test Rosh 10</t>
  </si>
  <si>
    <t>Quy trình xử lý khi phát sinh NG nguyên vật liệu</t>
  </si>
  <si>
    <t>QM.02.02.02</t>
  </si>
  <si>
    <t>Lịch sử phát sinh NG nguyên vật liệu</t>
  </si>
  <si>
    <t>QM.04.02.06</t>
  </si>
  <si>
    <t>Báo cáo cải tiến</t>
  </si>
  <si>
    <t>QM.04.02.05</t>
  </si>
  <si>
    <t>Sơ đồ tổ chức phòng  phòng Độ tin cậy</t>
  </si>
  <si>
    <t>Độ tin cậy</t>
  </si>
  <si>
    <t>01</t>
  </si>
  <si>
    <t>Danh sách quản lý jig</t>
  </si>
  <si>
    <t xml:space="preserve">Quy trình phân tích hệ thống đo lường MSA </t>
  </si>
  <si>
    <t>QM.02.00.11</t>
  </si>
  <si>
    <t xml:space="preserve">Quy trình kiểm soát thiết bị </t>
  </si>
  <si>
    <t xml:space="preserve">Quy trình hiệu chuẩn thiết bị       </t>
  </si>
  <si>
    <t>QM.02.00.13</t>
  </si>
  <si>
    <t>Danh sách nhân viên &amp; chứng chỉ</t>
  </si>
  <si>
    <t>QM.02.00.14</t>
  </si>
  <si>
    <t>Danh sách thiết bị NG</t>
  </si>
  <si>
    <t xml:space="preserve">File theo dõi lỗi </t>
  </si>
  <si>
    <t>Kế hoạch hiệu chuẩn</t>
  </si>
  <si>
    <t>Kế hoạch MSA</t>
  </si>
  <si>
    <t>Ma trận năng lực phòng độ tin cậy</t>
  </si>
  <si>
    <t>Kế hoạch bảo dưỡng máy .</t>
  </si>
  <si>
    <t>Check sheet bảo dưỡng máy</t>
  </si>
  <si>
    <t>Check sheet kiểm tra ánh sáng</t>
  </si>
  <si>
    <t>Tiêu chuẩn nhiệt độ độ ẩm phòng đo</t>
  </si>
  <si>
    <t>Kết quả đào tạo</t>
  </si>
  <si>
    <t>Thẻ thiết bị đo</t>
  </si>
  <si>
    <t>Quy trình kiếm tra hàng OQC</t>
  </si>
  <si>
    <t>QMO.01.03.01</t>
  </si>
  <si>
    <t>Chất lượng</t>
  </si>
  <si>
    <t>Quy trình trả hàng về OQC</t>
  </si>
  <si>
    <t>QMO.01.03.02</t>
  </si>
  <si>
    <t>Quy trình xử lý bất thường OQC</t>
  </si>
  <si>
    <t>QMO.01.04.03</t>
  </si>
  <si>
    <t>QMO.01.00.03</t>
  </si>
  <si>
    <t>Quy trình đâò tạo</t>
  </si>
  <si>
    <t>QMO.01.00.01</t>
  </si>
  <si>
    <t xml:space="preserve">Kế hoạch đào tạo </t>
  </si>
  <si>
    <t>QMO.01.01.20</t>
  </si>
  <si>
    <t>QMO.01.02.14</t>
  </si>
  <si>
    <t xml:space="preserve">Mục tiêu đâò tạo </t>
  </si>
  <si>
    <t>QM.01.03.03</t>
  </si>
  <si>
    <t>Tiêu chuẩn kiểm tra</t>
  </si>
  <si>
    <t>QMO. 02.00.01</t>
  </si>
  <si>
    <t>13/03/2022</t>
  </si>
  <si>
    <t>HDKT ngoại quan</t>
  </si>
  <si>
    <t>'QMO.03.00.08</t>
  </si>
  <si>
    <t>Biên bản đào tạo</t>
  </si>
  <si>
    <t>QMO.04.01.00</t>
  </si>
  <si>
    <t>QMO.04.00.31</t>
  </si>
  <si>
    <t>01/04.2017</t>
  </si>
  <si>
    <t>Báo cáo xuất hàng</t>
  </si>
  <si>
    <t>QMO.05.00.01</t>
  </si>
  <si>
    <t>Người cập nhật: Nguyễn Thị Thu Hà</t>
  </si>
  <si>
    <t>Ngày lập: 01.04.2022</t>
  </si>
  <si>
    <t>Kết quả kiểm tra</t>
  </si>
  <si>
    <t>QMO.05. 01.01</t>
  </si>
  <si>
    <t>CS list claim report</t>
  </si>
  <si>
    <t>QMS.06.01.01</t>
  </si>
  <si>
    <t>IS.04.00.01</t>
  </si>
  <si>
    <t>Lần BH/SĐ: 04/00</t>
  </si>
  <si>
    <t>Ngày lập: 04/04/2022</t>
  </si>
  <si>
    <r>
      <t>Đơn vị trực thuộc Công ty :</t>
    </r>
    <r>
      <rPr>
        <sz val="12"/>
        <color theme="1"/>
        <rFont val="Times New Roman"/>
        <family val="1"/>
      </rPr>
      <t xml:space="preserve"> Phòng Casting</t>
    </r>
  </si>
  <si>
    <t>Người cập nhật: Đào Hữu Viết</t>
  </si>
  <si>
    <t>Sơ đồ tổ chức bộ phận casting,Ma trận năng lực</t>
  </si>
  <si>
    <t>CTT.02.05.06</t>
  </si>
  <si>
    <t>Casting</t>
  </si>
  <si>
    <t>04.04.2022</t>
  </si>
  <si>
    <t>05</t>
  </si>
  <si>
    <t>Quy trình đào tạo và tài liệu đào tạo</t>
  </si>
  <si>
    <t>CTT.02.03.10</t>
  </si>
  <si>
    <t>03.01.2022</t>
  </si>
  <si>
    <t>04</t>
  </si>
  <si>
    <t>Hướng dẫn sửa chữa, bảo dưỡng thiết bị</t>
  </si>
  <si>
    <t>CTT.03.00.21</t>
  </si>
  <si>
    <t>26.01.2021</t>
  </si>
  <si>
    <t>00</t>
  </si>
  <si>
    <t>Quy trình sửa chữa thiết bị</t>
  </si>
  <si>
    <t>CTT 02.00.06</t>
  </si>
  <si>
    <t>01.01.2017</t>
  </si>
  <si>
    <t>Quản lý vật tư dự phòng</t>
  </si>
  <si>
    <t>CTT.04.02.11</t>
  </si>
  <si>
    <t>04.01.2022</t>
  </si>
  <si>
    <t>02</t>
  </si>
  <si>
    <t>Kế hoạch bảo dưỡng thiết bị</t>
  </si>
  <si>
    <t>CTT 04.04.01</t>
  </si>
  <si>
    <t>Nhật ký sửa chữa thiết bị</t>
  </si>
  <si>
    <t>CTT 04.04.03</t>
  </si>
  <si>
    <t>Check sheet bảo dưỡng thiết bị</t>
  </si>
  <si>
    <t>CTT. 04 .04 .02</t>
  </si>
  <si>
    <t>3.1.1</t>
  </si>
  <si>
    <t xml:space="preserve"> Bản hướng tiêu chuẩn máy trộn dầu tách khuôn</t>
  </si>
  <si>
    <t>CTT.03.01.08</t>
  </si>
  <si>
    <t>3.1.2</t>
  </si>
  <si>
    <t>Bảng hướng dẫn vệ sinh bề mặt lò nung</t>
  </si>
  <si>
    <t>CTT.03.01.05</t>
  </si>
  <si>
    <t>3.1.3</t>
  </si>
  <si>
    <t>Hướng dẫn cài đặt quản lý điều kiện đúc</t>
  </si>
  <si>
    <t>CTT.03.01.01</t>
  </si>
  <si>
    <t>3.1.4</t>
  </si>
  <si>
    <t>Hướng dẫn đo nồng độ dung dịch tách khuôn</t>
  </si>
  <si>
    <t>CTT.03.00.16</t>
  </si>
  <si>
    <t>20.03.2021</t>
  </si>
  <si>
    <t>3.1.5</t>
  </si>
  <si>
    <t>Hướng dẫn thao tác sử dụng máy sấy</t>
  </si>
  <si>
    <t>CTT.03.01.17</t>
  </si>
  <si>
    <t>02.01.2021</t>
  </si>
  <si>
    <t>3.1.6</t>
  </si>
  <si>
    <t>Hướng dẫn thao tác điều kiện sản xuất</t>
  </si>
  <si>
    <t>CTT.03.00.101</t>
  </si>
  <si>
    <t>20.03.2022</t>
  </si>
  <si>
    <t>3.1.7</t>
  </si>
  <si>
    <t>Tiêu chuẩn nhiệt độ khuôn</t>
  </si>
  <si>
    <t>CTT.03.00.18</t>
  </si>
  <si>
    <t>3.2.1</t>
  </si>
  <si>
    <t>Kiểm tra máy đúc hàng ngày</t>
  </si>
  <si>
    <t xml:space="preserve">CTT.04.02.04 </t>
  </si>
  <si>
    <t>3.2.2</t>
  </si>
  <si>
    <t>Kiểm tra máy cắt biên hàng ngày</t>
  </si>
  <si>
    <t xml:space="preserve">CTT.04.01.15 </t>
  </si>
  <si>
    <t>3.2.3</t>
  </si>
  <si>
    <t xml:space="preserve">Kiểm tra nhiệt độ lò nung </t>
  </si>
  <si>
    <t>CTT.04.01.01</t>
  </si>
  <si>
    <t>3.2.4</t>
  </si>
  <si>
    <t>Kiểm tra nhiệt độ khuôn</t>
  </si>
  <si>
    <t>CTT.04.01.13</t>
  </si>
  <si>
    <t>3.2.5</t>
  </si>
  <si>
    <t xml:space="preserve">Check sheet quản lý dầu tách khuôn </t>
  </si>
  <si>
    <t>CTT.04.01.06</t>
  </si>
  <si>
    <t>20.03.2023</t>
  </si>
  <si>
    <t>3.2.6</t>
  </si>
  <si>
    <t>Quản lý vệ sinh lò nung</t>
  </si>
  <si>
    <t>CTT.04.01.07</t>
  </si>
  <si>
    <t>3.2.7</t>
  </si>
  <si>
    <t>Quản lý điều kiện sản xuất</t>
  </si>
  <si>
    <t>CTT.04.04.20</t>
  </si>
  <si>
    <t>3.2.8</t>
  </si>
  <si>
    <t>Quản lý sản phẩm phòng casting</t>
  </si>
  <si>
    <t xml:space="preserve">Quản lý Hạng mục trọng điểm </t>
  </si>
  <si>
    <t>CTT.03.00.09</t>
  </si>
  <si>
    <t>Mục tiêu phòng casting</t>
  </si>
  <si>
    <t>CTT.01.04.01</t>
  </si>
  <si>
    <t>Thực hiện mục tiêu KPI</t>
  </si>
  <si>
    <t>CTT.04.04.18</t>
  </si>
  <si>
    <t>Quy trình sử lý khi mất điện</t>
  </si>
  <si>
    <t>CTT.02.00.02</t>
  </si>
  <si>
    <t>04.01.2017</t>
  </si>
  <si>
    <t>KPI - PRODUCTION PLAN 2022</t>
  </si>
  <si>
    <t>PP.01.03.01</t>
  </si>
  <si>
    <t>KHSX</t>
  </si>
  <si>
    <t>Bảng theo dõi mục tiêu KPI 2022</t>
  </si>
  <si>
    <t>PP.04.01.07</t>
  </si>
  <si>
    <t>Sơ đồ tổ chức 2022</t>
  </si>
  <si>
    <t>PP.03.10.01</t>
  </si>
  <si>
    <t>Sơ đồ tổ chức kho NVL</t>
  </si>
  <si>
    <t>WH.03.09.04</t>
  </si>
  <si>
    <t>KHO</t>
  </si>
  <si>
    <t>Sơ đồ tổ chức kho TP</t>
  </si>
  <si>
    <t>WH.03.07.03</t>
  </si>
  <si>
    <t>Ma trận năng lực 2022</t>
  </si>
  <si>
    <t>PP.04.08.01</t>
  </si>
  <si>
    <t>Quy trình đào tạo người mới</t>
  </si>
  <si>
    <t>WH.02.00.07</t>
  </si>
  <si>
    <t xml:space="preserve">Chương trình đào tạo </t>
  </si>
  <si>
    <t>WH.03.01.14</t>
  </si>
  <si>
    <t>Kế hoạch đào tạo 2022</t>
  </si>
  <si>
    <t>WH.04.01.01</t>
  </si>
  <si>
    <t xml:space="preserve">Bài kiểm tra sau đào tạo công nhân viên mới </t>
  </si>
  <si>
    <t>WH.04.00.13</t>
  </si>
  <si>
    <t>Bài kiểm tra nghiệp vụ kho nhắc lại 1 năm 1 lần</t>
  </si>
  <si>
    <t>WH.04.00.11</t>
  </si>
  <si>
    <t>Bài kiểm tra nghiệp vụ KHSX nhắc lại 1 năm 1 lần</t>
  </si>
  <si>
    <t xml:space="preserve"> PP.04.00.11</t>
  </si>
  <si>
    <t xml:space="preserve">Chứng nhận năng lực làm việc kho </t>
  </si>
  <si>
    <t>WH.04.00.12</t>
  </si>
  <si>
    <t>PP.04.01.05</t>
  </si>
  <si>
    <t>Quy trình quản lí tài liệu</t>
  </si>
  <si>
    <t>ISO.02.04.04</t>
  </si>
  <si>
    <t>Ban ISO</t>
  </si>
  <si>
    <t>Danh mục tài liệu nội bộ</t>
  </si>
  <si>
    <t>ISO 04.04.07</t>
  </si>
  <si>
    <t>Danh mục tài liệu bên ngoài</t>
  </si>
  <si>
    <t>ISO.04.04.08</t>
  </si>
  <si>
    <t xml:space="preserve">Hướng dẫn lưu giữ hồ sơ , tài liệu </t>
  </si>
  <si>
    <t>WH.03.00.09</t>
  </si>
  <si>
    <t>Kho</t>
  </si>
  <si>
    <t>Quy trình quản lí  hồ sơ</t>
  </si>
  <si>
    <t>ISO.02.07.05</t>
  </si>
  <si>
    <t>Danh mục hồ sơ</t>
  </si>
  <si>
    <t>ISO 04.04.09</t>
  </si>
  <si>
    <t>Phiếu yêu cầu xử lý hồ sơ</t>
  </si>
  <si>
    <t>ISO 04.04.11</t>
  </si>
  <si>
    <t>Biên bản xử lý hồ sơ</t>
  </si>
  <si>
    <t>ISO 04.04.12</t>
  </si>
  <si>
    <t>Quy trình lập kế hoạch sản xuất</t>
  </si>
  <si>
    <t>PP.02.02.01</t>
  </si>
  <si>
    <t>Quy trình lập kế hoạch sản xuất hàng phát triển</t>
  </si>
  <si>
    <t>PP.02.00.03</t>
  </si>
  <si>
    <t>Quy trình xử lý KHSX không đạt</t>
  </si>
  <si>
    <t>PP.02.01.02</t>
  </si>
  <si>
    <t>Quy trình lý kho</t>
  </si>
  <si>
    <t>WH.02.03.01</t>
  </si>
  <si>
    <t xml:space="preserve">Bảng quản lý nhiệt độ , độ ẩm </t>
  </si>
  <si>
    <t>ISO 04.03.04</t>
  </si>
  <si>
    <t>Sơ đồ layout kho</t>
  </si>
  <si>
    <t>WH.03.01.04</t>
  </si>
  <si>
    <t>Hướng dẫn phân biệt tem nhận hàng</t>
  </si>
  <si>
    <t>Quy trình kiểm soát tồn kho an toàn</t>
  </si>
  <si>
    <t>WH.03.03.01</t>
  </si>
  <si>
    <t>Quy trình xuất trả lại nhà cung cấp nguyên liệu NG</t>
  </si>
  <si>
    <t>WH.02.01.10</t>
  </si>
  <si>
    <t>Quy trình xử lý hàng sắp hết hạn và hết hạn</t>
  </si>
  <si>
    <t>WH.02.01.02</t>
  </si>
  <si>
    <t>Checksheet kiểm tra NVL  1 tháng / 1 lần</t>
  </si>
  <si>
    <t>WH.04.00.10</t>
  </si>
  <si>
    <t xml:space="preserve">Quy trình kiểm soát tồn kho 6 tháng / lần </t>
  </si>
  <si>
    <t>WH.03.01.08</t>
  </si>
  <si>
    <t>Checksheet kiểm tra kho 6 tháng / lần</t>
  </si>
  <si>
    <t>WH.04.00.16</t>
  </si>
  <si>
    <t>Mô tả rủi ro của phòng KHSX</t>
  </si>
  <si>
    <t>Mô tả rủi ro của kho</t>
  </si>
  <si>
    <t>WH.04.01.09</t>
  </si>
  <si>
    <t>Quy định chiều cao kho</t>
  </si>
  <si>
    <t>WH.03.00.15</t>
  </si>
  <si>
    <t>Người cập nhật: Nguyễn Thị Hồng Huyên</t>
  </si>
  <si>
    <t>Bộ phận : KHSX</t>
  </si>
  <si>
    <t>CÔNG TY  TNHH M&amp;C ELECTROCNICS VINA</t>
  </si>
  <si>
    <t>Mã tài liệu 
(Doc Code)</t>
  </si>
  <si>
    <t>ISO.04.03.01</t>
  </si>
  <si>
    <r>
      <t xml:space="preserve">DANH MỤC TÀI LIỆU NỘI BỘ BỘ PHẬN MUA HÀNG
PURCHASING's </t>
    </r>
    <r>
      <rPr>
        <b/>
        <i/>
        <sz val="14"/>
        <color indexed="8"/>
        <rFont val="Times New Roman"/>
        <family val="1"/>
      </rPr>
      <t>LIST OF INTERNAL DOCUMENTS</t>
    </r>
  </si>
  <si>
    <t>Ngày ban hành (Issued Date)</t>
  </si>
  <si>
    <t>Người soạn thảo  (Prepare by)</t>
  </si>
  <si>
    <t>Người phê duyệt (Aprove by)</t>
  </si>
  <si>
    <r>
      <t xml:space="preserve">STT
</t>
    </r>
    <r>
      <rPr>
        <b/>
        <i/>
        <sz val="11"/>
        <color theme="1"/>
        <rFont val="Times New Roman"/>
        <family val="1"/>
      </rPr>
      <t xml:space="preserve"> (IT)</t>
    </r>
  </si>
  <si>
    <r>
      <t xml:space="preserve">TÊN TÀI LIỆU 
</t>
    </r>
    <r>
      <rPr>
        <b/>
        <i/>
        <sz val="11"/>
        <color theme="1"/>
        <rFont val="Times New Roman"/>
        <family val="1"/>
      </rPr>
      <t>(Name of document)</t>
    </r>
  </si>
  <si>
    <r>
      <t xml:space="preserve">MÃ SỐ TÀI LIỆU
</t>
    </r>
    <r>
      <rPr>
        <b/>
        <i/>
        <sz val="11"/>
        <color theme="1"/>
        <rFont val="Times New Roman"/>
        <family val="1"/>
      </rPr>
      <t>(Code number of document)</t>
    </r>
  </si>
  <si>
    <r>
      <t xml:space="preserve">BỘ PHẬN BAN HÀNH
</t>
    </r>
    <r>
      <rPr>
        <b/>
        <i/>
        <sz val="11"/>
        <color theme="1"/>
        <rFont val="Times New Roman"/>
        <family val="1"/>
      </rPr>
      <t>(Issued department)</t>
    </r>
  </si>
  <si>
    <r>
      <t xml:space="preserve">NGÀY BAN HÀNH
 </t>
    </r>
    <r>
      <rPr>
        <b/>
        <i/>
        <sz val="11"/>
        <color theme="1"/>
        <rFont val="Times New Roman"/>
        <family val="1"/>
      </rPr>
      <t>(Issued Date)</t>
    </r>
  </si>
  <si>
    <r>
      <t xml:space="preserve">LẦN BH/SĐ
</t>
    </r>
    <r>
      <rPr>
        <b/>
        <i/>
        <sz val="11"/>
        <color theme="1"/>
        <rFont val="Times New Roman"/>
        <family val="1"/>
      </rPr>
      <t>(Number of times issued, revised)</t>
    </r>
  </si>
  <si>
    <t>ISO.04.01.01</t>
  </si>
  <si>
    <t>Mua hàng</t>
  </si>
  <si>
    <t>Mục tiêu phòng mua hàng
(Target of Purchasing Dept)</t>
  </si>
  <si>
    <t>PUR.01.01.01</t>
  </si>
  <si>
    <t>Quy trình mua hàng và đánh giá nhà cung cấp
(Purchasing &amp; Vendor Managerment)</t>
  </si>
  <si>
    <t>PUR.02.02.01</t>
  </si>
  <si>
    <t>Quy trình nhập kho nguyên vật liệu: Trong nước
(Material input warehouse process for Domestics)</t>
  </si>
  <si>
    <t>PUR.02.01.02</t>
  </si>
  <si>
    <t>Quy trình nhập kho nguyên vật liệu: Nước ngoài
(Material input warehouse process for Oversea)</t>
  </si>
  <si>
    <t>PUR.02.01.03</t>
  </si>
  <si>
    <t>Quy trình trả lại hàng NG
(Return NG Material Process)</t>
  </si>
  <si>
    <t>PUR.02.00.04</t>
  </si>
  <si>
    <t>Quy trình quản lý hàng gia công
(Process of Oursoucing)</t>
  </si>
  <si>
    <t>PUR.02.00.05</t>
  </si>
  <si>
    <t>Quy trình đào tạo nhân viên
(Trainning process for purchasing employees)</t>
  </si>
  <si>
    <t>PUR.02.00.06</t>
  </si>
  <si>
    <t>Quy trình đào tạo nhà cung cấp về quản lý chất độc hại
(Training process about hazardous substance management)</t>
  </si>
  <si>
    <t>PUR.02.00.07</t>
  </si>
  <si>
    <t>Sơ đồ tổ chức phòng mua hàng 
(Purchasing's Organization Chart)</t>
  </si>
  <si>
    <t>PUR.03.03.01</t>
  </si>
  <si>
    <t>03</t>
  </si>
  <si>
    <t>Hướng dẫn đánh giá nhà cung cấp
(Purchasing's Audit Vendor Process)</t>
  </si>
  <si>
    <t>PUR.03.01.02</t>
  </si>
  <si>
    <t>Mô tả rủi ro phòng mua hàng</t>
  </si>
  <si>
    <t>PUR.03.00.03</t>
  </si>
  <si>
    <t>Mô tả công việc phòng mua hàng</t>
  </si>
  <si>
    <t>PUR.03.00.04</t>
  </si>
  <si>
    <t>Hướng dẫn đặt hàng trên hệ thống ERP (Purchasing request's guideline on ERP system)</t>
  </si>
  <si>
    <t>PUR.03.00.05</t>
  </si>
  <si>
    <t>Form mẫu đặt hàng trong nước 
(Domestic Purchase Order)</t>
  </si>
  <si>
    <t>PUR.04.00.01</t>
  </si>
  <si>
    <t>Form mẫu đặt hàng nước ngoài
(Oversea Purchase Order)</t>
  </si>
  <si>
    <t>PUR.04.00.02</t>
  </si>
  <si>
    <t>Danh sách nhà cung cấp
(Approval Vendor List)</t>
  </si>
  <si>
    <t>PUR.04.05.03</t>
  </si>
  <si>
    <t>Form theo dõi đánh giá nhà cung cấp hàng tháng
(Monthly Evalutation)</t>
  </si>
  <si>
    <t>PUR.04.02.04</t>
  </si>
  <si>
    <t>Phiếu Thông Tin Nhà Cung Cấp
(Vendor’s information)</t>
  </si>
  <si>
    <t>PUR.04.00.05</t>
  </si>
  <si>
    <t>Kế hoạch audit QPA
(QPA audit plan)</t>
  </si>
  <si>
    <t>PUR.04.00.06</t>
  </si>
  <si>
    <t>Checksheet đánh giá QPA
(Vendor Qualification Checksheet)</t>
  </si>
  <si>
    <t>PUR.04.00.07</t>
  </si>
  <si>
    <t>Mục tiêu KPI
(KPI Target)</t>
  </si>
  <si>
    <t>PUR.04.01.08</t>
  </si>
  <si>
    <t>Đánh giá kết quả KPI
(KPI Eveluation)</t>
  </si>
  <si>
    <t>PUR.04.00.09</t>
  </si>
  <si>
    <t>Nội dung đào tạo phòng mua hàng (Purchasing's trainning course content)</t>
  </si>
  <si>
    <t>PUR.04.00.10</t>
  </si>
  <si>
    <t>Bản thu hoạch sau đào tạo của phòng mua hàng 
(Collected examination after tranning course)</t>
  </si>
  <si>
    <t>PUR.04.00.11</t>
  </si>
  <si>
    <t>Ma trận năng lực phòng mua hàng</t>
  </si>
  <si>
    <t>PUR.04.00.12</t>
  </si>
  <si>
    <t>Ma trận năng lực nhóm đánh giá vendor</t>
  </si>
  <si>
    <t>PUR.04.01.13</t>
  </si>
  <si>
    <t>Chiến lược đào tạo nguồn nhân lực (Human Trainning Plan)</t>
  </si>
  <si>
    <t>PUR.04.00.14</t>
  </si>
  <si>
    <t>Biên bản đào tạo nguồn nhân lực (Human Trainning Plan)</t>
  </si>
  <si>
    <t>PUR.04.00.15</t>
  </si>
  <si>
    <t>Quy trình xác định bối cảnh của tổ chức</t>
  </si>
  <si>
    <t>The process of defining the organization's context</t>
  </si>
  <si>
    <t>ISO.02.04.01</t>
  </si>
  <si>
    <t>23/04/2020</t>
  </si>
  <si>
    <t>Bảng xác định bối cảnh</t>
  </si>
  <si>
    <t>Context table</t>
  </si>
  <si>
    <t>Bảng xác định nhu cầu của các bên quan tâm</t>
  </si>
  <si>
    <t>Table identifies the needs of interested parties</t>
  </si>
  <si>
    <t>ISO.04.03.02</t>
  </si>
  <si>
    <t>Bảng xác định rủi ro và cơ hội</t>
  </si>
  <si>
    <t>Table of risk and opportunity identification</t>
  </si>
  <si>
    <t>ISO.04.03.03</t>
  </si>
  <si>
    <t>Sổ tay chất lượng</t>
  </si>
  <si>
    <t>Quality handbook</t>
  </si>
  <si>
    <t>ISO .03.05.02</t>
  </si>
  <si>
    <t>Quality</t>
  </si>
  <si>
    <t>Quy trình kiểm soát tài liệu</t>
  </si>
  <si>
    <t xml:space="preserve">   Ban ISO</t>
  </si>
  <si>
    <t>List of internal documents</t>
  </si>
  <si>
    <t xml:space="preserve"> 05/01/2020</t>
  </si>
  <si>
    <t>List of external documents</t>
  </si>
  <si>
    <t>ISO 04.04.08</t>
  </si>
  <si>
    <t>Chính sách chất lượng</t>
  </si>
  <si>
    <t>Quality Policy</t>
  </si>
  <si>
    <t>ISO.01.05.01</t>
  </si>
  <si>
    <t>Mục tiêu chất lượng</t>
  </si>
  <si>
    <t>Quality goals</t>
  </si>
  <si>
    <t>ISO.03.05.03</t>
  </si>
  <si>
    <t>Sơ đồ tổ chức hệ thống quản lý chất lượng</t>
  </si>
  <si>
    <t>Quality management system organization chart</t>
  </si>
  <si>
    <t>GA</t>
  </si>
  <si>
    <t>ISO.03.03.04</t>
  </si>
  <si>
    <t>Hướng dẫn xem xét của lãnh đạo</t>
  </si>
  <si>
    <t>ISO.03.04.05</t>
  </si>
  <si>
    <t>Quy trình tuyển dụng và đào tạo</t>
  </si>
  <si>
    <t>RBA-A101.02.01.01</t>
  </si>
  <si>
    <t>27/9/2019</t>
  </si>
  <si>
    <t>Hướng dẫn quy trình tuyển dụng đào tạo</t>
  </si>
  <si>
    <t>Combined recruitment &amp; training policy</t>
  </si>
  <si>
    <t xml:space="preserve">GA.03.00.05  </t>
  </si>
  <si>
    <t>15/7/2019</t>
  </si>
  <si>
    <t>Quy trình quản lý thiết bị, cơ sở hạ tầng</t>
  </si>
  <si>
    <t>ISO.02.04.02</t>
  </si>
  <si>
    <t>Quy trình hoạch định chất lượng sản phẩm (APQP)</t>
  </si>
  <si>
    <t>PRODUCT QUALITY PLANNING</t>
  </si>
  <si>
    <t>R&amp;D</t>
  </si>
  <si>
    <t xml:space="preserve">Chính sách  bảo mật thông tin </t>
  </si>
  <si>
    <t>Information security policy</t>
  </si>
  <si>
    <t>RBA-D301.01.00.24</t>
  </si>
  <si>
    <t>Quy trình thông tin liên lạc</t>
  </si>
  <si>
    <t>ESCALATION PROCESS</t>
  </si>
  <si>
    <t xml:space="preserve">ISO 02.03.03 </t>
  </si>
  <si>
    <t>Production planning process</t>
  </si>
  <si>
    <t>PP.02.01.01</t>
  </si>
  <si>
    <t>Kế hoạch</t>
  </si>
  <si>
    <t>Quy trình tiếp nhận và xử lý đơn hàng</t>
  </si>
  <si>
    <t>Process of receiving and processing orders</t>
  </si>
  <si>
    <t>SAL.02.00.01</t>
  </si>
  <si>
    <t>Quy trình phát triển sản phẩm mới</t>
  </si>
  <si>
    <t>PRODUCT DEVELOPMENT PROCEDURE</t>
  </si>
  <si>
    <t>R&amp;D.02.02.01</t>
  </si>
  <si>
    <t>Hướng dẫn kiểm soát các đặc tính đặc biệt</t>
  </si>
  <si>
    <t>FMEA HANDBOOK</t>
  </si>
  <si>
    <t>Quy trình sản xuất thử nghiệm</t>
  </si>
  <si>
    <t>TRIAL PRODUCTION PROCEDURE</t>
  </si>
  <si>
    <t>R&amp;D.02.02.06</t>
  </si>
  <si>
    <t>Quy định mua hàng và đánh giá nhà cung cấp</t>
  </si>
  <si>
    <t>Purchansing &amp;Vendor Magagerment</t>
  </si>
  <si>
    <t xml:space="preserve">  Purchase</t>
  </si>
  <si>
    <t>Quy trình bảo quản, lưu kho</t>
  </si>
  <si>
    <t>Preservation and storage process</t>
  </si>
  <si>
    <t>WH.03.00.03</t>
  </si>
  <si>
    <t>Warehouse</t>
  </si>
  <si>
    <t>Quy trình quản lý kho</t>
  </si>
  <si>
    <t>Warehouse management process</t>
  </si>
  <si>
    <t>Quy trình set up dây chuyền sản xuất</t>
  </si>
  <si>
    <t xml:space="preserve">   R&amp;D.02.02.09</t>
  </si>
  <si>
    <t>Material testing process</t>
  </si>
  <si>
    <t>Quy trình kiểm tra công đoạn PQC</t>
  </si>
  <si>
    <t>PQC stage inspection process</t>
  </si>
  <si>
    <t>QM.02.02.05</t>
  </si>
  <si>
    <t>Quy trình quản lý sản phẩm mẫu</t>
  </si>
  <si>
    <t>SAMPLE CONTROL PROCEDURE</t>
  </si>
  <si>
    <t>R&amp;D.02.02.02</t>
  </si>
  <si>
    <t>Quy trình xử lý khi phát sinh NG độ tin cậy</t>
  </si>
  <si>
    <t>The process when generating reliable NG</t>
  </si>
  <si>
    <t>QM.02.02.07</t>
  </si>
  <si>
    <t>Quản lí điểm thay đổi</t>
  </si>
  <si>
    <t>4M PROCEDURE</t>
  </si>
  <si>
    <t>Quy trình kiểm tra xuất hàng</t>
  </si>
  <si>
    <t>Export inspection process</t>
  </si>
  <si>
    <t>ISO.02.02.09</t>
  </si>
  <si>
    <t>Ban Iso</t>
  </si>
  <si>
    <t>Quy trình phân tích dữ liệu SPC</t>
  </si>
  <si>
    <t>Quy trình kiểm tra độ tin cậy</t>
  </si>
  <si>
    <t>Reliability test process</t>
  </si>
  <si>
    <t>QM.02.03.06</t>
  </si>
  <si>
    <t>Quy trình phân tích hệ thống đo lường</t>
  </si>
  <si>
    <t>MEASUREMENT SYSTEM ANALYSIS PROCEDURE (MSA)</t>
  </si>
  <si>
    <t>QM.02.02.13</t>
  </si>
  <si>
    <t>Quy trình xử lý phản hồi và đo lường thỏa mãn khách hàng</t>
  </si>
  <si>
    <t>NO TROUBLE FOUND PROCESS</t>
  </si>
  <si>
    <t>Quy trình đánh giá nội bộ</t>
  </si>
  <si>
    <t>INTERNAL AUDIT PROCEDURE</t>
  </si>
  <si>
    <t>Kế hoạch đánh giá nội bộ</t>
  </si>
  <si>
    <t>Internal evaluation plan</t>
  </si>
  <si>
    <t>ISO 04.04.13</t>
  </si>
  <si>
    <t>Chương trình đánh giá nội bộ</t>
  </si>
  <si>
    <t>Internal evaluation program</t>
  </si>
  <si>
    <t>ISO 04.04.14</t>
  </si>
  <si>
    <t>Báo cáo đánh giá nội bộ</t>
  </si>
  <si>
    <t>Internal evaluation report</t>
  </si>
  <si>
    <t>ISO 04.04.15</t>
  </si>
  <si>
    <t>Quy trình hành động khắc phục và phòng ngừa</t>
  </si>
  <si>
    <t>Process of corrective and preventive action</t>
  </si>
  <si>
    <t>ISO.02.04.08</t>
  </si>
  <si>
    <t>Phiếu yêu cầu  khắc phục phòng ngừa</t>
  </si>
  <si>
    <t>Request for preventive remedy</t>
  </si>
  <si>
    <t>ISO 04.04.17</t>
  </si>
  <si>
    <t>Sổ theo dõi khắc phục phòng ngừa</t>
  </si>
  <si>
    <t>Book of preventive remediation</t>
  </si>
  <si>
    <t>ISO 04.04.18</t>
  </si>
  <si>
    <t>Quy trình đánh giá phân tích rủi ro</t>
  </si>
  <si>
    <t>Risk analysis assessment process</t>
  </si>
  <si>
    <t>Quy trình truy vết</t>
  </si>
  <si>
    <t>Traceability process</t>
  </si>
  <si>
    <t>ISO.02.02.10</t>
  </si>
  <si>
    <t>14/07/2017</t>
  </si>
  <si>
    <t>Quy trình kiểm kê</t>
  </si>
  <si>
    <t>PP.02.01.03</t>
  </si>
  <si>
    <t>Qui trình đào tạo nội bộ</t>
  </si>
  <si>
    <t>QM.02.00.09</t>
  </si>
  <si>
    <t>Quy trình xin sử dụng hàng không đạt</t>
  </si>
  <si>
    <t>Intial samples inspection (or FAI)</t>
  </si>
  <si>
    <t>QM.02.00.15</t>
  </si>
  <si>
    <t>QM.02.01.08</t>
  </si>
  <si>
    <t>Quy trình hiệu chuẩn thiết bị
Procedure for Device calibration</t>
  </si>
  <si>
    <t>QM.02.00.12</t>
  </si>
  <si>
    <t>Quy trình kiểm soát thiết bị
Equipment control procedure</t>
  </si>
  <si>
    <t>RBA-E601.03.00.02</t>
  </si>
  <si>
    <t>QM.02.02.12</t>
  </si>
  <si>
    <t>Quy trình NTF (Báo cáo 8D)
No Trouble Found procedure</t>
  </si>
  <si>
    <t>Quy trình đào tạo</t>
  </si>
  <si>
    <t>Training procedure</t>
  </si>
  <si>
    <t>ISO.02.00.19</t>
  </si>
  <si>
    <t>Quy trình đánh giá nhà cung cấp
Supplier audit procedure</t>
  </si>
  <si>
    <t>Quy trình thu hôi</t>
  </si>
  <si>
    <t>Quy trình rework</t>
  </si>
  <si>
    <t>ISO.02.00.20</t>
  </si>
  <si>
    <t>ISO.02.00.21</t>
  </si>
  <si>
    <t>ISO 01.04.01</t>
  </si>
  <si>
    <t>Ban lãnh đạo</t>
  </si>
  <si>
    <t>Mục tiêu Phòng Kinh Doanh năm 2022</t>
  </si>
  <si>
    <t>SAL.01.05.01</t>
  </si>
  <si>
    <t>Sale</t>
  </si>
  <si>
    <t>Sơ đồ tổ chức</t>
  </si>
  <si>
    <t>SAL.04.06.02</t>
  </si>
  <si>
    <t>20/05/2021</t>
  </si>
  <si>
    <t>Ma trận năng lực</t>
  </si>
  <si>
    <t>SAL.04.03.03</t>
  </si>
  <si>
    <t>Quy trình theo dõi đơn hàng</t>
  </si>
  <si>
    <t>SAL.02.00.02</t>
  </si>
  <si>
    <t>Mô tả rủi ro phòng Kinh Doanh</t>
  </si>
  <si>
    <t>SAL.03.00.04</t>
  </si>
  <si>
    <t>SAL.04.00.31</t>
  </si>
  <si>
    <t>Quy trình đánh giá sự thỏa mã khách hàng</t>
  </si>
  <si>
    <t>SAL.02.00.05</t>
  </si>
  <si>
    <t>Hồ sơ thông tin khách hàng</t>
  </si>
  <si>
    <t>SAL.04.03.05</t>
  </si>
  <si>
    <t>SAL.03.02.14</t>
  </si>
  <si>
    <t>KPI Sales 2020</t>
  </si>
  <si>
    <t>SAL.04.04.04</t>
  </si>
  <si>
    <t>KPI Sales 2021</t>
  </si>
  <si>
    <t>SAL.04.05.04</t>
  </si>
  <si>
    <t>KPI Sales 2022</t>
  </si>
  <si>
    <t>SAL.04.06.04</t>
  </si>
  <si>
    <t>SAL.04.02.01</t>
  </si>
  <si>
    <t>Chương trình đào tạo hằng năm</t>
  </si>
  <si>
    <t>SAL.03.02.13</t>
  </si>
  <si>
    <t>BÀI THU HOẠCH SAU ĐÀO TẠO BỘ PHẬN KINH DOANH</t>
  </si>
  <si>
    <t xml:space="preserve">(Dành cho Nhân viên/ chuyên viên/ phó phòng)  </t>
  </si>
  <si>
    <t>SAL.04.00.06</t>
  </si>
  <si>
    <t xml:space="preserve">(Dành cho Trưởng phòng)     </t>
  </si>
  <si>
    <t>SAL.04.00.07</t>
  </si>
  <si>
    <t>CHƯƠNG TRÌNH ĐÀO TẠO NHÂN VIÊN MỚI</t>
  </si>
  <si>
    <t>BỘ PHẬN KINH DOANH</t>
  </si>
  <si>
    <t>SAL.03.02.16</t>
  </si>
  <si>
    <t xml:space="preserve">BÀI THU HOẠCH SAU ĐÀO TẠO THỬ VIỆC BỘ PHẬN KINH DOANH     </t>
  </si>
  <si>
    <t>SAL.04.00.08</t>
  </si>
  <si>
    <r>
      <t xml:space="preserve">DANH MỤC TÀI LIỆU NỘI BỘ BỘ PHẬN KINH DOANH
SALE's </t>
    </r>
    <r>
      <rPr>
        <b/>
        <i/>
        <sz val="14"/>
        <color indexed="8"/>
        <rFont val="Times New Roman"/>
        <family val="1"/>
      </rPr>
      <t>LIST OF INTERNAL DOCUMENTS</t>
    </r>
  </si>
  <si>
    <t>ISO.04.04.07</t>
  </si>
  <si>
    <t>Ms.Phương</t>
  </si>
  <si>
    <t>DANH MỤC TÀI LIỆU PHÒNG R&amp;D</t>
  </si>
  <si>
    <t>ISO.04.04.07
(2021/03/15/Rev:03)</t>
  </si>
  <si>
    <t>Lần BH/SĐ: 03/00</t>
  </si>
  <si>
    <r>
      <t>Đơn vị trực thuộc Công ty :</t>
    </r>
    <r>
      <rPr>
        <sz val="12"/>
        <color theme="1"/>
        <rFont val="Times New Roman"/>
        <family val="1"/>
      </rPr>
      <t xml:space="preserve"> Phòng nghiên cứu và phát triển</t>
    </r>
  </si>
  <si>
    <t>Người cập nhật:</t>
  </si>
  <si>
    <t>Mục tiêu phòng R&amp;D 2020</t>
  </si>
  <si>
    <t>R&amp;D.01.03.01</t>
  </si>
  <si>
    <t>16/1/2020</t>
  </si>
  <si>
    <t>Theo dõi mục tiêu phòng R&amp;D 2019</t>
  </si>
  <si>
    <t>R&amp;D.01.03.02</t>
  </si>
  <si>
    <t>R&amp;D.03.10.01</t>
  </si>
  <si>
    <t>10</t>
  </si>
  <si>
    <t>Quy trình phát triển sản phẩm</t>
  </si>
  <si>
    <t>R&amp;D.02.04.01</t>
  </si>
  <si>
    <t>Hướng dấn kiểm soát đặc tính đặc biệt (FMEA)</t>
  </si>
  <si>
    <t>R&amp;D.02.06.07</t>
  </si>
  <si>
    <t>06</t>
  </si>
  <si>
    <t>Hoạch định chất lượng sản phẩm mới</t>
  </si>
  <si>
    <t>R&amp;D.02.05.08</t>
  </si>
  <si>
    <t>R&amp;D.02.04.02</t>
  </si>
  <si>
    <t>Quy trình quản lý bản vẽ</t>
  </si>
  <si>
    <t>R&amp;D.02.05.03</t>
  </si>
  <si>
    <t>Quy trình kiểm soát điểm thay đổi (4M)</t>
  </si>
  <si>
    <t>R&amp;D.02.07.04</t>
  </si>
  <si>
    <t>07</t>
  </si>
  <si>
    <t>Quy trình phê duyệt sản phẩm</t>
  </si>
  <si>
    <t>R&amp;D.02.04.05</t>
  </si>
  <si>
    <t>R&amp;D.02.04.06</t>
  </si>
  <si>
    <t>Quy trình setup dây chuyền</t>
  </si>
  <si>
    <t>R&amp;D.02.04.09</t>
  </si>
  <si>
    <t>Quy trình hoạch định chất lượng sản phẩm mới nội bộ</t>
  </si>
  <si>
    <t>R&amp;D.02.03.10</t>
  </si>
  <si>
    <t>Bảng ma trận năng lực</t>
  </si>
  <si>
    <t>R&amp;D.03.04.01</t>
  </si>
  <si>
    <t>Chương trình đào tạo bộ phận R&amp;D</t>
  </si>
  <si>
    <t>R&amp;D.03.04.03</t>
  </si>
  <si>
    <t>R&amp;D.02.04.24</t>
  </si>
  <si>
    <t>Tool &amp; Product design DFM process</t>
  </si>
  <si>
    <t>R&amp;D.02.00.11</t>
  </si>
  <si>
    <t>Mold flow and Shrinkage Analysis Process</t>
  </si>
  <si>
    <t>R&amp;D.02.00.12</t>
  </si>
  <si>
    <t>Cavity Layout Design Process</t>
  </si>
  <si>
    <t>R&amp;D.02.00.13</t>
  </si>
  <si>
    <t>Injection Gate Design Process</t>
  </si>
  <si>
    <t>R&amp;D.02.00.14</t>
  </si>
  <si>
    <t>Overflow and Air Exhausting Slot Design Process</t>
  </si>
  <si>
    <t>R&amp;D.02.00.15</t>
  </si>
  <si>
    <t>Tooling Drawing Review Process 
(between Customer and M&amp;C)</t>
  </si>
  <si>
    <t>R&amp;D.02.00.16</t>
  </si>
  <si>
    <t>Tooling off Verification and Review process (internal)</t>
  </si>
  <si>
    <t>R&amp;D.02.00.17</t>
  </si>
  <si>
    <t>Tooling Requirements communication and DFM process (outsourcing)</t>
  </si>
  <si>
    <t>R&amp;D.02.00.18</t>
  </si>
  <si>
    <t>Tooling off Verfification &amp; Review Process (outsourcing)</t>
  </si>
  <si>
    <t>R&amp;D.02.00.19</t>
  </si>
  <si>
    <t>Validation Procedure (Quy trình thẩm định)</t>
  </si>
  <si>
    <t>R&amp;D.02.00.21</t>
  </si>
  <si>
    <t>Process Validation Protocol</t>
  </si>
  <si>
    <t>R&amp;D.02.00.22</t>
  </si>
  <si>
    <t>Installation Qualification Results (Kết quả xác nhận lắp đặt thiết bị)</t>
  </si>
  <si>
    <t>R&amp;D.03.00.04</t>
  </si>
  <si>
    <t>Operational Qualification Results (Kết quả xác nhận vận hành)</t>
  </si>
  <si>
    <t>R&amp;D.03.00.05</t>
  </si>
  <si>
    <t>Performance Qualification Result (Đánh giá quá trình hoạt động)</t>
  </si>
  <si>
    <t>R&amp;D.03.00.06</t>
  </si>
  <si>
    <t>Validation Final Report (Báo cáo Thẩm định)</t>
  </si>
  <si>
    <t>R&amp;D.03.00.07</t>
  </si>
  <si>
    <t>Quy trình chuyển giao sản phảm sản xuất hàng loạt</t>
  </si>
  <si>
    <t>R&amp;D.02.00.23</t>
  </si>
  <si>
    <t xml:space="preserve">DANH MỤC TÀI LIỆU </t>
  </si>
  <si>
    <t>MS : ISO.04.03.00</t>
  </si>
  <si>
    <t>Lần BH/SĐ : 03</t>
  </si>
  <si>
    <t>Ngày phát hành: 02/04/2022</t>
  </si>
  <si>
    <t>Bộ phận : CNC</t>
  </si>
  <si>
    <r>
      <t>Người cập nhật:</t>
    </r>
    <r>
      <rPr>
        <i/>
        <sz val="12"/>
        <color theme="1"/>
        <rFont val="Times New Roman"/>
        <family val="1"/>
      </rPr>
      <t xml:space="preserve"> Nguyễn Trọng Đức</t>
    </r>
  </si>
  <si>
    <t>CNC.02.03.00</t>
  </si>
  <si>
    <t>CNC</t>
  </si>
  <si>
    <t>Ma trận năng Lực</t>
  </si>
  <si>
    <t>CNC.04.03.10</t>
  </si>
  <si>
    <t>Kế Hoạch đào tạo</t>
  </si>
  <si>
    <t>CNC.03.03.01</t>
  </si>
  <si>
    <t>Quy trình đào tạoCNV mới</t>
  </si>
  <si>
    <t>CNC.02.03.03-1</t>
  </si>
  <si>
    <t>Quy trình đào tạo bồ dưỡng</t>
  </si>
  <si>
    <t>CNC.02.03.03-2</t>
  </si>
  <si>
    <t>Chương trình đòa tạo bộ phận CNC</t>
  </si>
  <si>
    <t>Bài kiểm tra sau đào tạo CNC</t>
  </si>
  <si>
    <t>CNC.04.00.07</t>
  </si>
  <si>
    <t>CNC.04.00.05</t>
  </si>
  <si>
    <t>Quản lý danh sách chứng nhận đào tạo</t>
  </si>
  <si>
    <t>CNC.04.00.05-1</t>
  </si>
  <si>
    <t>Tiêu chuẩn thao tác model HEG Housing-CNC1</t>
  </si>
  <si>
    <t>CNC.03.02.43-1</t>
  </si>
  <si>
    <t>Tiêu chuẩn thao tác model HEG Housing-CNC2</t>
  </si>
  <si>
    <t>CNC.03.02.43-2</t>
  </si>
  <si>
    <t>Hướng dẫn thao tác model HEG Housing-CNC1</t>
  </si>
  <si>
    <t>CNC.03.02.43-3</t>
  </si>
  <si>
    <t>Hướng dẫn thao tác model HEG Housing-CNC2</t>
  </si>
  <si>
    <t>CNC.03.02.43-4</t>
  </si>
  <si>
    <t xml:space="preserve">Quy trình Quản lý thiết bị </t>
  </si>
  <si>
    <t>CNC.02.03.02</t>
  </si>
  <si>
    <t>Quy trình quản lý bất thường gãy dao</t>
  </si>
  <si>
    <t>CNC.02.00.04</t>
  </si>
  <si>
    <t>Tình trạng sử dụng đồ gá jig cnc</t>
  </si>
  <si>
    <t>CNC.04.00.42</t>
  </si>
  <si>
    <t>Check sheet máy CNC</t>
  </si>
  <si>
    <t>CNC.04.03.02</t>
  </si>
  <si>
    <t>Đánh giá rủi ro bộ phận CNC</t>
  </si>
  <si>
    <t>CNC.04.03.09</t>
  </si>
  <si>
    <t>Danh sách máy bộ phận cnc</t>
  </si>
  <si>
    <t>CNC.04.00.10</t>
  </si>
  <si>
    <t>Thay đổi 4M</t>
  </si>
  <si>
    <t>CNC.04.00.08</t>
  </si>
  <si>
    <t>Quy trình kiểm soát công đoạn</t>
  </si>
  <si>
    <t>Quy định chứng nhận năng lực cho từng vị trí</t>
  </si>
  <si>
    <t>Quy định lưu giữ hồ sơ tài liệu</t>
  </si>
  <si>
    <t>Document control procedure</t>
  </si>
  <si>
    <t>Regulation for keeping records/documents</t>
  </si>
  <si>
    <t>Quy trình kiểm soát hồ sơ</t>
  </si>
  <si>
    <t>Document record procedure</t>
  </si>
  <si>
    <t>Quy trình lập KPI &amp; Chính sách chất lượng</t>
  </si>
  <si>
    <t>ISO.02.00.01</t>
  </si>
  <si>
    <t>KPI &amp; quality policy set up process</t>
  </si>
  <si>
    <t>Tiêu chuẩn quản lý môi trường sản phẩm</t>
  </si>
  <si>
    <t>Check sheet nhiệt độ độ ẩm</t>
  </si>
  <si>
    <t>ISO 04.03.05</t>
  </si>
  <si>
    <t>Operation environment management standards</t>
  </si>
  <si>
    <t>Check sheet quản lý độ sáng</t>
  </si>
  <si>
    <t>Leader's review gủidlines</t>
  </si>
  <si>
    <t>Recruitment and training process</t>
  </si>
  <si>
    <t>Device management process</t>
  </si>
  <si>
    <t xml:space="preserve">Check sheet brightness management </t>
  </si>
  <si>
    <t>Check sheet temperature and humidity management</t>
  </si>
  <si>
    <r>
      <t>LINE</t>
    </r>
    <r>
      <rPr>
        <sz val="11"/>
        <color theme="1"/>
        <rFont val="Times New Roman"/>
        <family val="1"/>
      </rPr>
      <t xml:space="preserve"> </t>
    </r>
    <r>
      <rPr>
        <sz val="11"/>
        <color rgb="FF5B9BD5"/>
        <rFont val="Times New Roman"/>
        <family val="1"/>
      </rPr>
      <t>SETUP PROCEDURE</t>
    </r>
  </si>
  <si>
    <r>
      <t>DATA ANALYSIS PROCEDURE</t>
    </r>
    <r>
      <rPr>
        <sz val="11"/>
        <color rgb="FF1F497D"/>
        <rFont val="Times New Roman"/>
        <family val="1"/>
      </rPr>
      <t xml:space="preserve"> </t>
    </r>
  </si>
  <si>
    <t>QM.02.04.01</t>
  </si>
  <si>
    <t>QM.02.04.04</t>
  </si>
  <si>
    <t>QM.02.04.08</t>
  </si>
  <si>
    <t>ISO.02.05.04</t>
  </si>
  <si>
    <t>ISO.02.09.05</t>
  </si>
  <si>
    <t xml:space="preserve">    ISO.03.01.02</t>
  </si>
  <si>
    <t xml:space="preserve">ISO 03.01.02  </t>
  </si>
  <si>
    <t>QM.02.03.12</t>
  </si>
  <si>
    <t>QC</t>
  </si>
  <si>
    <t>Quy trình kiểm soát và giám sát TB đo lường</t>
  </si>
  <si>
    <t>Control of Monitoring and Measuring Equipment Procedure</t>
  </si>
  <si>
    <t>Quy trình quản lí thiết bị</t>
  </si>
  <si>
    <t>Equipment control procedure</t>
  </si>
  <si>
    <t>R&amp;D.02.07.07</t>
  </si>
  <si>
    <t>Quy trình quản lý tồn kho trên 6 tháng</t>
  </si>
  <si>
    <t>Store control process over 6 months</t>
  </si>
  <si>
    <t>QM.02.03.02</t>
  </si>
  <si>
    <t>Quy trình xử lý NG công đoạn</t>
  </si>
  <si>
    <t>Quy trình xử lý NG IQC</t>
  </si>
  <si>
    <t>NG IQC MANAGEMENT PROCESS</t>
  </si>
  <si>
    <t>NG PQC MANAGEMENT PROCESS</t>
  </si>
  <si>
    <t>Quy trình xử lý NG xuất hàng</t>
  </si>
  <si>
    <t>NG OQC MANAGEMENT PROCESS</t>
  </si>
  <si>
    <t>ISO.02.03.09</t>
  </si>
  <si>
    <t>QUY TRÌNH  XỬ LÝ BẤT THƯỜNG THIẾT BỊ</t>
  </si>
  <si>
    <t>Procedure for Equipment Abnormal</t>
  </si>
  <si>
    <t>R&amp;D.02.09.04</t>
  </si>
  <si>
    <t>ISO.02.05.06</t>
  </si>
  <si>
    <t>QM.02.01.05</t>
  </si>
  <si>
    <t>Quy trình tái sản xuất</t>
  </si>
  <si>
    <t>Quy trình triển khai tiêu chuẩn với nhà cung cấp</t>
  </si>
  <si>
    <t>Quy trình đảm bảo chất lượng hàng phát triển</t>
  </si>
  <si>
    <t>Quy trình quản lý mẫu giới hạn</t>
  </si>
  <si>
    <t>Quy trình quản lí bản vẽ</t>
  </si>
  <si>
    <t>Quy trình chuyển giao sản xuất hàng loạt</t>
  </si>
  <si>
    <t>Quy trình FIFO</t>
  </si>
  <si>
    <t>Quy trình phản hồi và đo lường thỏa mãn khách hàng</t>
  </si>
  <si>
    <t>Kinh doanh</t>
  </si>
  <si>
    <t>WH.03.00.02</t>
  </si>
  <si>
    <t>ISO.03.00.06</t>
  </si>
  <si>
    <t>PUR.02.00.08</t>
  </si>
  <si>
    <t>Mua bán</t>
  </si>
  <si>
    <t>QM.03.00.15</t>
  </si>
  <si>
    <t>R&amp;D.02.06.03</t>
  </si>
  <si>
    <t>ISO.03.00.07</t>
  </si>
  <si>
    <t>ISO.02.05.02</t>
  </si>
  <si>
    <t>ISO.04.09.07</t>
  </si>
  <si>
    <t>Hình thức triển khai</t>
  </si>
  <si>
    <t>Email</t>
  </si>
  <si>
    <t>Bộ phận tiếp nhận</t>
  </si>
  <si>
    <t>ISO 04.09.07</t>
  </si>
  <si>
    <t>HR</t>
  </si>
  <si>
    <t>Utility</t>
  </si>
  <si>
    <t>RD</t>
  </si>
  <si>
    <t>PP</t>
  </si>
  <si>
    <t>PUR</t>
  </si>
  <si>
    <t>PUR, QC</t>
  </si>
  <si>
    <t>PROD</t>
  </si>
  <si>
    <t>Báo cáo đối sách cải tiến</t>
  </si>
  <si>
    <t>18/11/2020</t>
  </si>
  <si>
    <t>NCR sản phẩm</t>
  </si>
  <si>
    <t>NCR thiết bị</t>
  </si>
  <si>
    <t>Product NCR</t>
  </si>
  <si>
    <t>Equipment NCR</t>
  </si>
  <si>
    <t>Tất cả Tất cả các bộ phận</t>
  </si>
  <si>
    <t>Tất cả các bộ phận</t>
  </si>
  <si>
    <t>QM.02.03.10</t>
  </si>
  <si>
    <t>30/06/2021</t>
  </si>
  <si>
    <t>Ngày cập nhật :03/07/2022</t>
  </si>
  <si>
    <t>Tiêu chuẩn nguyên vật liệu IQC</t>
  </si>
  <si>
    <t>IQC</t>
  </si>
  <si>
    <t>Tiêu chuẩn hàng gia công IQC</t>
  </si>
  <si>
    <t>Checksheet nguyên vật liệu IQC</t>
  </si>
  <si>
    <t>Checksheet hàng gia công IQC</t>
  </si>
  <si>
    <t>HDKT IQC</t>
  </si>
  <si>
    <t>Tiêu chuẩn công đoạn PQC</t>
  </si>
  <si>
    <t>PQC</t>
  </si>
  <si>
    <t>Checksheet công đoạn PQC</t>
  </si>
  <si>
    <t>HDKT PQC</t>
  </si>
  <si>
    <t>Tiêu chuẩn xuất hàng OQC</t>
  </si>
  <si>
    <t>OQC</t>
  </si>
  <si>
    <t>Checksheet xuất hàng OQC</t>
  </si>
  <si>
    <t>HDKT OQC</t>
  </si>
  <si>
    <t>Tiêu chuẩn kiểm tra độ tin cậy</t>
  </si>
  <si>
    <t>Checksheet kiểm tra độ tin cậy</t>
  </si>
  <si>
    <t>HDKT ĐTC</t>
  </si>
  <si>
    <t>QA</t>
  </si>
  <si>
    <t>ĐTC</t>
  </si>
  <si>
    <t>NCR summary List</t>
  </si>
  <si>
    <t>QM.02.00.16</t>
  </si>
  <si>
    <t>QM.02.00.17</t>
  </si>
  <si>
    <t xml:space="preserve">XỬ LÝ BẤT THƯỜNG CÔNG ĐOẠN XUẤT HÀNG SANG NHÀ CUNG CẤP
</t>
  </si>
  <si>
    <t xml:space="preserve">QUY TRÌNH  XỬ LÝ NG HIỆU CHUẨN </t>
  </si>
  <si>
    <t>Hướng Dẫn Xử Lý Bất Thường</t>
  </si>
  <si>
    <t>Đối sách cải tiến</t>
  </si>
  <si>
    <t>QM.02.00.18</t>
  </si>
  <si>
    <t>QUY TRÌNH KIỂM TRA HÀNG OQC( XUẤT SANG NHÀ CUNG CẤP)</t>
  </si>
  <si>
    <t>Chương trình đào tạo nhân viên mới-QC</t>
  </si>
  <si>
    <t>Chương trình đào tạo nhân viên mới casting</t>
  </si>
  <si>
    <t>01.01.2018</t>
  </si>
  <si>
    <t>CTT.03.00.10</t>
  </si>
  <si>
    <t>CNC.03.00.10</t>
  </si>
  <si>
    <t>Quy Trình Mẫu Chuẩn Từ Khách Hàng</t>
  </si>
  <si>
    <t>Chính sách môi trường sản phẩm</t>
  </si>
  <si>
    <t>Product environment goals</t>
  </si>
  <si>
    <t>Product environment Policy</t>
  </si>
  <si>
    <t>Mục tiêu môi trường sản phẩm</t>
  </si>
  <si>
    <t>Báo cáo QPA công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</si>
</sst>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3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7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name val="Times New Roman"/>
      <family val="1"/>
    </font>
    <font>
      <sz val="10"/>
      <name val="MS UI Gothic"/>
      <family val="3"/>
      <charset val="128"/>
    </font>
    <font>
      <sz val="11"/>
      <name val="MS UI Gothic"/>
      <family val="3"/>
      <charset val="128"/>
    </font>
    <font>
      <b/>
      <i/>
      <sz val="11"/>
      <color theme="1"/>
      <name val="Times New Roman"/>
      <family val="1"/>
    </font>
    <font>
      <b/>
      <sz val="14"/>
      <color indexed="8"/>
      <name val="Times New Roman"/>
      <family val="1"/>
    </font>
    <font>
      <b/>
      <i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1"/>
      <color rgb="FF5B9BD5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name val="Calibri Light"/>
      <family val="1"/>
      <scheme val="major"/>
    </font>
    <font>
      <i/>
      <sz val="13"/>
      <color theme="1"/>
      <name val="Times New Roman"/>
      <family val="1"/>
    </font>
    <font>
      <b/>
      <i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color rgb="FF1F497D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double">
        <color indexed="64"/>
      </right>
      <top/>
      <bottom style="mediumDashed">
        <color indexed="64"/>
      </bottom>
      <diagonal/>
    </border>
    <border>
      <left style="double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double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Dashed">
        <color indexed="64"/>
      </bottom>
      <diagonal/>
    </border>
    <border>
      <left/>
      <right style="double">
        <color indexed="64"/>
      </right>
      <top style="dott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indexed="64"/>
      </bottom>
      <diagonal/>
    </border>
    <border>
      <left style="double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214">
    <xf numFmtId="0" fontId="0" fillId="0" borderId="0" xfId="0"/>
    <xf numFmtId="0" fontId="4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7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vertical="center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3" fillId="0" borderId="16" xfId="0" applyFont="1" applyBorder="1"/>
    <xf numFmtId="0" fontId="7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14" fillId="0" borderId="16" xfId="0" applyFont="1" applyFill="1" applyBorder="1" applyAlignment="1">
      <alignment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center" vertical="center" wrapText="1"/>
    </xf>
    <xf numFmtId="14" fontId="14" fillId="0" borderId="16" xfId="0" applyNumberFormat="1" applyFont="1" applyFill="1" applyBorder="1" applyAlignment="1">
      <alignment horizontal="center" vertical="center" wrapText="1"/>
    </xf>
    <xf numFmtId="0" fontId="14" fillId="0" borderId="16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5" fillId="0" borderId="16" xfId="0" applyFont="1" applyFill="1" applyBorder="1" applyAlignment="1">
      <alignment horizontal="center"/>
    </xf>
    <xf numFmtId="0" fontId="15" fillId="0" borderId="16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15" fillId="0" borderId="16" xfId="0" applyFont="1" applyFill="1" applyBorder="1" applyAlignment="1">
      <alignment horizontal="left" vertical="top"/>
    </xf>
    <xf numFmtId="0" fontId="14" fillId="0" borderId="16" xfId="0" applyFont="1" applyFill="1" applyBorder="1" applyAlignment="1">
      <alignment horizontal="left" vertical="top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14" fontId="14" fillId="0" borderId="16" xfId="0" applyNumberFormat="1" applyFont="1" applyBorder="1" applyAlignment="1">
      <alignment horizontal="center" vertical="center" wrapText="1"/>
    </xf>
    <xf numFmtId="0" fontId="14" fillId="0" borderId="16" xfId="0" quotePrefix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14" fontId="16" fillId="0" borderId="16" xfId="0" applyNumberFormat="1" applyFont="1" applyBorder="1" applyAlignment="1">
      <alignment horizontal="center" vertical="center" wrapText="1"/>
    </xf>
    <xf numFmtId="0" fontId="14" fillId="0" borderId="16" xfId="0" quotePrefix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28" xfId="1" applyFont="1" applyBorder="1" applyAlignment="1">
      <alignment horizontal="center" vertical="center" wrapText="1"/>
    </xf>
    <xf numFmtId="0" fontId="2" fillId="0" borderId="29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2" fillId="0" borderId="16" xfId="1" applyFont="1" applyBorder="1" applyAlignment="1">
      <alignment horizontal="center" vertical="center" wrapText="1"/>
    </xf>
    <xf numFmtId="14" fontId="2" fillId="0" borderId="31" xfId="1" applyNumberFormat="1" applyFont="1" applyBorder="1" applyAlignment="1">
      <alignment horizontal="left" vertical="center"/>
    </xf>
    <xf numFmtId="0" fontId="2" fillId="0" borderId="31" xfId="1" applyFont="1" applyBorder="1" applyAlignment="1">
      <alignment vertical="center"/>
    </xf>
    <xf numFmtId="0" fontId="2" fillId="0" borderId="34" xfId="1" applyFont="1" applyBorder="1" applyAlignment="1">
      <alignment horizontal="center" vertical="center" wrapText="1"/>
    </xf>
    <xf numFmtId="0" fontId="2" fillId="0" borderId="35" xfId="1" applyFont="1" applyBorder="1" applyAlignment="1">
      <alignment vertical="center"/>
    </xf>
    <xf numFmtId="0" fontId="5" fillId="3" borderId="16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14" fontId="2" fillId="0" borderId="43" xfId="1" applyNumberFormat="1" applyFont="1" applyBorder="1" applyAlignment="1">
      <alignment vertical="center"/>
    </xf>
    <xf numFmtId="0" fontId="2" fillId="0" borderId="44" xfId="1" quotePrefix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14" fontId="2" fillId="0" borderId="49" xfId="1" applyNumberFormat="1" applyFont="1" applyBorder="1" applyAlignment="1">
      <alignment vertical="center"/>
    </xf>
    <xf numFmtId="0" fontId="2" fillId="0" borderId="50" xfId="1" quotePrefix="1" applyFont="1" applyBorder="1" applyAlignment="1">
      <alignment horizontal="center" vertical="center"/>
    </xf>
    <xf numFmtId="0" fontId="2" fillId="0" borderId="43" xfId="1" applyFont="1" applyBorder="1" applyAlignment="1">
      <alignment vertical="center"/>
    </xf>
    <xf numFmtId="0" fontId="2" fillId="0" borderId="51" xfId="1" applyFont="1" applyBorder="1" applyAlignment="1">
      <alignment vertical="center"/>
    </xf>
    <xf numFmtId="0" fontId="2" fillId="0" borderId="52" xfId="1" applyFont="1" applyBorder="1" applyAlignment="1">
      <alignment vertical="center"/>
    </xf>
    <xf numFmtId="0" fontId="2" fillId="0" borderId="53" xfId="1" applyFont="1" applyBorder="1" applyAlignment="1">
      <alignment vertical="center"/>
    </xf>
    <xf numFmtId="0" fontId="5" fillId="3" borderId="16" xfId="1" applyFont="1" applyFill="1" applyBorder="1" applyAlignment="1">
      <alignment horizontal="center" vertical="center" wrapText="1"/>
    </xf>
    <xf numFmtId="14" fontId="2" fillId="0" borderId="49" xfId="1" applyNumberFormat="1" applyFont="1" applyBorder="1" applyAlignment="1">
      <alignment horizontal="center" vertical="center"/>
    </xf>
    <xf numFmtId="14" fontId="2" fillId="0" borderId="43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left" vertical="center" wrapText="1"/>
    </xf>
    <xf numFmtId="14" fontId="24" fillId="0" borderId="16" xfId="0" applyNumberFormat="1" applyFont="1" applyFill="1" applyBorder="1" applyAlignment="1">
      <alignment horizontal="center" vertical="center" wrapText="1"/>
    </xf>
    <xf numFmtId="0" fontId="24" fillId="0" borderId="16" xfId="0" quotePrefix="1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left"/>
    </xf>
    <xf numFmtId="0" fontId="25" fillId="0" borderId="16" xfId="0" quotePrefix="1" applyFont="1" applyFill="1" applyBorder="1" applyAlignment="1">
      <alignment horizontal="center"/>
    </xf>
    <xf numFmtId="0" fontId="25" fillId="0" borderId="16" xfId="0" applyFont="1" applyFill="1" applyBorder="1" applyAlignment="1">
      <alignment horizontal="left" wrapText="1"/>
    </xf>
    <xf numFmtId="0" fontId="25" fillId="0" borderId="16" xfId="0" applyFont="1" applyFill="1" applyBorder="1" applyAlignment="1">
      <alignment horizontal="center"/>
    </xf>
    <xf numFmtId="14" fontId="25" fillId="0" borderId="16" xfId="0" applyNumberFormat="1" applyFont="1" applyFill="1" applyBorder="1" applyAlignment="1">
      <alignment horizontal="center"/>
    </xf>
    <xf numFmtId="14" fontId="26" fillId="0" borderId="1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30" fillId="0" borderId="16" xfId="0" quotePrefix="1" applyFont="1" applyBorder="1" applyAlignment="1">
      <alignment horizontal="center" vertical="center"/>
    </xf>
    <xf numFmtId="14" fontId="14" fillId="0" borderId="16" xfId="0" quotePrefix="1" applyNumberFormat="1" applyFont="1" applyBorder="1" applyAlignment="1">
      <alignment horizontal="center" vertical="center" wrapText="1"/>
    </xf>
    <xf numFmtId="0" fontId="23" fillId="0" borderId="16" xfId="0" applyFont="1" applyFill="1" applyBorder="1" applyAlignment="1">
      <alignment vertical="center" wrapText="1"/>
    </xf>
    <xf numFmtId="0" fontId="2" fillId="0" borderId="23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5" fillId="0" borderId="16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justify" vertical="center"/>
    </xf>
    <xf numFmtId="0" fontId="0" fillId="0" borderId="0" xfId="0" applyFont="1" applyFill="1"/>
    <xf numFmtId="0" fontId="2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16" xfId="0" quotePrefix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horizontal="center" vertical="center" wrapText="1"/>
    </xf>
    <xf numFmtId="0" fontId="2" fillId="0" borderId="23" xfId="0" quotePrefix="1" applyFont="1" applyFill="1" applyBorder="1" applyAlignment="1">
      <alignment horizontal="center" vertical="center" wrapText="1"/>
    </xf>
    <xf numFmtId="0" fontId="2" fillId="0" borderId="25" xfId="0" quotePrefix="1" applyFont="1" applyFill="1" applyBorder="1" applyAlignment="1">
      <alignment horizontal="center" vertical="center" wrapText="1"/>
    </xf>
    <xf numFmtId="164" fontId="2" fillId="0" borderId="23" xfId="0" applyNumberFormat="1" applyFont="1" applyFill="1" applyBorder="1" applyAlignment="1">
      <alignment horizontal="center" vertical="center" wrapText="1"/>
    </xf>
    <xf numFmtId="164" fontId="2" fillId="0" borderId="25" xfId="0" applyNumberFormat="1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center" vertical="center" wrapText="1"/>
    </xf>
    <xf numFmtId="164" fontId="2" fillId="4" borderId="16" xfId="0" applyNumberFormat="1" applyFont="1" applyFill="1" applyBorder="1" applyAlignment="1">
      <alignment horizontal="center" vertical="center" wrapText="1"/>
    </xf>
    <xf numFmtId="0" fontId="2" fillId="4" borderId="16" xfId="0" quotePrefix="1" applyFont="1" applyFill="1" applyBorder="1" applyAlignment="1">
      <alignment horizontal="center" vertical="center" wrapText="1"/>
    </xf>
    <xf numFmtId="14" fontId="2" fillId="0" borderId="16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vertical="center" wrapText="1"/>
    </xf>
    <xf numFmtId="0" fontId="2" fillId="5" borderId="16" xfId="0" quotePrefix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64" fontId="2" fillId="5" borderId="16" xfId="0" applyNumberFormat="1" applyFont="1" applyFill="1" applyBorder="1" applyAlignment="1">
      <alignment horizontal="center" vertical="center" wrapText="1"/>
    </xf>
    <xf numFmtId="0" fontId="2" fillId="5" borderId="16" xfId="0" quotePrefix="1" applyFont="1" applyFill="1" applyBorder="1" applyAlignment="1">
      <alignment horizontal="left" vertical="center" wrapText="1"/>
    </xf>
    <xf numFmtId="0" fontId="2" fillId="6" borderId="16" xfId="0" applyFont="1" applyFill="1" applyBorder="1" applyAlignment="1">
      <alignment vertical="center" wrapText="1"/>
    </xf>
    <xf numFmtId="0" fontId="2" fillId="6" borderId="16" xfId="0" quotePrefix="1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164" fontId="2" fillId="6" borderId="16" xfId="0" applyNumberFormat="1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vertical="center" wrapText="1"/>
    </xf>
    <xf numFmtId="0" fontId="2" fillId="7" borderId="16" xfId="0" quotePrefix="1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2" fillId="0" borderId="40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 wrapText="1"/>
    </xf>
    <xf numFmtId="0" fontId="2" fillId="0" borderId="42" xfId="1" applyFont="1" applyFill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/>
    </xf>
    <xf numFmtId="0" fontId="2" fillId="0" borderId="46" xfId="1" applyFont="1" applyFill="1" applyBorder="1" applyAlignment="1">
      <alignment horizontal="center" vertical="center" wrapText="1"/>
    </xf>
    <xf numFmtId="0" fontId="2" fillId="0" borderId="47" xfId="1" applyFont="1" applyFill="1" applyBorder="1" applyAlignment="1">
      <alignment horizontal="center" vertical="center" wrapText="1"/>
    </xf>
    <xf numFmtId="0" fontId="2" fillId="0" borderId="48" xfId="1" applyFont="1" applyFill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 wrapText="1"/>
    </xf>
    <xf numFmtId="0" fontId="22" fillId="0" borderId="24" xfId="1" applyFont="1" applyBorder="1" applyAlignment="1">
      <alignment horizontal="center" vertical="center" wrapText="1"/>
    </xf>
    <xf numFmtId="0" fontId="22" fillId="0" borderId="33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323850</xdr:colOff>
      <xdr:row>0</xdr:row>
      <xdr:rowOff>333374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714375" cy="30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259080</xdr:rowOff>
    </xdr:from>
    <xdr:to>
      <xdr:col>3</xdr:col>
      <xdr:colOff>0</xdr:colOff>
      <xdr:row>3</xdr:row>
      <xdr:rowOff>45720</xdr:rowOff>
    </xdr:to>
    <xdr:pic>
      <xdr:nvPicPr>
        <xdr:cNvPr id="2" name="Picture 2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259080"/>
          <a:ext cx="1253490" cy="95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0</xdr:row>
      <xdr:rowOff>192482</xdr:rowOff>
    </xdr:from>
    <xdr:to>
      <xdr:col>19</xdr:col>
      <xdr:colOff>364708</xdr:colOff>
      <xdr:row>6</xdr:row>
      <xdr:rowOff>1441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192482"/>
          <a:ext cx="4898608" cy="2256884"/>
        </a:xfrm>
        <a:prstGeom prst="rect">
          <a:avLst/>
        </a:prstGeom>
      </xdr:spPr>
    </xdr:pic>
    <xdr:clientData/>
  </xdr:twoCellAnchor>
  <xdr:twoCellAnchor editAs="oneCell">
    <xdr:from>
      <xdr:col>11</xdr:col>
      <xdr:colOff>352060</xdr:colOff>
      <xdr:row>6</xdr:row>
      <xdr:rowOff>213360</xdr:rowOff>
    </xdr:from>
    <xdr:to>
      <xdr:col>19</xdr:col>
      <xdr:colOff>320039</xdr:colOff>
      <xdr:row>10</xdr:row>
      <xdr:rowOff>233873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4935" y="2661285"/>
          <a:ext cx="4844779" cy="2039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259080</xdr:rowOff>
    </xdr:from>
    <xdr:to>
      <xdr:col>3</xdr:col>
      <xdr:colOff>0</xdr:colOff>
      <xdr:row>3</xdr:row>
      <xdr:rowOff>45720</xdr:rowOff>
    </xdr:to>
    <xdr:pic>
      <xdr:nvPicPr>
        <xdr:cNvPr id="2" name="Picture 2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259080"/>
          <a:ext cx="1253490" cy="95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0</xdr:row>
      <xdr:rowOff>192482</xdr:rowOff>
    </xdr:from>
    <xdr:to>
      <xdr:col>19</xdr:col>
      <xdr:colOff>364708</xdr:colOff>
      <xdr:row>6</xdr:row>
      <xdr:rowOff>1441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192482"/>
          <a:ext cx="4898608" cy="2256884"/>
        </a:xfrm>
        <a:prstGeom prst="rect">
          <a:avLst/>
        </a:prstGeom>
      </xdr:spPr>
    </xdr:pic>
    <xdr:clientData/>
  </xdr:twoCellAnchor>
  <xdr:twoCellAnchor editAs="oneCell">
    <xdr:from>
      <xdr:col>11</xdr:col>
      <xdr:colOff>352060</xdr:colOff>
      <xdr:row>6</xdr:row>
      <xdr:rowOff>213360</xdr:rowOff>
    </xdr:from>
    <xdr:to>
      <xdr:col>19</xdr:col>
      <xdr:colOff>320039</xdr:colOff>
      <xdr:row>10</xdr:row>
      <xdr:rowOff>233873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4935" y="2661285"/>
          <a:ext cx="4844779" cy="2039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E9" sqref="E9"/>
    </sheetView>
  </sheetViews>
  <sheetFormatPr defaultRowHeight="15" x14ac:dyDescent="0.25"/>
  <cols>
    <col min="2" max="2" width="45.28515625" customWidth="1"/>
    <col min="3" max="4" width="14.140625" customWidth="1"/>
    <col min="5" max="5" width="14.85546875" customWidth="1"/>
    <col min="6" max="6" width="15.140625" customWidth="1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1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2</v>
      </c>
      <c r="F2" s="124"/>
    </row>
    <row r="3" spans="1:6" ht="24" customHeight="1" thickTop="1" x14ac:dyDescent="0.25">
      <c r="A3" s="18" t="s">
        <v>212</v>
      </c>
      <c r="B3" s="1"/>
      <c r="C3" s="18"/>
      <c r="D3" s="18"/>
      <c r="E3" s="18"/>
      <c r="F3" s="18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4</v>
      </c>
      <c r="B5" s="123"/>
    </row>
    <row r="6" spans="1:6" ht="24" customHeight="1" thickBot="1" x14ac:dyDescent="0.3">
      <c r="A6" s="122" t="s">
        <v>211</v>
      </c>
      <c r="B6" s="122"/>
    </row>
    <row r="7" spans="1:6" ht="30" thickTop="1" thickBot="1" x14ac:dyDescent="0.3">
      <c r="A7" s="2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</row>
    <row r="8" spans="1:6" ht="32.25" customHeight="1" thickBot="1" x14ac:dyDescent="0.3">
      <c r="A8" s="5" t="s">
        <v>11</v>
      </c>
      <c r="B8" s="6" t="s">
        <v>12</v>
      </c>
      <c r="C8" s="7" t="s">
        <v>13</v>
      </c>
      <c r="D8" s="8" t="s">
        <v>14</v>
      </c>
      <c r="E8" s="9">
        <v>42736</v>
      </c>
      <c r="F8" s="10">
        <v>0</v>
      </c>
    </row>
    <row r="9" spans="1:6" ht="32.25" customHeight="1" thickBot="1" x14ac:dyDescent="0.3">
      <c r="A9" s="5" t="s">
        <v>15</v>
      </c>
      <c r="B9" s="6" t="s">
        <v>16</v>
      </c>
      <c r="C9" s="7" t="s">
        <v>17</v>
      </c>
      <c r="D9" s="8" t="s">
        <v>14</v>
      </c>
      <c r="E9" s="9">
        <v>42739</v>
      </c>
      <c r="F9" s="10">
        <v>0</v>
      </c>
    </row>
    <row r="10" spans="1:6" ht="32.25" customHeight="1" thickBot="1" x14ac:dyDescent="0.3">
      <c r="A10" s="5" t="s">
        <v>18</v>
      </c>
      <c r="B10" s="6" t="s">
        <v>19</v>
      </c>
      <c r="C10" s="7" t="s">
        <v>20</v>
      </c>
      <c r="D10" s="8" t="s">
        <v>14</v>
      </c>
      <c r="E10" s="9">
        <v>42739</v>
      </c>
      <c r="F10" s="10">
        <v>0</v>
      </c>
    </row>
    <row r="11" spans="1:6" ht="32.25" customHeight="1" thickBot="1" x14ac:dyDescent="0.3">
      <c r="A11" s="5" t="s">
        <v>21</v>
      </c>
      <c r="B11" s="6" t="s">
        <v>22</v>
      </c>
      <c r="C11" s="7" t="s">
        <v>23</v>
      </c>
      <c r="D11" s="8" t="s">
        <v>14</v>
      </c>
      <c r="E11" s="9">
        <v>42739</v>
      </c>
      <c r="F11" s="10">
        <v>0</v>
      </c>
    </row>
    <row r="12" spans="1:6" ht="32.25" customHeight="1" thickBot="1" x14ac:dyDescent="0.3">
      <c r="A12" s="5" t="s">
        <v>24</v>
      </c>
      <c r="B12" s="6" t="s">
        <v>25</v>
      </c>
      <c r="C12" s="7" t="s">
        <v>26</v>
      </c>
      <c r="D12" s="8" t="s">
        <v>14</v>
      </c>
      <c r="E12" s="9">
        <v>42739</v>
      </c>
      <c r="F12" s="10">
        <v>0</v>
      </c>
    </row>
    <row r="13" spans="1:6" ht="32.25" customHeight="1" thickBot="1" x14ac:dyDescent="0.3">
      <c r="A13" s="5" t="s">
        <v>27</v>
      </c>
      <c r="B13" s="6" t="s">
        <v>28</v>
      </c>
      <c r="C13" s="7" t="s">
        <v>29</v>
      </c>
      <c r="D13" s="8" t="s">
        <v>14</v>
      </c>
      <c r="E13" s="9">
        <v>42739</v>
      </c>
      <c r="F13" s="10">
        <v>0</v>
      </c>
    </row>
    <row r="14" spans="1:6" ht="32.25" customHeight="1" thickBot="1" x14ac:dyDescent="0.3">
      <c r="A14" s="5" t="s">
        <v>30</v>
      </c>
      <c r="B14" s="6" t="s">
        <v>31</v>
      </c>
      <c r="C14" s="7" t="s">
        <v>32</v>
      </c>
      <c r="D14" s="8" t="s">
        <v>14</v>
      </c>
      <c r="E14" s="9">
        <v>42739</v>
      </c>
      <c r="F14" s="10">
        <v>0</v>
      </c>
    </row>
    <row r="15" spans="1:6" ht="32.25" customHeight="1" thickBot="1" x14ac:dyDescent="0.3">
      <c r="A15" s="5" t="s">
        <v>33</v>
      </c>
      <c r="B15" s="6" t="s">
        <v>34</v>
      </c>
      <c r="C15" s="7" t="s">
        <v>35</v>
      </c>
      <c r="D15" s="8" t="s">
        <v>14</v>
      </c>
      <c r="E15" s="9">
        <v>42739</v>
      </c>
      <c r="F15" s="10">
        <v>0</v>
      </c>
    </row>
    <row r="16" spans="1:6" ht="32.25" customHeight="1" thickBot="1" x14ac:dyDescent="0.3">
      <c r="A16" s="5" t="s">
        <v>36</v>
      </c>
      <c r="B16" s="6" t="s">
        <v>37</v>
      </c>
      <c r="C16" s="7" t="s">
        <v>38</v>
      </c>
      <c r="D16" s="8" t="s">
        <v>14</v>
      </c>
      <c r="E16" s="9">
        <v>42739</v>
      </c>
      <c r="F16" s="10">
        <v>0</v>
      </c>
    </row>
    <row r="17" spans="1:6" ht="32.25" customHeight="1" thickBot="1" x14ac:dyDescent="0.3">
      <c r="A17" s="5" t="s">
        <v>39</v>
      </c>
      <c r="B17" s="6" t="s">
        <v>40</v>
      </c>
      <c r="C17" s="7" t="s">
        <v>41</v>
      </c>
      <c r="D17" s="8" t="s">
        <v>14</v>
      </c>
      <c r="E17" s="9">
        <v>42739</v>
      </c>
      <c r="F17" s="10">
        <v>0</v>
      </c>
    </row>
    <row r="18" spans="1:6" ht="32.25" customHeight="1" thickBot="1" x14ac:dyDescent="0.3">
      <c r="A18" s="5" t="s">
        <v>42</v>
      </c>
      <c r="B18" s="6" t="s">
        <v>43</v>
      </c>
      <c r="C18" s="7" t="s">
        <v>44</v>
      </c>
      <c r="D18" s="8" t="s">
        <v>14</v>
      </c>
      <c r="E18" s="9">
        <v>42739</v>
      </c>
      <c r="F18" s="10">
        <v>0</v>
      </c>
    </row>
    <row r="19" spans="1:6" ht="32.25" customHeight="1" thickBot="1" x14ac:dyDescent="0.3">
      <c r="A19" s="5" t="s">
        <v>45</v>
      </c>
      <c r="B19" s="6" t="s">
        <v>46</v>
      </c>
      <c r="C19" s="7" t="s">
        <v>47</v>
      </c>
      <c r="D19" s="8" t="s">
        <v>14</v>
      </c>
      <c r="E19" s="9">
        <v>42739</v>
      </c>
      <c r="F19" s="10">
        <v>0</v>
      </c>
    </row>
    <row r="20" spans="1:6" ht="32.25" customHeight="1" thickBot="1" x14ac:dyDescent="0.3">
      <c r="A20" s="5" t="s">
        <v>48</v>
      </c>
      <c r="B20" s="6" t="s">
        <v>49</v>
      </c>
      <c r="C20" s="7" t="s">
        <v>50</v>
      </c>
      <c r="D20" s="8" t="s">
        <v>14</v>
      </c>
      <c r="E20" s="9">
        <v>42739</v>
      </c>
      <c r="F20" s="10">
        <v>0</v>
      </c>
    </row>
    <row r="21" spans="1:6" ht="32.25" customHeight="1" thickBot="1" x14ac:dyDescent="0.3">
      <c r="A21" s="5" t="s">
        <v>51</v>
      </c>
      <c r="B21" s="6" t="s">
        <v>52</v>
      </c>
      <c r="C21" s="7" t="s">
        <v>53</v>
      </c>
      <c r="D21" s="8" t="s">
        <v>14</v>
      </c>
      <c r="E21" s="9">
        <v>42739</v>
      </c>
      <c r="F21" s="10">
        <v>0</v>
      </c>
    </row>
    <row r="22" spans="1:6" ht="32.25" customHeight="1" thickBot="1" x14ac:dyDescent="0.3">
      <c r="A22" s="5" t="s">
        <v>54</v>
      </c>
      <c r="B22" s="6" t="s">
        <v>55</v>
      </c>
      <c r="C22" s="7" t="s">
        <v>56</v>
      </c>
      <c r="D22" s="8" t="s">
        <v>14</v>
      </c>
      <c r="E22" s="9">
        <v>42739</v>
      </c>
      <c r="F22" s="10">
        <v>0</v>
      </c>
    </row>
    <row r="23" spans="1:6" ht="32.25" customHeight="1" thickBot="1" x14ac:dyDescent="0.3">
      <c r="A23" s="5" t="s">
        <v>57</v>
      </c>
      <c r="B23" s="6" t="s">
        <v>58</v>
      </c>
      <c r="C23" s="7" t="s">
        <v>59</v>
      </c>
      <c r="D23" s="8" t="s">
        <v>14</v>
      </c>
      <c r="E23" s="9">
        <v>42739</v>
      </c>
      <c r="F23" s="10">
        <v>0</v>
      </c>
    </row>
    <row r="24" spans="1:6" ht="32.25" customHeight="1" thickBot="1" x14ac:dyDescent="0.3">
      <c r="A24" s="5" t="s">
        <v>60</v>
      </c>
      <c r="B24" s="6" t="s">
        <v>61</v>
      </c>
      <c r="C24" s="7" t="s">
        <v>62</v>
      </c>
      <c r="D24" s="8" t="s">
        <v>14</v>
      </c>
      <c r="E24" s="9">
        <v>42739</v>
      </c>
      <c r="F24" s="10">
        <v>0</v>
      </c>
    </row>
    <row r="25" spans="1:6" ht="32.25" customHeight="1" thickBot="1" x14ac:dyDescent="0.3">
      <c r="A25" s="5" t="s">
        <v>63</v>
      </c>
      <c r="B25" s="6" t="s">
        <v>64</v>
      </c>
      <c r="C25" s="7" t="s">
        <v>65</v>
      </c>
      <c r="D25" s="8" t="s">
        <v>14</v>
      </c>
      <c r="E25" s="9">
        <v>42739</v>
      </c>
      <c r="F25" s="10">
        <v>0</v>
      </c>
    </row>
    <row r="26" spans="1:6" ht="32.25" customHeight="1" thickBot="1" x14ac:dyDescent="0.3">
      <c r="A26" s="5" t="s">
        <v>66</v>
      </c>
      <c r="B26" s="6" t="s">
        <v>67</v>
      </c>
      <c r="C26" s="7" t="s">
        <v>68</v>
      </c>
      <c r="D26" s="8" t="s">
        <v>14</v>
      </c>
      <c r="E26" s="9">
        <v>42739</v>
      </c>
      <c r="F26" s="10">
        <v>0</v>
      </c>
    </row>
    <row r="27" spans="1:6" ht="32.25" customHeight="1" thickBot="1" x14ac:dyDescent="0.3">
      <c r="A27" s="5" t="s">
        <v>69</v>
      </c>
      <c r="B27" s="6" t="s">
        <v>70</v>
      </c>
      <c r="C27" s="7" t="s">
        <v>71</v>
      </c>
      <c r="D27" s="8" t="s">
        <v>14</v>
      </c>
      <c r="E27" s="9">
        <v>42739</v>
      </c>
      <c r="F27" s="10">
        <v>0</v>
      </c>
    </row>
    <row r="28" spans="1:6" ht="32.25" customHeight="1" thickBot="1" x14ac:dyDescent="0.3">
      <c r="A28" s="11" t="s">
        <v>11</v>
      </c>
      <c r="B28" s="12" t="s">
        <v>72</v>
      </c>
      <c r="C28" s="13" t="s">
        <v>73</v>
      </c>
      <c r="D28" s="14" t="s">
        <v>14</v>
      </c>
      <c r="E28" s="15">
        <v>42739</v>
      </c>
      <c r="F28" s="16">
        <v>0</v>
      </c>
    </row>
    <row r="29" spans="1:6" ht="32.25" customHeight="1" thickBot="1" x14ac:dyDescent="0.3">
      <c r="A29" s="5" t="s">
        <v>15</v>
      </c>
      <c r="B29" s="6" t="s">
        <v>74</v>
      </c>
      <c r="C29" s="7" t="s">
        <v>75</v>
      </c>
      <c r="D29" s="8" t="s">
        <v>14</v>
      </c>
      <c r="E29" s="9">
        <v>42739</v>
      </c>
      <c r="F29" s="10">
        <v>0</v>
      </c>
    </row>
    <row r="30" spans="1:6" ht="32.25" customHeight="1" thickBot="1" x14ac:dyDescent="0.3">
      <c r="A30" s="5" t="s">
        <v>18</v>
      </c>
      <c r="B30" s="6" t="s">
        <v>76</v>
      </c>
      <c r="C30" s="7" t="s">
        <v>77</v>
      </c>
      <c r="D30" s="8" t="s">
        <v>14</v>
      </c>
      <c r="E30" s="9">
        <v>42739</v>
      </c>
      <c r="F30" s="10">
        <v>0</v>
      </c>
    </row>
    <row r="31" spans="1:6" ht="32.25" customHeight="1" thickBot="1" x14ac:dyDescent="0.3">
      <c r="A31" s="5" t="s">
        <v>21</v>
      </c>
      <c r="B31" s="6" t="s">
        <v>78</v>
      </c>
      <c r="C31" s="7" t="s">
        <v>79</v>
      </c>
      <c r="D31" s="8" t="s">
        <v>14</v>
      </c>
      <c r="E31" s="9">
        <v>42739</v>
      </c>
      <c r="F31" s="10">
        <v>0</v>
      </c>
    </row>
    <row r="32" spans="1:6" ht="32.25" customHeight="1" thickBot="1" x14ac:dyDescent="0.3">
      <c r="A32" s="17" t="s">
        <v>80</v>
      </c>
      <c r="B32" s="6" t="s">
        <v>81</v>
      </c>
      <c r="C32" s="7" t="s">
        <v>82</v>
      </c>
      <c r="D32" s="8" t="s">
        <v>14</v>
      </c>
      <c r="E32" s="9">
        <v>42739</v>
      </c>
      <c r="F32" s="10">
        <v>0</v>
      </c>
    </row>
    <row r="33" spans="1:6" ht="32.25" customHeight="1" thickBot="1" x14ac:dyDescent="0.3">
      <c r="A33" s="5" t="s">
        <v>27</v>
      </c>
      <c r="B33" s="6" t="s">
        <v>83</v>
      </c>
      <c r="C33" s="7" t="s">
        <v>84</v>
      </c>
      <c r="D33" s="8" t="s">
        <v>14</v>
      </c>
      <c r="E33" s="9">
        <v>42739</v>
      </c>
      <c r="F33" s="10">
        <v>0</v>
      </c>
    </row>
    <row r="34" spans="1:6" ht="32.25" customHeight="1" thickBot="1" x14ac:dyDescent="0.3">
      <c r="A34" s="5" t="s">
        <v>30</v>
      </c>
      <c r="B34" s="6" t="s">
        <v>85</v>
      </c>
      <c r="C34" s="7" t="s">
        <v>86</v>
      </c>
      <c r="D34" s="8" t="s">
        <v>14</v>
      </c>
      <c r="E34" s="9">
        <v>42739</v>
      </c>
      <c r="F34" s="10">
        <v>0</v>
      </c>
    </row>
    <row r="35" spans="1:6" ht="32.25" customHeight="1" thickBot="1" x14ac:dyDescent="0.3">
      <c r="A35" s="5" t="s">
        <v>33</v>
      </c>
      <c r="B35" s="6" t="s">
        <v>87</v>
      </c>
      <c r="C35" s="7" t="s">
        <v>88</v>
      </c>
      <c r="D35" s="8" t="s">
        <v>14</v>
      </c>
      <c r="E35" s="9">
        <v>42739</v>
      </c>
      <c r="F35" s="10">
        <v>0</v>
      </c>
    </row>
    <row r="36" spans="1:6" ht="32.25" customHeight="1" thickBot="1" x14ac:dyDescent="0.3">
      <c r="A36" s="5" t="s">
        <v>36</v>
      </c>
      <c r="B36" s="6" t="s">
        <v>89</v>
      </c>
      <c r="C36" s="7" t="s">
        <v>90</v>
      </c>
      <c r="D36" s="8" t="s">
        <v>14</v>
      </c>
      <c r="E36" s="9">
        <v>42739</v>
      </c>
      <c r="F36" s="10">
        <v>0</v>
      </c>
    </row>
    <row r="37" spans="1:6" ht="32.25" customHeight="1" thickBot="1" x14ac:dyDescent="0.3">
      <c r="A37" s="5" t="s">
        <v>39</v>
      </c>
      <c r="B37" s="6" t="s">
        <v>91</v>
      </c>
      <c r="C37" s="7" t="s">
        <v>92</v>
      </c>
      <c r="D37" s="8" t="s">
        <v>14</v>
      </c>
      <c r="E37" s="9">
        <v>42739</v>
      </c>
      <c r="F37" s="10">
        <v>0</v>
      </c>
    </row>
    <row r="38" spans="1:6" ht="32.25" customHeight="1" thickBot="1" x14ac:dyDescent="0.3">
      <c r="A38" s="5" t="s">
        <v>42</v>
      </c>
      <c r="B38" s="6" t="s">
        <v>93</v>
      </c>
      <c r="C38" s="7" t="s">
        <v>94</v>
      </c>
      <c r="D38" s="8" t="s">
        <v>14</v>
      </c>
      <c r="E38" s="9">
        <v>42739</v>
      </c>
      <c r="F38" s="10">
        <v>0</v>
      </c>
    </row>
    <row r="39" spans="1:6" ht="32.25" customHeight="1" thickBot="1" x14ac:dyDescent="0.3">
      <c r="A39" s="5" t="s">
        <v>45</v>
      </c>
      <c r="B39" s="6" t="s">
        <v>95</v>
      </c>
      <c r="C39" s="7" t="s">
        <v>96</v>
      </c>
      <c r="D39" s="8" t="s">
        <v>14</v>
      </c>
      <c r="E39" s="9">
        <v>42739</v>
      </c>
      <c r="F39" s="10">
        <v>0</v>
      </c>
    </row>
    <row r="40" spans="1:6" ht="32.25" customHeight="1" thickBot="1" x14ac:dyDescent="0.3">
      <c r="A40" s="5" t="s">
        <v>48</v>
      </c>
      <c r="B40" s="6" t="s">
        <v>97</v>
      </c>
      <c r="C40" s="7" t="s">
        <v>98</v>
      </c>
      <c r="D40" s="8" t="s">
        <v>14</v>
      </c>
      <c r="E40" s="9">
        <v>42739</v>
      </c>
      <c r="F40" s="10">
        <v>0</v>
      </c>
    </row>
    <row r="41" spans="1:6" ht="32.25" customHeight="1" thickBot="1" x14ac:dyDescent="0.3">
      <c r="A41" s="5" t="s">
        <v>51</v>
      </c>
      <c r="B41" s="6" t="s">
        <v>99</v>
      </c>
      <c r="C41" s="7" t="s">
        <v>100</v>
      </c>
      <c r="D41" s="8" t="s">
        <v>14</v>
      </c>
      <c r="E41" s="9">
        <v>42739</v>
      </c>
      <c r="F41" s="10">
        <v>0</v>
      </c>
    </row>
    <row r="42" spans="1:6" ht="32.25" customHeight="1" thickBot="1" x14ac:dyDescent="0.3">
      <c r="A42" s="5" t="s">
        <v>54</v>
      </c>
      <c r="B42" s="6" t="s">
        <v>101</v>
      </c>
      <c r="C42" s="7" t="s">
        <v>102</v>
      </c>
      <c r="D42" s="8" t="s">
        <v>14</v>
      </c>
      <c r="E42" s="9">
        <v>42739</v>
      </c>
      <c r="F42" s="10">
        <v>0</v>
      </c>
    </row>
    <row r="43" spans="1:6" ht="32.25" customHeight="1" thickBot="1" x14ac:dyDescent="0.3">
      <c r="A43" s="5" t="s">
        <v>57</v>
      </c>
      <c r="B43" s="6" t="s">
        <v>103</v>
      </c>
      <c r="C43" s="7" t="s">
        <v>104</v>
      </c>
      <c r="D43" s="8" t="s">
        <v>14</v>
      </c>
      <c r="E43" s="9">
        <v>42739</v>
      </c>
      <c r="F43" s="10">
        <v>0</v>
      </c>
    </row>
    <row r="44" spans="1:6" ht="32.25" customHeight="1" thickBot="1" x14ac:dyDescent="0.3">
      <c r="A44" s="5" t="s">
        <v>60</v>
      </c>
      <c r="B44" s="6" t="s">
        <v>105</v>
      </c>
      <c r="C44" s="7" t="s">
        <v>106</v>
      </c>
      <c r="D44" s="8" t="s">
        <v>14</v>
      </c>
      <c r="E44" s="9">
        <v>42739</v>
      </c>
      <c r="F44" s="10">
        <v>0</v>
      </c>
    </row>
    <row r="45" spans="1:6" ht="32.25" customHeight="1" thickBot="1" x14ac:dyDescent="0.3">
      <c r="A45" s="5" t="s">
        <v>63</v>
      </c>
      <c r="B45" s="6" t="s">
        <v>107</v>
      </c>
      <c r="C45" s="7" t="s">
        <v>108</v>
      </c>
      <c r="D45" s="8" t="s">
        <v>14</v>
      </c>
      <c r="E45" s="9">
        <v>42739</v>
      </c>
      <c r="F45" s="10">
        <v>0</v>
      </c>
    </row>
    <row r="46" spans="1:6" ht="32.25" customHeight="1" thickBot="1" x14ac:dyDescent="0.3">
      <c r="A46" s="5" t="s">
        <v>66</v>
      </c>
      <c r="B46" s="6" t="s">
        <v>109</v>
      </c>
      <c r="C46" s="7" t="s">
        <v>110</v>
      </c>
      <c r="D46" s="8" t="s">
        <v>14</v>
      </c>
      <c r="E46" s="9">
        <v>42739</v>
      </c>
      <c r="F46" s="10">
        <v>0</v>
      </c>
    </row>
    <row r="47" spans="1:6" ht="32.25" customHeight="1" thickBot="1" x14ac:dyDescent="0.3">
      <c r="A47" s="5" t="s">
        <v>69</v>
      </c>
      <c r="B47" s="6" t="s">
        <v>111</v>
      </c>
      <c r="C47" s="7" t="s">
        <v>112</v>
      </c>
      <c r="D47" s="8" t="s">
        <v>14</v>
      </c>
      <c r="E47" s="9">
        <v>42739</v>
      </c>
      <c r="F47" s="10">
        <v>0</v>
      </c>
    </row>
    <row r="48" spans="1:6" ht="32.25" customHeight="1" thickBot="1" x14ac:dyDescent="0.3">
      <c r="A48" s="5" t="s">
        <v>113</v>
      </c>
      <c r="B48" s="6" t="s">
        <v>114</v>
      </c>
      <c r="C48" s="7" t="s">
        <v>115</v>
      </c>
      <c r="D48" s="8" t="s">
        <v>14</v>
      </c>
      <c r="E48" s="9">
        <v>42739</v>
      </c>
      <c r="F48" s="10">
        <v>0</v>
      </c>
    </row>
    <row r="49" spans="1:6" ht="32.25" customHeight="1" thickBot="1" x14ac:dyDescent="0.3">
      <c r="A49" s="5" t="s">
        <v>116</v>
      </c>
      <c r="B49" s="6" t="s">
        <v>117</v>
      </c>
      <c r="C49" s="7" t="s">
        <v>118</v>
      </c>
      <c r="D49" s="8" t="s">
        <v>14</v>
      </c>
      <c r="E49" s="9">
        <v>42739</v>
      </c>
      <c r="F49" s="10">
        <v>0</v>
      </c>
    </row>
    <row r="50" spans="1:6" ht="32.25" customHeight="1" thickBot="1" x14ac:dyDescent="0.3">
      <c r="A50" s="5" t="s">
        <v>119</v>
      </c>
      <c r="B50" s="6" t="s">
        <v>120</v>
      </c>
      <c r="C50" s="7" t="s">
        <v>121</v>
      </c>
      <c r="D50" s="8" t="s">
        <v>14</v>
      </c>
      <c r="E50" s="9">
        <v>42739</v>
      </c>
      <c r="F50" s="10">
        <v>0</v>
      </c>
    </row>
    <row r="51" spans="1:6" ht="32.25" customHeight="1" thickBot="1" x14ac:dyDescent="0.3">
      <c r="A51" s="5" t="s">
        <v>122</v>
      </c>
      <c r="B51" s="6" t="s">
        <v>123</v>
      </c>
      <c r="C51" s="7" t="s">
        <v>124</v>
      </c>
      <c r="D51" s="8" t="s">
        <v>14</v>
      </c>
      <c r="E51" s="9">
        <v>42739</v>
      </c>
      <c r="F51" s="10">
        <v>0</v>
      </c>
    </row>
    <row r="52" spans="1:6" ht="32.25" customHeight="1" thickBot="1" x14ac:dyDescent="0.3">
      <c r="A52" s="5" t="s">
        <v>125</v>
      </c>
      <c r="B52" s="6" t="s">
        <v>126</v>
      </c>
      <c r="C52" s="7" t="s">
        <v>127</v>
      </c>
      <c r="D52" s="8" t="s">
        <v>14</v>
      </c>
      <c r="E52" s="9">
        <v>42739</v>
      </c>
      <c r="F52" s="10">
        <v>0</v>
      </c>
    </row>
    <row r="53" spans="1:6" ht="32.25" customHeight="1" thickBot="1" x14ac:dyDescent="0.3">
      <c r="A53" s="11" t="s">
        <v>11</v>
      </c>
      <c r="B53" s="12" t="s">
        <v>126</v>
      </c>
      <c r="C53" s="13" t="s">
        <v>127</v>
      </c>
      <c r="D53" s="14" t="s">
        <v>14</v>
      </c>
      <c r="E53" s="15">
        <v>42739</v>
      </c>
      <c r="F53" s="16">
        <v>0</v>
      </c>
    </row>
    <row r="54" spans="1:6" ht="32.25" customHeight="1" thickBot="1" x14ac:dyDescent="0.3">
      <c r="A54" s="5" t="s">
        <v>15</v>
      </c>
      <c r="B54" s="6" t="s">
        <v>128</v>
      </c>
      <c r="C54" s="7" t="s">
        <v>129</v>
      </c>
      <c r="D54" s="8" t="s">
        <v>14</v>
      </c>
      <c r="E54" s="9">
        <v>42739</v>
      </c>
      <c r="F54" s="10">
        <v>0</v>
      </c>
    </row>
    <row r="55" spans="1:6" ht="32.25" customHeight="1" thickBot="1" x14ac:dyDescent="0.3">
      <c r="A55" s="5" t="s">
        <v>18</v>
      </c>
      <c r="B55" s="6" t="s">
        <v>130</v>
      </c>
      <c r="C55" s="7" t="s">
        <v>131</v>
      </c>
      <c r="D55" s="8" t="s">
        <v>14</v>
      </c>
      <c r="E55" s="9">
        <v>42739</v>
      </c>
      <c r="F55" s="10">
        <v>0</v>
      </c>
    </row>
    <row r="56" spans="1:6" ht="32.25" customHeight="1" thickBot="1" x14ac:dyDescent="0.3">
      <c r="A56" s="5" t="s">
        <v>21</v>
      </c>
      <c r="B56" s="6" t="s">
        <v>132</v>
      </c>
      <c r="C56" s="7" t="s">
        <v>133</v>
      </c>
      <c r="D56" s="8" t="s">
        <v>14</v>
      </c>
      <c r="E56" s="9">
        <v>42739</v>
      </c>
      <c r="F56" s="10">
        <v>0</v>
      </c>
    </row>
    <row r="57" spans="1:6" ht="32.25" customHeight="1" thickBot="1" x14ac:dyDescent="0.3">
      <c r="A57" s="5" t="s">
        <v>24</v>
      </c>
      <c r="B57" s="6" t="s">
        <v>134</v>
      </c>
      <c r="C57" s="7" t="s">
        <v>135</v>
      </c>
      <c r="D57" s="8" t="s">
        <v>14</v>
      </c>
      <c r="E57" s="9">
        <v>42739</v>
      </c>
      <c r="F57" s="10">
        <v>0</v>
      </c>
    </row>
    <row r="58" spans="1:6" ht="32.25" customHeight="1" thickBot="1" x14ac:dyDescent="0.3">
      <c r="A58" s="5" t="s">
        <v>27</v>
      </c>
      <c r="B58" s="6" t="s">
        <v>136</v>
      </c>
      <c r="C58" s="7" t="s">
        <v>137</v>
      </c>
      <c r="D58" s="8" t="s">
        <v>14</v>
      </c>
      <c r="E58" s="9">
        <v>42739</v>
      </c>
      <c r="F58" s="10">
        <v>0</v>
      </c>
    </row>
    <row r="59" spans="1:6" ht="32.25" customHeight="1" thickBot="1" x14ac:dyDescent="0.3">
      <c r="A59" s="5" t="s">
        <v>30</v>
      </c>
      <c r="B59" s="6" t="s">
        <v>138</v>
      </c>
      <c r="C59" s="7" t="s">
        <v>139</v>
      </c>
      <c r="D59" s="8" t="s">
        <v>14</v>
      </c>
      <c r="E59" s="9">
        <v>42739</v>
      </c>
      <c r="F59" s="10">
        <v>0</v>
      </c>
    </row>
    <row r="60" spans="1:6" ht="32.25" customHeight="1" thickBot="1" x14ac:dyDescent="0.3">
      <c r="A60" s="5" t="s">
        <v>33</v>
      </c>
      <c r="B60" s="6" t="s">
        <v>140</v>
      </c>
      <c r="C60" s="7" t="s">
        <v>141</v>
      </c>
      <c r="D60" s="8" t="s">
        <v>14</v>
      </c>
      <c r="E60" s="9">
        <v>42739</v>
      </c>
      <c r="F60" s="10">
        <v>0</v>
      </c>
    </row>
  </sheetData>
  <mergeCells count="6">
    <mergeCell ref="A1:D2"/>
    <mergeCell ref="A6:B6"/>
    <mergeCell ref="A4:B4"/>
    <mergeCell ref="A5:B5"/>
    <mergeCell ref="E2:F2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7" workbookViewId="0">
      <selection activeCell="A6" sqref="A6:B6"/>
    </sheetView>
  </sheetViews>
  <sheetFormatPr defaultRowHeight="15" x14ac:dyDescent="0.25"/>
  <cols>
    <col min="2" max="2" width="45.28515625" customWidth="1"/>
    <col min="3" max="4" width="14.140625" customWidth="1"/>
    <col min="5" max="5" width="14.85546875" customWidth="1"/>
    <col min="6" max="6" width="15.140625" customWidth="1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1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2</v>
      </c>
      <c r="F2" s="124"/>
    </row>
    <row r="3" spans="1:6" ht="24" customHeight="1" thickTop="1" x14ac:dyDescent="0.25">
      <c r="A3" s="18" t="s">
        <v>212</v>
      </c>
      <c r="B3" s="1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4</v>
      </c>
      <c r="B5" s="123"/>
    </row>
    <row r="6" spans="1:6" ht="24" customHeight="1" thickBot="1" x14ac:dyDescent="0.3">
      <c r="A6" s="122" t="s">
        <v>211</v>
      </c>
      <c r="B6" s="122"/>
    </row>
    <row r="7" spans="1:6" ht="30" thickTop="1" thickBot="1" x14ac:dyDescent="0.3">
      <c r="A7" s="2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</row>
    <row r="8" spans="1:6" s="18" customFormat="1" ht="32.25" customHeight="1" thickBot="1" x14ac:dyDescent="0.3">
      <c r="A8" s="5">
        <v>1</v>
      </c>
      <c r="B8" s="6" t="s">
        <v>142</v>
      </c>
      <c r="C8" s="7" t="s">
        <v>143</v>
      </c>
      <c r="D8" s="8" t="s">
        <v>14</v>
      </c>
      <c r="E8" s="9">
        <v>42736</v>
      </c>
      <c r="F8" s="10">
        <v>0</v>
      </c>
    </row>
    <row r="9" spans="1:6" s="18" customFormat="1" ht="32.25" customHeight="1" thickBot="1" x14ac:dyDescent="0.3">
      <c r="A9" s="5">
        <f>1+A8</f>
        <v>2</v>
      </c>
      <c r="B9" s="6" t="s">
        <v>144</v>
      </c>
      <c r="C9" s="7" t="s">
        <v>145</v>
      </c>
      <c r="D9" s="8" t="s">
        <v>14</v>
      </c>
      <c r="E9" s="9">
        <v>42739</v>
      </c>
      <c r="F9" s="10">
        <v>0</v>
      </c>
    </row>
    <row r="10" spans="1:6" s="18" customFormat="1" ht="32.25" customHeight="1" thickBot="1" x14ac:dyDescent="0.3">
      <c r="A10" s="5">
        <f t="shared" ref="A10:A55" si="0">1+A9</f>
        <v>3</v>
      </c>
      <c r="B10" s="6" t="s">
        <v>146</v>
      </c>
      <c r="C10" s="7" t="s">
        <v>147</v>
      </c>
      <c r="D10" s="8" t="s">
        <v>14</v>
      </c>
      <c r="E10" s="9">
        <v>42739</v>
      </c>
      <c r="F10" s="10">
        <v>0</v>
      </c>
    </row>
    <row r="11" spans="1:6" s="18" customFormat="1" ht="32.25" customHeight="1" thickBot="1" x14ac:dyDescent="0.3">
      <c r="A11" s="5">
        <f t="shared" si="0"/>
        <v>4</v>
      </c>
      <c r="B11" s="6" t="s">
        <v>148</v>
      </c>
      <c r="C11" s="7" t="s">
        <v>149</v>
      </c>
      <c r="D11" s="8" t="s">
        <v>14</v>
      </c>
      <c r="E11" s="9">
        <v>42739</v>
      </c>
      <c r="F11" s="10">
        <v>0</v>
      </c>
    </row>
    <row r="12" spans="1:6" s="18" customFormat="1" ht="32.25" customHeight="1" thickBot="1" x14ac:dyDescent="0.3">
      <c r="A12" s="5">
        <f t="shared" si="0"/>
        <v>5</v>
      </c>
      <c r="B12" s="6" t="s">
        <v>150</v>
      </c>
      <c r="C12" s="7" t="s">
        <v>151</v>
      </c>
      <c r="D12" s="8" t="s">
        <v>14</v>
      </c>
      <c r="E12" s="9">
        <v>42739</v>
      </c>
      <c r="F12" s="10">
        <v>0</v>
      </c>
    </row>
    <row r="13" spans="1:6" s="18" customFormat="1" ht="32.25" customHeight="1" thickBot="1" x14ac:dyDescent="0.3">
      <c r="A13" s="5">
        <f t="shared" si="0"/>
        <v>6</v>
      </c>
      <c r="B13" s="6" t="s">
        <v>152</v>
      </c>
      <c r="C13" s="7" t="s">
        <v>38</v>
      </c>
      <c r="D13" s="8" t="s">
        <v>14</v>
      </c>
      <c r="E13" s="9">
        <v>42739</v>
      </c>
      <c r="F13" s="10">
        <v>0</v>
      </c>
    </row>
    <row r="14" spans="1:6" s="18" customFormat="1" ht="32.25" customHeight="1" thickBot="1" x14ac:dyDescent="0.3">
      <c r="A14" s="5">
        <f t="shared" si="0"/>
        <v>7</v>
      </c>
      <c r="B14" s="6" t="s">
        <v>153</v>
      </c>
      <c r="C14" s="7" t="s">
        <v>154</v>
      </c>
      <c r="D14" s="8" t="s">
        <v>14</v>
      </c>
      <c r="E14" s="9">
        <v>42739</v>
      </c>
      <c r="F14" s="10">
        <v>0</v>
      </c>
    </row>
    <row r="15" spans="1:6" s="18" customFormat="1" ht="32.25" customHeight="1" thickBot="1" x14ac:dyDescent="0.3">
      <c r="A15" s="5">
        <f t="shared" si="0"/>
        <v>8</v>
      </c>
      <c r="B15" s="6" t="s">
        <v>155</v>
      </c>
      <c r="C15" s="7" t="s">
        <v>35</v>
      </c>
      <c r="D15" s="8" t="s">
        <v>14</v>
      </c>
      <c r="E15" s="9">
        <v>42739</v>
      </c>
      <c r="F15" s="10">
        <v>0</v>
      </c>
    </row>
    <row r="16" spans="1:6" s="18" customFormat="1" ht="32.25" customHeight="1" thickBot="1" x14ac:dyDescent="0.3">
      <c r="A16" s="5">
        <f t="shared" si="0"/>
        <v>9</v>
      </c>
      <c r="B16" s="6" t="s">
        <v>156</v>
      </c>
      <c r="C16" s="7"/>
      <c r="D16" s="8" t="s">
        <v>14</v>
      </c>
      <c r="E16" s="9">
        <v>42739</v>
      </c>
      <c r="F16" s="10">
        <v>0</v>
      </c>
    </row>
    <row r="17" spans="1:6" s="18" customFormat="1" ht="32.25" customHeight="1" thickBot="1" x14ac:dyDescent="0.3">
      <c r="A17" s="5">
        <f t="shared" si="0"/>
        <v>10</v>
      </c>
      <c r="B17" s="6" t="s">
        <v>157</v>
      </c>
      <c r="C17" s="7" t="s">
        <v>158</v>
      </c>
      <c r="D17" s="8" t="s">
        <v>14</v>
      </c>
      <c r="E17" s="9">
        <v>42739</v>
      </c>
      <c r="F17" s="10">
        <v>0</v>
      </c>
    </row>
    <row r="18" spans="1:6" s="18" customFormat="1" ht="32.25" customHeight="1" thickBot="1" x14ac:dyDescent="0.3">
      <c r="A18" s="5">
        <f t="shared" si="0"/>
        <v>11</v>
      </c>
      <c r="B18" s="6" t="s">
        <v>159</v>
      </c>
      <c r="C18" s="7" t="s">
        <v>160</v>
      </c>
      <c r="D18" s="8" t="s">
        <v>14</v>
      </c>
      <c r="E18" s="9">
        <v>42739</v>
      </c>
      <c r="F18" s="10">
        <v>0</v>
      </c>
    </row>
    <row r="19" spans="1:6" s="18" customFormat="1" ht="32.25" customHeight="1" thickBot="1" x14ac:dyDescent="0.3">
      <c r="A19" s="5">
        <f t="shared" si="0"/>
        <v>12</v>
      </c>
      <c r="B19" s="6" t="s">
        <v>161</v>
      </c>
      <c r="C19" s="7" t="s">
        <v>162</v>
      </c>
      <c r="D19" s="8" t="s">
        <v>14</v>
      </c>
      <c r="E19" s="9">
        <v>42739</v>
      </c>
      <c r="F19" s="10">
        <v>0</v>
      </c>
    </row>
    <row r="20" spans="1:6" ht="32.25" customHeight="1" thickBot="1" x14ac:dyDescent="0.3">
      <c r="A20" s="5">
        <f t="shared" si="0"/>
        <v>13</v>
      </c>
      <c r="B20" s="6" t="s">
        <v>163</v>
      </c>
      <c r="C20" s="7" t="s">
        <v>17</v>
      </c>
      <c r="D20" s="8" t="s">
        <v>164</v>
      </c>
      <c r="E20" s="9">
        <v>42736</v>
      </c>
      <c r="F20" s="10" t="s">
        <v>165</v>
      </c>
    </row>
    <row r="21" spans="1:6" ht="32.25" customHeight="1" thickBot="1" x14ac:dyDescent="0.3">
      <c r="A21" s="5">
        <f t="shared" si="0"/>
        <v>14</v>
      </c>
      <c r="B21" s="6" t="s">
        <v>97</v>
      </c>
      <c r="C21" s="7" t="s">
        <v>98</v>
      </c>
      <c r="D21" s="8" t="s">
        <v>164</v>
      </c>
      <c r="E21" s="9">
        <v>42739</v>
      </c>
      <c r="F21" s="10" t="s">
        <v>165</v>
      </c>
    </row>
    <row r="22" spans="1:6" ht="32.25" customHeight="1" thickBot="1" x14ac:dyDescent="0.3">
      <c r="A22" s="5">
        <f t="shared" si="0"/>
        <v>15</v>
      </c>
      <c r="B22" s="6" t="s">
        <v>99</v>
      </c>
      <c r="C22" s="7" t="s">
        <v>47</v>
      </c>
      <c r="D22" s="8" t="s">
        <v>164</v>
      </c>
      <c r="E22" s="9">
        <v>42739</v>
      </c>
      <c r="F22" s="10" t="s">
        <v>165</v>
      </c>
    </row>
    <row r="23" spans="1:6" ht="32.25" customHeight="1" thickBot="1" x14ac:dyDescent="0.3">
      <c r="A23" s="5">
        <f t="shared" si="0"/>
        <v>16</v>
      </c>
      <c r="B23" s="6" t="s">
        <v>166</v>
      </c>
      <c r="C23" s="7" t="s">
        <v>56</v>
      </c>
      <c r="D23" s="8" t="s">
        <v>164</v>
      </c>
      <c r="E23" s="9">
        <v>42739</v>
      </c>
      <c r="F23" s="10" t="s">
        <v>165</v>
      </c>
    </row>
    <row r="24" spans="1:6" ht="32.25" customHeight="1" thickBot="1" x14ac:dyDescent="0.3">
      <c r="A24" s="5">
        <f t="shared" si="0"/>
        <v>17</v>
      </c>
      <c r="B24" s="6" t="s">
        <v>103</v>
      </c>
      <c r="C24" s="7" t="s">
        <v>59</v>
      </c>
      <c r="D24" s="8" t="s">
        <v>164</v>
      </c>
      <c r="E24" s="9">
        <v>42739</v>
      </c>
      <c r="F24" s="10" t="s">
        <v>165</v>
      </c>
    </row>
    <row r="25" spans="1:6" ht="32.25" customHeight="1" thickBot="1" x14ac:dyDescent="0.3">
      <c r="A25" s="5">
        <f t="shared" si="0"/>
        <v>18</v>
      </c>
      <c r="B25" s="6" t="s">
        <v>167</v>
      </c>
      <c r="C25" s="7" t="s">
        <v>168</v>
      </c>
      <c r="D25" s="8" t="s">
        <v>164</v>
      </c>
      <c r="E25" s="9">
        <v>42739</v>
      </c>
      <c r="F25" s="10" t="s">
        <v>165</v>
      </c>
    </row>
    <row r="26" spans="1:6" ht="32.25" customHeight="1" thickBot="1" x14ac:dyDescent="0.3">
      <c r="A26" s="5">
        <f t="shared" si="0"/>
        <v>19</v>
      </c>
      <c r="B26" s="6" t="s">
        <v>169</v>
      </c>
      <c r="C26" s="7" t="s">
        <v>79</v>
      </c>
      <c r="D26" s="8" t="s">
        <v>164</v>
      </c>
      <c r="E26" s="9">
        <v>42739</v>
      </c>
      <c r="F26" s="10" t="s">
        <v>165</v>
      </c>
    </row>
    <row r="27" spans="1:6" ht="32.25" customHeight="1" thickBot="1" x14ac:dyDescent="0.3">
      <c r="A27" s="5">
        <f t="shared" si="0"/>
        <v>20</v>
      </c>
      <c r="B27" s="6" t="s">
        <v>170</v>
      </c>
      <c r="C27" s="7" t="s">
        <v>171</v>
      </c>
      <c r="D27" s="8" t="s">
        <v>164</v>
      </c>
      <c r="E27" s="9">
        <v>42739</v>
      </c>
      <c r="F27" s="10" t="s">
        <v>165</v>
      </c>
    </row>
    <row r="28" spans="1:6" ht="32.25" customHeight="1" thickBot="1" x14ac:dyDescent="0.3">
      <c r="A28" s="5">
        <f t="shared" si="0"/>
        <v>21</v>
      </c>
      <c r="B28" s="6" t="s">
        <v>172</v>
      </c>
      <c r="C28" s="7" t="s">
        <v>173</v>
      </c>
      <c r="D28" s="8" t="s">
        <v>164</v>
      </c>
      <c r="E28" s="9">
        <v>42739</v>
      </c>
      <c r="F28" s="10" t="s">
        <v>165</v>
      </c>
    </row>
    <row r="29" spans="1:6" ht="32.25" customHeight="1" thickBot="1" x14ac:dyDescent="0.3">
      <c r="A29" s="5">
        <f t="shared" si="0"/>
        <v>22</v>
      </c>
      <c r="B29" s="6" t="s">
        <v>174</v>
      </c>
      <c r="C29" s="7" t="s">
        <v>86</v>
      </c>
      <c r="D29" s="8" t="s">
        <v>164</v>
      </c>
      <c r="E29" s="9">
        <v>42739</v>
      </c>
      <c r="F29" s="10" t="s">
        <v>165</v>
      </c>
    </row>
    <row r="30" spans="1:6" ht="32.25" customHeight="1" thickBot="1" x14ac:dyDescent="0.3">
      <c r="A30" s="5">
        <f t="shared" si="0"/>
        <v>23</v>
      </c>
      <c r="B30" s="6" t="s">
        <v>175</v>
      </c>
      <c r="C30" s="7" t="s">
        <v>88</v>
      </c>
      <c r="D30" s="8" t="s">
        <v>164</v>
      </c>
      <c r="E30" s="9">
        <v>43831</v>
      </c>
      <c r="F30" s="10" t="s">
        <v>165</v>
      </c>
    </row>
    <row r="31" spans="1:6" ht="32.25" customHeight="1" thickBot="1" x14ac:dyDescent="0.3">
      <c r="A31" s="5">
        <f t="shared" si="0"/>
        <v>24</v>
      </c>
      <c r="B31" s="6" t="s">
        <v>176</v>
      </c>
      <c r="C31" s="7" t="s">
        <v>100</v>
      </c>
      <c r="D31" s="8" t="s">
        <v>164</v>
      </c>
      <c r="E31" s="9">
        <v>42739</v>
      </c>
      <c r="F31" s="10" t="s">
        <v>165</v>
      </c>
    </row>
    <row r="32" spans="1:6" ht="32.25" customHeight="1" thickBot="1" x14ac:dyDescent="0.3">
      <c r="A32" s="5">
        <f t="shared" si="0"/>
        <v>25</v>
      </c>
      <c r="B32" s="6" t="s">
        <v>177</v>
      </c>
      <c r="C32" s="7" t="s">
        <v>102</v>
      </c>
      <c r="D32" s="8" t="s">
        <v>164</v>
      </c>
      <c r="E32" s="9">
        <v>42739</v>
      </c>
      <c r="F32" s="10" t="s">
        <v>165</v>
      </c>
    </row>
    <row r="33" spans="1:8" ht="32.25" customHeight="1" thickBot="1" x14ac:dyDescent="0.3">
      <c r="A33" s="5">
        <f t="shared" si="0"/>
        <v>26</v>
      </c>
      <c r="B33" s="6" t="s">
        <v>178</v>
      </c>
      <c r="C33" s="7" t="s">
        <v>104</v>
      </c>
      <c r="D33" s="8" t="s">
        <v>164</v>
      </c>
      <c r="E33" s="9">
        <v>42739</v>
      </c>
      <c r="F33" s="10" t="s">
        <v>165</v>
      </c>
    </row>
    <row r="34" spans="1:8" ht="32.25" customHeight="1" thickBot="1" x14ac:dyDescent="0.3">
      <c r="A34" s="5">
        <f t="shared" si="0"/>
        <v>27</v>
      </c>
      <c r="B34" s="6" t="s">
        <v>179</v>
      </c>
      <c r="C34" s="7" t="s">
        <v>106</v>
      </c>
      <c r="D34" s="8" t="s">
        <v>164</v>
      </c>
      <c r="E34" s="9">
        <v>42739</v>
      </c>
      <c r="F34" s="10" t="s">
        <v>165</v>
      </c>
    </row>
    <row r="35" spans="1:8" ht="32.25" customHeight="1" thickBot="1" x14ac:dyDescent="0.3">
      <c r="A35" s="5">
        <f t="shared" si="0"/>
        <v>28</v>
      </c>
      <c r="B35" s="6" t="s">
        <v>180</v>
      </c>
      <c r="C35" s="7" t="s">
        <v>108</v>
      </c>
      <c r="D35" s="8" t="s">
        <v>164</v>
      </c>
      <c r="E35" s="9">
        <v>42739</v>
      </c>
      <c r="F35" s="10" t="s">
        <v>165</v>
      </c>
    </row>
    <row r="36" spans="1:8" ht="32.25" customHeight="1" thickBot="1" x14ac:dyDescent="0.3">
      <c r="A36" s="5">
        <f t="shared" si="0"/>
        <v>29</v>
      </c>
      <c r="B36" s="6" t="s">
        <v>181</v>
      </c>
      <c r="C36" s="7" t="s">
        <v>112</v>
      </c>
      <c r="D36" s="8" t="s">
        <v>164</v>
      </c>
      <c r="E36" s="9">
        <v>42739</v>
      </c>
      <c r="F36" s="10" t="s">
        <v>165</v>
      </c>
    </row>
    <row r="37" spans="1:8" ht="32.25" customHeight="1" thickBot="1" x14ac:dyDescent="0.3">
      <c r="A37" s="5">
        <f t="shared" si="0"/>
        <v>30</v>
      </c>
      <c r="B37" s="6" t="s">
        <v>182</v>
      </c>
      <c r="C37" s="7" t="s">
        <v>115</v>
      </c>
      <c r="D37" s="8" t="s">
        <v>164</v>
      </c>
      <c r="E37" s="9">
        <v>42739</v>
      </c>
      <c r="F37" s="10" t="s">
        <v>165</v>
      </c>
    </row>
    <row r="38" spans="1:8" ht="32.25" customHeight="1" thickBot="1" x14ac:dyDescent="0.3">
      <c r="A38" s="5">
        <f t="shared" si="0"/>
        <v>31</v>
      </c>
      <c r="B38" s="6" t="s">
        <v>146</v>
      </c>
      <c r="C38" s="7" t="s">
        <v>115</v>
      </c>
      <c r="D38" s="8" t="s">
        <v>164</v>
      </c>
      <c r="E38" s="9">
        <v>42739</v>
      </c>
      <c r="F38" s="10" t="s">
        <v>165</v>
      </c>
    </row>
    <row r="39" spans="1:8" ht="32.25" customHeight="1" thickBot="1" x14ac:dyDescent="0.3">
      <c r="A39" s="5">
        <f t="shared" si="0"/>
        <v>32</v>
      </c>
      <c r="B39" s="6" t="s">
        <v>183</v>
      </c>
      <c r="C39" s="7" t="s">
        <v>118</v>
      </c>
      <c r="D39" s="8" t="s">
        <v>164</v>
      </c>
      <c r="E39" s="9">
        <v>42739</v>
      </c>
      <c r="F39" s="10" t="s">
        <v>165</v>
      </c>
    </row>
    <row r="40" spans="1:8" ht="32.25" customHeight="1" thickBot="1" x14ac:dyDescent="0.3">
      <c r="A40" s="5">
        <f t="shared" si="0"/>
        <v>33</v>
      </c>
      <c r="B40" s="6" t="s">
        <v>184</v>
      </c>
      <c r="C40" s="7" t="s">
        <v>121</v>
      </c>
      <c r="D40" s="8" t="s">
        <v>164</v>
      </c>
      <c r="E40" s="9">
        <v>42739</v>
      </c>
      <c r="F40" s="10">
        <v>1</v>
      </c>
      <c r="H40" s="19"/>
    </row>
    <row r="41" spans="1:8" ht="32.25" customHeight="1" thickBot="1" x14ac:dyDescent="0.3">
      <c r="A41" s="5">
        <f t="shared" si="0"/>
        <v>34</v>
      </c>
      <c r="B41" s="20" t="s">
        <v>185</v>
      </c>
      <c r="C41" s="21" t="s">
        <v>186</v>
      </c>
      <c r="D41" s="21" t="s">
        <v>187</v>
      </c>
      <c r="E41" s="22">
        <v>43471</v>
      </c>
      <c r="F41" s="23">
        <v>3</v>
      </c>
      <c r="G41" s="18"/>
    </row>
    <row r="42" spans="1:8" ht="32.25" customHeight="1" thickBot="1" x14ac:dyDescent="0.3">
      <c r="A42" s="5">
        <f t="shared" si="0"/>
        <v>35</v>
      </c>
      <c r="B42" s="6" t="s">
        <v>188</v>
      </c>
      <c r="C42" s="7" t="s">
        <v>189</v>
      </c>
      <c r="D42" s="8" t="s">
        <v>187</v>
      </c>
      <c r="E42" s="9">
        <v>43471</v>
      </c>
      <c r="F42" s="24">
        <v>3</v>
      </c>
      <c r="G42" s="18"/>
    </row>
    <row r="43" spans="1:8" ht="32.25" customHeight="1" thickBot="1" x14ac:dyDescent="0.3">
      <c r="A43" s="5">
        <f t="shared" si="0"/>
        <v>36</v>
      </c>
      <c r="B43" s="6" t="s">
        <v>190</v>
      </c>
      <c r="C43" s="7" t="s">
        <v>191</v>
      </c>
      <c r="D43" s="8" t="s">
        <v>187</v>
      </c>
      <c r="E43" s="9">
        <v>43952</v>
      </c>
      <c r="F43" s="10">
        <v>4</v>
      </c>
      <c r="G43" s="18"/>
    </row>
    <row r="44" spans="1:8" ht="32.25" customHeight="1" thickBot="1" x14ac:dyDescent="0.3">
      <c r="A44" s="5">
        <f t="shared" si="0"/>
        <v>37</v>
      </c>
      <c r="B44" s="6" t="s">
        <v>134</v>
      </c>
      <c r="C44" s="7" t="s">
        <v>192</v>
      </c>
      <c r="D44" s="8" t="s">
        <v>187</v>
      </c>
      <c r="E44" s="9">
        <v>43471</v>
      </c>
      <c r="F44" s="10">
        <v>0</v>
      </c>
      <c r="G44" s="18"/>
    </row>
    <row r="45" spans="1:8" ht="32.25" customHeight="1" thickBot="1" x14ac:dyDescent="0.3">
      <c r="A45" s="5">
        <f t="shared" si="0"/>
        <v>38</v>
      </c>
      <c r="B45" s="25" t="s">
        <v>193</v>
      </c>
      <c r="C45" s="7" t="s">
        <v>194</v>
      </c>
      <c r="D45" s="8" t="s">
        <v>187</v>
      </c>
      <c r="E45" s="9">
        <v>43466</v>
      </c>
      <c r="F45" s="10">
        <v>0</v>
      </c>
      <c r="G45" s="18"/>
    </row>
    <row r="46" spans="1:8" ht="32.25" customHeight="1" thickBot="1" x14ac:dyDescent="0.3">
      <c r="A46" s="5">
        <f t="shared" si="0"/>
        <v>39</v>
      </c>
      <c r="B46" s="25" t="s">
        <v>195</v>
      </c>
      <c r="C46" s="7" t="s">
        <v>196</v>
      </c>
      <c r="D46" s="8" t="s">
        <v>187</v>
      </c>
      <c r="E46" s="9">
        <v>43466</v>
      </c>
      <c r="F46" s="10">
        <v>1</v>
      </c>
      <c r="G46" s="18"/>
    </row>
    <row r="47" spans="1:8" ht="32.25" customHeight="1" thickBot="1" x14ac:dyDescent="0.3">
      <c r="A47" s="5">
        <f t="shared" si="0"/>
        <v>40</v>
      </c>
      <c r="B47" s="25" t="s">
        <v>144</v>
      </c>
      <c r="C47" s="7" t="s">
        <v>197</v>
      </c>
      <c r="D47" s="8" t="s">
        <v>187</v>
      </c>
      <c r="E47" s="9">
        <v>43952</v>
      </c>
      <c r="F47" s="10">
        <v>2</v>
      </c>
      <c r="G47" s="18"/>
    </row>
    <row r="48" spans="1:8" ht="32.25" customHeight="1" thickBot="1" x14ac:dyDescent="0.3">
      <c r="A48" s="5">
        <f t="shared" si="0"/>
        <v>41</v>
      </c>
      <c r="B48" s="25" t="s">
        <v>198</v>
      </c>
      <c r="C48" s="7" t="s">
        <v>199</v>
      </c>
      <c r="D48" s="8" t="s">
        <v>187</v>
      </c>
      <c r="E48" s="26">
        <v>43801</v>
      </c>
      <c r="F48" s="24">
        <v>3</v>
      </c>
      <c r="G48" s="18"/>
    </row>
    <row r="49" spans="1:8" ht="32.25" customHeight="1" thickBot="1" x14ac:dyDescent="0.3">
      <c r="A49" s="5">
        <f t="shared" si="0"/>
        <v>42</v>
      </c>
      <c r="B49" s="25" t="s">
        <v>200</v>
      </c>
      <c r="C49" s="7" t="s">
        <v>201</v>
      </c>
      <c r="D49" s="8" t="s">
        <v>187</v>
      </c>
      <c r="E49" s="7" t="s">
        <v>202</v>
      </c>
      <c r="F49" s="10">
        <v>0</v>
      </c>
    </row>
    <row r="50" spans="1:8" ht="32.25" customHeight="1" thickBot="1" x14ac:dyDescent="0.3">
      <c r="A50" s="5">
        <f t="shared" si="0"/>
        <v>43</v>
      </c>
      <c r="B50" s="25" t="s">
        <v>203</v>
      </c>
      <c r="C50" s="7" t="s">
        <v>204</v>
      </c>
      <c r="D50" s="8" t="s">
        <v>187</v>
      </c>
      <c r="E50" s="26">
        <v>43801</v>
      </c>
      <c r="F50" s="10">
        <v>0</v>
      </c>
    </row>
    <row r="51" spans="1:8" ht="32.25" customHeight="1" thickBot="1" x14ac:dyDescent="0.3">
      <c r="A51" s="5">
        <f t="shared" si="0"/>
        <v>44</v>
      </c>
      <c r="B51" s="25" t="s">
        <v>205</v>
      </c>
      <c r="C51" s="7" t="s">
        <v>206</v>
      </c>
      <c r="D51" s="8" t="s">
        <v>187</v>
      </c>
      <c r="E51" s="26">
        <v>43801</v>
      </c>
      <c r="F51" s="24">
        <v>1</v>
      </c>
    </row>
    <row r="52" spans="1:8" ht="32.25" customHeight="1" thickBot="1" x14ac:dyDescent="0.3">
      <c r="A52" s="5">
        <f t="shared" si="0"/>
        <v>45</v>
      </c>
      <c r="B52" s="25" t="s">
        <v>148</v>
      </c>
      <c r="C52" s="7" t="s">
        <v>207</v>
      </c>
      <c r="D52" s="8" t="s">
        <v>187</v>
      </c>
      <c r="E52" s="27" t="s">
        <v>208</v>
      </c>
      <c r="F52" s="10">
        <v>0</v>
      </c>
    </row>
    <row r="53" spans="1:8" ht="32.25" customHeight="1" thickBot="1" x14ac:dyDescent="0.3">
      <c r="A53" s="5">
        <f t="shared" si="0"/>
        <v>46</v>
      </c>
      <c r="B53" s="25" t="s">
        <v>209</v>
      </c>
      <c r="C53" s="7" t="s">
        <v>210</v>
      </c>
      <c r="D53" s="8" t="s">
        <v>187</v>
      </c>
      <c r="E53" s="26">
        <v>43802</v>
      </c>
      <c r="F53" s="24">
        <v>0</v>
      </c>
      <c r="H53" s="19"/>
    </row>
    <row r="54" spans="1:8" ht="32.25" customHeight="1" thickBot="1" x14ac:dyDescent="0.3">
      <c r="A54" s="5">
        <f t="shared" si="0"/>
        <v>47</v>
      </c>
      <c r="B54" s="28" t="s">
        <v>213</v>
      </c>
      <c r="C54" s="13" t="s">
        <v>214</v>
      </c>
      <c r="D54" s="14" t="s">
        <v>187</v>
      </c>
      <c r="E54" s="29">
        <v>43801</v>
      </c>
      <c r="F54" s="30">
        <v>1</v>
      </c>
    </row>
    <row r="55" spans="1:8" ht="32.25" customHeight="1" thickBot="1" x14ac:dyDescent="0.3">
      <c r="A55" s="5">
        <f t="shared" si="0"/>
        <v>48</v>
      </c>
      <c r="B55" s="25" t="s">
        <v>215</v>
      </c>
      <c r="C55" s="7" t="s">
        <v>216</v>
      </c>
      <c r="D55" s="7" t="s">
        <v>187</v>
      </c>
      <c r="E55" s="9">
        <v>44139</v>
      </c>
      <c r="F55" s="10">
        <v>1</v>
      </c>
    </row>
    <row r="56" spans="1:8" ht="32.25" customHeight="1" thickBot="1" x14ac:dyDescent="0.3">
      <c r="A56" s="5"/>
      <c r="B56" s="6"/>
      <c r="C56" s="7"/>
      <c r="D56" s="8"/>
      <c r="E56" s="9"/>
      <c r="F56" s="10"/>
    </row>
    <row r="57" spans="1:8" ht="32.25" customHeight="1" thickBot="1" x14ac:dyDescent="0.3">
      <c r="A57" s="5"/>
      <c r="B57" s="6"/>
      <c r="C57" s="7"/>
      <c r="D57" s="8"/>
      <c r="E57" s="9"/>
      <c r="F57" s="10"/>
    </row>
    <row r="58" spans="1:8" ht="32.25" customHeight="1" thickBot="1" x14ac:dyDescent="0.3">
      <c r="A58" s="5"/>
      <c r="B58" s="6"/>
      <c r="C58" s="7"/>
      <c r="D58" s="8"/>
      <c r="E58" s="9"/>
      <c r="F58" s="10"/>
    </row>
    <row r="59" spans="1:8" ht="32.25" customHeight="1" thickBot="1" x14ac:dyDescent="0.3">
      <c r="A59" s="5"/>
      <c r="B59" s="6"/>
      <c r="C59" s="7"/>
      <c r="D59" s="8"/>
      <c r="E59" s="9"/>
      <c r="F59" s="10"/>
    </row>
    <row r="60" spans="1:8" ht="32.25" customHeight="1" thickBot="1" x14ac:dyDescent="0.3">
      <c r="A60" s="5"/>
      <c r="B60" s="6"/>
      <c r="C60" s="7"/>
      <c r="D60" s="8"/>
      <c r="E60" s="9"/>
      <c r="F60" s="10"/>
    </row>
  </sheetData>
  <mergeCells count="6">
    <mergeCell ref="A6:B6"/>
    <mergeCell ref="A1:D2"/>
    <mergeCell ref="E1:F1"/>
    <mergeCell ref="E2:F2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tabSelected="1" workbookViewId="0">
      <selection activeCell="J220" sqref="J220"/>
    </sheetView>
  </sheetViews>
  <sheetFormatPr defaultRowHeight="15" x14ac:dyDescent="0.25"/>
  <cols>
    <col min="1" max="1" width="9.140625" style="113"/>
    <col min="2" max="2" width="50.140625" style="115" customWidth="1"/>
    <col min="3" max="5" width="19.5703125" style="111" customWidth="1"/>
    <col min="6" max="6" width="15.140625" style="111" customWidth="1"/>
    <col min="7" max="16384" width="9.140625" style="113"/>
  </cols>
  <sheetData>
    <row r="1" spans="1:8" ht="35.25" customHeight="1" x14ac:dyDescent="0.25">
      <c r="A1" s="141" t="s">
        <v>0</v>
      </c>
      <c r="B1" s="141"/>
      <c r="C1" s="141"/>
      <c r="D1" s="141"/>
      <c r="E1" s="143" t="s">
        <v>829</v>
      </c>
      <c r="F1" s="143"/>
      <c r="G1" s="143"/>
      <c r="H1" s="143"/>
    </row>
    <row r="2" spans="1:8" ht="35.25" customHeight="1" thickBot="1" x14ac:dyDescent="0.3">
      <c r="A2" s="142"/>
      <c r="B2" s="142"/>
      <c r="C2" s="142"/>
      <c r="D2" s="142"/>
      <c r="E2" s="144"/>
      <c r="F2" s="144"/>
      <c r="G2" s="144"/>
      <c r="H2" s="144"/>
    </row>
    <row r="3" spans="1:8" ht="24" customHeight="1" thickTop="1" x14ac:dyDescent="0.25">
      <c r="A3" s="113" t="s">
        <v>851</v>
      </c>
      <c r="B3" s="114"/>
    </row>
    <row r="4" spans="1:8" ht="24" customHeight="1" x14ac:dyDescent="0.25">
      <c r="A4" s="145" t="s">
        <v>3</v>
      </c>
      <c r="B4" s="145"/>
    </row>
    <row r="5" spans="1:8" ht="24" customHeight="1" x14ac:dyDescent="0.25">
      <c r="A5" s="145" t="s">
        <v>4</v>
      </c>
      <c r="B5" s="145"/>
    </row>
    <row r="6" spans="1:8" ht="24" customHeight="1" x14ac:dyDescent="0.25">
      <c r="A6" s="145" t="s">
        <v>211</v>
      </c>
      <c r="B6" s="145"/>
    </row>
    <row r="7" spans="1:8" ht="57" x14ac:dyDescent="0.25">
      <c r="A7" s="112" t="s">
        <v>5</v>
      </c>
      <c r="B7" s="116" t="s">
        <v>6</v>
      </c>
      <c r="C7" s="112" t="s">
        <v>7</v>
      </c>
      <c r="D7" s="112" t="s">
        <v>8</v>
      </c>
      <c r="E7" s="112" t="s">
        <v>9</v>
      </c>
      <c r="F7" s="112" t="s">
        <v>10</v>
      </c>
      <c r="G7" s="112" t="s">
        <v>832</v>
      </c>
      <c r="H7" s="112" t="s">
        <v>830</v>
      </c>
    </row>
    <row r="8" spans="1:8" ht="25.5" customHeight="1" x14ac:dyDescent="0.25">
      <c r="A8" s="126">
        <v>1</v>
      </c>
      <c r="B8" s="117" t="s">
        <v>456</v>
      </c>
      <c r="C8" s="126" t="s">
        <v>458</v>
      </c>
      <c r="D8" s="126" t="s">
        <v>336</v>
      </c>
      <c r="E8" s="129" t="s">
        <v>459</v>
      </c>
      <c r="F8" s="126">
        <v>4</v>
      </c>
      <c r="G8" s="129" t="s">
        <v>847</v>
      </c>
      <c r="H8" s="126" t="s">
        <v>831</v>
      </c>
    </row>
    <row r="9" spans="1:8" ht="25.5" customHeight="1" x14ac:dyDescent="0.25">
      <c r="A9" s="126"/>
      <c r="B9" s="109" t="s">
        <v>457</v>
      </c>
      <c r="C9" s="126"/>
      <c r="D9" s="126"/>
      <c r="E9" s="129"/>
      <c r="F9" s="126"/>
      <c r="G9" s="129"/>
      <c r="H9" s="126"/>
    </row>
    <row r="10" spans="1:8" ht="25.5" customHeight="1" x14ac:dyDescent="0.25">
      <c r="A10" s="126">
        <f>1+A8</f>
        <v>2</v>
      </c>
      <c r="B10" s="117" t="s">
        <v>460</v>
      </c>
      <c r="C10" s="126" t="s">
        <v>386</v>
      </c>
      <c r="D10" s="126" t="s">
        <v>336</v>
      </c>
      <c r="E10" s="129">
        <v>43835</v>
      </c>
      <c r="F10" s="126">
        <v>3</v>
      </c>
      <c r="G10" s="129" t="s">
        <v>848</v>
      </c>
      <c r="H10" s="126" t="s">
        <v>831</v>
      </c>
    </row>
    <row r="11" spans="1:8" ht="25.5" customHeight="1" x14ac:dyDescent="0.25">
      <c r="A11" s="126"/>
      <c r="B11" s="109" t="s">
        <v>461</v>
      </c>
      <c r="C11" s="126"/>
      <c r="D11" s="126"/>
      <c r="E11" s="129"/>
      <c r="F11" s="126"/>
      <c r="G11" s="129"/>
      <c r="H11" s="126"/>
    </row>
    <row r="12" spans="1:8" ht="25.5" customHeight="1" x14ac:dyDescent="0.25">
      <c r="A12" s="126">
        <f t="shared" ref="A12" si="0">1+A10</f>
        <v>3</v>
      </c>
      <c r="B12" s="117" t="s">
        <v>462</v>
      </c>
      <c r="C12" s="126" t="s">
        <v>464</v>
      </c>
      <c r="D12" s="126" t="s">
        <v>336</v>
      </c>
      <c r="E12" s="129">
        <v>43835</v>
      </c>
      <c r="F12" s="126">
        <v>3</v>
      </c>
      <c r="G12" s="129" t="s">
        <v>848</v>
      </c>
      <c r="H12" s="126" t="s">
        <v>831</v>
      </c>
    </row>
    <row r="13" spans="1:8" ht="25.5" customHeight="1" x14ac:dyDescent="0.25">
      <c r="A13" s="126"/>
      <c r="B13" s="109" t="s">
        <v>463</v>
      </c>
      <c r="C13" s="126"/>
      <c r="D13" s="126"/>
      <c r="E13" s="129"/>
      <c r="F13" s="126"/>
      <c r="G13" s="129"/>
      <c r="H13" s="126"/>
    </row>
    <row r="14" spans="1:8" ht="25.5" customHeight="1" x14ac:dyDescent="0.25">
      <c r="A14" s="126">
        <f t="shared" ref="A14" si="1">1+A12</f>
        <v>4</v>
      </c>
      <c r="B14" s="117" t="s">
        <v>465</v>
      </c>
      <c r="C14" s="126" t="s">
        <v>467</v>
      </c>
      <c r="D14" s="126" t="s">
        <v>336</v>
      </c>
      <c r="E14" s="129">
        <v>43835</v>
      </c>
      <c r="F14" s="126">
        <v>3</v>
      </c>
      <c r="G14" s="129" t="s">
        <v>848</v>
      </c>
      <c r="H14" s="126" t="s">
        <v>831</v>
      </c>
    </row>
    <row r="15" spans="1:8" ht="25.5" customHeight="1" x14ac:dyDescent="0.25">
      <c r="A15" s="126"/>
      <c r="B15" s="109" t="s">
        <v>466</v>
      </c>
      <c r="C15" s="126"/>
      <c r="D15" s="126"/>
      <c r="E15" s="129"/>
      <c r="F15" s="126"/>
      <c r="G15" s="129"/>
      <c r="H15" s="126"/>
    </row>
    <row r="16" spans="1:8" ht="25.5" customHeight="1" x14ac:dyDescent="0.25">
      <c r="A16" s="126">
        <f t="shared" ref="A16" si="2">1+A14</f>
        <v>5</v>
      </c>
      <c r="B16" s="117" t="s">
        <v>468</v>
      </c>
      <c r="C16" s="126" t="s">
        <v>470</v>
      </c>
      <c r="D16" s="126" t="s">
        <v>471</v>
      </c>
      <c r="E16" s="129">
        <v>43835</v>
      </c>
      <c r="F16" s="126">
        <v>5</v>
      </c>
      <c r="G16" s="129" t="s">
        <v>848</v>
      </c>
      <c r="H16" s="126" t="s">
        <v>831</v>
      </c>
    </row>
    <row r="17" spans="1:8" ht="25.5" customHeight="1" x14ac:dyDescent="0.25">
      <c r="A17" s="126"/>
      <c r="B17" s="109" t="s">
        <v>469</v>
      </c>
      <c r="C17" s="126"/>
      <c r="D17" s="126"/>
      <c r="E17" s="129"/>
      <c r="F17" s="126"/>
      <c r="G17" s="129"/>
      <c r="H17" s="126"/>
    </row>
    <row r="18" spans="1:8" ht="25.5" customHeight="1" x14ac:dyDescent="0.25">
      <c r="A18" s="126">
        <f t="shared" ref="A18" si="3">1+A16</f>
        <v>6</v>
      </c>
      <c r="B18" s="117" t="s">
        <v>472</v>
      </c>
      <c r="C18" s="126" t="s">
        <v>786</v>
      </c>
      <c r="D18" s="126" t="s">
        <v>473</v>
      </c>
      <c r="E18" s="129">
        <v>44083</v>
      </c>
      <c r="F18" s="126">
        <v>5</v>
      </c>
      <c r="G18" s="129" t="s">
        <v>848</v>
      </c>
      <c r="H18" s="126" t="s">
        <v>831</v>
      </c>
    </row>
    <row r="19" spans="1:8" ht="25.5" customHeight="1" x14ac:dyDescent="0.25">
      <c r="A19" s="126"/>
      <c r="B19" s="109" t="s">
        <v>764</v>
      </c>
      <c r="C19" s="126"/>
      <c r="D19" s="126"/>
      <c r="E19" s="129"/>
      <c r="F19" s="126"/>
      <c r="G19" s="129"/>
      <c r="H19" s="126"/>
    </row>
    <row r="20" spans="1:8" ht="25.5" customHeight="1" x14ac:dyDescent="0.25">
      <c r="A20" s="126">
        <f t="shared" ref="A20" si="4">1+A18</f>
        <v>7</v>
      </c>
      <c r="B20" s="117" t="s">
        <v>337</v>
      </c>
      <c r="C20" s="126" t="s">
        <v>833</v>
      </c>
      <c r="D20" s="126" t="s">
        <v>336</v>
      </c>
      <c r="E20" s="129">
        <v>44745</v>
      </c>
      <c r="F20" s="126">
        <v>4</v>
      </c>
      <c r="G20" s="129" t="s">
        <v>848</v>
      </c>
      <c r="H20" s="126" t="s">
        <v>831</v>
      </c>
    </row>
    <row r="21" spans="1:8" ht="25.5" customHeight="1" x14ac:dyDescent="0.25">
      <c r="A21" s="126"/>
      <c r="B21" s="109" t="s">
        <v>474</v>
      </c>
      <c r="C21" s="126"/>
      <c r="D21" s="126"/>
      <c r="E21" s="129"/>
      <c r="F21" s="126"/>
      <c r="G21" s="129"/>
      <c r="H21" s="126"/>
    </row>
    <row r="22" spans="1:8" ht="25.5" customHeight="1" x14ac:dyDescent="0.25">
      <c r="A22" s="126">
        <f t="shared" ref="A22" si="5">1+A20</f>
        <v>8</v>
      </c>
      <c r="B22" s="117" t="s">
        <v>339</v>
      </c>
      <c r="C22" s="126" t="s">
        <v>477</v>
      </c>
      <c r="D22" s="126" t="s">
        <v>336</v>
      </c>
      <c r="E22" s="129" t="s">
        <v>475</v>
      </c>
      <c r="F22" s="126">
        <v>4</v>
      </c>
      <c r="G22" s="129" t="s">
        <v>848</v>
      </c>
      <c r="H22" s="126" t="s">
        <v>831</v>
      </c>
    </row>
    <row r="23" spans="1:8" ht="25.5" customHeight="1" x14ac:dyDescent="0.25">
      <c r="A23" s="126"/>
      <c r="B23" s="109" t="s">
        <v>476</v>
      </c>
      <c r="C23" s="126"/>
      <c r="D23" s="126"/>
      <c r="E23" s="129"/>
      <c r="F23" s="126"/>
      <c r="G23" s="129"/>
      <c r="H23" s="126"/>
    </row>
    <row r="24" spans="1:8" ht="25.5" customHeight="1" x14ac:dyDescent="0.25">
      <c r="A24" s="126">
        <f t="shared" ref="A24" si="6">1+A22</f>
        <v>9</v>
      </c>
      <c r="B24" s="117" t="s">
        <v>766</v>
      </c>
      <c r="C24" s="126" t="s">
        <v>787</v>
      </c>
      <c r="D24" s="126" t="s">
        <v>473</v>
      </c>
      <c r="E24" s="129">
        <v>44636</v>
      </c>
      <c r="F24" s="126">
        <v>9</v>
      </c>
      <c r="G24" s="129" t="s">
        <v>848</v>
      </c>
      <c r="H24" s="126" t="s">
        <v>831</v>
      </c>
    </row>
    <row r="25" spans="1:8" ht="25.5" customHeight="1" x14ac:dyDescent="0.25">
      <c r="A25" s="126"/>
      <c r="B25" s="109" t="s">
        <v>767</v>
      </c>
      <c r="C25" s="126"/>
      <c r="D25" s="126"/>
      <c r="E25" s="129"/>
      <c r="F25" s="126"/>
      <c r="G25" s="129"/>
      <c r="H25" s="126"/>
    </row>
    <row r="26" spans="1:8" ht="25.5" customHeight="1" x14ac:dyDescent="0.25">
      <c r="A26" s="126">
        <f t="shared" ref="A26" si="7">1+A24</f>
        <v>10</v>
      </c>
      <c r="B26" s="117" t="s">
        <v>763</v>
      </c>
      <c r="C26" s="126" t="s">
        <v>788</v>
      </c>
      <c r="D26" s="126" t="s">
        <v>473</v>
      </c>
      <c r="E26" s="129">
        <v>44636</v>
      </c>
      <c r="F26" s="126">
        <v>1</v>
      </c>
      <c r="G26" s="129" t="s">
        <v>848</v>
      </c>
      <c r="H26" s="126" t="s">
        <v>831</v>
      </c>
    </row>
    <row r="27" spans="1:8" ht="28.5" customHeight="1" x14ac:dyDescent="0.25">
      <c r="A27" s="126"/>
      <c r="B27" s="109" t="s">
        <v>765</v>
      </c>
      <c r="C27" s="126"/>
      <c r="D27" s="126"/>
      <c r="E27" s="129"/>
      <c r="F27" s="126"/>
      <c r="G27" s="129"/>
      <c r="H27" s="126"/>
    </row>
    <row r="28" spans="1:8" ht="28.5" customHeight="1" x14ac:dyDescent="0.25">
      <c r="A28" s="126">
        <f t="shared" ref="A28" si="8">1+A26</f>
        <v>11</v>
      </c>
      <c r="B28" s="117" t="s">
        <v>768</v>
      </c>
      <c r="C28" s="134" t="s">
        <v>769</v>
      </c>
      <c r="D28" s="126" t="s">
        <v>473</v>
      </c>
      <c r="E28" s="140">
        <v>43101</v>
      </c>
      <c r="F28" s="126">
        <v>0</v>
      </c>
      <c r="G28" s="129" t="s">
        <v>848</v>
      </c>
      <c r="H28" s="126" t="s">
        <v>831</v>
      </c>
    </row>
    <row r="29" spans="1:8" ht="28.5" customHeight="1" x14ac:dyDescent="0.25">
      <c r="A29" s="126"/>
      <c r="B29" s="109" t="s">
        <v>770</v>
      </c>
      <c r="C29" s="135"/>
      <c r="D29" s="126"/>
      <c r="E29" s="126"/>
      <c r="F29" s="126"/>
      <c r="G29" s="129"/>
      <c r="H29" s="126"/>
    </row>
    <row r="30" spans="1:8" ht="25.5" customHeight="1" x14ac:dyDescent="0.25">
      <c r="A30" s="126">
        <f t="shared" ref="A30" si="9">1+A28</f>
        <v>12</v>
      </c>
      <c r="B30" s="117" t="s">
        <v>478</v>
      </c>
      <c r="C30" s="126" t="s">
        <v>480</v>
      </c>
      <c r="D30" s="126" t="s">
        <v>471</v>
      </c>
      <c r="E30" s="129">
        <v>44564</v>
      </c>
      <c r="F30" s="126">
        <v>5</v>
      </c>
      <c r="G30" s="129" t="s">
        <v>848</v>
      </c>
      <c r="H30" s="126" t="s">
        <v>831</v>
      </c>
    </row>
    <row r="31" spans="1:8" ht="25.5" customHeight="1" x14ac:dyDescent="0.25">
      <c r="A31" s="126"/>
      <c r="B31" s="109" t="s">
        <v>479</v>
      </c>
      <c r="C31" s="126"/>
      <c r="D31" s="126"/>
      <c r="E31" s="129"/>
      <c r="F31" s="126"/>
      <c r="G31" s="129"/>
      <c r="H31" s="126"/>
    </row>
    <row r="32" spans="1:8" ht="25.5" customHeight="1" x14ac:dyDescent="0.25">
      <c r="A32" s="126">
        <f t="shared" ref="A32:A38" si="10">1+A30</f>
        <v>13</v>
      </c>
      <c r="B32" s="117" t="s">
        <v>481</v>
      </c>
      <c r="C32" s="126" t="s">
        <v>483</v>
      </c>
      <c r="D32" s="126" t="s">
        <v>471</v>
      </c>
      <c r="E32" s="129">
        <v>44566</v>
      </c>
      <c r="F32" s="126">
        <v>5</v>
      </c>
      <c r="G32" s="129" t="s">
        <v>848</v>
      </c>
      <c r="H32" s="126" t="s">
        <v>831</v>
      </c>
    </row>
    <row r="33" spans="1:8" ht="25.5" customHeight="1" x14ac:dyDescent="0.25">
      <c r="A33" s="126"/>
      <c r="B33" s="109" t="s">
        <v>482</v>
      </c>
      <c r="C33" s="126"/>
      <c r="D33" s="126"/>
      <c r="E33" s="129"/>
      <c r="F33" s="126"/>
      <c r="G33" s="129"/>
      <c r="H33" s="126"/>
    </row>
    <row r="34" spans="1:8" ht="25.5" customHeight="1" x14ac:dyDescent="0.25">
      <c r="A34" s="126">
        <f t="shared" si="10"/>
        <v>14</v>
      </c>
      <c r="B34" s="119" t="s">
        <v>886</v>
      </c>
      <c r="C34" s="126" t="s">
        <v>483</v>
      </c>
      <c r="D34" s="126" t="s">
        <v>471</v>
      </c>
      <c r="E34" s="129">
        <v>44566</v>
      </c>
      <c r="F34" s="126">
        <v>5</v>
      </c>
      <c r="G34" s="129" t="s">
        <v>848</v>
      </c>
      <c r="H34" s="126" t="s">
        <v>831</v>
      </c>
    </row>
    <row r="35" spans="1:8" ht="25.5" customHeight="1" x14ac:dyDescent="0.25">
      <c r="A35" s="126"/>
      <c r="B35" s="109" t="s">
        <v>888</v>
      </c>
      <c r="C35" s="126"/>
      <c r="D35" s="126"/>
      <c r="E35" s="129"/>
      <c r="F35" s="126"/>
      <c r="G35" s="129"/>
      <c r="H35" s="126"/>
    </row>
    <row r="36" spans="1:8" ht="25.5" customHeight="1" x14ac:dyDescent="0.25">
      <c r="A36" s="126">
        <f t="shared" si="10"/>
        <v>15</v>
      </c>
      <c r="B36" s="119" t="s">
        <v>889</v>
      </c>
      <c r="C36" s="126" t="s">
        <v>483</v>
      </c>
      <c r="D36" s="126" t="s">
        <v>471</v>
      </c>
      <c r="E36" s="129">
        <v>44566</v>
      </c>
      <c r="F36" s="126">
        <v>5</v>
      </c>
      <c r="G36" s="129" t="s">
        <v>848</v>
      </c>
      <c r="H36" s="126" t="s">
        <v>831</v>
      </c>
    </row>
    <row r="37" spans="1:8" ht="25.5" customHeight="1" x14ac:dyDescent="0.25">
      <c r="A37" s="126"/>
      <c r="B37" s="109" t="s">
        <v>887</v>
      </c>
      <c r="C37" s="126"/>
      <c r="D37" s="126"/>
      <c r="E37" s="129"/>
      <c r="F37" s="126"/>
      <c r="G37" s="129"/>
      <c r="H37" s="126"/>
    </row>
    <row r="38" spans="1:8" ht="25.5" customHeight="1" x14ac:dyDescent="0.25">
      <c r="A38" s="126">
        <f t="shared" si="10"/>
        <v>16</v>
      </c>
      <c r="B38" s="117" t="s">
        <v>484</v>
      </c>
      <c r="C38" s="126" t="s">
        <v>789</v>
      </c>
      <c r="D38" s="126" t="s">
        <v>486</v>
      </c>
      <c r="E38" s="129">
        <v>43835</v>
      </c>
      <c r="F38" s="126">
        <v>1</v>
      </c>
      <c r="G38" s="129" t="s">
        <v>848</v>
      </c>
      <c r="H38" s="126" t="s">
        <v>831</v>
      </c>
    </row>
    <row r="39" spans="1:8" ht="25.5" customHeight="1" x14ac:dyDescent="0.25">
      <c r="A39" s="126"/>
      <c r="B39" s="109" t="s">
        <v>485</v>
      </c>
      <c r="C39" s="126"/>
      <c r="D39" s="126"/>
      <c r="E39" s="129"/>
      <c r="F39" s="126"/>
      <c r="G39" s="129"/>
      <c r="H39" s="126"/>
    </row>
    <row r="40" spans="1:8" ht="25.5" customHeight="1" x14ac:dyDescent="0.25">
      <c r="A40" s="126">
        <f t="shared" ref="A40" si="11">1+A38</f>
        <v>17</v>
      </c>
      <c r="B40" s="117" t="s">
        <v>771</v>
      </c>
      <c r="C40" s="126" t="s">
        <v>487</v>
      </c>
      <c r="D40" s="134" t="s">
        <v>336</v>
      </c>
      <c r="E40" s="129">
        <v>43835</v>
      </c>
      <c r="F40" s="126">
        <v>3</v>
      </c>
      <c r="G40" s="129" t="s">
        <v>848</v>
      </c>
      <c r="H40" s="126" t="s">
        <v>831</v>
      </c>
    </row>
    <row r="41" spans="1:8" ht="25.5" customHeight="1" x14ac:dyDescent="0.25">
      <c r="A41" s="126"/>
      <c r="B41" s="109" t="s">
        <v>774</v>
      </c>
      <c r="C41" s="126"/>
      <c r="D41" s="135"/>
      <c r="E41" s="129"/>
      <c r="F41" s="126"/>
      <c r="G41" s="129"/>
      <c r="H41" s="126"/>
    </row>
    <row r="42" spans="1:8" ht="25.5" customHeight="1" x14ac:dyDescent="0.25">
      <c r="A42" s="126">
        <f t="shared" ref="A42" si="12">1+A40</f>
        <v>18</v>
      </c>
      <c r="B42" s="117" t="s">
        <v>775</v>
      </c>
      <c r="C42" s="126" t="s">
        <v>773</v>
      </c>
      <c r="D42" s="134" t="s">
        <v>336</v>
      </c>
      <c r="E42" s="129">
        <v>43835</v>
      </c>
      <c r="F42" s="126">
        <v>3</v>
      </c>
      <c r="G42" s="129" t="s">
        <v>848</v>
      </c>
      <c r="H42" s="126" t="s">
        <v>831</v>
      </c>
    </row>
    <row r="43" spans="1:8" ht="25.5" customHeight="1" x14ac:dyDescent="0.25">
      <c r="A43" s="126"/>
      <c r="B43" s="109" t="s">
        <v>779</v>
      </c>
      <c r="C43" s="126"/>
      <c r="D43" s="135"/>
      <c r="E43" s="129"/>
      <c r="F43" s="126"/>
      <c r="G43" s="129"/>
      <c r="H43" s="126"/>
    </row>
    <row r="44" spans="1:8" ht="25.5" customHeight="1" x14ac:dyDescent="0.25">
      <c r="A44" s="126">
        <f t="shared" ref="A44" si="13">1+A42</f>
        <v>19</v>
      </c>
      <c r="B44" s="117" t="s">
        <v>772</v>
      </c>
      <c r="C44" s="126" t="s">
        <v>361</v>
      </c>
      <c r="D44" s="134" t="s">
        <v>336</v>
      </c>
      <c r="E44" s="129">
        <v>43835</v>
      </c>
      <c r="F44" s="126">
        <v>3</v>
      </c>
      <c r="G44" s="129" t="s">
        <v>848</v>
      </c>
      <c r="H44" s="126" t="s">
        <v>831</v>
      </c>
    </row>
    <row r="45" spans="1:8" ht="25.5" customHeight="1" x14ac:dyDescent="0.25">
      <c r="A45" s="126"/>
      <c r="B45" s="109" t="s">
        <v>780</v>
      </c>
      <c r="C45" s="126"/>
      <c r="D45" s="135"/>
      <c r="E45" s="129"/>
      <c r="F45" s="126"/>
      <c r="G45" s="129"/>
      <c r="H45" s="126"/>
    </row>
    <row r="46" spans="1:8" ht="25.5" customHeight="1" x14ac:dyDescent="0.25">
      <c r="A46" s="126">
        <f t="shared" ref="A46" si="14">1+A44</f>
        <v>20</v>
      </c>
      <c r="B46" s="117" t="s">
        <v>488</v>
      </c>
      <c r="C46" s="126" t="s">
        <v>489</v>
      </c>
      <c r="D46" s="126" t="s">
        <v>336</v>
      </c>
      <c r="E46" s="129">
        <v>44571</v>
      </c>
      <c r="F46" s="126">
        <v>4</v>
      </c>
      <c r="G46" s="129" t="s">
        <v>848</v>
      </c>
      <c r="H46" s="126" t="s">
        <v>831</v>
      </c>
    </row>
    <row r="47" spans="1:8" ht="25.5" customHeight="1" x14ac:dyDescent="0.25">
      <c r="A47" s="126"/>
      <c r="B47" s="109" t="s">
        <v>776</v>
      </c>
      <c r="C47" s="126"/>
      <c r="D47" s="126"/>
      <c r="E47" s="129"/>
      <c r="F47" s="126"/>
      <c r="G47" s="129"/>
      <c r="H47" s="126"/>
    </row>
    <row r="48" spans="1:8" ht="25.5" customHeight="1" x14ac:dyDescent="0.25">
      <c r="A48" s="126">
        <f t="shared" ref="A48" si="15">1+A46</f>
        <v>21</v>
      </c>
      <c r="B48" s="117" t="s">
        <v>490</v>
      </c>
      <c r="C48" s="126" t="s">
        <v>491</v>
      </c>
      <c r="D48" s="126" t="s">
        <v>336</v>
      </c>
      <c r="E48" s="129" t="s">
        <v>492</v>
      </c>
      <c r="F48" s="126">
        <v>1</v>
      </c>
      <c r="G48" s="129" t="s">
        <v>848</v>
      </c>
      <c r="H48" s="126" t="s">
        <v>831</v>
      </c>
    </row>
    <row r="49" spans="1:8" ht="25.5" customHeight="1" x14ac:dyDescent="0.25">
      <c r="A49" s="126"/>
      <c r="B49" s="109" t="s">
        <v>777</v>
      </c>
      <c r="C49" s="126"/>
      <c r="D49" s="126"/>
      <c r="E49" s="129"/>
      <c r="F49" s="126"/>
      <c r="G49" s="129"/>
      <c r="H49" s="126"/>
    </row>
    <row r="50" spans="1:8" ht="25.5" customHeight="1" x14ac:dyDescent="0.25">
      <c r="A50" s="126">
        <f t="shared" ref="A50" si="16">1+A48</f>
        <v>22</v>
      </c>
      <c r="B50" s="117" t="s">
        <v>598</v>
      </c>
      <c r="C50" s="126" t="s">
        <v>595</v>
      </c>
      <c r="D50" s="126" t="s">
        <v>336</v>
      </c>
      <c r="E50" s="129" t="s">
        <v>492</v>
      </c>
      <c r="F50" s="126">
        <v>0</v>
      </c>
      <c r="G50" s="129" t="s">
        <v>848</v>
      </c>
      <c r="H50" s="126" t="s">
        <v>831</v>
      </c>
    </row>
    <row r="51" spans="1:8" ht="25.5" customHeight="1" x14ac:dyDescent="0.25">
      <c r="A51" s="126"/>
      <c r="B51" s="109" t="s">
        <v>599</v>
      </c>
      <c r="C51" s="126"/>
      <c r="D51" s="126"/>
      <c r="E51" s="129"/>
      <c r="F51" s="126"/>
      <c r="G51" s="129"/>
      <c r="H51" s="126"/>
    </row>
    <row r="52" spans="1:8" ht="25.5" customHeight="1" x14ac:dyDescent="0.25">
      <c r="A52" s="126">
        <f t="shared" ref="A52" si="17">1+A50</f>
        <v>23</v>
      </c>
      <c r="B52" s="117" t="s">
        <v>493</v>
      </c>
      <c r="C52" s="126" t="s">
        <v>495</v>
      </c>
      <c r="D52" s="126" t="s">
        <v>336</v>
      </c>
      <c r="E52" s="129">
        <v>43661</v>
      </c>
      <c r="F52" s="126">
        <v>0</v>
      </c>
      <c r="G52" s="129" t="s">
        <v>834</v>
      </c>
      <c r="H52" s="126" t="s">
        <v>831</v>
      </c>
    </row>
    <row r="53" spans="1:8" ht="25.5" customHeight="1" x14ac:dyDescent="0.25">
      <c r="A53" s="126"/>
      <c r="B53" s="109" t="s">
        <v>494</v>
      </c>
      <c r="C53" s="126" t="s">
        <v>495</v>
      </c>
      <c r="D53" s="126"/>
      <c r="E53" s="129" t="s">
        <v>496</v>
      </c>
      <c r="F53" s="126">
        <v>0</v>
      </c>
      <c r="G53" s="129" t="s">
        <v>496</v>
      </c>
      <c r="H53" s="126"/>
    </row>
    <row r="54" spans="1:8" ht="25.5" customHeight="1" x14ac:dyDescent="0.25">
      <c r="A54" s="126">
        <f t="shared" ref="A54" si="18">1+A52</f>
        <v>24</v>
      </c>
      <c r="B54" s="117" t="s">
        <v>497</v>
      </c>
      <c r="C54" s="126" t="s">
        <v>498</v>
      </c>
      <c r="D54" s="126" t="s">
        <v>336</v>
      </c>
      <c r="E54" s="129" t="s">
        <v>459</v>
      </c>
      <c r="F54" s="126">
        <v>4</v>
      </c>
      <c r="G54" s="129" t="s">
        <v>835</v>
      </c>
      <c r="H54" s="126" t="s">
        <v>831</v>
      </c>
    </row>
    <row r="55" spans="1:8" ht="25.5" customHeight="1" x14ac:dyDescent="0.25">
      <c r="A55" s="126"/>
      <c r="B55" s="109" t="s">
        <v>778</v>
      </c>
      <c r="C55" s="126"/>
      <c r="D55" s="126"/>
      <c r="E55" s="129"/>
      <c r="F55" s="126"/>
      <c r="G55" s="129"/>
      <c r="H55" s="126"/>
    </row>
    <row r="56" spans="1:8" ht="25.5" customHeight="1" x14ac:dyDescent="0.25">
      <c r="A56" s="126">
        <f t="shared" ref="A56" si="19">1+A54</f>
        <v>25</v>
      </c>
      <c r="B56" s="110" t="s">
        <v>792</v>
      </c>
      <c r="C56" s="126" t="s">
        <v>790</v>
      </c>
      <c r="D56" s="126" t="s">
        <v>791</v>
      </c>
      <c r="E56" s="129">
        <v>42739</v>
      </c>
      <c r="F56" s="126">
        <v>3</v>
      </c>
      <c r="G56" s="129" t="s">
        <v>791</v>
      </c>
      <c r="H56" s="126" t="s">
        <v>831</v>
      </c>
    </row>
    <row r="57" spans="1:8" ht="25.5" customHeight="1" x14ac:dyDescent="0.25">
      <c r="A57" s="126"/>
      <c r="B57" s="109" t="s">
        <v>793</v>
      </c>
      <c r="C57" s="126"/>
      <c r="D57" s="126"/>
      <c r="E57" s="129"/>
      <c r="F57" s="126"/>
      <c r="G57" s="129"/>
      <c r="H57" s="126"/>
    </row>
    <row r="58" spans="1:8" ht="25.5" customHeight="1" x14ac:dyDescent="0.25">
      <c r="A58" s="126">
        <f t="shared" ref="A58" si="20">1+A56</f>
        <v>26</v>
      </c>
      <c r="B58" s="110" t="s">
        <v>794</v>
      </c>
      <c r="C58" s="126" t="s">
        <v>828</v>
      </c>
      <c r="D58" s="126" t="s">
        <v>336</v>
      </c>
      <c r="E58" s="129">
        <v>42739</v>
      </c>
      <c r="F58" s="126">
        <v>5</v>
      </c>
      <c r="G58" s="129" t="s">
        <v>848</v>
      </c>
      <c r="H58" s="126" t="s">
        <v>831</v>
      </c>
    </row>
    <row r="59" spans="1:8" ht="25.5" customHeight="1" x14ac:dyDescent="0.25">
      <c r="A59" s="126"/>
      <c r="B59" s="109" t="s">
        <v>795</v>
      </c>
      <c r="C59" s="126"/>
      <c r="D59" s="126"/>
      <c r="E59" s="129"/>
      <c r="F59" s="126"/>
      <c r="G59" s="129"/>
      <c r="H59" s="126"/>
    </row>
    <row r="60" spans="1:8" ht="25.5" customHeight="1" x14ac:dyDescent="0.25">
      <c r="A60" s="126">
        <f t="shared" ref="A60" si="21">1+A58</f>
        <v>27</v>
      </c>
      <c r="B60" s="117" t="s">
        <v>499</v>
      </c>
      <c r="C60" s="126" t="s">
        <v>666</v>
      </c>
      <c r="D60" s="126" t="s">
        <v>501</v>
      </c>
      <c r="E60" s="129">
        <v>44270</v>
      </c>
      <c r="F60" s="126">
        <v>5</v>
      </c>
      <c r="G60" s="129" t="s">
        <v>836</v>
      </c>
      <c r="H60" s="126" t="s">
        <v>831</v>
      </c>
    </row>
    <row r="61" spans="1:8" ht="25.5" customHeight="1" x14ac:dyDescent="0.25">
      <c r="A61" s="126"/>
      <c r="B61" s="109" t="s">
        <v>500</v>
      </c>
      <c r="C61" s="126"/>
      <c r="D61" s="126"/>
      <c r="E61" s="129"/>
      <c r="F61" s="126"/>
      <c r="G61" s="129"/>
      <c r="H61" s="126"/>
    </row>
    <row r="62" spans="1:8" ht="25.5" customHeight="1" x14ac:dyDescent="0.25">
      <c r="A62" s="126">
        <f t="shared" ref="A62" si="22">1+A60</f>
        <v>28</v>
      </c>
      <c r="B62" s="117" t="s">
        <v>502</v>
      </c>
      <c r="C62" s="126" t="s">
        <v>504</v>
      </c>
      <c r="D62" s="126" t="s">
        <v>336</v>
      </c>
      <c r="E62" s="129">
        <v>43101</v>
      </c>
      <c r="F62" s="128">
        <v>0</v>
      </c>
      <c r="G62" s="129" t="s">
        <v>848</v>
      </c>
      <c r="H62" s="126" t="s">
        <v>831</v>
      </c>
    </row>
    <row r="63" spans="1:8" ht="25.5" customHeight="1" x14ac:dyDescent="0.25">
      <c r="A63" s="126"/>
      <c r="B63" s="109" t="s">
        <v>503</v>
      </c>
      <c r="C63" s="126"/>
      <c r="D63" s="126"/>
      <c r="E63" s="129"/>
      <c r="F63" s="126"/>
      <c r="G63" s="129"/>
      <c r="H63" s="126"/>
    </row>
    <row r="64" spans="1:8" ht="25.5" customHeight="1" x14ac:dyDescent="0.25">
      <c r="A64" s="126">
        <f t="shared" ref="A64" si="23">1+A62</f>
        <v>29</v>
      </c>
      <c r="B64" s="117" t="s">
        <v>505</v>
      </c>
      <c r="C64" s="126" t="s">
        <v>507</v>
      </c>
      <c r="D64" s="126" t="s">
        <v>336</v>
      </c>
      <c r="E64" s="129">
        <v>43952</v>
      </c>
      <c r="F64" s="126">
        <v>3</v>
      </c>
      <c r="G64" s="129" t="s">
        <v>848</v>
      </c>
      <c r="H64" s="126" t="s">
        <v>831</v>
      </c>
    </row>
    <row r="65" spans="1:8" ht="25.5" customHeight="1" x14ac:dyDescent="0.25">
      <c r="A65" s="126"/>
      <c r="B65" s="109" t="s">
        <v>506</v>
      </c>
      <c r="C65" s="126"/>
      <c r="D65" s="126"/>
      <c r="E65" s="129"/>
      <c r="F65" s="126"/>
      <c r="G65" s="129"/>
      <c r="H65" s="126"/>
    </row>
    <row r="66" spans="1:8" ht="25.5" customHeight="1" x14ac:dyDescent="0.25">
      <c r="A66" s="126">
        <f t="shared" ref="A66" si="24">1+A64</f>
        <v>30</v>
      </c>
      <c r="B66" s="117" t="s">
        <v>352</v>
      </c>
      <c r="C66" s="126" t="s">
        <v>509</v>
      </c>
      <c r="D66" s="126" t="s">
        <v>510</v>
      </c>
      <c r="E66" s="129">
        <v>43831</v>
      </c>
      <c r="F66" s="126">
        <v>1</v>
      </c>
      <c r="G66" s="129" t="s">
        <v>837</v>
      </c>
      <c r="H66" s="126" t="s">
        <v>831</v>
      </c>
    </row>
    <row r="67" spans="1:8" ht="25.5" customHeight="1" x14ac:dyDescent="0.25">
      <c r="A67" s="126"/>
      <c r="B67" s="109" t="s">
        <v>508</v>
      </c>
      <c r="C67" s="126"/>
      <c r="D67" s="126"/>
      <c r="E67" s="129"/>
      <c r="F67" s="126"/>
      <c r="G67" s="129"/>
      <c r="H67" s="126"/>
    </row>
    <row r="68" spans="1:8" ht="25.5" customHeight="1" x14ac:dyDescent="0.25">
      <c r="A68" s="126">
        <f t="shared" ref="A68" si="25">1+A66</f>
        <v>31</v>
      </c>
      <c r="B68" s="117" t="s">
        <v>511</v>
      </c>
      <c r="C68" s="126" t="s">
        <v>513</v>
      </c>
      <c r="D68" s="126" t="s">
        <v>336</v>
      </c>
      <c r="E68" s="129">
        <v>42739</v>
      </c>
      <c r="F68" s="126">
        <v>0</v>
      </c>
      <c r="G68" s="129" t="s">
        <v>610</v>
      </c>
      <c r="H68" s="126" t="s">
        <v>831</v>
      </c>
    </row>
    <row r="69" spans="1:8" ht="25.5" customHeight="1" x14ac:dyDescent="0.25">
      <c r="A69" s="126"/>
      <c r="B69" s="109" t="s">
        <v>512</v>
      </c>
      <c r="C69" s="126"/>
      <c r="D69" s="126"/>
      <c r="E69" s="129"/>
      <c r="F69" s="126"/>
      <c r="G69" s="129"/>
      <c r="H69" s="126"/>
    </row>
    <row r="70" spans="1:8" ht="25.5" customHeight="1" x14ac:dyDescent="0.25">
      <c r="A70" s="126">
        <f t="shared" ref="A70" si="26">1+A68</f>
        <v>32</v>
      </c>
      <c r="B70" s="117" t="s">
        <v>514</v>
      </c>
      <c r="C70" s="126" t="s">
        <v>516</v>
      </c>
      <c r="D70" s="126" t="s">
        <v>501</v>
      </c>
      <c r="E70" s="129">
        <v>43473</v>
      </c>
      <c r="F70" s="126">
        <v>2</v>
      </c>
      <c r="G70" s="129" t="s">
        <v>836</v>
      </c>
      <c r="H70" s="126" t="s">
        <v>831</v>
      </c>
    </row>
    <row r="71" spans="1:8" ht="25.5" customHeight="1" x14ac:dyDescent="0.25">
      <c r="A71" s="126"/>
      <c r="B71" s="109" t="s">
        <v>515</v>
      </c>
      <c r="C71" s="126"/>
      <c r="D71" s="126"/>
      <c r="E71" s="129"/>
      <c r="F71" s="126"/>
      <c r="G71" s="129"/>
      <c r="H71" s="126"/>
    </row>
    <row r="72" spans="1:8" ht="25.5" customHeight="1" x14ac:dyDescent="0.25">
      <c r="A72" s="126">
        <f t="shared" ref="A72" si="27">1+A70</f>
        <v>33</v>
      </c>
      <c r="B72" s="117" t="s">
        <v>517</v>
      </c>
      <c r="C72" s="126" t="s">
        <v>796</v>
      </c>
      <c r="D72" s="126" t="s">
        <v>501</v>
      </c>
      <c r="E72" s="129">
        <v>43471</v>
      </c>
      <c r="F72" s="126">
        <v>7</v>
      </c>
      <c r="G72" s="129" t="s">
        <v>836</v>
      </c>
      <c r="H72" s="126" t="s">
        <v>831</v>
      </c>
    </row>
    <row r="73" spans="1:8" ht="25.5" customHeight="1" x14ac:dyDescent="0.25">
      <c r="A73" s="126"/>
      <c r="B73" s="109" t="s">
        <v>518</v>
      </c>
      <c r="C73" s="126"/>
      <c r="D73" s="126"/>
      <c r="E73" s="129"/>
      <c r="F73" s="126"/>
      <c r="G73" s="129"/>
      <c r="H73" s="126"/>
    </row>
    <row r="74" spans="1:8" ht="25.5" customHeight="1" x14ac:dyDescent="0.25">
      <c r="A74" s="126">
        <f t="shared" ref="A74" si="28">1+A72</f>
        <v>34</v>
      </c>
      <c r="B74" s="117" t="s">
        <v>519</v>
      </c>
      <c r="C74" s="126" t="s">
        <v>521</v>
      </c>
      <c r="D74" s="126" t="s">
        <v>501</v>
      </c>
      <c r="E74" s="129">
        <v>43678</v>
      </c>
      <c r="F74" s="126">
        <v>2</v>
      </c>
      <c r="G74" s="129" t="s">
        <v>836</v>
      </c>
      <c r="H74" s="126" t="s">
        <v>831</v>
      </c>
    </row>
    <row r="75" spans="1:8" ht="25.5" customHeight="1" x14ac:dyDescent="0.25">
      <c r="A75" s="126"/>
      <c r="B75" s="109" t="s">
        <v>520</v>
      </c>
      <c r="C75" s="126"/>
      <c r="D75" s="126"/>
      <c r="E75" s="129"/>
      <c r="F75" s="126"/>
      <c r="G75" s="129"/>
      <c r="H75" s="126"/>
    </row>
    <row r="76" spans="1:8" ht="25.5" customHeight="1" x14ac:dyDescent="0.25">
      <c r="A76" s="126">
        <f t="shared" ref="A76" si="29">1+A74</f>
        <v>35</v>
      </c>
      <c r="B76" s="117" t="s">
        <v>522</v>
      </c>
      <c r="C76" s="126" t="s">
        <v>402</v>
      </c>
      <c r="D76" s="126" t="s">
        <v>524</v>
      </c>
      <c r="E76" s="129">
        <v>43471</v>
      </c>
      <c r="F76" s="126">
        <v>2</v>
      </c>
      <c r="G76" s="129" t="s">
        <v>838</v>
      </c>
      <c r="H76" s="126" t="s">
        <v>831</v>
      </c>
    </row>
    <row r="77" spans="1:8" ht="25.5" customHeight="1" x14ac:dyDescent="0.25">
      <c r="A77" s="126"/>
      <c r="B77" s="109" t="s">
        <v>523</v>
      </c>
      <c r="C77" s="126"/>
      <c r="D77" s="126"/>
      <c r="E77" s="129"/>
      <c r="F77" s="126"/>
      <c r="G77" s="129"/>
      <c r="H77" s="126"/>
    </row>
    <row r="78" spans="1:8" ht="25.5" customHeight="1" x14ac:dyDescent="0.25">
      <c r="A78" s="126">
        <f t="shared" ref="A78" si="30">1+A76</f>
        <v>36</v>
      </c>
      <c r="B78" s="117" t="s">
        <v>525</v>
      </c>
      <c r="C78" s="126" t="s">
        <v>527</v>
      </c>
      <c r="D78" s="126" t="s">
        <v>528</v>
      </c>
      <c r="E78" s="129">
        <v>42739</v>
      </c>
      <c r="F78" s="126">
        <v>0</v>
      </c>
      <c r="G78" s="129" t="s">
        <v>528</v>
      </c>
      <c r="H78" s="126" t="s">
        <v>831</v>
      </c>
    </row>
    <row r="79" spans="1:8" ht="25.5" customHeight="1" x14ac:dyDescent="0.25">
      <c r="A79" s="126"/>
      <c r="B79" s="109" t="s">
        <v>526</v>
      </c>
      <c r="C79" s="126"/>
      <c r="D79" s="126"/>
      <c r="E79" s="129"/>
      <c r="F79" s="126"/>
      <c r="G79" s="129"/>
      <c r="H79" s="126"/>
    </row>
    <row r="80" spans="1:8" ht="25.5" customHeight="1" x14ac:dyDescent="0.25">
      <c r="A80" s="126">
        <f t="shared" ref="A80" si="31">1+A78</f>
        <v>37</v>
      </c>
      <c r="B80" s="117" t="s">
        <v>797</v>
      </c>
      <c r="C80" s="126" t="s">
        <v>374</v>
      </c>
      <c r="D80" s="126" t="s">
        <v>528</v>
      </c>
      <c r="E80" s="129">
        <v>43831</v>
      </c>
      <c r="F80" s="126">
        <v>1</v>
      </c>
      <c r="G80" s="129">
        <v>43831</v>
      </c>
      <c r="H80" s="126" t="s">
        <v>831</v>
      </c>
    </row>
    <row r="81" spans="1:8" ht="25.5" customHeight="1" x14ac:dyDescent="0.25">
      <c r="A81" s="126"/>
      <c r="B81" s="109" t="s">
        <v>798</v>
      </c>
      <c r="C81" s="126"/>
      <c r="D81" s="126"/>
      <c r="E81" s="129"/>
      <c r="F81" s="126"/>
      <c r="G81" s="129"/>
      <c r="H81" s="126"/>
    </row>
    <row r="82" spans="1:8" ht="25.5" customHeight="1" x14ac:dyDescent="0.25">
      <c r="A82" s="126">
        <f t="shared" ref="A82" si="32">1+A80</f>
        <v>38</v>
      </c>
      <c r="B82" s="117" t="s">
        <v>529</v>
      </c>
      <c r="C82" s="126" t="s">
        <v>359</v>
      </c>
      <c r="D82" s="126" t="s">
        <v>528</v>
      </c>
      <c r="E82" s="129">
        <v>44083</v>
      </c>
      <c r="F82" s="126">
        <v>3</v>
      </c>
      <c r="G82" s="129">
        <v>44083</v>
      </c>
      <c r="H82" s="126" t="s">
        <v>831</v>
      </c>
    </row>
    <row r="83" spans="1:8" ht="25.5" customHeight="1" x14ac:dyDescent="0.25">
      <c r="A83" s="126"/>
      <c r="B83" s="109" t="s">
        <v>530</v>
      </c>
      <c r="C83" s="126"/>
      <c r="D83" s="126"/>
      <c r="E83" s="129"/>
      <c r="F83" s="126"/>
      <c r="G83" s="129"/>
      <c r="H83" s="126"/>
    </row>
    <row r="84" spans="1:8" ht="25.5" customHeight="1" x14ac:dyDescent="0.25">
      <c r="A84" s="126">
        <f t="shared" ref="A84" si="33">1+A82</f>
        <v>39</v>
      </c>
      <c r="B84" s="117" t="s">
        <v>531</v>
      </c>
      <c r="C84" s="126" t="s">
        <v>532</v>
      </c>
      <c r="D84" s="126" t="s">
        <v>501</v>
      </c>
      <c r="E84" s="129">
        <v>43678</v>
      </c>
      <c r="F84" s="126">
        <v>2</v>
      </c>
      <c r="G84" s="129" t="s">
        <v>836</v>
      </c>
      <c r="H84" s="126" t="s">
        <v>831</v>
      </c>
    </row>
    <row r="85" spans="1:8" ht="25.5" customHeight="1" x14ac:dyDescent="0.25">
      <c r="A85" s="126"/>
      <c r="B85" s="109" t="s">
        <v>781</v>
      </c>
      <c r="C85" s="126"/>
      <c r="D85" s="126"/>
      <c r="E85" s="129"/>
      <c r="F85" s="126"/>
      <c r="G85" s="129"/>
      <c r="H85" s="126"/>
    </row>
    <row r="86" spans="1:8" ht="25.5" customHeight="1" x14ac:dyDescent="0.25">
      <c r="A86" s="126">
        <f t="shared" ref="A86" si="34">1+A84</f>
        <v>40</v>
      </c>
      <c r="B86" s="117" t="s">
        <v>150</v>
      </c>
      <c r="C86" s="126" t="s">
        <v>783</v>
      </c>
      <c r="D86" s="126" t="s">
        <v>187</v>
      </c>
      <c r="E86" s="129">
        <v>44744</v>
      </c>
      <c r="F86" s="126">
        <v>5</v>
      </c>
      <c r="G86" s="129" t="s">
        <v>791</v>
      </c>
      <c r="H86" s="126" t="s">
        <v>831</v>
      </c>
    </row>
    <row r="87" spans="1:8" ht="25.5" customHeight="1" x14ac:dyDescent="0.25">
      <c r="A87" s="126"/>
      <c r="B87" s="109" t="s">
        <v>533</v>
      </c>
      <c r="C87" s="126"/>
      <c r="D87" s="126"/>
      <c r="E87" s="129"/>
      <c r="F87" s="126"/>
      <c r="G87" s="129"/>
      <c r="H87" s="126"/>
    </row>
    <row r="88" spans="1:8" ht="25.5" customHeight="1" x14ac:dyDescent="0.25">
      <c r="A88" s="126">
        <f t="shared" ref="A88" si="35">1+A86</f>
        <v>41</v>
      </c>
      <c r="B88" s="117" t="s">
        <v>801</v>
      </c>
      <c r="C88" s="126" t="s">
        <v>799</v>
      </c>
      <c r="D88" s="126" t="s">
        <v>187</v>
      </c>
      <c r="E88" s="129">
        <v>44636</v>
      </c>
      <c r="F88" s="126">
        <v>3</v>
      </c>
      <c r="G88" s="129" t="s">
        <v>791</v>
      </c>
      <c r="H88" s="126" t="s">
        <v>831</v>
      </c>
    </row>
    <row r="89" spans="1:8" ht="25.5" customHeight="1" x14ac:dyDescent="0.25">
      <c r="A89" s="126"/>
      <c r="B89" s="109" t="s">
        <v>802</v>
      </c>
      <c r="C89" s="126"/>
      <c r="D89" s="126"/>
      <c r="E89" s="129"/>
      <c r="F89" s="126"/>
      <c r="G89" s="129"/>
      <c r="H89" s="126"/>
    </row>
    <row r="90" spans="1:8" ht="25.5" customHeight="1" x14ac:dyDescent="0.25">
      <c r="A90" s="126">
        <f t="shared" ref="A90" si="36">1+A88</f>
        <v>42</v>
      </c>
      <c r="B90" s="117" t="s">
        <v>534</v>
      </c>
      <c r="C90" s="126" t="s">
        <v>784</v>
      </c>
      <c r="D90" s="126" t="s">
        <v>187</v>
      </c>
      <c r="E90" s="129">
        <v>44744</v>
      </c>
      <c r="F90" s="126">
        <v>5</v>
      </c>
      <c r="G90" s="129" t="s">
        <v>791</v>
      </c>
      <c r="H90" s="126" t="s">
        <v>831</v>
      </c>
    </row>
    <row r="91" spans="1:8" ht="25.5" customHeight="1" x14ac:dyDescent="0.25">
      <c r="A91" s="126"/>
      <c r="B91" s="109" t="s">
        <v>535</v>
      </c>
      <c r="C91" s="126"/>
      <c r="D91" s="126"/>
      <c r="E91" s="129"/>
      <c r="F91" s="126"/>
      <c r="G91" s="129"/>
      <c r="H91" s="126"/>
    </row>
    <row r="92" spans="1:8" ht="25.5" customHeight="1" x14ac:dyDescent="0.25">
      <c r="A92" s="126">
        <f t="shared" ref="A92" si="37">1+A90</f>
        <v>43</v>
      </c>
      <c r="B92" s="117" t="s">
        <v>800</v>
      </c>
      <c r="C92" s="126" t="s">
        <v>536</v>
      </c>
      <c r="D92" s="126" t="s">
        <v>187</v>
      </c>
      <c r="E92" s="129">
        <v>44636</v>
      </c>
      <c r="F92" s="126">
        <v>2</v>
      </c>
      <c r="G92" s="129" t="s">
        <v>791</v>
      </c>
      <c r="H92" s="126" t="s">
        <v>831</v>
      </c>
    </row>
    <row r="93" spans="1:8" ht="25.5" customHeight="1" x14ac:dyDescent="0.25">
      <c r="A93" s="126"/>
      <c r="B93" s="109" t="s">
        <v>803</v>
      </c>
      <c r="C93" s="126"/>
      <c r="D93" s="126"/>
      <c r="E93" s="129"/>
      <c r="F93" s="126"/>
      <c r="G93" s="129"/>
      <c r="H93" s="126"/>
    </row>
    <row r="94" spans="1:8" ht="25.5" customHeight="1" x14ac:dyDescent="0.25">
      <c r="A94" s="126">
        <f t="shared" ref="A94:A100" si="38">1+A92</f>
        <v>44</v>
      </c>
      <c r="B94" s="117" t="s">
        <v>807</v>
      </c>
      <c r="C94" s="126" t="s">
        <v>591</v>
      </c>
      <c r="D94" s="126" t="s">
        <v>187</v>
      </c>
      <c r="E94" s="129">
        <v>44688</v>
      </c>
      <c r="F94" s="126">
        <v>1</v>
      </c>
      <c r="G94" s="129" t="s">
        <v>848</v>
      </c>
      <c r="H94" s="126" t="s">
        <v>831</v>
      </c>
    </row>
    <row r="95" spans="1:8" ht="25.5" customHeight="1" x14ac:dyDescent="0.25">
      <c r="A95" s="126"/>
      <c r="B95" s="109" t="s">
        <v>808</v>
      </c>
      <c r="C95" s="126"/>
      <c r="D95" s="126"/>
      <c r="E95" s="129"/>
      <c r="F95" s="126"/>
      <c r="G95" s="129"/>
      <c r="H95" s="126"/>
    </row>
    <row r="96" spans="1:8" ht="25.5" customHeight="1" x14ac:dyDescent="0.25">
      <c r="A96" s="126">
        <f t="shared" si="38"/>
        <v>45</v>
      </c>
      <c r="B96" s="117" t="s">
        <v>843</v>
      </c>
      <c r="C96" s="126" t="s">
        <v>32</v>
      </c>
      <c r="D96" s="126" t="s">
        <v>187</v>
      </c>
      <c r="E96" s="129" t="s">
        <v>842</v>
      </c>
      <c r="F96" s="126">
        <v>0</v>
      </c>
      <c r="G96" s="129" t="s">
        <v>848</v>
      </c>
      <c r="H96" s="126" t="s">
        <v>831</v>
      </c>
    </row>
    <row r="97" spans="1:8" ht="25.5" customHeight="1" x14ac:dyDescent="0.25">
      <c r="A97" s="126"/>
      <c r="B97" s="109" t="s">
        <v>845</v>
      </c>
      <c r="C97" s="126"/>
      <c r="D97" s="126"/>
      <c r="E97" s="129"/>
      <c r="F97" s="126"/>
      <c r="G97" s="129"/>
      <c r="H97" s="126"/>
    </row>
    <row r="98" spans="1:8" ht="25.5" customHeight="1" x14ac:dyDescent="0.25">
      <c r="A98" s="126">
        <f t="shared" si="38"/>
        <v>46</v>
      </c>
      <c r="B98" s="117" t="s">
        <v>844</v>
      </c>
      <c r="C98" s="126" t="s">
        <v>23</v>
      </c>
      <c r="D98" s="126" t="s">
        <v>187</v>
      </c>
      <c r="E98" s="129" t="s">
        <v>842</v>
      </c>
      <c r="F98" s="126">
        <v>0</v>
      </c>
      <c r="G98" s="129" t="s">
        <v>848</v>
      </c>
      <c r="H98" s="126" t="s">
        <v>831</v>
      </c>
    </row>
    <row r="99" spans="1:8" ht="25.5" customHeight="1" x14ac:dyDescent="0.25">
      <c r="A99" s="126"/>
      <c r="B99" s="109" t="s">
        <v>846</v>
      </c>
      <c r="C99" s="126"/>
      <c r="D99" s="126"/>
      <c r="E99" s="129"/>
      <c r="F99" s="126"/>
      <c r="G99" s="129"/>
      <c r="H99" s="126"/>
    </row>
    <row r="100" spans="1:8" ht="25.5" customHeight="1" x14ac:dyDescent="0.25">
      <c r="A100" s="126">
        <f t="shared" si="38"/>
        <v>47</v>
      </c>
      <c r="B100" s="117" t="s">
        <v>537</v>
      </c>
      <c r="C100" s="126" t="s">
        <v>539</v>
      </c>
      <c r="D100" s="126" t="s">
        <v>501</v>
      </c>
      <c r="E100" s="129">
        <v>43678</v>
      </c>
      <c r="F100" s="126">
        <v>2</v>
      </c>
      <c r="G100" s="129" t="s">
        <v>836</v>
      </c>
      <c r="H100" s="126" t="s">
        <v>831</v>
      </c>
    </row>
    <row r="101" spans="1:8" ht="25.5" customHeight="1" x14ac:dyDescent="0.25">
      <c r="A101" s="126"/>
      <c r="B101" s="109" t="s">
        <v>538</v>
      </c>
      <c r="C101" s="126"/>
      <c r="D101" s="126"/>
      <c r="E101" s="129"/>
      <c r="F101" s="126"/>
      <c r="G101" s="129"/>
      <c r="H101" s="126"/>
    </row>
    <row r="102" spans="1:8" ht="25.5" customHeight="1" x14ac:dyDescent="0.25">
      <c r="A102" s="126">
        <f t="shared" ref="A102" si="39">1+A100</f>
        <v>48</v>
      </c>
      <c r="B102" s="117" t="s">
        <v>540</v>
      </c>
      <c r="C102" s="126" t="s">
        <v>542</v>
      </c>
      <c r="D102" s="126" t="s">
        <v>187</v>
      </c>
      <c r="E102" s="129">
        <v>43471</v>
      </c>
      <c r="F102" s="126">
        <v>2</v>
      </c>
      <c r="G102" s="129" t="s">
        <v>791</v>
      </c>
      <c r="H102" s="126" t="s">
        <v>831</v>
      </c>
    </row>
    <row r="103" spans="1:8" ht="25.5" customHeight="1" x14ac:dyDescent="0.25">
      <c r="A103" s="126"/>
      <c r="B103" s="109" t="s">
        <v>541</v>
      </c>
      <c r="C103" s="126"/>
      <c r="D103" s="126"/>
      <c r="E103" s="129"/>
      <c r="F103" s="126"/>
      <c r="G103" s="129"/>
      <c r="H103" s="126"/>
    </row>
    <row r="104" spans="1:8" ht="25.5" customHeight="1" x14ac:dyDescent="0.25">
      <c r="A104" s="126">
        <f t="shared" ref="A104" si="40">1+A102</f>
        <v>49</v>
      </c>
      <c r="B104" s="117" t="s">
        <v>543</v>
      </c>
      <c r="C104" s="126" t="s">
        <v>809</v>
      </c>
      <c r="D104" s="126" t="s">
        <v>501</v>
      </c>
      <c r="E104" s="129">
        <v>44657</v>
      </c>
      <c r="F104" s="126">
        <v>9</v>
      </c>
      <c r="G104" s="129" t="s">
        <v>836</v>
      </c>
      <c r="H104" s="126" t="s">
        <v>831</v>
      </c>
    </row>
    <row r="105" spans="1:8" ht="25.5" customHeight="1" x14ac:dyDescent="0.25">
      <c r="A105" s="126"/>
      <c r="B105" s="109" t="s">
        <v>544</v>
      </c>
      <c r="C105" s="126"/>
      <c r="D105" s="126"/>
      <c r="E105" s="129"/>
      <c r="F105" s="126"/>
      <c r="G105" s="129"/>
      <c r="H105" s="126"/>
    </row>
    <row r="106" spans="1:8" ht="25.5" customHeight="1" x14ac:dyDescent="0.25">
      <c r="A106" s="126">
        <f t="shared" ref="A106" si="41">1+A104</f>
        <v>50</v>
      </c>
      <c r="B106" s="117" t="s">
        <v>545</v>
      </c>
      <c r="C106" s="126" t="s">
        <v>785</v>
      </c>
      <c r="D106" s="126" t="s">
        <v>187</v>
      </c>
      <c r="E106" s="129">
        <v>44744</v>
      </c>
      <c r="F106" s="126">
        <v>5</v>
      </c>
      <c r="G106" s="129" t="s">
        <v>791</v>
      </c>
      <c r="H106" s="126" t="s">
        <v>831</v>
      </c>
    </row>
    <row r="107" spans="1:8" ht="25.5" customHeight="1" x14ac:dyDescent="0.25">
      <c r="A107" s="126"/>
      <c r="B107" s="109" t="s">
        <v>546</v>
      </c>
      <c r="C107" s="126"/>
      <c r="D107" s="126"/>
      <c r="E107" s="129"/>
      <c r="F107" s="126"/>
      <c r="G107" s="129"/>
      <c r="H107" s="126"/>
    </row>
    <row r="108" spans="1:8" ht="25.5" customHeight="1" x14ac:dyDescent="0.25">
      <c r="A108" s="126">
        <f t="shared" ref="A108" si="42">1+A106</f>
        <v>51</v>
      </c>
      <c r="B108" s="117" t="s">
        <v>804</v>
      </c>
      <c r="C108" s="126" t="s">
        <v>806</v>
      </c>
      <c r="D108" s="126" t="s">
        <v>548</v>
      </c>
      <c r="E108" s="129">
        <v>44636</v>
      </c>
      <c r="F108" s="126">
        <v>3</v>
      </c>
      <c r="G108" s="129" t="s">
        <v>791</v>
      </c>
      <c r="H108" s="126" t="s">
        <v>831</v>
      </c>
    </row>
    <row r="109" spans="1:8" ht="25.5" customHeight="1" x14ac:dyDescent="0.25">
      <c r="A109" s="126"/>
      <c r="B109" s="109" t="s">
        <v>805</v>
      </c>
      <c r="C109" s="126"/>
      <c r="D109" s="126"/>
      <c r="E109" s="129"/>
      <c r="F109" s="126"/>
      <c r="G109" s="129"/>
      <c r="H109" s="126"/>
    </row>
    <row r="110" spans="1:8" ht="25.5" customHeight="1" x14ac:dyDescent="0.25">
      <c r="A110" s="126">
        <f t="shared" ref="A110" si="43">1+A108</f>
        <v>52</v>
      </c>
      <c r="B110" s="117" t="s">
        <v>549</v>
      </c>
      <c r="C110" s="126" t="s">
        <v>849</v>
      </c>
      <c r="D110" s="126" t="s">
        <v>187</v>
      </c>
      <c r="E110" s="129">
        <v>44382</v>
      </c>
      <c r="F110" s="126">
        <v>2</v>
      </c>
      <c r="G110" s="129" t="s">
        <v>791</v>
      </c>
      <c r="H110" s="126" t="s">
        <v>831</v>
      </c>
    </row>
    <row r="111" spans="1:8" ht="25.5" customHeight="1" x14ac:dyDescent="0.25">
      <c r="A111" s="126"/>
      <c r="B111" s="109" t="s">
        <v>782</v>
      </c>
      <c r="C111" s="126"/>
      <c r="D111" s="126"/>
      <c r="E111" s="129"/>
      <c r="F111" s="126"/>
      <c r="G111" s="129"/>
      <c r="H111" s="126"/>
    </row>
    <row r="112" spans="1:8" ht="25.5" customHeight="1" x14ac:dyDescent="0.25">
      <c r="A112" s="126">
        <f t="shared" ref="A112" si="44">1+A110</f>
        <v>53</v>
      </c>
      <c r="B112" s="117" t="s">
        <v>550</v>
      </c>
      <c r="C112" s="126" t="s">
        <v>552</v>
      </c>
      <c r="D112" s="126" t="s">
        <v>187</v>
      </c>
      <c r="E112" s="129">
        <v>43835</v>
      </c>
      <c r="F112" s="126">
        <v>3</v>
      </c>
      <c r="G112" s="129" t="s">
        <v>791</v>
      </c>
      <c r="H112" s="126" t="s">
        <v>831</v>
      </c>
    </row>
    <row r="113" spans="1:8" ht="25.5" customHeight="1" x14ac:dyDescent="0.25">
      <c r="A113" s="126"/>
      <c r="B113" s="109" t="s">
        <v>551</v>
      </c>
      <c r="C113" s="126"/>
      <c r="D113" s="126"/>
      <c r="E113" s="129"/>
      <c r="F113" s="126"/>
      <c r="G113" s="129"/>
      <c r="H113" s="126"/>
    </row>
    <row r="114" spans="1:8" ht="25.5" customHeight="1" x14ac:dyDescent="0.25">
      <c r="A114" s="126">
        <f t="shared" ref="A114" si="45">1+A112</f>
        <v>54</v>
      </c>
      <c r="B114" s="117" t="s">
        <v>553</v>
      </c>
      <c r="C114" s="126" t="s">
        <v>555</v>
      </c>
      <c r="D114" s="126" t="s">
        <v>187</v>
      </c>
      <c r="E114" s="129">
        <v>43835</v>
      </c>
      <c r="F114" s="126">
        <v>2</v>
      </c>
      <c r="G114" s="129" t="s">
        <v>791</v>
      </c>
      <c r="H114" s="126" t="s">
        <v>831</v>
      </c>
    </row>
    <row r="115" spans="1:8" ht="25.5" customHeight="1" x14ac:dyDescent="0.25">
      <c r="A115" s="126"/>
      <c r="B115" s="109" t="s">
        <v>554</v>
      </c>
      <c r="C115" s="126"/>
      <c r="D115" s="126"/>
      <c r="E115" s="129"/>
      <c r="F115" s="126"/>
      <c r="G115" s="129"/>
      <c r="H115" s="126"/>
    </row>
    <row r="116" spans="1:8" ht="25.5" customHeight="1" x14ac:dyDescent="0.25">
      <c r="A116" s="126">
        <f t="shared" ref="A116" si="46">1+A114</f>
        <v>55</v>
      </c>
      <c r="B116" s="117" t="s">
        <v>556</v>
      </c>
      <c r="C116" s="126" t="s">
        <v>555</v>
      </c>
      <c r="D116" s="126" t="s">
        <v>187</v>
      </c>
      <c r="E116" s="129">
        <v>43835</v>
      </c>
      <c r="F116" s="126">
        <v>2</v>
      </c>
      <c r="G116" s="129" t="s">
        <v>791</v>
      </c>
      <c r="H116" s="126" t="s">
        <v>831</v>
      </c>
    </row>
    <row r="117" spans="1:8" ht="25.5" customHeight="1" x14ac:dyDescent="0.25">
      <c r="A117" s="126"/>
      <c r="B117" s="109" t="s">
        <v>557</v>
      </c>
      <c r="C117" s="126"/>
      <c r="D117" s="126"/>
      <c r="E117" s="129"/>
      <c r="F117" s="126"/>
      <c r="G117" s="129"/>
      <c r="H117" s="126"/>
    </row>
    <row r="118" spans="1:8" ht="25.5" customHeight="1" x14ac:dyDescent="0.25">
      <c r="A118" s="126">
        <f t="shared" ref="A118" si="47">1+A116</f>
        <v>56</v>
      </c>
      <c r="B118" s="117" t="s">
        <v>558</v>
      </c>
      <c r="C118" s="126" t="s">
        <v>810</v>
      </c>
      <c r="D118" s="126" t="s">
        <v>336</v>
      </c>
      <c r="E118" s="129">
        <v>44715</v>
      </c>
      <c r="F118" s="126">
        <v>5</v>
      </c>
      <c r="G118" s="129" t="s">
        <v>848</v>
      </c>
      <c r="H118" s="126" t="s">
        <v>831</v>
      </c>
    </row>
    <row r="119" spans="1:8" ht="25.5" customHeight="1" x14ac:dyDescent="0.25">
      <c r="A119" s="126"/>
      <c r="B119" s="109" t="s">
        <v>559</v>
      </c>
      <c r="C119" s="126"/>
      <c r="D119" s="126"/>
      <c r="E119" s="129"/>
      <c r="F119" s="126"/>
      <c r="G119" s="129"/>
      <c r="H119" s="126"/>
    </row>
    <row r="120" spans="1:8" ht="25.5" customHeight="1" x14ac:dyDescent="0.25">
      <c r="A120" s="126">
        <f t="shared" ref="A120" si="48">1+A118</f>
        <v>57</v>
      </c>
      <c r="B120" s="117" t="s">
        <v>560</v>
      </c>
      <c r="C120" s="126" t="s">
        <v>562</v>
      </c>
      <c r="D120" s="126" t="s">
        <v>336</v>
      </c>
      <c r="E120" s="129" t="s">
        <v>475</v>
      </c>
      <c r="F120" s="126">
        <v>4</v>
      </c>
      <c r="G120" s="129" t="s">
        <v>848</v>
      </c>
      <c r="H120" s="126" t="s">
        <v>831</v>
      </c>
    </row>
    <row r="121" spans="1:8" ht="25.5" customHeight="1" x14ac:dyDescent="0.25">
      <c r="A121" s="126"/>
      <c r="B121" s="109" t="s">
        <v>561</v>
      </c>
      <c r="C121" s="126"/>
      <c r="D121" s="126"/>
      <c r="E121" s="129"/>
      <c r="F121" s="126"/>
      <c r="G121" s="129"/>
      <c r="H121" s="126"/>
    </row>
    <row r="122" spans="1:8" ht="25.5" customHeight="1" x14ac:dyDescent="0.25">
      <c r="A122" s="126">
        <f t="shared" ref="A122" si="49">1+A120</f>
        <v>58</v>
      </c>
      <c r="B122" s="117" t="s">
        <v>563</v>
      </c>
      <c r="C122" s="126" t="s">
        <v>565</v>
      </c>
      <c r="D122" s="126" t="s">
        <v>336</v>
      </c>
      <c r="E122" s="129" t="s">
        <v>475</v>
      </c>
      <c r="F122" s="126">
        <v>4</v>
      </c>
      <c r="G122" s="129" t="s">
        <v>848</v>
      </c>
      <c r="H122" s="126" t="s">
        <v>831</v>
      </c>
    </row>
    <row r="123" spans="1:8" ht="25.5" customHeight="1" x14ac:dyDescent="0.25">
      <c r="A123" s="126"/>
      <c r="B123" s="109" t="s">
        <v>564</v>
      </c>
      <c r="C123" s="126"/>
      <c r="D123" s="126"/>
      <c r="E123" s="129"/>
      <c r="F123" s="126"/>
      <c r="G123" s="129"/>
      <c r="H123" s="126"/>
    </row>
    <row r="124" spans="1:8" ht="25.5" customHeight="1" x14ac:dyDescent="0.25">
      <c r="A124" s="126">
        <f t="shared" ref="A124" si="50">1+A122</f>
        <v>59</v>
      </c>
      <c r="B124" s="117" t="s">
        <v>566</v>
      </c>
      <c r="C124" s="126" t="s">
        <v>568</v>
      </c>
      <c r="D124" s="126" t="s">
        <v>336</v>
      </c>
      <c r="E124" s="129" t="s">
        <v>475</v>
      </c>
      <c r="F124" s="126">
        <v>4</v>
      </c>
      <c r="G124" s="129" t="s">
        <v>848</v>
      </c>
      <c r="H124" s="126" t="s">
        <v>831</v>
      </c>
    </row>
    <row r="125" spans="1:8" ht="25.5" customHeight="1" x14ac:dyDescent="0.25">
      <c r="A125" s="126"/>
      <c r="B125" s="109" t="s">
        <v>567</v>
      </c>
      <c r="C125" s="126"/>
      <c r="D125" s="126"/>
      <c r="E125" s="129"/>
      <c r="F125" s="126"/>
      <c r="G125" s="129"/>
      <c r="H125" s="126"/>
    </row>
    <row r="126" spans="1:8" ht="25.5" customHeight="1" x14ac:dyDescent="0.25">
      <c r="A126" s="126">
        <f t="shared" ref="A126" si="51">1+A124</f>
        <v>60</v>
      </c>
      <c r="B126" s="117" t="s">
        <v>569</v>
      </c>
      <c r="C126" s="126" t="s">
        <v>571</v>
      </c>
      <c r="D126" s="126" t="s">
        <v>336</v>
      </c>
      <c r="E126" s="129" t="s">
        <v>475</v>
      </c>
      <c r="F126" s="126">
        <v>4</v>
      </c>
      <c r="G126" s="129" t="s">
        <v>848</v>
      </c>
      <c r="H126" s="126" t="s">
        <v>831</v>
      </c>
    </row>
    <row r="127" spans="1:8" ht="25.5" customHeight="1" x14ac:dyDescent="0.25">
      <c r="A127" s="126"/>
      <c r="B127" s="109" t="s">
        <v>570</v>
      </c>
      <c r="C127" s="126"/>
      <c r="D127" s="126"/>
      <c r="E127" s="129"/>
      <c r="F127" s="126"/>
      <c r="G127" s="129"/>
      <c r="H127" s="126"/>
    </row>
    <row r="128" spans="1:8" ht="25.5" customHeight="1" x14ac:dyDescent="0.25">
      <c r="A128" s="126">
        <f t="shared" ref="A128" si="52">1+A126</f>
        <v>61</v>
      </c>
      <c r="B128" s="117" t="s">
        <v>572</v>
      </c>
      <c r="C128" s="126" t="s">
        <v>574</v>
      </c>
      <c r="D128" s="126" t="s">
        <v>336</v>
      </c>
      <c r="E128" s="129" t="s">
        <v>475</v>
      </c>
      <c r="F128" s="126">
        <v>4</v>
      </c>
      <c r="G128" s="129" t="s">
        <v>848</v>
      </c>
      <c r="H128" s="126" t="s">
        <v>831</v>
      </c>
    </row>
    <row r="129" spans="1:8" ht="25.5" customHeight="1" x14ac:dyDescent="0.25">
      <c r="A129" s="126"/>
      <c r="B129" s="109" t="s">
        <v>573</v>
      </c>
      <c r="C129" s="126"/>
      <c r="D129" s="126"/>
      <c r="E129" s="129"/>
      <c r="F129" s="126"/>
      <c r="G129" s="129"/>
      <c r="H129" s="126"/>
    </row>
    <row r="130" spans="1:8" ht="25.5" customHeight="1" x14ac:dyDescent="0.25">
      <c r="A130" s="126">
        <f t="shared" ref="A130" si="53">1+A128</f>
        <v>62</v>
      </c>
      <c r="B130" s="117" t="s">
        <v>575</v>
      </c>
      <c r="C130" s="126" t="s">
        <v>577</v>
      </c>
      <c r="D130" s="126" t="s">
        <v>336</v>
      </c>
      <c r="E130" s="129" t="s">
        <v>475</v>
      </c>
      <c r="F130" s="126">
        <v>4</v>
      </c>
      <c r="G130" s="129" t="s">
        <v>848</v>
      </c>
      <c r="H130" s="126" t="s">
        <v>831</v>
      </c>
    </row>
    <row r="131" spans="1:8" ht="25.5" customHeight="1" x14ac:dyDescent="0.25">
      <c r="A131" s="126"/>
      <c r="B131" s="109" t="s">
        <v>576</v>
      </c>
      <c r="C131" s="126"/>
      <c r="D131" s="126"/>
      <c r="E131" s="129"/>
      <c r="F131" s="126"/>
      <c r="G131" s="129"/>
      <c r="H131" s="126"/>
    </row>
    <row r="132" spans="1:8" ht="25.5" customHeight="1" x14ac:dyDescent="0.25">
      <c r="A132" s="126">
        <f t="shared" ref="A132" si="54">1+A130</f>
        <v>63</v>
      </c>
      <c r="B132" s="117" t="s">
        <v>578</v>
      </c>
      <c r="C132" s="126" t="s">
        <v>547</v>
      </c>
      <c r="D132" s="126" t="s">
        <v>336</v>
      </c>
      <c r="E132" s="129">
        <v>44667</v>
      </c>
      <c r="F132" s="126">
        <v>2</v>
      </c>
      <c r="G132" s="129" t="s">
        <v>848</v>
      </c>
      <c r="H132" s="126" t="s">
        <v>831</v>
      </c>
    </row>
    <row r="133" spans="1:8" ht="25.5" customHeight="1" x14ac:dyDescent="0.25">
      <c r="A133" s="126"/>
      <c r="B133" s="109" t="s">
        <v>579</v>
      </c>
      <c r="C133" s="126"/>
      <c r="D133" s="126"/>
      <c r="E133" s="129"/>
      <c r="F133" s="126"/>
      <c r="G133" s="129"/>
      <c r="H133" s="126"/>
    </row>
    <row r="134" spans="1:8" ht="25.5" customHeight="1" x14ac:dyDescent="0.25">
      <c r="A134" s="126">
        <f t="shared" ref="A134" si="55">1+A132</f>
        <v>64</v>
      </c>
      <c r="B134" s="117" t="s">
        <v>580</v>
      </c>
      <c r="C134" s="126" t="s">
        <v>582</v>
      </c>
      <c r="D134" s="126" t="s">
        <v>336</v>
      </c>
      <c r="E134" s="129" t="s">
        <v>459</v>
      </c>
      <c r="F134" s="126">
        <v>2</v>
      </c>
      <c r="G134" s="129" t="s">
        <v>848</v>
      </c>
      <c r="H134" s="126" t="s">
        <v>831</v>
      </c>
    </row>
    <row r="135" spans="1:8" ht="25.5" customHeight="1" x14ac:dyDescent="0.25">
      <c r="A135" s="126"/>
      <c r="B135" s="109" t="s">
        <v>581</v>
      </c>
      <c r="C135" s="126"/>
      <c r="D135" s="126"/>
      <c r="E135" s="129"/>
      <c r="F135" s="126"/>
      <c r="G135" s="129"/>
      <c r="H135" s="126"/>
    </row>
    <row r="136" spans="1:8" ht="25.5" customHeight="1" x14ac:dyDescent="0.25">
      <c r="A136" s="126">
        <f t="shared" ref="A136" si="56">1+A134</f>
        <v>65</v>
      </c>
      <c r="B136" s="127" t="s">
        <v>761</v>
      </c>
      <c r="C136" s="126" t="s">
        <v>124</v>
      </c>
      <c r="D136" s="126" t="s">
        <v>187</v>
      </c>
      <c r="E136" s="129" t="s">
        <v>583</v>
      </c>
      <c r="F136" s="126">
        <v>0</v>
      </c>
      <c r="G136" s="129" t="s">
        <v>791</v>
      </c>
      <c r="H136" s="126" t="s">
        <v>831</v>
      </c>
    </row>
    <row r="137" spans="1:8" ht="25.5" customHeight="1" x14ac:dyDescent="0.25">
      <c r="A137" s="126"/>
      <c r="B137" s="127"/>
      <c r="C137" s="126"/>
      <c r="D137" s="126"/>
      <c r="E137" s="129"/>
      <c r="F137" s="126"/>
      <c r="G137" s="129"/>
      <c r="H137" s="126"/>
    </row>
    <row r="138" spans="1:8" ht="25.5" customHeight="1" x14ac:dyDescent="0.25">
      <c r="A138" s="126">
        <f t="shared" ref="A138" si="57">1+A136</f>
        <v>66</v>
      </c>
      <c r="B138" s="127" t="s">
        <v>584</v>
      </c>
      <c r="C138" s="126" t="s">
        <v>585</v>
      </c>
      <c r="D138" s="126" t="s">
        <v>510</v>
      </c>
      <c r="E138" s="129">
        <v>43831</v>
      </c>
      <c r="F138" s="126">
        <v>1</v>
      </c>
      <c r="G138" s="129" t="s">
        <v>837</v>
      </c>
      <c r="H138" s="126" t="s">
        <v>831</v>
      </c>
    </row>
    <row r="139" spans="1:8" ht="25.5" customHeight="1" x14ac:dyDescent="0.25">
      <c r="A139" s="126"/>
      <c r="B139" s="127"/>
      <c r="C139" s="126"/>
      <c r="D139" s="126"/>
      <c r="E139" s="129"/>
      <c r="F139" s="126"/>
      <c r="G139" s="129"/>
      <c r="H139" s="126"/>
    </row>
    <row r="140" spans="1:8" ht="25.5" customHeight="1" x14ac:dyDescent="0.25">
      <c r="A140" s="126">
        <f t="shared" ref="A140" si="58">1+A138</f>
        <v>67</v>
      </c>
      <c r="B140" s="127" t="s">
        <v>586</v>
      </c>
      <c r="C140" s="126" t="s">
        <v>587</v>
      </c>
      <c r="D140" s="126" t="s">
        <v>187</v>
      </c>
      <c r="E140" s="129">
        <v>43101</v>
      </c>
      <c r="F140" s="126">
        <v>0</v>
      </c>
      <c r="G140" s="129" t="s">
        <v>848</v>
      </c>
      <c r="H140" s="126" t="s">
        <v>831</v>
      </c>
    </row>
    <row r="141" spans="1:8" ht="25.5" customHeight="1" x14ac:dyDescent="0.25">
      <c r="A141" s="126"/>
      <c r="B141" s="127"/>
      <c r="C141" s="126"/>
      <c r="D141" s="126"/>
      <c r="E141" s="129"/>
      <c r="F141" s="126"/>
      <c r="G141" s="129"/>
      <c r="H141" s="126"/>
    </row>
    <row r="142" spans="1:8" ht="25.5" customHeight="1" x14ac:dyDescent="0.25">
      <c r="A142" s="126">
        <f t="shared" ref="A142" si="59">1+A140</f>
        <v>68</v>
      </c>
      <c r="B142" s="127" t="s">
        <v>762</v>
      </c>
      <c r="C142" s="126" t="s">
        <v>17</v>
      </c>
      <c r="D142" s="126" t="s">
        <v>187</v>
      </c>
      <c r="E142" s="129">
        <v>44688</v>
      </c>
      <c r="F142" s="126">
        <v>0</v>
      </c>
      <c r="G142" s="129" t="s">
        <v>848</v>
      </c>
      <c r="H142" s="126" t="s">
        <v>831</v>
      </c>
    </row>
    <row r="143" spans="1:8" ht="25.5" customHeight="1" x14ac:dyDescent="0.25">
      <c r="A143" s="126"/>
      <c r="B143" s="127"/>
      <c r="C143" s="126"/>
      <c r="D143" s="126"/>
      <c r="E143" s="129"/>
      <c r="F143" s="126"/>
      <c r="G143" s="129"/>
      <c r="H143" s="126"/>
    </row>
    <row r="144" spans="1:8" ht="25.5" customHeight="1" x14ac:dyDescent="0.25">
      <c r="A144" s="126">
        <f t="shared" ref="A144" si="60">1+A142</f>
        <v>69</v>
      </c>
      <c r="B144" s="127" t="s">
        <v>588</v>
      </c>
      <c r="C144" s="126" t="s">
        <v>811</v>
      </c>
      <c r="D144" s="126" t="s">
        <v>187</v>
      </c>
      <c r="E144" s="129">
        <v>44323</v>
      </c>
      <c r="F144" s="126">
        <v>1</v>
      </c>
      <c r="G144" s="129" t="s">
        <v>791</v>
      </c>
      <c r="H144" s="126" t="s">
        <v>831</v>
      </c>
    </row>
    <row r="145" spans="1:8" ht="25.5" customHeight="1" x14ac:dyDescent="0.25">
      <c r="A145" s="126"/>
      <c r="B145" s="127"/>
      <c r="C145" s="126"/>
      <c r="D145" s="126"/>
      <c r="E145" s="129"/>
      <c r="F145" s="126"/>
      <c r="G145" s="129"/>
      <c r="H145" s="126"/>
    </row>
    <row r="146" spans="1:8" ht="25.5" customHeight="1" x14ac:dyDescent="0.25">
      <c r="A146" s="126">
        <f t="shared" ref="A146" si="61">1+A144</f>
        <v>70</v>
      </c>
      <c r="B146" s="127" t="s">
        <v>589</v>
      </c>
      <c r="C146" s="126" t="s">
        <v>590</v>
      </c>
      <c r="D146" s="126" t="s">
        <v>187</v>
      </c>
      <c r="E146" s="129" t="s">
        <v>850</v>
      </c>
      <c r="F146" s="126">
        <v>0</v>
      </c>
      <c r="G146" s="129" t="s">
        <v>791</v>
      </c>
      <c r="H146" s="126" t="s">
        <v>831</v>
      </c>
    </row>
    <row r="147" spans="1:8" ht="25.5" customHeight="1" x14ac:dyDescent="0.25">
      <c r="A147" s="126"/>
      <c r="B147" s="127"/>
      <c r="C147" s="126"/>
      <c r="D147" s="126"/>
      <c r="E147" s="129"/>
      <c r="F147" s="126"/>
      <c r="G147" s="129"/>
      <c r="H147" s="126"/>
    </row>
    <row r="148" spans="1:8" ht="27" customHeight="1" x14ac:dyDescent="0.25">
      <c r="A148" s="126">
        <f t="shared" ref="A148" si="62">1+A146</f>
        <v>71</v>
      </c>
      <c r="B148" s="127" t="s">
        <v>592</v>
      </c>
      <c r="C148" s="126" t="s">
        <v>596</v>
      </c>
      <c r="D148" s="126" t="s">
        <v>336</v>
      </c>
      <c r="E148" s="129">
        <v>42826</v>
      </c>
      <c r="F148" s="128">
        <v>2</v>
      </c>
      <c r="G148" s="129" t="s">
        <v>791</v>
      </c>
      <c r="H148" s="126" t="s">
        <v>831</v>
      </c>
    </row>
    <row r="149" spans="1:8" ht="27" customHeight="1" x14ac:dyDescent="0.25">
      <c r="A149" s="126"/>
      <c r="B149" s="127"/>
      <c r="C149" s="126"/>
      <c r="D149" s="126"/>
      <c r="E149" s="129"/>
      <c r="F149" s="126"/>
      <c r="G149" s="129"/>
      <c r="H149" s="126"/>
    </row>
    <row r="150" spans="1:8" ht="27" customHeight="1" x14ac:dyDescent="0.25">
      <c r="A150" s="126">
        <f t="shared" ref="A150" si="63">1+A148</f>
        <v>72</v>
      </c>
      <c r="B150" s="127" t="s">
        <v>594</v>
      </c>
      <c r="C150" s="126" t="s">
        <v>593</v>
      </c>
      <c r="D150" s="126" t="s">
        <v>336</v>
      </c>
      <c r="E150" s="129">
        <v>42826</v>
      </c>
      <c r="F150" s="128">
        <v>0</v>
      </c>
      <c r="G150" s="129" t="s">
        <v>848</v>
      </c>
      <c r="H150" s="126" t="s">
        <v>831</v>
      </c>
    </row>
    <row r="151" spans="1:8" ht="27" customHeight="1" x14ac:dyDescent="0.25">
      <c r="A151" s="126"/>
      <c r="B151" s="127"/>
      <c r="C151" s="126"/>
      <c r="D151" s="126"/>
      <c r="E151" s="129"/>
      <c r="F151" s="126"/>
      <c r="G151" s="129"/>
      <c r="H151" s="126"/>
    </row>
    <row r="152" spans="1:8" ht="27" customHeight="1" x14ac:dyDescent="0.25">
      <c r="A152" s="126">
        <f t="shared" ref="A152" si="64">1+A150</f>
        <v>73</v>
      </c>
      <c r="B152" s="127" t="s">
        <v>597</v>
      </c>
      <c r="C152" s="126" t="s">
        <v>555</v>
      </c>
      <c r="D152" s="126" t="s">
        <v>336</v>
      </c>
      <c r="E152" s="129">
        <v>43715</v>
      </c>
      <c r="F152" s="128">
        <v>2</v>
      </c>
      <c r="G152" s="129" t="s">
        <v>791</v>
      </c>
      <c r="H152" s="126" t="s">
        <v>831</v>
      </c>
    </row>
    <row r="153" spans="1:8" ht="27" customHeight="1" x14ac:dyDescent="0.25">
      <c r="A153" s="126"/>
      <c r="B153" s="127"/>
      <c r="C153" s="126"/>
      <c r="D153" s="126"/>
      <c r="E153" s="129"/>
      <c r="F153" s="126"/>
      <c r="G153" s="129"/>
      <c r="H153" s="126"/>
    </row>
    <row r="154" spans="1:8" ht="27.75" customHeight="1" x14ac:dyDescent="0.25">
      <c r="A154" s="126">
        <f t="shared" ref="A154" si="65">1+A152</f>
        <v>74</v>
      </c>
      <c r="B154" s="127" t="s">
        <v>601</v>
      </c>
      <c r="C154" s="126" t="s">
        <v>600</v>
      </c>
      <c r="D154" s="126" t="s">
        <v>336</v>
      </c>
      <c r="E154" s="129">
        <v>42826</v>
      </c>
      <c r="F154" s="128">
        <v>0</v>
      </c>
      <c r="G154" s="129" t="s">
        <v>839</v>
      </c>
      <c r="H154" s="126" t="s">
        <v>831</v>
      </c>
    </row>
    <row r="155" spans="1:8" ht="27.75" customHeight="1" x14ac:dyDescent="0.25">
      <c r="A155" s="126"/>
      <c r="B155" s="127"/>
      <c r="C155" s="126"/>
      <c r="D155" s="126"/>
      <c r="E155" s="129"/>
      <c r="F155" s="126"/>
      <c r="G155" s="129"/>
      <c r="H155" s="126"/>
    </row>
    <row r="156" spans="1:8" ht="27.75" customHeight="1" x14ac:dyDescent="0.25">
      <c r="A156" s="126">
        <f t="shared" ref="A156" si="66">1+A154</f>
        <v>75</v>
      </c>
      <c r="B156" s="127" t="s">
        <v>602</v>
      </c>
      <c r="C156" s="126" t="s">
        <v>604</v>
      </c>
      <c r="D156" s="126" t="s">
        <v>336</v>
      </c>
      <c r="E156" s="129">
        <v>42826</v>
      </c>
      <c r="F156" s="128">
        <v>0</v>
      </c>
      <c r="G156" s="129" t="s">
        <v>791</v>
      </c>
      <c r="H156" s="126" t="s">
        <v>831</v>
      </c>
    </row>
    <row r="157" spans="1:8" ht="27.75" customHeight="1" x14ac:dyDescent="0.25">
      <c r="A157" s="126"/>
      <c r="B157" s="127"/>
      <c r="C157" s="126"/>
      <c r="D157" s="126"/>
      <c r="E157" s="129"/>
      <c r="F157" s="126"/>
      <c r="G157" s="129"/>
      <c r="H157" s="126"/>
    </row>
    <row r="158" spans="1:8" ht="28.5" customHeight="1" x14ac:dyDescent="0.25">
      <c r="A158" s="126">
        <f t="shared" ref="A158" si="67">1+A156</f>
        <v>76</v>
      </c>
      <c r="B158" s="127" t="s">
        <v>603</v>
      </c>
      <c r="C158" s="126" t="s">
        <v>605</v>
      </c>
      <c r="D158" s="126" t="s">
        <v>336</v>
      </c>
      <c r="E158" s="129">
        <v>42826</v>
      </c>
      <c r="F158" s="128">
        <v>0</v>
      </c>
      <c r="G158" s="129" t="s">
        <v>791</v>
      </c>
      <c r="H158" s="126" t="s">
        <v>831</v>
      </c>
    </row>
    <row r="159" spans="1:8" ht="28.5" customHeight="1" x14ac:dyDescent="0.25">
      <c r="A159" s="126"/>
      <c r="B159" s="127"/>
      <c r="C159" s="126"/>
      <c r="D159" s="126"/>
      <c r="E159" s="129"/>
      <c r="F159" s="126"/>
      <c r="G159" s="129"/>
      <c r="H159" s="126"/>
    </row>
    <row r="160" spans="1:8" ht="28.5" customHeight="1" x14ac:dyDescent="0.25">
      <c r="A160" s="126">
        <f t="shared" ref="A160" si="68">1+A158</f>
        <v>77</v>
      </c>
      <c r="B160" s="127" t="s">
        <v>812</v>
      </c>
      <c r="C160" s="126" t="s">
        <v>822</v>
      </c>
      <c r="D160" s="126" t="s">
        <v>336</v>
      </c>
      <c r="E160" s="129">
        <v>44636</v>
      </c>
      <c r="F160" s="128">
        <v>0</v>
      </c>
      <c r="G160" s="129" t="s">
        <v>840</v>
      </c>
      <c r="H160" s="126" t="s">
        <v>831</v>
      </c>
    </row>
    <row r="161" spans="1:8" ht="28.5" customHeight="1" x14ac:dyDescent="0.25">
      <c r="A161" s="126"/>
      <c r="B161" s="127"/>
      <c r="C161" s="126"/>
      <c r="D161" s="126"/>
      <c r="E161" s="129"/>
      <c r="F161" s="126"/>
      <c r="G161" s="129"/>
      <c r="H161" s="126"/>
    </row>
    <row r="162" spans="1:8" ht="28.5" customHeight="1" x14ac:dyDescent="0.25">
      <c r="A162" s="126">
        <f t="shared" ref="A162" si="69">1+A160</f>
        <v>78</v>
      </c>
      <c r="B162" s="127" t="s">
        <v>813</v>
      </c>
      <c r="C162" s="126" t="s">
        <v>823</v>
      </c>
      <c r="D162" s="126" t="s">
        <v>824</v>
      </c>
      <c r="E162" s="129">
        <v>43831</v>
      </c>
      <c r="F162" s="128">
        <v>0</v>
      </c>
      <c r="G162" s="129" t="s">
        <v>838</v>
      </c>
      <c r="H162" s="126" t="s">
        <v>831</v>
      </c>
    </row>
    <row r="163" spans="1:8" ht="28.5" customHeight="1" x14ac:dyDescent="0.25">
      <c r="A163" s="126"/>
      <c r="B163" s="127"/>
      <c r="C163" s="126"/>
      <c r="D163" s="126"/>
      <c r="E163" s="129"/>
      <c r="F163" s="126"/>
      <c r="G163" s="129"/>
      <c r="H163" s="126"/>
    </row>
    <row r="164" spans="1:8" ht="28.5" customHeight="1" x14ac:dyDescent="0.25">
      <c r="A164" s="126">
        <f t="shared" ref="A164" si="70">1+A162</f>
        <v>79</v>
      </c>
      <c r="B164" s="127" t="s">
        <v>814</v>
      </c>
      <c r="C164" s="126" t="s">
        <v>827</v>
      </c>
      <c r="D164" s="126" t="s">
        <v>187</v>
      </c>
      <c r="E164" s="129">
        <v>44655</v>
      </c>
      <c r="F164" s="128">
        <v>0</v>
      </c>
      <c r="G164" s="129" t="s">
        <v>848</v>
      </c>
      <c r="H164" s="126" t="s">
        <v>831</v>
      </c>
    </row>
    <row r="165" spans="1:8" ht="28.5" customHeight="1" x14ac:dyDescent="0.25">
      <c r="A165" s="126"/>
      <c r="B165" s="127"/>
      <c r="C165" s="126"/>
      <c r="D165" s="126"/>
      <c r="E165" s="129"/>
      <c r="F165" s="126"/>
      <c r="G165" s="129"/>
      <c r="H165" s="126"/>
    </row>
    <row r="166" spans="1:8" ht="28.5" customHeight="1" x14ac:dyDescent="0.25">
      <c r="A166" s="126">
        <f t="shared" ref="A166" si="71">1+A164</f>
        <v>80</v>
      </c>
      <c r="B166" s="127" t="s">
        <v>815</v>
      </c>
      <c r="C166" s="126" t="s">
        <v>825</v>
      </c>
      <c r="D166" s="126" t="s">
        <v>187</v>
      </c>
      <c r="E166" s="129">
        <v>43101</v>
      </c>
      <c r="F166" s="128">
        <v>0</v>
      </c>
      <c r="G166" s="129" t="s">
        <v>791</v>
      </c>
      <c r="H166" s="126" t="s">
        <v>831</v>
      </c>
    </row>
    <row r="167" spans="1:8" ht="28.5" customHeight="1" x14ac:dyDescent="0.25">
      <c r="A167" s="126"/>
      <c r="B167" s="127"/>
      <c r="C167" s="126"/>
      <c r="D167" s="126"/>
      <c r="E167" s="129"/>
      <c r="F167" s="126"/>
      <c r="G167" s="129"/>
      <c r="H167" s="126"/>
    </row>
    <row r="168" spans="1:8" ht="29.25" customHeight="1" x14ac:dyDescent="0.25">
      <c r="A168" s="126">
        <f t="shared" ref="A168" si="72">1+A166</f>
        <v>81</v>
      </c>
      <c r="B168" s="127" t="s">
        <v>816</v>
      </c>
      <c r="C168" s="126" t="s">
        <v>826</v>
      </c>
      <c r="D168" s="126" t="s">
        <v>501</v>
      </c>
      <c r="E168" s="129">
        <v>44702</v>
      </c>
      <c r="F168" s="128">
        <v>6</v>
      </c>
      <c r="G168" s="129" t="s">
        <v>836</v>
      </c>
      <c r="H168" s="126" t="s">
        <v>831</v>
      </c>
    </row>
    <row r="169" spans="1:8" ht="29.25" customHeight="1" x14ac:dyDescent="0.25">
      <c r="A169" s="126"/>
      <c r="B169" s="127"/>
      <c r="C169" s="126"/>
      <c r="D169" s="126"/>
      <c r="E169" s="129"/>
      <c r="F169" s="126"/>
      <c r="G169" s="129"/>
      <c r="H169" s="126"/>
    </row>
    <row r="170" spans="1:8" ht="29.25" customHeight="1" x14ac:dyDescent="0.25">
      <c r="A170" s="126">
        <f t="shared" ref="A170" si="73">1+A168</f>
        <v>82</v>
      </c>
      <c r="B170" s="127" t="s">
        <v>817</v>
      </c>
      <c r="C170" s="126" t="s">
        <v>716</v>
      </c>
      <c r="D170" s="126" t="s">
        <v>501</v>
      </c>
      <c r="E170" s="129">
        <v>44301</v>
      </c>
      <c r="F170" s="128">
        <v>0</v>
      </c>
      <c r="G170" s="129" t="s">
        <v>848</v>
      </c>
      <c r="H170" s="126" t="s">
        <v>831</v>
      </c>
    </row>
    <row r="171" spans="1:8" ht="29.25" customHeight="1" x14ac:dyDescent="0.25">
      <c r="A171" s="126"/>
      <c r="B171" s="127"/>
      <c r="C171" s="126"/>
      <c r="D171" s="126"/>
      <c r="E171" s="129"/>
      <c r="F171" s="126"/>
      <c r="G171" s="129"/>
      <c r="H171" s="126"/>
    </row>
    <row r="172" spans="1:8" ht="29.25" customHeight="1" x14ac:dyDescent="0.25">
      <c r="A172" s="126">
        <f t="shared" ref="A172" si="74">1+A170</f>
        <v>83</v>
      </c>
      <c r="B172" s="127" t="s">
        <v>818</v>
      </c>
      <c r="C172" s="126" t="s">
        <v>821</v>
      </c>
      <c r="D172" s="126" t="s">
        <v>510</v>
      </c>
      <c r="E172" s="129">
        <v>42826</v>
      </c>
      <c r="F172" s="128">
        <v>0</v>
      </c>
      <c r="G172" s="129" t="s">
        <v>837</v>
      </c>
      <c r="H172" s="126" t="s">
        <v>831</v>
      </c>
    </row>
    <row r="173" spans="1:8" ht="29.25" customHeight="1" x14ac:dyDescent="0.25">
      <c r="A173" s="126"/>
      <c r="B173" s="127"/>
      <c r="C173" s="126"/>
      <c r="D173" s="126"/>
      <c r="E173" s="129"/>
      <c r="F173" s="126"/>
      <c r="G173" s="129"/>
      <c r="H173" s="126"/>
    </row>
    <row r="174" spans="1:8" ht="31.5" customHeight="1" x14ac:dyDescent="0.25">
      <c r="A174" s="126">
        <f t="shared" ref="A174" si="75">1+A172</f>
        <v>84</v>
      </c>
      <c r="B174" s="127" t="s">
        <v>819</v>
      </c>
      <c r="C174" s="126" t="s">
        <v>622</v>
      </c>
      <c r="D174" s="126" t="s">
        <v>820</v>
      </c>
      <c r="E174" s="129">
        <v>42826</v>
      </c>
      <c r="F174" s="128">
        <v>0</v>
      </c>
      <c r="G174" s="129" t="s">
        <v>791</v>
      </c>
      <c r="H174" s="126" t="s">
        <v>831</v>
      </c>
    </row>
    <row r="175" spans="1:8" ht="31.5" customHeight="1" x14ac:dyDescent="0.25">
      <c r="A175" s="126"/>
      <c r="B175" s="127"/>
      <c r="C175" s="126"/>
      <c r="D175" s="126"/>
      <c r="E175" s="129"/>
      <c r="F175" s="126"/>
      <c r="G175" s="129"/>
      <c r="H175" s="126"/>
    </row>
    <row r="176" spans="1:8" ht="36.75" customHeight="1" x14ac:dyDescent="0.25">
      <c r="A176" s="126">
        <v>81</v>
      </c>
      <c r="B176" s="127" t="s">
        <v>841</v>
      </c>
      <c r="C176" s="126" t="s">
        <v>38</v>
      </c>
      <c r="D176" s="126" t="s">
        <v>187</v>
      </c>
      <c r="E176" s="129">
        <v>44745</v>
      </c>
      <c r="F176" s="128">
        <v>0</v>
      </c>
      <c r="G176" s="129" t="s">
        <v>848</v>
      </c>
      <c r="H176" s="126" t="s">
        <v>831</v>
      </c>
    </row>
    <row r="177" spans="1:8" ht="36.75" customHeight="1" x14ac:dyDescent="0.25">
      <c r="A177" s="126"/>
      <c r="B177" s="127"/>
      <c r="C177" s="126"/>
      <c r="D177" s="126"/>
      <c r="E177" s="129"/>
      <c r="F177" s="126"/>
      <c r="G177" s="129"/>
      <c r="H177" s="126"/>
    </row>
    <row r="178" spans="1:8" ht="36.75" customHeight="1" x14ac:dyDescent="0.25">
      <c r="A178" s="126">
        <v>82</v>
      </c>
      <c r="B178" s="136" t="s">
        <v>852</v>
      </c>
      <c r="C178" s="137" t="s">
        <v>32</v>
      </c>
      <c r="D178" s="137" t="s">
        <v>853</v>
      </c>
      <c r="E178" s="138">
        <v>42826</v>
      </c>
      <c r="F178" s="139" t="s">
        <v>234</v>
      </c>
      <c r="G178" s="129" t="s">
        <v>853</v>
      </c>
      <c r="H178" s="126" t="s">
        <v>831</v>
      </c>
    </row>
    <row r="179" spans="1:8" ht="36.75" customHeight="1" x14ac:dyDescent="0.25">
      <c r="A179" s="126"/>
      <c r="B179" s="136"/>
      <c r="C179" s="137"/>
      <c r="D179" s="137"/>
      <c r="E179" s="138"/>
      <c r="F179" s="137"/>
      <c r="G179" s="129"/>
      <c r="H179" s="126"/>
    </row>
    <row r="180" spans="1:8" ht="36.75" customHeight="1" x14ac:dyDescent="0.25">
      <c r="A180" s="126">
        <f>1+A178</f>
        <v>83</v>
      </c>
      <c r="B180" s="136" t="s">
        <v>854</v>
      </c>
      <c r="C180" s="137" t="s">
        <v>35</v>
      </c>
      <c r="D180" s="137" t="s">
        <v>853</v>
      </c>
      <c r="E180" s="138">
        <v>42826</v>
      </c>
      <c r="F180" s="139" t="s">
        <v>234</v>
      </c>
      <c r="G180" s="129" t="s">
        <v>853</v>
      </c>
      <c r="H180" s="126" t="s">
        <v>831</v>
      </c>
    </row>
    <row r="181" spans="1:8" ht="36.75" customHeight="1" x14ac:dyDescent="0.25">
      <c r="A181" s="126"/>
      <c r="B181" s="136"/>
      <c r="C181" s="137"/>
      <c r="D181" s="137"/>
      <c r="E181" s="138"/>
      <c r="F181" s="137"/>
      <c r="G181" s="129"/>
      <c r="H181" s="126"/>
    </row>
    <row r="182" spans="1:8" ht="36.75" customHeight="1" x14ac:dyDescent="0.25">
      <c r="A182" s="126">
        <f t="shared" ref="A182" si="76">1+A180</f>
        <v>84</v>
      </c>
      <c r="B182" s="136" t="s">
        <v>855</v>
      </c>
      <c r="C182" s="137" t="s">
        <v>38</v>
      </c>
      <c r="D182" s="137" t="s">
        <v>853</v>
      </c>
      <c r="E182" s="138">
        <v>42826</v>
      </c>
      <c r="F182" s="139" t="s">
        <v>234</v>
      </c>
      <c r="G182" s="129" t="s">
        <v>853</v>
      </c>
      <c r="H182" s="126" t="s">
        <v>831</v>
      </c>
    </row>
    <row r="183" spans="1:8" ht="36.75" customHeight="1" x14ac:dyDescent="0.25">
      <c r="A183" s="126"/>
      <c r="B183" s="136"/>
      <c r="C183" s="137"/>
      <c r="D183" s="137"/>
      <c r="E183" s="138"/>
      <c r="F183" s="137"/>
      <c r="G183" s="129"/>
      <c r="H183" s="126"/>
    </row>
    <row r="184" spans="1:8" ht="36.75" customHeight="1" x14ac:dyDescent="0.25">
      <c r="A184" s="126">
        <f t="shared" ref="A184" si="77">1+A182</f>
        <v>85</v>
      </c>
      <c r="B184" s="136" t="s">
        <v>856</v>
      </c>
      <c r="C184" s="137" t="s">
        <v>41</v>
      </c>
      <c r="D184" s="137" t="s">
        <v>853</v>
      </c>
      <c r="E184" s="138">
        <v>42826</v>
      </c>
      <c r="F184" s="139" t="s">
        <v>234</v>
      </c>
      <c r="G184" s="129" t="s">
        <v>853</v>
      </c>
      <c r="H184" s="126" t="s">
        <v>831</v>
      </c>
    </row>
    <row r="185" spans="1:8" ht="36.75" customHeight="1" x14ac:dyDescent="0.25">
      <c r="A185" s="126"/>
      <c r="B185" s="136"/>
      <c r="C185" s="137"/>
      <c r="D185" s="137"/>
      <c r="E185" s="138"/>
      <c r="F185" s="137"/>
      <c r="G185" s="129"/>
      <c r="H185" s="126"/>
    </row>
    <row r="186" spans="1:8" ht="36.75" customHeight="1" x14ac:dyDescent="0.25">
      <c r="A186" s="126">
        <f t="shared" ref="A186" si="78">1+A184</f>
        <v>86</v>
      </c>
      <c r="B186" s="136" t="s">
        <v>857</v>
      </c>
      <c r="C186" s="137" t="s">
        <v>44</v>
      </c>
      <c r="D186" s="137" t="s">
        <v>853</v>
      </c>
      <c r="E186" s="138">
        <v>42826</v>
      </c>
      <c r="F186" s="139" t="s">
        <v>234</v>
      </c>
      <c r="G186" s="129" t="s">
        <v>853</v>
      </c>
      <c r="H186" s="126" t="s">
        <v>831</v>
      </c>
    </row>
    <row r="187" spans="1:8" ht="36.75" customHeight="1" x14ac:dyDescent="0.25">
      <c r="A187" s="126"/>
      <c r="B187" s="136"/>
      <c r="C187" s="137"/>
      <c r="D187" s="137"/>
      <c r="E187" s="138"/>
      <c r="F187" s="137"/>
      <c r="G187" s="129"/>
      <c r="H187" s="126"/>
    </row>
    <row r="188" spans="1:8" ht="36.75" customHeight="1" x14ac:dyDescent="0.25">
      <c r="A188" s="126">
        <f t="shared" ref="A188" si="79">1+A186</f>
        <v>87</v>
      </c>
      <c r="B188" s="146" t="s">
        <v>858</v>
      </c>
      <c r="C188" s="147" t="s">
        <v>47</v>
      </c>
      <c r="D188" s="148" t="s">
        <v>859</v>
      </c>
      <c r="E188" s="149">
        <v>42826</v>
      </c>
      <c r="F188" s="147" t="s">
        <v>234</v>
      </c>
      <c r="G188" s="129" t="s">
        <v>859</v>
      </c>
      <c r="H188" s="126" t="s">
        <v>831</v>
      </c>
    </row>
    <row r="189" spans="1:8" ht="36.75" customHeight="1" x14ac:dyDescent="0.25">
      <c r="A189" s="126"/>
      <c r="B189" s="146"/>
      <c r="C189" s="148"/>
      <c r="D189" s="148"/>
      <c r="E189" s="149"/>
      <c r="F189" s="148"/>
      <c r="G189" s="129"/>
      <c r="H189" s="126"/>
    </row>
    <row r="190" spans="1:8" ht="36.75" customHeight="1" x14ac:dyDescent="0.25">
      <c r="A190" s="126">
        <f t="shared" ref="A190" si="80">1+A188</f>
        <v>88</v>
      </c>
      <c r="B190" s="146" t="s">
        <v>860</v>
      </c>
      <c r="C190" s="147" t="s">
        <v>56</v>
      </c>
      <c r="D190" s="148" t="s">
        <v>859</v>
      </c>
      <c r="E190" s="149">
        <v>42826</v>
      </c>
      <c r="F190" s="147" t="s">
        <v>234</v>
      </c>
      <c r="G190" s="129" t="s">
        <v>859</v>
      </c>
      <c r="H190" s="126" t="s">
        <v>831</v>
      </c>
    </row>
    <row r="191" spans="1:8" ht="36.75" customHeight="1" x14ac:dyDescent="0.25">
      <c r="A191" s="126"/>
      <c r="B191" s="146"/>
      <c r="C191" s="148"/>
      <c r="D191" s="148"/>
      <c r="E191" s="149"/>
      <c r="F191" s="148"/>
      <c r="G191" s="129"/>
      <c r="H191" s="126"/>
    </row>
    <row r="192" spans="1:8" ht="36.75" customHeight="1" x14ac:dyDescent="0.25">
      <c r="A192" s="126">
        <f t="shared" ref="A192" si="81">1+A190</f>
        <v>89</v>
      </c>
      <c r="B192" s="150" t="s">
        <v>861</v>
      </c>
      <c r="C192" s="147" t="s">
        <v>59</v>
      </c>
      <c r="D192" s="148" t="s">
        <v>859</v>
      </c>
      <c r="E192" s="149">
        <v>42826</v>
      </c>
      <c r="F192" s="147" t="s">
        <v>234</v>
      </c>
      <c r="G192" s="129" t="s">
        <v>859</v>
      </c>
      <c r="H192" s="126" t="s">
        <v>831</v>
      </c>
    </row>
    <row r="193" spans="1:8" ht="36.75" customHeight="1" x14ac:dyDescent="0.25">
      <c r="A193" s="126"/>
      <c r="B193" s="146"/>
      <c r="C193" s="148"/>
      <c r="D193" s="148"/>
      <c r="E193" s="149"/>
      <c r="F193" s="148"/>
      <c r="G193" s="129"/>
      <c r="H193" s="126"/>
    </row>
    <row r="194" spans="1:8" ht="36.75" customHeight="1" x14ac:dyDescent="0.25">
      <c r="A194" s="126">
        <f t="shared" ref="A194" si="82">1+A192</f>
        <v>90</v>
      </c>
      <c r="B194" s="151" t="s">
        <v>862</v>
      </c>
      <c r="C194" s="152" t="s">
        <v>62</v>
      </c>
      <c r="D194" s="153" t="s">
        <v>863</v>
      </c>
      <c r="E194" s="154">
        <v>42826</v>
      </c>
      <c r="F194" s="152" t="s">
        <v>234</v>
      </c>
      <c r="G194" s="129" t="s">
        <v>863</v>
      </c>
      <c r="H194" s="126" t="s">
        <v>831</v>
      </c>
    </row>
    <row r="195" spans="1:8" ht="36.75" customHeight="1" x14ac:dyDescent="0.25">
      <c r="A195" s="126"/>
      <c r="B195" s="151"/>
      <c r="C195" s="153"/>
      <c r="D195" s="153"/>
      <c r="E195" s="154"/>
      <c r="F195" s="153"/>
      <c r="G195" s="129"/>
      <c r="H195" s="126"/>
    </row>
    <row r="196" spans="1:8" ht="36.75" customHeight="1" x14ac:dyDescent="0.25">
      <c r="A196" s="126">
        <f t="shared" ref="A196" si="83">1+A194</f>
        <v>91</v>
      </c>
      <c r="B196" s="151" t="s">
        <v>864</v>
      </c>
      <c r="C196" s="152" t="s">
        <v>65</v>
      </c>
      <c r="D196" s="153" t="s">
        <v>863</v>
      </c>
      <c r="E196" s="154">
        <v>42826</v>
      </c>
      <c r="F196" s="152" t="s">
        <v>234</v>
      </c>
      <c r="G196" s="129" t="s">
        <v>863</v>
      </c>
      <c r="H196" s="126" t="s">
        <v>831</v>
      </c>
    </row>
    <row r="197" spans="1:8" ht="36.75" customHeight="1" x14ac:dyDescent="0.25">
      <c r="A197" s="126"/>
      <c r="B197" s="151"/>
      <c r="C197" s="153"/>
      <c r="D197" s="153"/>
      <c r="E197" s="154"/>
      <c r="F197" s="153"/>
      <c r="G197" s="129"/>
      <c r="H197" s="126"/>
    </row>
    <row r="198" spans="1:8" ht="36.75" customHeight="1" x14ac:dyDescent="0.25">
      <c r="A198" s="126">
        <f t="shared" ref="A198" si="84">1+A196</f>
        <v>92</v>
      </c>
      <c r="B198" s="151" t="s">
        <v>865</v>
      </c>
      <c r="C198" s="152" t="s">
        <v>68</v>
      </c>
      <c r="D198" s="153" t="s">
        <v>863</v>
      </c>
      <c r="E198" s="154">
        <v>42826</v>
      </c>
      <c r="F198" s="152" t="s">
        <v>234</v>
      </c>
      <c r="G198" s="129" t="s">
        <v>863</v>
      </c>
      <c r="H198" s="126" t="s">
        <v>831</v>
      </c>
    </row>
    <row r="199" spans="1:8" ht="36.75" customHeight="1" x14ac:dyDescent="0.25">
      <c r="A199" s="126"/>
      <c r="B199" s="151"/>
      <c r="C199" s="153"/>
      <c r="D199" s="153"/>
      <c r="E199" s="154"/>
      <c r="F199" s="153"/>
      <c r="G199" s="129"/>
      <c r="H199" s="126"/>
    </row>
    <row r="200" spans="1:8" ht="36.75" customHeight="1" x14ac:dyDescent="0.25">
      <c r="A200" s="126">
        <f t="shared" ref="A200" si="85">1+A198</f>
        <v>93</v>
      </c>
      <c r="B200" s="155" t="s">
        <v>866</v>
      </c>
      <c r="C200" s="156" t="s">
        <v>79</v>
      </c>
      <c r="D200" s="157" t="s">
        <v>863</v>
      </c>
      <c r="E200" s="158">
        <v>42826</v>
      </c>
      <c r="F200" s="156" t="s">
        <v>234</v>
      </c>
      <c r="G200" s="129" t="s">
        <v>870</v>
      </c>
      <c r="H200" s="126" t="s">
        <v>831</v>
      </c>
    </row>
    <row r="201" spans="1:8" ht="36.75" customHeight="1" x14ac:dyDescent="0.25">
      <c r="A201" s="126"/>
      <c r="B201" s="155"/>
      <c r="C201" s="157"/>
      <c r="D201" s="157"/>
      <c r="E201" s="158"/>
      <c r="F201" s="157"/>
      <c r="G201" s="129"/>
      <c r="H201" s="126"/>
    </row>
    <row r="202" spans="1:8" ht="36.75" customHeight="1" x14ac:dyDescent="0.25">
      <c r="A202" s="126">
        <f t="shared" ref="A202" si="86">1+A200</f>
        <v>94</v>
      </c>
      <c r="B202" s="155" t="s">
        <v>867</v>
      </c>
      <c r="C202" s="156" t="s">
        <v>82</v>
      </c>
      <c r="D202" s="157" t="s">
        <v>863</v>
      </c>
      <c r="E202" s="158">
        <v>42826</v>
      </c>
      <c r="F202" s="156" t="s">
        <v>234</v>
      </c>
      <c r="G202" s="129" t="s">
        <v>870</v>
      </c>
      <c r="H202" s="126" t="s">
        <v>831</v>
      </c>
    </row>
    <row r="203" spans="1:8" ht="36.75" customHeight="1" x14ac:dyDescent="0.25">
      <c r="A203" s="126"/>
      <c r="B203" s="155"/>
      <c r="C203" s="157"/>
      <c r="D203" s="157"/>
      <c r="E203" s="158"/>
      <c r="F203" s="157"/>
      <c r="G203" s="129"/>
      <c r="H203" s="126"/>
    </row>
    <row r="204" spans="1:8" ht="38.25" customHeight="1" x14ac:dyDescent="0.25">
      <c r="A204" s="126">
        <f t="shared" ref="A204" si="87">1+A202</f>
        <v>95</v>
      </c>
      <c r="B204" s="155" t="s">
        <v>868</v>
      </c>
      <c r="C204" s="156" t="s">
        <v>84</v>
      </c>
      <c r="D204" s="157" t="s">
        <v>869</v>
      </c>
      <c r="E204" s="158">
        <v>42826</v>
      </c>
      <c r="F204" s="156" t="s">
        <v>234</v>
      </c>
      <c r="G204" s="129" t="s">
        <v>870</v>
      </c>
      <c r="H204" s="126" t="s">
        <v>831</v>
      </c>
    </row>
    <row r="205" spans="1:8" ht="38.25" customHeight="1" x14ac:dyDescent="0.25">
      <c r="A205" s="126"/>
      <c r="B205" s="155"/>
      <c r="C205" s="157"/>
      <c r="D205" s="157"/>
      <c r="E205" s="158"/>
      <c r="F205" s="157"/>
      <c r="G205" s="129"/>
      <c r="H205" s="126"/>
    </row>
    <row r="206" spans="1:8" ht="38.25" customHeight="1" x14ac:dyDescent="0.25">
      <c r="A206" s="126">
        <f t="shared" ref="A206" si="88">1+A204</f>
        <v>96</v>
      </c>
      <c r="B206" s="127" t="s">
        <v>843</v>
      </c>
      <c r="C206" s="128" t="s">
        <v>86</v>
      </c>
      <c r="D206" s="126" t="s">
        <v>869</v>
      </c>
      <c r="E206" s="129">
        <v>44650</v>
      </c>
      <c r="F206" s="128" t="s">
        <v>234</v>
      </c>
      <c r="G206" s="129" t="s">
        <v>791</v>
      </c>
      <c r="H206" s="126" t="s">
        <v>831</v>
      </c>
    </row>
    <row r="207" spans="1:8" ht="38.25" customHeight="1" x14ac:dyDescent="0.25">
      <c r="A207" s="126"/>
      <c r="B207" s="127"/>
      <c r="C207" s="126"/>
      <c r="D207" s="126"/>
      <c r="E207" s="129"/>
      <c r="F207" s="126"/>
      <c r="G207" s="129"/>
      <c r="H207" s="126"/>
    </row>
    <row r="208" spans="1:8" ht="38.25" customHeight="1" x14ac:dyDescent="0.25">
      <c r="A208" s="126">
        <f t="shared" ref="A208" si="89">1+A206</f>
        <v>97</v>
      </c>
      <c r="B208" s="127" t="s">
        <v>844</v>
      </c>
      <c r="C208" s="128" t="s">
        <v>88</v>
      </c>
      <c r="D208" s="126" t="s">
        <v>869</v>
      </c>
      <c r="E208" s="129">
        <v>44650</v>
      </c>
      <c r="F208" s="128" t="s">
        <v>234</v>
      </c>
      <c r="G208" s="129" t="s">
        <v>791</v>
      </c>
      <c r="H208" s="126" t="s">
        <v>831</v>
      </c>
    </row>
    <row r="209" spans="1:8" ht="38.25" customHeight="1" x14ac:dyDescent="0.25">
      <c r="A209" s="126"/>
      <c r="B209" s="127"/>
      <c r="C209" s="126"/>
      <c r="D209" s="126"/>
      <c r="E209" s="129"/>
      <c r="F209" s="126"/>
      <c r="G209" s="129"/>
      <c r="H209" s="126"/>
    </row>
    <row r="210" spans="1:8" ht="39.75" customHeight="1" x14ac:dyDescent="0.25">
      <c r="A210" s="126">
        <f t="shared" ref="A210:A220" si="90">1+A208</f>
        <v>98</v>
      </c>
      <c r="B210" s="127" t="s">
        <v>871</v>
      </c>
      <c r="C210" s="128" t="s">
        <v>100</v>
      </c>
      <c r="D210" s="126" t="s">
        <v>869</v>
      </c>
      <c r="E210" s="129">
        <v>44745</v>
      </c>
      <c r="F210" s="130" t="s">
        <v>234</v>
      </c>
      <c r="G210" s="132" t="s">
        <v>791</v>
      </c>
      <c r="H210" s="134" t="s">
        <v>831</v>
      </c>
    </row>
    <row r="211" spans="1:8" ht="39.75" customHeight="1" x14ac:dyDescent="0.25">
      <c r="A211" s="126"/>
      <c r="B211" s="127"/>
      <c r="C211" s="126"/>
      <c r="D211" s="126"/>
      <c r="E211" s="129"/>
      <c r="F211" s="131"/>
      <c r="G211" s="133"/>
      <c r="H211" s="135"/>
    </row>
    <row r="212" spans="1:8" ht="39.75" customHeight="1" x14ac:dyDescent="0.25">
      <c r="A212" s="126">
        <f t="shared" si="90"/>
        <v>99</v>
      </c>
      <c r="B212" s="127" t="s">
        <v>874</v>
      </c>
      <c r="C212" s="128" t="s">
        <v>872</v>
      </c>
      <c r="D212" s="126" t="s">
        <v>869</v>
      </c>
      <c r="E212" s="129">
        <v>44744</v>
      </c>
      <c r="F212" s="130" t="s">
        <v>234</v>
      </c>
      <c r="G212" s="132" t="s">
        <v>791</v>
      </c>
      <c r="H212" s="134" t="s">
        <v>831</v>
      </c>
    </row>
    <row r="213" spans="1:8" ht="39.75" customHeight="1" x14ac:dyDescent="0.25">
      <c r="A213" s="126"/>
      <c r="B213" s="127"/>
      <c r="C213" s="126"/>
      <c r="D213" s="126"/>
      <c r="E213" s="129"/>
      <c r="F213" s="131"/>
      <c r="G213" s="133"/>
      <c r="H213" s="135"/>
    </row>
    <row r="214" spans="1:8" ht="39.75" customHeight="1" x14ac:dyDescent="0.25">
      <c r="A214" s="126">
        <f t="shared" si="90"/>
        <v>100</v>
      </c>
      <c r="B214" s="127" t="s">
        <v>875</v>
      </c>
      <c r="C214" s="128" t="s">
        <v>873</v>
      </c>
      <c r="D214" s="126" t="s">
        <v>869</v>
      </c>
      <c r="E214" s="129">
        <v>44744</v>
      </c>
      <c r="F214" s="130" t="s">
        <v>234</v>
      </c>
      <c r="G214" s="132" t="s">
        <v>791</v>
      </c>
      <c r="H214" s="134" t="s">
        <v>831</v>
      </c>
    </row>
    <row r="215" spans="1:8" ht="39.75" customHeight="1" x14ac:dyDescent="0.25">
      <c r="A215" s="126"/>
      <c r="B215" s="127"/>
      <c r="C215" s="126"/>
      <c r="D215" s="126"/>
      <c r="E215" s="129"/>
      <c r="F215" s="131"/>
      <c r="G215" s="133"/>
      <c r="H215" s="135"/>
    </row>
    <row r="216" spans="1:8" ht="43.5" customHeight="1" x14ac:dyDescent="0.25">
      <c r="A216" s="126">
        <f t="shared" si="90"/>
        <v>101</v>
      </c>
      <c r="B216" s="127" t="s">
        <v>876</v>
      </c>
      <c r="C216" s="128" t="s">
        <v>26</v>
      </c>
      <c r="D216" s="126" t="s">
        <v>869</v>
      </c>
      <c r="E216" s="129">
        <v>44744</v>
      </c>
      <c r="F216" s="130" t="s">
        <v>234</v>
      </c>
      <c r="G216" s="132" t="s">
        <v>791</v>
      </c>
      <c r="H216" s="134" t="s">
        <v>831</v>
      </c>
    </row>
    <row r="217" spans="1:8" ht="43.5" customHeight="1" x14ac:dyDescent="0.25">
      <c r="A217" s="126"/>
      <c r="B217" s="127"/>
      <c r="C217" s="126"/>
      <c r="D217" s="126"/>
      <c r="E217" s="129"/>
      <c r="F217" s="131"/>
      <c r="G217" s="133"/>
      <c r="H217" s="135"/>
    </row>
    <row r="218" spans="1:8" ht="47.25" customHeight="1" x14ac:dyDescent="0.25">
      <c r="A218" s="126">
        <f t="shared" si="90"/>
        <v>102</v>
      </c>
      <c r="B218" s="127" t="s">
        <v>877</v>
      </c>
      <c r="C218" s="128" t="s">
        <v>102</v>
      </c>
      <c r="D218" s="126" t="s">
        <v>869</v>
      </c>
      <c r="E218" s="129">
        <v>44744</v>
      </c>
      <c r="F218" s="130" t="s">
        <v>234</v>
      </c>
      <c r="G218" s="132" t="s">
        <v>791</v>
      </c>
      <c r="H218" s="134" t="s">
        <v>831</v>
      </c>
    </row>
    <row r="219" spans="1:8" ht="47.25" customHeight="1" x14ac:dyDescent="0.25">
      <c r="A219" s="126"/>
      <c r="B219" s="127"/>
      <c r="C219" s="126"/>
      <c r="D219" s="126"/>
      <c r="E219" s="129"/>
      <c r="F219" s="131"/>
      <c r="G219" s="133"/>
      <c r="H219" s="135"/>
    </row>
    <row r="220" spans="1:8" ht="47.25" customHeight="1" x14ac:dyDescent="0.25">
      <c r="A220" s="126">
        <f t="shared" si="90"/>
        <v>103</v>
      </c>
      <c r="B220" s="127" t="s">
        <v>879</v>
      </c>
      <c r="C220" s="128" t="s">
        <v>878</v>
      </c>
      <c r="D220" s="126" t="s">
        <v>869</v>
      </c>
      <c r="E220" s="129">
        <v>44744</v>
      </c>
      <c r="F220" s="130" t="s">
        <v>234</v>
      </c>
      <c r="G220" s="132" t="s">
        <v>791</v>
      </c>
      <c r="H220" s="134" t="s">
        <v>831</v>
      </c>
    </row>
    <row r="221" spans="1:8" ht="47.25" customHeight="1" x14ac:dyDescent="0.25">
      <c r="A221" s="126"/>
      <c r="B221" s="127"/>
      <c r="C221" s="126"/>
      <c r="D221" s="126"/>
      <c r="E221" s="129"/>
      <c r="F221" s="131"/>
      <c r="G221" s="133"/>
      <c r="H221" s="135"/>
    </row>
    <row r="222" spans="1:8" ht="51.75" customHeight="1" x14ac:dyDescent="0.25">
      <c r="A222" s="126">
        <v>104</v>
      </c>
      <c r="B222" s="127" t="s">
        <v>880</v>
      </c>
      <c r="C222" s="128" t="s">
        <v>96</v>
      </c>
      <c r="D222" s="126" t="s">
        <v>869</v>
      </c>
      <c r="E222" s="129">
        <v>43101</v>
      </c>
      <c r="F222" s="130" t="s">
        <v>234</v>
      </c>
      <c r="G222" s="132" t="s">
        <v>791</v>
      </c>
      <c r="H222" s="134" t="s">
        <v>831</v>
      </c>
    </row>
    <row r="223" spans="1:8" ht="51.75" customHeight="1" x14ac:dyDescent="0.25">
      <c r="A223" s="126"/>
      <c r="B223" s="127"/>
      <c r="C223" s="126"/>
      <c r="D223" s="126"/>
      <c r="E223" s="129"/>
      <c r="F223" s="131"/>
      <c r="G223" s="133"/>
      <c r="H223" s="135"/>
    </row>
    <row r="224" spans="1:8" ht="51.75" customHeight="1" x14ac:dyDescent="0.25">
      <c r="A224" s="126">
        <v>105</v>
      </c>
      <c r="B224" s="127" t="s">
        <v>885</v>
      </c>
      <c r="C224" s="128" t="s">
        <v>29</v>
      </c>
      <c r="D224" s="126" t="s">
        <v>869</v>
      </c>
      <c r="E224" s="129">
        <v>43101</v>
      </c>
      <c r="F224" s="130" t="s">
        <v>234</v>
      </c>
      <c r="G224" s="132" t="s">
        <v>791</v>
      </c>
      <c r="H224" s="134" t="s">
        <v>831</v>
      </c>
    </row>
    <row r="225" spans="1:8" ht="52.5" customHeight="1" x14ac:dyDescent="0.25">
      <c r="A225" s="126"/>
      <c r="B225" s="127"/>
      <c r="C225" s="126"/>
      <c r="D225" s="126"/>
      <c r="E225" s="129"/>
      <c r="F225" s="131"/>
      <c r="G225" s="133"/>
      <c r="H225" s="135"/>
    </row>
    <row r="226" spans="1:8" ht="52.5" customHeight="1" x14ac:dyDescent="0.25">
      <c r="A226" s="126">
        <v>106</v>
      </c>
      <c r="B226" s="127" t="s">
        <v>890</v>
      </c>
      <c r="C226" s="128" t="s">
        <v>104</v>
      </c>
      <c r="D226" s="126" t="s">
        <v>869</v>
      </c>
      <c r="E226" s="129">
        <v>43101</v>
      </c>
      <c r="F226" s="130">
        <v>0</v>
      </c>
      <c r="G226" s="132" t="s">
        <v>791</v>
      </c>
      <c r="H226" s="134" t="s">
        <v>831</v>
      </c>
    </row>
    <row r="227" spans="1:8" ht="52.5" customHeight="1" x14ac:dyDescent="0.25">
      <c r="A227" s="126"/>
      <c r="B227" s="127"/>
      <c r="C227" s="126"/>
      <c r="D227" s="126"/>
      <c r="E227" s="129"/>
      <c r="F227" s="131"/>
      <c r="G227" s="133"/>
      <c r="H227" s="135"/>
    </row>
  </sheetData>
  <autoFilter ref="A7:H225"/>
  <mergeCells count="821"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G202:G203"/>
    <mergeCell ref="H202:H203"/>
    <mergeCell ref="G204:G205"/>
    <mergeCell ref="H204:H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A208:A209"/>
    <mergeCell ref="B208:B209"/>
    <mergeCell ref="C208:C209"/>
    <mergeCell ref="D208:D209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G192:G193"/>
    <mergeCell ref="H192:H193"/>
    <mergeCell ref="G194:G195"/>
    <mergeCell ref="H194:H195"/>
    <mergeCell ref="G196:G197"/>
    <mergeCell ref="H196:H197"/>
    <mergeCell ref="G198:G199"/>
    <mergeCell ref="H198:H199"/>
    <mergeCell ref="G200:G201"/>
    <mergeCell ref="H200:H201"/>
    <mergeCell ref="B202:B203"/>
    <mergeCell ref="C202:C203"/>
    <mergeCell ref="D202:D203"/>
    <mergeCell ref="E202:E203"/>
    <mergeCell ref="F202:F203"/>
    <mergeCell ref="B204:B205"/>
    <mergeCell ref="C204:C205"/>
    <mergeCell ref="D204:D205"/>
    <mergeCell ref="E204:E205"/>
    <mergeCell ref="F204:F205"/>
    <mergeCell ref="B198:B199"/>
    <mergeCell ref="G182:G183"/>
    <mergeCell ref="H182:H183"/>
    <mergeCell ref="G184:G185"/>
    <mergeCell ref="H184:H185"/>
    <mergeCell ref="G186:G187"/>
    <mergeCell ref="H186:H187"/>
    <mergeCell ref="G188:G189"/>
    <mergeCell ref="H188:H189"/>
    <mergeCell ref="G190:G191"/>
    <mergeCell ref="H190:H191"/>
    <mergeCell ref="C198:C199"/>
    <mergeCell ref="D198:D199"/>
    <mergeCell ref="E198:E199"/>
    <mergeCell ref="F198:F199"/>
    <mergeCell ref="B200:B201"/>
    <mergeCell ref="C200:C201"/>
    <mergeCell ref="D200:D201"/>
    <mergeCell ref="E200:E201"/>
    <mergeCell ref="F200:F201"/>
    <mergeCell ref="B194:B195"/>
    <mergeCell ref="C194:C195"/>
    <mergeCell ref="D194:D195"/>
    <mergeCell ref="E194:E195"/>
    <mergeCell ref="F194:F195"/>
    <mergeCell ref="B196:B197"/>
    <mergeCell ref="C196:C197"/>
    <mergeCell ref="D196:D197"/>
    <mergeCell ref="E196:E197"/>
    <mergeCell ref="F196:F197"/>
    <mergeCell ref="B190:B191"/>
    <mergeCell ref="C190:C191"/>
    <mergeCell ref="D190:D191"/>
    <mergeCell ref="E190:E191"/>
    <mergeCell ref="F190:F191"/>
    <mergeCell ref="B192:B193"/>
    <mergeCell ref="C192:C193"/>
    <mergeCell ref="D192:D193"/>
    <mergeCell ref="E192:E193"/>
    <mergeCell ref="F192:F193"/>
    <mergeCell ref="B186:B187"/>
    <mergeCell ref="C186:C187"/>
    <mergeCell ref="D186:D187"/>
    <mergeCell ref="E186:E187"/>
    <mergeCell ref="F186:F187"/>
    <mergeCell ref="B188:B189"/>
    <mergeCell ref="C188:C189"/>
    <mergeCell ref="D188:D189"/>
    <mergeCell ref="E188:E189"/>
    <mergeCell ref="F188:F189"/>
    <mergeCell ref="B182:B183"/>
    <mergeCell ref="C182:C183"/>
    <mergeCell ref="D182:D183"/>
    <mergeCell ref="E182:E183"/>
    <mergeCell ref="F182:F183"/>
    <mergeCell ref="B184:B185"/>
    <mergeCell ref="C184:C185"/>
    <mergeCell ref="D184:D185"/>
    <mergeCell ref="E184:E185"/>
    <mergeCell ref="F184:F185"/>
    <mergeCell ref="A1:D2"/>
    <mergeCell ref="E1:H2"/>
    <mergeCell ref="A4:B4"/>
    <mergeCell ref="A5:B5"/>
    <mergeCell ref="A6:B6"/>
    <mergeCell ref="A8:A9"/>
    <mergeCell ref="C8:C9"/>
    <mergeCell ref="D8:D9"/>
    <mergeCell ref="E8:E9"/>
    <mergeCell ref="F8:F9"/>
    <mergeCell ref="G8:G9"/>
    <mergeCell ref="H8:H9"/>
    <mergeCell ref="A10:A11"/>
    <mergeCell ref="C10:C11"/>
    <mergeCell ref="D10:D11"/>
    <mergeCell ref="E10:E11"/>
    <mergeCell ref="F10:F11"/>
    <mergeCell ref="G10:G11"/>
    <mergeCell ref="H10:H11"/>
    <mergeCell ref="H12:H13"/>
    <mergeCell ref="A14:A15"/>
    <mergeCell ref="C14:C15"/>
    <mergeCell ref="D14:D15"/>
    <mergeCell ref="E14:E15"/>
    <mergeCell ref="F14:F15"/>
    <mergeCell ref="G14:G15"/>
    <mergeCell ref="H14:H15"/>
    <mergeCell ref="A12:A13"/>
    <mergeCell ref="C12:C13"/>
    <mergeCell ref="D12:D13"/>
    <mergeCell ref="E12:E13"/>
    <mergeCell ref="F12:F13"/>
    <mergeCell ref="G12:G13"/>
    <mergeCell ref="H16:H17"/>
    <mergeCell ref="A18:A19"/>
    <mergeCell ref="C18:C19"/>
    <mergeCell ref="D18:D19"/>
    <mergeCell ref="E18:E19"/>
    <mergeCell ref="F18:F19"/>
    <mergeCell ref="G18:G19"/>
    <mergeCell ref="H18:H19"/>
    <mergeCell ref="A16:A17"/>
    <mergeCell ref="C16:C17"/>
    <mergeCell ref="D16:D17"/>
    <mergeCell ref="E16:E17"/>
    <mergeCell ref="F16:F17"/>
    <mergeCell ref="G16:G17"/>
    <mergeCell ref="H20:H21"/>
    <mergeCell ref="A22:A23"/>
    <mergeCell ref="C22:C23"/>
    <mergeCell ref="D22:D23"/>
    <mergeCell ref="E22:E23"/>
    <mergeCell ref="F22:F23"/>
    <mergeCell ref="G22:G23"/>
    <mergeCell ref="H22:H23"/>
    <mergeCell ref="A20:A21"/>
    <mergeCell ref="C20:C21"/>
    <mergeCell ref="D20:D21"/>
    <mergeCell ref="E20:E21"/>
    <mergeCell ref="F20:F21"/>
    <mergeCell ref="G20:G21"/>
    <mergeCell ref="H24:H25"/>
    <mergeCell ref="A26:A27"/>
    <mergeCell ref="C26:C27"/>
    <mergeCell ref="D26:D27"/>
    <mergeCell ref="E26:E27"/>
    <mergeCell ref="F26:F27"/>
    <mergeCell ref="G26:G27"/>
    <mergeCell ref="H26:H27"/>
    <mergeCell ref="A24:A25"/>
    <mergeCell ref="C24:C25"/>
    <mergeCell ref="D24:D25"/>
    <mergeCell ref="E24:E25"/>
    <mergeCell ref="F24:F25"/>
    <mergeCell ref="G24:G25"/>
    <mergeCell ref="H28:H29"/>
    <mergeCell ref="A30:A31"/>
    <mergeCell ref="C30:C31"/>
    <mergeCell ref="D30:D31"/>
    <mergeCell ref="E30:E31"/>
    <mergeCell ref="F30:F31"/>
    <mergeCell ref="G30:G31"/>
    <mergeCell ref="H30:H31"/>
    <mergeCell ref="A28:A29"/>
    <mergeCell ref="C28:C29"/>
    <mergeCell ref="D28:D29"/>
    <mergeCell ref="E28:E29"/>
    <mergeCell ref="F28:F29"/>
    <mergeCell ref="G28:G29"/>
    <mergeCell ref="H32:H33"/>
    <mergeCell ref="A38:A39"/>
    <mergeCell ref="C38:C39"/>
    <mergeCell ref="D38:D39"/>
    <mergeCell ref="E38:E39"/>
    <mergeCell ref="F38:F39"/>
    <mergeCell ref="G38:G39"/>
    <mergeCell ref="H38:H39"/>
    <mergeCell ref="A32:A33"/>
    <mergeCell ref="C32:C33"/>
    <mergeCell ref="D32:D33"/>
    <mergeCell ref="E32:E33"/>
    <mergeCell ref="F32:F33"/>
    <mergeCell ref="G32:G33"/>
    <mergeCell ref="H40:H41"/>
    <mergeCell ref="A42:A43"/>
    <mergeCell ref="C42:C43"/>
    <mergeCell ref="D42:D43"/>
    <mergeCell ref="E42:E43"/>
    <mergeCell ref="F42:F43"/>
    <mergeCell ref="G42:G43"/>
    <mergeCell ref="H42:H43"/>
    <mergeCell ref="A40:A41"/>
    <mergeCell ref="C40:C41"/>
    <mergeCell ref="D40:D41"/>
    <mergeCell ref="E40:E41"/>
    <mergeCell ref="F40:F41"/>
    <mergeCell ref="G40:G41"/>
    <mergeCell ref="H44:H45"/>
    <mergeCell ref="A46:A47"/>
    <mergeCell ref="C46:C47"/>
    <mergeCell ref="D46:D47"/>
    <mergeCell ref="E46:E47"/>
    <mergeCell ref="F46:F47"/>
    <mergeCell ref="G46:G47"/>
    <mergeCell ref="H46:H47"/>
    <mergeCell ref="A44:A45"/>
    <mergeCell ref="C44:C45"/>
    <mergeCell ref="D44:D45"/>
    <mergeCell ref="E44:E45"/>
    <mergeCell ref="F44:F45"/>
    <mergeCell ref="G44:G45"/>
    <mergeCell ref="H48:H49"/>
    <mergeCell ref="A50:A51"/>
    <mergeCell ref="C50:C51"/>
    <mergeCell ref="D50:D51"/>
    <mergeCell ref="E50:E51"/>
    <mergeCell ref="F50:F51"/>
    <mergeCell ref="G50:G51"/>
    <mergeCell ref="H50:H51"/>
    <mergeCell ref="A48:A49"/>
    <mergeCell ref="C48:C49"/>
    <mergeCell ref="D48:D49"/>
    <mergeCell ref="E48:E49"/>
    <mergeCell ref="F48:F49"/>
    <mergeCell ref="G48:G49"/>
    <mergeCell ref="H52:H53"/>
    <mergeCell ref="A54:A55"/>
    <mergeCell ref="C54:C55"/>
    <mergeCell ref="D54:D55"/>
    <mergeCell ref="E54:E55"/>
    <mergeCell ref="F54:F55"/>
    <mergeCell ref="G54:G55"/>
    <mergeCell ref="H54:H55"/>
    <mergeCell ref="A52:A53"/>
    <mergeCell ref="C52:C53"/>
    <mergeCell ref="D52:D53"/>
    <mergeCell ref="E52:E53"/>
    <mergeCell ref="F52:F53"/>
    <mergeCell ref="G52:G53"/>
    <mergeCell ref="H56:H57"/>
    <mergeCell ref="A58:A59"/>
    <mergeCell ref="C58:C59"/>
    <mergeCell ref="D58:D59"/>
    <mergeCell ref="E58:E59"/>
    <mergeCell ref="F58:F59"/>
    <mergeCell ref="G58:G59"/>
    <mergeCell ref="H58:H59"/>
    <mergeCell ref="A56:A57"/>
    <mergeCell ref="C56:C57"/>
    <mergeCell ref="D56:D57"/>
    <mergeCell ref="E56:E57"/>
    <mergeCell ref="F56:F57"/>
    <mergeCell ref="G56:G57"/>
    <mergeCell ref="H60:H61"/>
    <mergeCell ref="A62:A63"/>
    <mergeCell ref="C62:C63"/>
    <mergeCell ref="D62:D63"/>
    <mergeCell ref="E62:E63"/>
    <mergeCell ref="F62:F63"/>
    <mergeCell ref="G62:G63"/>
    <mergeCell ref="H62:H63"/>
    <mergeCell ref="A60:A61"/>
    <mergeCell ref="C60:C61"/>
    <mergeCell ref="D60:D61"/>
    <mergeCell ref="E60:E61"/>
    <mergeCell ref="F60:F61"/>
    <mergeCell ref="G60:G61"/>
    <mergeCell ref="H64:H65"/>
    <mergeCell ref="A66:A67"/>
    <mergeCell ref="C66:C67"/>
    <mergeCell ref="D66:D67"/>
    <mergeCell ref="E66:E67"/>
    <mergeCell ref="F66:F67"/>
    <mergeCell ref="G66:G67"/>
    <mergeCell ref="H66:H67"/>
    <mergeCell ref="A64:A65"/>
    <mergeCell ref="C64:C65"/>
    <mergeCell ref="D64:D65"/>
    <mergeCell ref="E64:E65"/>
    <mergeCell ref="F64:F65"/>
    <mergeCell ref="G64:G65"/>
    <mergeCell ref="H68:H69"/>
    <mergeCell ref="A70:A71"/>
    <mergeCell ref="C70:C71"/>
    <mergeCell ref="D70:D71"/>
    <mergeCell ref="E70:E71"/>
    <mergeCell ref="F70:F71"/>
    <mergeCell ref="G70:G71"/>
    <mergeCell ref="H70:H71"/>
    <mergeCell ref="A68:A69"/>
    <mergeCell ref="C68:C69"/>
    <mergeCell ref="D68:D69"/>
    <mergeCell ref="E68:E69"/>
    <mergeCell ref="F68:F69"/>
    <mergeCell ref="G68:G69"/>
    <mergeCell ref="H72:H73"/>
    <mergeCell ref="A74:A75"/>
    <mergeCell ref="C74:C75"/>
    <mergeCell ref="D74:D75"/>
    <mergeCell ref="E74:E75"/>
    <mergeCell ref="F74:F75"/>
    <mergeCell ref="G74:G75"/>
    <mergeCell ref="H74:H75"/>
    <mergeCell ref="A72:A73"/>
    <mergeCell ref="C72:C73"/>
    <mergeCell ref="D72:D73"/>
    <mergeCell ref="E72:E73"/>
    <mergeCell ref="F72:F73"/>
    <mergeCell ref="G72:G73"/>
    <mergeCell ref="H76:H77"/>
    <mergeCell ref="A78:A79"/>
    <mergeCell ref="C78:C79"/>
    <mergeCell ref="D78:D79"/>
    <mergeCell ref="E78:E79"/>
    <mergeCell ref="F78:F79"/>
    <mergeCell ref="G78:G79"/>
    <mergeCell ref="H78:H79"/>
    <mergeCell ref="A76:A77"/>
    <mergeCell ref="C76:C77"/>
    <mergeCell ref="D76:D77"/>
    <mergeCell ref="E76:E77"/>
    <mergeCell ref="F76:F77"/>
    <mergeCell ref="G76:G77"/>
    <mergeCell ref="H80:H81"/>
    <mergeCell ref="A82:A83"/>
    <mergeCell ref="C82:C83"/>
    <mergeCell ref="D82:D83"/>
    <mergeCell ref="E82:E83"/>
    <mergeCell ref="F82:F83"/>
    <mergeCell ref="G82:G83"/>
    <mergeCell ref="H82:H83"/>
    <mergeCell ref="A80:A81"/>
    <mergeCell ref="C80:C81"/>
    <mergeCell ref="D80:D81"/>
    <mergeCell ref="E80:E81"/>
    <mergeCell ref="F80:F81"/>
    <mergeCell ref="G80:G81"/>
    <mergeCell ref="H84:H85"/>
    <mergeCell ref="A86:A87"/>
    <mergeCell ref="C86:C87"/>
    <mergeCell ref="D86:D87"/>
    <mergeCell ref="E86:E87"/>
    <mergeCell ref="F86:F87"/>
    <mergeCell ref="G86:G87"/>
    <mergeCell ref="H86:H87"/>
    <mergeCell ref="A84:A85"/>
    <mergeCell ref="C84:C85"/>
    <mergeCell ref="D84:D85"/>
    <mergeCell ref="E84:E85"/>
    <mergeCell ref="F84:F85"/>
    <mergeCell ref="G84:G85"/>
    <mergeCell ref="H88:H89"/>
    <mergeCell ref="A90:A91"/>
    <mergeCell ref="C90:C91"/>
    <mergeCell ref="D90:D91"/>
    <mergeCell ref="E90:E91"/>
    <mergeCell ref="F90:F91"/>
    <mergeCell ref="G90:G91"/>
    <mergeCell ref="H90:H91"/>
    <mergeCell ref="A88:A89"/>
    <mergeCell ref="C88:C89"/>
    <mergeCell ref="D88:D89"/>
    <mergeCell ref="E88:E89"/>
    <mergeCell ref="F88:F89"/>
    <mergeCell ref="G88:G89"/>
    <mergeCell ref="H92:H93"/>
    <mergeCell ref="A94:A95"/>
    <mergeCell ref="C94:C95"/>
    <mergeCell ref="D94:D95"/>
    <mergeCell ref="E94:E95"/>
    <mergeCell ref="F94:F95"/>
    <mergeCell ref="G94:G95"/>
    <mergeCell ref="H94:H95"/>
    <mergeCell ref="A92:A93"/>
    <mergeCell ref="C92:C93"/>
    <mergeCell ref="D92:D93"/>
    <mergeCell ref="E92:E93"/>
    <mergeCell ref="F92:F93"/>
    <mergeCell ref="G92:G93"/>
    <mergeCell ref="H96:H97"/>
    <mergeCell ref="A98:A99"/>
    <mergeCell ref="C98:C99"/>
    <mergeCell ref="D98:D99"/>
    <mergeCell ref="E98:E99"/>
    <mergeCell ref="F98:F99"/>
    <mergeCell ref="G98:G99"/>
    <mergeCell ref="H98:H99"/>
    <mergeCell ref="A96:A97"/>
    <mergeCell ref="C96:C97"/>
    <mergeCell ref="D96:D97"/>
    <mergeCell ref="E96:E97"/>
    <mergeCell ref="F96:F97"/>
    <mergeCell ref="G96:G97"/>
    <mergeCell ref="H100:H101"/>
    <mergeCell ref="A102:A103"/>
    <mergeCell ref="C102:C103"/>
    <mergeCell ref="D102:D103"/>
    <mergeCell ref="E102:E103"/>
    <mergeCell ref="F102:F103"/>
    <mergeCell ref="G102:G103"/>
    <mergeCell ref="H102:H103"/>
    <mergeCell ref="A100:A101"/>
    <mergeCell ref="C100:C101"/>
    <mergeCell ref="D100:D101"/>
    <mergeCell ref="E100:E101"/>
    <mergeCell ref="F100:F101"/>
    <mergeCell ref="G100:G101"/>
    <mergeCell ref="H104:H105"/>
    <mergeCell ref="A106:A107"/>
    <mergeCell ref="C106:C107"/>
    <mergeCell ref="D106:D107"/>
    <mergeCell ref="E106:E107"/>
    <mergeCell ref="F106:F107"/>
    <mergeCell ref="G106:G107"/>
    <mergeCell ref="H106:H107"/>
    <mergeCell ref="A104:A105"/>
    <mergeCell ref="C104:C105"/>
    <mergeCell ref="D104:D105"/>
    <mergeCell ref="E104:E105"/>
    <mergeCell ref="F104:F105"/>
    <mergeCell ref="G104:G105"/>
    <mergeCell ref="H108:H109"/>
    <mergeCell ref="A110:A111"/>
    <mergeCell ref="C110:C111"/>
    <mergeCell ref="D110:D111"/>
    <mergeCell ref="E110:E111"/>
    <mergeCell ref="F110:F111"/>
    <mergeCell ref="G110:G111"/>
    <mergeCell ref="H110:H111"/>
    <mergeCell ref="A108:A109"/>
    <mergeCell ref="C108:C109"/>
    <mergeCell ref="D108:D109"/>
    <mergeCell ref="E108:E109"/>
    <mergeCell ref="F108:F109"/>
    <mergeCell ref="G108:G109"/>
    <mergeCell ref="H112:H113"/>
    <mergeCell ref="A114:A115"/>
    <mergeCell ref="C114:C115"/>
    <mergeCell ref="D114:D115"/>
    <mergeCell ref="E114:E115"/>
    <mergeCell ref="F114:F115"/>
    <mergeCell ref="G114:G115"/>
    <mergeCell ref="H114:H115"/>
    <mergeCell ref="A112:A113"/>
    <mergeCell ref="C112:C113"/>
    <mergeCell ref="D112:D113"/>
    <mergeCell ref="E112:E113"/>
    <mergeCell ref="F112:F113"/>
    <mergeCell ref="G112:G113"/>
    <mergeCell ref="H116:H117"/>
    <mergeCell ref="A118:A119"/>
    <mergeCell ref="C118:C119"/>
    <mergeCell ref="D118:D119"/>
    <mergeCell ref="E118:E119"/>
    <mergeCell ref="F118:F119"/>
    <mergeCell ref="G118:G119"/>
    <mergeCell ref="H118:H119"/>
    <mergeCell ref="A116:A117"/>
    <mergeCell ref="C116:C117"/>
    <mergeCell ref="D116:D117"/>
    <mergeCell ref="E116:E117"/>
    <mergeCell ref="F116:F117"/>
    <mergeCell ref="G116:G117"/>
    <mergeCell ref="H120:H121"/>
    <mergeCell ref="A122:A123"/>
    <mergeCell ref="C122:C123"/>
    <mergeCell ref="D122:D123"/>
    <mergeCell ref="E122:E123"/>
    <mergeCell ref="F122:F123"/>
    <mergeCell ref="G122:G123"/>
    <mergeCell ref="H122:H123"/>
    <mergeCell ref="A120:A121"/>
    <mergeCell ref="C120:C121"/>
    <mergeCell ref="D120:D121"/>
    <mergeCell ref="E120:E121"/>
    <mergeCell ref="F120:F121"/>
    <mergeCell ref="G120:G121"/>
    <mergeCell ref="H124:H125"/>
    <mergeCell ref="A126:A127"/>
    <mergeCell ref="C126:C127"/>
    <mergeCell ref="D126:D127"/>
    <mergeCell ref="E126:E127"/>
    <mergeCell ref="F126:F127"/>
    <mergeCell ref="G126:G127"/>
    <mergeCell ref="H126:H127"/>
    <mergeCell ref="A124:A125"/>
    <mergeCell ref="C124:C125"/>
    <mergeCell ref="D124:D125"/>
    <mergeCell ref="E124:E125"/>
    <mergeCell ref="F124:F125"/>
    <mergeCell ref="G124:G125"/>
    <mergeCell ref="H128:H129"/>
    <mergeCell ref="A130:A131"/>
    <mergeCell ref="C130:C131"/>
    <mergeCell ref="D130:D131"/>
    <mergeCell ref="E130:E131"/>
    <mergeCell ref="F130:F131"/>
    <mergeCell ref="G130:G131"/>
    <mergeCell ref="H130:H131"/>
    <mergeCell ref="A128:A129"/>
    <mergeCell ref="C128:C129"/>
    <mergeCell ref="D128:D129"/>
    <mergeCell ref="E128:E129"/>
    <mergeCell ref="F128:F129"/>
    <mergeCell ref="G128:G129"/>
    <mergeCell ref="H132:H133"/>
    <mergeCell ref="A134:A135"/>
    <mergeCell ref="C134:C135"/>
    <mergeCell ref="D134:D135"/>
    <mergeCell ref="E134:E135"/>
    <mergeCell ref="F134:F135"/>
    <mergeCell ref="G134:G135"/>
    <mergeCell ref="H134:H135"/>
    <mergeCell ref="A132:A133"/>
    <mergeCell ref="C132:C133"/>
    <mergeCell ref="D132:D133"/>
    <mergeCell ref="E132:E133"/>
    <mergeCell ref="F132:F133"/>
    <mergeCell ref="G132:G133"/>
    <mergeCell ref="G136:G137"/>
    <mergeCell ref="H136:H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6:A137"/>
    <mergeCell ref="B136:B137"/>
    <mergeCell ref="C136:C137"/>
    <mergeCell ref="D136:D137"/>
    <mergeCell ref="E136:E137"/>
    <mergeCell ref="F136:F137"/>
    <mergeCell ref="G140:G141"/>
    <mergeCell ref="H140:H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A140:A141"/>
    <mergeCell ref="B140:B141"/>
    <mergeCell ref="C140:C141"/>
    <mergeCell ref="D140:D141"/>
    <mergeCell ref="E140:E141"/>
    <mergeCell ref="F140:F141"/>
    <mergeCell ref="G144:G145"/>
    <mergeCell ref="H144:H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8:G149"/>
    <mergeCell ref="H148:H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A148:A149"/>
    <mergeCell ref="B148:B149"/>
    <mergeCell ref="C148:C149"/>
    <mergeCell ref="D148:D149"/>
    <mergeCell ref="E148:E149"/>
    <mergeCell ref="F148:F149"/>
    <mergeCell ref="G152:G153"/>
    <mergeCell ref="H152:H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A152:A153"/>
    <mergeCell ref="B152:B153"/>
    <mergeCell ref="C152:C153"/>
    <mergeCell ref="D152:D153"/>
    <mergeCell ref="E152:E153"/>
    <mergeCell ref="F152:F153"/>
    <mergeCell ref="G156:G157"/>
    <mergeCell ref="H156:H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A156:A157"/>
    <mergeCell ref="B156:B157"/>
    <mergeCell ref="C156:C157"/>
    <mergeCell ref="D156:D157"/>
    <mergeCell ref="E156:E157"/>
    <mergeCell ref="F156:F157"/>
    <mergeCell ref="G160:G161"/>
    <mergeCell ref="H160:H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A160:A161"/>
    <mergeCell ref="B160:B161"/>
    <mergeCell ref="C160:C161"/>
    <mergeCell ref="D160:D161"/>
    <mergeCell ref="E160:E161"/>
    <mergeCell ref="F160:F161"/>
    <mergeCell ref="G164:G165"/>
    <mergeCell ref="H164:H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A164:A165"/>
    <mergeCell ref="B164:B165"/>
    <mergeCell ref="C164:C165"/>
    <mergeCell ref="D164:D165"/>
    <mergeCell ref="E164:E165"/>
    <mergeCell ref="F164:F165"/>
    <mergeCell ref="G168:G169"/>
    <mergeCell ref="H168:H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A168:A169"/>
    <mergeCell ref="B168:B169"/>
    <mergeCell ref="C168:C169"/>
    <mergeCell ref="D168:D169"/>
    <mergeCell ref="E168:E169"/>
    <mergeCell ref="F168:F169"/>
    <mergeCell ref="G172:G173"/>
    <mergeCell ref="H172:H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A172:A173"/>
    <mergeCell ref="B172:B173"/>
    <mergeCell ref="C172:C173"/>
    <mergeCell ref="D172:D173"/>
    <mergeCell ref="E172:E173"/>
    <mergeCell ref="F172:F173"/>
    <mergeCell ref="G180:G181"/>
    <mergeCell ref="H180:H181"/>
    <mergeCell ref="A180:A181"/>
    <mergeCell ref="B180:B181"/>
    <mergeCell ref="C180:C181"/>
    <mergeCell ref="D180:D181"/>
    <mergeCell ref="E180:E181"/>
    <mergeCell ref="F180:F181"/>
    <mergeCell ref="G176:G177"/>
    <mergeCell ref="H176:H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A176:A177"/>
    <mergeCell ref="B176:B177"/>
    <mergeCell ref="C176:C177"/>
    <mergeCell ref="D176:D177"/>
    <mergeCell ref="E176:E177"/>
    <mergeCell ref="F176:F177"/>
    <mergeCell ref="E208:E209"/>
    <mergeCell ref="F208:F209"/>
    <mergeCell ref="G208:G209"/>
    <mergeCell ref="H208:H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C216:C217"/>
    <mergeCell ref="D216:D217"/>
    <mergeCell ref="E216:E217"/>
    <mergeCell ref="F216:F217"/>
    <mergeCell ref="G216:G217"/>
    <mergeCell ref="H216:H217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A34:A35"/>
    <mergeCell ref="A36:A37"/>
    <mergeCell ref="C34:C35"/>
    <mergeCell ref="D34:D35"/>
    <mergeCell ref="E34:E35"/>
    <mergeCell ref="F34:F35"/>
    <mergeCell ref="G34:G35"/>
    <mergeCell ref="H34:H35"/>
    <mergeCell ref="C36:C37"/>
    <mergeCell ref="D36:D37"/>
    <mergeCell ref="E36:E37"/>
    <mergeCell ref="F36:F37"/>
    <mergeCell ref="G36:G37"/>
    <mergeCell ref="H36:H37"/>
    <mergeCell ref="A216:A217"/>
    <mergeCell ref="B216:B2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showGridLines="0" zoomScaleNormal="100" workbookViewId="0">
      <selection activeCell="C14" sqref="C14"/>
    </sheetView>
  </sheetViews>
  <sheetFormatPr defaultRowHeight="15" x14ac:dyDescent="0.25"/>
  <cols>
    <col min="1" max="1" width="6" style="18" customWidth="1"/>
    <col min="2" max="2" width="39.85546875" style="18" customWidth="1"/>
    <col min="3" max="3" width="17.42578125" style="18" customWidth="1"/>
    <col min="4" max="4" width="11.7109375" style="18" customWidth="1"/>
    <col min="5" max="5" width="17.42578125" style="18" customWidth="1"/>
    <col min="6" max="6" width="10.7109375" style="18" customWidth="1"/>
    <col min="7" max="16384" width="9.140625" style="18"/>
  </cols>
  <sheetData>
    <row r="1" spans="1:6" ht="17.25" customHeight="1" x14ac:dyDescent="0.25">
      <c r="A1" s="159"/>
      <c r="B1" s="161" t="s">
        <v>717</v>
      </c>
      <c r="C1" s="161"/>
      <c r="D1" s="161"/>
      <c r="E1" s="163" t="s">
        <v>718</v>
      </c>
      <c r="F1" s="163"/>
    </row>
    <row r="2" spans="1:6" ht="17.25" customHeight="1" x14ac:dyDescent="0.25">
      <c r="A2" s="159"/>
      <c r="B2" s="161"/>
      <c r="C2" s="161"/>
      <c r="D2" s="161"/>
      <c r="E2" s="163" t="s">
        <v>719</v>
      </c>
      <c r="F2" s="163"/>
    </row>
    <row r="3" spans="1:6" ht="17.25" customHeight="1" x14ac:dyDescent="0.25">
      <c r="A3" s="159"/>
      <c r="B3" s="161"/>
      <c r="C3" s="161"/>
      <c r="D3" s="161"/>
      <c r="E3" s="163" t="s">
        <v>720</v>
      </c>
      <c r="F3" s="163"/>
    </row>
    <row r="4" spans="1:6" ht="17.25" customHeight="1" thickBot="1" x14ac:dyDescent="0.3">
      <c r="A4" s="160"/>
      <c r="B4" s="162"/>
      <c r="C4" s="162"/>
      <c r="D4" s="162"/>
      <c r="E4" s="164"/>
      <c r="F4" s="164"/>
    </row>
    <row r="5" spans="1:6" ht="16.5" thickTop="1" x14ac:dyDescent="0.25">
      <c r="A5" s="102" t="s">
        <v>3</v>
      </c>
    </row>
    <row r="6" spans="1:6" ht="15.75" x14ac:dyDescent="0.25">
      <c r="A6" s="102" t="s">
        <v>721</v>
      </c>
    </row>
    <row r="7" spans="1:6" ht="15.75" x14ac:dyDescent="0.25">
      <c r="A7" s="103" t="s">
        <v>722</v>
      </c>
      <c r="B7" s="103"/>
      <c r="C7" s="103"/>
      <c r="D7" s="103"/>
      <c r="E7" s="103"/>
      <c r="F7" s="103"/>
    </row>
    <row r="8" spans="1:6" ht="24.75" customHeight="1" x14ac:dyDescent="0.25">
      <c r="A8" s="104" t="s">
        <v>5</v>
      </c>
      <c r="B8" s="104" t="s">
        <v>6</v>
      </c>
      <c r="C8" s="104" t="s">
        <v>7</v>
      </c>
      <c r="D8" s="104" t="s">
        <v>8</v>
      </c>
      <c r="E8" s="105" t="s">
        <v>9</v>
      </c>
      <c r="F8" s="105" t="s">
        <v>10</v>
      </c>
    </row>
    <row r="9" spans="1:6" ht="21.75" customHeight="1" x14ac:dyDescent="0.25">
      <c r="A9" s="104">
        <v>1</v>
      </c>
      <c r="B9" s="106" t="s">
        <v>611</v>
      </c>
      <c r="C9" s="104" t="s">
        <v>723</v>
      </c>
      <c r="D9" s="53" t="s">
        <v>724</v>
      </c>
      <c r="E9" s="53">
        <v>44596</v>
      </c>
      <c r="F9" s="107" t="s">
        <v>417</v>
      </c>
    </row>
    <row r="10" spans="1:6" ht="21.75" customHeight="1" x14ac:dyDescent="0.25">
      <c r="A10" s="104">
        <v>2</v>
      </c>
      <c r="B10" s="106" t="s">
        <v>725</v>
      </c>
      <c r="C10" s="104" t="s">
        <v>726</v>
      </c>
      <c r="D10" s="53" t="s">
        <v>724</v>
      </c>
      <c r="E10" s="53">
        <v>44596</v>
      </c>
      <c r="F10" s="107" t="s">
        <v>417</v>
      </c>
    </row>
    <row r="11" spans="1:6" ht="21.75" customHeight="1" x14ac:dyDescent="0.25">
      <c r="A11" s="104">
        <v>4</v>
      </c>
      <c r="B11" s="106" t="s">
        <v>727</v>
      </c>
      <c r="C11" s="104" t="s">
        <v>728</v>
      </c>
      <c r="D11" s="53" t="s">
        <v>724</v>
      </c>
      <c r="E11" s="53">
        <v>44593</v>
      </c>
      <c r="F11" s="107" t="s">
        <v>417</v>
      </c>
    </row>
    <row r="12" spans="1:6" ht="21.75" customHeight="1" x14ac:dyDescent="0.25">
      <c r="A12" s="104">
        <v>5</v>
      </c>
      <c r="B12" s="106" t="s">
        <v>729</v>
      </c>
      <c r="C12" s="104" t="s">
        <v>730</v>
      </c>
      <c r="D12" s="53" t="s">
        <v>724</v>
      </c>
      <c r="E12" s="53">
        <v>44593</v>
      </c>
      <c r="F12" s="107" t="s">
        <v>417</v>
      </c>
    </row>
    <row r="13" spans="1:6" ht="21.75" customHeight="1" x14ac:dyDescent="0.25">
      <c r="A13" s="104">
        <v>6</v>
      </c>
      <c r="B13" s="106" t="s">
        <v>731</v>
      </c>
      <c r="C13" s="104" t="s">
        <v>732</v>
      </c>
      <c r="D13" s="53" t="s">
        <v>724</v>
      </c>
      <c r="E13" s="53">
        <v>44593</v>
      </c>
      <c r="F13" s="107" t="s">
        <v>417</v>
      </c>
    </row>
    <row r="14" spans="1:6" ht="21.75" customHeight="1" x14ac:dyDescent="0.25">
      <c r="A14" s="104">
        <v>7</v>
      </c>
      <c r="B14" s="106" t="s">
        <v>733</v>
      </c>
      <c r="C14" s="118" t="s">
        <v>884</v>
      </c>
      <c r="D14" s="53" t="s">
        <v>724</v>
      </c>
      <c r="E14" s="53">
        <v>44593</v>
      </c>
      <c r="F14" s="107" t="s">
        <v>234</v>
      </c>
    </row>
    <row r="15" spans="1:6" ht="21.75" customHeight="1" x14ac:dyDescent="0.25">
      <c r="A15" s="104">
        <v>8</v>
      </c>
      <c r="B15" s="106" t="s">
        <v>734</v>
      </c>
      <c r="C15" s="104" t="s">
        <v>735</v>
      </c>
      <c r="D15" s="53" t="s">
        <v>724</v>
      </c>
      <c r="E15" s="53">
        <v>44593</v>
      </c>
      <c r="F15" s="107" t="s">
        <v>234</v>
      </c>
    </row>
    <row r="16" spans="1:6" ht="26.25" customHeight="1" x14ac:dyDescent="0.25">
      <c r="A16" s="104">
        <v>9</v>
      </c>
      <c r="B16" s="106" t="s">
        <v>205</v>
      </c>
      <c r="C16" s="104" t="s">
        <v>736</v>
      </c>
      <c r="D16" s="53" t="s">
        <v>724</v>
      </c>
      <c r="E16" s="53">
        <v>44593</v>
      </c>
      <c r="F16" s="107" t="s">
        <v>234</v>
      </c>
    </row>
    <row r="17" spans="1:6" ht="21.75" customHeight="1" x14ac:dyDescent="0.25">
      <c r="A17" s="104">
        <v>10</v>
      </c>
      <c r="B17" s="106" t="s">
        <v>737</v>
      </c>
      <c r="C17" s="104" t="s">
        <v>738</v>
      </c>
      <c r="D17" s="53" t="s">
        <v>724</v>
      </c>
      <c r="E17" s="53">
        <v>44593</v>
      </c>
      <c r="F17" s="107" t="s">
        <v>234</v>
      </c>
    </row>
    <row r="18" spans="1:6" ht="38.25" customHeight="1" x14ac:dyDescent="0.25">
      <c r="A18" s="104">
        <v>11</v>
      </c>
      <c r="B18" s="106" t="s">
        <v>739</v>
      </c>
      <c r="C18" s="104" t="s">
        <v>740</v>
      </c>
      <c r="D18" s="53" t="s">
        <v>724</v>
      </c>
      <c r="E18" s="53">
        <v>44837</v>
      </c>
      <c r="F18" s="107" t="s">
        <v>241</v>
      </c>
    </row>
    <row r="19" spans="1:6" ht="38.25" customHeight="1" x14ac:dyDescent="0.25">
      <c r="A19" s="104">
        <v>12</v>
      </c>
      <c r="B19" s="106" t="s">
        <v>741</v>
      </c>
      <c r="C19" s="104" t="s">
        <v>742</v>
      </c>
      <c r="D19" s="53" t="s">
        <v>724</v>
      </c>
      <c r="E19" s="53">
        <v>44837</v>
      </c>
      <c r="F19" s="107" t="s">
        <v>241</v>
      </c>
    </row>
    <row r="20" spans="1:6" ht="38.25" customHeight="1" x14ac:dyDescent="0.25">
      <c r="A20" s="104">
        <v>13</v>
      </c>
      <c r="B20" s="106" t="s">
        <v>743</v>
      </c>
      <c r="C20" s="104" t="s">
        <v>744</v>
      </c>
      <c r="D20" s="53" t="s">
        <v>724</v>
      </c>
      <c r="E20" s="53">
        <v>44837</v>
      </c>
      <c r="F20" s="107" t="s">
        <v>241</v>
      </c>
    </row>
    <row r="21" spans="1:6" ht="38.25" customHeight="1" x14ac:dyDescent="0.25">
      <c r="A21" s="104">
        <v>14</v>
      </c>
      <c r="B21" s="106" t="s">
        <v>745</v>
      </c>
      <c r="C21" s="104" t="s">
        <v>746</v>
      </c>
      <c r="D21" s="53" t="s">
        <v>724</v>
      </c>
      <c r="E21" s="53">
        <v>44837</v>
      </c>
      <c r="F21" s="107" t="s">
        <v>241</v>
      </c>
    </row>
    <row r="22" spans="1:6" ht="21.75" customHeight="1" x14ac:dyDescent="0.25">
      <c r="A22" s="104">
        <v>15</v>
      </c>
      <c r="B22" s="106" t="s">
        <v>747</v>
      </c>
      <c r="C22" s="104" t="s">
        <v>748</v>
      </c>
      <c r="D22" s="53" t="s">
        <v>724</v>
      </c>
      <c r="E22" s="53">
        <v>44593</v>
      </c>
      <c r="F22" s="107" t="s">
        <v>417</v>
      </c>
    </row>
    <row r="23" spans="1:6" ht="30" customHeight="1" x14ac:dyDescent="0.25">
      <c r="A23" s="104">
        <v>16</v>
      </c>
      <c r="B23" s="106" t="s">
        <v>749</v>
      </c>
      <c r="C23" s="104" t="s">
        <v>750</v>
      </c>
      <c r="D23" s="53" t="s">
        <v>724</v>
      </c>
      <c r="E23" s="53">
        <v>44593</v>
      </c>
      <c r="F23" s="107" t="s">
        <v>234</v>
      </c>
    </row>
    <row r="24" spans="1:6" ht="33" customHeight="1" x14ac:dyDescent="0.25">
      <c r="A24" s="104">
        <v>17</v>
      </c>
      <c r="B24" s="106" t="s">
        <v>751</v>
      </c>
      <c r="C24" s="104" t="s">
        <v>752</v>
      </c>
      <c r="D24" s="53" t="s">
        <v>724</v>
      </c>
      <c r="E24" s="53">
        <v>44593</v>
      </c>
      <c r="F24" s="107" t="s">
        <v>234</v>
      </c>
    </row>
    <row r="25" spans="1:6" ht="33" customHeight="1" x14ac:dyDescent="0.25">
      <c r="A25" s="104">
        <v>18</v>
      </c>
      <c r="B25" s="106" t="s">
        <v>753</v>
      </c>
      <c r="C25" s="104" t="s">
        <v>754</v>
      </c>
      <c r="D25" s="53" t="s">
        <v>724</v>
      </c>
      <c r="E25" s="53">
        <v>44593</v>
      </c>
      <c r="F25" s="108" t="s">
        <v>417</v>
      </c>
    </row>
    <row r="26" spans="1:6" ht="33" customHeight="1" x14ac:dyDescent="0.25">
      <c r="A26" s="104">
        <v>19</v>
      </c>
      <c r="B26" s="106" t="s">
        <v>755</v>
      </c>
      <c r="C26" s="104" t="s">
        <v>756</v>
      </c>
      <c r="D26" s="53" t="s">
        <v>724</v>
      </c>
      <c r="E26" s="53">
        <v>44593</v>
      </c>
      <c r="F26" s="108" t="s">
        <v>417</v>
      </c>
    </row>
    <row r="27" spans="1:6" ht="33" customHeight="1" x14ac:dyDescent="0.25">
      <c r="A27" s="104">
        <v>20</v>
      </c>
      <c r="B27" s="106" t="s">
        <v>757</v>
      </c>
      <c r="C27" s="104" t="s">
        <v>758</v>
      </c>
      <c r="D27" s="53" t="s">
        <v>724</v>
      </c>
      <c r="E27" s="53">
        <v>44593</v>
      </c>
      <c r="F27" s="107" t="s">
        <v>234</v>
      </c>
    </row>
    <row r="28" spans="1:6" ht="33" customHeight="1" x14ac:dyDescent="0.25">
      <c r="A28" s="104">
        <v>21</v>
      </c>
      <c r="B28" s="106" t="s">
        <v>759</v>
      </c>
      <c r="C28" s="104" t="s">
        <v>760</v>
      </c>
      <c r="D28" s="53" t="s">
        <v>724</v>
      </c>
      <c r="E28" s="53">
        <v>44593</v>
      </c>
      <c r="F28" s="107" t="s">
        <v>234</v>
      </c>
    </row>
  </sheetData>
  <mergeCells count="5">
    <mergeCell ref="A1:A4"/>
    <mergeCell ref="B1:D4"/>
    <mergeCell ref="E1:F1"/>
    <mergeCell ref="E2:F2"/>
    <mergeCell ref="E3:F4"/>
  </mergeCells>
  <pageMargins left="0.45" right="0.2" top="0.5" bottom="0.5" header="0.3" footer="0.3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11" zoomScaleNormal="100" zoomScaleSheetLayoutView="100" workbookViewId="0">
      <selection activeCell="D36" sqref="D36"/>
    </sheetView>
  </sheetViews>
  <sheetFormatPr defaultColWidth="9.140625" defaultRowHeight="15" x14ac:dyDescent="0.25"/>
  <cols>
    <col min="1" max="1" width="5.85546875" style="31" customWidth="1"/>
    <col min="2" max="2" width="6.85546875" style="31" customWidth="1"/>
    <col min="3" max="3" width="47.140625" style="59" customWidth="1"/>
    <col min="4" max="4" width="16.140625" style="60" customWidth="1"/>
    <col min="5" max="5" width="9.140625" style="31"/>
    <col min="6" max="6" width="18.28515625" style="31" customWidth="1"/>
    <col min="7" max="16384" width="9.140625" style="31"/>
  </cols>
  <sheetData>
    <row r="1" spans="1:7" ht="37.5" customHeight="1" x14ac:dyDescent="0.25">
      <c r="A1" s="170" t="s">
        <v>0</v>
      </c>
      <c r="B1" s="171"/>
      <c r="C1" s="171"/>
      <c r="D1" s="171"/>
      <c r="E1" s="172"/>
      <c r="F1" s="178" t="s">
        <v>217</v>
      </c>
      <c r="G1" s="178"/>
    </row>
    <row r="2" spans="1:7" ht="15.75" customHeight="1" x14ac:dyDescent="0.25">
      <c r="A2" s="173"/>
      <c r="B2" s="120"/>
      <c r="C2" s="120"/>
      <c r="D2" s="120"/>
      <c r="E2" s="174"/>
      <c r="F2" s="179" t="s">
        <v>218</v>
      </c>
      <c r="G2" s="179"/>
    </row>
    <row r="3" spans="1:7" x14ac:dyDescent="0.25">
      <c r="A3" s="175"/>
      <c r="B3" s="176"/>
      <c r="C3" s="176"/>
      <c r="D3" s="176"/>
      <c r="E3" s="177"/>
      <c r="F3" s="180" t="s">
        <v>219</v>
      </c>
      <c r="G3" s="180"/>
    </row>
    <row r="4" spans="1:7" ht="15.75" x14ac:dyDescent="0.25">
      <c r="A4" s="32" t="s">
        <v>220</v>
      </c>
      <c r="B4" s="32"/>
      <c r="C4" s="33"/>
      <c r="D4" s="34"/>
      <c r="E4" s="35"/>
      <c r="F4" s="35"/>
      <c r="G4" s="35"/>
    </row>
    <row r="5" spans="1:7" ht="15.75" x14ac:dyDescent="0.25">
      <c r="A5" s="36" t="s">
        <v>221</v>
      </c>
      <c r="B5" s="36"/>
      <c r="C5" s="33"/>
      <c r="D5" s="34"/>
      <c r="E5" s="35"/>
      <c r="F5" s="35"/>
      <c r="G5" s="35"/>
    </row>
    <row r="6" spans="1:7" ht="63" x14ac:dyDescent="0.25">
      <c r="A6" s="181" t="s">
        <v>5</v>
      </c>
      <c r="B6" s="181"/>
      <c r="C6" s="37" t="s">
        <v>6</v>
      </c>
      <c r="D6" s="37" t="s">
        <v>7</v>
      </c>
      <c r="E6" s="38" t="s">
        <v>8</v>
      </c>
      <c r="F6" s="38" t="s">
        <v>9</v>
      </c>
      <c r="G6" s="38" t="s">
        <v>10</v>
      </c>
    </row>
    <row r="7" spans="1:7" ht="15.75" x14ac:dyDescent="0.25">
      <c r="A7" s="182">
        <v>1</v>
      </c>
      <c r="B7" s="39">
        <v>1.1000000000000001</v>
      </c>
      <c r="C7" s="40" t="s">
        <v>222</v>
      </c>
      <c r="D7" s="41" t="s">
        <v>223</v>
      </c>
      <c r="E7" s="42" t="s">
        <v>224</v>
      </c>
      <c r="F7" s="43" t="s">
        <v>225</v>
      </c>
      <c r="G7" s="44" t="s">
        <v>226</v>
      </c>
    </row>
    <row r="8" spans="1:7" ht="15.75" x14ac:dyDescent="0.25">
      <c r="A8" s="182"/>
      <c r="B8" s="39">
        <v>1.2</v>
      </c>
      <c r="C8" s="40" t="s">
        <v>227</v>
      </c>
      <c r="D8" s="41" t="s">
        <v>228</v>
      </c>
      <c r="E8" s="42" t="s">
        <v>224</v>
      </c>
      <c r="F8" s="43" t="s">
        <v>229</v>
      </c>
      <c r="G8" s="44" t="s">
        <v>230</v>
      </c>
    </row>
    <row r="9" spans="1:7" ht="15.75" x14ac:dyDescent="0.25">
      <c r="A9" s="165">
        <v>2</v>
      </c>
      <c r="B9" s="39">
        <v>2.1</v>
      </c>
      <c r="C9" s="40" t="s">
        <v>231</v>
      </c>
      <c r="D9" s="41" t="s">
        <v>232</v>
      </c>
      <c r="E9" s="42" t="s">
        <v>224</v>
      </c>
      <c r="F9" s="42" t="s">
        <v>233</v>
      </c>
      <c r="G9" s="44" t="s">
        <v>234</v>
      </c>
    </row>
    <row r="10" spans="1:7" ht="15.75" x14ac:dyDescent="0.25">
      <c r="A10" s="166"/>
      <c r="B10" s="39">
        <v>2.2000000000000002</v>
      </c>
      <c r="C10" s="40" t="s">
        <v>235</v>
      </c>
      <c r="D10" s="41" t="s">
        <v>236</v>
      </c>
      <c r="E10" s="42" t="s">
        <v>224</v>
      </c>
      <c r="F10" s="43" t="s">
        <v>237</v>
      </c>
      <c r="G10" s="44" t="s">
        <v>234</v>
      </c>
    </row>
    <row r="11" spans="1:7" ht="15.75" x14ac:dyDescent="0.25">
      <c r="A11" s="166"/>
      <c r="B11" s="39">
        <v>2.2999999999999998</v>
      </c>
      <c r="C11" s="40" t="s">
        <v>238</v>
      </c>
      <c r="D11" s="41" t="s">
        <v>239</v>
      </c>
      <c r="E11" s="42" t="s">
        <v>224</v>
      </c>
      <c r="F11" s="43" t="s">
        <v>240</v>
      </c>
      <c r="G11" s="44" t="s">
        <v>241</v>
      </c>
    </row>
    <row r="12" spans="1:7" ht="15.75" x14ac:dyDescent="0.25">
      <c r="A12" s="166"/>
      <c r="B12" s="39">
        <v>2.4</v>
      </c>
      <c r="C12" s="40" t="s">
        <v>242</v>
      </c>
      <c r="D12" s="41" t="s">
        <v>243</v>
      </c>
      <c r="E12" s="42" t="s">
        <v>224</v>
      </c>
      <c r="F12" s="43" t="s">
        <v>240</v>
      </c>
      <c r="G12" s="44" t="s">
        <v>230</v>
      </c>
    </row>
    <row r="13" spans="1:7" ht="15.75" x14ac:dyDescent="0.25">
      <c r="A13" s="166"/>
      <c r="B13" s="39">
        <v>2.5</v>
      </c>
      <c r="C13" s="40" t="s">
        <v>244</v>
      </c>
      <c r="D13" s="41" t="s">
        <v>245</v>
      </c>
      <c r="E13" s="42" t="s">
        <v>224</v>
      </c>
      <c r="F13" s="43" t="s">
        <v>240</v>
      </c>
      <c r="G13" s="44" t="s">
        <v>230</v>
      </c>
    </row>
    <row r="14" spans="1:7" ht="15.75" x14ac:dyDescent="0.25">
      <c r="A14" s="167"/>
      <c r="B14" s="39">
        <v>2.6</v>
      </c>
      <c r="C14" s="40" t="s">
        <v>246</v>
      </c>
      <c r="D14" s="41" t="s">
        <v>247</v>
      </c>
      <c r="E14" s="42" t="s">
        <v>224</v>
      </c>
      <c r="F14" s="43" t="s">
        <v>240</v>
      </c>
      <c r="G14" s="44" t="s">
        <v>230</v>
      </c>
    </row>
    <row r="15" spans="1:7" ht="21.75" customHeight="1" x14ac:dyDescent="0.25">
      <c r="A15" s="165">
        <v>3</v>
      </c>
      <c r="B15" s="42" t="s">
        <v>248</v>
      </c>
      <c r="C15" s="40" t="s">
        <v>249</v>
      </c>
      <c r="D15" s="41" t="s">
        <v>250</v>
      </c>
      <c r="E15" s="42" t="s">
        <v>224</v>
      </c>
      <c r="F15" s="43" t="s">
        <v>240</v>
      </c>
      <c r="G15" s="44" t="s">
        <v>165</v>
      </c>
    </row>
    <row r="16" spans="1:7" ht="15.75" x14ac:dyDescent="0.25">
      <c r="A16" s="166"/>
      <c r="B16" s="42" t="s">
        <v>251</v>
      </c>
      <c r="C16" s="40" t="s">
        <v>252</v>
      </c>
      <c r="D16" s="41" t="s">
        <v>253</v>
      </c>
      <c r="E16" s="42" t="s">
        <v>224</v>
      </c>
      <c r="F16" s="43" t="s">
        <v>240</v>
      </c>
      <c r="G16" s="44" t="s">
        <v>165</v>
      </c>
    </row>
    <row r="17" spans="1:10" ht="15.75" x14ac:dyDescent="0.25">
      <c r="A17" s="166"/>
      <c r="B17" s="42" t="s">
        <v>254</v>
      </c>
      <c r="C17" s="40" t="s">
        <v>255</v>
      </c>
      <c r="D17" s="41" t="s">
        <v>256</v>
      </c>
      <c r="E17" s="42" t="s">
        <v>224</v>
      </c>
      <c r="F17" s="43" t="s">
        <v>240</v>
      </c>
      <c r="G17" s="44" t="s">
        <v>165</v>
      </c>
    </row>
    <row r="18" spans="1:10" ht="15.75" x14ac:dyDescent="0.25">
      <c r="A18" s="166"/>
      <c r="B18" s="42" t="s">
        <v>257</v>
      </c>
      <c r="C18" s="40" t="s">
        <v>258</v>
      </c>
      <c r="D18" s="41" t="s">
        <v>259</v>
      </c>
      <c r="E18" s="42" t="s">
        <v>224</v>
      </c>
      <c r="F18" s="43" t="s">
        <v>260</v>
      </c>
      <c r="G18" s="44" t="s">
        <v>234</v>
      </c>
    </row>
    <row r="19" spans="1:10" ht="15.75" x14ac:dyDescent="0.25">
      <c r="A19" s="166"/>
      <c r="B19" s="42" t="s">
        <v>261</v>
      </c>
      <c r="C19" s="40" t="s">
        <v>262</v>
      </c>
      <c r="D19" s="41" t="s">
        <v>263</v>
      </c>
      <c r="E19" s="42" t="s">
        <v>224</v>
      </c>
      <c r="F19" s="43" t="s">
        <v>264</v>
      </c>
      <c r="G19" s="44" t="s">
        <v>165</v>
      </c>
    </row>
    <row r="20" spans="1:10" ht="15.75" x14ac:dyDescent="0.25">
      <c r="A20" s="166"/>
      <c r="B20" s="42" t="s">
        <v>265</v>
      </c>
      <c r="C20" s="40" t="s">
        <v>266</v>
      </c>
      <c r="D20" s="41" t="s">
        <v>267</v>
      </c>
      <c r="E20" s="42" t="s">
        <v>224</v>
      </c>
      <c r="F20" s="43" t="s">
        <v>268</v>
      </c>
      <c r="G20" s="44" t="s">
        <v>234</v>
      </c>
    </row>
    <row r="21" spans="1:10" ht="15.75" x14ac:dyDescent="0.25">
      <c r="A21" s="166"/>
      <c r="B21" s="42" t="s">
        <v>269</v>
      </c>
      <c r="C21" s="40" t="s">
        <v>270</v>
      </c>
      <c r="D21" s="41" t="s">
        <v>271</v>
      </c>
      <c r="E21" s="42" t="s">
        <v>224</v>
      </c>
      <c r="F21" s="43" t="s">
        <v>268</v>
      </c>
      <c r="G21" s="44" t="s">
        <v>234</v>
      </c>
    </row>
    <row r="22" spans="1:10" ht="15.75" x14ac:dyDescent="0.25">
      <c r="A22" s="166"/>
      <c r="B22" s="42" t="s">
        <v>272</v>
      </c>
      <c r="C22" s="40" t="s">
        <v>273</v>
      </c>
      <c r="D22" s="41" t="s">
        <v>274</v>
      </c>
      <c r="E22" s="42" t="s">
        <v>224</v>
      </c>
      <c r="F22" s="43" t="s">
        <v>240</v>
      </c>
      <c r="G22" s="44" t="s">
        <v>241</v>
      </c>
    </row>
    <row r="23" spans="1:10" ht="15.75" x14ac:dyDescent="0.25">
      <c r="A23" s="166"/>
      <c r="B23" s="42" t="s">
        <v>275</v>
      </c>
      <c r="C23" s="40" t="s">
        <v>276</v>
      </c>
      <c r="D23" s="41" t="s">
        <v>277</v>
      </c>
      <c r="E23" s="42" t="s">
        <v>224</v>
      </c>
      <c r="F23" s="43" t="s">
        <v>240</v>
      </c>
      <c r="G23" s="44" t="s">
        <v>165</v>
      </c>
    </row>
    <row r="24" spans="1:10" ht="15.75" x14ac:dyDescent="0.25">
      <c r="A24" s="166"/>
      <c r="B24" s="42" t="s">
        <v>278</v>
      </c>
      <c r="C24" s="40" t="s">
        <v>279</v>
      </c>
      <c r="D24" s="41" t="s">
        <v>280</v>
      </c>
      <c r="E24" s="42" t="s">
        <v>224</v>
      </c>
      <c r="F24" s="43" t="s">
        <v>268</v>
      </c>
      <c r="G24" s="44" t="s">
        <v>165</v>
      </c>
    </row>
    <row r="25" spans="1:10" ht="15.75" x14ac:dyDescent="0.25">
      <c r="A25" s="166"/>
      <c r="B25" s="42" t="s">
        <v>281</v>
      </c>
      <c r="C25" s="40" t="s">
        <v>282</v>
      </c>
      <c r="D25" s="41" t="s">
        <v>283</v>
      </c>
      <c r="E25" s="42" t="s">
        <v>224</v>
      </c>
      <c r="F25" s="43" t="s">
        <v>268</v>
      </c>
      <c r="G25" s="44" t="s">
        <v>165</v>
      </c>
    </row>
    <row r="26" spans="1:10" ht="15.75" x14ac:dyDescent="0.25">
      <c r="A26" s="166"/>
      <c r="B26" s="42" t="s">
        <v>284</v>
      </c>
      <c r="C26" s="40" t="s">
        <v>285</v>
      </c>
      <c r="D26" s="41" t="s">
        <v>286</v>
      </c>
      <c r="E26" s="42" t="s">
        <v>224</v>
      </c>
      <c r="F26" s="43" t="s">
        <v>268</v>
      </c>
      <c r="G26" s="44" t="s">
        <v>165</v>
      </c>
      <c r="J26" s="45"/>
    </row>
    <row r="27" spans="1:10" ht="15.75" hidden="1" customHeight="1" x14ac:dyDescent="0.25">
      <c r="A27" s="166"/>
      <c r="B27" s="46"/>
      <c r="C27" s="46"/>
      <c r="D27" s="47"/>
      <c r="E27" s="42" t="s">
        <v>224</v>
      </c>
      <c r="F27" s="43" t="s">
        <v>287</v>
      </c>
      <c r="G27" s="44" t="s">
        <v>241</v>
      </c>
    </row>
    <row r="28" spans="1:10" ht="15.75" x14ac:dyDescent="0.25">
      <c r="A28" s="166"/>
      <c r="B28" s="46" t="s">
        <v>288</v>
      </c>
      <c r="C28" s="47" t="s">
        <v>289</v>
      </c>
      <c r="D28" s="48" t="s">
        <v>290</v>
      </c>
      <c r="E28" s="42" t="s">
        <v>224</v>
      </c>
      <c r="F28" s="43" t="s">
        <v>268</v>
      </c>
      <c r="G28" s="44" t="s">
        <v>165</v>
      </c>
    </row>
    <row r="29" spans="1:10" ht="15.75" x14ac:dyDescent="0.25">
      <c r="A29" s="166"/>
      <c r="B29" s="46" t="s">
        <v>291</v>
      </c>
      <c r="C29" s="49" t="s">
        <v>292</v>
      </c>
      <c r="D29" s="47" t="s">
        <v>293</v>
      </c>
      <c r="E29" s="42" t="s">
        <v>224</v>
      </c>
      <c r="F29" s="43" t="s">
        <v>268</v>
      </c>
      <c r="G29" s="44" t="s">
        <v>230</v>
      </c>
    </row>
    <row r="30" spans="1:10" ht="15.75" x14ac:dyDescent="0.25">
      <c r="A30" s="166"/>
      <c r="B30" s="42" t="s">
        <v>294</v>
      </c>
      <c r="C30" s="50" t="s">
        <v>295</v>
      </c>
      <c r="D30" s="47" t="s">
        <v>293</v>
      </c>
      <c r="E30" s="42" t="s">
        <v>224</v>
      </c>
      <c r="F30" s="43" t="s">
        <v>268</v>
      </c>
      <c r="G30" s="44" t="s">
        <v>230</v>
      </c>
    </row>
    <row r="31" spans="1:10" ht="15.75" x14ac:dyDescent="0.25">
      <c r="A31" s="167"/>
      <c r="B31" s="42">
        <v>3.3</v>
      </c>
      <c r="C31" s="40" t="s">
        <v>296</v>
      </c>
      <c r="D31" s="40" t="s">
        <v>297</v>
      </c>
      <c r="E31" s="42" t="s">
        <v>224</v>
      </c>
      <c r="F31" s="43" t="s">
        <v>268</v>
      </c>
      <c r="G31" s="44" t="s">
        <v>234</v>
      </c>
    </row>
    <row r="32" spans="1:10" ht="15.75" x14ac:dyDescent="0.25">
      <c r="A32" s="168">
        <v>4</v>
      </c>
      <c r="B32" s="51">
        <v>4.0999999999999996</v>
      </c>
      <c r="C32" s="52" t="s">
        <v>298</v>
      </c>
      <c r="D32" s="52" t="s">
        <v>299</v>
      </c>
      <c r="E32" s="51" t="s">
        <v>224</v>
      </c>
      <c r="F32" s="53" t="s">
        <v>240</v>
      </c>
      <c r="G32" s="54" t="s">
        <v>230</v>
      </c>
    </row>
    <row r="33" spans="1:7" ht="15.75" x14ac:dyDescent="0.25">
      <c r="A33" s="169"/>
      <c r="B33" s="51">
        <v>4.2</v>
      </c>
      <c r="C33" s="52" t="s">
        <v>300</v>
      </c>
      <c r="D33" s="52" t="s">
        <v>301</v>
      </c>
      <c r="E33" s="51" t="s">
        <v>224</v>
      </c>
      <c r="F33" s="53" t="s">
        <v>240</v>
      </c>
      <c r="G33" s="54" t="s">
        <v>230</v>
      </c>
    </row>
    <row r="34" spans="1:7" ht="15.75" x14ac:dyDescent="0.25">
      <c r="A34" s="51">
        <v>5</v>
      </c>
      <c r="B34" s="51">
        <v>5.0999999999999996</v>
      </c>
      <c r="C34" s="52" t="s">
        <v>302</v>
      </c>
      <c r="D34" s="55" t="s">
        <v>303</v>
      </c>
      <c r="E34" s="51" t="s">
        <v>224</v>
      </c>
      <c r="F34" s="53" t="s">
        <v>304</v>
      </c>
      <c r="G34" s="54" t="s">
        <v>234</v>
      </c>
    </row>
    <row r="35" spans="1:7" ht="15.75" x14ac:dyDescent="0.25">
      <c r="A35" s="51"/>
      <c r="B35" s="51"/>
      <c r="C35" s="52" t="s">
        <v>881</v>
      </c>
      <c r="D35" s="55" t="s">
        <v>883</v>
      </c>
      <c r="E35" s="51" t="s">
        <v>224</v>
      </c>
      <c r="F35" s="56" t="s">
        <v>882</v>
      </c>
      <c r="G35" s="57">
        <v>0</v>
      </c>
    </row>
    <row r="36" spans="1:7" ht="15.75" x14ac:dyDescent="0.25">
      <c r="A36" s="51"/>
      <c r="B36" s="51"/>
      <c r="C36" s="52"/>
      <c r="D36" s="55"/>
      <c r="E36" s="51"/>
      <c r="F36" s="56"/>
      <c r="G36" s="57"/>
    </row>
    <row r="37" spans="1:7" ht="15.75" x14ac:dyDescent="0.25">
      <c r="A37" s="51"/>
      <c r="B37" s="51"/>
      <c r="C37" s="52"/>
      <c r="D37" s="55"/>
      <c r="E37" s="58"/>
      <c r="F37" s="56"/>
      <c r="G37" s="57"/>
    </row>
    <row r="38" spans="1:7" ht="15.75" x14ac:dyDescent="0.25">
      <c r="A38" s="51"/>
      <c r="B38" s="51"/>
      <c r="C38" s="52"/>
      <c r="D38" s="55"/>
      <c r="E38" s="58"/>
      <c r="F38" s="56"/>
      <c r="G38" s="57"/>
    </row>
    <row r="39" spans="1:7" ht="15.75" x14ac:dyDescent="0.25">
      <c r="A39" s="51"/>
      <c r="B39" s="51"/>
      <c r="C39" s="52"/>
      <c r="D39" s="55"/>
      <c r="E39" s="58"/>
      <c r="F39" s="56"/>
      <c r="G39" s="57"/>
    </row>
    <row r="40" spans="1:7" ht="15.75" x14ac:dyDescent="0.25">
      <c r="A40" s="51"/>
      <c r="B40" s="51"/>
      <c r="C40" s="52"/>
      <c r="D40" s="55"/>
      <c r="E40" s="58"/>
      <c r="F40" s="56"/>
      <c r="G40" s="57"/>
    </row>
    <row r="41" spans="1:7" ht="15.75" x14ac:dyDescent="0.25">
      <c r="A41" s="51"/>
      <c r="B41" s="51"/>
      <c r="C41" s="52"/>
      <c r="D41" s="55"/>
      <c r="E41" s="58"/>
      <c r="F41" s="56"/>
      <c r="G41" s="57"/>
    </row>
    <row r="42" spans="1:7" ht="15.75" x14ac:dyDescent="0.25">
      <c r="A42" s="51"/>
      <c r="B42" s="51"/>
      <c r="C42" s="52"/>
      <c r="D42" s="55"/>
      <c r="E42" s="58"/>
      <c r="F42" s="56"/>
      <c r="G42" s="57"/>
    </row>
    <row r="43" spans="1:7" ht="15.75" x14ac:dyDescent="0.25">
      <c r="A43" s="51"/>
      <c r="B43" s="51"/>
      <c r="C43" s="52"/>
      <c r="D43" s="55"/>
      <c r="E43" s="58"/>
      <c r="F43" s="56"/>
      <c r="G43" s="57"/>
    </row>
  </sheetData>
  <autoFilter ref="A6:G34"/>
  <mergeCells count="9">
    <mergeCell ref="A9:A14"/>
    <mergeCell ref="A15:A31"/>
    <mergeCell ref="A32:A33"/>
    <mergeCell ref="A1:E3"/>
    <mergeCell ref="F1:G1"/>
    <mergeCell ref="F2:G2"/>
    <mergeCell ref="F3:G3"/>
    <mergeCell ref="A6:B6"/>
    <mergeCell ref="A7:A8"/>
  </mergeCells>
  <pageMargins left="0.16" right="0.25" top="0.57999999999999996" bottom="0.75" header="0.3" footer="0.3"/>
  <pageSetup paperSize="9" scale="8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40" workbookViewId="0">
      <selection activeCell="C38" sqref="C38"/>
    </sheetView>
  </sheetViews>
  <sheetFormatPr defaultRowHeight="15" x14ac:dyDescent="0.25"/>
  <cols>
    <col min="1" max="1" width="9.140625" style="18"/>
    <col min="2" max="2" width="45.28515625" style="18" customWidth="1"/>
    <col min="3" max="4" width="14.140625" style="18" customWidth="1"/>
    <col min="5" max="5" width="14.85546875" style="18" customWidth="1"/>
    <col min="6" max="6" width="15.140625" style="18" customWidth="1"/>
    <col min="7" max="16384" width="9.140625" style="18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1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2</v>
      </c>
      <c r="F2" s="124"/>
    </row>
    <row r="3" spans="1:6" ht="24" customHeight="1" thickTop="1" x14ac:dyDescent="0.25">
      <c r="A3" s="18" t="s">
        <v>212</v>
      </c>
      <c r="B3" s="1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383</v>
      </c>
      <c r="B5" s="123"/>
    </row>
    <row r="6" spans="1:6" ht="24" customHeight="1" thickBot="1" x14ac:dyDescent="0.3">
      <c r="A6" s="122" t="s">
        <v>382</v>
      </c>
      <c r="B6" s="122"/>
    </row>
    <row r="7" spans="1:6" ht="32.25" customHeight="1" thickTop="1" thickBot="1" x14ac:dyDescent="0.3">
      <c r="A7" s="5" t="s">
        <v>5</v>
      </c>
      <c r="B7" s="25" t="s">
        <v>6</v>
      </c>
      <c r="C7" s="7" t="s">
        <v>7</v>
      </c>
      <c r="D7" s="21" t="s">
        <v>8</v>
      </c>
      <c r="E7" s="26" t="s">
        <v>9</v>
      </c>
      <c r="F7" s="24" t="s">
        <v>10</v>
      </c>
    </row>
    <row r="8" spans="1:6" ht="32.25" customHeight="1" thickBot="1" x14ac:dyDescent="0.3">
      <c r="A8" s="5">
        <v>1</v>
      </c>
      <c r="B8" s="25" t="s">
        <v>305</v>
      </c>
      <c r="C8" s="7" t="s">
        <v>306</v>
      </c>
      <c r="D8" s="21" t="s">
        <v>307</v>
      </c>
      <c r="E8" s="26">
        <v>44621</v>
      </c>
      <c r="F8" s="24">
        <v>3</v>
      </c>
    </row>
    <row r="9" spans="1:6" ht="32.25" customHeight="1" thickBot="1" x14ac:dyDescent="0.3">
      <c r="A9" s="5">
        <f t="shared" ref="A9:A55" si="0">1+A8</f>
        <v>2</v>
      </c>
      <c r="B9" s="25" t="s">
        <v>308</v>
      </c>
      <c r="C9" s="7" t="s">
        <v>309</v>
      </c>
      <c r="D9" s="21" t="s">
        <v>307</v>
      </c>
      <c r="E9" s="26">
        <v>44621</v>
      </c>
      <c r="F9" s="24">
        <v>1</v>
      </c>
    </row>
    <row r="10" spans="1:6" ht="32.25" customHeight="1" thickBot="1" x14ac:dyDescent="0.3">
      <c r="A10" s="5">
        <f t="shared" si="0"/>
        <v>3</v>
      </c>
      <c r="B10" s="25" t="s">
        <v>310</v>
      </c>
      <c r="C10" s="7" t="s">
        <v>311</v>
      </c>
      <c r="D10" s="21" t="s">
        <v>307</v>
      </c>
      <c r="E10" s="26">
        <v>44899</v>
      </c>
      <c r="F10" s="24">
        <v>10</v>
      </c>
    </row>
    <row r="11" spans="1:6" ht="32.25" customHeight="1" thickBot="1" x14ac:dyDescent="0.3">
      <c r="A11" s="5">
        <f t="shared" si="0"/>
        <v>4</v>
      </c>
      <c r="B11" s="25" t="s">
        <v>312</v>
      </c>
      <c r="C11" s="7" t="s">
        <v>313</v>
      </c>
      <c r="D11" s="21" t="s">
        <v>314</v>
      </c>
      <c r="E11" s="26">
        <v>44565</v>
      </c>
      <c r="F11" s="24">
        <v>9</v>
      </c>
    </row>
    <row r="12" spans="1:6" ht="32.25" customHeight="1" thickBot="1" x14ac:dyDescent="0.3">
      <c r="A12" s="5">
        <f t="shared" si="0"/>
        <v>5</v>
      </c>
      <c r="B12" s="25" t="s">
        <v>315</v>
      </c>
      <c r="C12" s="7" t="s">
        <v>316</v>
      </c>
      <c r="D12" s="21" t="s">
        <v>314</v>
      </c>
      <c r="E12" s="26">
        <v>44565</v>
      </c>
      <c r="F12" s="24">
        <v>7</v>
      </c>
    </row>
    <row r="13" spans="1:6" ht="32.25" customHeight="1" thickBot="1" x14ac:dyDescent="0.3">
      <c r="A13" s="5">
        <f t="shared" si="0"/>
        <v>6</v>
      </c>
      <c r="B13" s="25" t="s">
        <v>317</v>
      </c>
      <c r="C13" s="7" t="s">
        <v>318</v>
      </c>
      <c r="D13" s="21" t="s">
        <v>307</v>
      </c>
      <c r="E13" s="26">
        <v>44565</v>
      </c>
      <c r="F13" s="24">
        <v>8</v>
      </c>
    </row>
    <row r="14" spans="1:6" ht="32.25" customHeight="1" thickBot="1" x14ac:dyDescent="0.3">
      <c r="A14" s="5">
        <f t="shared" si="0"/>
        <v>7</v>
      </c>
      <c r="B14" s="25" t="s">
        <v>319</v>
      </c>
      <c r="C14" s="7" t="s">
        <v>320</v>
      </c>
      <c r="D14" s="21" t="s">
        <v>314</v>
      </c>
      <c r="E14" s="26">
        <v>43556</v>
      </c>
      <c r="F14" s="24">
        <v>0</v>
      </c>
    </row>
    <row r="15" spans="1:6" ht="32.25" customHeight="1" thickBot="1" x14ac:dyDescent="0.3">
      <c r="A15" s="5">
        <f t="shared" si="0"/>
        <v>8</v>
      </c>
      <c r="B15" s="25" t="s">
        <v>321</v>
      </c>
      <c r="C15" s="7" t="s">
        <v>322</v>
      </c>
      <c r="D15" s="21" t="s">
        <v>314</v>
      </c>
      <c r="E15" s="26">
        <v>43831</v>
      </c>
      <c r="F15" s="24">
        <v>1</v>
      </c>
    </row>
    <row r="16" spans="1:6" ht="32.25" customHeight="1" thickBot="1" x14ac:dyDescent="0.3">
      <c r="A16" s="5">
        <f t="shared" si="0"/>
        <v>9</v>
      </c>
      <c r="B16" s="25" t="s">
        <v>323</v>
      </c>
      <c r="C16" s="7" t="s">
        <v>324</v>
      </c>
      <c r="D16" s="21" t="s">
        <v>314</v>
      </c>
      <c r="E16" s="26">
        <v>44197</v>
      </c>
      <c r="F16" s="24">
        <v>1</v>
      </c>
    </row>
    <row r="17" spans="1:6" ht="32.25" customHeight="1" thickBot="1" x14ac:dyDescent="0.3">
      <c r="A17" s="5">
        <f t="shared" si="0"/>
        <v>10</v>
      </c>
      <c r="B17" s="25"/>
      <c r="C17" s="7"/>
      <c r="D17" s="21"/>
      <c r="E17" s="26"/>
      <c r="F17" s="24"/>
    </row>
    <row r="18" spans="1:6" ht="32.25" customHeight="1" thickBot="1" x14ac:dyDescent="0.3">
      <c r="A18" s="5">
        <f t="shared" si="0"/>
        <v>11</v>
      </c>
      <c r="B18" s="25" t="s">
        <v>325</v>
      </c>
      <c r="C18" s="7" t="s">
        <v>326</v>
      </c>
      <c r="D18" s="21" t="s">
        <v>314</v>
      </c>
      <c r="E18" s="26">
        <v>44562</v>
      </c>
      <c r="F18" s="24">
        <v>0</v>
      </c>
    </row>
    <row r="19" spans="1:6" ht="32.25" customHeight="1" thickBot="1" x14ac:dyDescent="0.3">
      <c r="A19" s="5">
        <f t="shared" si="0"/>
        <v>12</v>
      </c>
      <c r="B19" s="25" t="s">
        <v>327</v>
      </c>
      <c r="C19" s="7" t="s">
        <v>328</v>
      </c>
      <c r="D19" s="21" t="s">
        <v>314</v>
      </c>
      <c r="E19" s="26">
        <v>44562</v>
      </c>
      <c r="F19" s="24">
        <v>0</v>
      </c>
    </row>
    <row r="20" spans="1:6" ht="32.25" customHeight="1" thickBot="1" x14ac:dyDescent="0.3">
      <c r="A20" s="5">
        <f t="shared" si="0"/>
        <v>13</v>
      </c>
      <c r="B20" s="25" t="s">
        <v>329</v>
      </c>
      <c r="C20" s="7" t="s">
        <v>330</v>
      </c>
      <c r="D20" s="21" t="s">
        <v>307</v>
      </c>
      <c r="E20" s="26">
        <v>44562</v>
      </c>
      <c r="F20" s="24">
        <v>0</v>
      </c>
    </row>
    <row r="21" spans="1:6" ht="32.25" customHeight="1" thickBot="1" x14ac:dyDescent="0.3">
      <c r="A21" s="5">
        <f t="shared" si="0"/>
        <v>14</v>
      </c>
      <c r="B21" s="25" t="s">
        <v>331</v>
      </c>
      <c r="C21" s="7" t="s">
        <v>332</v>
      </c>
      <c r="D21" s="21" t="s">
        <v>314</v>
      </c>
      <c r="E21" s="26">
        <v>44562</v>
      </c>
      <c r="F21" s="24">
        <v>0</v>
      </c>
    </row>
    <row r="22" spans="1:6" ht="32.25" customHeight="1" thickBot="1" x14ac:dyDescent="0.3">
      <c r="A22" s="5">
        <f t="shared" si="0"/>
        <v>15</v>
      </c>
      <c r="B22" s="25" t="s">
        <v>148</v>
      </c>
      <c r="C22" s="7" t="s">
        <v>333</v>
      </c>
      <c r="D22" s="21" t="s">
        <v>307</v>
      </c>
      <c r="E22" s="26">
        <v>42736</v>
      </c>
      <c r="F22" s="24">
        <v>0</v>
      </c>
    </row>
    <row r="23" spans="1:6" ht="32.25" customHeight="1" thickBot="1" x14ac:dyDescent="0.3">
      <c r="A23" s="5">
        <f t="shared" si="0"/>
        <v>16</v>
      </c>
      <c r="B23" s="25" t="s">
        <v>334</v>
      </c>
      <c r="C23" s="7" t="s">
        <v>335</v>
      </c>
      <c r="D23" s="21" t="s">
        <v>336</v>
      </c>
      <c r="E23" s="26">
        <v>43952</v>
      </c>
      <c r="F23" s="24">
        <v>4</v>
      </c>
    </row>
    <row r="24" spans="1:6" ht="32.25" customHeight="1" thickBot="1" x14ac:dyDescent="0.3">
      <c r="A24" s="5">
        <f t="shared" si="0"/>
        <v>17</v>
      </c>
      <c r="B24" s="25" t="s">
        <v>337</v>
      </c>
      <c r="C24" s="7" t="s">
        <v>338</v>
      </c>
      <c r="D24" s="21" t="s">
        <v>336</v>
      </c>
      <c r="E24" s="26">
        <v>43952</v>
      </c>
      <c r="F24" s="24">
        <v>4</v>
      </c>
    </row>
    <row r="25" spans="1:6" ht="32.25" customHeight="1" thickBot="1" x14ac:dyDescent="0.3">
      <c r="A25" s="5">
        <f t="shared" si="0"/>
        <v>18</v>
      </c>
      <c r="B25" s="25" t="s">
        <v>339</v>
      </c>
      <c r="C25" s="7" t="s">
        <v>340</v>
      </c>
      <c r="D25" s="21" t="s">
        <v>336</v>
      </c>
      <c r="E25" s="26">
        <v>43952</v>
      </c>
      <c r="F25" s="24">
        <v>4</v>
      </c>
    </row>
    <row r="26" spans="1:6" ht="32.25" customHeight="1" thickBot="1" x14ac:dyDescent="0.3">
      <c r="A26" s="5">
        <f t="shared" si="0"/>
        <v>19</v>
      </c>
      <c r="B26" s="25"/>
      <c r="C26" s="7"/>
      <c r="D26" s="21"/>
      <c r="E26" s="26"/>
      <c r="F26" s="24"/>
    </row>
    <row r="27" spans="1:6" ht="32.25" customHeight="1" thickBot="1" x14ac:dyDescent="0.3">
      <c r="A27" s="5">
        <f t="shared" si="0"/>
        <v>20</v>
      </c>
      <c r="B27" s="25" t="s">
        <v>341</v>
      </c>
      <c r="C27" s="7" t="s">
        <v>342</v>
      </c>
      <c r="D27" s="21" t="s">
        <v>343</v>
      </c>
      <c r="E27" s="26">
        <v>43466</v>
      </c>
      <c r="F27" s="24">
        <v>0</v>
      </c>
    </row>
    <row r="28" spans="1:6" ht="32.25" customHeight="1" thickBot="1" x14ac:dyDescent="0.3">
      <c r="A28" s="5">
        <f t="shared" si="0"/>
        <v>21</v>
      </c>
      <c r="B28" s="25" t="s">
        <v>344</v>
      </c>
      <c r="C28" s="7" t="s">
        <v>345</v>
      </c>
      <c r="D28" s="21" t="s">
        <v>336</v>
      </c>
      <c r="E28" s="26">
        <v>43952</v>
      </c>
      <c r="F28" s="24">
        <v>7</v>
      </c>
    </row>
    <row r="29" spans="1:6" ht="32.25" customHeight="1" thickBot="1" x14ac:dyDescent="0.3">
      <c r="A29" s="5">
        <f t="shared" si="0"/>
        <v>22</v>
      </c>
      <c r="B29" s="25" t="s">
        <v>346</v>
      </c>
      <c r="C29" s="7" t="s">
        <v>347</v>
      </c>
      <c r="D29" s="21" t="s">
        <v>336</v>
      </c>
      <c r="E29" s="26">
        <v>43952</v>
      </c>
      <c r="F29" s="24">
        <v>4</v>
      </c>
    </row>
    <row r="30" spans="1:6" ht="32.25" customHeight="1" thickBot="1" x14ac:dyDescent="0.3">
      <c r="A30" s="5">
        <f t="shared" si="0"/>
        <v>23</v>
      </c>
      <c r="B30" s="25" t="s">
        <v>348</v>
      </c>
      <c r="C30" s="7" t="s">
        <v>349</v>
      </c>
      <c r="D30" s="21" t="s">
        <v>336</v>
      </c>
      <c r="E30" s="26">
        <v>43952</v>
      </c>
      <c r="F30" s="24">
        <v>4</v>
      </c>
    </row>
    <row r="31" spans="1:6" ht="32.25" customHeight="1" thickBot="1" x14ac:dyDescent="0.3">
      <c r="A31" s="5">
        <f t="shared" si="0"/>
        <v>24</v>
      </c>
      <c r="B31" s="25" t="s">
        <v>350</v>
      </c>
      <c r="C31" s="7" t="s">
        <v>351</v>
      </c>
      <c r="D31" s="21" t="s">
        <v>336</v>
      </c>
      <c r="E31" s="26">
        <v>43952</v>
      </c>
      <c r="F31" s="24">
        <v>4</v>
      </c>
    </row>
    <row r="32" spans="1:6" ht="32.25" customHeight="1" thickBot="1" x14ac:dyDescent="0.3">
      <c r="A32" s="5">
        <f t="shared" si="0"/>
        <v>25</v>
      </c>
      <c r="B32" s="25" t="s">
        <v>352</v>
      </c>
      <c r="C32" s="7" t="s">
        <v>353</v>
      </c>
      <c r="D32" s="21" t="s">
        <v>307</v>
      </c>
      <c r="E32" s="26">
        <v>44565</v>
      </c>
      <c r="F32" s="24">
        <v>2</v>
      </c>
    </row>
    <row r="33" spans="1:6" ht="32.25" customHeight="1" thickBot="1" x14ac:dyDescent="0.3">
      <c r="A33" s="5">
        <f t="shared" si="0"/>
        <v>26</v>
      </c>
      <c r="B33" s="25" t="s">
        <v>354</v>
      </c>
      <c r="C33" s="7" t="s">
        <v>355</v>
      </c>
      <c r="D33" s="21" t="s">
        <v>307</v>
      </c>
      <c r="E33" s="26">
        <v>43831</v>
      </c>
      <c r="F33" s="24">
        <v>0</v>
      </c>
    </row>
    <row r="34" spans="1:6" ht="32.25" customHeight="1" thickBot="1" x14ac:dyDescent="0.3">
      <c r="A34" s="5">
        <f t="shared" si="0"/>
        <v>27</v>
      </c>
      <c r="B34" s="25" t="s">
        <v>356</v>
      </c>
      <c r="C34" s="7" t="s">
        <v>357</v>
      </c>
      <c r="D34" s="21" t="s">
        <v>307</v>
      </c>
      <c r="E34" s="26">
        <v>44228</v>
      </c>
      <c r="F34" s="24">
        <v>1</v>
      </c>
    </row>
    <row r="35" spans="1:6" ht="32.25" customHeight="1" thickBot="1" x14ac:dyDescent="0.3">
      <c r="A35" s="5">
        <f t="shared" si="0"/>
        <v>28</v>
      </c>
      <c r="B35" s="25" t="s">
        <v>358</v>
      </c>
      <c r="C35" s="7" t="s">
        <v>359</v>
      </c>
      <c r="D35" s="21" t="s">
        <v>343</v>
      </c>
      <c r="E35" s="26">
        <v>44083</v>
      </c>
      <c r="F35" s="24">
        <v>3</v>
      </c>
    </row>
    <row r="36" spans="1:6" ht="32.25" customHeight="1" thickBot="1" x14ac:dyDescent="0.3">
      <c r="A36" s="5">
        <f t="shared" si="0"/>
        <v>29</v>
      </c>
      <c r="B36" s="25" t="s">
        <v>360</v>
      </c>
      <c r="C36" s="7" t="s">
        <v>361</v>
      </c>
      <c r="D36" s="21" t="s">
        <v>336</v>
      </c>
      <c r="E36" s="26">
        <v>43952</v>
      </c>
      <c r="F36" s="24">
        <v>3</v>
      </c>
    </row>
    <row r="37" spans="1:6" ht="32.25" customHeight="1" thickBot="1" x14ac:dyDescent="0.3">
      <c r="A37" s="5">
        <f t="shared" si="0"/>
        <v>30</v>
      </c>
      <c r="B37" s="25" t="s">
        <v>362</v>
      </c>
      <c r="C37" s="7" t="s">
        <v>363</v>
      </c>
      <c r="D37" s="21" t="s">
        <v>343</v>
      </c>
      <c r="E37" s="26">
        <v>43831</v>
      </c>
      <c r="F37" s="24">
        <v>1</v>
      </c>
    </row>
    <row r="38" spans="1:6" ht="32.25" customHeight="1" thickBot="1" x14ac:dyDescent="0.3">
      <c r="A38" s="5">
        <f t="shared" si="0"/>
        <v>31</v>
      </c>
      <c r="B38" s="25" t="s">
        <v>364</v>
      </c>
      <c r="C38" s="7" t="s">
        <v>326</v>
      </c>
      <c r="D38" s="21" t="s">
        <v>343</v>
      </c>
      <c r="E38" s="26">
        <v>43472</v>
      </c>
      <c r="F38" s="24">
        <v>0</v>
      </c>
    </row>
    <row r="39" spans="1:6" ht="32.25" customHeight="1" thickBot="1" x14ac:dyDescent="0.3">
      <c r="A39" s="5">
        <f t="shared" si="0"/>
        <v>32</v>
      </c>
      <c r="B39" s="25" t="s">
        <v>365</v>
      </c>
      <c r="C39" s="7" t="s">
        <v>366</v>
      </c>
      <c r="D39" s="21" t="s">
        <v>343</v>
      </c>
      <c r="E39" s="26">
        <v>44197</v>
      </c>
      <c r="F39" s="24">
        <v>3</v>
      </c>
    </row>
    <row r="40" spans="1:6" ht="32.25" customHeight="1" thickBot="1" x14ac:dyDescent="0.3">
      <c r="A40" s="5">
        <f t="shared" si="0"/>
        <v>33</v>
      </c>
      <c r="B40" s="25" t="s">
        <v>367</v>
      </c>
      <c r="C40" s="7" t="s">
        <v>368</v>
      </c>
      <c r="D40" s="21" t="s">
        <v>343</v>
      </c>
      <c r="E40" s="26">
        <v>43472</v>
      </c>
      <c r="F40" s="24">
        <v>1</v>
      </c>
    </row>
    <row r="41" spans="1:6" ht="32.25" customHeight="1" thickBot="1" x14ac:dyDescent="0.3">
      <c r="A41" s="5">
        <f t="shared" si="0"/>
        <v>34</v>
      </c>
      <c r="B41" s="25" t="s">
        <v>369</v>
      </c>
      <c r="C41" s="7" t="s">
        <v>370</v>
      </c>
      <c r="D41" s="21" t="s">
        <v>343</v>
      </c>
      <c r="E41" s="26">
        <v>43922</v>
      </c>
      <c r="F41" s="24">
        <v>1</v>
      </c>
    </row>
    <row r="42" spans="1:6" ht="32.25" customHeight="1" thickBot="1" x14ac:dyDescent="0.3">
      <c r="A42" s="5">
        <f t="shared" si="0"/>
        <v>35</v>
      </c>
      <c r="B42" s="25" t="s">
        <v>371</v>
      </c>
      <c r="C42" s="7" t="s">
        <v>372</v>
      </c>
      <c r="D42" s="21" t="s">
        <v>343</v>
      </c>
      <c r="E42" s="26">
        <v>43466</v>
      </c>
      <c r="F42" s="24">
        <v>0</v>
      </c>
    </row>
    <row r="43" spans="1:6" ht="32.25" customHeight="1" thickBot="1" x14ac:dyDescent="0.3">
      <c r="A43" s="5">
        <f t="shared" si="0"/>
        <v>36</v>
      </c>
      <c r="B43" s="25" t="s">
        <v>373</v>
      </c>
      <c r="C43" s="7" t="s">
        <v>374</v>
      </c>
      <c r="D43" s="21" t="s">
        <v>343</v>
      </c>
      <c r="E43" s="26">
        <v>43831</v>
      </c>
      <c r="F43" s="24">
        <v>1</v>
      </c>
    </row>
    <row r="44" spans="1:6" ht="32.25" customHeight="1" thickBot="1" x14ac:dyDescent="0.3">
      <c r="A44" s="5">
        <f t="shared" si="0"/>
        <v>37</v>
      </c>
      <c r="B44" s="25" t="s">
        <v>375</v>
      </c>
      <c r="C44" s="7" t="s">
        <v>376</v>
      </c>
      <c r="D44" s="21" t="s">
        <v>343</v>
      </c>
      <c r="E44" s="26">
        <v>43466</v>
      </c>
      <c r="F44" s="24">
        <v>0</v>
      </c>
    </row>
    <row r="45" spans="1:6" ht="32.25" customHeight="1" thickBot="1" x14ac:dyDescent="0.3">
      <c r="A45" s="5">
        <f t="shared" si="0"/>
        <v>38</v>
      </c>
      <c r="B45" s="25" t="s">
        <v>377</v>
      </c>
      <c r="C45" s="7" t="s">
        <v>333</v>
      </c>
      <c r="D45" s="21" t="s">
        <v>307</v>
      </c>
      <c r="E45" s="26">
        <v>44562</v>
      </c>
      <c r="F45" s="24">
        <v>1</v>
      </c>
    </row>
    <row r="46" spans="1:6" ht="32.25" customHeight="1" thickBot="1" x14ac:dyDescent="0.3">
      <c r="A46" s="5">
        <f t="shared" si="0"/>
        <v>39</v>
      </c>
      <c r="B46" s="25" t="s">
        <v>378</v>
      </c>
      <c r="C46" s="7" t="s">
        <v>379</v>
      </c>
      <c r="D46" s="21" t="s">
        <v>343</v>
      </c>
      <c r="E46" s="26">
        <v>44562</v>
      </c>
      <c r="F46" s="24">
        <v>1</v>
      </c>
    </row>
    <row r="47" spans="1:6" ht="32.25" customHeight="1" thickBot="1" x14ac:dyDescent="0.3">
      <c r="A47" s="5">
        <f t="shared" si="0"/>
        <v>40</v>
      </c>
      <c r="B47" s="25" t="s">
        <v>380</v>
      </c>
      <c r="C47" s="7" t="s">
        <v>381</v>
      </c>
      <c r="D47" s="21" t="s">
        <v>343</v>
      </c>
      <c r="E47" s="26">
        <v>44562</v>
      </c>
      <c r="F47" s="24">
        <v>0</v>
      </c>
    </row>
    <row r="48" spans="1:6" ht="32.25" customHeight="1" thickBot="1" x14ac:dyDescent="0.3">
      <c r="A48" s="5">
        <f t="shared" si="0"/>
        <v>41</v>
      </c>
      <c r="B48" s="25"/>
      <c r="C48" s="7"/>
      <c r="D48" s="21"/>
      <c r="E48" s="26"/>
      <c r="F48" s="24"/>
    </row>
    <row r="49" spans="1:8" ht="32.25" customHeight="1" thickBot="1" x14ac:dyDescent="0.3">
      <c r="A49" s="5">
        <f t="shared" si="0"/>
        <v>42</v>
      </c>
      <c r="B49" s="25"/>
      <c r="C49" s="7"/>
      <c r="D49" s="21"/>
      <c r="E49" s="7"/>
      <c r="F49" s="10"/>
    </row>
    <row r="50" spans="1:8" ht="32.25" customHeight="1" thickBot="1" x14ac:dyDescent="0.3">
      <c r="A50" s="5">
        <f t="shared" si="0"/>
        <v>43</v>
      </c>
      <c r="B50" s="25"/>
      <c r="C50" s="7"/>
      <c r="D50" s="21"/>
      <c r="E50" s="26"/>
      <c r="F50" s="10"/>
    </row>
    <row r="51" spans="1:8" ht="32.25" customHeight="1" thickBot="1" x14ac:dyDescent="0.3">
      <c r="A51" s="5">
        <f t="shared" si="0"/>
        <v>44</v>
      </c>
      <c r="B51" s="25"/>
      <c r="C51" s="7"/>
      <c r="D51" s="21"/>
      <c r="E51" s="26"/>
      <c r="F51" s="24"/>
    </row>
    <row r="52" spans="1:8" ht="32.25" customHeight="1" thickBot="1" x14ac:dyDescent="0.3">
      <c r="A52" s="5">
        <f t="shared" si="0"/>
        <v>45</v>
      </c>
      <c r="B52" s="25"/>
      <c r="C52" s="7"/>
      <c r="D52" s="21"/>
      <c r="E52" s="27"/>
      <c r="F52" s="10"/>
    </row>
    <row r="53" spans="1:8" ht="32.25" customHeight="1" thickBot="1" x14ac:dyDescent="0.3">
      <c r="A53" s="5">
        <f t="shared" si="0"/>
        <v>46</v>
      </c>
      <c r="B53" s="25"/>
      <c r="C53" s="7"/>
      <c r="D53" s="21"/>
      <c r="E53" s="26"/>
      <c r="F53" s="24"/>
      <c r="H53" s="19"/>
    </row>
    <row r="54" spans="1:8" ht="32.25" customHeight="1" thickBot="1" x14ac:dyDescent="0.3">
      <c r="A54" s="5">
        <f t="shared" si="0"/>
        <v>47</v>
      </c>
      <c r="B54" s="28"/>
      <c r="C54" s="13"/>
      <c r="D54" s="21"/>
      <c r="E54" s="29"/>
      <c r="F54" s="30"/>
    </row>
    <row r="55" spans="1:8" ht="32.25" customHeight="1" thickBot="1" x14ac:dyDescent="0.3">
      <c r="A55" s="5">
        <f t="shared" si="0"/>
        <v>48</v>
      </c>
      <c r="B55" s="25"/>
      <c r="C55" s="7"/>
      <c r="D55" s="21"/>
      <c r="E55" s="9"/>
      <c r="F55" s="10"/>
    </row>
    <row r="56" spans="1:8" ht="32.25" customHeight="1" thickBot="1" x14ac:dyDescent="0.3">
      <c r="A56" s="5"/>
      <c r="B56" s="6"/>
      <c r="C56" s="7"/>
      <c r="D56" s="8"/>
      <c r="E56" s="9"/>
      <c r="F56" s="10"/>
    </row>
    <row r="57" spans="1:8" ht="32.25" customHeight="1" thickBot="1" x14ac:dyDescent="0.3">
      <c r="A57" s="5"/>
      <c r="B57" s="6"/>
      <c r="C57" s="7"/>
      <c r="D57" s="8"/>
      <c r="E57" s="9"/>
      <c r="F57" s="10"/>
    </row>
    <row r="58" spans="1:8" ht="32.25" customHeight="1" thickBot="1" x14ac:dyDescent="0.3">
      <c r="A58" s="5"/>
      <c r="B58" s="6"/>
      <c r="C58" s="7"/>
      <c r="D58" s="8"/>
      <c r="E58" s="9"/>
      <c r="F58" s="10"/>
    </row>
    <row r="59" spans="1:8" ht="32.25" customHeight="1" thickBot="1" x14ac:dyDescent="0.3">
      <c r="A59" s="5"/>
      <c r="B59" s="6"/>
      <c r="C59" s="7"/>
      <c r="D59" s="8"/>
      <c r="E59" s="9"/>
      <c r="F59" s="10"/>
    </row>
    <row r="60" spans="1:8" ht="32.25" customHeight="1" thickBot="1" x14ac:dyDescent="0.3">
      <c r="A60" s="5"/>
      <c r="B60" s="6"/>
      <c r="C60" s="7"/>
      <c r="D60" s="8"/>
      <c r="E60" s="9"/>
      <c r="F60" s="10"/>
    </row>
  </sheetData>
  <mergeCells count="6">
    <mergeCell ref="A6:B6"/>
    <mergeCell ref="A1:D2"/>
    <mergeCell ref="E1:F1"/>
    <mergeCell ref="E2:F2"/>
    <mergeCell ref="A4:B4"/>
    <mergeCell ref="A5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view="pageBreakPreview" topLeftCell="A16" zoomScaleNormal="100" zoomScaleSheetLayoutView="100" workbookViewId="0">
      <selection activeCell="M13" sqref="M13"/>
    </sheetView>
  </sheetViews>
  <sheetFormatPr defaultColWidth="9.140625" defaultRowHeight="15" x14ac:dyDescent="0.25"/>
  <cols>
    <col min="1" max="1" width="5" style="63" customWidth="1"/>
    <col min="2" max="2" width="5.5703125" style="63" customWidth="1"/>
    <col min="3" max="3" width="10.28515625" style="63" customWidth="1"/>
    <col min="4" max="4" width="16" style="63" customWidth="1"/>
    <col min="5" max="9" width="9.140625" style="63"/>
    <col min="10" max="10" width="17.42578125" style="63" customWidth="1"/>
    <col min="11" max="11" width="16.42578125" style="63" customWidth="1"/>
    <col min="12" max="16384" width="9.140625" style="63"/>
  </cols>
  <sheetData>
    <row r="1" spans="1:14" s="64" customFormat="1" ht="31.15" customHeight="1" thickTop="1" x14ac:dyDescent="0.25">
      <c r="A1" s="191"/>
      <c r="B1" s="192"/>
      <c r="C1" s="192"/>
      <c r="D1" s="197" t="s">
        <v>384</v>
      </c>
      <c r="E1" s="197"/>
      <c r="F1" s="197"/>
      <c r="G1" s="197"/>
      <c r="H1" s="197"/>
      <c r="I1" s="197"/>
      <c r="J1" s="61" t="s">
        <v>385</v>
      </c>
      <c r="K1" s="62" t="s">
        <v>386</v>
      </c>
      <c r="L1" s="63"/>
      <c r="M1" s="63"/>
      <c r="N1" s="63"/>
    </row>
    <row r="2" spans="1:14" s="64" customFormat="1" ht="31.15" customHeight="1" x14ac:dyDescent="0.25">
      <c r="A2" s="193"/>
      <c r="B2" s="194"/>
      <c r="C2" s="194"/>
      <c r="D2" s="198" t="s">
        <v>387</v>
      </c>
      <c r="E2" s="199"/>
      <c r="F2" s="199"/>
      <c r="G2" s="199"/>
      <c r="H2" s="199"/>
      <c r="I2" s="199"/>
      <c r="J2" s="65" t="s">
        <v>388</v>
      </c>
      <c r="K2" s="66">
        <v>43472</v>
      </c>
      <c r="L2" s="63"/>
      <c r="M2" s="63"/>
      <c r="N2" s="63"/>
    </row>
    <row r="3" spans="1:14" s="64" customFormat="1" ht="31.15" customHeight="1" x14ac:dyDescent="0.25">
      <c r="A3" s="193"/>
      <c r="B3" s="194"/>
      <c r="C3" s="194"/>
      <c r="D3" s="200"/>
      <c r="E3" s="200"/>
      <c r="F3" s="200"/>
      <c r="G3" s="200"/>
      <c r="H3" s="200"/>
      <c r="I3" s="200"/>
      <c r="J3" s="65" t="s">
        <v>389</v>
      </c>
      <c r="K3" s="67"/>
      <c r="L3" s="63"/>
      <c r="M3" s="63"/>
      <c r="N3" s="63"/>
    </row>
    <row r="4" spans="1:14" s="64" customFormat="1" ht="31.15" customHeight="1" thickBot="1" x14ac:dyDescent="0.3">
      <c r="A4" s="195"/>
      <c r="B4" s="196"/>
      <c r="C4" s="196"/>
      <c r="D4" s="201"/>
      <c r="E4" s="201"/>
      <c r="F4" s="201"/>
      <c r="G4" s="201"/>
      <c r="H4" s="201"/>
      <c r="I4" s="201"/>
      <c r="J4" s="68" t="s">
        <v>390</v>
      </c>
      <c r="K4" s="69"/>
      <c r="L4" s="63"/>
      <c r="M4" s="63"/>
      <c r="N4" s="63"/>
    </row>
    <row r="5" spans="1:14" ht="10.9" customHeight="1" thickTop="1" x14ac:dyDescent="0.25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4"/>
    </row>
    <row r="6" spans="1:14" s="71" customFormat="1" ht="59.25" x14ac:dyDescent="0.25">
      <c r="A6" s="70" t="s">
        <v>391</v>
      </c>
      <c r="B6" s="205" t="s">
        <v>392</v>
      </c>
      <c r="C6" s="206"/>
      <c r="D6" s="206"/>
      <c r="E6" s="206"/>
      <c r="F6" s="205" t="s">
        <v>393</v>
      </c>
      <c r="G6" s="206"/>
      <c r="H6" s="205" t="s">
        <v>394</v>
      </c>
      <c r="I6" s="206"/>
      <c r="J6" s="70" t="s">
        <v>395</v>
      </c>
      <c r="K6" s="70" t="s">
        <v>396</v>
      </c>
    </row>
    <row r="7" spans="1:14" ht="40.15" customHeight="1" x14ac:dyDescent="0.25">
      <c r="A7" s="72">
        <f t="shared" ref="A7:A38" si="0">IF(B7&lt;&gt;"",ROW()-6,"")</f>
        <v>1</v>
      </c>
      <c r="B7" s="183" t="s">
        <v>337</v>
      </c>
      <c r="C7" s="184"/>
      <c r="D7" s="184"/>
      <c r="E7" s="185"/>
      <c r="F7" s="186" t="s">
        <v>397</v>
      </c>
      <c r="G7" s="186"/>
      <c r="H7" s="186" t="s">
        <v>398</v>
      </c>
      <c r="I7" s="186"/>
      <c r="J7" s="73">
        <v>43472</v>
      </c>
      <c r="K7" s="74" t="s">
        <v>165</v>
      </c>
    </row>
    <row r="8" spans="1:14" ht="40.15" customHeight="1" x14ac:dyDescent="0.25">
      <c r="A8" s="75">
        <f t="shared" si="0"/>
        <v>2</v>
      </c>
      <c r="B8" s="187" t="s">
        <v>399</v>
      </c>
      <c r="C8" s="188"/>
      <c r="D8" s="188"/>
      <c r="E8" s="189"/>
      <c r="F8" s="190" t="s">
        <v>400</v>
      </c>
      <c r="G8" s="190"/>
      <c r="H8" s="190" t="s">
        <v>398</v>
      </c>
      <c r="I8" s="190"/>
      <c r="J8" s="76">
        <v>42739</v>
      </c>
      <c r="K8" s="74" t="s">
        <v>165</v>
      </c>
    </row>
    <row r="9" spans="1:14" ht="40.15" customHeight="1" x14ac:dyDescent="0.25">
      <c r="A9" s="72">
        <f t="shared" si="0"/>
        <v>3</v>
      </c>
      <c r="B9" s="187" t="s">
        <v>401</v>
      </c>
      <c r="C9" s="188"/>
      <c r="D9" s="188"/>
      <c r="E9" s="189"/>
      <c r="F9" s="186" t="s">
        <v>402</v>
      </c>
      <c r="G9" s="186"/>
      <c r="H9" s="186" t="s">
        <v>398</v>
      </c>
      <c r="I9" s="186"/>
      <c r="J9" s="73">
        <v>42739</v>
      </c>
      <c r="K9" s="74" t="s">
        <v>241</v>
      </c>
    </row>
    <row r="10" spans="1:14" ht="40.15" customHeight="1" x14ac:dyDescent="0.25">
      <c r="A10" s="75">
        <f t="shared" si="0"/>
        <v>4</v>
      </c>
      <c r="B10" s="187" t="s">
        <v>403</v>
      </c>
      <c r="C10" s="188"/>
      <c r="D10" s="188"/>
      <c r="E10" s="189"/>
      <c r="F10" s="207" t="s">
        <v>404</v>
      </c>
      <c r="G10" s="208"/>
      <c r="H10" s="186" t="s">
        <v>398</v>
      </c>
      <c r="I10" s="186"/>
      <c r="J10" s="73">
        <v>42740</v>
      </c>
      <c r="K10" s="74" t="s">
        <v>165</v>
      </c>
    </row>
    <row r="11" spans="1:14" ht="40.15" customHeight="1" x14ac:dyDescent="0.25">
      <c r="A11" s="72">
        <f t="shared" si="0"/>
        <v>5</v>
      </c>
      <c r="B11" s="187" t="s">
        <v>405</v>
      </c>
      <c r="C11" s="188"/>
      <c r="D11" s="188"/>
      <c r="E11" s="189"/>
      <c r="F11" s="207" t="s">
        <v>406</v>
      </c>
      <c r="G11" s="208"/>
      <c r="H11" s="186" t="s">
        <v>398</v>
      </c>
      <c r="I11" s="186"/>
      <c r="J11" s="73">
        <v>42740</v>
      </c>
      <c r="K11" s="74" t="s">
        <v>165</v>
      </c>
    </row>
    <row r="12" spans="1:14" ht="40.15" customHeight="1" x14ac:dyDescent="0.25">
      <c r="A12" s="75">
        <f t="shared" si="0"/>
        <v>6</v>
      </c>
      <c r="B12" s="187" t="s">
        <v>407</v>
      </c>
      <c r="C12" s="188"/>
      <c r="D12" s="188"/>
      <c r="E12" s="189"/>
      <c r="F12" s="207" t="s">
        <v>408</v>
      </c>
      <c r="G12" s="208"/>
      <c r="H12" s="186" t="s">
        <v>398</v>
      </c>
      <c r="I12" s="186"/>
      <c r="J12" s="73">
        <v>42740</v>
      </c>
      <c r="K12" s="77" t="s">
        <v>234</v>
      </c>
    </row>
    <row r="13" spans="1:14" ht="40.15" customHeight="1" x14ac:dyDescent="0.25">
      <c r="A13" s="72">
        <f t="shared" si="0"/>
        <v>7</v>
      </c>
      <c r="B13" s="187" t="s">
        <v>409</v>
      </c>
      <c r="C13" s="188"/>
      <c r="D13" s="188"/>
      <c r="E13" s="189"/>
      <c r="F13" s="207" t="s">
        <v>410</v>
      </c>
      <c r="G13" s="208"/>
      <c r="H13" s="186" t="s">
        <v>398</v>
      </c>
      <c r="I13" s="186"/>
      <c r="J13" s="73">
        <v>43101</v>
      </c>
      <c r="K13" s="77" t="s">
        <v>234</v>
      </c>
    </row>
    <row r="14" spans="1:14" ht="40.15" customHeight="1" x14ac:dyDescent="0.25">
      <c r="A14" s="75">
        <f t="shared" si="0"/>
        <v>8</v>
      </c>
      <c r="B14" s="187" t="s">
        <v>411</v>
      </c>
      <c r="C14" s="188"/>
      <c r="D14" s="188"/>
      <c r="E14" s="189"/>
      <c r="F14" s="186" t="s">
        <v>412</v>
      </c>
      <c r="G14" s="186"/>
      <c r="H14" s="186" t="s">
        <v>398</v>
      </c>
      <c r="I14" s="186"/>
      <c r="J14" s="73">
        <v>43102</v>
      </c>
      <c r="K14" s="77" t="s">
        <v>234</v>
      </c>
    </row>
    <row r="15" spans="1:14" ht="64.150000000000006" customHeight="1" x14ac:dyDescent="0.25">
      <c r="A15" s="72">
        <f t="shared" si="0"/>
        <v>9</v>
      </c>
      <c r="B15" s="187" t="s">
        <v>413</v>
      </c>
      <c r="C15" s="188"/>
      <c r="D15" s="188"/>
      <c r="E15" s="189"/>
      <c r="F15" s="207" t="s">
        <v>414</v>
      </c>
      <c r="G15" s="208"/>
      <c r="H15" s="186" t="s">
        <v>398</v>
      </c>
      <c r="I15" s="186"/>
      <c r="J15" s="73">
        <v>43101</v>
      </c>
      <c r="K15" s="77" t="s">
        <v>234</v>
      </c>
    </row>
    <row r="16" spans="1:14" ht="40.15" customHeight="1" x14ac:dyDescent="0.25">
      <c r="A16" s="75">
        <f t="shared" si="0"/>
        <v>10</v>
      </c>
      <c r="B16" s="187" t="s">
        <v>415</v>
      </c>
      <c r="C16" s="188"/>
      <c r="D16" s="188"/>
      <c r="E16" s="189"/>
      <c r="F16" s="186" t="s">
        <v>416</v>
      </c>
      <c r="G16" s="186"/>
      <c r="H16" s="186" t="s">
        <v>398</v>
      </c>
      <c r="I16" s="186"/>
      <c r="J16" s="73">
        <v>43466</v>
      </c>
      <c r="K16" s="77" t="s">
        <v>417</v>
      </c>
    </row>
    <row r="17" spans="1:11" ht="40.15" customHeight="1" x14ac:dyDescent="0.25">
      <c r="A17" s="72">
        <f t="shared" si="0"/>
        <v>11</v>
      </c>
      <c r="B17" s="187" t="s">
        <v>418</v>
      </c>
      <c r="C17" s="188"/>
      <c r="D17" s="188"/>
      <c r="E17" s="189"/>
      <c r="F17" s="186" t="s">
        <v>419</v>
      </c>
      <c r="G17" s="186"/>
      <c r="H17" s="186" t="s">
        <v>398</v>
      </c>
      <c r="I17" s="186"/>
      <c r="J17" s="73">
        <v>43497</v>
      </c>
      <c r="K17" s="77" t="s">
        <v>165</v>
      </c>
    </row>
    <row r="18" spans="1:11" ht="40.15" customHeight="1" x14ac:dyDescent="0.25">
      <c r="A18" s="75">
        <f t="shared" si="0"/>
        <v>12</v>
      </c>
      <c r="B18" s="187" t="s">
        <v>420</v>
      </c>
      <c r="C18" s="188"/>
      <c r="D18" s="188"/>
      <c r="E18" s="189"/>
      <c r="F18" s="186" t="s">
        <v>421</v>
      </c>
      <c r="G18" s="186"/>
      <c r="H18" s="186" t="s">
        <v>398</v>
      </c>
      <c r="I18" s="186"/>
      <c r="J18" s="73">
        <v>43497</v>
      </c>
      <c r="K18" s="77" t="s">
        <v>234</v>
      </c>
    </row>
    <row r="19" spans="1:11" ht="40.15" customHeight="1" x14ac:dyDescent="0.25">
      <c r="A19" s="72">
        <f t="shared" si="0"/>
        <v>13</v>
      </c>
      <c r="B19" s="187" t="s">
        <v>422</v>
      </c>
      <c r="C19" s="188"/>
      <c r="D19" s="188"/>
      <c r="E19" s="189"/>
      <c r="F19" s="186" t="s">
        <v>423</v>
      </c>
      <c r="G19" s="186"/>
      <c r="H19" s="186" t="s">
        <v>398</v>
      </c>
      <c r="I19" s="186"/>
      <c r="J19" s="73">
        <v>43497</v>
      </c>
      <c r="K19" s="77" t="s">
        <v>234</v>
      </c>
    </row>
    <row r="20" spans="1:11" ht="40.15" customHeight="1" x14ac:dyDescent="0.25">
      <c r="A20" s="75">
        <f t="shared" si="0"/>
        <v>14</v>
      </c>
      <c r="B20" s="187" t="s">
        <v>424</v>
      </c>
      <c r="C20" s="188"/>
      <c r="D20" s="188"/>
      <c r="E20" s="189"/>
      <c r="F20" s="186" t="s">
        <v>425</v>
      </c>
      <c r="G20" s="186"/>
      <c r="H20" s="186" t="s">
        <v>398</v>
      </c>
      <c r="I20" s="186"/>
      <c r="J20" s="73">
        <v>43497</v>
      </c>
      <c r="K20" s="77" t="s">
        <v>234</v>
      </c>
    </row>
    <row r="21" spans="1:11" ht="40.15" customHeight="1" x14ac:dyDescent="0.25">
      <c r="A21" s="72">
        <f t="shared" si="0"/>
        <v>15</v>
      </c>
      <c r="B21" s="187" t="s">
        <v>426</v>
      </c>
      <c r="C21" s="188"/>
      <c r="D21" s="188"/>
      <c r="E21" s="189"/>
      <c r="F21" s="186" t="s">
        <v>427</v>
      </c>
      <c r="G21" s="186"/>
      <c r="H21" s="186" t="s">
        <v>398</v>
      </c>
      <c r="I21" s="186"/>
      <c r="J21" s="73">
        <v>42005</v>
      </c>
      <c r="K21" s="77" t="s">
        <v>234</v>
      </c>
    </row>
    <row r="22" spans="1:11" ht="40.15" customHeight="1" x14ac:dyDescent="0.25">
      <c r="A22" s="75">
        <f t="shared" si="0"/>
        <v>16</v>
      </c>
      <c r="B22" s="187" t="s">
        <v>428</v>
      </c>
      <c r="C22" s="188"/>
      <c r="D22" s="188"/>
      <c r="E22" s="189"/>
      <c r="F22" s="186" t="s">
        <v>429</v>
      </c>
      <c r="G22" s="186"/>
      <c r="H22" s="186" t="s">
        <v>398</v>
      </c>
      <c r="I22" s="186"/>
      <c r="J22" s="73">
        <v>42005</v>
      </c>
      <c r="K22" s="77" t="s">
        <v>234</v>
      </c>
    </row>
    <row r="23" spans="1:11" ht="40.15" customHeight="1" x14ac:dyDescent="0.25">
      <c r="A23" s="72">
        <f t="shared" si="0"/>
        <v>17</v>
      </c>
      <c r="B23" s="187" t="s">
        <v>430</v>
      </c>
      <c r="C23" s="188"/>
      <c r="D23" s="188"/>
      <c r="E23" s="189"/>
      <c r="F23" s="186" t="s">
        <v>431</v>
      </c>
      <c r="G23" s="186"/>
      <c r="H23" s="186" t="s">
        <v>398</v>
      </c>
      <c r="I23" s="186"/>
      <c r="J23" s="73">
        <v>42739</v>
      </c>
      <c r="K23" s="77" t="s">
        <v>226</v>
      </c>
    </row>
    <row r="24" spans="1:11" ht="40.15" customHeight="1" x14ac:dyDescent="0.25">
      <c r="A24" s="75">
        <f t="shared" si="0"/>
        <v>18</v>
      </c>
      <c r="B24" s="187" t="s">
        <v>432</v>
      </c>
      <c r="C24" s="188"/>
      <c r="D24" s="188"/>
      <c r="E24" s="189"/>
      <c r="F24" s="186" t="s">
        <v>433</v>
      </c>
      <c r="G24" s="186"/>
      <c r="H24" s="186" t="s">
        <v>398</v>
      </c>
      <c r="I24" s="186"/>
      <c r="J24" s="73">
        <v>42739</v>
      </c>
      <c r="K24" s="77" t="s">
        <v>241</v>
      </c>
    </row>
    <row r="25" spans="1:11" ht="40.15" customHeight="1" x14ac:dyDescent="0.25">
      <c r="A25" s="72">
        <f t="shared" si="0"/>
        <v>19</v>
      </c>
      <c r="B25" s="187" t="s">
        <v>434</v>
      </c>
      <c r="C25" s="188"/>
      <c r="D25" s="188"/>
      <c r="E25" s="189"/>
      <c r="F25" s="186" t="s">
        <v>435</v>
      </c>
      <c r="G25" s="186"/>
      <c r="H25" s="186" t="s">
        <v>398</v>
      </c>
      <c r="I25" s="186"/>
      <c r="J25" s="73">
        <v>43132</v>
      </c>
      <c r="K25" s="77" t="s">
        <v>234</v>
      </c>
    </row>
    <row r="26" spans="1:11" ht="40.15" customHeight="1" x14ac:dyDescent="0.25">
      <c r="A26" s="75">
        <f t="shared" si="0"/>
        <v>20</v>
      </c>
      <c r="B26" s="187" t="s">
        <v>436</v>
      </c>
      <c r="C26" s="188"/>
      <c r="D26" s="188"/>
      <c r="E26" s="189"/>
      <c r="F26" s="186" t="s">
        <v>437</v>
      </c>
      <c r="G26" s="186"/>
      <c r="H26" s="186" t="s">
        <v>398</v>
      </c>
      <c r="I26" s="186"/>
      <c r="J26" s="73">
        <v>43466</v>
      </c>
      <c r="K26" s="77" t="s">
        <v>234</v>
      </c>
    </row>
    <row r="27" spans="1:11" ht="40.15" customHeight="1" x14ac:dyDescent="0.25">
      <c r="A27" s="72">
        <f t="shared" si="0"/>
        <v>21</v>
      </c>
      <c r="B27" s="187" t="s">
        <v>438</v>
      </c>
      <c r="C27" s="188"/>
      <c r="D27" s="188"/>
      <c r="E27" s="189"/>
      <c r="F27" s="186" t="s">
        <v>439</v>
      </c>
      <c r="G27" s="186"/>
      <c r="H27" s="186" t="s">
        <v>398</v>
      </c>
      <c r="I27" s="186"/>
      <c r="J27" s="73">
        <v>43466</v>
      </c>
      <c r="K27" s="77" t="s">
        <v>234</v>
      </c>
    </row>
    <row r="28" spans="1:11" ht="40.15" customHeight="1" x14ac:dyDescent="0.25">
      <c r="A28" s="75">
        <f t="shared" si="0"/>
        <v>22</v>
      </c>
      <c r="B28" s="187" t="s">
        <v>440</v>
      </c>
      <c r="C28" s="188"/>
      <c r="D28" s="188"/>
      <c r="E28" s="189"/>
      <c r="F28" s="186" t="s">
        <v>441</v>
      </c>
      <c r="G28" s="186"/>
      <c r="H28" s="186" t="s">
        <v>398</v>
      </c>
      <c r="I28" s="186"/>
      <c r="J28" s="73">
        <v>43466</v>
      </c>
      <c r="K28" s="77" t="s">
        <v>165</v>
      </c>
    </row>
    <row r="29" spans="1:11" ht="40.15" customHeight="1" x14ac:dyDescent="0.25">
      <c r="A29" s="72">
        <f t="shared" si="0"/>
        <v>23</v>
      </c>
      <c r="B29" s="187" t="s">
        <v>442</v>
      </c>
      <c r="C29" s="188"/>
      <c r="D29" s="188"/>
      <c r="E29" s="189"/>
      <c r="F29" s="186" t="s">
        <v>443</v>
      </c>
      <c r="G29" s="186"/>
      <c r="H29" s="186" t="s">
        <v>398</v>
      </c>
      <c r="I29" s="186"/>
      <c r="J29" s="73">
        <v>43466</v>
      </c>
      <c r="K29" s="77" t="s">
        <v>234</v>
      </c>
    </row>
    <row r="30" spans="1:11" ht="40.15" customHeight="1" x14ac:dyDescent="0.25">
      <c r="A30" s="75">
        <f t="shared" si="0"/>
        <v>24</v>
      </c>
      <c r="B30" s="187" t="s">
        <v>444</v>
      </c>
      <c r="C30" s="188"/>
      <c r="D30" s="188"/>
      <c r="E30" s="189"/>
      <c r="F30" s="186" t="s">
        <v>445</v>
      </c>
      <c r="G30" s="186"/>
      <c r="H30" s="186" t="s">
        <v>398</v>
      </c>
      <c r="I30" s="186"/>
      <c r="J30" s="73">
        <v>43588</v>
      </c>
      <c r="K30" s="77" t="s">
        <v>234</v>
      </c>
    </row>
    <row r="31" spans="1:11" ht="40.15" customHeight="1" x14ac:dyDescent="0.25">
      <c r="A31" s="72">
        <f t="shared" si="0"/>
        <v>25</v>
      </c>
      <c r="B31" s="187" t="s">
        <v>446</v>
      </c>
      <c r="C31" s="188"/>
      <c r="D31" s="188"/>
      <c r="E31" s="189"/>
      <c r="F31" s="186" t="s">
        <v>447</v>
      </c>
      <c r="G31" s="186"/>
      <c r="H31" s="186" t="s">
        <v>398</v>
      </c>
      <c r="I31" s="186"/>
      <c r="J31" s="73">
        <v>43588</v>
      </c>
      <c r="K31" s="77" t="s">
        <v>234</v>
      </c>
    </row>
    <row r="32" spans="1:11" ht="40.15" customHeight="1" x14ac:dyDescent="0.25">
      <c r="A32" s="75">
        <f t="shared" si="0"/>
        <v>26</v>
      </c>
      <c r="B32" s="187" t="s">
        <v>448</v>
      </c>
      <c r="C32" s="188"/>
      <c r="D32" s="188"/>
      <c r="E32" s="189"/>
      <c r="F32" s="186" t="s">
        <v>449</v>
      </c>
      <c r="G32" s="186"/>
      <c r="H32" s="186" t="s">
        <v>398</v>
      </c>
      <c r="I32" s="186"/>
      <c r="J32" s="73">
        <v>43473</v>
      </c>
      <c r="K32" s="77" t="s">
        <v>234</v>
      </c>
    </row>
    <row r="33" spans="1:11" ht="40.15" customHeight="1" x14ac:dyDescent="0.25">
      <c r="A33" s="72">
        <f t="shared" si="0"/>
        <v>27</v>
      </c>
      <c r="B33" s="187" t="s">
        <v>450</v>
      </c>
      <c r="C33" s="188"/>
      <c r="D33" s="188"/>
      <c r="E33" s="189"/>
      <c r="F33" s="186" t="s">
        <v>451</v>
      </c>
      <c r="G33" s="186"/>
      <c r="H33" s="186" t="s">
        <v>398</v>
      </c>
      <c r="I33" s="186"/>
      <c r="J33" s="73">
        <v>43473</v>
      </c>
      <c r="K33" s="77" t="s">
        <v>165</v>
      </c>
    </row>
    <row r="34" spans="1:11" ht="40.15" customHeight="1" x14ac:dyDescent="0.25">
      <c r="A34" s="75">
        <f t="shared" si="0"/>
        <v>28</v>
      </c>
      <c r="B34" s="187" t="s">
        <v>452</v>
      </c>
      <c r="C34" s="188"/>
      <c r="D34" s="188"/>
      <c r="E34" s="189"/>
      <c r="F34" s="186" t="s">
        <v>453</v>
      </c>
      <c r="G34" s="186"/>
      <c r="H34" s="186" t="s">
        <v>398</v>
      </c>
      <c r="I34" s="186"/>
      <c r="J34" s="73">
        <v>43473</v>
      </c>
      <c r="K34" s="77" t="s">
        <v>234</v>
      </c>
    </row>
    <row r="35" spans="1:11" ht="40.15" customHeight="1" x14ac:dyDescent="0.25">
      <c r="A35" s="75">
        <f t="shared" si="0"/>
        <v>29</v>
      </c>
      <c r="B35" s="187" t="s">
        <v>454</v>
      </c>
      <c r="C35" s="188"/>
      <c r="D35" s="188"/>
      <c r="E35" s="189"/>
      <c r="F35" s="186" t="s">
        <v>455</v>
      </c>
      <c r="G35" s="186"/>
      <c r="H35" s="186" t="s">
        <v>398</v>
      </c>
      <c r="I35" s="186"/>
      <c r="J35" s="73">
        <v>43473</v>
      </c>
      <c r="K35" s="77" t="s">
        <v>234</v>
      </c>
    </row>
    <row r="36" spans="1:11" x14ac:dyDescent="0.25">
      <c r="A36" s="72" t="str">
        <f t="shared" si="0"/>
        <v/>
      </c>
      <c r="B36" s="187"/>
      <c r="C36" s="188"/>
      <c r="D36" s="188"/>
      <c r="E36" s="189"/>
      <c r="F36" s="186"/>
      <c r="G36" s="186"/>
      <c r="H36" s="186" t="s">
        <v>398</v>
      </c>
      <c r="I36" s="186"/>
      <c r="J36" s="73"/>
      <c r="K36" s="77" t="s">
        <v>234</v>
      </c>
    </row>
    <row r="37" spans="1:11" x14ac:dyDescent="0.25">
      <c r="A37" s="72" t="str">
        <f t="shared" si="0"/>
        <v/>
      </c>
      <c r="B37" s="210"/>
      <c r="C37" s="186"/>
      <c r="D37" s="186"/>
      <c r="E37" s="186"/>
      <c r="F37" s="186"/>
      <c r="G37" s="186"/>
      <c r="H37" s="186" t="s">
        <v>398</v>
      </c>
      <c r="I37" s="186"/>
      <c r="J37" s="73"/>
      <c r="K37" s="77" t="s">
        <v>234</v>
      </c>
    </row>
    <row r="38" spans="1:11" x14ac:dyDescent="0.25">
      <c r="A38" s="72" t="str">
        <f t="shared" si="0"/>
        <v/>
      </c>
      <c r="B38" s="186"/>
      <c r="C38" s="186"/>
      <c r="D38" s="186"/>
      <c r="E38" s="186"/>
      <c r="F38" s="186"/>
      <c r="G38" s="186"/>
      <c r="H38" s="186" t="s">
        <v>398</v>
      </c>
      <c r="I38" s="186"/>
      <c r="J38" s="78"/>
      <c r="K38" s="77" t="s">
        <v>234</v>
      </c>
    </row>
    <row r="39" spans="1:11" ht="15.75" thickBot="1" x14ac:dyDescent="0.3">
      <c r="A39" s="79"/>
      <c r="B39" s="209"/>
      <c r="C39" s="209"/>
      <c r="D39" s="209"/>
      <c r="E39" s="209"/>
      <c r="F39" s="209"/>
      <c r="G39" s="209"/>
      <c r="H39" s="209"/>
      <c r="I39" s="209"/>
      <c r="J39" s="80"/>
      <c r="K39" s="81"/>
    </row>
    <row r="40" spans="1:11" ht="15.75" thickTop="1" x14ac:dyDescent="0.25"/>
  </sheetData>
  <autoFilter ref="A6:N38">
    <filterColumn colId="1" showButton="0"/>
    <filterColumn colId="2" showButton="0"/>
    <filterColumn colId="3" showButton="0"/>
    <filterColumn colId="5" showButton="0"/>
    <filterColumn colId="7" showButton="0"/>
  </autoFilter>
  <mergeCells count="106">
    <mergeCell ref="B39:E39"/>
    <mergeCell ref="F39:G39"/>
    <mergeCell ref="H39:I39"/>
    <mergeCell ref="B37:E37"/>
    <mergeCell ref="F37:G37"/>
    <mergeCell ref="H37:I37"/>
    <mergeCell ref="B38:E38"/>
    <mergeCell ref="F38:G38"/>
    <mergeCell ref="H38:I38"/>
    <mergeCell ref="B35:E35"/>
    <mergeCell ref="F35:G35"/>
    <mergeCell ref="H35:I35"/>
    <mergeCell ref="B36:E36"/>
    <mergeCell ref="F36:G36"/>
    <mergeCell ref="H36:I36"/>
    <mergeCell ref="B33:E33"/>
    <mergeCell ref="F33:G33"/>
    <mergeCell ref="H33:I33"/>
    <mergeCell ref="B34:E34"/>
    <mergeCell ref="F34:G34"/>
    <mergeCell ref="H34:I34"/>
    <mergeCell ref="B31:E31"/>
    <mergeCell ref="F31:G31"/>
    <mergeCell ref="H31:I31"/>
    <mergeCell ref="B32:E32"/>
    <mergeCell ref="F32:G32"/>
    <mergeCell ref="H32:I32"/>
    <mergeCell ref="B29:E29"/>
    <mergeCell ref="F29:G29"/>
    <mergeCell ref="H29:I29"/>
    <mergeCell ref="B30:E30"/>
    <mergeCell ref="F30:G30"/>
    <mergeCell ref="H30:I30"/>
    <mergeCell ref="B27:E27"/>
    <mergeCell ref="F27:G27"/>
    <mergeCell ref="H27:I27"/>
    <mergeCell ref="B28:E28"/>
    <mergeCell ref="F28:G28"/>
    <mergeCell ref="H28:I28"/>
    <mergeCell ref="B25:E25"/>
    <mergeCell ref="F25:G25"/>
    <mergeCell ref="H25:I25"/>
    <mergeCell ref="B26:E26"/>
    <mergeCell ref="F26:G26"/>
    <mergeCell ref="H26:I26"/>
    <mergeCell ref="B23:E23"/>
    <mergeCell ref="F23:G23"/>
    <mergeCell ref="H23:I23"/>
    <mergeCell ref="B24:E24"/>
    <mergeCell ref="F24:G24"/>
    <mergeCell ref="H24:I24"/>
    <mergeCell ref="B21:E21"/>
    <mergeCell ref="F21:G21"/>
    <mergeCell ref="H21:I21"/>
    <mergeCell ref="B22:E22"/>
    <mergeCell ref="F22:G22"/>
    <mergeCell ref="H22:I22"/>
    <mergeCell ref="B19:E19"/>
    <mergeCell ref="F19:G19"/>
    <mergeCell ref="H19:I19"/>
    <mergeCell ref="B20:E20"/>
    <mergeCell ref="F20:G20"/>
    <mergeCell ref="H20:I20"/>
    <mergeCell ref="B17:E17"/>
    <mergeCell ref="F17:G17"/>
    <mergeCell ref="H17:I17"/>
    <mergeCell ref="B18:E18"/>
    <mergeCell ref="F18:G18"/>
    <mergeCell ref="H18:I18"/>
    <mergeCell ref="B15:E15"/>
    <mergeCell ref="F15:G15"/>
    <mergeCell ref="H15:I15"/>
    <mergeCell ref="B16:E16"/>
    <mergeCell ref="F16:G16"/>
    <mergeCell ref="H16:I16"/>
    <mergeCell ref="B13:E13"/>
    <mergeCell ref="F13:G13"/>
    <mergeCell ref="H13:I13"/>
    <mergeCell ref="B14:E14"/>
    <mergeCell ref="F14:G14"/>
    <mergeCell ref="H14:I14"/>
    <mergeCell ref="B11:E11"/>
    <mergeCell ref="F11:G11"/>
    <mergeCell ref="H11:I11"/>
    <mergeCell ref="B12:E12"/>
    <mergeCell ref="F12:G12"/>
    <mergeCell ref="H12:I12"/>
    <mergeCell ref="B9:E9"/>
    <mergeCell ref="F9:G9"/>
    <mergeCell ref="H9:I9"/>
    <mergeCell ref="B10:E10"/>
    <mergeCell ref="F10:G10"/>
    <mergeCell ref="H10:I10"/>
    <mergeCell ref="B7:E7"/>
    <mergeCell ref="F7:G7"/>
    <mergeCell ref="H7:I7"/>
    <mergeCell ref="B8:E8"/>
    <mergeCell ref="F8:G8"/>
    <mergeCell ref="H8:I8"/>
    <mergeCell ref="A1:C4"/>
    <mergeCell ref="D1:I1"/>
    <mergeCell ref="D2:I4"/>
    <mergeCell ref="A5:K5"/>
    <mergeCell ref="B6:E6"/>
    <mergeCell ref="F6:G6"/>
    <mergeCell ref="H6:I6"/>
  </mergeCells>
  <printOptions horizontalCentered="1"/>
  <pageMargins left="0.45" right="0.45" top="0.5" bottom="0.5" header="0.3" footer="0.3"/>
  <pageSetup paperSize="9" scale="80" orientation="portrait" r:id="rId1"/>
  <colBreaks count="1" manualBreakCount="1">
    <brk id="1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topLeftCell="A25" workbookViewId="0">
      <selection activeCell="M13" sqref="M13"/>
    </sheetView>
  </sheetViews>
  <sheetFormatPr defaultColWidth="9.140625" defaultRowHeight="15" x14ac:dyDescent="0.25"/>
  <cols>
    <col min="1" max="1" width="9.140625" style="31"/>
    <col min="2" max="2" width="52.5703125" style="60" customWidth="1"/>
    <col min="3" max="3" width="15.140625" style="31" customWidth="1"/>
    <col min="4" max="4" width="9.140625" style="31"/>
    <col min="5" max="5" width="20" style="31" bestFit="1" customWidth="1"/>
    <col min="6" max="6" width="9.140625" style="31"/>
    <col min="7" max="7" width="15.42578125" style="31" customWidth="1"/>
    <col min="8" max="16384" width="9.140625" style="31"/>
  </cols>
  <sheetData>
    <row r="1" spans="1:6" ht="37.5" customHeight="1" x14ac:dyDescent="0.35">
      <c r="B1" s="211" t="s">
        <v>648</v>
      </c>
      <c r="C1" s="211"/>
      <c r="D1" s="211"/>
      <c r="E1" s="212" t="s">
        <v>649</v>
      </c>
      <c r="F1" s="212"/>
    </row>
    <row r="2" spans="1:6" ht="15.75" customHeight="1" thickBot="1" x14ac:dyDescent="0.3">
      <c r="A2" s="86"/>
      <c r="B2" s="86"/>
      <c r="C2" s="86"/>
      <c r="D2" s="86"/>
      <c r="E2" s="213" t="s">
        <v>650</v>
      </c>
      <c r="F2" s="213"/>
    </row>
    <row r="3" spans="1:6" ht="8.4499999999999993" customHeight="1" thickTop="1" x14ac:dyDescent="0.25"/>
    <row r="4" spans="1:6" ht="15.75" x14ac:dyDescent="0.25">
      <c r="A4" s="87" t="s">
        <v>651</v>
      </c>
    </row>
    <row r="5" spans="1:6" ht="15.75" x14ac:dyDescent="0.25">
      <c r="A5" s="88" t="s">
        <v>652</v>
      </c>
    </row>
    <row r="6" spans="1:6" ht="7.15" customHeight="1" thickBot="1" x14ac:dyDescent="0.3"/>
    <row r="7" spans="1:6" ht="47.25" x14ac:dyDescent="0.25">
      <c r="A7" s="89" t="s">
        <v>5</v>
      </c>
      <c r="B7" s="90" t="s">
        <v>6</v>
      </c>
      <c r="C7" s="90" t="s">
        <v>7</v>
      </c>
      <c r="D7" s="90" t="s">
        <v>8</v>
      </c>
      <c r="E7" s="90" t="s">
        <v>9</v>
      </c>
      <c r="F7" s="91" t="s">
        <v>10</v>
      </c>
    </row>
    <row r="8" spans="1:6" ht="15.75" x14ac:dyDescent="0.25">
      <c r="A8" s="92">
        <v>1</v>
      </c>
      <c r="B8" s="93" t="s">
        <v>653</v>
      </c>
      <c r="C8" s="92" t="s">
        <v>654</v>
      </c>
      <c r="D8" s="92" t="s">
        <v>501</v>
      </c>
      <c r="E8" s="94" t="s">
        <v>655</v>
      </c>
      <c r="F8" s="95" t="s">
        <v>417</v>
      </c>
    </row>
    <row r="9" spans="1:6" ht="15.75" x14ac:dyDescent="0.25">
      <c r="A9" s="92">
        <v>2</v>
      </c>
      <c r="B9" s="93" t="s">
        <v>656</v>
      </c>
      <c r="C9" s="92" t="s">
        <v>657</v>
      </c>
      <c r="D9" s="92" t="s">
        <v>501</v>
      </c>
      <c r="E9" s="94">
        <v>44107</v>
      </c>
      <c r="F9" s="95" t="s">
        <v>417</v>
      </c>
    </row>
    <row r="10" spans="1:6" ht="15.75" x14ac:dyDescent="0.25">
      <c r="A10" s="92">
        <v>3</v>
      </c>
      <c r="B10" s="93" t="s">
        <v>611</v>
      </c>
      <c r="C10" s="92" t="s">
        <v>658</v>
      </c>
      <c r="D10" s="92" t="s">
        <v>501</v>
      </c>
      <c r="E10" s="94">
        <v>44298</v>
      </c>
      <c r="F10" s="95" t="s">
        <v>659</v>
      </c>
    </row>
    <row r="11" spans="1:6" ht="15.75" x14ac:dyDescent="0.25">
      <c r="A11" s="92">
        <v>4</v>
      </c>
      <c r="B11" s="93" t="s">
        <v>660</v>
      </c>
      <c r="C11" s="92" t="s">
        <v>661</v>
      </c>
      <c r="D11" s="92" t="s">
        <v>501</v>
      </c>
      <c r="E11" s="94">
        <v>44270</v>
      </c>
      <c r="F11" s="95" t="s">
        <v>230</v>
      </c>
    </row>
    <row r="12" spans="1:6" ht="15.75" x14ac:dyDescent="0.25">
      <c r="A12" s="92">
        <v>5</v>
      </c>
      <c r="B12" s="93" t="s">
        <v>662</v>
      </c>
      <c r="C12" s="92" t="s">
        <v>663</v>
      </c>
      <c r="D12" s="92" t="s">
        <v>501</v>
      </c>
      <c r="E12" s="94">
        <v>44270</v>
      </c>
      <c r="F12" s="95" t="s">
        <v>664</v>
      </c>
    </row>
    <row r="13" spans="1:6" ht="15.75" x14ac:dyDescent="0.25">
      <c r="A13" s="92">
        <v>6</v>
      </c>
      <c r="B13" s="93" t="s">
        <v>665</v>
      </c>
      <c r="C13" s="92" t="s">
        <v>666</v>
      </c>
      <c r="D13" s="92" t="s">
        <v>501</v>
      </c>
      <c r="E13" s="94">
        <v>44270</v>
      </c>
      <c r="F13" s="95" t="s">
        <v>226</v>
      </c>
    </row>
    <row r="14" spans="1:6" ht="15.75" x14ac:dyDescent="0.25">
      <c r="A14" s="92">
        <v>7</v>
      </c>
      <c r="B14" s="93" t="s">
        <v>537</v>
      </c>
      <c r="C14" s="92" t="s">
        <v>667</v>
      </c>
      <c r="D14" s="92" t="s">
        <v>501</v>
      </c>
      <c r="E14" s="94">
        <v>44270</v>
      </c>
      <c r="F14" s="95" t="s">
        <v>230</v>
      </c>
    </row>
    <row r="15" spans="1:6" ht="15.75" x14ac:dyDescent="0.25">
      <c r="A15" s="92">
        <v>8</v>
      </c>
      <c r="B15" s="93" t="s">
        <v>668</v>
      </c>
      <c r="C15" s="92" t="s">
        <v>669</v>
      </c>
      <c r="D15" s="92" t="s">
        <v>501</v>
      </c>
      <c r="E15" s="94">
        <v>44270</v>
      </c>
      <c r="F15" s="95" t="s">
        <v>226</v>
      </c>
    </row>
    <row r="16" spans="1:6" ht="15.75" x14ac:dyDescent="0.25">
      <c r="A16" s="92">
        <v>9</v>
      </c>
      <c r="B16" s="93" t="s">
        <v>670</v>
      </c>
      <c r="C16" s="92" t="s">
        <v>671</v>
      </c>
      <c r="D16" s="92" t="s">
        <v>501</v>
      </c>
      <c r="E16" s="94">
        <v>44270</v>
      </c>
      <c r="F16" s="95" t="s">
        <v>672</v>
      </c>
    </row>
    <row r="17" spans="1:9" ht="15.75" x14ac:dyDescent="0.25">
      <c r="A17" s="92">
        <v>10</v>
      </c>
      <c r="B17" s="93" t="s">
        <v>673</v>
      </c>
      <c r="C17" s="92" t="s">
        <v>674</v>
      </c>
      <c r="D17" s="92" t="s">
        <v>501</v>
      </c>
      <c r="E17" s="94">
        <v>44270</v>
      </c>
      <c r="F17" s="95" t="s">
        <v>230</v>
      </c>
    </row>
    <row r="18" spans="1:9" ht="15.75" x14ac:dyDescent="0.25">
      <c r="A18" s="92">
        <v>11</v>
      </c>
      <c r="B18" s="93" t="s">
        <v>519</v>
      </c>
      <c r="C18" s="92" t="s">
        <v>675</v>
      </c>
      <c r="D18" s="92" t="s">
        <v>501</v>
      </c>
      <c r="E18" s="94">
        <v>44270</v>
      </c>
      <c r="F18" s="95" t="s">
        <v>230</v>
      </c>
      <c r="I18" s="45"/>
    </row>
    <row r="19" spans="1:9" ht="15.75" x14ac:dyDescent="0.25">
      <c r="A19" s="92">
        <v>12</v>
      </c>
      <c r="B19" s="93" t="s">
        <v>676</v>
      </c>
      <c r="C19" s="92" t="s">
        <v>677</v>
      </c>
      <c r="D19" s="92" t="s">
        <v>501</v>
      </c>
      <c r="E19" s="94">
        <v>44270</v>
      </c>
      <c r="F19" s="95" t="s">
        <v>230</v>
      </c>
    </row>
    <row r="20" spans="1:9" ht="15.75" x14ac:dyDescent="0.25">
      <c r="A20" s="92">
        <v>13</v>
      </c>
      <c r="B20" s="93" t="s">
        <v>678</v>
      </c>
      <c r="C20" s="92" t="s">
        <v>679</v>
      </c>
      <c r="D20" s="92" t="s">
        <v>501</v>
      </c>
      <c r="E20" s="94">
        <v>44270</v>
      </c>
      <c r="F20" s="95" t="s">
        <v>417</v>
      </c>
    </row>
    <row r="21" spans="1:9" ht="15.75" x14ac:dyDescent="0.25">
      <c r="A21" s="92">
        <v>14</v>
      </c>
      <c r="B21" s="93" t="s">
        <v>680</v>
      </c>
      <c r="C21" s="92" t="s">
        <v>681</v>
      </c>
      <c r="D21" s="92" t="s">
        <v>501</v>
      </c>
      <c r="E21" s="94">
        <v>44298</v>
      </c>
      <c r="F21" s="95" t="s">
        <v>417</v>
      </c>
    </row>
    <row r="22" spans="1:9" ht="15.75" x14ac:dyDescent="0.25">
      <c r="A22" s="92">
        <v>15</v>
      </c>
      <c r="B22" s="93" t="s">
        <v>682</v>
      </c>
      <c r="C22" s="92" t="s">
        <v>683</v>
      </c>
      <c r="D22" s="92" t="s">
        <v>501</v>
      </c>
      <c r="E22" s="94">
        <v>44270</v>
      </c>
      <c r="F22" s="95" t="s">
        <v>230</v>
      </c>
    </row>
    <row r="23" spans="1:9" ht="15.75" x14ac:dyDescent="0.25">
      <c r="A23" s="92">
        <v>16</v>
      </c>
      <c r="B23" s="96" t="s">
        <v>337</v>
      </c>
      <c r="C23" s="92" t="s">
        <v>684</v>
      </c>
      <c r="D23" s="92" t="s">
        <v>501</v>
      </c>
      <c r="E23" s="94">
        <v>44270</v>
      </c>
      <c r="F23" s="95" t="s">
        <v>230</v>
      </c>
    </row>
    <row r="24" spans="1:9" ht="15.75" x14ac:dyDescent="0.25">
      <c r="A24" s="92">
        <v>17</v>
      </c>
      <c r="B24" s="96" t="s">
        <v>685</v>
      </c>
      <c r="C24" s="92" t="s">
        <v>686</v>
      </c>
      <c r="D24" s="92" t="s">
        <v>501</v>
      </c>
      <c r="E24" s="94">
        <v>43739</v>
      </c>
      <c r="F24" s="97" t="s">
        <v>234</v>
      </c>
    </row>
    <row r="25" spans="1:9" ht="15.75" x14ac:dyDescent="0.25">
      <c r="A25" s="92">
        <v>18</v>
      </c>
      <c r="B25" s="96" t="s">
        <v>687</v>
      </c>
      <c r="C25" s="92" t="s">
        <v>688</v>
      </c>
      <c r="D25" s="92" t="s">
        <v>501</v>
      </c>
      <c r="E25" s="94">
        <v>43739</v>
      </c>
      <c r="F25" s="97" t="s">
        <v>234</v>
      </c>
    </row>
    <row r="26" spans="1:9" ht="15.75" x14ac:dyDescent="0.25">
      <c r="A26" s="92">
        <v>19</v>
      </c>
      <c r="B26" s="96" t="s">
        <v>689</v>
      </c>
      <c r="C26" s="92" t="s">
        <v>690</v>
      </c>
      <c r="D26" s="92" t="s">
        <v>501</v>
      </c>
      <c r="E26" s="94">
        <v>43739</v>
      </c>
      <c r="F26" s="97" t="s">
        <v>234</v>
      </c>
    </row>
    <row r="27" spans="1:9" ht="15.75" x14ac:dyDescent="0.25">
      <c r="A27" s="92">
        <v>20</v>
      </c>
      <c r="B27" s="96" t="s">
        <v>691</v>
      </c>
      <c r="C27" s="92" t="s">
        <v>692</v>
      </c>
      <c r="D27" s="92" t="s">
        <v>501</v>
      </c>
      <c r="E27" s="94">
        <v>43739</v>
      </c>
      <c r="F27" s="97" t="s">
        <v>234</v>
      </c>
    </row>
    <row r="28" spans="1:9" ht="15.75" x14ac:dyDescent="0.25">
      <c r="A28" s="92">
        <v>21</v>
      </c>
      <c r="B28" s="96" t="s">
        <v>693</v>
      </c>
      <c r="C28" s="92" t="s">
        <v>694</v>
      </c>
      <c r="D28" s="92" t="s">
        <v>501</v>
      </c>
      <c r="E28" s="94">
        <v>43739</v>
      </c>
      <c r="F28" s="97" t="s">
        <v>234</v>
      </c>
    </row>
    <row r="29" spans="1:9" ht="30" x14ac:dyDescent="0.25">
      <c r="A29" s="92">
        <v>22</v>
      </c>
      <c r="B29" s="98" t="s">
        <v>695</v>
      </c>
      <c r="C29" s="92" t="s">
        <v>696</v>
      </c>
      <c r="D29" s="92" t="s">
        <v>501</v>
      </c>
      <c r="E29" s="94">
        <v>43739</v>
      </c>
      <c r="F29" s="97" t="s">
        <v>234</v>
      </c>
    </row>
    <row r="30" spans="1:9" ht="15.75" x14ac:dyDescent="0.25">
      <c r="A30" s="92">
        <v>23</v>
      </c>
      <c r="B30" s="96" t="s">
        <v>697</v>
      </c>
      <c r="C30" s="92" t="s">
        <v>698</v>
      </c>
      <c r="D30" s="92" t="s">
        <v>501</v>
      </c>
      <c r="E30" s="94">
        <v>43739</v>
      </c>
      <c r="F30" s="97" t="s">
        <v>234</v>
      </c>
    </row>
    <row r="31" spans="1:9" ht="15.75" x14ac:dyDescent="0.25">
      <c r="A31" s="92">
        <v>24</v>
      </c>
      <c r="B31" s="96" t="s">
        <v>699</v>
      </c>
      <c r="C31" s="92" t="s">
        <v>700</v>
      </c>
      <c r="D31" s="92" t="s">
        <v>501</v>
      </c>
      <c r="E31" s="94">
        <v>43739</v>
      </c>
      <c r="F31" s="97" t="s">
        <v>234</v>
      </c>
    </row>
    <row r="32" spans="1:9" ht="15.75" x14ac:dyDescent="0.25">
      <c r="A32" s="92">
        <v>25</v>
      </c>
      <c r="B32" s="96" t="s">
        <v>701</v>
      </c>
      <c r="C32" s="92" t="s">
        <v>702</v>
      </c>
      <c r="D32" s="92" t="s">
        <v>501</v>
      </c>
      <c r="E32" s="94">
        <v>43739</v>
      </c>
      <c r="F32" s="97" t="s">
        <v>234</v>
      </c>
    </row>
    <row r="33" spans="1:6" ht="15.75" x14ac:dyDescent="0.25">
      <c r="A33" s="99">
        <v>26</v>
      </c>
      <c r="B33" s="96" t="s">
        <v>703</v>
      </c>
      <c r="C33" s="99" t="s">
        <v>704</v>
      </c>
      <c r="D33" s="92" t="s">
        <v>501</v>
      </c>
      <c r="E33" s="100">
        <v>44140</v>
      </c>
      <c r="F33" s="99">
        <v>0</v>
      </c>
    </row>
    <row r="34" spans="1:6" ht="15.75" x14ac:dyDescent="0.25">
      <c r="A34" s="99">
        <v>27</v>
      </c>
      <c r="B34" s="96" t="s">
        <v>705</v>
      </c>
      <c r="C34" s="99" t="s">
        <v>706</v>
      </c>
      <c r="D34" s="92" t="s">
        <v>501</v>
      </c>
      <c r="E34" s="100">
        <v>44140</v>
      </c>
      <c r="F34" s="99">
        <v>0</v>
      </c>
    </row>
    <row r="35" spans="1:6" ht="15.75" x14ac:dyDescent="0.25">
      <c r="A35" s="99">
        <v>28</v>
      </c>
      <c r="B35" s="96" t="s">
        <v>707</v>
      </c>
      <c r="C35" s="99" t="s">
        <v>708</v>
      </c>
      <c r="D35" s="92" t="s">
        <v>501</v>
      </c>
      <c r="E35" s="100">
        <v>44140</v>
      </c>
      <c r="F35" s="99">
        <v>0</v>
      </c>
    </row>
    <row r="36" spans="1:6" ht="15.75" x14ac:dyDescent="0.25">
      <c r="A36" s="99">
        <v>29</v>
      </c>
      <c r="B36" s="96" t="s">
        <v>709</v>
      </c>
      <c r="C36" s="99" t="s">
        <v>710</v>
      </c>
      <c r="D36" s="92" t="s">
        <v>501</v>
      </c>
      <c r="E36" s="100">
        <v>44140</v>
      </c>
      <c r="F36" s="99">
        <v>0</v>
      </c>
    </row>
    <row r="37" spans="1:6" ht="15.75" x14ac:dyDescent="0.25">
      <c r="A37" s="99">
        <v>30</v>
      </c>
      <c r="B37" s="96" t="s">
        <v>711</v>
      </c>
      <c r="C37" s="99" t="s">
        <v>712</v>
      </c>
      <c r="D37" s="92" t="s">
        <v>501</v>
      </c>
      <c r="E37" s="100">
        <v>44140</v>
      </c>
      <c r="F37" s="99">
        <v>0</v>
      </c>
    </row>
    <row r="38" spans="1:6" ht="15.75" x14ac:dyDescent="0.25">
      <c r="A38" s="99">
        <v>31</v>
      </c>
      <c r="B38" s="96" t="s">
        <v>713</v>
      </c>
      <c r="C38" s="99" t="s">
        <v>714</v>
      </c>
      <c r="D38" s="92" t="s">
        <v>501</v>
      </c>
      <c r="E38" s="100">
        <v>44140</v>
      </c>
      <c r="F38" s="99">
        <v>0</v>
      </c>
    </row>
    <row r="39" spans="1:6" ht="15.75" x14ac:dyDescent="0.25">
      <c r="A39" s="99">
        <v>32</v>
      </c>
      <c r="B39" s="96" t="s">
        <v>715</v>
      </c>
      <c r="C39" s="99" t="s">
        <v>716</v>
      </c>
      <c r="D39" s="92" t="s">
        <v>501</v>
      </c>
      <c r="E39" s="101">
        <v>44301</v>
      </c>
      <c r="F39" s="99">
        <v>0</v>
      </c>
    </row>
  </sheetData>
  <autoFilter ref="A7:F32"/>
  <mergeCells count="3">
    <mergeCell ref="B1:D1"/>
    <mergeCell ref="E1:F1"/>
    <mergeCell ref="E2:F2"/>
  </mergeCells>
  <printOptions horizontalCentered="1"/>
  <pageMargins left="0.66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view="pageBreakPreview" topLeftCell="A28" zoomScaleNormal="100" zoomScaleSheetLayoutView="100" workbookViewId="0">
      <selection activeCell="M13" sqref="M13"/>
    </sheetView>
  </sheetViews>
  <sheetFormatPr defaultColWidth="9.140625" defaultRowHeight="15" x14ac:dyDescent="0.25"/>
  <cols>
    <col min="1" max="1" width="5" style="63" customWidth="1"/>
    <col min="2" max="2" width="5.5703125" style="63" customWidth="1"/>
    <col min="3" max="3" width="10.28515625" style="63" customWidth="1"/>
    <col min="4" max="4" width="16" style="63" customWidth="1"/>
    <col min="5" max="9" width="9.140625" style="63"/>
    <col min="10" max="10" width="17.42578125" style="63" customWidth="1"/>
    <col min="11" max="11" width="16.42578125" style="63" customWidth="1"/>
    <col min="12" max="16384" width="9.140625" style="63"/>
  </cols>
  <sheetData>
    <row r="1" spans="1:14" s="64" customFormat="1" ht="31.15" customHeight="1" thickTop="1" x14ac:dyDescent="0.25">
      <c r="A1" s="191"/>
      <c r="B1" s="192"/>
      <c r="C1" s="192"/>
      <c r="D1" s="197" t="s">
        <v>384</v>
      </c>
      <c r="E1" s="197"/>
      <c r="F1" s="197"/>
      <c r="G1" s="197"/>
      <c r="H1" s="197"/>
      <c r="I1" s="197"/>
      <c r="J1" s="61" t="s">
        <v>385</v>
      </c>
      <c r="K1" s="62" t="s">
        <v>646</v>
      </c>
      <c r="L1" s="63"/>
      <c r="M1" s="63"/>
      <c r="N1" s="63"/>
    </row>
    <row r="2" spans="1:14" s="64" customFormat="1" ht="31.15" customHeight="1" x14ac:dyDescent="0.25">
      <c r="A2" s="193"/>
      <c r="B2" s="194"/>
      <c r="C2" s="194"/>
      <c r="D2" s="198" t="s">
        <v>645</v>
      </c>
      <c r="E2" s="199"/>
      <c r="F2" s="199"/>
      <c r="G2" s="199"/>
      <c r="H2" s="199"/>
      <c r="I2" s="199"/>
      <c r="J2" s="65" t="s">
        <v>388</v>
      </c>
      <c r="K2" s="85">
        <v>44138</v>
      </c>
      <c r="L2" s="63"/>
      <c r="M2" s="63"/>
      <c r="N2" s="63"/>
    </row>
    <row r="3" spans="1:14" s="64" customFormat="1" ht="31.15" customHeight="1" x14ac:dyDescent="0.25">
      <c r="A3" s="193"/>
      <c r="B3" s="194"/>
      <c r="C3" s="194"/>
      <c r="D3" s="200"/>
      <c r="E3" s="200"/>
      <c r="F3" s="200"/>
      <c r="G3" s="200"/>
      <c r="H3" s="200"/>
      <c r="I3" s="200"/>
      <c r="J3" s="65" t="s">
        <v>389</v>
      </c>
      <c r="K3" s="67" t="s">
        <v>647</v>
      </c>
      <c r="L3" s="63"/>
      <c r="M3" s="63"/>
      <c r="N3" s="63"/>
    </row>
    <row r="4" spans="1:14" s="64" customFormat="1" ht="31.15" customHeight="1" thickBot="1" x14ac:dyDescent="0.3">
      <c r="A4" s="195"/>
      <c r="B4" s="196"/>
      <c r="C4" s="196"/>
      <c r="D4" s="201"/>
      <c r="E4" s="201"/>
      <c r="F4" s="201"/>
      <c r="G4" s="201"/>
      <c r="H4" s="201"/>
      <c r="I4" s="201"/>
      <c r="J4" s="68" t="s">
        <v>390</v>
      </c>
      <c r="K4" s="69"/>
      <c r="L4" s="63"/>
      <c r="M4" s="63"/>
      <c r="N4" s="63"/>
    </row>
    <row r="5" spans="1:14" ht="10.9" customHeight="1" thickTop="1" x14ac:dyDescent="0.25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4"/>
    </row>
    <row r="6" spans="1:14" s="71" customFormat="1" ht="59.25" x14ac:dyDescent="0.25">
      <c r="A6" s="82" t="s">
        <v>391</v>
      </c>
      <c r="B6" s="205" t="s">
        <v>392</v>
      </c>
      <c r="C6" s="206"/>
      <c r="D6" s="206"/>
      <c r="E6" s="206"/>
      <c r="F6" s="205" t="s">
        <v>393</v>
      </c>
      <c r="G6" s="206"/>
      <c r="H6" s="205" t="s">
        <v>394</v>
      </c>
      <c r="I6" s="206"/>
      <c r="J6" s="82" t="s">
        <v>395</v>
      </c>
      <c r="K6" s="82" t="s">
        <v>396</v>
      </c>
    </row>
    <row r="7" spans="1:14" ht="40.15" customHeight="1" x14ac:dyDescent="0.25">
      <c r="A7" s="72">
        <v>1</v>
      </c>
      <c r="B7" s="183" t="s">
        <v>478</v>
      </c>
      <c r="C7" s="184"/>
      <c r="D7" s="184"/>
      <c r="E7" s="185"/>
      <c r="F7" s="186" t="s">
        <v>606</v>
      </c>
      <c r="G7" s="186"/>
      <c r="H7" s="186" t="s">
        <v>607</v>
      </c>
      <c r="I7" s="186"/>
      <c r="J7" s="84">
        <v>43952</v>
      </c>
      <c r="K7" s="74">
        <v>4</v>
      </c>
    </row>
    <row r="8" spans="1:14" ht="40.15" customHeight="1" x14ac:dyDescent="0.25">
      <c r="A8" s="75">
        <v>2</v>
      </c>
      <c r="B8" s="187" t="s">
        <v>608</v>
      </c>
      <c r="C8" s="188"/>
      <c r="D8" s="188"/>
      <c r="E8" s="189"/>
      <c r="F8" s="190" t="s">
        <v>609</v>
      </c>
      <c r="G8" s="190"/>
      <c r="H8" s="190" t="s">
        <v>610</v>
      </c>
      <c r="I8" s="190"/>
      <c r="J8" s="83">
        <v>44562</v>
      </c>
      <c r="K8" s="74">
        <v>5</v>
      </c>
    </row>
    <row r="9" spans="1:14" ht="40.15" customHeight="1" x14ac:dyDescent="0.25">
      <c r="A9" s="72">
        <v>3</v>
      </c>
      <c r="B9" s="187" t="s">
        <v>611</v>
      </c>
      <c r="C9" s="188"/>
      <c r="D9" s="188"/>
      <c r="E9" s="189"/>
      <c r="F9" s="186" t="s">
        <v>612</v>
      </c>
      <c r="G9" s="186"/>
      <c r="H9" s="186" t="s">
        <v>610</v>
      </c>
      <c r="I9" s="186"/>
      <c r="J9" s="84" t="s">
        <v>613</v>
      </c>
      <c r="K9" s="74">
        <v>6</v>
      </c>
    </row>
    <row r="10" spans="1:14" ht="40.15" customHeight="1" x14ac:dyDescent="0.25">
      <c r="A10" s="75">
        <v>5</v>
      </c>
      <c r="B10" s="187" t="s">
        <v>614</v>
      </c>
      <c r="C10" s="188"/>
      <c r="D10" s="188"/>
      <c r="E10" s="189"/>
      <c r="F10" s="207" t="s">
        <v>615</v>
      </c>
      <c r="G10" s="208"/>
      <c r="H10" s="186" t="s">
        <v>610</v>
      </c>
      <c r="I10" s="186"/>
      <c r="J10" s="84" t="s">
        <v>613</v>
      </c>
      <c r="K10" s="74">
        <v>3</v>
      </c>
    </row>
    <row r="11" spans="1:14" ht="40.15" customHeight="1" x14ac:dyDescent="0.25">
      <c r="A11" s="72">
        <v>5</v>
      </c>
      <c r="B11" s="187" t="s">
        <v>616</v>
      </c>
      <c r="C11" s="188"/>
      <c r="D11" s="188"/>
      <c r="E11" s="189"/>
      <c r="F11" s="207" t="s">
        <v>513</v>
      </c>
      <c r="G11" s="208"/>
      <c r="H11" s="186" t="s">
        <v>610</v>
      </c>
      <c r="I11" s="186"/>
      <c r="J11" s="84">
        <v>42739</v>
      </c>
      <c r="K11" s="74">
        <v>0</v>
      </c>
    </row>
    <row r="12" spans="1:14" ht="40.15" customHeight="1" x14ac:dyDescent="0.25">
      <c r="A12" s="75">
        <v>6</v>
      </c>
      <c r="B12" s="187" t="s">
        <v>598</v>
      </c>
      <c r="C12" s="188"/>
      <c r="D12" s="188"/>
      <c r="E12" s="189"/>
      <c r="F12" s="207" t="s">
        <v>617</v>
      </c>
      <c r="G12" s="208"/>
      <c r="H12" s="186" t="s">
        <v>610</v>
      </c>
      <c r="I12" s="186"/>
      <c r="J12" s="84">
        <v>42736</v>
      </c>
      <c r="K12" s="77">
        <v>0</v>
      </c>
    </row>
    <row r="13" spans="1:14" ht="40.15" customHeight="1" x14ac:dyDescent="0.25">
      <c r="A13" s="72">
        <v>7</v>
      </c>
      <c r="B13" s="187" t="s">
        <v>618</v>
      </c>
      <c r="C13" s="188"/>
      <c r="D13" s="188"/>
      <c r="E13" s="189"/>
      <c r="F13" s="207" t="s">
        <v>619</v>
      </c>
      <c r="G13" s="208"/>
      <c r="H13" s="186" t="s">
        <v>610</v>
      </c>
      <c r="I13" s="186"/>
      <c r="J13" s="84">
        <v>43952</v>
      </c>
      <c r="K13" s="77">
        <v>0</v>
      </c>
    </row>
    <row r="14" spans="1:14" ht="40.15" customHeight="1" x14ac:dyDescent="0.25">
      <c r="A14" s="75">
        <v>8</v>
      </c>
      <c r="B14" s="187" t="s">
        <v>148</v>
      </c>
      <c r="C14" s="188"/>
      <c r="D14" s="188"/>
      <c r="E14" s="189"/>
      <c r="F14" s="186" t="s">
        <v>620</v>
      </c>
      <c r="G14" s="186"/>
      <c r="H14" s="186" t="s">
        <v>610</v>
      </c>
      <c r="I14" s="186"/>
      <c r="J14" s="84">
        <v>42739</v>
      </c>
      <c r="K14" s="77">
        <v>0</v>
      </c>
    </row>
    <row r="15" spans="1:14" ht="64.150000000000006" customHeight="1" x14ac:dyDescent="0.25">
      <c r="A15" s="72">
        <v>9</v>
      </c>
      <c r="B15" s="187" t="s">
        <v>621</v>
      </c>
      <c r="C15" s="188"/>
      <c r="D15" s="188"/>
      <c r="E15" s="189"/>
      <c r="F15" s="207" t="s">
        <v>622</v>
      </c>
      <c r="G15" s="208"/>
      <c r="H15" s="186" t="s">
        <v>610</v>
      </c>
      <c r="I15" s="186"/>
      <c r="J15" s="84">
        <v>42739</v>
      </c>
      <c r="K15" s="77">
        <v>0</v>
      </c>
    </row>
    <row r="16" spans="1:14" ht="40.15" customHeight="1" x14ac:dyDescent="0.25">
      <c r="A16" s="75">
        <v>10</v>
      </c>
      <c r="B16" s="187" t="s">
        <v>623</v>
      </c>
      <c r="C16" s="188"/>
      <c r="D16" s="188"/>
      <c r="E16" s="189"/>
      <c r="F16" s="186" t="s">
        <v>624</v>
      </c>
      <c r="G16" s="186"/>
      <c r="H16" s="186" t="s">
        <v>610</v>
      </c>
      <c r="I16" s="186"/>
      <c r="J16" s="84">
        <v>43832</v>
      </c>
      <c r="K16" s="77">
        <v>3</v>
      </c>
    </row>
    <row r="17" spans="1:11" ht="40.15" customHeight="1" x14ac:dyDescent="0.25">
      <c r="A17" s="72">
        <v>11</v>
      </c>
      <c r="B17" s="187" t="s">
        <v>146</v>
      </c>
      <c r="C17" s="188"/>
      <c r="D17" s="188"/>
      <c r="E17" s="189"/>
      <c r="F17" s="186" t="s">
        <v>625</v>
      </c>
      <c r="G17" s="186"/>
      <c r="H17" s="186" t="s">
        <v>610</v>
      </c>
      <c r="I17" s="186"/>
      <c r="J17" s="84">
        <v>43952</v>
      </c>
      <c r="K17" s="77">
        <v>2</v>
      </c>
    </row>
    <row r="18" spans="1:11" ht="40.15" customHeight="1" x14ac:dyDescent="0.25">
      <c r="A18" s="75">
        <v>12</v>
      </c>
      <c r="B18" s="187" t="s">
        <v>626</v>
      </c>
      <c r="C18" s="188"/>
      <c r="D18" s="188"/>
      <c r="E18" s="189"/>
      <c r="F18" s="186" t="s">
        <v>627</v>
      </c>
      <c r="G18" s="186"/>
      <c r="H18" s="186" t="s">
        <v>610</v>
      </c>
      <c r="I18" s="186"/>
      <c r="J18" s="84">
        <v>43862</v>
      </c>
      <c r="K18" s="77">
        <v>4</v>
      </c>
    </row>
    <row r="19" spans="1:11" ht="40.15" customHeight="1" x14ac:dyDescent="0.25">
      <c r="A19" s="72">
        <v>13</v>
      </c>
      <c r="B19" s="187" t="s">
        <v>628</v>
      </c>
      <c r="C19" s="188"/>
      <c r="D19" s="188"/>
      <c r="E19" s="189"/>
      <c r="F19" s="186" t="s">
        <v>629</v>
      </c>
      <c r="G19" s="186"/>
      <c r="H19" s="186" t="s">
        <v>610</v>
      </c>
      <c r="I19" s="186"/>
      <c r="J19" s="84">
        <v>44228</v>
      </c>
      <c r="K19" s="77">
        <v>5</v>
      </c>
    </row>
    <row r="20" spans="1:11" ht="40.15" customHeight="1" x14ac:dyDescent="0.25">
      <c r="A20" s="75">
        <v>14</v>
      </c>
      <c r="B20" s="187" t="s">
        <v>630</v>
      </c>
      <c r="C20" s="188"/>
      <c r="D20" s="188"/>
      <c r="E20" s="189"/>
      <c r="F20" s="186" t="s">
        <v>631</v>
      </c>
      <c r="G20" s="186"/>
      <c r="H20" s="186" t="s">
        <v>610</v>
      </c>
      <c r="I20" s="186"/>
      <c r="J20" s="84">
        <v>44593</v>
      </c>
      <c r="K20" s="77">
        <v>6</v>
      </c>
    </row>
    <row r="21" spans="1:11" ht="40.15" customHeight="1" x14ac:dyDescent="0.25">
      <c r="A21" s="72">
        <v>15</v>
      </c>
      <c r="B21" s="187" t="s">
        <v>146</v>
      </c>
      <c r="C21" s="188"/>
      <c r="D21" s="188"/>
      <c r="E21" s="189"/>
      <c r="F21" s="186" t="s">
        <v>632</v>
      </c>
      <c r="G21" s="186"/>
      <c r="H21" s="186" t="s">
        <v>610</v>
      </c>
      <c r="I21" s="186"/>
      <c r="J21" s="84">
        <v>43831</v>
      </c>
      <c r="K21" s="77">
        <v>2</v>
      </c>
    </row>
    <row r="22" spans="1:11" ht="40.15" customHeight="1" x14ac:dyDescent="0.25">
      <c r="A22" s="75">
        <v>16</v>
      </c>
      <c r="B22" s="187" t="s">
        <v>633</v>
      </c>
      <c r="C22" s="188"/>
      <c r="D22" s="188"/>
      <c r="E22" s="189"/>
      <c r="F22" s="186" t="s">
        <v>634</v>
      </c>
      <c r="G22" s="186"/>
      <c r="H22" s="186" t="s">
        <v>610</v>
      </c>
      <c r="I22" s="186"/>
      <c r="J22" s="84">
        <v>43952</v>
      </c>
      <c r="K22" s="77">
        <v>2</v>
      </c>
    </row>
    <row r="23" spans="1:11" ht="40.15" customHeight="1" x14ac:dyDescent="0.25">
      <c r="A23" s="72">
        <v>17</v>
      </c>
      <c r="B23" s="187" t="s">
        <v>635</v>
      </c>
      <c r="C23" s="188"/>
      <c r="D23" s="188"/>
      <c r="E23" s="189"/>
      <c r="F23" s="186" t="s">
        <v>637</v>
      </c>
      <c r="G23" s="186"/>
      <c r="H23" s="186" t="s">
        <v>610</v>
      </c>
      <c r="I23" s="186"/>
      <c r="J23" s="84">
        <v>42736</v>
      </c>
      <c r="K23" s="77">
        <v>0</v>
      </c>
    </row>
    <row r="24" spans="1:11" ht="40.15" customHeight="1" x14ac:dyDescent="0.25">
      <c r="A24" s="75">
        <v>0</v>
      </c>
      <c r="B24" s="187" t="s">
        <v>636</v>
      </c>
      <c r="C24" s="188"/>
      <c r="D24" s="188"/>
      <c r="E24" s="189"/>
      <c r="F24" s="186">
        <v>0</v>
      </c>
      <c r="G24" s="186"/>
      <c r="H24" s="186">
        <v>0</v>
      </c>
      <c r="I24" s="186"/>
      <c r="J24" s="84">
        <v>0</v>
      </c>
      <c r="K24" s="77">
        <v>0</v>
      </c>
    </row>
    <row r="25" spans="1:11" ht="40.15" customHeight="1" x14ac:dyDescent="0.25">
      <c r="A25" s="72">
        <v>18</v>
      </c>
      <c r="B25" s="187" t="s">
        <v>635</v>
      </c>
      <c r="C25" s="188"/>
      <c r="D25" s="188"/>
      <c r="E25" s="189"/>
      <c r="F25" s="186" t="s">
        <v>639</v>
      </c>
      <c r="G25" s="186"/>
      <c r="H25" s="186" t="s">
        <v>610</v>
      </c>
      <c r="I25" s="186"/>
      <c r="J25" s="84">
        <v>42736</v>
      </c>
      <c r="K25" s="77">
        <v>0</v>
      </c>
    </row>
    <row r="26" spans="1:11" ht="40.15" customHeight="1" x14ac:dyDescent="0.25">
      <c r="A26" s="75">
        <v>0</v>
      </c>
      <c r="B26" s="187" t="s">
        <v>638</v>
      </c>
      <c r="C26" s="188"/>
      <c r="D26" s="188"/>
      <c r="E26" s="189"/>
      <c r="F26" s="186">
        <v>0</v>
      </c>
      <c r="G26" s="186"/>
      <c r="H26" s="186">
        <v>0</v>
      </c>
      <c r="I26" s="186"/>
      <c r="J26" s="84">
        <v>0</v>
      </c>
      <c r="K26" s="77">
        <v>0</v>
      </c>
    </row>
    <row r="27" spans="1:11" ht="40.15" customHeight="1" x14ac:dyDescent="0.25">
      <c r="A27" s="72">
        <v>19</v>
      </c>
      <c r="B27" s="187" t="s">
        <v>640</v>
      </c>
      <c r="C27" s="188"/>
      <c r="D27" s="188"/>
      <c r="E27" s="189"/>
      <c r="F27" s="186" t="s">
        <v>642</v>
      </c>
      <c r="G27" s="186"/>
      <c r="H27" s="186" t="s">
        <v>610</v>
      </c>
      <c r="I27" s="186"/>
      <c r="J27" s="84">
        <v>43952</v>
      </c>
      <c r="K27" s="77">
        <v>0</v>
      </c>
    </row>
    <row r="28" spans="1:11" ht="40.15" customHeight="1" x14ac:dyDescent="0.25">
      <c r="A28" s="75">
        <v>0</v>
      </c>
      <c r="B28" s="187" t="s">
        <v>641</v>
      </c>
      <c r="C28" s="188"/>
      <c r="D28" s="188"/>
      <c r="E28" s="189"/>
      <c r="F28" s="186">
        <v>0</v>
      </c>
      <c r="G28" s="186"/>
      <c r="H28" s="186">
        <v>0</v>
      </c>
      <c r="I28" s="186"/>
      <c r="J28" s="84">
        <v>0</v>
      </c>
      <c r="K28" s="77">
        <v>0</v>
      </c>
    </row>
    <row r="29" spans="1:11" ht="40.15" customHeight="1" x14ac:dyDescent="0.25">
      <c r="A29" s="72">
        <v>20</v>
      </c>
      <c r="B29" s="187" t="s">
        <v>643</v>
      </c>
      <c r="C29" s="188"/>
      <c r="D29" s="188"/>
      <c r="E29" s="189"/>
      <c r="F29" s="186" t="s">
        <v>644</v>
      </c>
      <c r="G29" s="186"/>
      <c r="H29" s="186" t="s">
        <v>610</v>
      </c>
      <c r="I29" s="186"/>
      <c r="J29" s="84">
        <v>42736</v>
      </c>
      <c r="K29" s="77">
        <v>0</v>
      </c>
    </row>
    <row r="30" spans="1:11" ht="15.75" thickBot="1" x14ac:dyDescent="0.3">
      <c r="A30" s="79"/>
      <c r="B30" s="209"/>
      <c r="C30" s="209"/>
      <c r="D30" s="209"/>
      <c r="E30" s="209"/>
      <c r="F30" s="209"/>
      <c r="G30" s="209"/>
      <c r="H30" s="209"/>
      <c r="I30" s="209"/>
      <c r="J30" s="80"/>
      <c r="K30" s="81"/>
    </row>
    <row r="31" spans="1:11" ht="15.75" thickTop="1" x14ac:dyDescent="0.25"/>
  </sheetData>
  <autoFilter ref="A6:N29">
    <filterColumn colId="1" showButton="0"/>
    <filterColumn colId="2" showButton="0"/>
    <filterColumn colId="3" showButton="0"/>
    <filterColumn colId="5" showButton="0"/>
    <filterColumn colId="7" showButton="0"/>
  </autoFilter>
  <mergeCells count="79">
    <mergeCell ref="A1:C4"/>
    <mergeCell ref="D1:I1"/>
    <mergeCell ref="D2:I4"/>
    <mergeCell ref="A5:K5"/>
    <mergeCell ref="B6:E6"/>
    <mergeCell ref="F6:G6"/>
    <mergeCell ref="H6:I6"/>
    <mergeCell ref="B7:E7"/>
    <mergeCell ref="F7:G7"/>
    <mergeCell ref="H7:I7"/>
    <mergeCell ref="B8:E8"/>
    <mergeCell ref="F8:G8"/>
    <mergeCell ref="H8:I8"/>
    <mergeCell ref="B9:E9"/>
    <mergeCell ref="F9:G9"/>
    <mergeCell ref="H9:I9"/>
    <mergeCell ref="B10:E10"/>
    <mergeCell ref="F10:G10"/>
    <mergeCell ref="H10:I10"/>
    <mergeCell ref="B11:E11"/>
    <mergeCell ref="F11:G11"/>
    <mergeCell ref="H11:I11"/>
    <mergeCell ref="B12:E12"/>
    <mergeCell ref="F12:G12"/>
    <mergeCell ref="H12:I12"/>
    <mergeCell ref="B13:E13"/>
    <mergeCell ref="F13:G13"/>
    <mergeCell ref="H13:I13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H18:I18"/>
    <mergeCell ref="B19:E19"/>
    <mergeCell ref="F19:G19"/>
    <mergeCell ref="H19:I19"/>
    <mergeCell ref="B20:E20"/>
    <mergeCell ref="F20:G20"/>
    <mergeCell ref="H20:I20"/>
    <mergeCell ref="B21:E21"/>
    <mergeCell ref="F21:G21"/>
    <mergeCell ref="H21:I21"/>
    <mergeCell ref="B22:E22"/>
    <mergeCell ref="F22:G22"/>
    <mergeCell ref="H22:I22"/>
    <mergeCell ref="B23:E23"/>
    <mergeCell ref="F23:G23"/>
    <mergeCell ref="H23:I23"/>
    <mergeCell ref="B24:E24"/>
    <mergeCell ref="F24:G24"/>
    <mergeCell ref="H24:I24"/>
    <mergeCell ref="B25:E25"/>
    <mergeCell ref="F25:G25"/>
    <mergeCell ref="H25:I25"/>
    <mergeCell ref="B26:E26"/>
    <mergeCell ref="F26:G26"/>
    <mergeCell ref="H26:I26"/>
    <mergeCell ref="B27:E27"/>
    <mergeCell ref="F27:G27"/>
    <mergeCell ref="H27:I27"/>
    <mergeCell ref="B28:E28"/>
    <mergeCell ref="F28:G28"/>
    <mergeCell ref="H28:I28"/>
    <mergeCell ref="B30:E30"/>
    <mergeCell ref="F30:G30"/>
    <mergeCell ref="H30:I30"/>
    <mergeCell ref="B29:E29"/>
    <mergeCell ref="F29:G29"/>
    <mergeCell ref="H29:I29"/>
  </mergeCells>
  <printOptions horizontalCentered="1"/>
  <pageMargins left="0.45" right="0.45" top="0.5" bottom="0.5" header="0.3" footer="0.3"/>
  <pageSetup paperSize="9" scale="8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QC. C Hậu</vt:lpstr>
      <vt:lpstr>QC 00. Tổng hợp từ các nhóm</vt:lpstr>
      <vt:lpstr>QC 01</vt:lpstr>
      <vt:lpstr>CNC</vt:lpstr>
      <vt:lpstr>Casting</vt:lpstr>
      <vt:lpstr>KHSX</vt:lpstr>
      <vt:lpstr>Mua hàng</vt:lpstr>
      <vt:lpstr>RD</vt:lpstr>
      <vt:lpstr>SALE</vt:lpstr>
      <vt:lpstr>'Mua hàng'!Print_Area</vt:lpstr>
      <vt:lpstr>SALE!Print_Area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dcterms:created xsi:type="dcterms:W3CDTF">2022-04-17T01:36:15Z</dcterms:created>
  <dcterms:modified xsi:type="dcterms:W3CDTF">2022-10-03T02:35:24Z</dcterms:modified>
</cp:coreProperties>
</file>