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.ISO-TS Audit OK\ISO_TS16949_R&amp;D 2020\04. Quy trình quản lý sản phẩm mẫu\"/>
    </mc:Choice>
  </mc:AlternateContent>
  <bookViews>
    <workbookView xWindow="0" yWindow="0" windowWidth="23040" windowHeight="9192" activeTab="2"/>
  </bookViews>
  <sheets>
    <sheet name="Quản lý mẫu 2018" sheetId="1" r:id="rId1"/>
    <sheet name="Quản lý mẫu 2019" sheetId="2" r:id="rId2"/>
    <sheet name="Quản lý mẫu 2020" sheetId="4" r:id="rId3"/>
    <sheet name="Quản lý mẫu 2019 (2)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a" localSheetId="1">#REF!</definedName>
    <definedName name="\a" localSheetId="3">#REF!</definedName>
    <definedName name="\a" localSheetId="2">#REF!</definedName>
    <definedName name="\a">#REF!</definedName>
    <definedName name="\p" localSheetId="1">#REF!</definedName>
    <definedName name="\p" localSheetId="3">#REF!</definedName>
    <definedName name="\p" localSheetId="2">#REF!</definedName>
    <definedName name="\p">#REF!</definedName>
    <definedName name="\w" localSheetId="1">#REF!</definedName>
    <definedName name="\w" localSheetId="3">#REF!</definedName>
    <definedName name="\w" localSheetId="2">#REF!</definedName>
    <definedName name="\w">#REF!</definedName>
    <definedName name="_" localSheetId="1">#REF!</definedName>
    <definedName name="_" localSheetId="3">#REF!</definedName>
    <definedName name="_" localSheetId="2">#REF!</definedName>
    <definedName name="_">#REF!</definedName>
    <definedName name="_?쨲?f" localSheetId="1">#REF!</definedName>
    <definedName name="_?쨲?f" localSheetId="3">#REF!</definedName>
    <definedName name="_?쨲?f" localSheetId="2">#REF!</definedName>
    <definedName name="_?쨲?f">#REF!</definedName>
    <definedName name="__?쨲?f" localSheetId="1">#REF!</definedName>
    <definedName name="__?쨲?f" localSheetId="3">#REF!</definedName>
    <definedName name="__?쨲?f" localSheetId="2">#REF!</definedName>
    <definedName name="__?쨲?f">#REF!</definedName>
    <definedName name="__1_?쨲?f" localSheetId="1">#REF!</definedName>
    <definedName name="__1_?쨲?f" localSheetId="3">#REF!</definedName>
    <definedName name="__1_?쨲?f" localSheetId="2">#REF!</definedName>
    <definedName name="__1_?쨲?f">#REF!</definedName>
    <definedName name="_1" localSheetId="1">#REF!</definedName>
    <definedName name="_1" localSheetId="3">#REF!</definedName>
    <definedName name="_1" localSheetId="2">#REF!</definedName>
    <definedName name="_1">#REF!</definedName>
    <definedName name="_1_?쨲?f" localSheetId="1">#REF!</definedName>
    <definedName name="_1_?쨲?f" localSheetId="3">#REF!</definedName>
    <definedName name="_1_?쨲?f" localSheetId="2">#REF!</definedName>
    <definedName name="_1_?쨲?f">#REF!</definedName>
    <definedName name="_1_0Print_Area" localSheetId="1">#REF!</definedName>
    <definedName name="_1_0Print_Area" localSheetId="3">#REF!</definedName>
    <definedName name="_1_0Print_Area" localSheetId="2">#REF!</definedName>
    <definedName name="_1_0Print_Area">#REF!</definedName>
    <definedName name="_111" localSheetId="1">#REF!</definedName>
    <definedName name="_111" localSheetId="3">#REF!</definedName>
    <definedName name="_111" localSheetId="2">#REF!</definedName>
    <definedName name="_111">#REF!</definedName>
    <definedName name="_1Print_Area" localSheetId="1">#REF!</definedName>
    <definedName name="_1Print_Area" localSheetId="3">#REF!</definedName>
    <definedName name="_1Print_Area" localSheetId="2">#REF!</definedName>
    <definedName name="_1Print_Area">#REF!</definedName>
    <definedName name="_2" localSheetId="1">#REF!</definedName>
    <definedName name="_2" localSheetId="3">#REF!</definedName>
    <definedName name="_2" localSheetId="2">#REF!</definedName>
    <definedName name="_2">#REF!</definedName>
    <definedName name="_2_?쨲?f" localSheetId="1">#REF!</definedName>
    <definedName name="_2_?쨲?f" localSheetId="3">#REF!</definedName>
    <definedName name="_2_?쨲?f" localSheetId="2">#REF!</definedName>
    <definedName name="_2_?쨲?f">#REF!</definedName>
    <definedName name="_20" localSheetId="1">#REF!</definedName>
    <definedName name="_20" localSheetId="3">#REF!</definedName>
    <definedName name="_20" localSheetId="2">#REF!</definedName>
    <definedName name="_20">#REF!</definedName>
    <definedName name="_2Print_Area" localSheetId="1">#REF!</definedName>
    <definedName name="_2Print_Area" localSheetId="3">#REF!</definedName>
    <definedName name="_2Print_Area" localSheetId="2">#REF!</definedName>
    <definedName name="_2Print_Area">#REF!</definedName>
    <definedName name="_3_0_0입" localSheetId="1">#REF!</definedName>
    <definedName name="_3_0_0입" localSheetId="3">#REF!</definedName>
    <definedName name="_3_0_0입" localSheetId="2">#REF!</definedName>
    <definedName name="_3_0_0입">#REF!</definedName>
    <definedName name="_30" localSheetId="1">#REF!</definedName>
    <definedName name="_30" localSheetId="3">#REF!</definedName>
    <definedName name="_30" localSheetId="2">#REF!</definedName>
    <definedName name="_30">#REF!</definedName>
    <definedName name="_3입" localSheetId="1">#REF!</definedName>
    <definedName name="_3입" localSheetId="3">#REF!</definedName>
    <definedName name="_3입" localSheetId="2">#REF!</definedName>
    <definedName name="_3입">#REF!</definedName>
    <definedName name="_4_0_0차" localSheetId="1">#REF!</definedName>
    <definedName name="_4_0_0차" localSheetId="3">#REF!</definedName>
    <definedName name="_4_0_0차" localSheetId="2">#REF!</definedName>
    <definedName name="_4_0_0차">#REF!</definedName>
    <definedName name="_40" localSheetId="1">#REF!</definedName>
    <definedName name="_40" localSheetId="3">#REF!</definedName>
    <definedName name="_40" localSheetId="2">#REF!</definedName>
    <definedName name="_40">#REF!</definedName>
    <definedName name="_4차" localSheetId="1">#REF!</definedName>
    <definedName name="_4차" localSheetId="3">#REF!</definedName>
    <definedName name="_4차" localSheetId="2">#REF!</definedName>
    <definedName name="_4차">#REF!</definedName>
    <definedName name="_5입" localSheetId="1">#REF!</definedName>
    <definedName name="_5입" localSheetId="3">#REF!</definedName>
    <definedName name="_5입" localSheetId="2">#REF!</definedName>
    <definedName name="_5입">#REF!</definedName>
    <definedName name="_6차" localSheetId="1">#REF!</definedName>
    <definedName name="_6차" localSheetId="3">#REF!</definedName>
    <definedName name="_6차" localSheetId="2">#REF!</definedName>
    <definedName name="_6차">#REF!</definedName>
    <definedName name="_93" localSheetId="1">'[1]W-현원가'!#REF!</definedName>
    <definedName name="_93" localSheetId="3">'[1]W-현원가'!#REF!</definedName>
    <definedName name="_93" localSheetId="2">'[1]W-현원가'!#REF!</definedName>
    <definedName name="_93">'[1]W-현원가'!#REF!</definedName>
    <definedName name="_93A" localSheetId="1">'[1]W-현원가'!#REF!</definedName>
    <definedName name="_93A" localSheetId="3">'[1]W-현원가'!#REF!</definedName>
    <definedName name="_93A" localSheetId="2">'[1]W-현원가'!#REF!</definedName>
    <definedName name="_93A">'[1]W-현원가'!#REF!</definedName>
    <definedName name="_93B" localSheetId="1">'[1]W-현원가'!#REF!</definedName>
    <definedName name="_93B" localSheetId="3">'[1]W-현원가'!#REF!</definedName>
    <definedName name="_93B" localSheetId="2">'[1]W-현원가'!#REF!</definedName>
    <definedName name="_93B">'[1]W-현원가'!#REF!</definedName>
    <definedName name="_94" localSheetId="1">'[1]W-현원가'!#REF!</definedName>
    <definedName name="_94" localSheetId="3">'[1]W-현원가'!#REF!</definedName>
    <definedName name="_94" localSheetId="2">'[1]W-현원가'!#REF!</definedName>
    <definedName name="_94">'[1]W-현원가'!#REF!</definedName>
    <definedName name="_Dist_Bin" localSheetId="1" hidden="1">#REF!</definedName>
    <definedName name="_Dist_Bin" localSheetId="3" hidden="1">#REF!</definedName>
    <definedName name="_Dist_Bin" localSheetId="2" hidden="1">#REF!</definedName>
    <definedName name="_Dist_Bin" hidden="1">#REF!</definedName>
    <definedName name="_Fill" localSheetId="1" hidden="1">#REF!</definedName>
    <definedName name="_Fill" localSheetId="3" hidden="1">#REF!</definedName>
    <definedName name="_Fill" localSheetId="2" hidden="1">#REF!</definedName>
    <definedName name="_Fill" hidden="1">#REF!</definedName>
    <definedName name="_xlnm._FilterDatabase" localSheetId="0" hidden="1">'Quản lý mẫu 2018'!$A$5:$K$123</definedName>
    <definedName name="_xlnm._FilterDatabase" localSheetId="1" hidden="1">'Quản lý mẫu 2019'!$A$5:$J$59</definedName>
    <definedName name="_xlnm._FilterDatabase" localSheetId="3" hidden="1">'Quản lý mẫu 2019 (2)'!$A$5:$J$59</definedName>
    <definedName name="_xlnm._FilterDatabase" localSheetId="2" hidden="1">'Quản lý mẫu 2020'!$A$5:$J$59</definedName>
    <definedName name="_Key1" localSheetId="1" hidden="1">#REF!</definedName>
    <definedName name="_Key1" localSheetId="3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1">#REF!</definedName>
    <definedName name="_TTT1" localSheetId="3">#REF!</definedName>
    <definedName name="_TTT1" localSheetId="2">#REF!</definedName>
    <definedName name="_TTT1">#REF!</definedName>
    <definedName name="￥" localSheetId="1">[2]작성양식!#REF!</definedName>
    <definedName name="￥" localSheetId="3">[2]작성양식!#REF!</definedName>
    <definedName name="￥" localSheetId="2">[2]작성양식!#REF!</definedName>
    <definedName name="￥">[2]작성양식!#REF!</definedName>
    <definedName name="√">"SQRT"</definedName>
    <definedName name="A" localSheetId="1">#REF!</definedName>
    <definedName name="A" localSheetId="3">#REF!</definedName>
    <definedName name="A" localSheetId="2">#REF!</definedName>
    <definedName name="A">#REF!</definedName>
    <definedName name="AAA" localSheetId="1">#REF!</definedName>
    <definedName name="AAA" localSheetId="3">#REF!</definedName>
    <definedName name="AAA" localSheetId="2">#REF!</definedName>
    <definedName name="AAA">#REF!</definedName>
    <definedName name="AB" localSheetId="1">#REF!</definedName>
    <definedName name="AB" localSheetId="3">#REF!</definedName>
    <definedName name="AB" localSheetId="2">#REF!</definedName>
    <definedName name="AB">#REF!</definedName>
    <definedName name="AS.BB" localSheetId="1">#REF!</definedName>
    <definedName name="AS.BB" localSheetId="3">#REF!</definedName>
    <definedName name="AS.BB" localSheetId="2">#REF!</definedName>
    <definedName name="AS.BB">#REF!</definedName>
    <definedName name="ASD" localSheetId="1">[3]HP1AMLIST!#REF!</definedName>
    <definedName name="ASD" localSheetId="3">[3]HP1AMLIST!#REF!</definedName>
    <definedName name="ASD" localSheetId="2">[3]HP1AMLIST!#REF!</definedName>
    <definedName name="ASD">[3]HP1AMLIST!#REF!</definedName>
    <definedName name="B" localSheetId="1">[3]HP1AMLIST!#REF!</definedName>
    <definedName name="B" localSheetId="3">[3]HP1AMLIST!#REF!</definedName>
    <definedName name="B" localSheetId="2">[3]HP1AMLIST!#REF!</definedName>
    <definedName name="B">[3]HP1AMLIST!#REF!</definedName>
    <definedName name="BBB" localSheetId="1">#REF!</definedName>
    <definedName name="BBB" localSheetId="3">#REF!</definedName>
    <definedName name="BBB" localSheetId="2">#REF!</definedName>
    <definedName name="BBB">#REF!</definedName>
    <definedName name="BLOCK" localSheetId="1">#REF!</definedName>
    <definedName name="BLOCK" localSheetId="3">#REF!</definedName>
    <definedName name="BLOCK" localSheetId="2">#REF!</definedName>
    <definedName name="BLOCK">#REF!</definedName>
    <definedName name="CC" localSheetId="1">#REF!</definedName>
    <definedName name="CC" localSheetId="3">#REF!</definedName>
    <definedName name="CC" localSheetId="2">#REF!</definedName>
    <definedName name="CC">#REF!</definedName>
    <definedName name="CFprprprrkrkrkrkpdpddkdkdkdkdkd" localSheetId="1">[4]분석mast!#REF!</definedName>
    <definedName name="CFprprprrkrkrkrkpdpddkdkdkdkdkd" localSheetId="3">[4]분석mast!#REF!</definedName>
    <definedName name="CFprprprrkrkrkrkpdpddkdkdkdkdkd" localSheetId="2">[4]분석mast!#REF!</definedName>
    <definedName name="CFprprprrkrkrkrkpdpddkdkdkdkdkd">[4]분석mast!#REF!</definedName>
    <definedName name="CODE" localSheetId="1">#REF!</definedName>
    <definedName name="CODE" localSheetId="3">#REF!</definedName>
    <definedName name="CODE" localSheetId="2">#REF!</definedName>
    <definedName name="CODE">#REF!</definedName>
    <definedName name="_xlnm.Criteria" localSheetId="1">#REF!</definedName>
    <definedName name="_xlnm.Criteria" localSheetId="3">#REF!</definedName>
    <definedName name="_xlnm.Criteria" localSheetId="2">#REF!</definedName>
    <definedName name="_xlnm.Criteria">#REF!</definedName>
    <definedName name="d" localSheetId="1">#REF!</definedName>
    <definedName name="d" localSheetId="3">#REF!</definedName>
    <definedName name="d" localSheetId="2">#REF!</definedName>
    <definedName name="d">#REF!</definedName>
    <definedName name="_xlnm.Database" localSheetId="1">#REF!</definedName>
    <definedName name="_xlnm.Database" localSheetId="3">#REF!</definedName>
    <definedName name="_xlnm.Database" localSheetId="2">#REF!</definedName>
    <definedName name="_xlnm.Database">#REF!</definedName>
    <definedName name="DOL" localSheetId="1">#REF!</definedName>
    <definedName name="DOL" localSheetId="3">#REF!</definedName>
    <definedName name="DOL" localSheetId="2">#REF!</definedName>
    <definedName name="DOL">#REF!</definedName>
    <definedName name="EXP" localSheetId="1">#REF!</definedName>
    <definedName name="EXP" localSheetId="3">#REF!</definedName>
    <definedName name="EXP" localSheetId="2">#REF!</definedName>
    <definedName name="EXP">#REF!</definedName>
    <definedName name="FFF" localSheetId="1">#REF!</definedName>
    <definedName name="FFF" localSheetId="3">#REF!</definedName>
    <definedName name="FFF" localSheetId="2">#REF!</definedName>
    <definedName name="FFF">#REF!</definedName>
    <definedName name="fgPRRKRKRKTBTB1RT" localSheetId="1">[5]인원계획!#REF!</definedName>
    <definedName name="fgPRRKRKRKTBTB1RT" localSheetId="3">[5]인원계획!#REF!</definedName>
    <definedName name="fgPRRKRKRKTBTB1RT" localSheetId="2">[5]인원계획!#REF!</definedName>
    <definedName name="fgPRRKRKRKTBTB1RT">[5]인원계획!#REF!</definedName>
    <definedName name="FGR12C15TBTB1RTDKDK" localSheetId="1">#REF!</definedName>
    <definedName name="FGR12C15TBTB1RTDKDK" localSheetId="3">#REF!</definedName>
    <definedName name="FGR12C15TBTB1RTDKDK" localSheetId="2">#REF!</definedName>
    <definedName name="FGR12C15TBTB1RTDKDK">#REF!</definedName>
    <definedName name="Full" localSheetId="1">#REF!</definedName>
    <definedName name="Full" localSheetId="3">#REF!</definedName>
    <definedName name="Full" localSheetId="2">#REF!</definedName>
    <definedName name="Full">#REF!</definedName>
    <definedName name="FullPb" localSheetId="1">#REF!</definedName>
    <definedName name="FullPb" localSheetId="3">#REF!</definedName>
    <definedName name="FullPb" localSheetId="2">#REF!</definedName>
    <definedName name="FullPb">#REF!</definedName>
    <definedName name="H11A01K" localSheetId="1">#REF!</definedName>
    <definedName name="H11A01K" localSheetId="3">#REF!</definedName>
    <definedName name="H11A01K" localSheetId="2">#REF!</definedName>
    <definedName name="H11A01K">#REF!</definedName>
    <definedName name="HEAT" localSheetId="1">#REF!</definedName>
    <definedName name="HEAT" localSheetId="3">#REF!</definedName>
    <definedName name="HEAT" localSheetId="2">#REF!</definedName>
    <definedName name="HEAT">#REF!</definedName>
    <definedName name="IMPORT" localSheetId="1">#REF!</definedName>
    <definedName name="IMPORT" localSheetId="3">#REF!</definedName>
    <definedName name="IMPORT" localSheetId="2">#REF!</definedName>
    <definedName name="IMPORT">#REF!</definedName>
    <definedName name="jjj" localSheetId="1">#REF!</definedName>
    <definedName name="jjj" localSheetId="3">#REF!</definedName>
    <definedName name="jjj" localSheetId="2">#REF!</definedName>
    <definedName name="jjj">#REF!</definedName>
    <definedName name="kkk" localSheetId="1">#REF!</definedName>
    <definedName name="kkk" localSheetId="3">#REF!</definedName>
    <definedName name="kkk" localSheetId="2">#REF!</definedName>
    <definedName name="kkk">#REF!</definedName>
    <definedName name="LANOS" localSheetId="1">#REF!</definedName>
    <definedName name="LANOS" localSheetId="3">#REF!</definedName>
    <definedName name="LANOS" localSheetId="2">#REF!</definedName>
    <definedName name="LANOS">#REF!</definedName>
    <definedName name="LIM" localSheetId="1">#REF!</definedName>
    <definedName name="LIM" localSheetId="3">#REF!</definedName>
    <definedName name="LIM" localSheetId="2">#REF!</definedName>
    <definedName name="LIM">#REF!</definedName>
    <definedName name="MA" localSheetId="1">[6]구동!#REF!</definedName>
    <definedName name="MA" localSheetId="3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1">#REF!</definedName>
    <definedName name="mtg" localSheetId="3">#REF!</definedName>
    <definedName name="mtg" localSheetId="2">#REF!</definedName>
    <definedName name="mtg">#REF!</definedName>
    <definedName name="MX" localSheetId="1">[8]구동!#REF!</definedName>
    <definedName name="MX" localSheetId="3">[8]구동!#REF!</definedName>
    <definedName name="MX" localSheetId="2">[8]구동!#REF!</definedName>
    <definedName name="MX">[8]구동!#REF!</definedName>
    <definedName name="MZ" localSheetId="1">[6]구동!#REF!</definedName>
    <definedName name="MZ" localSheetId="3">[6]구동!#REF!</definedName>
    <definedName name="MZ" localSheetId="2">[6]구동!#REF!</definedName>
    <definedName name="MZ">[6]구동!#REF!</definedName>
    <definedName name="M행" localSheetId="1">#REF!</definedName>
    <definedName name="M행" localSheetId="3">#REF!</definedName>
    <definedName name="M행" localSheetId="2">#REF!</definedName>
    <definedName name="M행">#REF!</definedName>
    <definedName name="n" localSheetId="1">#REF!</definedName>
    <definedName name="n" localSheetId="3">#REF!</definedName>
    <definedName name="n" localSheetId="2">#REF!</definedName>
    <definedName name="n">#REF!</definedName>
    <definedName name="N행" localSheetId="1">#REF!</definedName>
    <definedName name="N행" localSheetId="3">#REF!</definedName>
    <definedName name="N행" localSheetId="2">#REF!</definedName>
    <definedName name="N행">#REF!</definedName>
    <definedName name="O" localSheetId="1">#REF!</definedName>
    <definedName name="O" localSheetId="3">#REF!</definedName>
    <definedName name="O" localSheetId="2">#REF!</definedName>
    <definedName name="O">#REF!</definedName>
    <definedName name="O행" localSheetId="1">#REF!</definedName>
    <definedName name="O행" localSheetId="3">#REF!</definedName>
    <definedName name="O행" localSheetId="2">#REF!</definedName>
    <definedName name="O행">#REF!</definedName>
    <definedName name="_xlnm.Print_Area" localSheetId="0">'Quản lý mẫu 2018'!$A$1:$K$142</definedName>
    <definedName name="_xlnm.Print_Area" localSheetId="1">'Quản lý mẫu 2019'!$A$1:$J$74</definedName>
    <definedName name="_xlnm.Print_Area" localSheetId="3">#REF!</definedName>
    <definedName name="_xlnm.Print_Area" localSheetId="2">'Quản lý mẫu 2020'!$A$1:$J$72</definedName>
    <definedName name="_xlnm.Print_Area">#REF!</definedName>
    <definedName name="PRINT_AREA_MI" localSheetId="1">#REF!</definedName>
    <definedName name="PRINT_AREA_MI" localSheetId="3">#REF!</definedName>
    <definedName name="PRINT_AREA_MI" localSheetId="2">#REF!</definedName>
    <definedName name="PRINT_AREA_MI">#REF!</definedName>
    <definedName name="_xlnm.Print_Titles" localSheetId="1">'Quản lý mẫu 2019'!$5:$5</definedName>
    <definedName name="_xlnm.Print_Titles" localSheetId="2">'Quản lý mẫu 2020'!$5:$5</definedName>
    <definedName name="Print_Titles_MI" localSheetId="1">#REF!</definedName>
    <definedName name="Print_Titles_MI" localSheetId="3">#REF!</definedName>
    <definedName name="Print_Titles_MI" localSheetId="2">#REF!</definedName>
    <definedName name="Print_Titles_MI">#REF!</definedName>
    <definedName name="P행" localSheetId="1">#REF!</definedName>
    <definedName name="P행" localSheetId="3">#REF!</definedName>
    <definedName name="P행" localSheetId="2">#REF!</definedName>
    <definedName name="P행">#REF!</definedName>
    <definedName name="Q행" localSheetId="1">#REF!</definedName>
    <definedName name="Q행" localSheetId="3">#REF!</definedName>
    <definedName name="Q행" localSheetId="2">#REF!</definedName>
    <definedName name="Q행">#REF!</definedName>
    <definedName name="record" localSheetId="1">[9]직원신상!#REF!</definedName>
    <definedName name="record" localSheetId="3">[9]직원신상!#REF!</definedName>
    <definedName name="record" localSheetId="2">[9]직원신상!#REF!</definedName>
    <definedName name="record">[9]직원신상!#REF!</definedName>
    <definedName name="REDATA2" localSheetId="1">#REF!</definedName>
    <definedName name="REDATA2" localSheetId="3">#REF!</definedName>
    <definedName name="REDATA2" localSheetId="2">#REF!</definedName>
    <definedName name="REDATA2">#REF!</definedName>
    <definedName name="REDATA4" localSheetId="1">#REF!</definedName>
    <definedName name="REDATA4" localSheetId="3">#REF!</definedName>
    <definedName name="REDATA4" localSheetId="2">#REF!</definedName>
    <definedName name="REDATA4">#REF!</definedName>
    <definedName name="REDATA5" localSheetId="1">#REF!</definedName>
    <definedName name="REDATA5" localSheetId="3">#REF!</definedName>
    <definedName name="REDATA5" localSheetId="2">#REF!</definedName>
    <definedName name="REDATA5">#REF!</definedName>
    <definedName name="REDATA6" localSheetId="1">#REF!</definedName>
    <definedName name="REDATA6" localSheetId="3">#REF!</definedName>
    <definedName name="REDATA6" localSheetId="2">#REF!</definedName>
    <definedName name="REDATA6">#REF!</definedName>
    <definedName name="RTCLCRCRCRCRCRCRDLRTDKDK" localSheetId="1">[9]직원신상!#REF!</definedName>
    <definedName name="RTCLCRCRCRCRCRCRDLRTDKDK" localSheetId="3">[9]직원신상!#REF!</definedName>
    <definedName name="RTCLCRCRCRCRCRCRDLRTDKDK" localSheetId="2">[9]직원신상!#REF!</definedName>
    <definedName name="RTCLCRCRCRCRCRCRDLRTDKDK">[9]직원신상!#REF!</definedName>
    <definedName name="RTCLDLRTDK" localSheetId="1">[9]직원신상!#REF!</definedName>
    <definedName name="RTCLDLRTDK" localSheetId="3">[9]직원신상!#REF!</definedName>
    <definedName name="RTCLDLRTDK" localSheetId="2">[9]직원신상!#REF!</definedName>
    <definedName name="RTCLDLRTDK">[9]직원신상!#REF!</definedName>
    <definedName name="RT울산시RTDKDK" localSheetId="1">#REF!</definedName>
    <definedName name="RT울산시RTDKDK" localSheetId="3">#REF!</definedName>
    <definedName name="RT울산시RTDKDK" localSheetId="2">#REF!</definedName>
    <definedName name="RT울산시RTDKDK">#REF!</definedName>
    <definedName name="R행" localSheetId="1">#REF!</definedName>
    <definedName name="R행" localSheetId="3">#REF!</definedName>
    <definedName name="R행" localSheetId="2">#REF!</definedName>
    <definedName name="R행">#REF!</definedName>
    <definedName name="S행" localSheetId="1">#REF!</definedName>
    <definedName name="S행" localSheetId="3">#REF!</definedName>
    <definedName name="S행" localSheetId="2">#REF!</definedName>
    <definedName name="S행">#REF!</definedName>
    <definedName name="t" localSheetId="1">#REF!</definedName>
    <definedName name="t" localSheetId="3">#REF!</definedName>
    <definedName name="t" localSheetId="2">#REF!</definedName>
    <definedName name="t">#REF!</definedName>
    <definedName name="test" localSheetId="1">[10]Sheet1!#REF!</definedName>
    <definedName name="test" localSheetId="3">[10]Sheet1!#REF!</definedName>
    <definedName name="test" localSheetId="2">[10]Sheet1!#REF!</definedName>
    <definedName name="test">[10]Sheet1!#REF!</definedName>
    <definedName name="TEST1" localSheetId="1">[10]Sheet1!#REF!</definedName>
    <definedName name="TEST1" localSheetId="3">[10]Sheet1!#REF!</definedName>
    <definedName name="TEST1" localSheetId="2">[10]Sheet1!#REF!</definedName>
    <definedName name="TEST1">[10]Sheet1!#REF!</definedName>
    <definedName name="test2" localSheetId="1">#REF!</definedName>
    <definedName name="test2" localSheetId="3">#REF!</definedName>
    <definedName name="test2" localSheetId="2">#REF!</definedName>
    <definedName name="test2">#REF!</definedName>
    <definedName name="TOPMENU6" localSheetId="1">#REF!</definedName>
    <definedName name="TOPMENU6" localSheetId="3">#REF!</definedName>
    <definedName name="TOPMENU6" localSheetId="2">#REF!</definedName>
    <definedName name="TOPMENU6">#REF!</definedName>
    <definedName name="TTT" localSheetId="1">#REF!</definedName>
    <definedName name="TTT" localSheetId="3">#REF!</definedName>
    <definedName name="TTT" localSheetId="2">#REF!</definedName>
    <definedName name="TTT">#REF!</definedName>
    <definedName name="T행" localSheetId="1">#REF!</definedName>
    <definedName name="T행" localSheetId="3">#REF!</definedName>
    <definedName name="T행" localSheetId="2">#REF!</definedName>
    <definedName name="T행">#REF!</definedName>
    <definedName name="U행" localSheetId="1">#REF!</definedName>
    <definedName name="U행" localSheetId="3">#REF!</definedName>
    <definedName name="U행" localSheetId="2">#REF!</definedName>
    <definedName name="U행">#REF!</definedName>
    <definedName name="VM" localSheetId="1">[8]구동!#REF!</definedName>
    <definedName name="VM" localSheetId="3">[8]구동!#REF!</definedName>
    <definedName name="VM" localSheetId="2">[8]구동!#REF!</definedName>
    <definedName name="VM">[8]구동!#REF!</definedName>
    <definedName name="V행" localSheetId="1">#REF!</definedName>
    <definedName name="V행" localSheetId="3">#REF!</definedName>
    <definedName name="V행" localSheetId="2">#REF!</definedName>
    <definedName name="V행">#REF!</definedName>
    <definedName name="W행" localSheetId="1">#REF!</definedName>
    <definedName name="W행" localSheetId="3">#REF!</definedName>
    <definedName name="W행" localSheetId="2">#REF!</definedName>
    <definedName name="W행">#REF!</definedName>
    <definedName name="X행" localSheetId="1">#REF!</definedName>
    <definedName name="X행" localSheetId="3">#REF!</definedName>
    <definedName name="X행" localSheetId="2">#REF!</definedName>
    <definedName name="X행">#REF!</definedName>
    <definedName name="YEN" localSheetId="1">#REF!</definedName>
    <definedName name="YEN" localSheetId="3">#REF!</definedName>
    <definedName name="YEN" localSheetId="2">#REF!</definedName>
    <definedName name="YEN">#REF!</definedName>
    <definedName name="YY" localSheetId="1">#REF!</definedName>
    <definedName name="YY" localSheetId="3">#REF!</definedName>
    <definedName name="YY" localSheetId="2">#REF!</definedName>
    <definedName name="YY">#REF!</definedName>
    <definedName name="π">PI()</definedName>
    <definedName name="기안갑" localSheetId="1">#REF!</definedName>
    <definedName name="기안갑" localSheetId="3">#REF!</definedName>
    <definedName name="기안갑" localSheetId="2">#REF!</definedName>
    <definedName name="기안갑">#REF!</definedName>
    <definedName name="기안을" localSheetId="1">#REF!</definedName>
    <definedName name="기안을" localSheetId="3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1">[12]ML!#REF!</definedName>
    <definedName name="대림PL" localSheetId="3">[12]ML!#REF!</definedName>
    <definedName name="대림PL" localSheetId="2">[12]ML!#REF!</definedName>
    <definedName name="대림PL">[12]ML!#REF!</definedName>
    <definedName name="대회" localSheetId="1">#REF!</definedName>
    <definedName name="대회" localSheetId="3">#REF!</definedName>
    <definedName name="대회" localSheetId="2">#REF!</definedName>
    <definedName name="대회">#REF!</definedName>
    <definedName name="승인원양식1_2" localSheetId="1">#REF!</definedName>
    <definedName name="승인원양식1_2" localSheetId="3">#REF!</definedName>
    <definedName name="승인원양식1_2" localSheetId="2">#REF!</definedName>
    <definedName name="승인원양식1_2">#REF!</definedName>
    <definedName name="입범석" localSheetId="1">#REF!</definedName>
    <definedName name="입범석" localSheetId="3">#REF!</definedName>
    <definedName name="입범석" localSheetId="2">#REF!</definedName>
    <definedName name="입범석">#REF!</definedName>
    <definedName name="전장su" localSheetId="1">#REF!</definedName>
    <definedName name="전장su" localSheetId="3">#REF!</definedName>
    <definedName name="전장su" localSheetId="2">#REF!</definedName>
    <definedName name="전장su">#REF!</definedName>
    <definedName name="제목" localSheetId="1">#REF!</definedName>
    <definedName name="제목" localSheetId="3">#REF!</definedName>
    <definedName name="제목" localSheetId="2">#REF!</definedName>
    <definedName name="제목">#REF!</definedName>
    <definedName name="차체2" localSheetId="1">#REF!</definedName>
    <definedName name="차체2" localSheetId="3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EV61" i="4" l="1"/>
  <c r="EV61" i="2" l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7" i="3"/>
  <c r="A105" i="1"/>
  <c r="A107" i="1"/>
  <c r="A109" i="1"/>
  <c r="A111" i="1"/>
  <c r="A113" i="1"/>
  <c r="A115" i="1"/>
  <c r="A117" i="1"/>
  <c r="A119" i="1"/>
  <c r="A121" i="1"/>
  <c r="A123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  <c r="A71" i="1"/>
  <c r="A73" i="1"/>
  <c r="A75" i="1"/>
  <c r="A77" i="1"/>
  <c r="A79" i="1"/>
  <c r="A81" i="1"/>
  <c r="A83" i="1"/>
  <c r="A85" i="1"/>
  <c r="A87" i="1"/>
  <c r="A89" i="1"/>
  <c r="A91" i="1"/>
  <c r="A93" i="1"/>
  <c r="A95" i="1"/>
  <c r="A97" i="1"/>
  <c r="A99" i="1"/>
  <c r="A101" i="1"/>
  <c r="A103" i="1"/>
  <c r="A7" i="1" l="1"/>
</calcChain>
</file>

<file path=xl/sharedStrings.xml><?xml version="1.0" encoding="utf-8"?>
<sst xmlns="http://schemas.openxmlformats.org/spreadsheetml/2006/main" count="1085" uniqueCount="464">
  <si>
    <t>No.</t>
  </si>
  <si>
    <t>Code No.</t>
  </si>
  <si>
    <t>Mold No.</t>
  </si>
  <si>
    <t>Model</t>
  </si>
  <si>
    <t>Item</t>
  </si>
  <si>
    <t>Registration date</t>
  </si>
  <si>
    <t>Remark</t>
  </si>
  <si>
    <t>M&amp;C ELECTRONICS VINA</t>
  </si>
  <si>
    <t>SIZE : A4</t>
  </si>
  <si>
    <t>R&amp;D.04.00.06(2017/03/27/Rev:00)</t>
  </si>
  <si>
    <t>LCD BRACKET</t>
  </si>
  <si>
    <t>EP07-001148A</t>
  </si>
  <si>
    <t>EP07-001166A</t>
  </si>
  <si>
    <t>EP07-001198A</t>
  </si>
  <si>
    <t>FC15-005351A</t>
  </si>
  <si>
    <t>FC15-005434A</t>
  </si>
  <si>
    <t>FC29-002464H</t>
    <phoneticPr fontId="6" type="noConversion"/>
  </si>
  <si>
    <t>FC29-008329A</t>
  </si>
  <si>
    <t>FC29-008726A</t>
  </si>
  <si>
    <t>FC29-008806A</t>
  </si>
  <si>
    <t>FC29-008820A</t>
  </si>
  <si>
    <t>FC39-000192C</t>
    <phoneticPr fontId="6" type="noConversion"/>
  </si>
  <si>
    <t>FC39-000193C</t>
    <phoneticPr fontId="6" type="noConversion"/>
  </si>
  <si>
    <t>FC39-001235B</t>
  </si>
  <si>
    <t>FC15-002255B</t>
  </si>
  <si>
    <t>FC15-002791A</t>
  </si>
  <si>
    <t>FC29-003781B</t>
  </si>
  <si>
    <t>FC29-004224A</t>
  </si>
  <si>
    <t>FC39-004148A</t>
  </si>
  <si>
    <t>FC39-003498A</t>
  </si>
  <si>
    <t>FC29_006564A</t>
  </si>
  <si>
    <t>FC29-004223B</t>
  </si>
  <si>
    <t>QN0-7030R</t>
  </si>
  <si>
    <t>QNO-7080R</t>
  </si>
  <si>
    <t>QNV-7080R</t>
  </si>
  <si>
    <t>XNB-6000</t>
  </si>
  <si>
    <t>XNV-8080R</t>
  </si>
  <si>
    <t>XND-6010</t>
  </si>
  <si>
    <t>XNV-6010</t>
  </si>
  <si>
    <t>SIR-4160</t>
  </si>
  <si>
    <t>SCB5005</t>
  </si>
  <si>
    <t>SNV-6013</t>
  </si>
  <si>
    <t>SCV-5080</t>
  </si>
  <si>
    <t>SNV-L6083R</t>
  </si>
  <si>
    <t>HEAT SINK</t>
  </si>
  <si>
    <t>SINK HEAT LED</t>
  </si>
  <si>
    <t>COVER REAR</t>
  </si>
  <si>
    <t>COVER-CABEL-HOLE</t>
  </si>
  <si>
    <t>CASE-TOP-WISENET</t>
  </si>
  <si>
    <t>CASE BOTTOM</t>
  </si>
  <si>
    <t>CASE TOP</t>
  </si>
  <si>
    <t>TILT BODY LEFT</t>
  </si>
  <si>
    <t>TILT BODY RIGHT</t>
  </si>
  <si>
    <t>PAN BODY</t>
  </si>
  <si>
    <t>COVER-FRONT</t>
  </si>
  <si>
    <t>COVER-BOTTOM</t>
  </si>
  <si>
    <t>CASE TOP SCV5080</t>
  </si>
  <si>
    <t>MOUNT PLATE</t>
  </si>
  <si>
    <t>BOTTOM</t>
  </si>
  <si>
    <t>20171211</t>
  </si>
  <si>
    <t>20171116</t>
  </si>
  <si>
    <t>20171103</t>
  </si>
  <si>
    <t>61D-00360</t>
    <phoneticPr fontId="3" type="noConversion"/>
  </si>
  <si>
    <t>61D-00361</t>
  </si>
  <si>
    <t>61D-00388</t>
  </si>
  <si>
    <t>61D-00421</t>
  </si>
  <si>
    <t>61D-00459</t>
    <phoneticPr fontId="3" type="noConversion"/>
  </si>
  <si>
    <t>61D-00312</t>
  </si>
  <si>
    <t>61D-00501</t>
  </si>
  <si>
    <t>61D-00504</t>
  </si>
  <si>
    <t>61D-00467</t>
    <phoneticPr fontId="3" type="noConversion"/>
  </si>
  <si>
    <t>61D-00573</t>
  </si>
  <si>
    <t>61D-00552</t>
  </si>
  <si>
    <t>WHB_DIPOLE (M4)</t>
  </si>
  <si>
    <t>WHB_DIPOLE (M8)</t>
  </si>
  <si>
    <t>WHB_DIPOLE (M9)</t>
  </si>
  <si>
    <t>WHB_DIPOLE (J14)</t>
  </si>
  <si>
    <t>LB++DIPOLE</t>
  </si>
  <si>
    <t>A300150 CLAMP SUPPORT</t>
  </si>
  <si>
    <t>MET-HOUSING_DM</t>
  </si>
  <si>
    <t>MET-HOUSING_DM(new insert core)</t>
  </si>
  <si>
    <t>LOTUS LB 158X57</t>
  </si>
  <si>
    <t>A350130 UP SUPPORT</t>
  </si>
  <si>
    <t>A350130_BOTTOM_SUPPORT_DURA</t>
  </si>
  <si>
    <t>A300150 BOTTOM SUPPORT DURA</t>
  </si>
  <si>
    <t>BOTTOM COVER 2P</t>
  </si>
  <si>
    <t>A260140 BOTTOM SUPPORT DURA</t>
  </si>
  <si>
    <t>A32382 UP SUPPORT_F</t>
  </si>
  <si>
    <t>HANUMAN</t>
  </si>
  <si>
    <t>LB++</t>
  </si>
  <si>
    <t>Dura RETu</t>
  </si>
  <si>
    <t>XDGWL-C-17-65I-VT-P</t>
  </si>
  <si>
    <t>XXDWH-17-65S-VT-DM</t>
  </si>
  <si>
    <t>LOTUS</t>
  </si>
  <si>
    <t>XXDWH-17-65iF-VT</t>
  </si>
  <si>
    <t>XXDWH-17-65iF-VT_DURA</t>
  </si>
  <si>
    <t>XDGWL-C-14-65i-VT-DURA</t>
  </si>
  <si>
    <t>MEXICO</t>
  </si>
  <si>
    <t>XXDW-17-65iF-VT</t>
  </si>
  <si>
    <t>20170810</t>
    <phoneticPr fontId="3" type="noConversion"/>
  </si>
  <si>
    <t>20170819</t>
  </si>
  <si>
    <t>20170905</t>
  </si>
  <si>
    <t>20171031</t>
  </si>
  <si>
    <t>20171105</t>
  </si>
  <si>
    <t>20171125</t>
  </si>
  <si>
    <t>20171205</t>
  </si>
  <si>
    <t>20171011</t>
  </si>
  <si>
    <t>20170825</t>
  </si>
  <si>
    <t>20171026</t>
  </si>
  <si>
    <t>20171201</t>
  </si>
  <si>
    <t>ASSY CASE FRONT UNIT</t>
  </si>
  <si>
    <t>GH98-43274A</t>
  </si>
  <si>
    <t>SM-J810F</t>
  </si>
  <si>
    <t>#20</t>
  </si>
  <si>
    <t>ASSY FRONT BRACKET</t>
  </si>
  <si>
    <t>SM-J600F</t>
  </si>
  <si>
    <t>GH98-42952A</t>
  </si>
  <si>
    <t>#27</t>
  </si>
  <si>
    <t>GH61-13787A</t>
  </si>
  <si>
    <t>SM-A750F</t>
  </si>
  <si>
    <t>#18</t>
  </si>
  <si>
    <t>d</t>
  </si>
  <si>
    <t xml:space="preserve"> SNV-6084R</t>
    <phoneticPr fontId="6" type="noConversion"/>
  </si>
  <si>
    <t>XNV-8080R</t>
    <phoneticPr fontId="6" type="noConversion"/>
  </si>
  <si>
    <t xml:space="preserve">CASE TOP </t>
    <phoneticPr fontId="6" type="noConversion"/>
  </si>
  <si>
    <t>CASE BOTTOM</t>
    <phoneticPr fontId="6" type="noConversion"/>
  </si>
  <si>
    <t>61D-00562</t>
  </si>
  <si>
    <t>61D-00563</t>
  </si>
  <si>
    <t>61D-00395</t>
  </si>
  <si>
    <t>61D-00396</t>
  </si>
  <si>
    <t>A300150 BOTTOM SUPPORT_2</t>
  </si>
  <si>
    <t>A300150 TOP SUPPORT_2</t>
  </si>
  <si>
    <t>ENSEMBLE LB DIPOLE</t>
  </si>
  <si>
    <t>20180124</t>
  </si>
  <si>
    <t>20181126</t>
  </si>
  <si>
    <t>20190119</t>
  </si>
  <si>
    <t>20181012</t>
  </si>
  <si>
    <t>GH61-14427A</t>
  </si>
  <si>
    <t>SM-A105F</t>
  </si>
  <si>
    <t>LCD BRK</t>
  </si>
  <si>
    <t>20190415</t>
  </si>
  <si>
    <t>GH61-14420A</t>
  </si>
  <si>
    <t>SM-A705FN</t>
  </si>
  <si>
    <t>2D-BRACKET_AL_PROD</t>
  </si>
  <si>
    <t>20190402</t>
  </si>
  <si>
    <t>#2</t>
  </si>
  <si>
    <t>#44</t>
  </si>
  <si>
    <t>#45</t>
  </si>
  <si>
    <t>#46</t>
  </si>
  <si>
    <t>#13</t>
  </si>
  <si>
    <t>#14</t>
  </si>
  <si>
    <t>#15</t>
  </si>
  <si>
    <t>Quatity (Shot)</t>
  </si>
  <si>
    <t>Drafted</t>
  </si>
  <si>
    <t>Checked</t>
  </si>
  <si>
    <t>Approved</t>
  </si>
  <si>
    <t>R&amp;D MANAGEMENT APPROVAL SAMPLE LIST 2019</t>
  </si>
  <si>
    <t>ECN No.</t>
  </si>
  <si>
    <t>ECN Content</t>
  </si>
  <si>
    <t>R&amp;D MANAGEMENT APPROVAL SAMPLE LIST 2018</t>
  </si>
  <si>
    <t>Customer</t>
  </si>
  <si>
    <t>Part No.</t>
  </si>
  <si>
    <t>Part Name</t>
  </si>
  <si>
    <t>Hanwha</t>
  </si>
  <si>
    <t>XNV-8020R</t>
  </si>
  <si>
    <t>FC29-008833A</t>
  </si>
  <si>
    <t>FC29-008833B</t>
  </si>
  <si>
    <t>FC29-003780A</t>
  </si>
  <si>
    <t>FC29-008807A</t>
  </si>
  <si>
    <t>XNV-6120R</t>
  </si>
  <si>
    <t>FC29-009213A</t>
  </si>
  <si>
    <t>FC15-005449A</t>
  </si>
  <si>
    <t>FC29-008821A</t>
  </si>
  <si>
    <t>XND-6011</t>
  </si>
  <si>
    <t>FC29-009413A</t>
  </si>
  <si>
    <t>XND-8020F</t>
  </si>
  <si>
    <t>FC29-009417A</t>
  </si>
  <si>
    <t>SNB-7002</t>
  </si>
  <si>
    <t>FC15-000899</t>
  </si>
  <si>
    <t>SNO-L6083R</t>
  </si>
  <si>
    <t>FC29-007182A</t>
  </si>
  <si>
    <t>SNV-8081R</t>
  </si>
  <si>
    <t>EP07-001028C</t>
  </si>
  <si>
    <t>EP07-001028D</t>
  </si>
  <si>
    <t>QNO7030R</t>
  </si>
  <si>
    <t>EP07-001164A</t>
  </si>
  <si>
    <t>FC15-001592</t>
  </si>
  <si>
    <t>SNV-6084R</t>
  </si>
  <si>
    <t>FC15-002206B</t>
  </si>
  <si>
    <t>ACE Tech</t>
  </si>
  <si>
    <t>SCP-3120V</t>
  </si>
  <si>
    <t>FC29-003420A</t>
  </si>
  <si>
    <t>FC29-003420B</t>
  </si>
  <si>
    <t>Lotus</t>
  </si>
  <si>
    <t>D-XX-DWH-17-65-VT-DM-V-A</t>
  </si>
  <si>
    <t>61D-00552-M1</t>
  </si>
  <si>
    <t>61D-00553-M1</t>
  </si>
  <si>
    <t>XDGWL-C-14-65i-VT</t>
  </si>
  <si>
    <t>Qualcomm</t>
  </si>
  <si>
    <t>MTP Hana</t>
  </si>
  <si>
    <t>55-PB596-2</t>
  </si>
  <si>
    <t>55-PB612-2</t>
  </si>
  <si>
    <t>55-PE902-1</t>
  </si>
  <si>
    <t>Hanuman</t>
  </si>
  <si>
    <t>61D-00360-M4</t>
  </si>
  <si>
    <t>MTP 5G Carrera</t>
  </si>
  <si>
    <t>50-PD602-1</t>
  </si>
  <si>
    <t>55-PB596-10</t>
  </si>
  <si>
    <t>55-PD410-1</t>
  </si>
  <si>
    <t>55-PD412-1</t>
  </si>
  <si>
    <t>55-PE018-1</t>
  </si>
  <si>
    <t xml:space="preserve">55-PF724-1 </t>
  </si>
  <si>
    <t>61D-00501-M2</t>
  </si>
  <si>
    <t>50-PE401-1</t>
  </si>
  <si>
    <t>50-PF259-1</t>
  </si>
  <si>
    <t>50-PH115-1</t>
  </si>
  <si>
    <t>50-PH504-1</t>
  </si>
  <si>
    <t>55-PG104-2</t>
  </si>
  <si>
    <t>XDGWL-C-17-65i-iVT</t>
  </si>
  <si>
    <t>61D-00504-M2</t>
  </si>
  <si>
    <t>CA90-PH913-1</t>
  </si>
  <si>
    <t>MTP Poipu</t>
  </si>
  <si>
    <t>50-PE623-1</t>
  </si>
  <si>
    <t>61D-00461-M1</t>
  </si>
  <si>
    <t>61D-00421-M1</t>
  </si>
  <si>
    <t>61D-00360-M5</t>
  </si>
  <si>
    <t>50-PB615-2</t>
  </si>
  <si>
    <t>55-PB599-2</t>
  </si>
  <si>
    <t>55-PB600-2</t>
  </si>
  <si>
    <t>61D-00361-M4</t>
  </si>
  <si>
    <t>61D-00361-M5</t>
  </si>
  <si>
    <t>61D-00374-M2</t>
  </si>
  <si>
    <t>61D-00312-M2</t>
  </si>
  <si>
    <t>61D-00360-M6</t>
  </si>
  <si>
    <t>61D-00360-M7</t>
  </si>
  <si>
    <t>61D-00504-M1</t>
  </si>
  <si>
    <t>50-PE401-2</t>
  </si>
  <si>
    <t>50-PG237-1</t>
  </si>
  <si>
    <t>55-PG104-10</t>
  </si>
  <si>
    <t>Sonokong</t>
  </si>
  <si>
    <t>61D-00515-M1</t>
  </si>
  <si>
    <t>61D-00361-M6</t>
  </si>
  <si>
    <t>61D-00361-M7</t>
  </si>
  <si>
    <t>61D-00361-M8</t>
  </si>
  <si>
    <t>IDP Talos</t>
  </si>
  <si>
    <t>50-PF959-81</t>
  </si>
  <si>
    <t>55-PF951-3</t>
  </si>
  <si>
    <t>55-PF953-1</t>
  </si>
  <si>
    <t>55-PG284-1</t>
  </si>
  <si>
    <t>55-PH774-1</t>
  </si>
  <si>
    <t>Mexico</t>
  </si>
  <si>
    <t>61D-00573-M1</t>
  </si>
  <si>
    <t>QRD 5G Hana</t>
  </si>
  <si>
    <t>50-PC606-1</t>
  </si>
  <si>
    <t>50-PE158-1</t>
  </si>
  <si>
    <t>50-PE444-1</t>
  </si>
  <si>
    <t>50-PJ067-1</t>
  </si>
  <si>
    <t>55-PC582-1</t>
  </si>
  <si>
    <t>55-PH598-2</t>
  </si>
  <si>
    <t>XDWLH-14(17)-65V-VT</t>
  </si>
  <si>
    <t>61D-00562-M1</t>
  </si>
  <si>
    <t>61D-00563-M1</t>
  </si>
  <si>
    <t>IDP Moorea</t>
  </si>
  <si>
    <t>50-PF959-91</t>
  </si>
  <si>
    <t>55-PF951-4</t>
  </si>
  <si>
    <t>55-PF953-2</t>
  </si>
  <si>
    <t>61D-00388-M2</t>
  </si>
  <si>
    <t>55-PF724-2</t>
  </si>
  <si>
    <t>55-PE018-2</t>
  </si>
  <si>
    <t>Samsung</t>
  </si>
  <si>
    <t>MTP Kona-Huracan</t>
  </si>
  <si>
    <t>50-PG182-1</t>
  </si>
  <si>
    <t>50-PK448-1</t>
  </si>
  <si>
    <t>55-PG160-1</t>
  </si>
  <si>
    <t>55-PG162-1</t>
  </si>
  <si>
    <t>55-PG165-1</t>
  </si>
  <si>
    <t>55-PG166-1</t>
  </si>
  <si>
    <t>50-PJ796-1</t>
  </si>
  <si>
    <t>IDP Nicobar</t>
  </si>
  <si>
    <t>50-PK803-1</t>
  </si>
  <si>
    <t>50-PK908-1</t>
  </si>
  <si>
    <t>55-PF951-5</t>
  </si>
  <si>
    <t>55-PL168-P1</t>
  </si>
  <si>
    <t>50-PG182-2</t>
  </si>
  <si>
    <t>55-PC582-2</t>
  </si>
  <si>
    <t>55-PK218-1</t>
  </si>
  <si>
    <t>55-PK518-1</t>
  </si>
  <si>
    <t>55-PK820-1</t>
  </si>
  <si>
    <t>55-PL721-1</t>
  </si>
  <si>
    <t>55-VV020-1</t>
  </si>
  <si>
    <t>50-PJ743-1</t>
  </si>
  <si>
    <t>50-PJ744-1</t>
  </si>
  <si>
    <t>50-PK492-1</t>
  </si>
  <si>
    <t>50-PK769-1</t>
  </si>
  <si>
    <t>55-PG162-2</t>
  </si>
  <si>
    <t>55-PG160-2</t>
  </si>
  <si>
    <t>55-PG165-2</t>
  </si>
  <si>
    <t>55-PG166-2</t>
  </si>
  <si>
    <t>55-PK466-1</t>
  </si>
  <si>
    <t>55-PK467-1</t>
  </si>
  <si>
    <t>55-PK468-1</t>
  </si>
  <si>
    <t>CA90-PL724-1</t>
  </si>
  <si>
    <t>HOLDER-LENS 8010</t>
  </si>
  <si>
    <t>HOLDER-LENS</t>
  </si>
  <si>
    <t>CASE-TOP</t>
  </si>
  <si>
    <t>COVER CABEL HOLE</t>
  </si>
  <si>
    <t>CASE-BOTTOM</t>
  </si>
  <si>
    <t>HOLDER-SENSOR</t>
  </si>
  <si>
    <t>ABF BASE PLATE</t>
  </si>
  <si>
    <t>HOLDER DN_2M</t>
  </si>
  <si>
    <t>SINK,HEAT-L</t>
  </si>
  <si>
    <t>SINK,HEAT-R</t>
  </si>
  <si>
    <t>SINK,HEAT-LED-HP-QNO7030R</t>
  </si>
  <si>
    <t>SENSOR GUIDE HOLDER</t>
  </si>
  <si>
    <t>CAP-BOLT</t>
  </si>
  <si>
    <t>A32382 DOWN SUPPORT_2MET</t>
  </si>
  <si>
    <t>A300150 TOP SUPPORT</t>
  </si>
  <si>
    <t>FRONT HOUSING SUB-ASSY</t>
  </si>
  <si>
    <t>BACK HOUSING ASSY</t>
  </si>
  <si>
    <t>WINDOWS CAMERA ASSY FRONT</t>
  </si>
  <si>
    <t>WHB Dipole</t>
  </si>
  <si>
    <t>BATTERY DOOR</t>
  </si>
  <si>
    <t>FRONT HOUSING ASSY</t>
  </si>
  <si>
    <t xml:space="preserve"> ANTENNA CARRIER BTM</t>
  </si>
  <si>
    <t>ANT CARRIER TOP STAKING</t>
  </si>
  <si>
    <t>ANT CARRIER LEFT 2 STAKING</t>
  </si>
  <si>
    <t>ANT CARRIER RIGHT STAKING</t>
  </si>
  <si>
    <t>5G Door</t>
  </si>
  <si>
    <t>NEAR  FIELD ANTENNA BRACKET</t>
  </si>
  <si>
    <t>REAR HOUSING ASSY</t>
  </si>
  <si>
    <t>Battery Door</t>
  </si>
  <si>
    <t>LOTUS HBPP OUTER</t>
  </si>
  <si>
    <t>Met Housing</t>
  </si>
  <si>
    <t>BATTERY ACCESS DOOR</t>
  </si>
  <si>
    <t>ASSY, ANTENNA CARRIER 1</t>
  </si>
  <si>
    <t>ASSY, ANTENNA CARRIER 2</t>
  </si>
  <si>
    <t>LB ++ Dipole</t>
  </si>
  <si>
    <t>Bracket</t>
  </si>
  <si>
    <t>HBPP Dipole</t>
  </si>
  <si>
    <t>Front Housing Assy</t>
  </si>
  <si>
    <t>Rear Housing Assy</t>
  </si>
  <si>
    <t>Ant Carrier Assy</t>
  </si>
  <si>
    <t>Bottom Mic Boot</t>
  </si>
  <si>
    <t>Rear Camera Boot</t>
  </si>
  <si>
    <t>Drawer Dual Sim</t>
  </si>
  <si>
    <t>Top Mic Boot</t>
  </si>
  <si>
    <t>Speaker Box Assy</t>
  </si>
  <si>
    <t>Clamp Support</t>
  </si>
  <si>
    <t>ANT CARRIER 4 (RIGHT)</t>
  </si>
  <si>
    <t>ANT CARRIER 5 (LEFT 2)</t>
  </si>
  <si>
    <t>FRONT BRACKET</t>
  </si>
  <si>
    <t>Camera Boot</t>
  </si>
  <si>
    <t>Ant Carrier Assy 1</t>
  </si>
  <si>
    <t>Ant Carrier Assy 2</t>
  </si>
  <si>
    <t>Speaker Boot</t>
  </si>
  <si>
    <t>WINDOW CAMERA FRONT</t>
  </si>
  <si>
    <t>Window Camera Rear Assy</t>
  </si>
  <si>
    <t>Support Frame Assy</t>
  </si>
  <si>
    <t>WINDOW CAMERA REAR</t>
  </si>
  <si>
    <t>COVER 1, 5G MODULE</t>
  </si>
  <si>
    <t>COVER 2, 5G MODULE</t>
  </si>
  <si>
    <t>BOOT CAMERA FRONT</t>
  </si>
  <si>
    <t>BOOT ULTRASONIC MIC</t>
  </si>
  <si>
    <t>5G Bracket, Module 0</t>
  </si>
  <si>
    <t>5G Bracket, Module 1</t>
  </si>
  <si>
    <t>5G Bracket, Module 3</t>
  </si>
  <si>
    <t>FC29-004223</t>
  </si>
  <si>
    <t>FC39-003498</t>
  </si>
  <si>
    <t>FC29-006564</t>
  </si>
  <si>
    <t>TWIZY FFD</t>
  </si>
  <si>
    <t>50-PL402-1</t>
  </si>
  <si>
    <t>55-PM220-1</t>
  </si>
  <si>
    <t>PBDP</t>
  </si>
  <si>
    <t>61D-00395-M1</t>
  </si>
  <si>
    <t>55-PG160-3</t>
  </si>
  <si>
    <t>CA90-PG160-2</t>
  </si>
  <si>
    <t>CA90-PG160-3</t>
  </si>
  <si>
    <t>CA90-PM186-1</t>
  </si>
  <si>
    <t>55-PH774-2</t>
  </si>
  <si>
    <t>CA90-PL107-1</t>
  </si>
  <si>
    <t>CA90-PL106-2</t>
  </si>
  <si>
    <t>55-PG162-3</t>
  </si>
  <si>
    <t>CA90-PL137-1</t>
  </si>
  <si>
    <t>50-PG182-3</t>
  </si>
  <si>
    <t>55-PG162-4</t>
  </si>
  <si>
    <t>55-PG165-3</t>
  </si>
  <si>
    <t>55-PG166-3</t>
  </si>
  <si>
    <t>55-PL927-1</t>
  </si>
  <si>
    <t>61D-00396-M1</t>
  </si>
  <si>
    <t>55-PG160-4</t>
  </si>
  <si>
    <t>50-PM456-1</t>
  </si>
  <si>
    <t>50-PM460-1</t>
  </si>
  <si>
    <t>50-PN519-1</t>
  </si>
  <si>
    <t>50-PN520-1</t>
  </si>
  <si>
    <t>50-PN521-1</t>
  </si>
  <si>
    <t>50-PD735-4</t>
  </si>
  <si>
    <t>50-PD735-5</t>
  </si>
  <si>
    <t>50-PK686-1</t>
  </si>
  <si>
    <t>50-PM288-1</t>
  </si>
  <si>
    <t>50-PM325-1</t>
  </si>
  <si>
    <t>50-PM457-1</t>
  </si>
  <si>
    <t>50-PM458-1</t>
  </si>
  <si>
    <t>50-PL430-1</t>
  </si>
  <si>
    <t>55-PG160-5</t>
  </si>
  <si>
    <t>55-PG160-6</t>
  </si>
  <si>
    <t>XXXDWH-17-65V-iVT</t>
  </si>
  <si>
    <t>82A-00134</t>
  </si>
  <si>
    <t>IDP Rennell</t>
  </si>
  <si>
    <t>50-PF959-82</t>
  </si>
  <si>
    <t>55-PF951-6</t>
  </si>
  <si>
    <t>55-PL721-2</t>
  </si>
  <si>
    <t>55-PL741-1</t>
  </si>
  <si>
    <t>55-PM620-1</t>
  </si>
  <si>
    <t>55-PM842-1</t>
  </si>
  <si>
    <t>55-PN036-1</t>
  </si>
  <si>
    <t>XXXXDWH-17-65IE-VT</t>
  </si>
  <si>
    <t>61A-01828-M1</t>
  </si>
  <si>
    <t>Case Bottom</t>
  </si>
  <si>
    <t>Mount Plate</t>
  </si>
  <si>
    <t>BOTTOM CASE</t>
  </si>
  <si>
    <t>FRONT ENCLOSURE ASSY</t>
  </si>
  <si>
    <t>MODIFIED BACK HOUSING ASSY</t>
  </si>
  <si>
    <t>Cover 1, 5G Module</t>
  </si>
  <si>
    <t>ASSY CAMERA BRACKET</t>
  </si>
  <si>
    <t>Shim, Empar Module, 1.8mm</t>
  </si>
  <si>
    <t>Adhesive, Conductive, Empar Loc 3</t>
  </si>
  <si>
    <t>Adhesive, Conductive, Mod 0</t>
  </si>
  <si>
    <t>Adhesive, Conductive, Mod 1</t>
  </si>
  <si>
    <t>Adhesive, Conductive, Mod 2</t>
  </si>
  <si>
    <t>Front Cover Plastic</t>
  </si>
  <si>
    <t>Speaker Contact</t>
  </si>
  <si>
    <t>Empar Place Holder</t>
  </si>
  <si>
    <t>ADHESIVE, CONDUCTIVE, EMPAR LOC 0</t>
  </si>
  <si>
    <t>ADHESIVE, CONDUCTIVE, EMPAR LOC 1+3</t>
  </si>
  <si>
    <t>Haptic Boot</t>
  </si>
  <si>
    <t>Reflector Joint_3Column</t>
  </si>
  <si>
    <t>SUPPORT FRAME ASSY</t>
  </si>
  <si>
    <t>CAMERA LENS</t>
  </si>
  <si>
    <t>REAR CAMERA BOOT ASSY</t>
  </si>
  <si>
    <t>FRONT CAMERA</t>
  </si>
  <si>
    <t>Reflector Joint</t>
  </si>
  <si>
    <t>Sample Version</t>
  </si>
  <si>
    <t>R&amp;D.04.02.06(2019/01/08/Rev:00)</t>
  </si>
  <si>
    <t>01</t>
  </si>
  <si>
    <t>SM-M105F</t>
  </si>
  <si>
    <t>GH61-14170A</t>
  </si>
  <si>
    <t>#10</t>
  </si>
  <si>
    <t>02</t>
  </si>
  <si>
    <t>SM-M307F</t>
  </si>
  <si>
    <t>GH61-14978A</t>
  </si>
  <si>
    <t>SM-A507F</t>
  </si>
  <si>
    <t>#22</t>
  </si>
  <si>
    <t>GH61-14962A</t>
  </si>
  <si>
    <t>.</t>
  </si>
  <si>
    <t>+++++++++++++++</t>
  </si>
  <si>
    <t>R&amp;D MANAGEMENT APPROVAL SAMPLE LIST 2020</t>
  </si>
  <si>
    <t>R&amp;D.04.03.06(2020/03/10/Rev:03)</t>
  </si>
  <si>
    <t>SM-M315F</t>
  </si>
  <si>
    <t>GH61-15354A</t>
  </si>
  <si>
    <t>Bracket MG</t>
  </si>
  <si>
    <t>M1</t>
  </si>
  <si>
    <t>IM22</t>
  </si>
  <si>
    <t>3-2</t>
  </si>
  <si>
    <t>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</si>
</sst>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35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40" fontId="9" fillId="0" borderId="0" applyFont="0" applyFill="0" applyBorder="0" applyAlignment="0" applyProtection="0"/>
    <xf numFmtId="49" fontId="10" fillId="0" borderId="3" applyBorder="0">
      <alignment vertical="center"/>
    </xf>
    <xf numFmtId="4" fontId="11" fillId="0" borderId="4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6" fillId="0" borderId="0" applyNumberFormat="0" applyFont="0" applyFill="0" applyBorder="0" applyProtection="0"/>
    <xf numFmtId="0" fontId="17" fillId="0" borderId="0" applyFont="0" applyFill="0" applyBorder="0" applyAlignment="0" applyProtection="0"/>
    <xf numFmtId="38" fontId="18" fillId="2" borderId="0" applyNumberFormat="0" applyBorder="0" applyAlignment="0" applyProtection="0"/>
    <xf numFmtId="0" fontId="19" fillId="0" borderId="0">
      <alignment horizontal="left"/>
    </xf>
    <xf numFmtId="0" fontId="20" fillId="0" borderId="5" applyNumberFormat="0" applyAlignment="0" applyProtection="0">
      <alignment horizontal="left" vertical="center"/>
    </xf>
    <xf numFmtId="0" fontId="20" fillId="0" borderId="6">
      <alignment horizontal="left" vertical="center"/>
    </xf>
    <xf numFmtId="10" fontId="18" fillId="2" borderId="1" applyNumberFormat="0" applyBorder="0" applyAlignment="0" applyProtection="0"/>
    <xf numFmtId="0" fontId="9" fillId="0" borderId="0" applyFont="0" applyFill="0" applyBorder="0" applyAlignment="0" applyProtection="0"/>
    <xf numFmtId="0" fontId="16" fillId="0" borderId="0" applyNumberFormat="0" applyFont="0" applyFill="0" applyBorder="0" applyProtection="0">
      <alignment vertical="center"/>
    </xf>
    <xf numFmtId="0" fontId="21" fillId="0" borderId="7"/>
    <xf numFmtId="164" fontId="3" fillId="0" borderId="0"/>
    <xf numFmtId="10" fontId="8" fillId="0" borderId="0" applyFont="0" applyFill="0" applyBorder="0" applyAlignment="0" applyProtection="0"/>
    <xf numFmtId="0" fontId="21" fillId="0" borderId="0"/>
    <xf numFmtId="0" fontId="16" fillId="0" borderId="0" applyNumberFormat="0" applyFont="0" applyFill="0" applyBorder="0" applyProtection="0">
      <alignment vertical="top"/>
    </xf>
    <xf numFmtId="0" fontId="22" fillId="0" borderId="0"/>
    <xf numFmtId="2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40" fontId="9" fillId="0" borderId="0" applyFont="0" applyFill="0" applyBorder="0" applyAlignment="0" applyProtection="0"/>
    <xf numFmtId="4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3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29" fillId="0" borderId="0">
      <alignment vertical="center"/>
    </xf>
    <xf numFmtId="0" fontId="23" fillId="0" borderId="8" applyNumberFormat="0" applyFont="0" applyFill="0" applyAlignment="0" applyProtection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49" fontId="30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/>
    <xf numFmtId="49" fontId="30" fillId="0" borderId="1" xfId="0" applyNumberFormat="1" applyFont="1" applyFill="1" applyBorder="1" applyAlignment="1">
      <alignment horizontal="left" vertical="center"/>
    </xf>
    <xf numFmtId="49" fontId="30" fillId="0" borderId="0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/>
    <xf numFmtId="0" fontId="2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/>
    <xf numFmtId="49" fontId="30" fillId="0" borderId="1" xfId="0" applyNumberFormat="1" applyFont="1" applyFill="1" applyBorder="1" applyAlignment="1">
      <alignment horizontal="left" vertical="center" wrapText="1"/>
    </xf>
    <xf numFmtId="0" fontId="30" fillId="0" borderId="10" xfId="0" applyNumberFormat="1" applyFont="1" applyFill="1" applyBorder="1" applyAlignment="1">
      <alignment horizontal="center" vertical="center"/>
    </xf>
    <xf numFmtId="49" fontId="30" fillId="0" borderId="10" xfId="0" applyNumberFormat="1" applyFont="1" applyFill="1" applyBorder="1" applyAlignment="1">
      <alignment horizontal="center" vertical="center" wrapText="1"/>
    </xf>
    <xf numFmtId="49" fontId="30" fillId="0" borderId="10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9" xfId="0" applyFont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vertical="center"/>
    </xf>
    <xf numFmtId="0" fontId="31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30" fillId="0" borderId="1" xfId="0" quotePrefix="1" applyFont="1" applyFill="1" applyBorder="1" applyAlignment="1">
      <alignment horizontal="center" vertical="center"/>
    </xf>
    <xf numFmtId="0" fontId="0" fillId="0" borderId="0" xfId="0" quotePrefix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15" fontId="34" fillId="0" borderId="11" xfId="0" applyNumberFormat="1" applyFont="1" applyBorder="1" applyAlignment="1">
      <alignment horizontal="center" vertical="center"/>
    </xf>
    <xf numFmtId="16" fontId="30" fillId="0" borderId="1" xfId="0" quotePrefix="1" applyNumberFormat="1" applyFont="1" applyFill="1" applyBorder="1" applyAlignment="1">
      <alignment horizontal="center" vertical="center"/>
    </xf>
  </cellXfs>
  <cellStyles count="48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104775</xdr:rowOff>
    </xdr:from>
    <xdr:to>
      <xdr:col>1</xdr:col>
      <xdr:colOff>1009650</xdr:colOff>
      <xdr:row>2</xdr:row>
      <xdr:rowOff>190500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04775"/>
          <a:ext cx="12858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285752</xdr:colOff>
      <xdr:row>138</xdr:row>
      <xdr:rowOff>0</xdr:rowOff>
    </xdr:from>
    <xdr:to>
      <xdr:col>2</xdr:col>
      <xdr:colOff>1363582</xdr:colOff>
      <xdr:row>139</xdr:row>
      <xdr:rowOff>14794</xdr:rowOff>
    </xdr:to>
    <xdr:pic>
      <xdr:nvPicPr>
        <xdr:cNvPr id="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03195" y="17851732"/>
          <a:ext cx="395794" cy="9254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138</xdr:row>
      <xdr:rowOff>0</xdr:rowOff>
    </xdr:from>
    <xdr:to>
      <xdr:col>2</xdr:col>
      <xdr:colOff>1363582</xdr:colOff>
      <xdr:row>139</xdr:row>
      <xdr:rowOff>19874</xdr:rowOff>
    </xdr:to>
    <xdr:pic>
      <xdr:nvPicPr>
        <xdr:cNvPr id="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86380" y="20416497"/>
          <a:ext cx="229424" cy="9254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120</xdr:row>
      <xdr:rowOff>0</xdr:rowOff>
    </xdr:from>
    <xdr:to>
      <xdr:col>2</xdr:col>
      <xdr:colOff>1482925</xdr:colOff>
      <xdr:row>120</xdr:row>
      <xdr:rowOff>167194</xdr:rowOff>
    </xdr:to>
    <xdr:pic>
      <xdr:nvPicPr>
        <xdr:cNvPr id="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123</xdr:row>
      <xdr:rowOff>0</xdr:rowOff>
    </xdr:from>
    <xdr:to>
      <xdr:col>2</xdr:col>
      <xdr:colOff>1482925</xdr:colOff>
      <xdr:row>123</xdr:row>
      <xdr:rowOff>172274</xdr:rowOff>
    </xdr:to>
    <xdr:pic>
      <xdr:nvPicPr>
        <xdr:cNvPr id="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104775</xdr:rowOff>
    </xdr:from>
    <xdr:to>
      <xdr:col>1</xdr:col>
      <xdr:colOff>1009650</xdr:colOff>
      <xdr:row>2</xdr:row>
      <xdr:rowOff>190500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04775"/>
          <a:ext cx="12858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285752</xdr:colOff>
      <xdr:row>71</xdr:row>
      <xdr:rowOff>0</xdr:rowOff>
    </xdr:from>
    <xdr:to>
      <xdr:col>3</xdr:col>
      <xdr:colOff>2323</xdr:colOff>
      <xdr:row>72</xdr:row>
      <xdr:rowOff>14794</xdr:rowOff>
    </xdr:to>
    <xdr:pic>
      <xdr:nvPicPr>
        <xdr:cNvPr id="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93670" y="10555582"/>
          <a:ext cx="224344" cy="10778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71</xdr:row>
      <xdr:rowOff>0</xdr:rowOff>
    </xdr:from>
    <xdr:to>
      <xdr:col>3</xdr:col>
      <xdr:colOff>2323</xdr:colOff>
      <xdr:row>72</xdr:row>
      <xdr:rowOff>19874</xdr:rowOff>
    </xdr:to>
    <xdr:pic>
      <xdr:nvPicPr>
        <xdr:cNvPr id="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91130" y="10558122"/>
          <a:ext cx="229424" cy="10778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70</xdr:row>
      <xdr:rowOff>0</xdr:rowOff>
    </xdr:from>
    <xdr:to>
      <xdr:col>3</xdr:col>
      <xdr:colOff>2468</xdr:colOff>
      <xdr:row>70</xdr:row>
      <xdr:rowOff>167194</xdr:rowOff>
    </xdr:to>
    <xdr:pic>
      <xdr:nvPicPr>
        <xdr:cNvPr id="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81917" y="4123685"/>
          <a:ext cx="167194" cy="119717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70</xdr:row>
      <xdr:rowOff>0</xdr:rowOff>
    </xdr:from>
    <xdr:to>
      <xdr:col>3</xdr:col>
      <xdr:colOff>2468</xdr:colOff>
      <xdr:row>70</xdr:row>
      <xdr:rowOff>172274</xdr:rowOff>
    </xdr:to>
    <xdr:pic>
      <xdr:nvPicPr>
        <xdr:cNvPr id="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79377" y="7517125"/>
          <a:ext cx="172274" cy="11971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104775</xdr:rowOff>
    </xdr:from>
    <xdr:to>
      <xdr:col>1</xdr:col>
      <xdr:colOff>1009650</xdr:colOff>
      <xdr:row>2</xdr:row>
      <xdr:rowOff>190500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04775"/>
          <a:ext cx="1238249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285752</xdr:colOff>
      <xdr:row>69</xdr:row>
      <xdr:rowOff>0</xdr:rowOff>
    </xdr:from>
    <xdr:to>
      <xdr:col>3</xdr:col>
      <xdr:colOff>2323</xdr:colOff>
      <xdr:row>70</xdr:row>
      <xdr:rowOff>14794</xdr:rowOff>
    </xdr:to>
    <xdr:pic>
      <xdr:nvPicPr>
        <xdr:cNvPr id="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274051" y="14509001"/>
          <a:ext cx="220534" cy="102721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69</xdr:row>
      <xdr:rowOff>0</xdr:rowOff>
    </xdr:from>
    <xdr:to>
      <xdr:col>3</xdr:col>
      <xdr:colOff>2323</xdr:colOff>
      <xdr:row>70</xdr:row>
      <xdr:rowOff>19874</xdr:rowOff>
    </xdr:to>
    <xdr:pic>
      <xdr:nvPicPr>
        <xdr:cNvPr id="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271511" y="14511541"/>
          <a:ext cx="225614" cy="102721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69</xdr:row>
      <xdr:rowOff>0</xdr:rowOff>
    </xdr:from>
    <xdr:to>
      <xdr:col>3</xdr:col>
      <xdr:colOff>2468</xdr:colOff>
      <xdr:row>69</xdr:row>
      <xdr:rowOff>167194</xdr:rowOff>
    </xdr:to>
    <xdr:pic>
      <xdr:nvPicPr>
        <xdr:cNvPr id="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00793" y="14284139"/>
          <a:ext cx="167194" cy="102735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69</xdr:row>
      <xdr:rowOff>0</xdr:rowOff>
    </xdr:from>
    <xdr:to>
      <xdr:col>3</xdr:col>
      <xdr:colOff>2468</xdr:colOff>
      <xdr:row>69</xdr:row>
      <xdr:rowOff>172274</xdr:rowOff>
    </xdr:to>
    <xdr:pic>
      <xdr:nvPicPr>
        <xdr:cNvPr id="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298253" y="14286679"/>
          <a:ext cx="172274" cy="10273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104775</xdr:rowOff>
    </xdr:from>
    <xdr:to>
      <xdr:col>1</xdr:col>
      <xdr:colOff>1009650</xdr:colOff>
      <xdr:row>2</xdr:row>
      <xdr:rowOff>190500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04775"/>
          <a:ext cx="12858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285752</xdr:colOff>
      <xdr:row>59</xdr:row>
      <xdr:rowOff>0</xdr:rowOff>
    </xdr:from>
    <xdr:to>
      <xdr:col>3</xdr:col>
      <xdr:colOff>563482</xdr:colOff>
      <xdr:row>60</xdr:row>
      <xdr:rowOff>14794</xdr:rowOff>
    </xdr:to>
    <xdr:pic>
      <xdr:nvPicPr>
        <xdr:cNvPr id="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93670" y="10403182"/>
          <a:ext cx="224344" cy="10778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59</xdr:row>
      <xdr:rowOff>0</xdr:rowOff>
    </xdr:from>
    <xdr:to>
      <xdr:col>3</xdr:col>
      <xdr:colOff>563482</xdr:colOff>
      <xdr:row>60</xdr:row>
      <xdr:rowOff>19874</xdr:rowOff>
    </xdr:to>
    <xdr:pic>
      <xdr:nvPicPr>
        <xdr:cNvPr id="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91130" y="10405722"/>
          <a:ext cx="229424" cy="107783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682825</xdr:colOff>
      <xdr:row>52</xdr:row>
      <xdr:rowOff>167194</xdr:rowOff>
    </xdr:to>
    <xdr:pic>
      <xdr:nvPicPr>
        <xdr:cNvPr id="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81917" y="4123685"/>
          <a:ext cx="167194" cy="119717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682825</xdr:colOff>
      <xdr:row>53</xdr:row>
      <xdr:rowOff>824</xdr:rowOff>
    </xdr:to>
    <xdr:pic>
      <xdr:nvPicPr>
        <xdr:cNvPr id="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579377" y="7364725"/>
          <a:ext cx="172274" cy="11971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view="pageBreakPreview" zoomScale="70" zoomScaleNormal="100" zoomScaleSheetLayoutView="70" workbookViewId="0">
      <selection activeCell="K7" sqref="K7"/>
    </sheetView>
  </sheetViews>
  <sheetFormatPr defaultColWidth="8.8984375" defaultRowHeight="15.6"/>
  <cols>
    <col min="1" max="1" width="5" style="13" customWidth="1"/>
    <col min="2" max="2" width="11" style="13" bestFit="1" customWidth="1"/>
    <col min="3" max="3" width="22.19921875" style="13" bestFit="1" customWidth="1"/>
    <col min="4" max="4" width="11.59765625" style="13" bestFit="1" customWidth="1"/>
    <col min="5" max="5" width="27.8984375" style="32" bestFit="1" customWidth="1"/>
    <col min="6" max="6" width="7.296875" style="32" customWidth="1"/>
    <col min="7" max="7" width="10" style="13" bestFit="1" customWidth="1"/>
    <col min="8" max="8" width="13.09765625" style="13" bestFit="1" customWidth="1"/>
    <col min="9" max="9" width="15.19921875" style="13" customWidth="1"/>
    <col min="10" max="10" width="13.796875" style="14" customWidth="1"/>
    <col min="11" max="11" width="13.796875" style="15" customWidth="1"/>
    <col min="12" max="16384" width="8.8984375" style="3"/>
  </cols>
  <sheetData>
    <row r="1" spans="1:11" ht="15.75" customHeight="1">
      <c r="B1" s="37"/>
      <c r="C1" s="37"/>
      <c r="D1" s="37"/>
      <c r="E1" s="37"/>
      <c r="F1" s="37"/>
      <c r="G1" s="37"/>
      <c r="H1" s="37"/>
    </row>
    <row r="2" spans="1:11" ht="21" customHeight="1">
      <c r="A2" s="37"/>
      <c r="B2" s="37"/>
      <c r="C2" s="61" t="s">
        <v>159</v>
      </c>
      <c r="D2" s="61"/>
      <c r="E2" s="61"/>
      <c r="F2" s="61"/>
      <c r="G2" s="61"/>
      <c r="H2" s="37"/>
      <c r="I2" s="39" t="s">
        <v>153</v>
      </c>
      <c r="J2" s="39" t="s">
        <v>154</v>
      </c>
      <c r="K2" s="39" t="s">
        <v>155</v>
      </c>
    </row>
    <row r="3" spans="1:11" ht="43.5" customHeight="1">
      <c r="A3" s="4"/>
      <c r="B3" s="4"/>
      <c r="C3" s="61"/>
      <c r="D3" s="61"/>
      <c r="E3" s="61"/>
      <c r="F3" s="61"/>
      <c r="G3" s="61"/>
      <c r="H3" s="4"/>
      <c r="I3" s="38"/>
      <c r="J3" s="38"/>
      <c r="K3" s="38"/>
    </row>
    <row r="4" spans="1:11" ht="13.5" customHeight="1">
      <c r="A4" s="4"/>
      <c r="B4" s="4"/>
      <c r="C4" s="4"/>
      <c r="D4" s="4"/>
      <c r="E4" s="28"/>
      <c r="F4" s="28"/>
      <c r="G4" s="4"/>
      <c r="H4" s="4"/>
      <c r="I4" s="5"/>
      <c r="J4" s="56"/>
      <c r="K4" s="57"/>
    </row>
    <row r="5" spans="1:11" ht="30.75" customHeight="1">
      <c r="A5" s="16" t="s">
        <v>0</v>
      </c>
      <c r="B5" s="18" t="s">
        <v>160</v>
      </c>
      <c r="C5" s="18" t="s">
        <v>3</v>
      </c>
      <c r="D5" s="18" t="s">
        <v>161</v>
      </c>
      <c r="E5" s="18" t="s">
        <v>162</v>
      </c>
      <c r="F5" s="44" t="s">
        <v>2</v>
      </c>
      <c r="G5" s="18" t="s">
        <v>157</v>
      </c>
      <c r="H5" s="18" t="s">
        <v>158</v>
      </c>
      <c r="I5" s="18" t="s">
        <v>5</v>
      </c>
      <c r="J5" s="18" t="s">
        <v>152</v>
      </c>
      <c r="K5" s="18" t="s">
        <v>6</v>
      </c>
    </row>
    <row r="6" spans="1:11">
      <c r="A6" s="17">
        <v>1</v>
      </c>
      <c r="B6" s="40" t="s">
        <v>163</v>
      </c>
      <c r="C6" s="40" t="s">
        <v>164</v>
      </c>
      <c r="D6" s="40" t="s">
        <v>165</v>
      </c>
      <c r="E6" s="42" t="s">
        <v>302</v>
      </c>
      <c r="F6" s="42"/>
      <c r="G6" s="20"/>
      <c r="H6" s="20"/>
      <c r="I6" s="40">
        <v>20180221</v>
      </c>
      <c r="J6" s="20"/>
      <c r="K6" s="40"/>
    </row>
    <row r="7" spans="1:11">
      <c r="A7" s="17">
        <f t="shared" ref="A7:A123" si="0">+A6+1</f>
        <v>2</v>
      </c>
      <c r="B7" s="40" t="s">
        <v>163</v>
      </c>
      <c r="C7" s="40" t="s">
        <v>164</v>
      </c>
      <c r="D7" s="40" t="s">
        <v>166</v>
      </c>
      <c r="E7" s="42" t="s">
        <v>303</v>
      </c>
      <c r="F7" s="42"/>
      <c r="G7" s="20"/>
      <c r="H7" s="20"/>
      <c r="I7" s="40">
        <v>20180221</v>
      </c>
      <c r="J7" s="20"/>
      <c r="K7" s="40"/>
    </row>
    <row r="8" spans="1:11">
      <c r="A8" s="17">
        <v>2</v>
      </c>
      <c r="B8" s="40" t="s">
        <v>163</v>
      </c>
      <c r="C8" s="40" t="s">
        <v>41</v>
      </c>
      <c r="D8" s="40" t="s">
        <v>25</v>
      </c>
      <c r="E8" s="42" t="s">
        <v>55</v>
      </c>
      <c r="F8" s="42"/>
      <c r="G8" s="20"/>
      <c r="H8" s="20"/>
      <c r="I8" s="40">
        <v>20180221</v>
      </c>
      <c r="J8" s="20"/>
      <c r="K8" s="40"/>
    </row>
    <row r="9" spans="1:11">
      <c r="A9" s="17">
        <f t="shared" si="0"/>
        <v>3</v>
      </c>
      <c r="B9" s="40" t="s">
        <v>163</v>
      </c>
      <c r="C9" s="40" t="s">
        <v>38</v>
      </c>
      <c r="D9" s="40" t="s">
        <v>19</v>
      </c>
      <c r="E9" s="42" t="s">
        <v>48</v>
      </c>
      <c r="F9" s="42"/>
      <c r="G9" s="20"/>
      <c r="H9" s="20"/>
      <c r="I9" s="40">
        <v>20180221</v>
      </c>
      <c r="J9" s="20"/>
      <c r="K9" s="40"/>
    </row>
    <row r="10" spans="1:11">
      <c r="A10" s="17">
        <v>3</v>
      </c>
      <c r="B10" s="40" t="s">
        <v>163</v>
      </c>
      <c r="C10" s="40" t="s">
        <v>41</v>
      </c>
      <c r="D10" s="40" t="s">
        <v>26</v>
      </c>
      <c r="E10" s="42" t="s">
        <v>49</v>
      </c>
      <c r="F10" s="42"/>
      <c r="G10" s="20"/>
      <c r="H10" s="20"/>
      <c r="I10" s="40">
        <v>20180221</v>
      </c>
      <c r="J10" s="20"/>
      <c r="K10" s="40"/>
    </row>
    <row r="11" spans="1:11">
      <c r="A11" s="17">
        <f t="shared" si="0"/>
        <v>4</v>
      </c>
      <c r="B11" s="40" t="s">
        <v>163</v>
      </c>
      <c r="C11" s="40" t="s">
        <v>41</v>
      </c>
      <c r="D11" s="40" t="s">
        <v>167</v>
      </c>
      <c r="E11" s="42" t="s">
        <v>50</v>
      </c>
      <c r="F11" s="42"/>
      <c r="G11" s="20"/>
      <c r="H11" s="20"/>
      <c r="I11" s="40">
        <v>20180221</v>
      </c>
      <c r="J11" s="20"/>
      <c r="K11" s="40"/>
    </row>
    <row r="12" spans="1:11">
      <c r="A12" s="17">
        <v>4</v>
      </c>
      <c r="B12" s="40" t="s">
        <v>163</v>
      </c>
      <c r="C12" s="40" t="s">
        <v>38</v>
      </c>
      <c r="D12" s="40" t="s">
        <v>168</v>
      </c>
      <c r="E12" s="42" t="s">
        <v>49</v>
      </c>
      <c r="F12" s="42"/>
      <c r="G12" s="20"/>
      <c r="H12" s="20"/>
      <c r="I12" s="40">
        <v>20180221</v>
      </c>
      <c r="J12" s="20"/>
      <c r="K12" s="40"/>
    </row>
    <row r="13" spans="1:11">
      <c r="A13" s="17">
        <f t="shared" si="0"/>
        <v>5</v>
      </c>
      <c r="B13" s="40" t="s">
        <v>163</v>
      </c>
      <c r="C13" s="40" t="s">
        <v>37</v>
      </c>
      <c r="D13" s="40" t="s">
        <v>20</v>
      </c>
      <c r="E13" s="42" t="s">
        <v>50</v>
      </c>
      <c r="F13" s="42"/>
      <c r="G13" s="20"/>
      <c r="H13" s="20"/>
      <c r="I13" s="40">
        <v>20180221</v>
      </c>
      <c r="J13" s="20"/>
      <c r="K13" s="40"/>
    </row>
    <row r="14" spans="1:11">
      <c r="A14" s="17">
        <v>5</v>
      </c>
      <c r="B14" s="40" t="s">
        <v>163</v>
      </c>
      <c r="C14" s="40" t="s">
        <v>169</v>
      </c>
      <c r="D14" s="40" t="s">
        <v>170</v>
      </c>
      <c r="E14" s="42" t="s">
        <v>304</v>
      </c>
      <c r="F14" s="42"/>
      <c r="G14" s="20"/>
      <c r="H14" s="20"/>
      <c r="I14" s="40">
        <v>20180221</v>
      </c>
      <c r="J14" s="20"/>
      <c r="K14" s="40"/>
    </row>
    <row r="15" spans="1:11">
      <c r="A15" s="17">
        <f t="shared" si="0"/>
        <v>6</v>
      </c>
      <c r="B15" s="40" t="s">
        <v>163</v>
      </c>
      <c r="C15" s="41" t="s">
        <v>37</v>
      </c>
      <c r="D15" s="41" t="s">
        <v>15</v>
      </c>
      <c r="E15" s="42" t="s">
        <v>47</v>
      </c>
      <c r="F15" s="42"/>
      <c r="G15" s="20"/>
      <c r="H15" s="20"/>
      <c r="I15" s="40">
        <v>20180221</v>
      </c>
      <c r="J15" s="20"/>
      <c r="K15" s="40"/>
    </row>
    <row r="16" spans="1:11">
      <c r="A16" s="17">
        <v>6</v>
      </c>
      <c r="B16" s="40" t="s">
        <v>163</v>
      </c>
      <c r="C16" s="41" t="s">
        <v>38</v>
      </c>
      <c r="D16" s="41" t="s">
        <v>171</v>
      </c>
      <c r="E16" s="42" t="s">
        <v>305</v>
      </c>
      <c r="F16" s="42"/>
      <c r="G16" s="20"/>
      <c r="H16" s="20"/>
      <c r="I16" s="40">
        <v>20180221</v>
      </c>
      <c r="J16" s="20"/>
      <c r="K16" s="40"/>
    </row>
    <row r="17" spans="1:11">
      <c r="A17" s="17">
        <f t="shared" si="0"/>
        <v>7</v>
      </c>
      <c r="B17" s="40" t="s">
        <v>163</v>
      </c>
      <c r="C17" s="41" t="s">
        <v>37</v>
      </c>
      <c r="D17" s="41" t="s">
        <v>172</v>
      </c>
      <c r="E17" s="42" t="s">
        <v>49</v>
      </c>
      <c r="F17" s="42"/>
      <c r="G17" s="20"/>
      <c r="H17" s="20"/>
      <c r="I17" s="40">
        <v>20180221</v>
      </c>
      <c r="J17" s="20"/>
      <c r="K17" s="40"/>
    </row>
    <row r="18" spans="1:11">
      <c r="A18" s="17">
        <v>7</v>
      </c>
      <c r="B18" s="40" t="s">
        <v>163</v>
      </c>
      <c r="C18" s="41" t="s">
        <v>173</v>
      </c>
      <c r="D18" s="41" t="s">
        <v>174</v>
      </c>
      <c r="E18" s="42" t="s">
        <v>306</v>
      </c>
      <c r="F18" s="42"/>
      <c r="G18" s="20"/>
      <c r="H18" s="20"/>
      <c r="I18" s="40">
        <v>20180227</v>
      </c>
      <c r="J18" s="20"/>
      <c r="K18" s="40"/>
    </row>
    <row r="19" spans="1:11">
      <c r="A19" s="17">
        <f t="shared" si="0"/>
        <v>8</v>
      </c>
      <c r="B19" s="40" t="s">
        <v>163</v>
      </c>
      <c r="C19" s="41" t="s">
        <v>40</v>
      </c>
      <c r="D19" s="41" t="s">
        <v>24</v>
      </c>
      <c r="E19" s="42" t="s">
        <v>54</v>
      </c>
      <c r="F19" s="42"/>
      <c r="G19" s="20"/>
      <c r="H19" s="20"/>
      <c r="I19" s="40">
        <v>20180227</v>
      </c>
      <c r="J19" s="20"/>
      <c r="K19" s="40"/>
    </row>
    <row r="20" spans="1:11">
      <c r="A20" s="17">
        <v>8</v>
      </c>
      <c r="B20" s="40" t="s">
        <v>163</v>
      </c>
      <c r="C20" s="41" t="s">
        <v>175</v>
      </c>
      <c r="D20" s="41" t="s">
        <v>176</v>
      </c>
      <c r="E20" s="42" t="s">
        <v>307</v>
      </c>
      <c r="F20" s="42"/>
      <c r="G20" s="20"/>
      <c r="H20" s="20"/>
      <c r="I20" s="40">
        <v>20180227</v>
      </c>
      <c r="J20" s="20"/>
      <c r="K20" s="40"/>
    </row>
    <row r="21" spans="1:11">
      <c r="A21" s="17">
        <f t="shared" si="0"/>
        <v>9</v>
      </c>
      <c r="B21" s="40" t="s">
        <v>163</v>
      </c>
      <c r="C21" s="41" t="s">
        <v>177</v>
      </c>
      <c r="D21" s="41" t="s">
        <v>178</v>
      </c>
      <c r="E21" s="42" t="s">
        <v>308</v>
      </c>
      <c r="F21" s="42"/>
      <c r="G21" s="20"/>
      <c r="H21" s="20"/>
      <c r="I21" s="40">
        <v>20180227</v>
      </c>
      <c r="J21" s="20"/>
      <c r="K21" s="40"/>
    </row>
    <row r="22" spans="1:11">
      <c r="A22" s="17">
        <v>9</v>
      </c>
      <c r="B22" s="40" t="s">
        <v>163</v>
      </c>
      <c r="C22" s="41" t="s">
        <v>179</v>
      </c>
      <c r="D22" s="41" t="s">
        <v>180</v>
      </c>
      <c r="E22" s="42" t="s">
        <v>309</v>
      </c>
      <c r="F22" s="42"/>
      <c r="G22" s="20"/>
      <c r="H22" s="20"/>
      <c r="I22" s="40">
        <v>20180227</v>
      </c>
      <c r="J22" s="20"/>
      <c r="K22" s="40"/>
    </row>
    <row r="23" spans="1:11">
      <c r="A23" s="17">
        <f t="shared" si="0"/>
        <v>10</v>
      </c>
      <c r="B23" s="40" t="s">
        <v>163</v>
      </c>
      <c r="C23" s="41" t="s">
        <v>181</v>
      </c>
      <c r="D23" s="41" t="s">
        <v>182</v>
      </c>
      <c r="E23" s="42" t="s">
        <v>310</v>
      </c>
      <c r="F23" s="42"/>
      <c r="G23" s="20"/>
      <c r="H23" s="20"/>
      <c r="I23" s="40">
        <v>20180227</v>
      </c>
      <c r="J23" s="20"/>
      <c r="K23" s="40"/>
    </row>
    <row r="24" spans="1:11">
      <c r="A24" s="17">
        <v>10</v>
      </c>
      <c r="B24" s="40" t="s">
        <v>163</v>
      </c>
      <c r="C24" s="41" t="s">
        <v>181</v>
      </c>
      <c r="D24" s="41" t="s">
        <v>183</v>
      </c>
      <c r="E24" s="42" t="s">
        <v>311</v>
      </c>
      <c r="F24" s="42"/>
      <c r="G24" s="20"/>
      <c r="H24" s="20"/>
      <c r="I24" s="40">
        <v>20180227</v>
      </c>
      <c r="J24" s="20"/>
      <c r="K24" s="40"/>
    </row>
    <row r="25" spans="1:11">
      <c r="A25" s="17">
        <f t="shared" si="0"/>
        <v>11</v>
      </c>
      <c r="B25" s="40" t="s">
        <v>163</v>
      </c>
      <c r="C25" s="41" t="s">
        <v>184</v>
      </c>
      <c r="D25" s="41" t="s">
        <v>185</v>
      </c>
      <c r="E25" s="42" t="s">
        <v>312</v>
      </c>
      <c r="F25" s="42"/>
      <c r="G25" s="20"/>
      <c r="H25" s="20"/>
      <c r="I25" s="40">
        <v>20180227</v>
      </c>
      <c r="J25" s="20"/>
      <c r="K25" s="40"/>
    </row>
    <row r="26" spans="1:11">
      <c r="A26" s="17">
        <v>11</v>
      </c>
      <c r="B26" s="40" t="s">
        <v>163</v>
      </c>
      <c r="C26" s="41" t="s">
        <v>177</v>
      </c>
      <c r="D26" s="41" t="s">
        <v>186</v>
      </c>
      <c r="E26" s="42" t="s">
        <v>313</v>
      </c>
      <c r="F26" s="42"/>
      <c r="G26" s="20"/>
      <c r="H26" s="20"/>
      <c r="I26" s="40">
        <v>20180227</v>
      </c>
      <c r="J26" s="20"/>
      <c r="K26" s="40"/>
    </row>
    <row r="27" spans="1:11">
      <c r="A27" s="17">
        <f t="shared" si="0"/>
        <v>12</v>
      </c>
      <c r="B27" s="40" t="s">
        <v>163</v>
      </c>
      <c r="C27" s="41" t="s">
        <v>187</v>
      </c>
      <c r="D27" s="41" t="s">
        <v>188</v>
      </c>
      <c r="E27" s="42" t="s">
        <v>55</v>
      </c>
      <c r="F27" s="42"/>
      <c r="G27" s="20"/>
      <c r="H27" s="20"/>
      <c r="I27" s="40">
        <v>20180227</v>
      </c>
      <c r="J27" s="20"/>
      <c r="K27" s="40"/>
    </row>
    <row r="28" spans="1:11">
      <c r="A28" s="17">
        <v>12</v>
      </c>
      <c r="B28" s="40" t="s">
        <v>163</v>
      </c>
      <c r="C28" s="41" t="s">
        <v>190</v>
      </c>
      <c r="D28" s="41" t="s">
        <v>191</v>
      </c>
      <c r="E28" s="42" t="s">
        <v>314</v>
      </c>
      <c r="F28" s="42"/>
      <c r="G28" s="20"/>
      <c r="H28" s="20"/>
      <c r="I28" s="40">
        <v>20180227</v>
      </c>
      <c r="J28" s="20"/>
      <c r="K28" s="40"/>
    </row>
    <row r="29" spans="1:11">
      <c r="A29" s="17">
        <f t="shared" si="0"/>
        <v>13</v>
      </c>
      <c r="B29" s="40" t="s">
        <v>163</v>
      </c>
      <c r="C29" s="41" t="s">
        <v>190</v>
      </c>
      <c r="D29" s="41" t="s">
        <v>192</v>
      </c>
      <c r="E29" s="42" t="s">
        <v>314</v>
      </c>
      <c r="F29" s="42"/>
      <c r="G29" s="20"/>
      <c r="H29" s="20"/>
      <c r="I29" s="40">
        <v>20180227</v>
      </c>
      <c r="J29" s="20"/>
      <c r="K29" s="40"/>
    </row>
    <row r="30" spans="1:11">
      <c r="A30" s="17">
        <v>13</v>
      </c>
      <c r="B30" s="40" t="s">
        <v>189</v>
      </c>
      <c r="C30" s="41" t="s">
        <v>194</v>
      </c>
      <c r="D30" s="41" t="s">
        <v>195</v>
      </c>
      <c r="E30" s="42" t="s">
        <v>87</v>
      </c>
      <c r="F30" s="42"/>
      <c r="G30" s="20"/>
      <c r="H30" s="20"/>
      <c r="I30" s="40">
        <v>20180225</v>
      </c>
      <c r="J30" s="20"/>
      <c r="K30" s="40"/>
    </row>
    <row r="31" spans="1:11">
      <c r="A31" s="17">
        <f t="shared" si="0"/>
        <v>14</v>
      </c>
      <c r="B31" s="40" t="s">
        <v>189</v>
      </c>
      <c r="C31" s="41" t="s">
        <v>194</v>
      </c>
      <c r="D31" s="41" t="s">
        <v>196</v>
      </c>
      <c r="E31" s="42" t="s">
        <v>315</v>
      </c>
      <c r="F31" s="42"/>
      <c r="G31" s="20"/>
      <c r="H31" s="20"/>
      <c r="I31" s="40">
        <v>20180225</v>
      </c>
      <c r="J31" s="20"/>
      <c r="K31" s="40"/>
    </row>
    <row r="32" spans="1:11">
      <c r="A32" s="17">
        <v>14</v>
      </c>
      <c r="B32" s="40" t="s">
        <v>198</v>
      </c>
      <c r="C32" s="41" t="s">
        <v>199</v>
      </c>
      <c r="D32" s="41" t="s">
        <v>200</v>
      </c>
      <c r="E32" s="42" t="s">
        <v>317</v>
      </c>
      <c r="F32" s="42"/>
      <c r="G32" s="20"/>
      <c r="H32" s="20"/>
      <c r="I32" s="40">
        <v>20180325</v>
      </c>
      <c r="J32" s="20"/>
      <c r="K32" s="40"/>
    </row>
    <row r="33" spans="1:11">
      <c r="A33" s="17">
        <f t="shared" si="0"/>
        <v>15</v>
      </c>
      <c r="B33" s="40" t="s">
        <v>198</v>
      </c>
      <c r="C33" s="41" t="s">
        <v>199</v>
      </c>
      <c r="D33" s="41" t="s">
        <v>201</v>
      </c>
      <c r="E33" s="42" t="s">
        <v>318</v>
      </c>
      <c r="F33" s="42"/>
      <c r="G33" s="20"/>
      <c r="H33" s="20"/>
      <c r="I33" s="40">
        <v>20180325</v>
      </c>
      <c r="J33" s="20"/>
      <c r="K33" s="40"/>
    </row>
    <row r="34" spans="1:11">
      <c r="A34" s="17">
        <v>15</v>
      </c>
      <c r="B34" s="40" t="s">
        <v>198</v>
      </c>
      <c r="C34" s="41" t="s">
        <v>199</v>
      </c>
      <c r="D34" s="41" t="s">
        <v>202</v>
      </c>
      <c r="E34" s="42" t="s">
        <v>319</v>
      </c>
      <c r="F34" s="42"/>
      <c r="G34" s="20"/>
      <c r="H34" s="20"/>
      <c r="I34" s="40">
        <v>20180325</v>
      </c>
      <c r="J34" s="20"/>
      <c r="K34" s="40"/>
    </row>
    <row r="35" spans="1:11">
      <c r="A35" s="17">
        <f t="shared" si="0"/>
        <v>16</v>
      </c>
      <c r="B35" s="40" t="s">
        <v>189</v>
      </c>
      <c r="C35" s="41" t="s">
        <v>203</v>
      </c>
      <c r="D35" s="41" t="s">
        <v>204</v>
      </c>
      <c r="E35" s="42" t="s">
        <v>320</v>
      </c>
      <c r="F35" s="42"/>
      <c r="G35" s="20"/>
      <c r="H35" s="20"/>
      <c r="I35" s="40">
        <v>20180327</v>
      </c>
      <c r="J35" s="20"/>
      <c r="K35" s="40"/>
    </row>
    <row r="36" spans="1:11">
      <c r="A36" s="17">
        <v>16</v>
      </c>
      <c r="B36" s="40" t="s">
        <v>198</v>
      </c>
      <c r="C36" s="41" t="s">
        <v>205</v>
      </c>
      <c r="D36" s="41" t="s">
        <v>206</v>
      </c>
      <c r="E36" s="42" t="s">
        <v>321</v>
      </c>
      <c r="F36" s="42"/>
      <c r="G36" s="20"/>
      <c r="H36" s="20"/>
      <c r="I36" s="40">
        <v>20180410</v>
      </c>
      <c r="J36" s="20"/>
      <c r="K36" s="40"/>
    </row>
    <row r="37" spans="1:11">
      <c r="A37" s="17">
        <f t="shared" si="0"/>
        <v>17</v>
      </c>
      <c r="B37" s="40" t="s">
        <v>198</v>
      </c>
      <c r="C37" s="41" t="s">
        <v>205</v>
      </c>
      <c r="D37" s="41" t="s">
        <v>207</v>
      </c>
      <c r="E37" s="42" t="s">
        <v>322</v>
      </c>
      <c r="F37" s="42"/>
      <c r="G37" s="20"/>
      <c r="H37" s="20"/>
      <c r="I37" s="40">
        <v>20180410</v>
      </c>
      <c r="J37" s="20"/>
      <c r="K37" s="40"/>
    </row>
    <row r="38" spans="1:11">
      <c r="A38" s="17">
        <v>17</v>
      </c>
      <c r="B38" s="40" t="s">
        <v>198</v>
      </c>
      <c r="C38" s="41" t="s">
        <v>205</v>
      </c>
      <c r="D38" s="41" t="s">
        <v>208</v>
      </c>
      <c r="E38" s="42" t="s">
        <v>323</v>
      </c>
      <c r="F38" s="42"/>
      <c r="G38" s="20"/>
      <c r="H38" s="20"/>
      <c r="I38" s="40">
        <v>20180410</v>
      </c>
      <c r="J38" s="20"/>
      <c r="K38" s="40"/>
    </row>
    <row r="39" spans="1:11">
      <c r="A39" s="17">
        <f t="shared" si="0"/>
        <v>18</v>
      </c>
      <c r="B39" s="40" t="s">
        <v>198</v>
      </c>
      <c r="C39" s="41" t="s">
        <v>205</v>
      </c>
      <c r="D39" s="41" t="s">
        <v>209</v>
      </c>
      <c r="E39" s="42" t="s">
        <v>324</v>
      </c>
      <c r="F39" s="42"/>
      <c r="G39" s="20"/>
      <c r="H39" s="20"/>
      <c r="I39" s="40">
        <v>20180410</v>
      </c>
      <c r="J39" s="20"/>
      <c r="K39" s="40"/>
    </row>
    <row r="40" spans="1:11">
      <c r="A40" s="17">
        <v>18</v>
      </c>
      <c r="B40" s="40" t="s">
        <v>198</v>
      </c>
      <c r="C40" s="41" t="s">
        <v>205</v>
      </c>
      <c r="D40" s="41" t="s">
        <v>210</v>
      </c>
      <c r="E40" s="42" t="s">
        <v>325</v>
      </c>
      <c r="F40" s="42"/>
      <c r="G40" s="20"/>
      <c r="H40" s="20"/>
      <c r="I40" s="40">
        <v>20180410</v>
      </c>
      <c r="J40" s="20"/>
      <c r="K40" s="40"/>
    </row>
    <row r="41" spans="1:11">
      <c r="A41" s="17">
        <f t="shared" si="0"/>
        <v>19</v>
      </c>
      <c r="B41" s="40" t="s">
        <v>198</v>
      </c>
      <c r="C41" s="41" t="s">
        <v>205</v>
      </c>
      <c r="D41" s="41" t="s">
        <v>211</v>
      </c>
      <c r="E41" s="42" t="s">
        <v>326</v>
      </c>
      <c r="F41" s="42"/>
      <c r="G41" s="20"/>
      <c r="H41" s="20"/>
      <c r="I41" s="40">
        <v>20180410</v>
      </c>
      <c r="J41" s="20"/>
      <c r="K41" s="40"/>
    </row>
    <row r="42" spans="1:11">
      <c r="A42" s="17">
        <v>19</v>
      </c>
      <c r="B42" s="40" t="s">
        <v>189</v>
      </c>
      <c r="C42" s="41" t="s">
        <v>95</v>
      </c>
      <c r="D42" s="41" t="s">
        <v>212</v>
      </c>
      <c r="E42" s="42" t="s">
        <v>83</v>
      </c>
      <c r="F42" s="42"/>
      <c r="G42" s="20"/>
      <c r="H42" s="20"/>
      <c r="I42" s="40"/>
      <c r="J42" s="20"/>
      <c r="K42" s="40"/>
    </row>
    <row r="43" spans="1:11">
      <c r="A43" s="17">
        <f t="shared" si="0"/>
        <v>20</v>
      </c>
      <c r="B43" s="40" t="s">
        <v>198</v>
      </c>
      <c r="C43" s="41" t="s">
        <v>205</v>
      </c>
      <c r="D43" s="41" t="s">
        <v>213</v>
      </c>
      <c r="E43" s="42" t="s">
        <v>327</v>
      </c>
      <c r="F43" s="42"/>
      <c r="G43" s="20"/>
      <c r="H43" s="20"/>
      <c r="I43" s="40">
        <v>20180410</v>
      </c>
      <c r="J43" s="20"/>
      <c r="K43" s="40"/>
    </row>
    <row r="44" spans="1:11">
      <c r="A44" s="17">
        <v>20</v>
      </c>
      <c r="B44" s="40" t="s">
        <v>198</v>
      </c>
      <c r="C44" s="41" t="s">
        <v>205</v>
      </c>
      <c r="D44" s="41" t="s">
        <v>214</v>
      </c>
      <c r="E44" s="42" t="s">
        <v>44</v>
      </c>
      <c r="F44" s="42"/>
      <c r="G44" s="20"/>
      <c r="H44" s="20"/>
      <c r="I44" s="40">
        <v>20180410</v>
      </c>
      <c r="J44" s="20"/>
      <c r="K44" s="40"/>
    </row>
    <row r="45" spans="1:11">
      <c r="A45" s="17">
        <f t="shared" si="0"/>
        <v>21</v>
      </c>
      <c r="B45" s="40" t="s">
        <v>198</v>
      </c>
      <c r="C45" s="41" t="s">
        <v>205</v>
      </c>
      <c r="D45" s="41" t="s">
        <v>215</v>
      </c>
      <c r="E45" s="42" t="s">
        <v>328</v>
      </c>
      <c r="F45" s="42"/>
      <c r="G45" s="20"/>
      <c r="H45" s="20"/>
      <c r="I45" s="40">
        <v>20180410</v>
      </c>
      <c r="J45" s="20"/>
      <c r="K45" s="40"/>
    </row>
    <row r="46" spans="1:11">
      <c r="A46" s="17">
        <v>21</v>
      </c>
      <c r="B46" s="40" t="s">
        <v>198</v>
      </c>
      <c r="C46" s="41" t="s">
        <v>205</v>
      </c>
      <c r="D46" s="41" t="s">
        <v>216</v>
      </c>
      <c r="E46" s="42" t="s">
        <v>328</v>
      </c>
      <c r="F46" s="42"/>
      <c r="G46" s="20"/>
      <c r="H46" s="20"/>
      <c r="I46" s="40">
        <v>20180410</v>
      </c>
      <c r="J46" s="20"/>
      <c r="K46" s="40"/>
    </row>
    <row r="47" spans="1:11">
      <c r="A47" s="17">
        <f t="shared" si="0"/>
        <v>22</v>
      </c>
      <c r="B47" s="40" t="s">
        <v>198</v>
      </c>
      <c r="C47" s="41" t="s">
        <v>205</v>
      </c>
      <c r="D47" s="41" t="s">
        <v>217</v>
      </c>
      <c r="E47" s="42" t="s">
        <v>329</v>
      </c>
      <c r="F47" s="42"/>
      <c r="G47" s="20"/>
      <c r="H47" s="20"/>
      <c r="I47" s="40">
        <v>20180410</v>
      </c>
      <c r="J47" s="20"/>
      <c r="K47" s="40"/>
    </row>
    <row r="48" spans="1:11">
      <c r="A48" s="17">
        <v>22</v>
      </c>
      <c r="B48" s="40" t="s">
        <v>189</v>
      </c>
      <c r="C48" s="41" t="s">
        <v>218</v>
      </c>
      <c r="D48" s="41" t="s">
        <v>219</v>
      </c>
      <c r="E48" s="42" t="s">
        <v>84</v>
      </c>
      <c r="F48" s="42"/>
      <c r="G48" s="20"/>
      <c r="H48" s="20"/>
      <c r="I48" s="40"/>
      <c r="J48" s="20"/>
      <c r="K48" s="40"/>
    </row>
    <row r="49" spans="1:11">
      <c r="A49" s="17">
        <f t="shared" si="0"/>
        <v>23</v>
      </c>
      <c r="B49" s="40" t="s">
        <v>198</v>
      </c>
      <c r="C49" s="41" t="s">
        <v>199</v>
      </c>
      <c r="D49" s="41" t="s">
        <v>220</v>
      </c>
      <c r="E49" s="42" t="s">
        <v>329</v>
      </c>
      <c r="F49" s="42"/>
      <c r="G49" s="20"/>
      <c r="H49" s="20"/>
      <c r="I49" s="40">
        <v>20180405</v>
      </c>
      <c r="J49" s="20"/>
      <c r="K49" s="40"/>
    </row>
    <row r="50" spans="1:11">
      <c r="A50" s="17">
        <v>23</v>
      </c>
      <c r="B50" s="40" t="s">
        <v>198</v>
      </c>
      <c r="C50" s="41" t="s">
        <v>221</v>
      </c>
      <c r="D50" s="41" t="s">
        <v>222</v>
      </c>
      <c r="E50" s="42" t="s">
        <v>330</v>
      </c>
      <c r="F50" s="42"/>
      <c r="G50" s="20"/>
      <c r="H50" s="20"/>
      <c r="I50" s="40">
        <v>20180410</v>
      </c>
      <c r="J50" s="20"/>
      <c r="K50" s="40"/>
    </row>
    <row r="51" spans="1:11">
      <c r="A51" s="17">
        <f t="shared" si="0"/>
        <v>24</v>
      </c>
      <c r="B51" s="40" t="s">
        <v>189</v>
      </c>
      <c r="C51" s="41" t="s">
        <v>193</v>
      </c>
      <c r="D51" s="41" t="s">
        <v>223</v>
      </c>
      <c r="E51" s="42" t="s">
        <v>331</v>
      </c>
      <c r="F51" s="42"/>
      <c r="G51" s="20"/>
      <c r="H51" s="20"/>
      <c r="I51" s="40">
        <v>20180425</v>
      </c>
      <c r="J51" s="20"/>
      <c r="K51" s="40"/>
    </row>
    <row r="52" spans="1:11">
      <c r="A52" s="17">
        <v>24</v>
      </c>
      <c r="B52" s="40" t="s">
        <v>189</v>
      </c>
      <c r="C52" s="41" t="s">
        <v>92</v>
      </c>
      <c r="D52" s="41" t="s">
        <v>224</v>
      </c>
      <c r="E52" s="42" t="s">
        <v>332</v>
      </c>
      <c r="F52" s="42"/>
      <c r="G52" s="20"/>
      <c r="H52" s="20"/>
      <c r="I52" s="40">
        <v>20180425</v>
      </c>
      <c r="J52" s="20"/>
      <c r="K52" s="40"/>
    </row>
    <row r="53" spans="1:11">
      <c r="A53" s="17">
        <f t="shared" si="0"/>
        <v>25</v>
      </c>
      <c r="B53" s="40" t="s">
        <v>189</v>
      </c>
      <c r="C53" s="41" t="s">
        <v>203</v>
      </c>
      <c r="D53" s="41" t="s">
        <v>225</v>
      </c>
      <c r="E53" s="42" t="s">
        <v>320</v>
      </c>
      <c r="F53" s="42"/>
      <c r="G53" s="20"/>
      <c r="H53" s="20"/>
      <c r="I53" s="40"/>
      <c r="J53" s="20"/>
      <c r="K53" s="40"/>
    </row>
    <row r="54" spans="1:11">
      <c r="A54" s="17">
        <v>25</v>
      </c>
      <c r="B54" s="40" t="s">
        <v>198</v>
      </c>
      <c r="C54" s="41" t="s">
        <v>199</v>
      </c>
      <c r="D54" s="41" t="s">
        <v>226</v>
      </c>
      <c r="E54" s="42" t="s">
        <v>333</v>
      </c>
      <c r="F54" s="42"/>
      <c r="G54" s="20"/>
      <c r="H54" s="20"/>
      <c r="I54" s="40">
        <v>20180416</v>
      </c>
      <c r="J54" s="20"/>
      <c r="K54" s="40"/>
    </row>
    <row r="55" spans="1:11">
      <c r="A55" s="17">
        <f t="shared" si="0"/>
        <v>26</v>
      </c>
      <c r="B55" s="40" t="s">
        <v>198</v>
      </c>
      <c r="C55" s="41" t="s">
        <v>199</v>
      </c>
      <c r="D55" s="41" t="s">
        <v>227</v>
      </c>
      <c r="E55" s="42" t="s">
        <v>334</v>
      </c>
      <c r="F55" s="42"/>
      <c r="G55" s="20"/>
      <c r="H55" s="20"/>
      <c r="I55" s="40">
        <v>20180416</v>
      </c>
      <c r="J55" s="20"/>
      <c r="K55" s="40"/>
    </row>
    <row r="56" spans="1:11">
      <c r="A56" s="17">
        <v>26</v>
      </c>
      <c r="B56" s="40" t="s">
        <v>198</v>
      </c>
      <c r="C56" s="41" t="s">
        <v>199</v>
      </c>
      <c r="D56" s="41" t="s">
        <v>228</v>
      </c>
      <c r="E56" s="42" t="s">
        <v>335</v>
      </c>
      <c r="F56" s="42"/>
      <c r="G56" s="20"/>
      <c r="H56" s="20"/>
      <c r="I56" s="40">
        <v>20180416</v>
      </c>
      <c r="J56" s="20"/>
      <c r="K56" s="40"/>
    </row>
    <row r="57" spans="1:11">
      <c r="A57" s="17">
        <f t="shared" si="0"/>
        <v>27</v>
      </c>
      <c r="B57" s="40" t="s">
        <v>189</v>
      </c>
      <c r="C57" s="41" t="s">
        <v>89</v>
      </c>
      <c r="D57" s="41" t="s">
        <v>229</v>
      </c>
      <c r="E57" s="42" t="s">
        <v>336</v>
      </c>
      <c r="F57" s="42"/>
      <c r="G57" s="20"/>
      <c r="H57" s="20"/>
      <c r="I57" s="40">
        <v>20180525</v>
      </c>
      <c r="J57" s="20"/>
      <c r="K57" s="40"/>
    </row>
    <row r="58" spans="1:11">
      <c r="A58" s="17">
        <v>27</v>
      </c>
      <c r="B58" s="40" t="s">
        <v>189</v>
      </c>
      <c r="C58" s="41" t="s">
        <v>89</v>
      </c>
      <c r="D58" s="41" t="s">
        <v>230</v>
      </c>
      <c r="E58" s="42" t="s">
        <v>336</v>
      </c>
      <c r="F58" s="42"/>
      <c r="G58" s="20"/>
      <c r="H58" s="20"/>
      <c r="I58" s="40"/>
      <c r="J58" s="20"/>
      <c r="K58" s="40"/>
    </row>
    <row r="59" spans="1:11">
      <c r="A59" s="17">
        <f t="shared" si="0"/>
        <v>28</v>
      </c>
      <c r="B59" s="40" t="s">
        <v>189</v>
      </c>
      <c r="C59" s="41" t="s">
        <v>197</v>
      </c>
      <c r="D59" s="41" t="s">
        <v>231</v>
      </c>
      <c r="E59" s="42" t="s">
        <v>316</v>
      </c>
      <c r="F59" s="42"/>
      <c r="G59" s="20"/>
      <c r="H59" s="20"/>
      <c r="I59" s="40"/>
      <c r="J59" s="20"/>
      <c r="K59" s="40"/>
    </row>
    <row r="60" spans="1:11">
      <c r="A60" s="17">
        <v>28</v>
      </c>
      <c r="B60" s="40" t="s">
        <v>189</v>
      </c>
      <c r="C60" s="41" t="s">
        <v>94</v>
      </c>
      <c r="D60" s="41" t="s">
        <v>232</v>
      </c>
      <c r="E60" s="42" t="s">
        <v>82</v>
      </c>
      <c r="F60" s="42"/>
      <c r="G60" s="20"/>
      <c r="H60" s="20"/>
      <c r="I60" s="40"/>
      <c r="J60" s="20"/>
      <c r="K60" s="40"/>
    </row>
    <row r="61" spans="1:11">
      <c r="A61" s="17">
        <f t="shared" si="0"/>
        <v>29</v>
      </c>
      <c r="B61" s="40" t="s">
        <v>189</v>
      </c>
      <c r="C61" s="41" t="s">
        <v>203</v>
      </c>
      <c r="D61" s="41" t="s">
        <v>233</v>
      </c>
      <c r="E61" s="42" t="s">
        <v>320</v>
      </c>
      <c r="F61" s="42"/>
      <c r="G61" s="20"/>
      <c r="H61" s="20"/>
      <c r="I61" s="40"/>
      <c r="J61" s="20"/>
      <c r="K61" s="40"/>
    </row>
    <row r="62" spans="1:11">
      <c r="A62" s="17">
        <v>29</v>
      </c>
      <c r="B62" s="40" t="s">
        <v>189</v>
      </c>
      <c r="C62" s="41" t="s">
        <v>203</v>
      </c>
      <c r="D62" s="41" t="s">
        <v>234</v>
      </c>
      <c r="E62" s="42" t="s">
        <v>320</v>
      </c>
      <c r="F62" s="42"/>
      <c r="G62" s="20"/>
      <c r="H62" s="20"/>
      <c r="I62" s="40"/>
      <c r="J62" s="20"/>
      <c r="K62" s="40"/>
    </row>
    <row r="63" spans="1:11">
      <c r="A63" s="17">
        <f t="shared" si="0"/>
        <v>30</v>
      </c>
      <c r="B63" s="40" t="s">
        <v>189</v>
      </c>
      <c r="C63" s="41" t="s">
        <v>218</v>
      </c>
      <c r="D63" s="41" t="s">
        <v>235</v>
      </c>
      <c r="E63" s="42" t="s">
        <v>84</v>
      </c>
      <c r="F63" s="42"/>
      <c r="G63" s="20"/>
      <c r="H63" s="20"/>
      <c r="I63" s="40"/>
      <c r="J63" s="20"/>
      <c r="K63" s="40"/>
    </row>
    <row r="64" spans="1:11">
      <c r="A64" s="17">
        <v>30</v>
      </c>
      <c r="B64" s="40" t="s">
        <v>198</v>
      </c>
      <c r="C64" s="41" t="s">
        <v>205</v>
      </c>
      <c r="D64" s="41" t="s">
        <v>236</v>
      </c>
      <c r="E64" s="42" t="s">
        <v>327</v>
      </c>
      <c r="F64" s="42"/>
      <c r="G64" s="20"/>
      <c r="H64" s="20"/>
      <c r="I64" s="40">
        <v>20180527</v>
      </c>
      <c r="J64" s="20"/>
      <c r="K64" s="40"/>
    </row>
    <row r="65" spans="1:11">
      <c r="A65" s="17">
        <f t="shared" si="0"/>
        <v>31</v>
      </c>
      <c r="B65" s="40" t="s">
        <v>198</v>
      </c>
      <c r="C65" s="41" t="s">
        <v>205</v>
      </c>
      <c r="D65" s="41" t="s">
        <v>237</v>
      </c>
      <c r="E65" s="42" t="s">
        <v>337</v>
      </c>
      <c r="F65" s="42"/>
      <c r="G65" s="20"/>
      <c r="H65" s="20"/>
      <c r="I65" s="40">
        <v>20180527</v>
      </c>
      <c r="J65" s="20"/>
      <c r="K65" s="40"/>
    </row>
    <row r="66" spans="1:11">
      <c r="A66" s="17">
        <v>31</v>
      </c>
      <c r="B66" s="40" t="s">
        <v>198</v>
      </c>
      <c r="C66" s="41" t="s">
        <v>205</v>
      </c>
      <c r="D66" s="41" t="s">
        <v>238</v>
      </c>
      <c r="E66" s="42" t="s">
        <v>329</v>
      </c>
      <c r="F66" s="42"/>
      <c r="G66" s="20"/>
      <c r="H66" s="20"/>
      <c r="I66" s="40">
        <v>20180610</v>
      </c>
      <c r="J66" s="20"/>
      <c r="K66" s="40"/>
    </row>
    <row r="67" spans="1:11">
      <c r="A67" s="17">
        <f t="shared" si="0"/>
        <v>32</v>
      </c>
      <c r="B67" s="40" t="s">
        <v>189</v>
      </c>
      <c r="C67" s="41" t="s">
        <v>239</v>
      </c>
      <c r="D67" s="41" t="s">
        <v>240</v>
      </c>
      <c r="E67" s="42" t="s">
        <v>338</v>
      </c>
      <c r="F67" s="42"/>
      <c r="G67" s="20"/>
      <c r="H67" s="20"/>
      <c r="I67" s="40">
        <v>20180520</v>
      </c>
      <c r="J67" s="20"/>
      <c r="K67" s="40"/>
    </row>
    <row r="68" spans="1:11">
      <c r="A68" s="17">
        <v>32</v>
      </c>
      <c r="B68" s="40" t="s">
        <v>189</v>
      </c>
      <c r="C68" s="41" t="s">
        <v>89</v>
      </c>
      <c r="D68" s="41" t="s">
        <v>241</v>
      </c>
      <c r="E68" s="42" t="s">
        <v>336</v>
      </c>
      <c r="F68" s="42"/>
      <c r="G68" s="20"/>
      <c r="H68" s="20"/>
      <c r="I68" s="40"/>
      <c r="J68" s="20"/>
      <c r="K68" s="40"/>
    </row>
    <row r="69" spans="1:11">
      <c r="A69" s="17">
        <f t="shared" si="0"/>
        <v>33</v>
      </c>
      <c r="B69" s="40" t="s">
        <v>189</v>
      </c>
      <c r="C69" s="41" t="s">
        <v>89</v>
      </c>
      <c r="D69" s="41" t="s">
        <v>242</v>
      </c>
      <c r="E69" s="42" t="s">
        <v>336</v>
      </c>
      <c r="F69" s="42"/>
      <c r="G69" s="20"/>
      <c r="H69" s="20"/>
      <c r="I69" s="40"/>
      <c r="J69" s="20"/>
      <c r="K69" s="40"/>
    </row>
    <row r="70" spans="1:11">
      <c r="A70" s="17">
        <v>33</v>
      </c>
      <c r="B70" s="40" t="s">
        <v>189</v>
      </c>
      <c r="C70" s="41" t="s">
        <v>89</v>
      </c>
      <c r="D70" s="41" t="s">
        <v>243</v>
      </c>
      <c r="E70" s="42" t="s">
        <v>336</v>
      </c>
      <c r="F70" s="42"/>
      <c r="G70" s="20"/>
      <c r="H70" s="20"/>
      <c r="I70" s="40"/>
      <c r="J70" s="20"/>
      <c r="K70" s="40"/>
    </row>
    <row r="71" spans="1:11">
      <c r="A71" s="17">
        <f t="shared" si="0"/>
        <v>34</v>
      </c>
      <c r="B71" s="40" t="s">
        <v>198</v>
      </c>
      <c r="C71" s="41" t="s">
        <v>244</v>
      </c>
      <c r="D71" s="41" t="s">
        <v>245</v>
      </c>
      <c r="E71" s="42" t="s">
        <v>330</v>
      </c>
      <c r="F71" s="42"/>
      <c r="G71" s="20"/>
      <c r="H71" s="20"/>
      <c r="I71" s="40">
        <v>20180611</v>
      </c>
      <c r="J71" s="20"/>
      <c r="K71" s="40"/>
    </row>
    <row r="72" spans="1:11">
      <c r="A72" s="17">
        <v>34</v>
      </c>
      <c r="B72" s="40" t="s">
        <v>198</v>
      </c>
      <c r="C72" s="41" t="s">
        <v>244</v>
      </c>
      <c r="D72" s="41" t="s">
        <v>246</v>
      </c>
      <c r="E72" s="42" t="s">
        <v>339</v>
      </c>
      <c r="F72" s="42"/>
      <c r="G72" s="20"/>
      <c r="H72" s="20"/>
      <c r="I72" s="40">
        <v>20180611</v>
      </c>
      <c r="J72" s="20"/>
      <c r="K72" s="40"/>
    </row>
    <row r="73" spans="1:11">
      <c r="A73" s="17">
        <f t="shared" si="0"/>
        <v>35</v>
      </c>
      <c r="B73" s="40" t="s">
        <v>198</v>
      </c>
      <c r="C73" s="41" t="s">
        <v>244</v>
      </c>
      <c r="D73" s="41" t="s">
        <v>247</v>
      </c>
      <c r="E73" s="42" t="s">
        <v>340</v>
      </c>
      <c r="F73" s="42"/>
      <c r="G73" s="20"/>
      <c r="H73" s="20"/>
      <c r="I73" s="40">
        <v>20180611</v>
      </c>
      <c r="J73" s="20"/>
      <c r="K73" s="40"/>
    </row>
    <row r="74" spans="1:11">
      <c r="A74" s="17">
        <v>35</v>
      </c>
      <c r="B74" s="40" t="s">
        <v>198</v>
      </c>
      <c r="C74" s="41" t="s">
        <v>244</v>
      </c>
      <c r="D74" s="41" t="s">
        <v>248</v>
      </c>
      <c r="E74" s="42" t="s">
        <v>341</v>
      </c>
      <c r="F74" s="42"/>
      <c r="G74" s="20"/>
      <c r="H74" s="20"/>
      <c r="I74" s="40">
        <v>20180611</v>
      </c>
      <c r="J74" s="20"/>
      <c r="K74" s="40"/>
    </row>
    <row r="75" spans="1:11">
      <c r="A75" s="17">
        <f t="shared" si="0"/>
        <v>36</v>
      </c>
      <c r="B75" s="40" t="s">
        <v>198</v>
      </c>
      <c r="C75" s="41" t="s">
        <v>205</v>
      </c>
      <c r="D75" s="41" t="s">
        <v>249</v>
      </c>
      <c r="E75" s="42" t="s">
        <v>322</v>
      </c>
      <c r="F75" s="42"/>
      <c r="G75" s="20"/>
      <c r="H75" s="20"/>
      <c r="I75" s="40">
        <v>20180620</v>
      </c>
      <c r="J75" s="20"/>
      <c r="K75" s="40"/>
    </row>
    <row r="76" spans="1:11">
      <c r="A76" s="17">
        <v>36</v>
      </c>
      <c r="B76" s="40" t="s">
        <v>189</v>
      </c>
      <c r="C76" s="41" t="s">
        <v>250</v>
      </c>
      <c r="D76" s="41" t="s">
        <v>251</v>
      </c>
      <c r="E76" s="42" t="s">
        <v>86</v>
      </c>
      <c r="F76" s="42"/>
      <c r="G76" s="20"/>
      <c r="H76" s="20"/>
      <c r="I76" s="40">
        <v>20180905</v>
      </c>
      <c r="J76" s="20"/>
      <c r="K76" s="40"/>
    </row>
    <row r="77" spans="1:11">
      <c r="A77" s="17">
        <f t="shared" si="0"/>
        <v>37</v>
      </c>
      <c r="B77" s="40" t="s">
        <v>198</v>
      </c>
      <c r="C77" s="41" t="s">
        <v>252</v>
      </c>
      <c r="D77" s="41" t="s">
        <v>253</v>
      </c>
      <c r="E77" s="42" t="s">
        <v>342</v>
      </c>
      <c r="F77" s="42"/>
      <c r="G77" s="20"/>
      <c r="H77" s="20"/>
      <c r="I77" s="40">
        <v>20180820</v>
      </c>
      <c r="J77" s="20"/>
      <c r="K77" s="40"/>
    </row>
    <row r="78" spans="1:11">
      <c r="A78" s="17">
        <v>37</v>
      </c>
      <c r="B78" s="40" t="s">
        <v>198</v>
      </c>
      <c r="C78" s="41" t="s">
        <v>252</v>
      </c>
      <c r="D78" s="41" t="s">
        <v>254</v>
      </c>
      <c r="E78" s="42" t="s">
        <v>343</v>
      </c>
      <c r="F78" s="42"/>
      <c r="G78" s="20"/>
      <c r="H78" s="20"/>
      <c r="I78" s="40">
        <v>20180820</v>
      </c>
      <c r="J78" s="20"/>
      <c r="K78" s="40"/>
    </row>
    <row r="79" spans="1:11">
      <c r="A79" s="17">
        <f t="shared" si="0"/>
        <v>38</v>
      </c>
      <c r="B79" s="40" t="s">
        <v>198</v>
      </c>
      <c r="C79" s="41" t="s">
        <v>252</v>
      </c>
      <c r="D79" s="41" t="s">
        <v>255</v>
      </c>
      <c r="E79" s="42" t="s">
        <v>344</v>
      </c>
      <c r="F79" s="42"/>
      <c r="G79" s="20"/>
      <c r="H79" s="20"/>
      <c r="I79" s="40">
        <v>20180820</v>
      </c>
      <c r="J79" s="20"/>
      <c r="K79" s="40"/>
    </row>
    <row r="80" spans="1:11">
      <c r="A80" s="17">
        <v>38</v>
      </c>
      <c r="B80" s="40" t="s">
        <v>198</v>
      </c>
      <c r="C80" s="41" t="s">
        <v>252</v>
      </c>
      <c r="D80" s="41" t="s">
        <v>256</v>
      </c>
      <c r="E80" s="42" t="s">
        <v>345</v>
      </c>
      <c r="F80" s="42"/>
      <c r="G80" s="20"/>
      <c r="H80" s="20"/>
      <c r="I80" s="40">
        <v>20180820</v>
      </c>
      <c r="J80" s="20"/>
      <c r="K80" s="40"/>
    </row>
    <row r="81" spans="1:11">
      <c r="A81" s="17">
        <f t="shared" si="0"/>
        <v>39</v>
      </c>
      <c r="B81" s="40" t="s">
        <v>198</v>
      </c>
      <c r="C81" s="41" t="s">
        <v>252</v>
      </c>
      <c r="D81" s="41" t="s">
        <v>257</v>
      </c>
      <c r="E81" s="42" t="s">
        <v>339</v>
      </c>
      <c r="F81" s="42"/>
      <c r="G81" s="20"/>
      <c r="H81" s="20"/>
      <c r="I81" s="40">
        <v>20180905</v>
      </c>
      <c r="J81" s="20"/>
      <c r="K81" s="40"/>
    </row>
    <row r="82" spans="1:11">
      <c r="A82" s="17">
        <v>39</v>
      </c>
      <c r="B82" s="40" t="s">
        <v>198</v>
      </c>
      <c r="C82" s="41" t="s">
        <v>252</v>
      </c>
      <c r="D82" s="41" t="s">
        <v>258</v>
      </c>
      <c r="E82" s="42" t="s">
        <v>346</v>
      </c>
      <c r="F82" s="42"/>
      <c r="G82" s="20"/>
      <c r="H82" s="20"/>
      <c r="I82" s="40">
        <v>20180820</v>
      </c>
      <c r="J82" s="20"/>
      <c r="K82" s="40"/>
    </row>
    <row r="83" spans="1:11">
      <c r="A83" s="17">
        <f t="shared" si="0"/>
        <v>40</v>
      </c>
      <c r="B83" s="40" t="s">
        <v>189</v>
      </c>
      <c r="C83" s="41" t="s">
        <v>259</v>
      </c>
      <c r="D83" s="41" t="s">
        <v>260</v>
      </c>
      <c r="E83" s="42" t="s">
        <v>130</v>
      </c>
      <c r="F83" s="42"/>
      <c r="G83" s="20"/>
      <c r="H83" s="20"/>
      <c r="I83" s="40">
        <v>20180805</v>
      </c>
      <c r="J83" s="20"/>
      <c r="K83" s="40"/>
    </row>
    <row r="84" spans="1:11">
      <c r="A84" s="17">
        <v>40</v>
      </c>
      <c r="B84" s="40" t="s">
        <v>189</v>
      </c>
      <c r="C84" s="41" t="s">
        <v>259</v>
      </c>
      <c r="D84" s="41" t="s">
        <v>261</v>
      </c>
      <c r="E84" s="42" t="s">
        <v>131</v>
      </c>
      <c r="F84" s="42"/>
      <c r="G84" s="20"/>
      <c r="H84" s="20"/>
      <c r="I84" s="40">
        <v>20180805</v>
      </c>
      <c r="J84" s="20"/>
      <c r="K84" s="40"/>
    </row>
    <row r="85" spans="1:11">
      <c r="A85" s="17">
        <f t="shared" si="0"/>
        <v>41</v>
      </c>
      <c r="B85" s="40" t="s">
        <v>198</v>
      </c>
      <c r="C85" s="41" t="s">
        <v>262</v>
      </c>
      <c r="D85" s="41" t="s">
        <v>263</v>
      </c>
      <c r="E85" s="42" t="s">
        <v>330</v>
      </c>
      <c r="F85" s="42"/>
      <c r="G85" s="20"/>
      <c r="H85" s="20"/>
      <c r="I85" s="40">
        <v>20180720</v>
      </c>
      <c r="J85" s="20"/>
      <c r="K85" s="40"/>
    </row>
    <row r="86" spans="1:11">
      <c r="A86" s="17">
        <v>41</v>
      </c>
      <c r="B86" s="40" t="s">
        <v>189</v>
      </c>
      <c r="C86" s="41" t="s">
        <v>262</v>
      </c>
      <c r="D86" s="41" t="s">
        <v>264</v>
      </c>
      <c r="E86" s="42" t="s">
        <v>339</v>
      </c>
      <c r="F86" s="42"/>
      <c r="G86" s="20"/>
      <c r="H86" s="20"/>
      <c r="I86" s="40">
        <v>20180720</v>
      </c>
      <c r="J86" s="20"/>
      <c r="K86" s="40"/>
    </row>
    <row r="87" spans="1:11">
      <c r="A87" s="17">
        <f t="shared" si="0"/>
        <v>42</v>
      </c>
      <c r="B87" s="40" t="s">
        <v>198</v>
      </c>
      <c r="C87" s="41" t="s">
        <v>262</v>
      </c>
      <c r="D87" s="41" t="s">
        <v>265</v>
      </c>
      <c r="E87" s="42" t="s">
        <v>340</v>
      </c>
      <c r="F87" s="42"/>
      <c r="G87" s="20"/>
      <c r="H87" s="20"/>
      <c r="I87" s="40">
        <v>20180720</v>
      </c>
      <c r="J87" s="20"/>
      <c r="K87" s="40"/>
    </row>
    <row r="88" spans="1:11">
      <c r="A88" s="17">
        <v>42</v>
      </c>
      <c r="B88" s="40" t="s">
        <v>189</v>
      </c>
      <c r="C88" s="41" t="s">
        <v>91</v>
      </c>
      <c r="D88" s="41" t="s">
        <v>266</v>
      </c>
      <c r="E88" s="42" t="s">
        <v>347</v>
      </c>
      <c r="F88" s="42"/>
      <c r="G88" s="20"/>
      <c r="H88" s="20"/>
      <c r="I88" s="40">
        <v>20180815</v>
      </c>
      <c r="J88" s="20"/>
      <c r="K88" s="40"/>
    </row>
    <row r="89" spans="1:11">
      <c r="A89" s="17">
        <f t="shared" si="0"/>
        <v>43</v>
      </c>
      <c r="B89" s="40" t="s">
        <v>198</v>
      </c>
      <c r="C89" s="41" t="s">
        <v>205</v>
      </c>
      <c r="D89" s="41" t="s">
        <v>267</v>
      </c>
      <c r="E89" s="42" t="s">
        <v>348</v>
      </c>
      <c r="F89" s="42"/>
      <c r="G89" s="20"/>
      <c r="H89" s="20"/>
      <c r="I89" s="40">
        <v>20180926</v>
      </c>
      <c r="J89" s="20"/>
      <c r="K89" s="40"/>
    </row>
    <row r="90" spans="1:11">
      <c r="A90" s="17">
        <v>43</v>
      </c>
      <c r="B90" s="40" t="s">
        <v>198</v>
      </c>
      <c r="C90" s="41" t="s">
        <v>205</v>
      </c>
      <c r="D90" s="41" t="s">
        <v>268</v>
      </c>
      <c r="E90" s="42" t="s">
        <v>349</v>
      </c>
      <c r="F90" s="42"/>
      <c r="G90" s="20"/>
      <c r="H90" s="20"/>
      <c r="I90" s="40">
        <v>20180926</v>
      </c>
      <c r="J90" s="20"/>
      <c r="K90" s="40"/>
    </row>
    <row r="91" spans="1:11">
      <c r="A91" s="17">
        <f t="shared" si="0"/>
        <v>44</v>
      </c>
      <c r="B91" s="40" t="s">
        <v>269</v>
      </c>
      <c r="C91" s="41" t="s">
        <v>112</v>
      </c>
      <c r="D91" s="41" t="s">
        <v>111</v>
      </c>
      <c r="E91" s="42" t="s">
        <v>110</v>
      </c>
      <c r="F91" s="20" t="s">
        <v>113</v>
      </c>
      <c r="G91" s="20"/>
      <c r="H91" s="20"/>
      <c r="I91" s="40">
        <v>20181007</v>
      </c>
      <c r="J91" s="20"/>
      <c r="K91" s="40"/>
    </row>
    <row r="92" spans="1:11">
      <c r="A92" s="17">
        <v>44</v>
      </c>
      <c r="B92" s="40" t="s">
        <v>198</v>
      </c>
      <c r="C92" s="41" t="s">
        <v>205</v>
      </c>
      <c r="D92" s="41" t="s">
        <v>220</v>
      </c>
      <c r="E92" s="42" t="s">
        <v>329</v>
      </c>
      <c r="F92" s="42"/>
      <c r="G92" s="20"/>
      <c r="H92" s="20"/>
      <c r="I92" s="40">
        <v>20180910</v>
      </c>
      <c r="J92" s="20"/>
      <c r="K92" s="40"/>
    </row>
    <row r="93" spans="1:11">
      <c r="A93" s="17">
        <f t="shared" si="0"/>
        <v>45</v>
      </c>
      <c r="B93" s="40" t="s">
        <v>269</v>
      </c>
      <c r="C93" s="41" t="s">
        <v>119</v>
      </c>
      <c r="D93" s="41" t="s">
        <v>118</v>
      </c>
      <c r="E93" s="42" t="s">
        <v>350</v>
      </c>
      <c r="F93" s="20" t="s">
        <v>120</v>
      </c>
      <c r="G93" s="20"/>
      <c r="H93" s="20"/>
      <c r="I93" s="40">
        <v>20181012</v>
      </c>
      <c r="J93" s="20"/>
      <c r="K93" s="40"/>
    </row>
    <row r="94" spans="1:11">
      <c r="A94" s="17">
        <v>45</v>
      </c>
      <c r="B94" s="40" t="s">
        <v>198</v>
      </c>
      <c r="C94" s="41" t="s">
        <v>270</v>
      </c>
      <c r="D94" s="41" t="s">
        <v>271</v>
      </c>
      <c r="E94" s="42" t="s">
        <v>330</v>
      </c>
      <c r="F94" s="42"/>
      <c r="G94" s="20"/>
      <c r="H94" s="20"/>
      <c r="I94" s="40">
        <v>20181115</v>
      </c>
      <c r="J94" s="20"/>
      <c r="K94" s="40"/>
    </row>
    <row r="95" spans="1:11">
      <c r="A95" s="17">
        <f t="shared" si="0"/>
        <v>46</v>
      </c>
      <c r="B95" s="40" t="s">
        <v>198</v>
      </c>
      <c r="C95" s="41" t="s">
        <v>270</v>
      </c>
      <c r="D95" s="41" t="s">
        <v>272</v>
      </c>
      <c r="E95" s="42" t="s">
        <v>351</v>
      </c>
      <c r="F95" s="42"/>
      <c r="G95" s="20"/>
      <c r="H95" s="20"/>
      <c r="I95" s="40">
        <v>20181115</v>
      </c>
      <c r="J95" s="20"/>
      <c r="K95" s="40"/>
    </row>
    <row r="96" spans="1:11">
      <c r="A96" s="17">
        <v>46</v>
      </c>
      <c r="B96" s="40" t="s">
        <v>198</v>
      </c>
      <c r="C96" s="41" t="s">
        <v>270</v>
      </c>
      <c r="D96" s="41" t="s">
        <v>273</v>
      </c>
      <c r="E96" s="42" t="s">
        <v>339</v>
      </c>
      <c r="F96" s="42"/>
      <c r="G96" s="20"/>
      <c r="H96" s="20"/>
      <c r="I96" s="40">
        <v>20181115</v>
      </c>
      <c r="J96" s="20"/>
      <c r="K96" s="40"/>
    </row>
    <row r="97" spans="1:11">
      <c r="A97" s="17">
        <f t="shared" si="0"/>
        <v>47</v>
      </c>
      <c r="B97" s="40" t="s">
        <v>198</v>
      </c>
      <c r="C97" s="41" t="s">
        <v>270</v>
      </c>
      <c r="D97" s="41" t="s">
        <v>274</v>
      </c>
      <c r="E97" s="42" t="s">
        <v>340</v>
      </c>
      <c r="F97" s="42"/>
      <c r="G97" s="20"/>
      <c r="H97" s="20"/>
      <c r="I97" s="40">
        <v>20181115</v>
      </c>
      <c r="J97" s="20"/>
      <c r="K97" s="40"/>
    </row>
    <row r="98" spans="1:11">
      <c r="A98" s="17">
        <v>47</v>
      </c>
      <c r="B98" s="40" t="s">
        <v>198</v>
      </c>
      <c r="C98" s="41" t="s">
        <v>270</v>
      </c>
      <c r="D98" s="41" t="s">
        <v>275</v>
      </c>
      <c r="E98" s="42" t="s">
        <v>352</v>
      </c>
      <c r="F98" s="42"/>
      <c r="G98" s="20"/>
      <c r="H98" s="20"/>
      <c r="I98" s="40">
        <v>20181115</v>
      </c>
      <c r="J98" s="20"/>
      <c r="K98" s="40"/>
    </row>
    <row r="99" spans="1:11">
      <c r="A99" s="17">
        <f t="shared" si="0"/>
        <v>48</v>
      </c>
      <c r="B99" s="40" t="s">
        <v>198</v>
      </c>
      <c r="C99" s="41" t="s">
        <v>270</v>
      </c>
      <c r="D99" s="41" t="s">
        <v>276</v>
      </c>
      <c r="E99" s="42" t="s">
        <v>353</v>
      </c>
      <c r="F99" s="42"/>
      <c r="G99" s="20"/>
      <c r="H99" s="20"/>
      <c r="I99" s="40">
        <v>20181115</v>
      </c>
      <c r="J99" s="20"/>
      <c r="K99" s="40"/>
    </row>
    <row r="100" spans="1:11">
      <c r="A100" s="17">
        <v>48</v>
      </c>
      <c r="B100" s="40" t="s">
        <v>198</v>
      </c>
      <c r="C100" s="41" t="s">
        <v>262</v>
      </c>
      <c r="D100" s="41" t="s">
        <v>277</v>
      </c>
      <c r="E100" s="42" t="s">
        <v>351</v>
      </c>
      <c r="F100" s="42"/>
      <c r="G100" s="20"/>
      <c r="H100" s="20"/>
      <c r="I100" s="40">
        <v>20181130</v>
      </c>
      <c r="J100" s="20"/>
      <c r="K100" s="40"/>
    </row>
    <row r="101" spans="1:11">
      <c r="A101" s="17">
        <f t="shared" si="0"/>
        <v>49</v>
      </c>
      <c r="B101" s="40" t="s">
        <v>198</v>
      </c>
      <c r="C101" s="41" t="s">
        <v>278</v>
      </c>
      <c r="D101" s="41" t="s">
        <v>279</v>
      </c>
      <c r="E101" s="42" t="s">
        <v>351</v>
      </c>
      <c r="F101" s="42"/>
      <c r="G101" s="20"/>
      <c r="H101" s="20"/>
      <c r="I101" s="40">
        <v>20181130</v>
      </c>
      <c r="J101" s="20"/>
      <c r="K101" s="40"/>
    </row>
    <row r="102" spans="1:11">
      <c r="A102" s="17">
        <v>49</v>
      </c>
      <c r="B102" s="40" t="s">
        <v>198</v>
      </c>
      <c r="C102" s="41" t="s">
        <v>278</v>
      </c>
      <c r="D102" s="41" t="s">
        <v>280</v>
      </c>
      <c r="E102" s="42" t="s">
        <v>354</v>
      </c>
      <c r="F102" s="42"/>
      <c r="G102" s="20"/>
      <c r="H102" s="20"/>
      <c r="I102" s="40">
        <v>20181130</v>
      </c>
      <c r="J102" s="20"/>
      <c r="K102" s="40"/>
    </row>
    <row r="103" spans="1:11">
      <c r="A103" s="17">
        <f t="shared" si="0"/>
        <v>50</v>
      </c>
      <c r="B103" s="40" t="s">
        <v>198</v>
      </c>
      <c r="C103" s="41" t="s">
        <v>278</v>
      </c>
      <c r="D103" s="41" t="s">
        <v>281</v>
      </c>
      <c r="E103" s="42" t="s">
        <v>339</v>
      </c>
      <c r="F103" s="42"/>
      <c r="G103" s="20"/>
      <c r="H103" s="20"/>
      <c r="I103" s="40">
        <v>20181130</v>
      </c>
      <c r="J103" s="20"/>
      <c r="K103" s="40"/>
    </row>
    <row r="104" spans="1:11">
      <c r="A104" s="17">
        <v>50</v>
      </c>
      <c r="B104" s="40" t="s">
        <v>198</v>
      </c>
      <c r="C104" s="41" t="s">
        <v>278</v>
      </c>
      <c r="D104" s="41" t="s">
        <v>282</v>
      </c>
      <c r="E104" s="42" t="s">
        <v>341</v>
      </c>
      <c r="F104" s="42"/>
      <c r="G104" s="20"/>
      <c r="H104" s="20"/>
      <c r="I104" s="40">
        <v>20181130</v>
      </c>
      <c r="J104" s="20"/>
      <c r="K104" s="40"/>
    </row>
    <row r="105" spans="1:11">
      <c r="A105" s="17">
        <f t="shared" si="0"/>
        <v>51</v>
      </c>
      <c r="B105" s="40" t="s">
        <v>198</v>
      </c>
      <c r="C105" s="41" t="s">
        <v>270</v>
      </c>
      <c r="D105" s="41" t="s">
        <v>283</v>
      </c>
      <c r="E105" s="42" t="s">
        <v>321</v>
      </c>
      <c r="F105" s="42"/>
      <c r="G105" s="20"/>
      <c r="H105" s="20"/>
      <c r="I105" s="40">
        <v>20181206</v>
      </c>
      <c r="J105" s="20"/>
      <c r="K105" s="40"/>
    </row>
    <row r="106" spans="1:11">
      <c r="A106" s="17">
        <v>51</v>
      </c>
      <c r="B106" s="40" t="s">
        <v>198</v>
      </c>
      <c r="C106" s="41" t="s">
        <v>252</v>
      </c>
      <c r="D106" s="41" t="s">
        <v>284</v>
      </c>
      <c r="E106" s="42" t="s">
        <v>339</v>
      </c>
      <c r="F106" s="42"/>
      <c r="G106" s="20"/>
      <c r="H106" s="20"/>
      <c r="I106" s="40">
        <v>20181220</v>
      </c>
      <c r="J106" s="20"/>
      <c r="K106" s="40"/>
    </row>
    <row r="107" spans="1:11">
      <c r="A107" s="17">
        <f t="shared" si="0"/>
        <v>52</v>
      </c>
      <c r="B107" s="40" t="s">
        <v>198</v>
      </c>
      <c r="C107" s="41" t="s">
        <v>270</v>
      </c>
      <c r="D107" s="41" t="s">
        <v>285</v>
      </c>
      <c r="E107" s="42" t="s">
        <v>355</v>
      </c>
      <c r="F107" s="42"/>
      <c r="G107" s="20"/>
      <c r="H107" s="20"/>
      <c r="I107" s="40">
        <v>20181220</v>
      </c>
      <c r="J107" s="20"/>
      <c r="K107" s="40"/>
    </row>
    <row r="108" spans="1:11">
      <c r="A108" s="17">
        <v>52</v>
      </c>
      <c r="B108" s="40" t="s">
        <v>198</v>
      </c>
      <c r="C108" s="41" t="s">
        <v>270</v>
      </c>
      <c r="D108" s="41" t="s">
        <v>286</v>
      </c>
      <c r="E108" s="42" t="s">
        <v>355</v>
      </c>
      <c r="F108" s="42"/>
      <c r="G108" s="20"/>
      <c r="H108" s="20"/>
      <c r="I108" s="40">
        <v>20181220</v>
      </c>
      <c r="J108" s="20"/>
      <c r="K108" s="40"/>
    </row>
    <row r="109" spans="1:11">
      <c r="A109" s="17">
        <f t="shared" si="0"/>
        <v>53</v>
      </c>
      <c r="B109" s="40" t="s">
        <v>198</v>
      </c>
      <c r="C109" s="41" t="s">
        <v>278</v>
      </c>
      <c r="D109" s="41" t="s">
        <v>287</v>
      </c>
      <c r="E109" s="42" t="s">
        <v>356</v>
      </c>
      <c r="F109" s="42"/>
      <c r="G109" s="20"/>
      <c r="H109" s="20"/>
      <c r="I109" s="40">
        <v>20181220</v>
      </c>
      <c r="J109" s="20"/>
      <c r="K109" s="40"/>
    </row>
    <row r="110" spans="1:11">
      <c r="A110" s="17">
        <v>53</v>
      </c>
      <c r="B110" s="40" t="s">
        <v>198</v>
      </c>
      <c r="C110" s="41" t="s">
        <v>278</v>
      </c>
      <c r="D110" s="41" t="s">
        <v>288</v>
      </c>
      <c r="E110" s="42" t="s">
        <v>357</v>
      </c>
      <c r="F110" s="42"/>
      <c r="G110" s="20"/>
      <c r="H110" s="20"/>
      <c r="I110" s="40">
        <v>20181220</v>
      </c>
      <c r="J110" s="20"/>
      <c r="K110" s="40"/>
    </row>
    <row r="111" spans="1:11">
      <c r="A111" s="17">
        <f t="shared" si="0"/>
        <v>54</v>
      </c>
      <c r="B111" s="40" t="s">
        <v>198</v>
      </c>
      <c r="C111" s="41" t="s">
        <v>270</v>
      </c>
      <c r="D111" s="41" t="s">
        <v>289</v>
      </c>
      <c r="E111" s="42" t="s">
        <v>358</v>
      </c>
      <c r="F111" s="42"/>
      <c r="G111" s="20"/>
      <c r="H111" s="20"/>
      <c r="I111" s="40">
        <v>20181220</v>
      </c>
      <c r="J111" s="20"/>
      <c r="K111" s="40"/>
    </row>
    <row r="112" spans="1:11">
      <c r="A112" s="17">
        <v>54</v>
      </c>
      <c r="B112" s="40" t="s">
        <v>198</v>
      </c>
      <c r="C112" s="41" t="s">
        <v>270</v>
      </c>
      <c r="D112" s="41" t="s">
        <v>290</v>
      </c>
      <c r="E112" s="42" t="s">
        <v>359</v>
      </c>
      <c r="F112" s="42"/>
      <c r="G112" s="20"/>
      <c r="H112" s="20"/>
      <c r="I112" s="40">
        <v>20181220</v>
      </c>
      <c r="J112" s="20"/>
      <c r="K112" s="40"/>
    </row>
    <row r="113" spans="1:11">
      <c r="A113" s="17">
        <f t="shared" si="0"/>
        <v>55</v>
      </c>
      <c r="B113" s="41" t="s">
        <v>198</v>
      </c>
      <c r="C113" s="41" t="s">
        <v>270</v>
      </c>
      <c r="D113" s="41" t="s">
        <v>291</v>
      </c>
      <c r="E113" s="42" t="s">
        <v>360</v>
      </c>
      <c r="F113" s="42"/>
      <c r="G113" s="20"/>
      <c r="H113" s="20"/>
      <c r="I113" s="40">
        <v>20181220</v>
      </c>
      <c r="J113" s="20"/>
      <c r="K113" s="40"/>
    </row>
    <row r="114" spans="1:11">
      <c r="A114" s="17">
        <v>55</v>
      </c>
      <c r="B114" s="41" t="s">
        <v>198</v>
      </c>
      <c r="C114" s="41" t="s">
        <v>270</v>
      </c>
      <c r="D114" s="41" t="s">
        <v>292</v>
      </c>
      <c r="E114" s="42" t="s">
        <v>361</v>
      </c>
      <c r="F114" s="42"/>
      <c r="G114" s="20"/>
      <c r="H114" s="20"/>
      <c r="I114" s="40">
        <v>20181220</v>
      </c>
      <c r="J114" s="20"/>
      <c r="K114" s="40"/>
    </row>
    <row r="115" spans="1:11">
      <c r="A115" s="17">
        <f t="shared" si="0"/>
        <v>56</v>
      </c>
      <c r="B115" s="41" t="s">
        <v>198</v>
      </c>
      <c r="C115" s="41" t="s">
        <v>270</v>
      </c>
      <c r="D115" s="41" t="s">
        <v>293</v>
      </c>
      <c r="E115" s="42" t="s">
        <v>362</v>
      </c>
      <c r="F115" s="42"/>
      <c r="G115" s="20"/>
      <c r="H115" s="20"/>
      <c r="I115" s="40">
        <v>20181220</v>
      </c>
      <c r="J115" s="20"/>
      <c r="K115" s="40"/>
    </row>
    <row r="116" spans="1:11">
      <c r="A116" s="17">
        <v>56</v>
      </c>
      <c r="B116" s="41" t="s">
        <v>198</v>
      </c>
      <c r="C116" s="41" t="s">
        <v>270</v>
      </c>
      <c r="D116" s="41" t="s">
        <v>294</v>
      </c>
      <c r="E116" s="42" t="s">
        <v>329</v>
      </c>
      <c r="F116" s="42"/>
      <c r="G116" s="20"/>
      <c r="H116" s="20"/>
      <c r="I116" s="40">
        <v>20181226</v>
      </c>
      <c r="J116" s="20"/>
      <c r="K116" s="40"/>
    </row>
    <row r="117" spans="1:11">
      <c r="A117" s="17">
        <f t="shared" si="0"/>
        <v>57</v>
      </c>
      <c r="B117" s="41" t="s">
        <v>198</v>
      </c>
      <c r="C117" s="41" t="s">
        <v>270</v>
      </c>
      <c r="D117" s="41" t="s">
        <v>295</v>
      </c>
      <c r="E117" s="42" t="s">
        <v>339</v>
      </c>
      <c r="F117" s="42"/>
      <c r="G117" s="20"/>
      <c r="H117" s="20"/>
      <c r="I117" s="40">
        <v>20181226</v>
      </c>
      <c r="J117" s="20"/>
      <c r="K117" s="40"/>
    </row>
    <row r="118" spans="1:11">
      <c r="A118" s="17">
        <v>57</v>
      </c>
      <c r="B118" s="41" t="s">
        <v>198</v>
      </c>
      <c r="C118" s="41" t="s">
        <v>270</v>
      </c>
      <c r="D118" s="41" t="s">
        <v>296</v>
      </c>
      <c r="E118" s="42" t="s">
        <v>352</v>
      </c>
      <c r="F118" s="42"/>
      <c r="G118" s="20"/>
      <c r="H118" s="20"/>
      <c r="I118" s="40">
        <v>20181226</v>
      </c>
      <c r="J118" s="20"/>
      <c r="K118" s="40"/>
    </row>
    <row r="119" spans="1:11">
      <c r="A119" s="17">
        <f t="shared" si="0"/>
        <v>58</v>
      </c>
      <c r="B119" s="41" t="s">
        <v>198</v>
      </c>
      <c r="C119" s="41" t="s">
        <v>270</v>
      </c>
      <c r="D119" s="41" t="s">
        <v>297</v>
      </c>
      <c r="E119" s="42" t="s">
        <v>353</v>
      </c>
      <c r="F119" s="42"/>
      <c r="G119" s="20"/>
      <c r="H119" s="20"/>
      <c r="I119" s="40">
        <v>20181226</v>
      </c>
      <c r="J119" s="20"/>
      <c r="K119" s="40"/>
    </row>
    <row r="120" spans="1:11">
      <c r="A120" s="17">
        <v>58</v>
      </c>
      <c r="B120" s="41" t="s">
        <v>198</v>
      </c>
      <c r="C120" s="41" t="s">
        <v>270</v>
      </c>
      <c r="D120" s="41" t="s">
        <v>298</v>
      </c>
      <c r="E120" s="42" t="s">
        <v>363</v>
      </c>
      <c r="F120" s="42"/>
      <c r="G120" s="20"/>
      <c r="H120" s="20"/>
      <c r="I120" s="40">
        <v>20181226</v>
      </c>
      <c r="J120" s="20"/>
      <c r="K120" s="40"/>
    </row>
    <row r="121" spans="1:11">
      <c r="A121" s="17">
        <f t="shared" si="0"/>
        <v>59</v>
      </c>
      <c r="B121" s="41" t="s">
        <v>198</v>
      </c>
      <c r="C121" s="41" t="s">
        <v>270</v>
      </c>
      <c r="D121" s="41" t="s">
        <v>299</v>
      </c>
      <c r="E121" s="42" t="s">
        <v>364</v>
      </c>
      <c r="F121" s="42"/>
      <c r="G121" s="20"/>
      <c r="H121" s="20"/>
      <c r="I121" s="40">
        <v>20181226</v>
      </c>
      <c r="J121" s="20"/>
      <c r="K121" s="40"/>
    </row>
    <row r="122" spans="1:11">
      <c r="A122" s="17">
        <v>59</v>
      </c>
      <c r="B122" s="41" t="s">
        <v>198</v>
      </c>
      <c r="C122" s="41" t="s">
        <v>270</v>
      </c>
      <c r="D122" s="41" t="s">
        <v>300</v>
      </c>
      <c r="E122" s="42" t="s">
        <v>365</v>
      </c>
      <c r="F122" s="42"/>
      <c r="G122" s="20"/>
      <c r="H122" s="20"/>
      <c r="I122" s="40">
        <v>20181226</v>
      </c>
      <c r="J122" s="20"/>
      <c r="K122" s="40"/>
    </row>
    <row r="123" spans="1:11">
      <c r="A123" s="17">
        <f t="shared" si="0"/>
        <v>60</v>
      </c>
      <c r="B123" s="41" t="s">
        <v>198</v>
      </c>
      <c r="C123" s="41" t="s">
        <v>278</v>
      </c>
      <c r="D123" s="41" t="s">
        <v>301</v>
      </c>
      <c r="E123" s="42" t="s">
        <v>339</v>
      </c>
      <c r="F123" s="42"/>
      <c r="G123" s="20"/>
      <c r="H123" s="20"/>
      <c r="I123" s="40">
        <v>20181226</v>
      </c>
      <c r="J123" s="20"/>
      <c r="K123" s="40"/>
    </row>
    <row r="124" spans="1:11">
      <c r="A124" s="6"/>
      <c r="B124" s="11"/>
      <c r="C124" s="6"/>
      <c r="D124" s="6"/>
      <c r="E124" s="31"/>
      <c r="F124" s="31"/>
      <c r="G124" s="6"/>
      <c r="H124" s="6"/>
      <c r="I124" s="6"/>
      <c r="J124" s="6"/>
      <c r="K124" s="9"/>
    </row>
    <row r="139" spans="1:11" ht="16.2" thickBot="1"/>
    <row r="140" spans="1:11">
      <c r="A140" s="58" t="s">
        <v>9</v>
      </c>
      <c r="B140" s="58"/>
      <c r="C140" s="58"/>
      <c r="D140" s="59" t="s">
        <v>7</v>
      </c>
      <c r="E140" s="59"/>
      <c r="F140" s="59"/>
      <c r="G140" s="59"/>
      <c r="H140" s="12"/>
      <c r="I140" s="12"/>
      <c r="J140" s="60" t="s">
        <v>8</v>
      </c>
      <c r="K140" s="60"/>
    </row>
  </sheetData>
  <autoFilter ref="A5:K123">
    <sortState ref="A6:K59">
      <sortCondition ref="I5"/>
    </sortState>
  </autoFilter>
  <mergeCells count="5">
    <mergeCell ref="J4:K4"/>
    <mergeCell ref="A140:C140"/>
    <mergeCell ref="D140:G140"/>
    <mergeCell ref="J140:K140"/>
    <mergeCell ref="C2:G3"/>
  </mergeCells>
  <conditionalFormatting sqref="K6:K123">
    <cfRule type="cellIs" dxfId="0" priority="1" operator="equal">
      <formula>"NG"</formula>
    </cfRule>
  </conditionalFormatting>
  <pageMargins left="0.68" right="0.31" top="0.53" bottom="0.53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50"/>
  <sheetViews>
    <sheetView view="pageBreakPreview" zoomScaleNormal="100" zoomScaleSheetLayoutView="100" workbookViewId="0">
      <selection activeCell="K9" sqref="K9"/>
    </sheetView>
  </sheetViews>
  <sheetFormatPr defaultColWidth="8.8984375" defaultRowHeight="15.6"/>
  <cols>
    <col min="1" max="1" width="5" style="13" customWidth="1"/>
    <col min="2" max="2" width="15.796875" style="13" customWidth="1"/>
    <col min="3" max="3" width="17.19921875" style="13" bestFit="1" customWidth="1"/>
    <col min="4" max="4" width="18.59765625" style="13" bestFit="1" customWidth="1"/>
    <col min="5" max="5" width="31.8984375" style="32" bestFit="1" customWidth="1"/>
    <col min="6" max="6" width="6.3984375" style="13" customWidth="1"/>
    <col min="7" max="7" width="10.796875" style="13" customWidth="1"/>
    <col min="8" max="8" width="13.796875" style="13" customWidth="1"/>
    <col min="9" max="9" width="13.8984375" style="14" bestFit="1" customWidth="1"/>
    <col min="10" max="10" width="13.796875" style="15" customWidth="1"/>
    <col min="11" max="16384" width="8.8984375" style="3"/>
  </cols>
  <sheetData>
    <row r="1" spans="1:10" ht="15.75" customHeight="1">
      <c r="B1" s="37"/>
      <c r="C1" s="37"/>
      <c r="D1" s="37"/>
      <c r="E1" s="37"/>
      <c r="F1" s="36"/>
      <c r="G1" s="37"/>
    </row>
    <row r="2" spans="1:10" ht="21" customHeight="1">
      <c r="A2" s="37"/>
      <c r="B2" s="37"/>
      <c r="C2" s="61" t="s">
        <v>156</v>
      </c>
      <c r="D2" s="61"/>
      <c r="E2" s="61"/>
      <c r="F2" s="61"/>
      <c r="G2" s="61"/>
      <c r="H2" s="39" t="s">
        <v>153</v>
      </c>
      <c r="I2" s="39" t="s">
        <v>154</v>
      </c>
      <c r="J2" s="39" t="s">
        <v>155</v>
      </c>
    </row>
    <row r="3" spans="1:10" ht="56.25" customHeight="1">
      <c r="A3" s="4"/>
      <c r="B3" s="4"/>
      <c r="C3" s="61"/>
      <c r="D3" s="61"/>
      <c r="E3" s="61"/>
      <c r="F3" s="61"/>
      <c r="G3" s="61"/>
      <c r="H3" s="38"/>
      <c r="I3" s="38"/>
      <c r="J3" s="38"/>
    </row>
    <row r="4" spans="1:10" ht="13.5" customHeight="1">
      <c r="A4" s="4"/>
      <c r="B4" s="4"/>
      <c r="C4" s="4"/>
      <c r="D4" s="4"/>
      <c r="E4" s="28"/>
      <c r="F4" s="4"/>
      <c r="G4" s="4"/>
      <c r="H4" s="5"/>
      <c r="I4" s="56"/>
      <c r="J4" s="57"/>
    </row>
    <row r="5" spans="1:10" ht="39" customHeight="1">
      <c r="A5" s="16" t="s">
        <v>0</v>
      </c>
      <c r="B5" s="18" t="s">
        <v>160</v>
      </c>
      <c r="C5" s="18" t="s">
        <v>3</v>
      </c>
      <c r="D5" s="18" t="s">
        <v>161</v>
      </c>
      <c r="E5" s="18" t="s">
        <v>162</v>
      </c>
      <c r="F5" s="44" t="s">
        <v>2</v>
      </c>
      <c r="G5" s="44" t="s">
        <v>441</v>
      </c>
      <c r="H5" s="44" t="s">
        <v>5</v>
      </c>
      <c r="I5" s="18" t="s">
        <v>152</v>
      </c>
      <c r="J5" s="18" t="s">
        <v>6</v>
      </c>
    </row>
    <row r="6" spans="1:10">
      <c r="A6" s="43">
        <v>1</v>
      </c>
      <c r="B6" s="41" t="s">
        <v>163</v>
      </c>
      <c r="C6" s="41" t="s">
        <v>42</v>
      </c>
      <c r="D6" s="41" t="s">
        <v>366</v>
      </c>
      <c r="E6" s="42" t="s">
        <v>417</v>
      </c>
      <c r="F6" s="45"/>
      <c r="G6" s="53" t="s">
        <v>443</v>
      </c>
      <c r="H6" s="40">
        <v>20190122</v>
      </c>
      <c r="I6" s="46">
        <v>1</v>
      </c>
      <c r="J6" s="19"/>
    </row>
    <row r="7" spans="1:10">
      <c r="A7" s="43">
        <v>2</v>
      </c>
      <c r="B7" s="41" t="s">
        <v>163</v>
      </c>
      <c r="C7" s="41" t="s">
        <v>43</v>
      </c>
      <c r="D7" s="41" t="s">
        <v>367</v>
      </c>
      <c r="E7" s="42" t="s">
        <v>418</v>
      </c>
      <c r="F7" s="45"/>
      <c r="G7" s="53" t="s">
        <v>443</v>
      </c>
      <c r="H7" s="40">
        <v>20190122</v>
      </c>
      <c r="I7" s="46">
        <v>1</v>
      </c>
      <c r="J7" s="19"/>
    </row>
    <row r="8" spans="1:10">
      <c r="A8" s="43">
        <v>3</v>
      </c>
      <c r="B8" s="41" t="s">
        <v>163</v>
      </c>
      <c r="C8" s="41" t="s">
        <v>43</v>
      </c>
      <c r="D8" s="41" t="s">
        <v>368</v>
      </c>
      <c r="E8" s="42" t="s">
        <v>417</v>
      </c>
      <c r="F8" s="45"/>
      <c r="G8" s="53" t="s">
        <v>443</v>
      </c>
      <c r="H8" s="40">
        <v>20190130</v>
      </c>
      <c r="I8" s="46">
        <v>1</v>
      </c>
      <c r="J8" s="19"/>
    </row>
    <row r="9" spans="1:10">
      <c r="A9" s="43">
        <v>4</v>
      </c>
      <c r="B9" s="41" t="s">
        <v>198</v>
      </c>
      <c r="C9" s="41" t="s">
        <v>369</v>
      </c>
      <c r="D9" s="41" t="s">
        <v>370</v>
      </c>
      <c r="E9" s="42" t="s">
        <v>419</v>
      </c>
      <c r="F9" s="45"/>
      <c r="G9" s="53" t="s">
        <v>443</v>
      </c>
      <c r="H9" s="40">
        <v>20180228</v>
      </c>
      <c r="I9" s="46">
        <v>1</v>
      </c>
      <c r="J9" s="19"/>
    </row>
    <row r="10" spans="1:10">
      <c r="A10" s="43">
        <v>5</v>
      </c>
      <c r="B10" s="41" t="s">
        <v>198</v>
      </c>
      <c r="C10" s="41" t="s">
        <v>369</v>
      </c>
      <c r="D10" s="41" t="s">
        <v>371</v>
      </c>
      <c r="E10" s="42" t="s">
        <v>420</v>
      </c>
      <c r="F10" s="45"/>
      <c r="G10" s="53" t="s">
        <v>443</v>
      </c>
      <c r="H10" s="40">
        <v>20180228</v>
      </c>
      <c r="I10" s="46">
        <v>1</v>
      </c>
      <c r="J10" s="19"/>
    </row>
    <row r="11" spans="1:10">
      <c r="A11" s="43">
        <v>6</v>
      </c>
      <c r="B11" s="41" t="s">
        <v>189</v>
      </c>
      <c r="C11" s="41" t="s">
        <v>372</v>
      </c>
      <c r="D11" s="41" t="s">
        <v>373</v>
      </c>
      <c r="E11" s="42" t="s">
        <v>132</v>
      </c>
      <c r="F11" s="45"/>
      <c r="G11" s="53" t="s">
        <v>443</v>
      </c>
      <c r="H11" s="40">
        <v>20190222</v>
      </c>
      <c r="I11" s="46">
        <v>1</v>
      </c>
      <c r="J11" s="19"/>
    </row>
    <row r="12" spans="1:10">
      <c r="A12" s="43">
        <v>7</v>
      </c>
      <c r="B12" s="41" t="s">
        <v>198</v>
      </c>
      <c r="C12" s="41" t="s">
        <v>270</v>
      </c>
      <c r="D12" s="41" t="s">
        <v>374</v>
      </c>
      <c r="E12" s="42" t="s">
        <v>339</v>
      </c>
      <c r="F12" s="45"/>
      <c r="G12" s="53" t="s">
        <v>443</v>
      </c>
      <c r="H12" s="40">
        <v>20190307</v>
      </c>
      <c r="I12" s="46">
        <v>1</v>
      </c>
      <c r="J12" s="19"/>
    </row>
    <row r="13" spans="1:10">
      <c r="A13" s="43">
        <v>8</v>
      </c>
      <c r="B13" s="41" t="s">
        <v>198</v>
      </c>
      <c r="C13" s="41" t="s">
        <v>270</v>
      </c>
      <c r="D13" s="41" t="s">
        <v>375</v>
      </c>
      <c r="E13" s="42" t="s">
        <v>339</v>
      </c>
      <c r="F13" s="45"/>
      <c r="G13" s="53" t="s">
        <v>443</v>
      </c>
      <c r="H13" s="40">
        <v>20190307</v>
      </c>
      <c r="I13" s="46">
        <v>1</v>
      </c>
      <c r="J13" s="19"/>
    </row>
    <row r="14" spans="1:10">
      <c r="A14" s="43">
        <v>9</v>
      </c>
      <c r="B14" s="41" t="s">
        <v>198</v>
      </c>
      <c r="C14" s="41" t="s">
        <v>270</v>
      </c>
      <c r="D14" s="41" t="s">
        <v>376</v>
      </c>
      <c r="E14" s="42" t="s">
        <v>339</v>
      </c>
      <c r="F14" s="45"/>
      <c r="G14" s="53" t="s">
        <v>443</v>
      </c>
      <c r="H14" s="40">
        <v>20190307</v>
      </c>
      <c r="I14" s="46">
        <v>1</v>
      </c>
      <c r="J14" s="19"/>
    </row>
    <row r="15" spans="1:10">
      <c r="A15" s="43">
        <v>10</v>
      </c>
      <c r="B15" s="41" t="s">
        <v>198</v>
      </c>
      <c r="C15" s="41" t="s">
        <v>270</v>
      </c>
      <c r="D15" s="41" t="s">
        <v>377</v>
      </c>
      <c r="E15" s="42" t="s">
        <v>339</v>
      </c>
      <c r="F15" s="45"/>
      <c r="G15" s="53" t="s">
        <v>443</v>
      </c>
      <c r="H15" s="40">
        <v>20190307</v>
      </c>
      <c r="I15" s="46">
        <v>1</v>
      </c>
      <c r="J15" s="19"/>
    </row>
    <row r="16" spans="1:10">
      <c r="A16" s="43">
        <v>11</v>
      </c>
      <c r="B16" s="41" t="s">
        <v>198</v>
      </c>
      <c r="C16" s="41" t="s">
        <v>205</v>
      </c>
      <c r="D16" s="41" t="s">
        <v>378</v>
      </c>
      <c r="E16" s="42" t="s">
        <v>322</v>
      </c>
      <c r="F16" s="45"/>
      <c r="G16" s="53" t="s">
        <v>443</v>
      </c>
      <c r="H16" s="40">
        <v>20190307</v>
      </c>
      <c r="I16" s="46">
        <v>1</v>
      </c>
      <c r="J16" s="19"/>
    </row>
    <row r="17" spans="1:10">
      <c r="A17" s="43">
        <v>12</v>
      </c>
      <c r="B17" s="41" t="s">
        <v>198</v>
      </c>
      <c r="C17" s="41" t="s">
        <v>205</v>
      </c>
      <c r="D17" s="41" t="s">
        <v>379</v>
      </c>
      <c r="E17" s="42" t="s">
        <v>322</v>
      </c>
      <c r="F17" s="45"/>
      <c r="G17" s="53" t="s">
        <v>443</v>
      </c>
      <c r="H17" s="40">
        <v>20190307</v>
      </c>
      <c r="I17" s="46">
        <v>1</v>
      </c>
      <c r="J17" s="19"/>
    </row>
    <row r="18" spans="1:10">
      <c r="A18" s="43">
        <v>13</v>
      </c>
      <c r="B18" s="41" t="s">
        <v>198</v>
      </c>
      <c r="C18" s="41" t="s">
        <v>199</v>
      </c>
      <c r="D18" s="41" t="s">
        <v>380</v>
      </c>
      <c r="E18" s="42" t="s">
        <v>421</v>
      </c>
      <c r="F18" s="45"/>
      <c r="G18" s="53" t="s">
        <v>443</v>
      </c>
      <c r="H18" s="40">
        <v>20190322</v>
      </c>
      <c r="I18" s="46">
        <v>1</v>
      </c>
      <c r="J18" s="19"/>
    </row>
    <row r="19" spans="1:10">
      <c r="A19" s="43">
        <v>14</v>
      </c>
      <c r="B19" s="41" t="s">
        <v>198</v>
      </c>
      <c r="C19" s="41" t="s">
        <v>270</v>
      </c>
      <c r="D19" s="41" t="s">
        <v>381</v>
      </c>
      <c r="E19" s="42" t="s">
        <v>329</v>
      </c>
      <c r="F19" s="45"/>
      <c r="G19" s="53" t="s">
        <v>443</v>
      </c>
      <c r="H19" s="40">
        <v>20190322</v>
      </c>
      <c r="I19" s="46">
        <v>1</v>
      </c>
      <c r="J19" s="19"/>
    </row>
    <row r="20" spans="1:10">
      <c r="A20" s="43">
        <v>15</v>
      </c>
      <c r="B20" s="41" t="s">
        <v>198</v>
      </c>
      <c r="C20" s="41" t="s">
        <v>270</v>
      </c>
      <c r="D20" s="41" t="s">
        <v>382</v>
      </c>
      <c r="E20" s="42" t="s">
        <v>422</v>
      </c>
      <c r="F20" s="45"/>
      <c r="G20" s="53" t="s">
        <v>443</v>
      </c>
      <c r="H20" s="40">
        <v>20190322</v>
      </c>
      <c r="I20" s="46">
        <v>1</v>
      </c>
      <c r="J20" s="19"/>
    </row>
    <row r="21" spans="1:10">
      <c r="A21" s="43">
        <v>16</v>
      </c>
      <c r="B21" s="41" t="s">
        <v>269</v>
      </c>
      <c r="C21" s="41" t="s">
        <v>142</v>
      </c>
      <c r="D21" s="41" t="s">
        <v>141</v>
      </c>
      <c r="E21" s="42" t="s">
        <v>143</v>
      </c>
      <c r="F21" s="45" t="s">
        <v>145</v>
      </c>
      <c r="G21" s="53" t="s">
        <v>443</v>
      </c>
      <c r="H21" s="40">
        <v>20190417</v>
      </c>
      <c r="I21" s="46">
        <v>2</v>
      </c>
      <c r="J21" s="19"/>
    </row>
    <row r="22" spans="1:10">
      <c r="A22" s="43">
        <v>17</v>
      </c>
      <c r="B22" s="41" t="s">
        <v>269</v>
      </c>
      <c r="C22" s="41" t="s">
        <v>142</v>
      </c>
      <c r="D22" s="41" t="s">
        <v>141</v>
      </c>
      <c r="E22" s="42" t="s">
        <v>143</v>
      </c>
      <c r="F22" s="45" t="s">
        <v>149</v>
      </c>
      <c r="G22" s="53" t="s">
        <v>443</v>
      </c>
      <c r="H22" s="40">
        <v>20190417</v>
      </c>
      <c r="I22" s="46">
        <v>2</v>
      </c>
      <c r="J22" s="19"/>
    </row>
    <row r="23" spans="1:10">
      <c r="A23" s="43">
        <v>18</v>
      </c>
      <c r="B23" s="41" t="s">
        <v>269</v>
      </c>
      <c r="C23" s="41" t="s">
        <v>142</v>
      </c>
      <c r="D23" s="41" t="s">
        <v>141</v>
      </c>
      <c r="E23" s="42" t="s">
        <v>143</v>
      </c>
      <c r="F23" s="45" t="s">
        <v>150</v>
      </c>
      <c r="G23" s="53" t="s">
        <v>443</v>
      </c>
      <c r="H23" s="40">
        <v>20190417</v>
      </c>
      <c r="I23" s="46">
        <v>2</v>
      </c>
      <c r="J23" s="19"/>
    </row>
    <row r="24" spans="1:10">
      <c r="A24" s="43">
        <v>19</v>
      </c>
      <c r="B24" s="41" t="s">
        <v>269</v>
      </c>
      <c r="C24" s="41" t="s">
        <v>142</v>
      </c>
      <c r="D24" s="41" t="s">
        <v>141</v>
      </c>
      <c r="E24" s="42" t="s">
        <v>143</v>
      </c>
      <c r="F24" s="45" t="s">
        <v>151</v>
      </c>
      <c r="G24" s="53" t="s">
        <v>443</v>
      </c>
      <c r="H24" s="40">
        <v>20190417</v>
      </c>
      <c r="I24" s="46">
        <v>2</v>
      </c>
      <c r="J24" s="19"/>
    </row>
    <row r="25" spans="1:10">
      <c r="A25" s="43">
        <v>20</v>
      </c>
      <c r="B25" s="41" t="s">
        <v>269</v>
      </c>
      <c r="C25" s="41" t="s">
        <v>138</v>
      </c>
      <c r="D25" s="41" t="s">
        <v>137</v>
      </c>
      <c r="E25" s="42" t="s">
        <v>10</v>
      </c>
      <c r="F25" s="45" t="s">
        <v>146</v>
      </c>
      <c r="G25" s="53" t="s">
        <v>443</v>
      </c>
      <c r="H25" s="40">
        <v>20190417</v>
      </c>
      <c r="I25" s="46">
        <v>2</v>
      </c>
      <c r="J25" s="19"/>
    </row>
    <row r="26" spans="1:10">
      <c r="A26" s="43">
        <v>21</v>
      </c>
      <c r="B26" s="41" t="s">
        <v>269</v>
      </c>
      <c r="C26" s="41" t="s">
        <v>138</v>
      </c>
      <c r="D26" s="41" t="s">
        <v>137</v>
      </c>
      <c r="E26" s="42" t="s">
        <v>10</v>
      </c>
      <c r="F26" s="45" t="s">
        <v>147</v>
      </c>
      <c r="G26" s="53" t="s">
        <v>443</v>
      </c>
      <c r="H26" s="40">
        <v>20190417</v>
      </c>
      <c r="I26" s="46">
        <v>2</v>
      </c>
      <c r="J26" s="19"/>
    </row>
    <row r="27" spans="1:10">
      <c r="A27" s="43">
        <v>22</v>
      </c>
      <c r="B27" s="41" t="s">
        <v>269</v>
      </c>
      <c r="C27" s="41" t="s">
        <v>138</v>
      </c>
      <c r="D27" s="41" t="s">
        <v>137</v>
      </c>
      <c r="E27" s="42" t="s">
        <v>10</v>
      </c>
      <c r="F27" s="45" t="s">
        <v>148</v>
      </c>
      <c r="G27" s="53" t="s">
        <v>443</v>
      </c>
      <c r="H27" s="40">
        <v>20190417</v>
      </c>
      <c r="I27" s="46">
        <v>2</v>
      </c>
      <c r="J27" s="19"/>
    </row>
    <row r="28" spans="1:10">
      <c r="A28" s="43"/>
      <c r="B28" s="41" t="s">
        <v>269</v>
      </c>
      <c r="C28" s="41" t="s">
        <v>444</v>
      </c>
      <c r="D28" s="41" t="s">
        <v>445</v>
      </c>
      <c r="E28" s="42" t="s">
        <v>10</v>
      </c>
      <c r="F28" s="45" t="s">
        <v>446</v>
      </c>
      <c r="G28" s="53" t="s">
        <v>447</v>
      </c>
      <c r="H28" s="40">
        <v>20190513</v>
      </c>
      <c r="I28" s="46">
        <v>2</v>
      </c>
      <c r="J28" s="19"/>
    </row>
    <row r="29" spans="1:10">
      <c r="A29" s="43">
        <v>23</v>
      </c>
      <c r="B29" s="41" t="s">
        <v>198</v>
      </c>
      <c r="C29" s="41" t="s">
        <v>270</v>
      </c>
      <c r="D29" s="41" t="s">
        <v>383</v>
      </c>
      <c r="E29" s="42" t="s">
        <v>321</v>
      </c>
      <c r="F29" s="45"/>
      <c r="G29" s="53" t="s">
        <v>443</v>
      </c>
      <c r="H29" s="40">
        <v>20190506</v>
      </c>
      <c r="I29" s="46">
        <v>1</v>
      </c>
      <c r="J29" s="19"/>
    </row>
    <row r="30" spans="1:10">
      <c r="A30" s="43">
        <v>24</v>
      </c>
      <c r="B30" s="41" t="s">
        <v>198</v>
      </c>
      <c r="C30" s="41" t="s">
        <v>270</v>
      </c>
      <c r="D30" s="41" t="s">
        <v>384</v>
      </c>
      <c r="E30" s="42" t="s">
        <v>329</v>
      </c>
      <c r="F30" s="45"/>
      <c r="G30" s="53" t="s">
        <v>443</v>
      </c>
      <c r="H30" s="40">
        <v>20190506</v>
      </c>
      <c r="I30" s="46">
        <v>1</v>
      </c>
      <c r="J30" s="19"/>
    </row>
    <row r="31" spans="1:10">
      <c r="A31" s="43">
        <v>25</v>
      </c>
      <c r="B31" s="41" t="s">
        <v>198</v>
      </c>
      <c r="C31" s="41" t="s">
        <v>270</v>
      </c>
      <c r="D31" s="41" t="s">
        <v>385</v>
      </c>
      <c r="E31" s="42" t="s">
        <v>352</v>
      </c>
      <c r="F31" s="45"/>
      <c r="G31" s="53" t="s">
        <v>443</v>
      </c>
      <c r="H31" s="40">
        <v>20190506</v>
      </c>
      <c r="I31" s="46">
        <v>1</v>
      </c>
      <c r="J31" s="19"/>
    </row>
    <row r="32" spans="1:10">
      <c r="A32" s="43">
        <v>26</v>
      </c>
      <c r="B32" s="41" t="s">
        <v>198</v>
      </c>
      <c r="C32" s="41" t="s">
        <v>270</v>
      </c>
      <c r="D32" s="41" t="s">
        <v>386</v>
      </c>
      <c r="E32" s="42" t="s">
        <v>353</v>
      </c>
      <c r="F32" s="45"/>
      <c r="G32" s="53" t="s">
        <v>443</v>
      </c>
      <c r="H32" s="40">
        <v>20190506</v>
      </c>
      <c r="I32" s="46">
        <v>1</v>
      </c>
      <c r="J32" s="19"/>
    </row>
    <row r="33" spans="1:10">
      <c r="A33" s="43">
        <v>27</v>
      </c>
      <c r="B33" s="41" t="s">
        <v>198</v>
      </c>
      <c r="C33" s="41" t="s">
        <v>270</v>
      </c>
      <c r="D33" s="41" t="s">
        <v>387</v>
      </c>
      <c r="E33" s="42" t="s">
        <v>423</v>
      </c>
      <c r="F33" s="45"/>
      <c r="G33" s="53" t="s">
        <v>443</v>
      </c>
      <c r="H33" s="40">
        <v>20190506</v>
      </c>
      <c r="I33" s="46">
        <v>1</v>
      </c>
      <c r="J33" s="19"/>
    </row>
    <row r="34" spans="1:10">
      <c r="A34" s="43">
        <v>28</v>
      </c>
      <c r="B34" s="40" t="s">
        <v>189</v>
      </c>
      <c r="C34" s="41" t="s">
        <v>372</v>
      </c>
      <c r="D34" s="41" t="s">
        <v>388</v>
      </c>
      <c r="E34" s="42" t="s">
        <v>132</v>
      </c>
      <c r="F34" s="45"/>
      <c r="G34" s="53" t="s">
        <v>443</v>
      </c>
      <c r="H34" s="40">
        <v>20190505</v>
      </c>
      <c r="I34" s="46">
        <v>1</v>
      </c>
      <c r="J34" s="19"/>
    </row>
    <row r="35" spans="1:10">
      <c r="A35" s="43">
        <v>29</v>
      </c>
      <c r="B35" s="41" t="s">
        <v>198</v>
      </c>
      <c r="C35" s="41" t="s">
        <v>270</v>
      </c>
      <c r="D35" s="41" t="s">
        <v>389</v>
      </c>
      <c r="E35" s="42" t="s">
        <v>339</v>
      </c>
      <c r="F35" s="45"/>
      <c r="G35" s="53" t="s">
        <v>443</v>
      </c>
      <c r="H35" s="40">
        <v>20190520</v>
      </c>
      <c r="I35" s="46">
        <v>1</v>
      </c>
      <c r="J35" s="19"/>
    </row>
    <row r="36" spans="1:10">
      <c r="A36" s="43">
        <v>30</v>
      </c>
      <c r="B36" s="41" t="s">
        <v>198</v>
      </c>
      <c r="C36" s="41" t="s">
        <v>270</v>
      </c>
      <c r="D36" s="41" t="s">
        <v>390</v>
      </c>
      <c r="E36" s="42" t="s">
        <v>424</v>
      </c>
      <c r="F36" s="45"/>
      <c r="G36" s="53" t="s">
        <v>443</v>
      </c>
      <c r="H36" s="40">
        <v>20190520</v>
      </c>
      <c r="I36" s="46">
        <v>1</v>
      </c>
      <c r="J36" s="19"/>
    </row>
    <row r="37" spans="1:10">
      <c r="A37" s="43">
        <v>31</v>
      </c>
      <c r="B37" s="41" t="s">
        <v>198</v>
      </c>
      <c r="C37" s="41" t="s">
        <v>270</v>
      </c>
      <c r="D37" s="41" t="s">
        <v>391</v>
      </c>
      <c r="E37" s="42" t="s">
        <v>425</v>
      </c>
      <c r="F37" s="45"/>
      <c r="G37" s="53" t="s">
        <v>443</v>
      </c>
      <c r="H37" s="40">
        <v>20190520</v>
      </c>
      <c r="I37" s="46">
        <v>1</v>
      </c>
      <c r="J37" s="19"/>
    </row>
    <row r="38" spans="1:10">
      <c r="A38" s="43">
        <v>32</v>
      </c>
      <c r="B38" s="41" t="s">
        <v>198</v>
      </c>
      <c r="C38" s="41" t="s">
        <v>270</v>
      </c>
      <c r="D38" s="41" t="s">
        <v>392</v>
      </c>
      <c r="E38" s="42" t="s">
        <v>426</v>
      </c>
      <c r="F38" s="45"/>
      <c r="G38" s="53" t="s">
        <v>443</v>
      </c>
      <c r="H38" s="40">
        <v>20190520</v>
      </c>
      <c r="I38" s="46">
        <v>1</v>
      </c>
      <c r="J38" s="19"/>
    </row>
    <row r="39" spans="1:10">
      <c r="A39" s="43">
        <v>33</v>
      </c>
      <c r="B39" s="41" t="s">
        <v>198</v>
      </c>
      <c r="C39" s="41" t="s">
        <v>270</v>
      </c>
      <c r="D39" s="41" t="s">
        <v>393</v>
      </c>
      <c r="E39" s="42" t="s">
        <v>427</v>
      </c>
      <c r="F39" s="45"/>
      <c r="G39" s="53" t="s">
        <v>443</v>
      </c>
      <c r="H39" s="40">
        <v>20190520</v>
      </c>
      <c r="I39" s="46">
        <v>1</v>
      </c>
      <c r="J39" s="19"/>
    </row>
    <row r="40" spans="1:10">
      <c r="A40" s="43">
        <v>34</v>
      </c>
      <c r="B40" s="41" t="s">
        <v>198</v>
      </c>
      <c r="C40" s="41" t="s">
        <v>270</v>
      </c>
      <c r="D40" s="41" t="s">
        <v>394</v>
      </c>
      <c r="E40" s="42" t="s">
        <v>428</v>
      </c>
      <c r="F40" s="45"/>
      <c r="G40" s="53" t="s">
        <v>443</v>
      </c>
      <c r="H40" s="40">
        <v>20190520</v>
      </c>
      <c r="I40" s="46">
        <v>1</v>
      </c>
      <c r="J40" s="19"/>
    </row>
    <row r="41" spans="1:10">
      <c r="A41" s="43">
        <v>35</v>
      </c>
      <c r="B41" s="41" t="s">
        <v>198</v>
      </c>
      <c r="C41" s="41" t="s">
        <v>278</v>
      </c>
      <c r="D41" s="41" t="s">
        <v>395</v>
      </c>
      <c r="E41" s="42" t="s">
        <v>429</v>
      </c>
      <c r="F41" s="45"/>
      <c r="G41" s="53" t="s">
        <v>443</v>
      </c>
      <c r="H41" s="40">
        <v>20190525</v>
      </c>
      <c r="I41" s="46">
        <v>1</v>
      </c>
      <c r="J41" s="19"/>
    </row>
    <row r="42" spans="1:10">
      <c r="A42" s="43">
        <v>36</v>
      </c>
      <c r="B42" s="41" t="s">
        <v>198</v>
      </c>
      <c r="C42" s="41" t="s">
        <v>278</v>
      </c>
      <c r="D42" s="41" t="s">
        <v>396</v>
      </c>
      <c r="E42" s="42" t="s">
        <v>429</v>
      </c>
      <c r="F42" s="45"/>
      <c r="G42" s="53" t="s">
        <v>443</v>
      </c>
      <c r="H42" s="40">
        <v>20190525</v>
      </c>
      <c r="I42" s="46">
        <v>1</v>
      </c>
      <c r="J42" s="19"/>
    </row>
    <row r="43" spans="1:10">
      <c r="A43" s="43">
        <v>37</v>
      </c>
      <c r="B43" s="41" t="s">
        <v>198</v>
      </c>
      <c r="C43" s="41" t="s">
        <v>278</v>
      </c>
      <c r="D43" s="41" t="s">
        <v>397</v>
      </c>
      <c r="E43" s="42" t="s">
        <v>429</v>
      </c>
      <c r="F43" s="45"/>
      <c r="G43" s="53" t="s">
        <v>443</v>
      </c>
      <c r="H43" s="40">
        <v>20190525</v>
      </c>
      <c r="I43" s="46">
        <v>1</v>
      </c>
      <c r="J43" s="19"/>
    </row>
    <row r="44" spans="1:10">
      <c r="A44" s="43">
        <v>38</v>
      </c>
      <c r="B44" s="41" t="s">
        <v>198</v>
      </c>
      <c r="C44" s="41" t="s">
        <v>270</v>
      </c>
      <c r="D44" s="41" t="s">
        <v>398</v>
      </c>
      <c r="E44" s="42" t="s">
        <v>430</v>
      </c>
      <c r="F44" s="45"/>
      <c r="G44" s="53" t="s">
        <v>443</v>
      </c>
      <c r="H44" s="40">
        <v>20190525</v>
      </c>
      <c r="I44" s="46">
        <v>1</v>
      </c>
      <c r="J44" s="19"/>
    </row>
    <row r="45" spans="1:10">
      <c r="A45" s="43">
        <v>39</v>
      </c>
      <c r="B45" s="41" t="s">
        <v>198</v>
      </c>
      <c r="C45" s="41" t="s">
        <v>270</v>
      </c>
      <c r="D45" s="41" t="s">
        <v>399</v>
      </c>
      <c r="E45" s="42" t="s">
        <v>431</v>
      </c>
      <c r="F45" s="45"/>
      <c r="G45" s="53" t="s">
        <v>443</v>
      </c>
      <c r="H45" s="40">
        <v>20190525</v>
      </c>
      <c r="I45" s="46">
        <v>1</v>
      </c>
      <c r="J45" s="19"/>
    </row>
    <row r="46" spans="1:10">
      <c r="A46" s="43">
        <v>40</v>
      </c>
      <c r="B46" s="41" t="s">
        <v>198</v>
      </c>
      <c r="C46" s="41" t="s">
        <v>270</v>
      </c>
      <c r="D46" s="41" t="s">
        <v>400</v>
      </c>
      <c r="E46" s="42" t="s">
        <v>432</v>
      </c>
      <c r="F46" s="45"/>
      <c r="G46" s="53" t="s">
        <v>443</v>
      </c>
      <c r="H46" s="40">
        <v>20190525</v>
      </c>
      <c r="I46" s="46">
        <v>1</v>
      </c>
      <c r="J46" s="19"/>
    </row>
    <row r="47" spans="1:10">
      <c r="A47" s="43">
        <v>41</v>
      </c>
      <c r="B47" s="41" t="s">
        <v>198</v>
      </c>
      <c r="C47" s="41" t="s">
        <v>270</v>
      </c>
      <c r="D47" s="41" t="s">
        <v>401</v>
      </c>
      <c r="E47" s="42" t="s">
        <v>433</v>
      </c>
      <c r="F47" s="45"/>
      <c r="G47" s="53" t="s">
        <v>443</v>
      </c>
      <c r="H47" s="40">
        <v>20190525</v>
      </c>
      <c r="I47" s="46">
        <v>1</v>
      </c>
      <c r="J47" s="19"/>
    </row>
    <row r="48" spans="1:10">
      <c r="A48" s="43">
        <v>42</v>
      </c>
      <c r="B48" s="41" t="s">
        <v>198</v>
      </c>
      <c r="C48" s="41" t="s">
        <v>270</v>
      </c>
      <c r="D48" s="41" t="s">
        <v>402</v>
      </c>
      <c r="E48" s="42" t="s">
        <v>434</v>
      </c>
      <c r="F48" s="45"/>
      <c r="G48" s="53" t="s">
        <v>443</v>
      </c>
      <c r="H48" s="40">
        <v>20190525</v>
      </c>
      <c r="I48" s="46">
        <v>1</v>
      </c>
      <c r="J48" s="19"/>
    </row>
    <row r="49" spans="1:158">
      <c r="A49" s="43">
        <v>43</v>
      </c>
      <c r="B49" s="41" t="s">
        <v>198</v>
      </c>
      <c r="C49" s="41" t="s">
        <v>270</v>
      </c>
      <c r="D49" s="41" t="s">
        <v>403</v>
      </c>
      <c r="E49" s="42" t="s">
        <v>339</v>
      </c>
      <c r="F49" s="45"/>
      <c r="G49" s="53" t="s">
        <v>443</v>
      </c>
      <c r="H49" s="40">
        <v>20190525</v>
      </c>
      <c r="I49" s="46">
        <v>1</v>
      </c>
      <c r="J49" s="19"/>
    </row>
    <row r="50" spans="1:158">
      <c r="A50" s="43">
        <v>44</v>
      </c>
      <c r="B50" s="41" t="s">
        <v>198</v>
      </c>
      <c r="C50" s="41" t="s">
        <v>270</v>
      </c>
      <c r="D50" s="41" t="s">
        <v>404</v>
      </c>
      <c r="E50" s="42" t="s">
        <v>339</v>
      </c>
      <c r="F50" s="45"/>
      <c r="G50" s="53" t="s">
        <v>443</v>
      </c>
      <c r="H50" s="40">
        <v>20190525</v>
      </c>
      <c r="I50" s="46">
        <v>1</v>
      </c>
      <c r="J50" s="19"/>
    </row>
    <row r="51" spans="1:158">
      <c r="A51" s="43">
        <v>45</v>
      </c>
      <c r="B51" s="41" t="s">
        <v>189</v>
      </c>
      <c r="C51" s="41" t="s">
        <v>405</v>
      </c>
      <c r="D51" s="41" t="s">
        <v>406</v>
      </c>
      <c r="E51" s="42" t="s">
        <v>435</v>
      </c>
      <c r="F51" s="45"/>
      <c r="G51" s="53" t="s">
        <v>443</v>
      </c>
      <c r="H51" s="40">
        <v>20190520</v>
      </c>
      <c r="I51" s="46">
        <v>1</v>
      </c>
      <c r="J51" s="19"/>
    </row>
    <row r="52" spans="1:158">
      <c r="A52" s="43">
        <v>46</v>
      </c>
      <c r="B52" s="40" t="s">
        <v>198</v>
      </c>
      <c r="C52" s="41" t="s">
        <v>407</v>
      </c>
      <c r="D52" s="41" t="s">
        <v>408</v>
      </c>
      <c r="E52" s="42" t="s">
        <v>321</v>
      </c>
      <c r="F52" s="45"/>
      <c r="G52" s="53" t="s">
        <v>443</v>
      </c>
      <c r="H52" s="40">
        <v>20190703</v>
      </c>
      <c r="I52" s="46">
        <v>1</v>
      </c>
      <c r="J52" s="19"/>
    </row>
    <row r="53" spans="1:158">
      <c r="A53" s="43">
        <v>47</v>
      </c>
      <c r="B53" s="40" t="s">
        <v>198</v>
      </c>
      <c r="C53" s="41" t="s">
        <v>407</v>
      </c>
      <c r="D53" s="41" t="s">
        <v>409</v>
      </c>
      <c r="E53" s="42" t="s">
        <v>322</v>
      </c>
      <c r="F53" s="45"/>
      <c r="G53" s="53" t="s">
        <v>443</v>
      </c>
      <c r="H53" s="40">
        <v>20190703</v>
      </c>
      <c r="I53" s="46">
        <v>1</v>
      </c>
      <c r="J53" s="19"/>
    </row>
    <row r="54" spans="1:158">
      <c r="A54" s="43">
        <v>48</v>
      </c>
      <c r="B54" s="40" t="s">
        <v>198</v>
      </c>
      <c r="C54" s="41" t="s">
        <v>407</v>
      </c>
      <c r="D54" s="41" t="s">
        <v>410</v>
      </c>
      <c r="E54" s="42" t="s">
        <v>436</v>
      </c>
      <c r="F54" s="45"/>
      <c r="G54" s="53" t="s">
        <v>443</v>
      </c>
      <c r="H54" s="40">
        <v>20190703</v>
      </c>
      <c r="I54" s="46">
        <v>1</v>
      </c>
      <c r="J54" s="19"/>
    </row>
    <row r="55" spans="1:158">
      <c r="A55" s="43">
        <v>49</v>
      </c>
      <c r="B55" s="40" t="s">
        <v>198</v>
      </c>
      <c r="C55" s="41" t="s">
        <v>407</v>
      </c>
      <c r="D55" s="41" t="s">
        <v>411</v>
      </c>
      <c r="E55" s="42" t="s">
        <v>329</v>
      </c>
      <c r="F55" s="45"/>
      <c r="G55" s="53" t="s">
        <v>443</v>
      </c>
      <c r="H55" s="40">
        <v>20190703</v>
      </c>
      <c r="I55" s="46">
        <v>1</v>
      </c>
      <c r="J55" s="19"/>
    </row>
    <row r="56" spans="1:158">
      <c r="A56" s="43">
        <v>50</v>
      </c>
      <c r="B56" s="40" t="s">
        <v>198</v>
      </c>
      <c r="C56" s="41" t="s">
        <v>407</v>
      </c>
      <c r="D56" s="41" t="s">
        <v>412</v>
      </c>
      <c r="E56" s="42" t="s">
        <v>437</v>
      </c>
      <c r="F56" s="45"/>
      <c r="G56" s="53" t="s">
        <v>443</v>
      </c>
      <c r="H56" s="40">
        <v>20190703</v>
      </c>
      <c r="I56" s="46">
        <v>1</v>
      </c>
      <c r="J56" s="19"/>
    </row>
    <row r="57" spans="1:158">
      <c r="A57" s="43">
        <v>51</v>
      </c>
      <c r="B57" s="40" t="s">
        <v>198</v>
      </c>
      <c r="C57" s="41" t="s">
        <v>407</v>
      </c>
      <c r="D57" s="41" t="s">
        <v>413</v>
      </c>
      <c r="E57" s="42" t="s">
        <v>438</v>
      </c>
      <c r="F57" s="45"/>
      <c r="G57" s="53" t="s">
        <v>443</v>
      </c>
      <c r="H57" s="40">
        <v>20190703</v>
      </c>
      <c r="I57" s="46">
        <v>1</v>
      </c>
      <c r="J57" s="19"/>
    </row>
    <row r="58" spans="1:158">
      <c r="A58" s="43">
        <v>52</v>
      </c>
      <c r="B58" s="40" t="s">
        <v>198</v>
      </c>
      <c r="C58" s="41" t="s">
        <v>407</v>
      </c>
      <c r="D58" s="41" t="s">
        <v>414</v>
      </c>
      <c r="E58" s="42" t="s">
        <v>439</v>
      </c>
      <c r="F58" s="45"/>
      <c r="G58" s="53" t="s">
        <v>443</v>
      </c>
      <c r="H58" s="40">
        <v>20190703</v>
      </c>
      <c r="I58" s="46">
        <v>1</v>
      </c>
      <c r="J58" s="19"/>
    </row>
    <row r="59" spans="1:158">
      <c r="A59" s="43">
        <v>53</v>
      </c>
      <c r="B59" s="40" t="s">
        <v>189</v>
      </c>
      <c r="C59" s="41" t="s">
        <v>415</v>
      </c>
      <c r="D59" s="41" t="s">
        <v>416</v>
      </c>
      <c r="E59" s="42" t="s">
        <v>440</v>
      </c>
      <c r="F59" s="45"/>
      <c r="G59" s="53" t="s">
        <v>443</v>
      </c>
      <c r="H59" s="40">
        <v>20190610</v>
      </c>
      <c r="I59" s="46">
        <v>1</v>
      </c>
      <c r="J59" s="19"/>
    </row>
    <row r="60" spans="1:158">
      <c r="A60" s="43">
        <v>54</v>
      </c>
      <c r="B60" s="40" t="s">
        <v>269</v>
      </c>
      <c r="C60" s="41" t="s">
        <v>448</v>
      </c>
      <c r="D60" s="41" t="s">
        <v>449</v>
      </c>
      <c r="E60" s="42" t="s">
        <v>10</v>
      </c>
      <c r="F60" s="45" t="s">
        <v>145</v>
      </c>
      <c r="G60" s="53" t="s">
        <v>443</v>
      </c>
      <c r="H60" s="40">
        <v>20190821</v>
      </c>
      <c r="I60" s="46">
        <v>2</v>
      </c>
      <c r="J60" s="19"/>
      <c r="CU60" s="3" t="s">
        <v>453</v>
      </c>
    </row>
    <row r="61" spans="1:158">
      <c r="A61" s="43">
        <v>55</v>
      </c>
      <c r="B61" s="40" t="s">
        <v>269</v>
      </c>
      <c r="C61" s="41" t="s">
        <v>448</v>
      </c>
      <c r="D61" s="41" t="s">
        <v>449</v>
      </c>
      <c r="E61" s="42" t="s">
        <v>10</v>
      </c>
      <c r="F61" s="45" t="s">
        <v>149</v>
      </c>
      <c r="G61" s="53" t="s">
        <v>443</v>
      </c>
      <c r="H61" s="40">
        <v>20190824</v>
      </c>
      <c r="I61" s="46">
        <v>2</v>
      </c>
      <c r="J61" s="19"/>
      <c r="EV61" s="3">
        <f>+0</f>
        <v>0</v>
      </c>
    </row>
    <row r="62" spans="1:158">
      <c r="A62" s="43">
        <v>56</v>
      </c>
      <c r="B62" s="40" t="s">
        <v>269</v>
      </c>
      <c r="C62" s="41" t="s">
        <v>448</v>
      </c>
      <c r="D62" s="41" t="s">
        <v>449</v>
      </c>
      <c r="E62" s="42" t="s">
        <v>10</v>
      </c>
      <c r="F62" s="45" t="s">
        <v>150</v>
      </c>
      <c r="G62" s="53" t="s">
        <v>443</v>
      </c>
      <c r="H62" s="40">
        <v>20190824</v>
      </c>
      <c r="I62" s="46">
        <v>2</v>
      </c>
      <c r="J62" s="19"/>
      <c r="EZ62" s="3" t="s">
        <v>453</v>
      </c>
      <c r="FB62" s="3" t="s">
        <v>453</v>
      </c>
    </row>
    <row r="63" spans="1:158">
      <c r="A63" s="43">
        <v>57</v>
      </c>
      <c r="B63" s="40" t="s">
        <v>269</v>
      </c>
      <c r="C63" s="41" t="s">
        <v>450</v>
      </c>
      <c r="D63" s="41" t="s">
        <v>452</v>
      </c>
      <c r="E63" s="42" t="s">
        <v>10</v>
      </c>
      <c r="F63" s="45" t="s">
        <v>145</v>
      </c>
      <c r="G63" s="53" t="s">
        <v>443</v>
      </c>
      <c r="H63" s="40">
        <v>20190819</v>
      </c>
      <c r="I63" s="46">
        <v>2</v>
      </c>
      <c r="J63" s="19"/>
    </row>
    <row r="64" spans="1:158">
      <c r="A64" s="43">
        <v>58</v>
      </c>
      <c r="B64" s="40" t="s">
        <v>269</v>
      </c>
      <c r="C64" s="41" t="s">
        <v>450</v>
      </c>
      <c r="D64" s="41" t="s">
        <v>452</v>
      </c>
      <c r="E64" s="42" t="s">
        <v>10</v>
      </c>
      <c r="F64" s="45" t="s">
        <v>451</v>
      </c>
      <c r="G64" s="53" t="s">
        <v>443</v>
      </c>
      <c r="H64" s="40">
        <v>20190826</v>
      </c>
      <c r="I64" s="46">
        <v>2</v>
      </c>
      <c r="J64" s="19"/>
    </row>
    <row r="65" spans="1:10">
      <c r="A65" s="43">
        <v>59</v>
      </c>
      <c r="B65" s="40"/>
      <c r="C65" s="41"/>
      <c r="D65" s="41"/>
      <c r="E65" s="42"/>
      <c r="F65" s="45"/>
      <c r="G65" s="53"/>
      <c r="H65" s="40"/>
      <c r="I65" s="46"/>
      <c r="J65" s="19"/>
    </row>
    <row r="66" spans="1:10">
      <c r="A66" s="43">
        <v>60</v>
      </c>
      <c r="B66" s="40"/>
      <c r="C66" s="41"/>
      <c r="D66" s="41"/>
      <c r="E66" s="42"/>
      <c r="F66" s="45"/>
      <c r="G66" s="53"/>
      <c r="H66" s="40"/>
      <c r="I66" s="46"/>
      <c r="J66" s="19"/>
    </row>
    <row r="67" spans="1:10">
      <c r="A67" s="43">
        <v>61</v>
      </c>
      <c r="B67" s="40"/>
      <c r="C67" s="41"/>
      <c r="D67" s="41"/>
      <c r="E67" s="42"/>
      <c r="F67" s="45"/>
      <c r="G67" s="53"/>
      <c r="H67" s="40"/>
      <c r="I67" s="46"/>
      <c r="J67" s="19"/>
    </row>
    <row r="68" spans="1:10">
      <c r="A68" s="43">
        <v>62</v>
      </c>
      <c r="B68" s="40"/>
      <c r="C68" s="41"/>
      <c r="D68" s="41"/>
      <c r="E68" s="42"/>
      <c r="F68" s="45"/>
      <c r="G68" s="53"/>
      <c r="H68" s="40"/>
      <c r="I68" s="46"/>
      <c r="J68" s="19"/>
    </row>
    <row r="69" spans="1:10">
      <c r="A69" s="43">
        <v>63</v>
      </c>
      <c r="B69" s="40"/>
      <c r="C69" s="41"/>
      <c r="D69" s="41"/>
      <c r="E69" s="42"/>
      <c r="F69" s="45"/>
      <c r="G69" s="53"/>
      <c r="H69" s="40"/>
      <c r="I69" s="46"/>
      <c r="J69" s="19"/>
    </row>
    <row r="70" spans="1:10">
      <c r="A70" s="47"/>
      <c r="B70" s="48"/>
      <c r="C70" s="48"/>
      <c r="D70" s="48"/>
      <c r="E70" s="49"/>
      <c r="F70" s="48"/>
      <c r="G70" s="50"/>
      <c r="H70" s="48"/>
      <c r="I70" s="51"/>
      <c r="J70" s="52"/>
    </row>
    <row r="72" spans="1:10" ht="16.2" thickBot="1"/>
    <row r="73" spans="1:10">
      <c r="A73" s="58" t="s">
        <v>442</v>
      </c>
      <c r="B73" s="58"/>
      <c r="C73" s="58"/>
      <c r="D73" s="59" t="s">
        <v>7</v>
      </c>
      <c r="E73" s="59"/>
      <c r="F73" s="59"/>
      <c r="G73" s="59"/>
      <c r="H73" s="12"/>
      <c r="I73" s="60"/>
      <c r="J73" s="60"/>
    </row>
    <row r="83" spans="1:10" s="13" customFormat="1">
      <c r="A83" s="13" t="s">
        <v>121</v>
      </c>
      <c r="E83" s="32"/>
      <c r="I83" s="14"/>
      <c r="J83" s="15"/>
    </row>
    <row r="149" spans="158:158">
      <c r="FB149" s="54" t="s">
        <v>454</v>
      </c>
    </row>
    <row r="150" spans="158:158">
      <c r="FB150" s="3" t="s">
        <v>453</v>
      </c>
    </row>
  </sheetData>
  <autoFilter ref="A5:J59">
    <sortState ref="A6:K59">
      <sortCondition ref="H5"/>
    </sortState>
  </autoFilter>
  <mergeCells count="5">
    <mergeCell ref="C2:G3"/>
    <mergeCell ref="I4:J4"/>
    <mergeCell ref="A73:C73"/>
    <mergeCell ref="D73:G73"/>
    <mergeCell ref="I73:J73"/>
  </mergeCells>
  <pageMargins left="0.57999999999999996" right="0.31" top="0.53" bottom="0.53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48"/>
  <sheetViews>
    <sheetView tabSelected="1" view="pageBreakPreview" zoomScaleNormal="100" zoomScaleSheetLayoutView="100" workbookViewId="0">
      <selection activeCell="B9" sqref="B9"/>
    </sheetView>
  </sheetViews>
  <sheetFormatPr defaultColWidth="8.8984375" defaultRowHeight="15.6"/>
  <cols>
    <col min="1" max="1" width="5" style="13" customWidth="1"/>
    <col min="2" max="2" width="15.796875" style="13" customWidth="1"/>
    <col min="3" max="3" width="17.19921875" style="13" bestFit="1" customWidth="1"/>
    <col min="4" max="4" width="18.59765625" style="13" bestFit="1" customWidth="1"/>
    <col min="5" max="5" width="31.8984375" style="32" bestFit="1" customWidth="1"/>
    <col min="6" max="6" width="6.3984375" style="13" customWidth="1"/>
    <col min="7" max="7" width="10.796875" style="13" customWidth="1"/>
    <col min="8" max="8" width="13.796875" style="13" customWidth="1"/>
    <col min="9" max="9" width="13.8984375" style="14" bestFit="1" customWidth="1"/>
    <col min="10" max="10" width="13.796875" style="15" customWidth="1"/>
    <col min="11" max="16384" width="8.8984375" style="3"/>
  </cols>
  <sheetData>
    <row r="1" spans="1:10" ht="15.75" customHeight="1">
      <c r="B1" s="37"/>
      <c r="C1" s="37"/>
      <c r="D1" s="37"/>
      <c r="E1" s="37"/>
      <c r="F1" s="55"/>
      <c r="G1" s="37"/>
    </row>
    <row r="2" spans="1:10" ht="21" customHeight="1">
      <c r="A2" s="37"/>
      <c r="B2" s="37"/>
      <c r="C2" s="61" t="s">
        <v>455</v>
      </c>
      <c r="D2" s="61"/>
      <c r="E2" s="61"/>
      <c r="F2" s="61"/>
      <c r="G2" s="61"/>
      <c r="H2" s="39" t="s">
        <v>153</v>
      </c>
      <c r="I2" s="39" t="s">
        <v>154</v>
      </c>
      <c r="J2" s="39" t="s">
        <v>155</v>
      </c>
    </row>
    <row r="3" spans="1:10" ht="56.25" customHeight="1">
      <c r="A3" s="4"/>
      <c r="B3" s="4"/>
      <c r="C3" s="61"/>
      <c r="D3" s="61"/>
      <c r="E3" s="61"/>
      <c r="F3" s="61"/>
      <c r="G3" s="61"/>
      <c r="H3" s="38"/>
      <c r="I3" s="38"/>
      <c r="J3" s="38"/>
    </row>
    <row r="4" spans="1:10" ht="13.5" customHeight="1">
      <c r="A4" s="4"/>
      <c r="B4" s="4"/>
      <c r="C4" s="4"/>
      <c r="D4" s="4"/>
      <c r="E4" s="28"/>
      <c r="F4" s="4"/>
      <c r="G4" s="4"/>
      <c r="H4" s="5"/>
      <c r="I4" s="56"/>
      <c r="J4" s="57"/>
    </row>
    <row r="5" spans="1:10" ht="39" customHeight="1">
      <c r="A5" s="16" t="s">
        <v>0</v>
      </c>
      <c r="B5" s="18" t="s">
        <v>160</v>
      </c>
      <c r="C5" s="18" t="s">
        <v>3</v>
      </c>
      <c r="D5" s="18" t="s">
        <v>161</v>
      </c>
      <c r="E5" s="18" t="s">
        <v>162</v>
      </c>
      <c r="F5" s="44" t="s">
        <v>2</v>
      </c>
      <c r="G5" s="44" t="s">
        <v>441</v>
      </c>
      <c r="H5" s="44" t="s">
        <v>5</v>
      </c>
      <c r="I5" s="18" t="s">
        <v>152</v>
      </c>
      <c r="J5" s="18" t="s">
        <v>6</v>
      </c>
    </row>
    <row r="6" spans="1:10">
      <c r="A6" s="43">
        <v>1</v>
      </c>
      <c r="B6" s="41" t="s">
        <v>269</v>
      </c>
      <c r="C6" s="41" t="s">
        <v>457</v>
      </c>
      <c r="D6" s="41" t="s">
        <v>458</v>
      </c>
      <c r="E6" s="42" t="s">
        <v>459</v>
      </c>
      <c r="F6" s="45" t="s">
        <v>145</v>
      </c>
      <c r="G6" s="53" t="s">
        <v>461</v>
      </c>
      <c r="H6" s="62">
        <v>43869</v>
      </c>
      <c r="I6" s="46">
        <v>9</v>
      </c>
      <c r="J6" s="19"/>
    </row>
    <row r="7" spans="1:10">
      <c r="A7" s="43">
        <v>2</v>
      </c>
      <c r="B7" s="41" t="s">
        <v>163</v>
      </c>
      <c r="C7" s="41" t="s">
        <v>36</v>
      </c>
      <c r="D7" s="41" t="s">
        <v>28</v>
      </c>
      <c r="E7" s="42" t="s">
        <v>418</v>
      </c>
      <c r="F7" s="45" t="s">
        <v>460</v>
      </c>
      <c r="G7" s="63" t="s">
        <v>462</v>
      </c>
      <c r="H7" s="62">
        <v>43871</v>
      </c>
      <c r="I7" s="46">
        <v>1</v>
      </c>
      <c r="J7" s="19"/>
    </row>
    <row r="8" spans="1:10">
      <c r="A8" s="43">
        <v>3</v>
      </c>
      <c r="B8" s="41" t="s">
        <v>163</v>
      </c>
      <c r="C8" s="41" t="s">
        <v>43</v>
      </c>
      <c r="D8" s="41" t="s">
        <v>29</v>
      </c>
      <c r="E8" s="42" t="s">
        <v>418</v>
      </c>
      <c r="F8" s="45" t="s">
        <v>460</v>
      </c>
      <c r="G8" s="53" t="s">
        <v>463</v>
      </c>
      <c r="H8" s="62">
        <v>43871</v>
      </c>
      <c r="I8" s="46">
        <v>1</v>
      </c>
      <c r="J8" s="19"/>
    </row>
    <row r="9" spans="1:10">
      <c r="A9" s="43">
        <v>4</v>
      </c>
      <c r="B9" s="41"/>
      <c r="C9" s="41"/>
      <c r="D9" s="41"/>
      <c r="E9" s="42"/>
      <c r="F9" s="45"/>
      <c r="G9" s="53"/>
      <c r="H9" s="40"/>
      <c r="I9" s="46"/>
      <c r="J9" s="19"/>
    </row>
    <row r="10" spans="1:10">
      <c r="A10" s="43">
        <v>5</v>
      </c>
      <c r="B10" s="41"/>
      <c r="C10" s="41"/>
      <c r="D10" s="41"/>
      <c r="E10" s="42"/>
      <c r="F10" s="45"/>
      <c r="G10" s="53"/>
      <c r="H10" s="40"/>
      <c r="I10" s="46"/>
      <c r="J10" s="19"/>
    </row>
    <row r="11" spans="1:10">
      <c r="A11" s="43">
        <v>6</v>
      </c>
      <c r="B11" s="41"/>
      <c r="C11" s="41"/>
      <c r="D11" s="41"/>
      <c r="E11" s="42"/>
      <c r="F11" s="45"/>
      <c r="G11" s="53"/>
      <c r="H11" s="40"/>
      <c r="I11" s="46"/>
      <c r="J11" s="19"/>
    </row>
    <row r="12" spans="1:10">
      <c r="A12" s="43">
        <v>7</v>
      </c>
      <c r="B12" s="41"/>
      <c r="C12" s="41"/>
      <c r="D12" s="41"/>
      <c r="E12" s="42"/>
      <c r="F12" s="45"/>
      <c r="G12" s="53"/>
      <c r="H12" s="40"/>
      <c r="I12" s="46"/>
      <c r="J12" s="19"/>
    </row>
    <row r="13" spans="1:10">
      <c r="A13" s="43">
        <v>8</v>
      </c>
      <c r="B13" s="41"/>
      <c r="C13" s="41"/>
      <c r="D13" s="41"/>
      <c r="E13" s="42"/>
      <c r="F13" s="45"/>
      <c r="G13" s="53"/>
      <c r="H13" s="40"/>
      <c r="I13" s="46"/>
      <c r="J13" s="19"/>
    </row>
    <row r="14" spans="1:10">
      <c r="A14" s="43">
        <v>9</v>
      </c>
      <c r="B14" s="41"/>
      <c r="C14" s="41"/>
      <c r="D14" s="41"/>
      <c r="E14" s="42"/>
      <c r="F14" s="45"/>
      <c r="G14" s="53"/>
      <c r="H14" s="40"/>
      <c r="I14" s="46"/>
      <c r="J14" s="19"/>
    </row>
    <row r="15" spans="1:10">
      <c r="A15" s="43">
        <v>10</v>
      </c>
      <c r="B15" s="41"/>
      <c r="C15" s="41"/>
      <c r="D15" s="41"/>
      <c r="E15" s="42"/>
      <c r="F15" s="45"/>
      <c r="G15" s="53"/>
      <c r="H15" s="40"/>
      <c r="I15" s="46"/>
      <c r="J15" s="19"/>
    </row>
    <row r="16" spans="1:10">
      <c r="A16" s="43">
        <v>11</v>
      </c>
      <c r="B16" s="41"/>
      <c r="C16" s="41"/>
      <c r="D16" s="41"/>
      <c r="E16" s="42"/>
      <c r="F16" s="45"/>
      <c r="G16" s="53"/>
      <c r="H16" s="40"/>
      <c r="I16" s="46"/>
      <c r="J16" s="19"/>
    </row>
    <row r="17" spans="1:10">
      <c r="A17" s="43">
        <v>12</v>
      </c>
      <c r="B17" s="41"/>
      <c r="C17" s="41"/>
      <c r="D17" s="41"/>
      <c r="E17" s="42"/>
      <c r="F17" s="45"/>
      <c r="G17" s="53"/>
      <c r="H17" s="40"/>
      <c r="I17" s="46"/>
      <c r="J17" s="19"/>
    </row>
    <row r="18" spans="1:10">
      <c r="A18" s="43">
        <v>13</v>
      </c>
      <c r="B18" s="41"/>
      <c r="C18" s="41"/>
      <c r="D18" s="41"/>
      <c r="E18" s="42"/>
      <c r="F18" s="45"/>
      <c r="G18" s="53"/>
      <c r="H18" s="40"/>
      <c r="I18" s="46"/>
      <c r="J18" s="19"/>
    </row>
    <row r="19" spans="1:10">
      <c r="A19" s="43">
        <v>14</v>
      </c>
      <c r="B19" s="41"/>
      <c r="C19" s="41"/>
      <c r="D19" s="41"/>
      <c r="E19" s="42"/>
      <c r="F19" s="45"/>
      <c r="G19" s="53"/>
      <c r="H19" s="40"/>
      <c r="I19" s="46"/>
      <c r="J19" s="19"/>
    </row>
    <row r="20" spans="1:10">
      <c r="A20" s="43">
        <v>15</v>
      </c>
      <c r="B20" s="41"/>
      <c r="C20" s="41"/>
      <c r="D20" s="41"/>
      <c r="E20" s="42"/>
      <c r="F20" s="45"/>
      <c r="G20" s="53"/>
      <c r="H20" s="40"/>
      <c r="I20" s="46"/>
      <c r="J20" s="19"/>
    </row>
    <row r="21" spans="1:10">
      <c r="A21" s="43">
        <v>16</v>
      </c>
      <c r="B21" s="41"/>
      <c r="C21" s="41"/>
      <c r="D21" s="41"/>
      <c r="E21" s="42"/>
      <c r="F21" s="45"/>
      <c r="G21" s="53"/>
      <c r="H21" s="40"/>
      <c r="I21" s="46"/>
      <c r="J21" s="19"/>
    </row>
    <row r="22" spans="1:10">
      <c r="A22" s="43">
        <v>17</v>
      </c>
      <c r="B22" s="41"/>
      <c r="C22" s="41"/>
      <c r="D22" s="41"/>
      <c r="E22" s="42"/>
      <c r="F22" s="45"/>
      <c r="G22" s="53"/>
      <c r="H22" s="40"/>
      <c r="I22" s="46"/>
      <c r="J22" s="19"/>
    </row>
    <row r="23" spans="1:10">
      <c r="A23" s="43">
        <v>18</v>
      </c>
      <c r="B23" s="41"/>
      <c r="C23" s="41"/>
      <c r="D23" s="41"/>
      <c r="E23" s="42"/>
      <c r="F23" s="45"/>
      <c r="G23" s="53"/>
      <c r="H23" s="40"/>
      <c r="I23" s="46"/>
      <c r="J23" s="19"/>
    </row>
    <row r="24" spans="1:10">
      <c r="A24" s="43">
        <v>19</v>
      </c>
      <c r="B24" s="41"/>
      <c r="C24" s="41"/>
      <c r="D24" s="41"/>
      <c r="E24" s="42"/>
      <c r="F24" s="45"/>
      <c r="G24" s="53"/>
      <c r="H24" s="40"/>
      <c r="I24" s="46"/>
      <c r="J24" s="19"/>
    </row>
    <row r="25" spans="1:10">
      <c r="A25" s="43">
        <v>20</v>
      </c>
      <c r="B25" s="41"/>
      <c r="C25" s="41"/>
      <c r="D25" s="41"/>
      <c r="E25" s="42"/>
      <c r="F25" s="45"/>
      <c r="G25" s="53"/>
      <c r="H25" s="40"/>
      <c r="I25" s="46"/>
      <c r="J25" s="19"/>
    </row>
    <row r="26" spans="1:10">
      <c r="A26" s="43">
        <v>21</v>
      </c>
      <c r="B26" s="41"/>
      <c r="C26" s="41"/>
      <c r="D26" s="41"/>
      <c r="E26" s="42"/>
      <c r="F26" s="45"/>
      <c r="G26" s="53"/>
      <c r="H26" s="40"/>
      <c r="I26" s="46"/>
      <c r="J26" s="19"/>
    </row>
    <row r="27" spans="1:10">
      <c r="A27" s="43">
        <v>22</v>
      </c>
      <c r="B27" s="41"/>
      <c r="C27" s="41"/>
      <c r="D27" s="41"/>
      <c r="E27" s="42"/>
      <c r="F27" s="45"/>
      <c r="G27" s="53"/>
      <c r="H27" s="40"/>
      <c r="I27" s="46"/>
      <c r="J27" s="19"/>
    </row>
    <row r="28" spans="1:10">
      <c r="A28" s="43">
        <v>23</v>
      </c>
      <c r="B28" s="41"/>
      <c r="C28" s="41"/>
      <c r="D28" s="41"/>
      <c r="E28" s="42"/>
      <c r="F28" s="45"/>
      <c r="G28" s="53"/>
      <c r="H28" s="40"/>
      <c r="I28" s="46"/>
      <c r="J28" s="19"/>
    </row>
    <row r="29" spans="1:10">
      <c r="A29" s="43">
        <v>24</v>
      </c>
      <c r="B29" s="41"/>
      <c r="C29" s="41"/>
      <c r="D29" s="41"/>
      <c r="E29" s="42"/>
      <c r="F29" s="45"/>
      <c r="G29" s="53"/>
      <c r="H29" s="40"/>
      <c r="I29" s="46"/>
      <c r="J29" s="19"/>
    </row>
    <row r="30" spans="1:10">
      <c r="A30" s="43">
        <v>25</v>
      </c>
      <c r="B30" s="41"/>
      <c r="C30" s="41"/>
      <c r="D30" s="41"/>
      <c r="E30" s="42"/>
      <c r="F30" s="45"/>
      <c r="G30" s="53"/>
      <c r="H30" s="40"/>
      <c r="I30" s="46"/>
      <c r="J30" s="19"/>
    </row>
    <row r="31" spans="1:10">
      <c r="A31" s="43">
        <v>26</v>
      </c>
      <c r="B31" s="41"/>
      <c r="C31" s="41"/>
      <c r="D31" s="41"/>
      <c r="E31" s="42"/>
      <c r="F31" s="45"/>
      <c r="G31" s="53"/>
      <c r="H31" s="40"/>
      <c r="I31" s="46"/>
      <c r="J31" s="19"/>
    </row>
    <row r="32" spans="1:10">
      <c r="A32" s="43">
        <v>27</v>
      </c>
      <c r="B32" s="41"/>
      <c r="C32" s="41"/>
      <c r="D32" s="41"/>
      <c r="E32" s="42"/>
      <c r="F32" s="45"/>
      <c r="G32" s="53"/>
      <c r="H32" s="40"/>
      <c r="I32" s="46"/>
      <c r="J32" s="19"/>
    </row>
    <row r="33" spans="1:10">
      <c r="A33" s="43">
        <v>28</v>
      </c>
      <c r="B33" s="41"/>
      <c r="C33" s="41"/>
      <c r="D33" s="41"/>
      <c r="E33" s="42"/>
      <c r="F33" s="45"/>
      <c r="G33" s="53"/>
      <c r="H33" s="40"/>
      <c r="I33" s="46"/>
      <c r="J33" s="19"/>
    </row>
    <row r="34" spans="1:10">
      <c r="A34" s="43">
        <v>29</v>
      </c>
      <c r="B34" s="40"/>
      <c r="C34" s="41"/>
      <c r="D34" s="41"/>
      <c r="E34" s="42"/>
      <c r="F34" s="45"/>
      <c r="G34" s="53"/>
      <c r="H34" s="40"/>
      <c r="I34" s="46"/>
      <c r="J34" s="19"/>
    </row>
    <row r="35" spans="1:10">
      <c r="A35" s="43">
        <v>30</v>
      </c>
      <c r="B35" s="41"/>
      <c r="C35" s="41"/>
      <c r="D35" s="41"/>
      <c r="E35" s="42"/>
      <c r="F35" s="45"/>
      <c r="G35" s="53"/>
      <c r="H35" s="40"/>
      <c r="I35" s="46"/>
      <c r="J35" s="19"/>
    </row>
    <row r="36" spans="1:10" hidden="1">
      <c r="A36" s="43">
        <v>31</v>
      </c>
      <c r="B36" s="41"/>
      <c r="C36" s="41"/>
      <c r="D36" s="41"/>
      <c r="E36" s="42"/>
      <c r="F36" s="45"/>
      <c r="G36" s="53"/>
      <c r="H36" s="40"/>
      <c r="I36" s="46"/>
      <c r="J36" s="19"/>
    </row>
    <row r="37" spans="1:10" hidden="1">
      <c r="A37" s="43">
        <v>32</v>
      </c>
      <c r="B37" s="41"/>
      <c r="C37" s="41"/>
      <c r="D37" s="41"/>
      <c r="E37" s="42"/>
      <c r="F37" s="45"/>
      <c r="G37" s="53"/>
      <c r="H37" s="40"/>
      <c r="I37" s="46"/>
      <c r="J37" s="19"/>
    </row>
    <row r="38" spans="1:10" hidden="1">
      <c r="A38" s="43">
        <v>33</v>
      </c>
      <c r="B38" s="41"/>
      <c r="C38" s="41"/>
      <c r="D38" s="41"/>
      <c r="E38" s="42"/>
      <c r="F38" s="45"/>
      <c r="G38" s="53"/>
      <c r="H38" s="40"/>
      <c r="I38" s="46"/>
      <c r="J38" s="19"/>
    </row>
    <row r="39" spans="1:10" hidden="1">
      <c r="A39" s="43">
        <v>34</v>
      </c>
      <c r="B39" s="41"/>
      <c r="C39" s="41"/>
      <c r="D39" s="41"/>
      <c r="E39" s="42"/>
      <c r="F39" s="45"/>
      <c r="G39" s="53"/>
      <c r="H39" s="40"/>
      <c r="I39" s="46"/>
      <c r="J39" s="19"/>
    </row>
    <row r="40" spans="1:10" hidden="1">
      <c r="A40" s="43">
        <v>35</v>
      </c>
      <c r="B40" s="41"/>
      <c r="C40" s="41"/>
      <c r="D40" s="41"/>
      <c r="E40" s="42"/>
      <c r="F40" s="45"/>
      <c r="G40" s="53"/>
      <c r="H40" s="40"/>
      <c r="I40" s="46"/>
      <c r="J40" s="19"/>
    </row>
    <row r="41" spans="1:10" hidden="1">
      <c r="A41" s="43">
        <v>36</v>
      </c>
      <c r="B41" s="41"/>
      <c r="C41" s="41"/>
      <c r="D41" s="41"/>
      <c r="E41" s="42"/>
      <c r="F41" s="45"/>
      <c r="G41" s="53"/>
      <c r="H41" s="40"/>
      <c r="I41" s="46"/>
      <c r="J41" s="19"/>
    </row>
    <row r="42" spans="1:10" hidden="1">
      <c r="A42" s="43">
        <v>36</v>
      </c>
      <c r="B42" s="41"/>
      <c r="C42" s="41"/>
      <c r="D42" s="41"/>
      <c r="E42" s="42"/>
      <c r="F42" s="45"/>
      <c r="G42" s="53"/>
      <c r="H42" s="40"/>
      <c r="I42" s="46"/>
      <c r="J42" s="19"/>
    </row>
    <row r="43" spans="1:10" hidden="1">
      <c r="A43" s="43">
        <v>37</v>
      </c>
      <c r="B43" s="41"/>
      <c r="C43" s="41"/>
      <c r="D43" s="41"/>
      <c r="E43" s="42"/>
      <c r="F43" s="45"/>
      <c r="G43" s="53"/>
      <c r="H43" s="40"/>
      <c r="I43" s="46"/>
      <c r="J43" s="19"/>
    </row>
    <row r="44" spans="1:10" hidden="1">
      <c r="A44" s="43">
        <v>38</v>
      </c>
      <c r="B44" s="41"/>
      <c r="C44" s="41"/>
      <c r="D44" s="41"/>
      <c r="E44" s="42"/>
      <c r="F44" s="45"/>
      <c r="G44" s="53"/>
      <c r="H44" s="40"/>
      <c r="I44" s="46"/>
      <c r="J44" s="19"/>
    </row>
    <row r="45" spans="1:10" hidden="1">
      <c r="A45" s="43">
        <v>39</v>
      </c>
      <c r="B45" s="41"/>
      <c r="C45" s="41"/>
      <c r="D45" s="41"/>
      <c r="E45" s="42"/>
      <c r="F45" s="45"/>
      <c r="G45" s="53"/>
      <c r="H45" s="40"/>
      <c r="I45" s="46"/>
      <c r="J45" s="19"/>
    </row>
    <row r="46" spans="1:10" hidden="1">
      <c r="A46" s="43">
        <v>40</v>
      </c>
      <c r="B46" s="41"/>
      <c r="C46" s="41"/>
      <c r="D46" s="41"/>
      <c r="E46" s="42"/>
      <c r="F46" s="45"/>
      <c r="G46" s="53"/>
      <c r="H46" s="40"/>
      <c r="I46" s="46"/>
      <c r="J46" s="19"/>
    </row>
    <row r="47" spans="1:10" hidden="1">
      <c r="A47" s="43">
        <v>41</v>
      </c>
      <c r="B47" s="41"/>
      <c r="C47" s="41"/>
      <c r="D47" s="41"/>
      <c r="E47" s="42"/>
      <c r="F47" s="45"/>
      <c r="G47" s="53"/>
      <c r="H47" s="40"/>
      <c r="I47" s="46"/>
      <c r="J47" s="19"/>
    </row>
    <row r="48" spans="1:10" hidden="1">
      <c r="A48" s="43">
        <v>42</v>
      </c>
      <c r="B48" s="41"/>
      <c r="C48" s="41"/>
      <c r="D48" s="41"/>
      <c r="E48" s="42"/>
      <c r="F48" s="45"/>
      <c r="G48" s="53"/>
      <c r="H48" s="40"/>
      <c r="I48" s="46"/>
      <c r="J48" s="19"/>
    </row>
    <row r="49" spans="1:158" hidden="1">
      <c r="A49" s="43">
        <v>43</v>
      </c>
      <c r="B49" s="41"/>
      <c r="C49" s="41"/>
      <c r="D49" s="41"/>
      <c r="E49" s="42"/>
      <c r="F49" s="45"/>
      <c r="G49" s="53"/>
      <c r="H49" s="40"/>
      <c r="I49" s="46"/>
      <c r="J49" s="19"/>
    </row>
    <row r="50" spans="1:158" hidden="1">
      <c r="A50" s="43">
        <v>44</v>
      </c>
      <c r="B50" s="41"/>
      <c r="C50" s="41"/>
      <c r="D50" s="41"/>
      <c r="E50" s="42"/>
      <c r="F50" s="45"/>
      <c r="G50" s="53"/>
      <c r="H50" s="40"/>
      <c r="I50" s="46"/>
      <c r="J50" s="19"/>
    </row>
    <row r="51" spans="1:158" hidden="1">
      <c r="A51" s="43">
        <v>45</v>
      </c>
      <c r="B51" s="41"/>
      <c r="C51" s="41"/>
      <c r="D51" s="41"/>
      <c r="E51" s="42"/>
      <c r="F51" s="45"/>
      <c r="G51" s="53"/>
      <c r="H51" s="40"/>
      <c r="I51" s="46"/>
      <c r="J51" s="19"/>
    </row>
    <row r="52" spans="1:158" hidden="1">
      <c r="A52" s="43">
        <v>46</v>
      </c>
      <c r="B52" s="40"/>
      <c r="C52" s="41"/>
      <c r="D52" s="41"/>
      <c r="E52" s="42"/>
      <c r="F52" s="45"/>
      <c r="G52" s="53"/>
      <c r="H52" s="40"/>
      <c r="I52" s="46"/>
      <c r="J52" s="19"/>
    </row>
    <row r="53" spans="1:158" hidden="1">
      <c r="A53" s="43">
        <v>47</v>
      </c>
      <c r="B53" s="40"/>
      <c r="C53" s="41"/>
      <c r="D53" s="41"/>
      <c r="E53" s="42"/>
      <c r="F53" s="45"/>
      <c r="G53" s="53"/>
      <c r="H53" s="40"/>
      <c r="I53" s="46"/>
      <c r="J53" s="19"/>
    </row>
    <row r="54" spans="1:158" hidden="1">
      <c r="A54" s="43">
        <v>48</v>
      </c>
      <c r="B54" s="40"/>
      <c r="C54" s="41"/>
      <c r="D54" s="41"/>
      <c r="E54" s="42"/>
      <c r="F54" s="45"/>
      <c r="G54" s="53"/>
      <c r="H54" s="40"/>
      <c r="I54" s="46"/>
      <c r="J54" s="19"/>
    </row>
    <row r="55" spans="1:158" hidden="1">
      <c r="A55" s="43">
        <v>49</v>
      </c>
      <c r="B55" s="40"/>
      <c r="C55" s="41"/>
      <c r="D55" s="41"/>
      <c r="E55" s="42"/>
      <c r="F55" s="45"/>
      <c r="G55" s="53"/>
      <c r="H55" s="40"/>
      <c r="I55" s="46"/>
      <c r="J55" s="19"/>
    </row>
    <row r="56" spans="1:158" hidden="1">
      <c r="A56" s="43">
        <v>50</v>
      </c>
      <c r="B56" s="40"/>
      <c r="C56" s="41"/>
      <c r="D56" s="41"/>
      <c r="E56" s="42"/>
      <c r="F56" s="45"/>
      <c r="G56" s="53"/>
      <c r="H56" s="40"/>
      <c r="I56" s="46"/>
      <c r="J56" s="19"/>
    </row>
    <row r="57" spans="1:158" hidden="1">
      <c r="A57" s="43">
        <v>51</v>
      </c>
      <c r="B57" s="40"/>
      <c r="C57" s="41"/>
      <c r="D57" s="41"/>
      <c r="E57" s="42"/>
      <c r="F57" s="45"/>
      <c r="G57" s="53"/>
      <c r="H57" s="40"/>
      <c r="I57" s="46"/>
      <c r="J57" s="19"/>
    </row>
    <row r="58" spans="1:158" hidden="1">
      <c r="A58" s="43">
        <v>52</v>
      </c>
      <c r="B58" s="40"/>
      <c r="C58" s="41"/>
      <c r="D58" s="41"/>
      <c r="E58" s="42"/>
      <c r="F58" s="45"/>
      <c r="G58" s="53"/>
      <c r="H58" s="40"/>
      <c r="I58" s="46"/>
      <c r="J58" s="19"/>
    </row>
    <row r="59" spans="1:158" hidden="1">
      <c r="A59" s="43">
        <v>53</v>
      </c>
      <c r="B59" s="40"/>
      <c r="C59" s="41"/>
      <c r="D59" s="41"/>
      <c r="E59" s="42"/>
      <c r="F59" s="45"/>
      <c r="G59" s="53"/>
      <c r="H59" s="40"/>
      <c r="I59" s="46"/>
      <c r="J59" s="19"/>
    </row>
    <row r="60" spans="1:158" hidden="1">
      <c r="A60" s="43">
        <v>54</v>
      </c>
      <c r="B60" s="40"/>
      <c r="C60" s="41"/>
      <c r="D60" s="41"/>
      <c r="E60" s="42"/>
      <c r="F60" s="45"/>
      <c r="G60" s="53"/>
      <c r="H60" s="40"/>
      <c r="I60" s="46"/>
      <c r="J60" s="19"/>
      <c r="CU60" s="3" t="s">
        <v>453</v>
      </c>
    </row>
    <row r="61" spans="1:158" hidden="1">
      <c r="A61" s="43">
        <v>55</v>
      </c>
      <c r="B61" s="40"/>
      <c r="C61" s="41"/>
      <c r="D61" s="41"/>
      <c r="E61" s="42"/>
      <c r="F61" s="45"/>
      <c r="G61" s="53"/>
      <c r="H61" s="40"/>
      <c r="I61" s="46"/>
      <c r="J61" s="19"/>
      <c r="EV61" s="3">
        <f>+0</f>
        <v>0</v>
      </c>
    </row>
    <row r="62" spans="1:158" hidden="1">
      <c r="A62" s="43">
        <v>56</v>
      </c>
      <c r="B62" s="40"/>
      <c r="C62" s="41"/>
      <c r="D62" s="41"/>
      <c r="E62" s="42"/>
      <c r="F62" s="45"/>
      <c r="G62" s="53"/>
      <c r="H62" s="40"/>
      <c r="I62" s="46"/>
      <c r="J62" s="19"/>
      <c r="EZ62" s="3" t="s">
        <v>453</v>
      </c>
      <c r="FB62" s="3" t="s">
        <v>453</v>
      </c>
    </row>
    <row r="63" spans="1:158" hidden="1">
      <c r="A63" s="43">
        <v>57</v>
      </c>
      <c r="B63" s="40"/>
      <c r="C63" s="41"/>
      <c r="D63" s="41"/>
      <c r="E63" s="42"/>
      <c r="F63" s="45"/>
      <c r="G63" s="53"/>
      <c r="H63" s="40"/>
      <c r="I63" s="46"/>
      <c r="J63" s="19"/>
    </row>
    <row r="64" spans="1:158" hidden="1">
      <c r="A64" s="43">
        <v>58</v>
      </c>
      <c r="B64" s="40"/>
      <c r="C64" s="41"/>
      <c r="D64" s="41"/>
      <c r="E64" s="42"/>
      <c r="F64" s="45"/>
      <c r="G64" s="53"/>
      <c r="H64" s="40"/>
      <c r="I64" s="46"/>
      <c r="J64" s="19"/>
    </row>
    <row r="65" spans="1:10" hidden="1">
      <c r="A65" s="43">
        <v>59</v>
      </c>
      <c r="B65" s="40"/>
      <c r="C65" s="41"/>
      <c r="D65" s="41"/>
      <c r="E65" s="42"/>
      <c r="F65" s="45"/>
      <c r="G65" s="53"/>
      <c r="H65" s="40"/>
      <c r="I65" s="46"/>
      <c r="J65" s="19"/>
    </row>
    <row r="66" spans="1:10" hidden="1">
      <c r="A66" s="43">
        <v>60</v>
      </c>
      <c r="B66" s="40"/>
      <c r="C66" s="41"/>
      <c r="D66" s="41"/>
      <c r="E66" s="42"/>
      <c r="F66" s="45"/>
      <c r="G66" s="53"/>
      <c r="H66" s="40"/>
      <c r="I66" s="46"/>
      <c r="J66" s="19"/>
    </row>
    <row r="67" spans="1:10" hidden="1">
      <c r="A67" s="43">
        <v>61</v>
      </c>
      <c r="B67" s="40"/>
      <c r="C67" s="41"/>
      <c r="D67" s="41"/>
      <c r="E67" s="42"/>
      <c r="F67" s="45"/>
      <c r="G67" s="53"/>
      <c r="H67" s="40"/>
      <c r="I67" s="46"/>
      <c r="J67" s="19"/>
    </row>
    <row r="68" spans="1:10" hidden="1">
      <c r="A68" s="43">
        <v>62</v>
      </c>
      <c r="B68" s="40"/>
      <c r="C68" s="41"/>
      <c r="D68" s="41"/>
      <c r="E68" s="42"/>
      <c r="F68" s="45"/>
      <c r="G68" s="53"/>
      <c r="H68" s="40"/>
      <c r="I68" s="46"/>
      <c r="J68" s="19"/>
    </row>
    <row r="69" spans="1:10" hidden="1">
      <c r="A69" s="43">
        <v>63</v>
      </c>
      <c r="B69" s="40"/>
      <c r="C69" s="41"/>
      <c r="D69" s="41"/>
      <c r="E69" s="42"/>
      <c r="F69" s="45"/>
      <c r="G69" s="53"/>
      <c r="H69" s="40"/>
      <c r="I69" s="46"/>
      <c r="J69" s="19"/>
    </row>
    <row r="70" spans="1:10" ht="16.2" thickBot="1"/>
    <row r="71" spans="1:10">
      <c r="A71" s="58" t="s">
        <v>456</v>
      </c>
      <c r="B71" s="58"/>
      <c r="C71" s="58"/>
      <c r="D71" s="59" t="s">
        <v>7</v>
      </c>
      <c r="E71" s="59"/>
      <c r="F71" s="59"/>
      <c r="G71" s="59"/>
      <c r="H71" s="12"/>
      <c r="I71" s="60"/>
      <c r="J71" s="60"/>
    </row>
    <row r="81" spans="1:10" s="13" customFormat="1">
      <c r="A81" s="13" t="s">
        <v>121</v>
      </c>
      <c r="E81" s="32"/>
      <c r="I81" s="14"/>
      <c r="J81" s="15"/>
    </row>
    <row r="147" spans="158:158">
      <c r="FB147" s="54" t="s">
        <v>454</v>
      </c>
    </row>
    <row r="148" spans="158:158">
      <c r="FB148" s="3" t="s">
        <v>453</v>
      </c>
    </row>
  </sheetData>
  <autoFilter ref="A5:J59">
    <sortState ref="A6:K59">
      <sortCondition ref="H5"/>
    </sortState>
  </autoFilter>
  <mergeCells count="5">
    <mergeCell ref="C2:G3"/>
    <mergeCell ref="I4:J4"/>
    <mergeCell ref="A71:C71"/>
    <mergeCell ref="D71:G71"/>
    <mergeCell ref="I71:J71"/>
  </mergeCells>
  <pageMargins left="0.57999999999999996" right="0.31" top="0.53" bottom="0.53" header="0.3" footer="0.3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8"/>
  <sheetViews>
    <sheetView view="pageBreakPreview" zoomScaleNormal="100" zoomScaleSheetLayoutView="100" workbookViewId="0">
      <selection activeCell="B60" sqref="B60"/>
    </sheetView>
  </sheetViews>
  <sheetFormatPr defaultColWidth="8.8984375" defaultRowHeight="15.6"/>
  <cols>
    <col min="1" max="1" width="5" style="13" customWidth="1"/>
    <col min="2" max="2" width="15.796875" style="13" customWidth="1"/>
    <col min="3" max="3" width="9.296875" style="13" customWidth="1"/>
    <col min="4" max="4" width="18.59765625" style="13" bestFit="1" customWidth="1"/>
    <col min="5" max="5" width="25" style="32" bestFit="1" customWidth="1"/>
    <col min="6" max="6" width="10.796875" style="13" customWidth="1"/>
    <col min="7" max="7" width="9.8984375" style="13" customWidth="1"/>
    <col min="8" max="8" width="13.796875" style="13" customWidth="1"/>
    <col min="9" max="9" width="13.8984375" style="14" bestFit="1" customWidth="1"/>
    <col min="10" max="10" width="13.796875" style="15" customWidth="1"/>
    <col min="11" max="16384" width="8.8984375" style="3"/>
  </cols>
  <sheetData>
    <row r="1" spans="1:10" ht="15.75" customHeight="1">
      <c r="B1" s="37"/>
      <c r="C1" s="37"/>
      <c r="D1" s="37"/>
      <c r="E1" s="37"/>
      <c r="F1" s="37"/>
      <c r="G1" s="37"/>
    </row>
    <row r="2" spans="1:10" ht="21" customHeight="1">
      <c r="A2" s="37"/>
      <c r="B2" s="37"/>
      <c r="C2" s="61" t="s">
        <v>156</v>
      </c>
      <c r="D2" s="61"/>
      <c r="E2" s="61"/>
      <c r="F2" s="61"/>
      <c r="G2" s="37"/>
      <c r="H2" s="39" t="s">
        <v>153</v>
      </c>
      <c r="I2" s="39" t="s">
        <v>154</v>
      </c>
      <c r="J2" s="39" t="s">
        <v>155</v>
      </c>
    </row>
    <row r="3" spans="1:10" ht="43.5" customHeight="1">
      <c r="A3" s="4"/>
      <c r="B3" s="4"/>
      <c r="C3" s="61"/>
      <c r="D3" s="61"/>
      <c r="E3" s="61"/>
      <c r="F3" s="61"/>
      <c r="G3" s="4"/>
      <c r="H3" s="38"/>
      <c r="I3" s="38"/>
      <c r="J3" s="38"/>
    </row>
    <row r="4" spans="1:10" ht="13.5" customHeight="1">
      <c r="A4" s="4"/>
      <c r="B4" s="4"/>
      <c r="C4" s="4"/>
      <c r="D4" s="4"/>
      <c r="E4" s="28"/>
      <c r="F4" s="4"/>
      <c r="G4" s="4"/>
      <c r="H4" s="5"/>
      <c r="I4" s="56"/>
      <c r="J4" s="57"/>
    </row>
    <row r="5" spans="1:10" ht="14.4">
      <c r="A5" s="16" t="s">
        <v>0</v>
      </c>
      <c r="B5" s="18" t="s">
        <v>1</v>
      </c>
      <c r="C5" s="18" t="s">
        <v>2</v>
      </c>
      <c r="D5" s="18" t="s">
        <v>3</v>
      </c>
      <c r="E5" s="29" t="s">
        <v>4</v>
      </c>
      <c r="F5" s="18" t="s">
        <v>157</v>
      </c>
      <c r="G5" s="18" t="s">
        <v>158</v>
      </c>
      <c r="H5" s="18" t="s">
        <v>5</v>
      </c>
      <c r="I5" s="18" t="s">
        <v>152</v>
      </c>
      <c r="J5" s="19" t="s">
        <v>6</v>
      </c>
    </row>
    <row r="6" spans="1:10" ht="14.4" hidden="1">
      <c r="A6" s="17">
        <v>1</v>
      </c>
      <c r="B6" s="1" t="s">
        <v>11</v>
      </c>
      <c r="C6" s="20"/>
      <c r="D6" s="1" t="s">
        <v>32</v>
      </c>
      <c r="E6" s="2" t="s">
        <v>44</v>
      </c>
      <c r="F6" s="20"/>
      <c r="G6" s="20"/>
      <c r="H6" s="23">
        <v>20171103</v>
      </c>
      <c r="I6" s="20">
        <v>2</v>
      </c>
      <c r="J6" s="21"/>
    </row>
    <row r="7" spans="1:10" ht="14.4" hidden="1">
      <c r="A7" s="17">
        <f t="shared" ref="A7:A59" si="0">+A6+1</f>
        <v>2</v>
      </c>
      <c r="B7" s="1" t="s">
        <v>12</v>
      </c>
      <c r="C7" s="20"/>
      <c r="D7" s="1" t="s">
        <v>33</v>
      </c>
      <c r="E7" s="2" t="s">
        <v>45</v>
      </c>
      <c r="F7" s="20"/>
      <c r="G7" s="20"/>
      <c r="H7" s="23">
        <v>20171103</v>
      </c>
      <c r="I7" s="20">
        <v>2</v>
      </c>
      <c r="J7" s="21"/>
    </row>
    <row r="8" spans="1:10" ht="14.4" hidden="1">
      <c r="A8" s="17">
        <f t="shared" si="0"/>
        <v>3</v>
      </c>
      <c r="B8" s="1" t="s">
        <v>13</v>
      </c>
      <c r="C8" s="20"/>
      <c r="D8" s="1" t="s">
        <v>35</v>
      </c>
      <c r="E8" s="2" t="s">
        <v>44</v>
      </c>
      <c r="F8" s="20"/>
      <c r="G8" s="20"/>
      <c r="H8" s="7">
        <v>20171110</v>
      </c>
      <c r="I8" s="20">
        <v>2</v>
      </c>
      <c r="J8" s="21"/>
    </row>
    <row r="9" spans="1:10" ht="14.4" hidden="1">
      <c r="A9" s="17">
        <f t="shared" si="0"/>
        <v>4</v>
      </c>
      <c r="B9" s="1" t="s">
        <v>14</v>
      </c>
      <c r="C9" s="20"/>
      <c r="D9" s="1" t="s">
        <v>36</v>
      </c>
      <c r="E9" s="2" t="s">
        <v>46</v>
      </c>
      <c r="F9" s="20"/>
      <c r="G9" s="20"/>
      <c r="H9" s="7">
        <v>20171111</v>
      </c>
      <c r="I9" s="20">
        <v>2</v>
      </c>
      <c r="J9" s="21"/>
    </row>
    <row r="10" spans="1:10" ht="14.4" hidden="1">
      <c r="A10" s="17">
        <f t="shared" si="0"/>
        <v>5</v>
      </c>
      <c r="B10" s="1" t="s">
        <v>16</v>
      </c>
      <c r="C10" s="20"/>
      <c r="D10" s="1" t="s">
        <v>122</v>
      </c>
      <c r="E10" s="2" t="s">
        <v>124</v>
      </c>
      <c r="F10" s="20"/>
      <c r="G10" s="20"/>
      <c r="H10" s="7">
        <v>20171211</v>
      </c>
      <c r="I10" s="20">
        <v>2</v>
      </c>
      <c r="J10" s="21"/>
    </row>
    <row r="11" spans="1:10" ht="14.4" hidden="1">
      <c r="A11" s="17">
        <f t="shared" si="0"/>
        <v>6</v>
      </c>
      <c r="B11" s="1" t="s">
        <v>17</v>
      </c>
      <c r="C11" s="20"/>
      <c r="D11" s="1" t="s">
        <v>34</v>
      </c>
      <c r="E11" s="2" t="s">
        <v>125</v>
      </c>
      <c r="F11" s="20"/>
      <c r="G11" s="20"/>
      <c r="H11" s="23">
        <v>20171211</v>
      </c>
      <c r="I11" s="20">
        <v>2</v>
      </c>
      <c r="J11" s="21"/>
    </row>
    <row r="12" spans="1:10" ht="14.4" hidden="1">
      <c r="A12" s="17">
        <f t="shared" si="0"/>
        <v>7</v>
      </c>
      <c r="B12" s="1" t="s">
        <v>18</v>
      </c>
      <c r="C12" s="20"/>
      <c r="D12" s="1" t="s">
        <v>123</v>
      </c>
      <c r="E12" s="2" t="s">
        <v>125</v>
      </c>
      <c r="F12" s="20"/>
      <c r="G12" s="20"/>
      <c r="H12" s="23">
        <v>20171211</v>
      </c>
      <c r="I12" s="20">
        <v>2</v>
      </c>
      <c r="J12" s="21"/>
    </row>
    <row r="13" spans="1:10" ht="14.4" hidden="1">
      <c r="A13" s="17">
        <f t="shared" si="0"/>
        <v>8</v>
      </c>
      <c r="B13" s="1" t="s">
        <v>21</v>
      </c>
      <c r="C13" s="20"/>
      <c r="D13" s="1" t="s">
        <v>39</v>
      </c>
      <c r="E13" s="2" t="s">
        <v>51</v>
      </c>
      <c r="F13" s="20"/>
      <c r="G13" s="20"/>
      <c r="H13" s="26">
        <v>20171211</v>
      </c>
      <c r="I13" s="20">
        <v>2</v>
      </c>
      <c r="J13" s="21"/>
    </row>
    <row r="14" spans="1:10" ht="14.4" hidden="1">
      <c r="A14" s="17">
        <f t="shared" si="0"/>
        <v>9</v>
      </c>
      <c r="B14" s="1" t="s">
        <v>22</v>
      </c>
      <c r="C14" s="20"/>
      <c r="D14" s="1" t="s">
        <v>39</v>
      </c>
      <c r="E14" s="2" t="s">
        <v>52</v>
      </c>
      <c r="F14" s="20"/>
      <c r="G14" s="20"/>
      <c r="H14" s="27">
        <v>20171211</v>
      </c>
      <c r="I14" s="20">
        <v>2</v>
      </c>
      <c r="J14" s="21"/>
    </row>
    <row r="15" spans="1:10" ht="14.4" hidden="1">
      <c r="A15" s="17">
        <f t="shared" si="0"/>
        <v>10</v>
      </c>
      <c r="B15" s="1" t="s">
        <v>23</v>
      </c>
      <c r="C15" s="20"/>
      <c r="D15" s="1" t="s">
        <v>39</v>
      </c>
      <c r="E15" s="2" t="s">
        <v>53</v>
      </c>
      <c r="F15" s="20"/>
      <c r="G15" s="20"/>
      <c r="H15" s="23">
        <v>20171211</v>
      </c>
      <c r="I15" s="20">
        <v>2</v>
      </c>
      <c r="J15" s="21"/>
    </row>
    <row r="16" spans="1:10" ht="14.4" hidden="1">
      <c r="A16" s="17">
        <f t="shared" si="0"/>
        <v>11</v>
      </c>
      <c r="B16" s="1" t="s">
        <v>27</v>
      </c>
      <c r="C16" s="20"/>
      <c r="D16" s="1" t="s">
        <v>42</v>
      </c>
      <c r="E16" s="2" t="s">
        <v>56</v>
      </c>
      <c r="F16" s="20"/>
      <c r="G16" s="20"/>
      <c r="H16" s="7">
        <v>20171211</v>
      </c>
      <c r="I16" s="20">
        <v>2</v>
      </c>
      <c r="J16" s="21"/>
    </row>
    <row r="17" spans="1:10" ht="14.4" hidden="1">
      <c r="A17" s="17">
        <f t="shared" si="0"/>
        <v>12</v>
      </c>
      <c r="B17" s="1" t="s">
        <v>65</v>
      </c>
      <c r="C17" s="20"/>
      <c r="D17" s="1" t="s">
        <v>92</v>
      </c>
      <c r="E17" s="10" t="s">
        <v>80</v>
      </c>
      <c r="F17" s="20"/>
      <c r="G17" s="20"/>
      <c r="H17" s="7">
        <v>20180417</v>
      </c>
      <c r="I17" s="20">
        <v>2</v>
      </c>
      <c r="J17" s="21"/>
    </row>
    <row r="18" spans="1:10" ht="14.4" hidden="1">
      <c r="A18" s="17">
        <f t="shared" si="0"/>
        <v>13</v>
      </c>
      <c r="B18" s="1" t="s">
        <v>65</v>
      </c>
      <c r="C18" s="20"/>
      <c r="D18" s="1" t="s">
        <v>92</v>
      </c>
      <c r="E18" s="10" t="s">
        <v>79</v>
      </c>
      <c r="F18" s="20"/>
      <c r="G18" s="20"/>
      <c r="H18" s="7">
        <v>20180803</v>
      </c>
      <c r="I18" s="20">
        <v>2</v>
      </c>
      <c r="J18" s="21"/>
    </row>
    <row r="19" spans="1:10" ht="14.4" hidden="1">
      <c r="A19" s="17">
        <f t="shared" si="0"/>
        <v>14</v>
      </c>
      <c r="B19" s="1" t="s">
        <v>64</v>
      </c>
      <c r="C19" s="20"/>
      <c r="D19" s="1" t="s">
        <v>91</v>
      </c>
      <c r="E19" s="10" t="s">
        <v>78</v>
      </c>
      <c r="F19" s="20"/>
      <c r="G19" s="20"/>
      <c r="H19" s="7">
        <v>20180807</v>
      </c>
      <c r="I19" s="20">
        <v>2</v>
      </c>
      <c r="J19" s="21"/>
    </row>
    <row r="20" spans="1:10" ht="14.4">
      <c r="A20" s="17">
        <f t="shared" si="0"/>
        <v>15</v>
      </c>
      <c r="B20" s="1" t="s">
        <v>116</v>
      </c>
      <c r="C20" s="20" t="s">
        <v>117</v>
      </c>
      <c r="D20" s="20" t="s">
        <v>115</v>
      </c>
      <c r="E20" s="30" t="s">
        <v>114</v>
      </c>
      <c r="F20" s="20"/>
      <c r="G20" s="20"/>
      <c r="H20" s="20">
        <v>20180810</v>
      </c>
      <c r="I20" s="20">
        <v>4</v>
      </c>
      <c r="J20" s="21"/>
    </row>
    <row r="21" spans="1:10" ht="14.4">
      <c r="A21" s="17">
        <f t="shared" si="0"/>
        <v>16</v>
      </c>
      <c r="B21" s="1" t="s">
        <v>119</v>
      </c>
      <c r="C21" s="20" t="s">
        <v>120</v>
      </c>
      <c r="D21" s="20" t="s">
        <v>118</v>
      </c>
      <c r="E21" s="30" t="s">
        <v>10</v>
      </c>
      <c r="F21" s="20"/>
      <c r="G21" s="20"/>
      <c r="H21" s="20">
        <v>20180827</v>
      </c>
      <c r="I21" s="20">
        <v>4</v>
      </c>
      <c r="J21" s="21"/>
    </row>
    <row r="22" spans="1:10" ht="14.4">
      <c r="A22" s="17">
        <f t="shared" si="0"/>
        <v>17</v>
      </c>
      <c r="B22" s="1" t="s">
        <v>111</v>
      </c>
      <c r="C22" s="20" t="s">
        <v>113</v>
      </c>
      <c r="D22" s="20" t="s">
        <v>112</v>
      </c>
      <c r="E22" s="30" t="s">
        <v>110</v>
      </c>
      <c r="F22" s="20"/>
      <c r="G22" s="20"/>
      <c r="H22" s="20">
        <v>20181108</v>
      </c>
      <c r="I22" s="20">
        <v>4</v>
      </c>
      <c r="J22" s="21"/>
    </row>
    <row r="23" spans="1:10" ht="14.4" hidden="1">
      <c r="A23" s="17">
        <f t="shared" si="0"/>
        <v>18</v>
      </c>
      <c r="B23" s="20" t="s">
        <v>19</v>
      </c>
      <c r="C23" s="20"/>
      <c r="D23" s="8" t="s">
        <v>38</v>
      </c>
      <c r="E23" s="30" t="s">
        <v>48</v>
      </c>
      <c r="F23" s="20"/>
      <c r="G23" s="20"/>
      <c r="H23" s="1" t="s">
        <v>99</v>
      </c>
      <c r="I23" s="20">
        <v>2</v>
      </c>
      <c r="J23" s="21"/>
    </row>
    <row r="24" spans="1:10" ht="14.4" hidden="1">
      <c r="A24" s="17">
        <f t="shared" si="0"/>
        <v>19</v>
      </c>
      <c r="B24" s="20" t="s">
        <v>20</v>
      </c>
      <c r="C24" s="20"/>
      <c r="D24" s="8" t="s">
        <v>37</v>
      </c>
      <c r="E24" s="30" t="s">
        <v>50</v>
      </c>
      <c r="F24" s="20"/>
      <c r="G24" s="20"/>
      <c r="H24" s="25" t="s">
        <v>100</v>
      </c>
      <c r="I24" s="20">
        <v>2</v>
      </c>
      <c r="J24" s="21"/>
    </row>
    <row r="25" spans="1:10" ht="14.4" hidden="1">
      <c r="A25" s="17">
        <f t="shared" si="0"/>
        <v>20</v>
      </c>
      <c r="B25" s="20" t="s">
        <v>25</v>
      </c>
      <c r="C25" s="20"/>
      <c r="D25" s="1" t="s">
        <v>41</v>
      </c>
      <c r="E25" s="30" t="s">
        <v>55</v>
      </c>
      <c r="F25" s="20"/>
      <c r="G25" s="20"/>
      <c r="H25" s="25" t="s">
        <v>107</v>
      </c>
      <c r="I25" s="20">
        <v>2</v>
      </c>
      <c r="J25" s="21"/>
    </row>
    <row r="26" spans="1:10" ht="14.4" hidden="1">
      <c r="A26" s="17">
        <f t="shared" si="0"/>
        <v>21</v>
      </c>
      <c r="B26" s="1" t="s">
        <v>72</v>
      </c>
      <c r="C26" s="20"/>
      <c r="D26" s="1" t="s">
        <v>98</v>
      </c>
      <c r="E26" s="10" t="s">
        <v>87</v>
      </c>
      <c r="F26" s="20"/>
      <c r="G26" s="20"/>
      <c r="H26" s="1" t="s">
        <v>101</v>
      </c>
      <c r="I26" s="20">
        <v>2</v>
      </c>
      <c r="J26" s="21"/>
    </row>
    <row r="27" spans="1:10" ht="14.4" hidden="1">
      <c r="A27" s="17">
        <f t="shared" si="0"/>
        <v>22</v>
      </c>
      <c r="B27" s="20" t="s">
        <v>24</v>
      </c>
      <c r="C27" s="20"/>
      <c r="D27" s="1" t="s">
        <v>40</v>
      </c>
      <c r="E27" s="30" t="s">
        <v>54</v>
      </c>
      <c r="F27" s="20"/>
      <c r="G27" s="20"/>
      <c r="H27" s="1" t="s">
        <v>106</v>
      </c>
      <c r="I27" s="20">
        <v>2</v>
      </c>
      <c r="J27" s="21"/>
    </row>
    <row r="28" spans="1:10" ht="26.4" hidden="1">
      <c r="A28" s="17">
        <f t="shared" si="0"/>
        <v>23</v>
      </c>
      <c r="B28" s="1" t="s">
        <v>68</v>
      </c>
      <c r="C28" s="20"/>
      <c r="D28" s="1" t="s">
        <v>95</v>
      </c>
      <c r="E28" s="22" t="s">
        <v>83</v>
      </c>
      <c r="F28" s="20"/>
      <c r="G28" s="20"/>
      <c r="H28" s="1" t="s">
        <v>106</v>
      </c>
      <c r="I28" s="20">
        <v>2</v>
      </c>
      <c r="J28" s="21"/>
    </row>
    <row r="29" spans="1:10" ht="14.4" hidden="1">
      <c r="A29" s="17">
        <f t="shared" si="0"/>
        <v>24</v>
      </c>
      <c r="B29" s="1" t="s">
        <v>62</v>
      </c>
      <c r="C29" s="20"/>
      <c r="D29" s="1" t="s">
        <v>88</v>
      </c>
      <c r="E29" s="10" t="s">
        <v>73</v>
      </c>
      <c r="F29" s="20"/>
      <c r="G29" s="20"/>
      <c r="H29" s="1" t="s">
        <v>106</v>
      </c>
      <c r="I29" s="20">
        <v>2</v>
      </c>
      <c r="J29" s="21"/>
    </row>
    <row r="30" spans="1:10" ht="14.4" hidden="1">
      <c r="A30" s="17">
        <f t="shared" si="0"/>
        <v>25</v>
      </c>
      <c r="B30" s="1" t="s">
        <v>62</v>
      </c>
      <c r="C30" s="20"/>
      <c r="D30" s="1" t="s">
        <v>88</v>
      </c>
      <c r="E30" s="10" t="s">
        <v>76</v>
      </c>
      <c r="F30" s="20"/>
      <c r="G30" s="20"/>
      <c r="H30" s="1" t="s">
        <v>108</v>
      </c>
      <c r="I30" s="20">
        <v>2</v>
      </c>
      <c r="J30" s="21"/>
    </row>
    <row r="31" spans="1:10" ht="26.4" hidden="1">
      <c r="A31" s="17">
        <f t="shared" si="0"/>
        <v>26</v>
      </c>
      <c r="B31" s="1" t="s">
        <v>69</v>
      </c>
      <c r="C31" s="20"/>
      <c r="D31" s="1" t="s">
        <v>96</v>
      </c>
      <c r="E31" s="22" t="s">
        <v>84</v>
      </c>
      <c r="F31" s="20"/>
      <c r="G31" s="20"/>
      <c r="H31" s="1" t="s">
        <v>102</v>
      </c>
      <c r="I31" s="20">
        <v>2</v>
      </c>
      <c r="J31" s="21"/>
    </row>
    <row r="32" spans="1:10" ht="14.4" hidden="1">
      <c r="A32" s="17">
        <f t="shared" si="0"/>
        <v>27</v>
      </c>
      <c r="B32" s="1" t="s">
        <v>62</v>
      </c>
      <c r="C32" s="20"/>
      <c r="D32" s="1" t="s">
        <v>88</v>
      </c>
      <c r="E32" s="10" t="s">
        <v>74</v>
      </c>
      <c r="F32" s="20"/>
      <c r="G32" s="20"/>
      <c r="H32" s="1" t="s">
        <v>61</v>
      </c>
      <c r="I32" s="20">
        <v>2</v>
      </c>
      <c r="J32" s="21"/>
    </row>
    <row r="33" spans="1:10" ht="14.4" hidden="1">
      <c r="A33" s="17">
        <f t="shared" si="0"/>
        <v>28</v>
      </c>
      <c r="B33" s="1" t="s">
        <v>63</v>
      </c>
      <c r="C33" s="20"/>
      <c r="D33" s="1" t="s">
        <v>89</v>
      </c>
      <c r="E33" s="10" t="s">
        <v>77</v>
      </c>
      <c r="F33" s="20"/>
      <c r="G33" s="20"/>
      <c r="H33" s="24" t="s">
        <v>103</v>
      </c>
      <c r="I33" s="20">
        <v>2</v>
      </c>
      <c r="J33" s="21"/>
    </row>
    <row r="34" spans="1:10" ht="14.4" hidden="1">
      <c r="A34" s="17">
        <f t="shared" si="0"/>
        <v>29</v>
      </c>
      <c r="B34" s="1" t="s">
        <v>62</v>
      </c>
      <c r="C34" s="20"/>
      <c r="D34" s="1" t="s">
        <v>88</v>
      </c>
      <c r="E34" s="10" t="s">
        <v>75</v>
      </c>
      <c r="F34" s="20"/>
      <c r="G34" s="20"/>
      <c r="H34" s="24" t="s">
        <v>103</v>
      </c>
      <c r="I34" s="20">
        <v>2</v>
      </c>
      <c r="J34" s="21"/>
    </row>
    <row r="35" spans="1:10" ht="14.4" hidden="1">
      <c r="A35" s="17">
        <f t="shared" si="0"/>
        <v>30</v>
      </c>
      <c r="B35" s="1" t="s">
        <v>66</v>
      </c>
      <c r="C35" s="20"/>
      <c r="D35" s="1" t="s">
        <v>93</v>
      </c>
      <c r="E35" s="10" t="s">
        <v>81</v>
      </c>
      <c r="F35" s="20"/>
      <c r="G35" s="20"/>
      <c r="H35" s="25" t="s">
        <v>60</v>
      </c>
      <c r="I35" s="20">
        <v>2</v>
      </c>
      <c r="J35" s="21"/>
    </row>
    <row r="36" spans="1:10" ht="14.4" hidden="1">
      <c r="A36" s="17">
        <f t="shared" si="0"/>
        <v>31</v>
      </c>
      <c r="B36" s="1" t="s">
        <v>67</v>
      </c>
      <c r="C36" s="20"/>
      <c r="D36" s="1" t="s">
        <v>94</v>
      </c>
      <c r="E36" s="10" t="s">
        <v>82</v>
      </c>
      <c r="F36" s="20"/>
      <c r="G36" s="20"/>
      <c r="H36" s="25" t="s">
        <v>60</v>
      </c>
      <c r="I36" s="20">
        <v>2</v>
      </c>
      <c r="J36" s="21"/>
    </row>
    <row r="37" spans="1:10" ht="14.4" hidden="1">
      <c r="A37" s="17">
        <f t="shared" si="0"/>
        <v>32</v>
      </c>
      <c r="B37" s="1" t="s">
        <v>71</v>
      </c>
      <c r="C37" s="20"/>
      <c r="D37" s="1" t="s">
        <v>97</v>
      </c>
      <c r="E37" s="10" t="s">
        <v>86</v>
      </c>
      <c r="F37" s="20"/>
      <c r="G37" s="20"/>
      <c r="H37" s="8" t="s">
        <v>104</v>
      </c>
      <c r="I37" s="20">
        <v>2</v>
      </c>
      <c r="J37" s="21"/>
    </row>
    <row r="38" spans="1:10" ht="14.4" hidden="1">
      <c r="A38" s="17">
        <f t="shared" si="0"/>
        <v>33</v>
      </c>
      <c r="B38" s="1" t="s">
        <v>70</v>
      </c>
      <c r="C38" s="20"/>
      <c r="D38" s="1" t="s">
        <v>90</v>
      </c>
      <c r="E38" s="10" t="s">
        <v>85</v>
      </c>
      <c r="F38" s="20"/>
      <c r="G38" s="20"/>
      <c r="H38" s="8" t="s">
        <v>109</v>
      </c>
      <c r="I38" s="20">
        <v>2</v>
      </c>
      <c r="J38" s="21"/>
    </row>
    <row r="39" spans="1:10" ht="14.4" hidden="1">
      <c r="A39" s="17">
        <f t="shared" si="0"/>
        <v>34</v>
      </c>
      <c r="B39" s="20" t="s">
        <v>26</v>
      </c>
      <c r="C39" s="20"/>
      <c r="D39" s="1" t="s">
        <v>41</v>
      </c>
      <c r="E39" s="30" t="s">
        <v>49</v>
      </c>
      <c r="F39" s="20"/>
      <c r="G39" s="20"/>
      <c r="H39" s="8" t="s">
        <v>109</v>
      </c>
      <c r="I39" s="20">
        <v>2</v>
      </c>
      <c r="J39" s="21"/>
    </row>
    <row r="40" spans="1:10" ht="14.4" hidden="1">
      <c r="A40" s="17">
        <f t="shared" si="0"/>
        <v>35</v>
      </c>
      <c r="B40" s="20" t="s">
        <v>15</v>
      </c>
      <c r="C40" s="20"/>
      <c r="D40" s="1" t="s">
        <v>37</v>
      </c>
      <c r="E40" s="30" t="s">
        <v>47</v>
      </c>
      <c r="F40" s="20"/>
      <c r="G40" s="20"/>
      <c r="H40" s="8" t="s">
        <v>109</v>
      </c>
      <c r="I40" s="20">
        <v>2</v>
      </c>
      <c r="J40" s="21"/>
    </row>
    <row r="41" spans="1:10" ht="14.4" hidden="1">
      <c r="A41" s="17">
        <f t="shared" si="0"/>
        <v>36</v>
      </c>
      <c r="B41" s="1" t="s">
        <v>30</v>
      </c>
      <c r="C41" s="20"/>
      <c r="D41" s="1" t="s">
        <v>43</v>
      </c>
      <c r="E41" s="2" t="s">
        <v>58</v>
      </c>
      <c r="F41" s="20"/>
      <c r="G41" s="20"/>
      <c r="H41" s="1" t="s">
        <v>109</v>
      </c>
      <c r="I41" s="20">
        <v>2</v>
      </c>
      <c r="J41" s="21"/>
    </row>
    <row r="42" spans="1:10" ht="14.4" hidden="1">
      <c r="A42" s="17">
        <f t="shared" si="0"/>
        <v>37</v>
      </c>
      <c r="B42" s="1" t="s">
        <v>31</v>
      </c>
      <c r="C42" s="20"/>
      <c r="D42" s="1" t="s">
        <v>42</v>
      </c>
      <c r="E42" s="2" t="s">
        <v>49</v>
      </c>
      <c r="F42" s="20"/>
      <c r="G42" s="20"/>
      <c r="H42" s="8" t="s">
        <v>105</v>
      </c>
      <c r="I42" s="20">
        <v>2</v>
      </c>
      <c r="J42" s="21"/>
    </row>
    <row r="43" spans="1:10" ht="14.4" hidden="1">
      <c r="A43" s="17">
        <f t="shared" si="0"/>
        <v>38</v>
      </c>
      <c r="B43" s="1" t="s">
        <v>28</v>
      </c>
      <c r="C43" s="20"/>
      <c r="D43" s="1" t="s">
        <v>36</v>
      </c>
      <c r="E43" s="2" t="s">
        <v>57</v>
      </c>
      <c r="F43" s="20"/>
      <c r="G43" s="20"/>
      <c r="H43" s="1" t="s">
        <v>59</v>
      </c>
      <c r="I43" s="20">
        <v>2</v>
      </c>
      <c r="J43" s="21"/>
    </row>
    <row r="44" spans="1:10" ht="14.4" hidden="1">
      <c r="A44" s="17">
        <f t="shared" si="0"/>
        <v>39</v>
      </c>
      <c r="B44" s="1" t="s">
        <v>29</v>
      </c>
      <c r="C44" s="20"/>
      <c r="D44" s="1" t="s">
        <v>43</v>
      </c>
      <c r="E44" s="2" t="s">
        <v>57</v>
      </c>
      <c r="F44" s="20"/>
      <c r="G44" s="20"/>
      <c r="H44" s="1" t="s">
        <v>59</v>
      </c>
      <c r="I44" s="20">
        <v>2</v>
      </c>
      <c r="J44" s="21"/>
    </row>
    <row r="45" spans="1:10" ht="14.4" hidden="1">
      <c r="A45" s="35">
        <f t="shared" si="0"/>
        <v>40</v>
      </c>
      <c r="B45" s="33" t="s">
        <v>126</v>
      </c>
      <c r="C45" s="20"/>
      <c r="D45" s="1"/>
      <c r="E45" s="34" t="s">
        <v>130</v>
      </c>
      <c r="F45" s="20"/>
      <c r="G45" s="20"/>
      <c r="H45" s="33" t="s">
        <v>133</v>
      </c>
      <c r="I45" s="20">
        <v>2</v>
      </c>
      <c r="J45" s="21"/>
    </row>
    <row r="46" spans="1:10" ht="14.4" hidden="1">
      <c r="A46" s="35">
        <f t="shared" si="0"/>
        <v>41</v>
      </c>
      <c r="B46" s="33" t="s">
        <v>127</v>
      </c>
      <c r="C46" s="20"/>
      <c r="D46" s="1"/>
      <c r="E46" s="34" t="s">
        <v>131</v>
      </c>
      <c r="F46" s="20"/>
      <c r="G46" s="20"/>
      <c r="H46" s="33" t="s">
        <v>133</v>
      </c>
      <c r="I46" s="20">
        <v>2</v>
      </c>
      <c r="J46" s="21"/>
    </row>
    <row r="47" spans="1:10" ht="14.4" hidden="1">
      <c r="A47" s="35">
        <f t="shared" si="0"/>
        <v>42</v>
      </c>
      <c r="B47" s="1" t="s">
        <v>28</v>
      </c>
      <c r="C47" s="20"/>
      <c r="D47" s="1" t="s">
        <v>36</v>
      </c>
      <c r="E47" s="2" t="s">
        <v>57</v>
      </c>
      <c r="F47" s="20"/>
      <c r="G47" s="20"/>
      <c r="H47" s="1" t="s">
        <v>136</v>
      </c>
      <c r="I47" s="20">
        <v>2</v>
      </c>
      <c r="J47" s="21"/>
    </row>
    <row r="48" spans="1:10" ht="14.4" hidden="1">
      <c r="A48" s="35">
        <f t="shared" si="0"/>
        <v>43</v>
      </c>
      <c r="B48" s="1" t="s">
        <v>29</v>
      </c>
      <c r="C48" s="20"/>
      <c r="D48" s="1" t="s">
        <v>43</v>
      </c>
      <c r="E48" s="2" t="s">
        <v>57</v>
      </c>
      <c r="F48" s="20"/>
      <c r="G48" s="20"/>
      <c r="H48" s="1" t="s">
        <v>136</v>
      </c>
      <c r="I48" s="20">
        <v>2</v>
      </c>
      <c r="J48" s="21"/>
    </row>
    <row r="49" spans="1:10" ht="14.4" hidden="1">
      <c r="A49" s="35">
        <f t="shared" si="0"/>
        <v>44</v>
      </c>
      <c r="B49" s="1" t="s">
        <v>30</v>
      </c>
      <c r="C49" s="20"/>
      <c r="D49" s="1" t="s">
        <v>43</v>
      </c>
      <c r="E49" s="2" t="s">
        <v>58</v>
      </c>
      <c r="F49" s="20"/>
      <c r="G49" s="20"/>
      <c r="H49" s="1" t="s">
        <v>136</v>
      </c>
      <c r="I49" s="20">
        <v>2</v>
      </c>
      <c r="J49" s="21"/>
    </row>
    <row r="50" spans="1:10" ht="14.4" hidden="1">
      <c r="A50" s="35">
        <f t="shared" si="0"/>
        <v>45</v>
      </c>
      <c r="B50" s="1" t="s">
        <v>31</v>
      </c>
      <c r="C50" s="20"/>
      <c r="D50" s="1" t="s">
        <v>42</v>
      </c>
      <c r="E50" s="2" t="s">
        <v>49</v>
      </c>
      <c r="F50" s="20"/>
      <c r="G50" s="20"/>
      <c r="H50" s="1" t="s">
        <v>136</v>
      </c>
      <c r="I50" s="20">
        <v>2</v>
      </c>
      <c r="J50" s="21"/>
    </row>
    <row r="51" spans="1:10" ht="14.4" hidden="1">
      <c r="A51" s="35">
        <f t="shared" si="0"/>
        <v>46</v>
      </c>
      <c r="B51" s="33" t="s">
        <v>128</v>
      </c>
      <c r="C51" s="20"/>
      <c r="D51" s="1"/>
      <c r="E51" s="34" t="s">
        <v>132</v>
      </c>
      <c r="F51" s="20"/>
      <c r="G51" s="20"/>
      <c r="H51" s="33" t="s">
        <v>134</v>
      </c>
      <c r="I51" s="20">
        <v>2</v>
      </c>
      <c r="J51" s="21"/>
    </row>
    <row r="52" spans="1:10" ht="14.4" hidden="1">
      <c r="A52" s="35">
        <f t="shared" si="0"/>
        <v>47</v>
      </c>
      <c r="B52" s="33" t="s">
        <v>129</v>
      </c>
      <c r="C52" s="20"/>
      <c r="D52" s="1"/>
      <c r="E52" s="34" t="s">
        <v>132</v>
      </c>
      <c r="F52" s="20"/>
      <c r="G52" s="20"/>
      <c r="H52" s="33" t="s">
        <v>135</v>
      </c>
      <c r="I52" s="20">
        <v>2</v>
      </c>
      <c r="J52" s="21"/>
    </row>
    <row r="53" spans="1:10" ht="14.4">
      <c r="A53" s="35">
        <f t="shared" si="0"/>
        <v>48</v>
      </c>
      <c r="B53" s="1" t="s">
        <v>141</v>
      </c>
      <c r="C53" s="20" t="s">
        <v>145</v>
      </c>
      <c r="D53" s="1" t="s">
        <v>142</v>
      </c>
      <c r="E53" s="2" t="s">
        <v>143</v>
      </c>
      <c r="F53" s="20"/>
      <c r="G53" s="20"/>
      <c r="H53" s="1" t="s">
        <v>144</v>
      </c>
      <c r="I53" s="20">
        <v>4</v>
      </c>
      <c r="J53" s="21"/>
    </row>
    <row r="54" spans="1:10" ht="14.4">
      <c r="A54" s="35">
        <f t="shared" si="0"/>
        <v>49</v>
      </c>
      <c r="B54" s="1" t="s">
        <v>141</v>
      </c>
      <c r="C54" s="20" t="s">
        <v>149</v>
      </c>
      <c r="D54" s="1" t="s">
        <v>142</v>
      </c>
      <c r="E54" s="2" t="s">
        <v>143</v>
      </c>
      <c r="F54" s="20"/>
      <c r="G54" s="20"/>
      <c r="H54" s="1" t="s">
        <v>144</v>
      </c>
      <c r="I54" s="20">
        <v>4</v>
      </c>
      <c r="J54" s="21"/>
    </row>
    <row r="55" spans="1:10" ht="14.4">
      <c r="A55" s="35">
        <f t="shared" si="0"/>
        <v>50</v>
      </c>
      <c r="B55" s="1" t="s">
        <v>141</v>
      </c>
      <c r="C55" s="20" t="s">
        <v>150</v>
      </c>
      <c r="D55" s="1" t="s">
        <v>142</v>
      </c>
      <c r="E55" s="2" t="s">
        <v>143</v>
      </c>
      <c r="F55" s="20"/>
      <c r="G55" s="20"/>
      <c r="H55" s="1" t="s">
        <v>144</v>
      </c>
      <c r="I55" s="20">
        <v>4</v>
      </c>
      <c r="J55" s="21"/>
    </row>
    <row r="56" spans="1:10" ht="14.4">
      <c r="A56" s="35">
        <f t="shared" si="0"/>
        <v>51</v>
      </c>
      <c r="B56" s="1" t="s">
        <v>141</v>
      </c>
      <c r="C56" s="20" t="s">
        <v>151</v>
      </c>
      <c r="D56" s="1" t="s">
        <v>142</v>
      </c>
      <c r="E56" s="2" t="s">
        <v>143</v>
      </c>
      <c r="F56" s="20"/>
      <c r="G56" s="20"/>
      <c r="H56" s="1" t="s">
        <v>144</v>
      </c>
      <c r="I56" s="20">
        <v>4</v>
      </c>
      <c r="J56" s="21"/>
    </row>
    <row r="57" spans="1:10" ht="14.4">
      <c r="A57" s="35">
        <f t="shared" si="0"/>
        <v>52</v>
      </c>
      <c r="B57" s="1" t="s">
        <v>137</v>
      </c>
      <c r="C57" s="20" t="s">
        <v>146</v>
      </c>
      <c r="D57" s="1" t="s">
        <v>138</v>
      </c>
      <c r="E57" s="2" t="s">
        <v>139</v>
      </c>
      <c r="F57" s="20"/>
      <c r="G57" s="20"/>
      <c r="H57" s="1" t="s">
        <v>140</v>
      </c>
      <c r="I57" s="20">
        <v>4</v>
      </c>
      <c r="J57" s="21"/>
    </row>
    <row r="58" spans="1:10" ht="14.4">
      <c r="A58" s="35">
        <f t="shared" si="0"/>
        <v>53</v>
      </c>
      <c r="B58" s="1" t="s">
        <v>137</v>
      </c>
      <c r="C58" s="20" t="s">
        <v>147</v>
      </c>
      <c r="D58" s="1" t="s">
        <v>138</v>
      </c>
      <c r="E58" s="2" t="s">
        <v>139</v>
      </c>
      <c r="F58" s="20"/>
      <c r="G58" s="20"/>
      <c r="H58" s="1" t="s">
        <v>140</v>
      </c>
      <c r="I58" s="20">
        <v>4</v>
      </c>
      <c r="J58" s="21"/>
    </row>
    <row r="59" spans="1:10" ht="14.4">
      <c r="A59" s="35">
        <f t="shared" si="0"/>
        <v>54</v>
      </c>
      <c r="B59" s="1" t="s">
        <v>137</v>
      </c>
      <c r="C59" s="20" t="s">
        <v>148</v>
      </c>
      <c r="D59" s="1" t="s">
        <v>138</v>
      </c>
      <c r="E59" s="2" t="s">
        <v>139</v>
      </c>
      <c r="F59" s="20"/>
      <c r="G59" s="20"/>
      <c r="H59" s="1" t="s">
        <v>140</v>
      </c>
      <c r="I59" s="20">
        <v>4</v>
      </c>
      <c r="J59" s="21"/>
    </row>
    <row r="60" spans="1:10" ht="16.2" thickBot="1">
      <c r="A60" s="6"/>
      <c r="B60" s="11"/>
      <c r="C60" s="6"/>
      <c r="D60" s="6"/>
      <c r="E60" s="31"/>
      <c r="F60" s="6"/>
      <c r="G60" s="6"/>
      <c r="H60" s="6"/>
      <c r="I60" s="6"/>
      <c r="J60" s="9"/>
    </row>
    <row r="61" spans="1:10">
      <c r="A61" s="58" t="s">
        <v>9</v>
      </c>
      <c r="B61" s="58"/>
      <c r="C61" s="58"/>
      <c r="D61" s="59" t="s">
        <v>7</v>
      </c>
      <c r="E61" s="59"/>
      <c r="F61" s="59"/>
      <c r="G61" s="12"/>
      <c r="H61" s="12"/>
      <c r="I61" s="60" t="s">
        <v>8</v>
      </c>
      <c r="J61" s="60"/>
    </row>
    <row r="78" spans="1:1">
      <c r="A78" s="13" t="s">
        <v>121</v>
      </c>
    </row>
  </sheetData>
  <autoFilter ref="A5:J59">
    <filterColumn colId="2">
      <customFilters>
        <customFilter operator="notEqual" val=" "/>
      </customFilters>
    </filterColumn>
    <sortState ref="A6:J59">
      <sortCondition ref="H5"/>
    </sortState>
  </autoFilter>
  <mergeCells count="5">
    <mergeCell ref="C2:F3"/>
    <mergeCell ref="I4:J4"/>
    <mergeCell ref="A61:C61"/>
    <mergeCell ref="D61:F61"/>
    <mergeCell ref="I61:J61"/>
  </mergeCells>
  <pageMargins left="0.68" right="0.31" top="0.53" bottom="0.53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Quản lý mẫu 2018</vt:lpstr>
      <vt:lpstr>Quản lý mẫu 2019</vt:lpstr>
      <vt:lpstr>Quản lý mẫu 2020</vt:lpstr>
      <vt:lpstr>Quản lý mẫu 2019 (2)</vt:lpstr>
      <vt:lpstr>'Quản lý mẫu 2018'!Print_Area</vt:lpstr>
      <vt:lpstr>'Quản lý mẫu 2019'!Print_Area</vt:lpstr>
      <vt:lpstr>'Quản lý mẫu 2020'!Print_Area</vt:lpstr>
      <vt:lpstr>'Quản lý mẫu 2019'!Print_Titles</vt:lpstr>
      <vt:lpstr>'Quản lý mẫu 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msi</cp:lastModifiedBy>
  <cp:lastPrinted>2020-03-18T04:46:49Z</cp:lastPrinted>
  <dcterms:created xsi:type="dcterms:W3CDTF">2017-03-31T04:45:34Z</dcterms:created>
  <dcterms:modified xsi:type="dcterms:W3CDTF">2020-03-18T04:46:54Z</dcterms:modified>
</cp:coreProperties>
</file>