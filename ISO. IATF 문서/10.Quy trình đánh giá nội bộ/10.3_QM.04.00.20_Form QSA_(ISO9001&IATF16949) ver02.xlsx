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Y:\15. QC\00.Sắp xếp tài liệu mới\2.QA\3.Audit nội bộ_자체감사\II. QSA audit\"/>
    </mc:Choice>
  </mc:AlternateContent>
  <bookViews>
    <workbookView xWindow="0" yWindow="0" windowWidth="25200" windowHeight="12570" activeTab="4"/>
  </bookViews>
  <sheets>
    <sheet name="Lịch sử sửa đổi" sheetId="15" r:id="rId1"/>
    <sheet name="Tổng hợp" sheetId="16" r:id="rId2"/>
    <sheet name=" 1. Xem lại việc quản lý" sheetId="1" r:id="rId3"/>
    <sheet name="2.Đánh giá nội bộ" sheetId="2" r:id="rId4"/>
    <sheet name=" 3. phát triển sản phẩm" sheetId="3" r:id="rId5"/>
    <sheet name=" 4. Sản xuất" sheetId="4" r:id="rId6"/>
    <sheet name=" 5. quản lý kinh doanh" sheetId="5" r:id="rId7"/>
    <sheet name=" 6. Sự hài lòng của khách hàng" sheetId="6" r:id="rId8"/>
    <sheet name="7. Quản lý mua hàng" sheetId="7" r:id="rId9"/>
    <sheet name="8.QLTB" sheetId="8" r:id="rId10"/>
    <sheet name="9.KTra và Thử nghiệm" sheetId="9" r:id="rId11"/>
    <sheet name=" 10. đào tạo giáo dục" sheetId="10" r:id="rId12"/>
    <sheet name=" 11. Qly thay đổi" sheetId="11" r:id="rId13"/>
    <sheet name=" 12. quản lý tài liệu" sheetId="12" r:id="rId14"/>
    <sheet name=" 13. sản phẩm không phù hợp" sheetId="13" r:id="rId15"/>
    <sheet name=" 14. quản lý rủi ro" sheetId="14" r:id="rId16"/>
    <sheet name="Sheet1" sheetId="17" r:id="rId17"/>
  </sheets>
  <externalReferences>
    <externalReference r:id="rId18"/>
    <externalReference r:id="rId19"/>
  </externalReferences>
  <definedNames>
    <definedName name="_Fill" hidden="1">[1]외주현황.wq1!$A$403:$A$435</definedName>
    <definedName name="_xlnm._FilterDatabase" localSheetId="1" hidden="1">#REF!</definedName>
    <definedName name="_xlnm._FilterDatabase" hidden="1">#REF!</definedName>
    <definedName name="_Key1" hidden="1">[1]외주현황.wq1!$E$403:$E$455</definedName>
    <definedName name="_Order1" hidden="1">[1]외주현황.wq1!$A$31</definedName>
    <definedName name="_Sort" hidden="1">[2]M1master!$A$1:$IV$4102</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_xlnm.Print_Area" localSheetId="2">' 1. Xem lại việc quản lý'!$A$1:$AC$21</definedName>
    <definedName name="_xlnm.Print_Area" localSheetId="11">' 10. đào tạo giáo dục'!$A$1:$AC$22</definedName>
    <definedName name="_xlnm.Print_Area" localSheetId="13">' 12. quản lý tài liệu'!$A$1:$AC$20</definedName>
    <definedName name="_xlnm.Print_Area" localSheetId="15">' 14. quản lý rủi ro'!$A$1:$AC$19</definedName>
    <definedName name="_xlnm.Print_Area" localSheetId="4">' 3. phát triển sản phẩm'!$A$1:$AC$26</definedName>
    <definedName name="_xlnm.Print_Area" localSheetId="5">' 4. Sản xuất'!$A$1:$AC$26</definedName>
    <definedName name="_xlnm.Print_Area" localSheetId="6">' 5. quản lý kinh doanh'!$A$1:$AC$25</definedName>
    <definedName name="_xlnm.Print_Area" localSheetId="3">'2.Đánh giá nội bộ'!$A$1:$AC$24</definedName>
    <definedName name="_xlnm.Print_Area" localSheetId="8">'7. Quản lý mua hàng'!$A$1:$AC$35</definedName>
    <definedName name="_xlnm.Print_Area" localSheetId="9">'8.QLTB'!$A$1:$AC$25</definedName>
    <definedName name="_xlnm.Print_Area" localSheetId="10">'9.KTra và Thử nghiệm'!$A$1:$AC$32</definedName>
    <definedName name="t" localSheetId="1">#REF!</definedName>
    <definedName name="t">#REF!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V19" i="14" l="1"/>
  <c r="V20" i="12"/>
  <c r="V22" i="10"/>
  <c r="V32" i="9"/>
  <c r="V24" i="2"/>
  <c r="F27" i="16"/>
  <c r="G26" i="16"/>
  <c r="F26" i="16"/>
  <c r="E26" i="16"/>
  <c r="G25" i="16"/>
  <c r="G24" i="16"/>
  <c r="G23" i="16"/>
  <c r="G22" i="16"/>
  <c r="G21" i="16"/>
  <c r="G20" i="16"/>
  <c r="G19" i="16"/>
  <c r="G18" i="16"/>
  <c r="G17" i="16"/>
  <c r="G16" i="16"/>
  <c r="G15" i="16"/>
  <c r="G14" i="16"/>
  <c r="G13" i="16"/>
  <c r="G12" i="16"/>
  <c r="G6" i="16"/>
</calcChain>
</file>

<file path=xl/sharedStrings.xml><?xml version="1.0" encoding="utf-8"?>
<sst xmlns="http://schemas.openxmlformats.org/spreadsheetml/2006/main" count="782" uniqueCount="254">
  <si>
    <t>Thanh toán</t>
    <phoneticPr fontId="0" type="noConversion"/>
  </si>
  <si>
    <t>viết</t>
    <phoneticPr fontId="0" type="noConversion"/>
  </si>
  <si>
    <t>nghiên cứu</t>
    <phoneticPr fontId="0" type="noConversion"/>
  </si>
  <si>
    <t>Phê duyệt</t>
    <phoneticPr fontId="0" type="noConversion"/>
  </si>
  <si>
    <t>Xem lại việc quản lý</t>
  </si>
  <si>
    <t>đội giám khảo</t>
  </si>
  <si>
    <t>Không</t>
    <phoneticPr fontId="0" type="noConversion"/>
  </si>
  <si>
    <t>Kiểm tra các mục</t>
    <phoneticPr fontId="0" type="noConversion"/>
  </si>
  <si>
    <t>kết quả</t>
    <phoneticPr fontId="0" type="noConversion"/>
  </si>
  <si>
    <t>Người chịu trách nhiệm về quy trình đã được xác định chưa?</t>
  </si>
  <si>
    <t>hoàn thành</t>
    <phoneticPr fontId="2" type="noConversion"/>
  </si>
  <si>
    <t>Các chỉ số hoạt động của quá trình có đạt được so với mục tiêu, và các hành động có được thực hiện khi không đạt được không?</t>
    <phoneticPr fontId="0" type="noConversion"/>
  </si>
  <si>
    <t>Bạn có được đảm bảo vận chuyển đến các thông số kỹ thuật đáp ứng yêu cầu của khách hàng không?</t>
    <phoneticPr fontId="0" type="noConversion"/>
  </si>
  <si>
    <t>Các thủ tục cho các hành động khắc phục có được thiết lập và tất cả các thành viên trong nhóm có quen thuộc với chúng không?</t>
    <phoneticPr fontId="0" type="noConversion"/>
  </si>
  <si>
    <t>Các hoạt động phòng ngừa đang được thực hiện, và những hoạt động nào?</t>
    <phoneticPr fontId="0" type="noConversion"/>
  </si>
  <si>
    <t>Sự không phù hợp trước đó có được xác nhận không?</t>
    <phoneticPr fontId="0" type="noConversion"/>
  </si>
  <si>
    <t>Các chỉ số hoạt động định kỳ có được chuẩn bị và duy trì không?</t>
    <phoneticPr fontId="0" type="noConversion"/>
  </si>
  <si>
    <t>Việc xem xét của ban quản lý có tiến hành các hoạt động đánh giá và so sánh trong một chu kỳ quy định không?</t>
    <phoneticPr fontId="0" type="noConversion"/>
  </si>
  <si>
    <t>quá trình</t>
    <phoneticPr fontId="0" type="noConversion"/>
  </si>
  <si>
    <t>Người chịu trách nhiệm về quy trình đã được xác định chưa?</t>
    <phoneticPr fontId="0" type="noConversion"/>
  </si>
  <si>
    <t>Các vấn đề bên trong và bên ngoài có được xác định không?</t>
    <phoneticPr fontId="0" type="noConversion"/>
  </si>
  <si>
    <t>Các yêu cầu của các bên liên quan có được xác định không?</t>
    <phoneticPr fontId="0" type="noConversion"/>
  </si>
  <si>
    <t>Phân tích rủi ro đã được thực hiện và xác định chưa?</t>
    <phoneticPr fontId="0" type="noConversion"/>
  </si>
  <si>
    <t>Đánh giá hệ thống quản lý chất lượng có được thực hiện trong quá trình đánh giá nội bộ không?</t>
    <phoneticPr fontId="2" type="noConversion"/>
  </si>
  <si>
    <t>Rủi ro quy trình có được phân tích và quản lý không?</t>
    <phoneticPr fontId="0" type="noConversion"/>
  </si>
  <si>
    <t>phát triển sản phẩm</t>
    <phoneticPr fontId="0" type="noConversion"/>
  </si>
  <si>
    <t>Có quy định nào về tổ chức và phân công nhiệm vụ không?</t>
    <phoneticPr fontId="0" type="noConversion"/>
  </si>
  <si>
    <t>Việc đánh giá tính khả thi về phát triển sản phẩm của tổ chức đã được thực hiện chưa?</t>
    <phoneticPr fontId="2" type="noConversion"/>
  </si>
  <si>
    <t>Quy trình FMEA đã được chuẩn bị chưa?</t>
    <phoneticPr fontId="0" type="noConversion"/>
  </si>
  <si>
    <t>Kế hoạch quản lý đã được chuẩn bị chưa?</t>
    <phoneticPr fontId="0" type="noConversion"/>
  </si>
  <si>
    <t>Các yêu cầu do khách hàng chỉ định có được phản ánh không (bao gồm cả các yêu cầu của khách hàng)?</t>
    <phoneticPr fontId="0" type="noConversion"/>
  </si>
  <si>
    <t>MSA đã được xác định và điều tra chưa?</t>
    <phoneticPr fontId="0" type="noConversion"/>
  </si>
  <si>
    <t>Khả năng của quy trình đã được điều tra chưa?</t>
    <phoneticPr fontId="0" type="noConversion"/>
  </si>
  <si>
    <t>Đã đạt được thỏa thuận kiểm tra nhà cung cấp chưa?</t>
    <phoneticPr fontId="0" type="noConversion"/>
  </si>
  <si>
    <t>Các bản vẽ đã được xác định chưa?</t>
    <phoneticPr fontId="0" type="noConversion"/>
  </si>
  <si>
    <t>Sự an toàn của sản phẩm có được phản ánh trong quy trình không?</t>
    <phoneticPr fontId="2" type="noConversion"/>
  </si>
  <si>
    <t>Phiếu kiểm tra tự thanh tra đã được lập chưa?</t>
    <phoneticPr fontId="0" type="noConversion"/>
  </si>
  <si>
    <t>Sản xuất</t>
    <phoneticPr fontId="0" type="noConversion"/>
  </si>
  <si>
    <t>Các tiêu chuẩn cho mỗi quy trình có sẵn không?</t>
    <phoneticPr fontId="0" type="noConversion"/>
  </si>
  <si>
    <t>Các kế hoạch sản xuất có được thiết lập và duy trì hiệu suất không?</t>
    <phoneticPr fontId="0" type="noConversion"/>
  </si>
  <si>
    <t>Các phương pháp đóng gói thích hợp có được chỉ định không?</t>
    <phoneticPr fontId="0" type="noConversion"/>
  </si>
  <si>
    <t>Bạn có đảm bảo rằng sản phẩm có thể truy xuất nguồn gốc?</t>
    <phoneticPr fontId="0" type="noConversion"/>
  </si>
  <si>
    <t>Có những thao tác nào cần thực hiện khi xảy ra lỗi trong quá trình làm việc?</t>
    <phoneticPr fontId="0" type="noConversion"/>
  </si>
  <si>
    <t>Có bất kỳ phương pháp làm việc sai nào có thể ảnh hưởng đến chất lượng không?</t>
    <phoneticPr fontId="0" type="noConversion"/>
  </si>
  <si>
    <t xml:space="preserve"> Các kịch bản và chi tiết hành động cho các hành động dự phòng có được quản lý không?</t>
    <phoneticPr fontId="2" type="noConversion"/>
  </si>
  <si>
    <t xml:space="preserve"> Có tiêu chuẩn nào cho việc nhập / xuất nguyên liệu không?</t>
    <phoneticPr fontId="0" type="noConversion"/>
  </si>
  <si>
    <t>quản lý kinh doanh</t>
    <phoneticPr fontId="0" type="noConversion"/>
  </si>
  <si>
    <t xml:space="preserve"> Các biện pháp và phương pháp đối phó với rủi ro có được thiết lập và thực hiện không?</t>
    <phoneticPr fontId="0" type="noConversion"/>
  </si>
  <si>
    <t>Các đơn đặt hàng của khách hàng có được nhận và lưu trữ không?</t>
    <phoneticPr fontId="0" type="noConversion"/>
  </si>
  <si>
    <t>Quy trình xử lý có được thực hiện chính xác khi thay đổi đơn đặt hàng của khách hàng (thay đổi hợp đồng) không?</t>
    <phoneticPr fontId="0" type="noConversion"/>
  </si>
  <si>
    <t>Có giao tiếp hiệu quả với khách hàng không?</t>
    <phoneticPr fontId="0" type="noConversion"/>
  </si>
  <si>
    <t>(Thông tin về sản phẩm / dịch vụ, khiếu nại, quy trình thu hồi)</t>
    <phoneticPr fontId="0" type="noConversion"/>
  </si>
  <si>
    <t>Hồ sơ về các khoản thanh toán của khách hàng có được duy trì không?</t>
    <phoneticPr fontId="0" type="noConversion"/>
  </si>
  <si>
    <t>Sự hài lòng của khách hàng</t>
    <phoneticPr fontId="0" type="noConversion"/>
  </si>
  <si>
    <t>Phương thức tiếp nhận khiếu nại của khách hàng đã được thiết lập chưa?</t>
    <phoneticPr fontId="0" type="noConversion"/>
  </si>
  <si>
    <t>Có phương pháp giải quyết phàn nàn của khách hàng không?</t>
    <phoneticPr fontId="0" type="noConversion"/>
  </si>
  <si>
    <t>Những lời phàn nàn của khách hàng có được phản ánh trong lớp tiêu chuẩn không?</t>
    <phoneticPr fontId="0" type="noConversion"/>
  </si>
  <si>
    <t>Hiệu quả của việc cải thiện khiếu nại của khách hàng đã được xác định và chu trình đã được thiết lập chưa?</t>
    <phoneticPr fontId="0" type="noConversion"/>
  </si>
  <si>
    <t>Các tiêu chuẩn cho các hoạt động cải tiến liên tục đã được thiết lập chưa?</t>
    <phoneticPr fontId="0" type="noConversion"/>
  </si>
  <si>
    <t xml:space="preserve"> Có phải điều tra sự hài lòng của khách hàng không?</t>
    <phoneticPr fontId="0" type="noConversion"/>
  </si>
  <si>
    <t xml:space="preserve"> Bạn có thực hiện các cuộc khảo sát mức độ hài lòng của khách hàng định kỳ không?</t>
    <phoneticPr fontId="0" type="noConversion"/>
  </si>
  <si>
    <t>Quản lý mua hàng</t>
    <phoneticPr fontId="0" type="noConversion"/>
  </si>
  <si>
    <t>Quá trình mua hàng có được xác định và thực hiện không?</t>
    <phoneticPr fontId="0" type="noConversion"/>
  </si>
  <si>
    <t>Các tài liệu mua hàng có được xem xét và phê duyệt trước khi ban hành không?</t>
    <phoneticPr fontId="0" type="noConversion"/>
  </si>
  <si>
    <t>Hợp đồng mua bán có được thực hiện theo đúng thủ tục không?</t>
    <phoneticPr fontId="0" type="noConversion"/>
  </si>
  <si>
    <t>Nhà cung cấp có được đánh giá trước khi đăng ký không?</t>
    <phoneticPr fontId="0" type="noConversion"/>
  </si>
  <si>
    <t xml:space="preserve"> Thủ tục mua hàng từ một nhà cung cấp đã đăng ký có được xử lý đúng cách không?</t>
    <phoneticPr fontId="0" type="noConversion"/>
  </si>
  <si>
    <t>(Kế hoạch mua hàng, đơn đặt hàng, v.v.)</t>
    <phoneticPr fontId="0" type="noConversion"/>
  </si>
  <si>
    <t>Hồ sơ và quản lý gia công thuê ngoài có được thực hiện không?</t>
    <phoneticPr fontId="0" type="noConversion"/>
  </si>
  <si>
    <t>Khi giám sát các nhà cung cấp, các chỉ số giám sát có bao gồm các yêu cầu không?</t>
    <phoneticPr fontId="2" type="noConversion"/>
  </si>
  <si>
    <t>Các tiêu chí liên quan để đánh giá và đánh giá nhà cung cấp có được xác định không?</t>
    <phoneticPr fontId="0" type="noConversion"/>
  </si>
  <si>
    <t>Các thủ tục có được áp dụng cho các phương pháp đánh giá nhà cung cấp không?</t>
    <phoneticPr fontId="0" type="noConversion"/>
  </si>
  <si>
    <t>Việc cấp bằng cho lần tự kiểm tra thứ 2 có được quy định không?</t>
    <phoneticPr fontId="2" type="noConversion"/>
  </si>
  <si>
    <t>Các tệp dữ liệu cho các nhà cung cấp có được duy trì không?</t>
    <phoneticPr fontId="0" type="noConversion"/>
  </si>
  <si>
    <t>Có đảm bảo rằng vật liệu được nhập trước, xuất trước không?</t>
    <phoneticPr fontId="0" type="noConversion"/>
  </si>
  <si>
    <t>Bạn có đảm bảo rằng các sản phẩm có thể nhận dạng và truy xuất được nguồn gốc không?</t>
    <phoneticPr fontId="0" type="noConversion"/>
  </si>
  <si>
    <t>Nơi nhận dạng nguyên liệu thô và sản phẩm không phù hợp có được thiết lập không?</t>
    <phoneticPr fontId="0" type="noConversion"/>
  </si>
  <si>
    <t>Dấu hiệu nhận biết đầu vào, xuất trước cho nguyên liệu thô và phụ có phải là dấu hiệu nhận biết không?</t>
    <phoneticPr fontId="0" type="noConversion"/>
  </si>
  <si>
    <t>Tuy nhiên, việc phân loại hàng tồn kho trung và dài hạn có được thiết lập và duy trì hay không?</t>
    <phoneticPr fontId="0" type="noConversion"/>
  </si>
  <si>
    <t>Các tài liệu và vật liệu do khách hàng cung cấp có hợp lý không?</t>
    <phoneticPr fontId="0" type="noConversion"/>
  </si>
  <si>
    <t>Có thực hiện bảo trì và quản lý kho lưu trữ lâu dài và các mục không mong muốn không?</t>
    <phoneticPr fontId="0" type="noConversion"/>
  </si>
  <si>
    <t xml:space="preserve"> Mức độ của loại hình quản lý của nhà cung cấp có được mở rộng và xem xét theo từng giai đoạn không?</t>
    <phoneticPr fontId="2" type="noConversion"/>
  </si>
  <si>
    <t>Các biện pháp và phương pháp đối phó với rủi ro có được thiết lập và thực hiện không?</t>
    <phoneticPr fontId="0" type="noConversion"/>
  </si>
  <si>
    <t>Kế hoạch bảo trì phòng ngừa hàng năm đã được thiết lập chưa?</t>
    <phoneticPr fontId="0" type="noConversion"/>
  </si>
  <si>
    <t>Bạn có quản lý hiệu quả tổng thể của cơ sở, tỷ lệ không hoạt động, MTTR và MTBF không?</t>
    <phoneticPr fontId="0" type="noConversion"/>
  </si>
  <si>
    <t>Bạn có sổ cái quản lý phụ tùng không?</t>
    <phoneticPr fontId="0" type="noConversion"/>
  </si>
  <si>
    <t>Bạn có tiến hành kiểm tra cơ sở hàng ngày không?</t>
    <phoneticPr fontId="0" type="noConversion"/>
  </si>
  <si>
    <t>Các hồ sơ nhập kho và nhập kho theo tuổi thọ của dụng cụ có được ghi lại và xác nhận không?</t>
    <phoneticPr fontId="0" type="noConversion"/>
  </si>
  <si>
    <t>Bạn có đang kiểm tra tình trạng thiết bị định kỳ không?</t>
    <phoneticPr fontId="0" type="noConversion"/>
  </si>
  <si>
    <t>Các kịch bản và chi tiết hành động cho các hành động dự phòng có được quản lý không?</t>
    <phoneticPr fontId="0" type="noConversion"/>
  </si>
  <si>
    <t>thanh tra và kiểm tra</t>
    <phoneticPr fontId="0" type="noConversion"/>
  </si>
  <si>
    <t>Các tài liệu và hồ sơ lưu trữ trong sổ cái quản lý tài liệu và hồ sơ có được quản lý và dễ dàng tìm kiếm không?</t>
    <phoneticPr fontId="0" type="noConversion"/>
  </si>
  <si>
    <t>Phương pháp lưu trữ tài liệu trên máy vi tính có phù hợp không?</t>
    <phoneticPr fontId="0" type="noConversion"/>
  </si>
  <si>
    <t>Các tiêu chí phân loại để hiệu chuẩn có được thiết lập và quản lý phù hợp không?</t>
    <phoneticPr fontId="0" type="noConversion"/>
  </si>
  <si>
    <t>Hồ sơ lịch sử cho từng công cụ có được ghi lại và duy trì không?</t>
    <phoneticPr fontId="0" type="noConversion"/>
  </si>
  <si>
    <t>Bạn xử lý việc sửa đổi / sửa chữa nhạc cụ như thế nào?</t>
    <phoneticPr fontId="0" type="noConversion"/>
  </si>
  <si>
    <t>Kế hoạch hành động cho những thay đổi theo yêu cầu của khách hàng là gì?</t>
    <phoneticPr fontId="0" type="noConversion"/>
  </si>
  <si>
    <t>Có đảm bảo rằng các tài liệu tiêu chuẩn kiểm tra được cập nhật không?</t>
    <phoneticPr fontId="0" type="noConversion"/>
  </si>
  <si>
    <t>Tư cách của thanh tra viên có được công nhận không?</t>
    <phoneticPr fontId="0" type="noConversion"/>
  </si>
  <si>
    <t>Các tiêu chuẩn về độ tin cậy có được khách hàng / chức năng thiết lập và thực hành không?</t>
    <phoneticPr fontId="0" type="noConversion"/>
  </si>
  <si>
    <t>Kế hoạch phân tích dữ liệu đã được thiết lập chưa?</t>
    <phoneticPr fontId="0" type="noConversion"/>
  </si>
  <si>
    <t>Dữ liệu dành riêng cho quy trình có được tạo, duy trì và thu thập không?</t>
    <phoneticPr fontId="0" type="noConversion"/>
  </si>
  <si>
    <t>Các thanh tra có đủ tiêu chuẩn không?</t>
    <phoneticPr fontId="0" type="noConversion"/>
  </si>
  <si>
    <t>đào tạo giáo dục</t>
    <phoneticPr fontId="0" type="noConversion"/>
  </si>
  <si>
    <t xml:space="preserve"> đào tạo tất cả nhân viên thực hiện các hoạt động ảnh hưởng đến chất lượng;</t>
    <phoneticPr fontId="0" type="noConversion"/>
  </si>
  <si>
    <t>Có các thủ tục được lập thành văn bản không?</t>
    <phoneticPr fontId="0" type="noConversion"/>
  </si>
  <si>
    <t>Có cơ sở nào cho việc lập và thực hiện kế hoạch giáo dục hàng năm không?</t>
    <phoneticPr fontId="0" type="noConversion"/>
  </si>
  <si>
    <t>Các dữ liệu liên quan đến việc thực hiện giáo dục và đào tạo có được duy trì như các hồ sơ chất lượng không?</t>
    <phoneticPr fontId="0" type="noConversion"/>
  </si>
  <si>
    <t>Huấn luyện OJT có được thực hiện không?</t>
    <phoneticPr fontId="0" type="noConversion"/>
  </si>
  <si>
    <t>Tiêu chí cho các đề xuất có được thiết lập không?</t>
    <phoneticPr fontId="0" type="noConversion"/>
  </si>
  <si>
    <t>Có bất kỳ hoạt động đề xuất nào trên toàn công ty không?</t>
    <phoneticPr fontId="0" type="noConversion"/>
  </si>
  <si>
    <t>thay đổi cách quản lý</t>
    <phoneticPr fontId="0" type="noConversion"/>
  </si>
  <si>
    <t>Bạn đã nhận được sự chấp thuận của khách hàng về các thay đổi quy trình tạm thời chưa?</t>
    <phoneticPr fontId="0" type="noConversion"/>
  </si>
  <si>
    <t>Bạn đã nhận được đánh giá khả thi và sự chấp thuận của khách hàng đối với sản phẩm sửa đổi trước khi sản xuất chưa?</t>
    <phoneticPr fontId="0" type="noConversion"/>
  </si>
  <si>
    <t>Làm thế nào để đảm bảo rằng LOT được quản lý trước / sau khi thay đổi?</t>
    <phoneticPr fontId="0" type="noConversion"/>
  </si>
  <si>
    <t>Làm thế nào để xác định một sản phẩm ban đầu đã được sửa đổi?</t>
    <phoneticPr fontId="0" type="noConversion"/>
  </si>
  <si>
    <t>Bạn có quản lý lịch sử sau khi báo cáo các thay đổi không?</t>
    <phoneticPr fontId="0" type="noConversion"/>
  </si>
  <si>
    <t>quản lý tài liệu</t>
    <phoneticPr fontId="0" type="noConversion"/>
  </si>
  <si>
    <t>Thời hạn lưu giữ của quản lý tài liệu có được quản lý không?</t>
    <phoneticPr fontId="0" type="noConversion"/>
  </si>
  <si>
    <t>Các thay đổi về tiêu chuẩn / thông số kỹ thuật có được đảm bảo trong vòng 10 ngày không?</t>
    <phoneticPr fontId="0" type="noConversion"/>
  </si>
  <si>
    <t>Quản lý sản phẩm không phù hợp</t>
    <phoneticPr fontId="0" type="noConversion"/>
  </si>
  <si>
    <t>Làm thế nào để xác định sản phẩm không phù hợp?</t>
    <phoneticPr fontId="0" type="noConversion"/>
  </si>
  <si>
    <t>Bạn có quản lý lịch sử của các sản phẩm không phù hợp không?</t>
    <phoneticPr fontId="0" type="noConversion"/>
  </si>
  <si>
    <t>Bạn có các quy trình sửa chữa và làm lại không?</t>
    <phoneticPr fontId="2" type="noConversion"/>
  </si>
  <si>
    <t>Ngăn ngừa lỗi (ERROR PROOF) có được thiết lập đúng cách không?</t>
    <phoneticPr fontId="2" type="noConversion"/>
  </si>
  <si>
    <t>Làm thế nào để đối phó với sự không phù hợp?</t>
    <phoneticPr fontId="0" type="noConversion"/>
  </si>
  <si>
    <t>Tính khả thi của đơn xin nhượng bộ có được xem xét lại không?</t>
    <phoneticPr fontId="0" type="noConversion"/>
  </si>
  <si>
    <t>quản lý rủi ro</t>
    <phoneticPr fontId="0" type="noConversion"/>
  </si>
  <si>
    <t>Kế hoạch ứng phó khẩn cấp có được thiết lập không?</t>
    <phoneticPr fontId="2" type="noConversion"/>
  </si>
  <si>
    <t>Việc đào tạo mô phỏng kế hoạch ứng cứu khẩn cấp có được thực hiện theo đúng kế hoạch không?</t>
    <phoneticPr fontId="2" type="noConversion"/>
  </si>
  <si>
    <t>Bạn đã thiết lập tất cả các sự kiện bao gồm cả tấn công mạng khi thiết lập phản ứng khẩn cấp chưa?</t>
    <phoneticPr fontId="2" type="noConversion"/>
  </si>
  <si>
    <t>Các vấn đề quan trọng có được liên kết với KPI trong quá trình đánh giá và quản lý rủi ro không?</t>
    <phoneticPr fontId="2" type="noConversion"/>
  </si>
  <si>
    <t>Process</t>
  </si>
  <si>
    <t>Đánh giá nội bộ</t>
  </si>
  <si>
    <t>người đánh giá</t>
  </si>
  <si>
    <t>Ngày lập</t>
  </si>
  <si>
    <t>Người lập</t>
  </si>
  <si>
    <t>Kiểm tra</t>
  </si>
  <si>
    <t>Các chỉ số hoạt động của process đạt so với mục tiêu và các biện pháp xử lý khi không đạt</t>
  </si>
  <si>
    <t>Bạn có được đảm bảo việc xuất hàng đúng với thông số kỹ thuật của khách hàng yêu cầu không?</t>
  </si>
  <si>
    <t>Các trình tự cho các hành động khắc phục có được thiết lập và tất cả các thành viên trong nhóm có quen thuộc với chúng không?</t>
  </si>
  <si>
    <t>Các hoạt động phòng ngừa đang được thực hiện, đấy là  những hoạt động nào?</t>
  </si>
  <si>
    <t xml:space="preserve">Có tiến hành xác nhận lại tính hiệu quả của không phù hợp trước đó không ? </t>
  </si>
  <si>
    <t>Các chỉ số hoạt động định kỳ có được chuẩn bị và duy trì không?</t>
  </si>
  <si>
    <t>Bạn có kế hoạch audit nội bộ hàng năm không?</t>
  </si>
  <si>
    <t>Các chỉ số hoạt động của quá trình có được phân công và quản lý theo yêu cầu không?</t>
  </si>
  <si>
    <t>Các đầu vào xem xét của ban quản lý có được phản ánh không?</t>
  </si>
  <si>
    <t>Các vấn đề nội bộ  và bên ngoài có được xác định không?</t>
  </si>
  <si>
    <t>Năng lực của auditor nội bộ có được đảm bảo không?</t>
  </si>
  <si>
    <t>Trình độ của  auditor nội bộ có hợp lệ không?</t>
  </si>
  <si>
    <t xml:space="preserve"> Quá trình sản xuất đã được đánh giá trong quá trình đánh giá nội bộ chưa?</t>
  </si>
  <si>
    <t xml:space="preserve"> Đánh giá sản phẩm đã được thực hiện trong các cuộc audit nội bộ chưa?</t>
  </si>
  <si>
    <t>Các kế hoạch và kết quả đánh giá nội bộ có được báo cáo theo từng giai đoạn không?</t>
  </si>
  <si>
    <t>Các quy trình cho các hành động khắc phục có được thiết lập và thực hiện không?</t>
  </si>
  <si>
    <t>Quy trình</t>
  </si>
  <si>
    <t>Các vấn đề nội bộ và bên ngoài có được xác định không?</t>
  </si>
  <si>
    <t>Có quy định nào về sơ đồ tổ chức và phân công nhiệm vụ không?</t>
  </si>
  <si>
    <t>Tiêu chuẩn thao tác đã được chuẩn bị chưa?</t>
  </si>
  <si>
    <t>Các đặc tính đặc biệt đã được xác định chưa?</t>
  </si>
  <si>
    <t>Các tiêu chuẩn thao tác có được đảm bảo cập nhật không?</t>
  </si>
  <si>
    <t>Các tiêu chuẩn cho mỗi công đoạn có được bố trí sẵn không?</t>
  </si>
  <si>
    <t xml:space="preserve"> 3D5S có được thực hiện định kỳ không?</t>
  </si>
  <si>
    <t>Có quản lý phân thích rủi ro của quy trình không ?</t>
  </si>
  <si>
    <t>Có nội dung xử lý bất thường trong khi thao tác không?</t>
  </si>
  <si>
    <t>Có các mục và tiêu chuẩn quản lý chính trong công đoạn không?</t>
  </si>
  <si>
    <t>Công đoạn tự kiểm tra có được tiến hành thường xuyên không?</t>
  </si>
  <si>
    <t xml:space="preserve"> Có tiêu chuẩn nào cho vật liệu nhập trước / xuất trước không?</t>
  </si>
  <si>
    <t>Có được thực hiện theo trình tự ký hợp đồng hay không?</t>
  </si>
  <si>
    <t>Khách hàng có được thông báo về  trường hợp hợp đồng, sản phẩm được sử  dụng đặc biệt (có hoặc không có sửa chữa)</t>
  </si>
  <si>
    <t>Có xem xét hoặc kiểm định mỗi khi thay đổi hợp đồng hoặc làm hợp đồng mới hay không?</t>
  </si>
  <si>
    <t>Các quy trình có  được lập thành văn bản để quản lý các sản phẩm của khách hàng không?</t>
  </si>
  <si>
    <t>Quản lí thiết bị</t>
  </si>
  <si>
    <t>Điểm</t>
  </si>
  <si>
    <t>hoàn thành</t>
  </si>
  <si>
    <t>Nguyễn Tuấn Vũ</t>
  </si>
  <si>
    <t>1. Evaluation Basic Data</t>
  </si>
  <si>
    <t>Company
(Supplier)</t>
  </si>
  <si>
    <t>Công ty M&amp;C Electronics Vina</t>
  </si>
  <si>
    <t>Audit Perf. Dept.</t>
  </si>
  <si>
    <t>Performing Date</t>
  </si>
  <si>
    <t>Auditee</t>
  </si>
  <si>
    <t>Auditor</t>
  </si>
  <si>
    <t>Score(점)</t>
  </si>
  <si>
    <t xml:space="preserve"> 2. Evaluation Points</t>
  </si>
  <si>
    <t>No</t>
  </si>
  <si>
    <t>Evaluation result</t>
  </si>
  <si>
    <t>Points</t>
  </si>
  <si>
    <t>Score</t>
  </si>
  <si>
    <t xml:space="preserve">Achievement rate </t>
  </si>
  <si>
    <t>Total</t>
  </si>
  <si>
    <t>Convert score on the basis of 100 points</t>
  </si>
  <si>
    <t>System</t>
  </si>
  <si>
    <t>Phát triển sản phẩm</t>
  </si>
  <si>
    <t>Sản xuất</t>
  </si>
  <si>
    <t>Quản lý kinh doanh</t>
  </si>
  <si>
    <t>Sự hài lòng khách hàng</t>
  </si>
  <si>
    <t>Quản lý mua hàng</t>
  </si>
  <si>
    <t>Quản lý thiết bị</t>
  </si>
  <si>
    <t>Kiểm tra và thử nghiệm</t>
  </si>
  <si>
    <t>Đào tạo giáo dục</t>
  </si>
  <si>
    <t>Quản lý thay đổi</t>
  </si>
  <si>
    <t>Quản lý tài liệu</t>
  </si>
  <si>
    <t>Quản lý không phù hợp</t>
  </si>
  <si>
    <t>Quản lý rủi ro</t>
  </si>
  <si>
    <t>[Sheet Revision History]</t>
    <phoneticPr fontId="3" type="noConversion"/>
  </si>
  <si>
    <t>NO</t>
    <phoneticPr fontId="3" type="noConversion"/>
  </si>
  <si>
    <t>Ngày sửa đổi</t>
  </si>
  <si>
    <t>Version</t>
  </si>
  <si>
    <t>Nội dung sửa đổi</t>
  </si>
  <si>
    <t>Lập</t>
  </si>
  <si>
    <t>Duyệt</t>
  </si>
  <si>
    <t>2022.05.25</t>
  </si>
  <si>
    <t>Lập mới</t>
  </si>
  <si>
    <t>N.T.Trang Nhung</t>
  </si>
  <si>
    <t>Kim Byoung Kwan</t>
  </si>
  <si>
    <t>Joung Ui Young</t>
  </si>
  <si>
    <t>Thay đổi nội dung check sheet theo quá trình (tham khảo IATF)</t>
  </si>
  <si>
    <t>Có danh sách quản lý các văn bản tài liệu</t>
  </si>
  <si>
    <t>06~08.04.2023</t>
  </si>
  <si>
    <t>2023.04.08</t>
  </si>
  <si>
    <t>Chương trình đào tạo RnD chưa có chữ kí phê duyệt và chưa có nội dung lịch sử ngày ban hành</t>
  </si>
  <si>
    <t>Mã số văn bản</t>
  </si>
  <si>
    <t>QM 04.00.20</t>
  </si>
  <si>
    <t>2014.06.17</t>
  </si>
  <si>
    <t>3. Evaluation result</t>
  </si>
  <si>
    <t>Xếp loại</t>
  </si>
  <si>
    <t>Số điểm</t>
  </si>
  <si>
    <t xml:space="preserve">        Chi tiết/ Detail</t>
  </si>
  <si>
    <t>□  A - Tốt
         Good</t>
  </si>
  <si>
    <t>&gt; 90</t>
  </si>
  <si>
    <t>Đạt</t>
  </si>
  <si>
    <t xml:space="preserve"> □  B - Khá 
         Quite Well</t>
  </si>
  <si>
    <t>80~90</t>
  </si>
  <si>
    <t xml:space="preserve"> □ C - Trung bình/ 
         Not good</t>
  </si>
  <si>
    <t>65~79</t>
  </si>
  <si>
    <t>Cần cải tiến và đánh giá lại sau cải tiến</t>
  </si>
  <si>
    <t>□ D - Yếu
         Bad</t>
  </si>
  <si>
    <t>＜65</t>
  </si>
  <si>
    <t>2023.09.20</t>
  </si>
  <si>
    <t>QM 04.00.20/Rev02</t>
  </si>
  <si>
    <t xml:space="preserve">
Quality System Audit
Công ty M&amp;C Electronics Vina
</t>
  </si>
  <si>
    <t>Bổ sung thêm mục đánh giá kết quả và xử lý khi audit nội bộ không đạt</t>
  </si>
  <si>
    <t>Park Seong Oh</t>
  </si>
  <si>
    <t>Check sheet đánh giá nội bộ ISO9001:2015 &amp; IATF16949:2016</t>
  </si>
  <si>
    <t>Checksheet for Quality System Audit (ISO9001:2015 &amp; IATF16949:2016)</t>
  </si>
  <si>
    <t>STT</t>
  </si>
  <si>
    <t xml:space="preserve">
</t>
  </si>
  <si>
    <t>Cần cải tiến (Quy trình đánh giá nhà cung cấp chưa tách riêng tiêu chí đánh giá nhà cung cấp mới và đánh giá định kì nhà cung cấp cũ</t>
  </si>
  <si>
    <t>Cần cải tiến (List tài liệu casting:Bổ sung lịch sử kiểm tra máy móc, lịch sử kiểm tra hàng, bảo dưỡng
List tài liệu RnD mã số tài liệu ma trận năng lực và chương trình đào tạo trùng nhau)</t>
  </si>
  <si>
    <t>Cần cải tiến (Chưa có đánh giá rủi ro cho khuôn gần hết hạn và hết hạn sử dụng)</t>
  </si>
  <si>
    <t xml:space="preserve">Hạng mục kiểm tra </t>
  </si>
  <si>
    <t>Các quy trình cho quá trình kiểm toán nội bộ có được thiết lập không?</t>
  </si>
  <si>
    <t>Ms Nhung</t>
  </si>
  <si>
    <t>Mr Park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</si>
</sst>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5">
    <numFmt numFmtId="6" formatCode="&quot;$&quot;#,##0_);[Red]\(&quot;$&quot;#,##0\)"/>
    <numFmt numFmtId="164" formatCode="mm&quot;월&quot;\ dd&quot;일&quot;"/>
    <numFmt numFmtId="165" formatCode="0.0%"/>
    <numFmt numFmtId="166" formatCode="_-&quot;₩&quot;* #,##0_-;\-&quot;₩&quot;* #,##0_-;_-&quot;₩&quot;* &quot;-&quot;_-;_-@_-"/>
    <numFmt numFmtId="167" formatCode="_-* #,##0_-;\-* #,##0_-;_-* &quot;-&quot;_-;_-@_-"/>
    <numFmt numFmtId="168" formatCode="_-&quot;₩&quot;* #,##0.00_-;\-&quot;₩&quot;* #,##0.00_-;_-&quot;₩&quot;* &quot;-&quot;??_-;_-@_-"/>
    <numFmt numFmtId="169" formatCode="_-* #,##0.00_-;\-* #,##0.00_-;_-* &quot;-&quot;??_-;_-@_-"/>
    <numFmt numFmtId="170" formatCode="_-[$€-2]* #,##0.00_-;\-[$€-2]* #,##0.00_-;_-[$€-2]* &quot;-&quot;??_-"/>
    <numFmt numFmtId="171" formatCode="_ * #&quot;₩&quot;\!\!\,##0_ ;_ * &quot;₩&quot;&quot;₩&quot;\!\!\-#&quot;₩&quot;\!\!\,##0_ ;_ * &quot;-&quot;_ ;_ @_ "/>
    <numFmt numFmtId="172" formatCode="_ &quot;￥&quot;* #,##0_ ;_ &quot;￥&quot;* \-#,##0_ ;_ &quot;￥&quot;* &quot;-&quot;_ ;_ @_ "/>
    <numFmt numFmtId="173" formatCode="_ * #,##0.00_ ;_ * \-#,##0.00_ ;_ * &quot;-&quot;_ ;_ @_ "/>
    <numFmt numFmtId="174" formatCode="#,##0.00000000000"/>
    <numFmt numFmtId="175" formatCode="0.0000_ "/>
    <numFmt numFmtId="176" formatCode="_-* #,##0.00&quot;₩&quot;\!\ _F_-;&quot;₩&quot;\!\-* #,##0.00&quot;₩&quot;\!\ _F_-;_-* &quot;-&quot;??&quot;₩&quot;\!\ _F_-;_-@_-"/>
    <numFmt numFmtId="177" formatCode="_-* #,##0.00\ _F_-;\-* #,##0.00\ _F_-;_-* &quot;-&quot;??\ _F_-;_-@_-"/>
    <numFmt numFmtId="178" formatCode="_ &quot;₩&quot;* #,##0_ ;_ &quot;₩&quot;* &quot;₩&quot;&quot;₩&quot;&quot;₩&quot;&quot;₩&quot;&quot;₩&quot;&quot;₩&quot;&quot;₩&quot;&quot;₩&quot;&quot;₩&quot;&quot;₩&quot;&quot;₩&quot;\-#,##0_ ;_ &quot;₩&quot;* &quot;-&quot;_ ;_ @_ "/>
    <numFmt numFmtId="179" formatCode="&quot;₩&quot;#,##0;&quot;₩&quot;&quot;₩&quot;&quot;₩&quot;&quot;₩&quot;&quot;₩&quot;&quot;₩&quot;\-#,##0"/>
    <numFmt numFmtId="180" formatCode="_(* #,##0.0_);_(* &quot;₩&quot;&quot;₩&quot;&quot;₩&quot;&quot;₩&quot;&quot;₩&quot;&quot;₩&quot;\(#,##0.0&quot;₩&quot;&quot;₩&quot;&quot;₩&quot;&quot;₩&quot;&quot;₩&quot;&quot;₩&quot;\);_(* &quot;-&quot;??_);_(@_)"/>
    <numFmt numFmtId="181" formatCode="&quot;N$&quot;#,##0_);[Red]\(&quot;N$&quot;#,##0\)"/>
    <numFmt numFmtId="182" formatCode="&quot;₩&quot;#,##0.00;&quot;₩&quot;&quot;₩&quot;&quot;₩&quot;&quot;₩&quot;&quot;₩&quot;\-&quot;₩&quot;#,##0.00"/>
    <numFmt numFmtId="183" formatCode="&quot;$&quot;#,##0.00_);&quot;₩&quot;\(&quot;$&quot;#,##0.00&quot;₩&quot;\)"/>
    <numFmt numFmtId="184" formatCode="_ &quot;₩&quot;* #,##0.00_ ;_ &quot;₩&quot;* \-#,##0.00_ ;_ &quot;₩&quot;* &quot;-&quot;??_ ;_ @_ "/>
    <numFmt numFmtId="185" formatCode="#,##0_ ;[Red]\-#,##0\ "/>
    <numFmt numFmtId="186" formatCode="#,##0&quot; F&quot;_);[Red]\(#,##0&quot; F&quot;\)"/>
    <numFmt numFmtId="187" formatCode="_(* #,##0.0_);_(* \(#,##0.0\);_(* &quot;-&quot;_);_(@_)"/>
    <numFmt numFmtId="188" formatCode="&quot;₩&quot;#,##0.00;&quot;₩&quot;\-&quot;₩&quot;#,##0.00"/>
    <numFmt numFmtId="189" formatCode="&quot;₩&quot;#,##0;[Red]&quot;₩&quot;&quot;₩&quot;&quot;₩&quot;&quot;₩&quot;&quot;₩&quot;&quot;₩&quot;\-#,##0"/>
    <numFmt numFmtId="190" formatCode="#,##0.00;[Red]&quot;-&quot;#,##0.00"/>
    <numFmt numFmtId="191" formatCode="_ &quot;₩&quot;* #,##0_ ;_ &quot;₩&quot;* \-#,##0_ ;_ &quot;₩&quot;* &quot;-&quot;_ ;_ @_ "/>
    <numFmt numFmtId="192" formatCode="&quot;₩&quot;#,##0.00;[Red]&quot;₩&quot;\-#,##0.00"/>
    <numFmt numFmtId="193" formatCode="&quot;₩&quot;#,##0;[Red]&quot;₩&quot;\-#,##0"/>
    <numFmt numFmtId="194" formatCode="_(* #,##0.0000_);_(* \(#,##0.0000\);_(* &quot;-&quot;??_);_(@_)"/>
    <numFmt numFmtId="195" formatCode="_ * #,##0_ ;_ * \-#,##0_ ;_ * &quot;-&quot;_ ;_ @_ "/>
    <numFmt numFmtId="196" formatCode="_ * #,##0.00_ ;_ * \-#,##0.00_ ;_ * &quot;-&quot;??_ ;_ @_ "/>
    <numFmt numFmtId="197" formatCode="0_);[Red]\(0\)"/>
    <numFmt numFmtId="198" formatCode="General_)"/>
    <numFmt numFmtId="199" formatCode="0.000"/>
    <numFmt numFmtId="200" formatCode="#,##0;[Red]\(#,##0\)"/>
    <numFmt numFmtId="201" formatCode="&quot;Kassaraportti &quot;d/m/yy"/>
    <numFmt numFmtId="202" formatCode="_ &quot;₩&quot;* #,##0_ ;_ &quot;₩&quot;* &quot;₩&quot;&quot;₩&quot;&quot;₩&quot;&quot;₩&quot;&quot;₩&quot;&quot;₩&quot;&quot;₩&quot;&quot;₩&quot;&quot;₩&quot;&quot;₩&quot;&quot;₩&quot;&quot;₩&quot;&quot;₩&quot;&quot;₩&quot;&quot;₩&quot;\-#,##0_ ;_ &quot;₩&quot;* &quot;-&quot;_ ;_ @_ "/>
    <numFmt numFmtId="203" formatCode="#,##0.000"/>
    <numFmt numFmtId="204" formatCode="&quot;₩&quot;#,##0.00;[Red]&quot;₩&quot;&quot;₩&quot;&quot;₩&quot;&quot;₩&quot;&quot;₩&quot;&quot;₩&quot;\-#,##0.00"/>
    <numFmt numFmtId="205" formatCode="&quot;₩&quot;#,##0.00;[Red]&quot;₩&quot;&quot;₩&quot;&quot;₩&quot;&quot;₩&quot;&quot;₩&quot;&quot;₩&quot;&quot;₩&quot;&quot;₩&quot;&quot;₩&quot;&quot;₩&quot;&quot;₩&quot;&quot;₩&quot;&quot;₩&quot;&quot;₩&quot;&quot;₩&quot;&quot;₩&quot;&quot;₩&quot;&quot;₩&quot;\-#,##0.00"/>
    <numFmt numFmtId="206" formatCode="#,##0.0_);[Red]\(#,##0.0\)"/>
    <numFmt numFmtId="207" formatCode="0.00000&quot;  &quot;"/>
    <numFmt numFmtId="208" formatCode="[Black]General;[Black]General;[Black]General;[Black]General"/>
    <numFmt numFmtId="209" formatCode="ddd"/>
    <numFmt numFmtId="210" formatCode="&quot;0&quot;0"/>
    <numFmt numFmtId="211" formatCode="_-&quot;$&quot;\ * #,##0_-;\-&quot;$&quot;\ * #,##0_-;_-&quot;$&quot;\ * &quot;-&quot;_-;_-@_-"/>
    <numFmt numFmtId="212" formatCode="_-&quot;$&quot;\ * #,##0.00_-;\-&quot;$&quot;\ * #,##0.00_-;_-&quot;$&quot;\ * &quot;-&quot;??_-;_-@_-"/>
    <numFmt numFmtId="213" formatCode="000000"/>
    <numFmt numFmtId="214" formatCode="&quot;$&quot;\ #,##0.00;[Red]\-&quot;$&quot;\ #,##0.00"/>
    <numFmt numFmtId="215" formatCode="_-* #,##0.0_-;\-* #,##0.0_-;_-* &quot;-&quot;??_-;_-@_-"/>
    <numFmt numFmtId="216" formatCode="_-* #,##0_-;\-* #,##0_-;_-* &quot;-&quot;??_-;_-@_-"/>
    <numFmt numFmtId="217" formatCode="&quot;$&quot;#,##0.00_);[Red]&quot;₩&quot;\(&quot;$&quot;#,##0.00&quot;₩&quot;\)"/>
    <numFmt numFmtId="218" formatCode="_ * #,##0.0_ ;_ * &quot;₩&quot;\!\-#,##0.0_ ;_ * &quot;-&quot;_ ;_ @_ "/>
    <numFmt numFmtId="219" formatCode="&quot;₩&quot;#,##0.00;[Red]&quot;₩&quot;\!\-&quot;₩&quot;#,##0.00"/>
    <numFmt numFmtId="220" formatCode="#,##0_ "/>
    <numFmt numFmtId="221" formatCode="_-* #,##0_-;&quot;₩&quot;&quot;₩&quot;&quot;₩&quot;&quot;₩&quot;&quot;₩&quot;&quot;₩&quot;\-* #,##0_-;_-* &quot;-&quot;??_-;_-@_-"/>
    <numFmt numFmtId="222" formatCode="_-* #,##0_-;&quot;₩&quot;\-* #,##0_-;_-* &quot;-&quot;_-;_-@_-"/>
    <numFmt numFmtId="223" formatCode="_-* #,##0_-;&quot;₩&quot;&quot;₩&quot;&quot;₩&quot;&quot;₩&quot;\-* #,##0_-;_-* &quot;-&quot;_-;_-@_-"/>
    <numFmt numFmtId="224" formatCode="&quot;£&quot;#,##0.00;[Red]\-&quot;£&quot;#,##0.00"/>
    <numFmt numFmtId="225" formatCode="&quot;£&quot;#,##0;[Red]\-&quot;£&quot;#,##0"/>
    <numFmt numFmtId="226" formatCode="&quot;S&quot;\ #,##0.00;[Red]\-&quot;S&quot;\ #,##0.00"/>
    <numFmt numFmtId="227" formatCode="&quot;₩&quot;#,##0;&quot;₩&quot;\-#,##0"/>
  </numFmts>
  <fonts count="267">
    <font>
      <sz val="11"/>
      <color theme="1"/>
      <name val="Calibri"/>
      <family val="2"/>
      <scheme val="minor"/>
    </font>
    <font>
      <sz val="11"/>
      <name val="돋움"/>
      <family val="3"/>
      <charset val="129"/>
    </font>
    <font>
      <b/>
      <sz val="14"/>
      <name val="Calibri"/>
      <family val="2"/>
      <scheme val="minor"/>
    </font>
    <font>
      <sz val="19"/>
      <name val="Calibri"/>
      <family val="2"/>
      <scheme val="minor"/>
    </font>
    <font>
      <b/>
      <sz val="10"/>
      <name val="Calibri"/>
      <family val="2"/>
      <scheme val="minor"/>
    </font>
    <font>
      <sz val="11"/>
      <name val="Calibri"/>
      <family val="2"/>
      <scheme val="minor"/>
    </font>
    <font>
      <sz val="11"/>
      <name val="돋움체"/>
      <family val="3"/>
      <charset val="129"/>
    </font>
    <font>
      <sz val="10"/>
      <name val="Calibri"/>
      <family val="2"/>
      <scheme val="minor"/>
    </font>
    <font>
      <sz val="10"/>
      <name val="돋움체"/>
      <family val="3"/>
      <charset val="129"/>
    </font>
    <font>
      <sz val="11"/>
      <color theme="1"/>
      <name val="Calibri"/>
      <family val="2"/>
      <scheme val="minor"/>
    </font>
    <font>
      <b/>
      <sz val="18"/>
      <color rgb="FF333333"/>
      <name val="바탕체"/>
    </font>
    <font>
      <b/>
      <sz val="16"/>
      <color rgb="FF333333"/>
      <name val="바탕체"/>
    </font>
    <font>
      <b/>
      <sz val="11"/>
      <color rgb="FF333333"/>
      <name val="바탕체"/>
    </font>
    <font>
      <sz val="10"/>
      <name val="Arial"/>
      <family val="2"/>
    </font>
    <font>
      <b/>
      <sz val="26"/>
      <name val="Calibri"/>
      <family val="2"/>
      <scheme val="minor"/>
    </font>
    <font>
      <sz val="10"/>
      <name val="굴림"/>
      <family val="3"/>
      <charset val="129"/>
    </font>
    <font>
      <sz val="12"/>
      <name val="Calibri"/>
      <family val="2"/>
      <scheme val="minor"/>
    </font>
    <font>
      <sz val="11"/>
      <color theme="1"/>
      <name val="Calibri"/>
      <family val="2"/>
      <charset val="129"/>
      <scheme val="minor"/>
    </font>
    <font>
      <b/>
      <sz val="18"/>
      <color theme="3"/>
      <name val="Calibri Light"/>
      <family val="2"/>
      <charset val="129"/>
      <scheme val="major"/>
    </font>
    <font>
      <b/>
      <sz val="15"/>
      <color theme="3"/>
      <name val="Calibri"/>
      <family val="2"/>
      <charset val="129"/>
      <scheme val="minor"/>
    </font>
    <font>
      <b/>
      <sz val="13"/>
      <color theme="3"/>
      <name val="Calibri"/>
      <family val="2"/>
      <charset val="129"/>
      <scheme val="minor"/>
    </font>
    <font>
      <b/>
      <sz val="11"/>
      <color theme="3"/>
      <name val="Calibri"/>
      <family val="2"/>
      <charset val="129"/>
      <scheme val="minor"/>
    </font>
    <font>
      <sz val="11"/>
      <color rgb="FF006100"/>
      <name val="Calibri"/>
      <family val="2"/>
      <charset val="129"/>
      <scheme val="minor"/>
    </font>
    <font>
      <sz val="11"/>
      <color rgb="FF9C0006"/>
      <name val="Calibri"/>
      <family val="2"/>
      <charset val="129"/>
      <scheme val="minor"/>
    </font>
    <font>
      <sz val="11"/>
      <color rgb="FF9C6500"/>
      <name val="Calibri"/>
      <family val="2"/>
      <charset val="129"/>
      <scheme val="minor"/>
    </font>
    <font>
      <sz val="11"/>
      <color rgb="FF3F3F76"/>
      <name val="Calibri"/>
      <family val="2"/>
      <charset val="129"/>
      <scheme val="minor"/>
    </font>
    <font>
      <b/>
      <sz val="11"/>
      <color rgb="FF3F3F3F"/>
      <name val="Calibri"/>
      <family val="2"/>
      <charset val="129"/>
      <scheme val="minor"/>
    </font>
    <font>
      <b/>
      <sz val="11"/>
      <color rgb="FFFA7D00"/>
      <name val="Calibri"/>
      <family val="2"/>
      <charset val="129"/>
      <scheme val="minor"/>
    </font>
    <font>
      <sz val="11"/>
      <color rgb="FFFA7D00"/>
      <name val="Calibri"/>
      <family val="2"/>
      <charset val="129"/>
      <scheme val="minor"/>
    </font>
    <font>
      <b/>
      <sz val="11"/>
      <color theme="0"/>
      <name val="Calibri"/>
      <family val="2"/>
      <charset val="129"/>
      <scheme val="minor"/>
    </font>
    <font>
      <sz val="11"/>
      <color rgb="FFFF0000"/>
      <name val="Calibri"/>
      <family val="2"/>
      <charset val="129"/>
      <scheme val="minor"/>
    </font>
    <font>
      <i/>
      <sz val="11"/>
      <color rgb="FF7F7F7F"/>
      <name val="Calibri"/>
      <family val="2"/>
      <charset val="129"/>
      <scheme val="minor"/>
    </font>
    <font>
      <b/>
      <sz val="11"/>
      <color theme="1"/>
      <name val="Calibri"/>
      <family val="2"/>
      <charset val="129"/>
      <scheme val="minor"/>
    </font>
    <font>
      <sz val="11"/>
      <color theme="0"/>
      <name val="Calibri"/>
      <family val="2"/>
      <charset val="129"/>
      <scheme val="minor"/>
    </font>
    <font>
      <sz val="10"/>
      <name val="바탕체"/>
      <family val="1"/>
      <charset val="129"/>
    </font>
    <font>
      <u/>
      <sz val="7.7"/>
      <color indexed="12"/>
      <name val="돋움"/>
      <family val="3"/>
      <charset val="129"/>
    </font>
    <font>
      <sz val="12"/>
      <name val="Arial"/>
      <family val="2"/>
    </font>
    <font>
      <sz val="12"/>
      <name val="바탕체"/>
      <family val="1"/>
      <charset val="129"/>
    </font>
    <font>
      <i/>
      <sz val="12"/>
      <name val="바탕체"/>
      <family val="1"/>
      <charset val="129"/>
    </font>
    <font>
      <sz val="12"/>
      <name val="¹????¼"/>
      <family val="1"/>
      <charset val="129"/>
    </font>
    <font>
      <sz val="9"/>
      <name val="±¼¸²?¼"/>
      <family val="3"/>
      <charset val="129"/>
    </font>
    <font>
      <sz val="12"/>
      <name val="宋?"/>
      <family val="3"/>
      <charset val="129"/>
    </font>
    <font>
      <sz val="12"/>
      <name val="???"/>
      <family val="1"/>
    </font>
    <font>
      <u/>
      <sz val="10"/>
      <color indexed="12"/>
      <name val="Arial"/>
      <family val="2"/>
    </font>
    <font>
      <sz val="12"/>
      <name val="官?眉"/>
      <family val="1"/>
      <charset val="129"/>
    </font>
    <font>
      <sz val="12"/>
      <name val="굴림체"/>
      <family val="3"/>
      <charset val="129"/>
    </font>
    <font>
      <sz val="11"/>
      <name val="굴림체"/>
      <family val="3"/>
      <charset val="129"/>
    </font>
    <font>
      <sz val="10"/>
      <name val="Helv"/>
      <family val="2"/>
    </font>
    <font>
      <sz val="10"/>
      <name val="굴림체"/>
      <family val="3"/>
      <charset val="129"/>
    </font>
    <font>
      <u/>
      <sz val="7.5"/>
      <color indexed="36"/>
      <name val="Arial"/>
      <family val="2"/>
    </font>
    <font>
      <sz val="12"/>
      <name val="￠R¡×IoUAAA¡ER￠R¡¿u"/>
      <family val="1"/>
      <charset val="129"/>
    </font>
    <font>
      <sz val="12"/>
      <name val="Times New Roman"/>
      <family val="1"/>
    </font>
    <font>
      <sz val="12"/>
      <name val="©öUAAA¨ù"/>
      <family val="1"/>
      <charset val="129"/>
    </font>
    <font>
      <b/>
      <sz val="18"/>
      <color indexed="24"/>
      <name val="¹UAAA¼"/>
      <family val="1"/>
      <charset val="129"/>
    </font>
    <font>
      <b/>
      <sz val="15"/>
      <color indexed="24"/>
      <name val="¹UAAA¼"/>
      <family val="1"/>
      <charset val="129"/>
    </font>
    <font>
      <b/>
      <sz val="12"/>
      <name val="돋움체"/>
      <family val="3"/>
      <charset val="129"/>
    </font>
    <font>
      <sz val="14"/>
      <name val="돋움체"/>
      <family val="3"/>
      <charset val="129"/>
    </font>
    <font>
      <sz val="10"/>
      <name val="MS Sans Serif"/>
      <family val="2"/>
    </font>
    <font>
      <sz val="7"/>
      <name val="바탕체"/>
      <family val="1"/>
      <charset val="129"/>
    </font>
    <font>
      <sz val="12"/>
      <name val="¹UAAA¼"/>
      <family val="3"/>
      <charset val="129"/>
    </font>
    <font>
      <sz val="12"/>
      <name val="¹ÙÅÁÃ¼"/>
      <family val="1"/>
      <charset val="129"/>
    </font>
    <font>
      <sz val="11"/>
      <color indexed="8"/>
      <name val="맑은 고딕"/>
      <family val="3"/>
      <charset val="129"/>
    </font>
    <font>
      <sz val="11"/>
      <color indexed="8"/>
      <name val="맑은 고딕"/>
      <family val="2"/>
      <charset val="129"/>
    </font>
    <font>
      <sz val="11"/>
      <color indexed="8"/>
      <name val="맑은 고딕"/>
      <family val="3"/>
    </font>
    <font>
      <sz val="11"/>
      <name val="맑은 고딕"/>
      <family val="2"/>
      <charset val="129"/>
    </font>
    <font>
      <sz val="11"/>
      <color theme="1"/>
      <name val="Calibri"/>
      <family val="3"/>
      <charset val="129"/>
      <scheme val="minor"/>
    </font>
    <font>
      <sz val="11"/>
      <color indexed="8"/>
      <name val="굴림체"/>
      <family val="3"/>
      <charset val="129"/>
    </font>
    <font>
      <sz val="11"/>
      <color indexed="9"/>
      <name val="맑은 고딕"/>
      <family val="3"/>
      <charset val="129"/>
    </font>
    <font>
      <sz val="11"/>
      <color indexed="9"/>
      <name val="맑은 고딕"/>
      <family val="2"/>
      <charset val="129"/>
    </font>
    <font>
      <sz val="11"/>
      <color indexed="9"/>
      <name val="맑은 고딕"/>
      <family val="3"/>
    </font>
    <font>
      <sz val="11"/>
      <color theme="0"/>
      <name val="Calibri"/>
      <family val="3"/>
      <charset val="129"/>
      <scheme val="minor"/>
    </font>
    <font>
      <sz val="11"/>
      <color indexed="9"/>
      <name val="굴림체"/>
      <family val="3"/>
      <charset val="129"/>
    </font>
    <font>
      <sz val="11"/>
      <name val="¡Ii¡E¡þ¡E?o"/>
      <family val="3"/>
      <charset val="129"/>
    </font>
    <font>
      <sz val="11"/>
      <name val="￠RER￠R¡×u¡ER￠R¡¿u¡ERE "/>
      <family val="3"/>
      <charset val="129"/>
    </font>
    <font>
      <sz val="11"/>
      <name val="??????o"/>
      <family val="3"/>
    </font>
    <font>
      <sz val="12"/>
      <name val="¡¾¨ù¢¬©÷A¨ù"/>
      <family val="3"/>
      <charset val="129"/>
    </font>
    <font>
      <sz val="12"/>
      <name val="ⓒoUAAA¨u"/>
      <family val="1"/>
      <charset val="129"/>
    </font>
    <font>
      <sz val="11"/>
      <name val="¥ì¢¬¢¯o"/>
      <family val="3"/>
    </font>
    <font>
      <sz val="12"/>
      <name val="ⓒoUAAA¨u"/>
      <family val="3"/>
      <charset val="129"/>
    </font>
    <font>
      <sz val="12"/>
      <name val="¡¾¨u￠￢ⓒ÷A¨u"/>
      <family val="3"/>
      <charset val="129"/>
    </font>
    <font>
      <sz val="11"/>
      <name val="￠RIi￠RE￠Rⓒ­￠RE?o"/>
      <family val="3"/>
      <charset val="129"/>
    </font>
    <font>
      <sz val="12"/>
      <name val="¡ER￠R¡¿IoUAAA￠RER¡ER￠R￠"/>
      <family val="1"/>
      <charset val="129"/>
    </font>
    <font>
      <sz val="11"/>
      <color indexed="8"/>
      <name val="돋움"/>
      <family val="3"/>
      <charset val="129"/>
    </font>
    <font>
      <sz val="11"/>
      <color indexed="9"/>
      <name val="돋움"/>
      <family val="3"/>
      <charset val="129"/>
    </font>
    <font>
      <sz val="11"/>
      <name val="Arial"/>
      <family val="2"/>
    </font>
    <font>
      <sz val="12"/>
      <name val="1UAAA?"/>
      <family val="1"/>
    </font>
    <font>
      <sz val="12"/>
      <name val="¹UAAA¼"/>
      <family val="1"/>
      <charset val="129"/>
    </font>
    <font>
      <sz val="11"/>
      <name val="µ¸¿ò"/>
      <family val="3"/>
      <charset val="129"/>
    </font>
    <font>
      <sz val="11"/>
      <name val="μ¸¿o"/>
      <family val="3"/>
      <charset val="129"/>
    </font>
    <font>
      <sz val="12"/>
      <name val="돋움체"/>
      <family val="3"/>
      <charset val="129"/>
    </font>
    <font>
      <sz val="12"/>
      <name val="μ¸¿oA¼"/>
      <family val="3"/>
      <charset val="129"/>
    </font>
    <font>
      <sz val="12"/>
      <name val="µ¸¿òÃ¼"/>
      <family val="3"/>
      <charset val="129"/>
    </font>
    <font>
      <sz val="12"/>
      <name val="¹ÙÅÁÃ¼"/>
      <family val="3"/>
      <charset val="129"/>
    </font>
    <font>
      <sz val="12"/>
      <name val="±¼¸²A¼"/>
      <family val="3"/>
      <charset val="129"/>
    </font>
    <font>
      <sz val="12"/>
      <name val="∂?좲2A?"/>
      <family val="3"/>
      <charset val="129"/>
    </font>
    <font>
      <sz val="10"/>
      <name val="±¼¸²A¼"/>
      <family val="3"/>
      <charset val="129"/>
    </font>
    <font>
      <b/>
      <sz val="12"/>
      <name val="¹ÙÅÁÃ¼"/>
      <family val="1"/>
      <charset val="129"/>
    </font>
    <font>
      <b/>
      <sz val="12"/>
      <name val="¹UAAA¼"/>
      <family val="1"/>
      <charset val="129"/>
    </font>
    <font>
      <sz val="11"/>
      <color indexed="20"/>
      <name val="맑은 고딕"/>
      <family val="3"/>
      <charset val="129"/>
    </font>
    <font>
      <sz val="11"/>
      <color indexed="20"/>
      <name val="맑은 고딕"/>
      <family val="2"/>
      <charset val="129"/>
    </font>
    <font>
      <sz val="11"/>
      <color indexed="20"/>
      <name val="맑은 고딕"/>
      <family val="3"/>
    </font>
    <font>
      <sz val="11"/>
      <color indexed="16"/>
      <name val="돋움"/>
      <family val="3"/>
      <charset val="129"/>
    </font>
    <font>
      <sz val="12"/>
      <name val="Tms Rmn"/>
      <family val="1"/>
    </font>
    <font>
      <sz val="12"/>
      <name val="??UAAA¨?"/>
      <family val="1"/>
      <charset val="129"/>
    </font>
    <font>
      <sz val="10"/>
      <name val="¡ER￠R¡¿IoUAAA￠RER¡ER￠R￠"/>
      <family val="1"/>
      <charset val="129"/>
    </font>
    <font>
      <sz val="9"/>
      <name val="¡¾¨u￠￢ⓒ÷A¨u"/>
      <family val="3"/>
      <charset val="129"/>
    </font>
    <font>
      <sz val="8"/>
      <name val="¹UAAA¼"/>
      <family val="1"/>
      <charset val="129"/>
    </font>
    <font>
      <sz val="11"/>
      <name val="±¼¸²Ã¼"/>
      <family val="3"/>
      <charset val="129"/>
    </font>
    <font>
      <sz val="9"/>
      <name val="±¼¸²Ã¼"/>
      <family val="3"/>
      <charset val="129"/>
    </font>
    <font>
      <sz val="12"/>
      <name val="±¼¸²Ã¼"/>
      <family val="3"/>
      <charset val="129"/>
    </font>
    <font>
      <sz val="12"/>
      <name val="System"/>
      <family val="2"/>
      <charset val="129"/>
    </font>
    <font>
      <sz val="10"/>
      <name val="¹ÙÅÁÃ¼"/>
      <family val="3"/>
      <charset val="129"/>
    </font>
    <font>
      <sz val="10"/>
      <name val="¹UAAA¼"/>
      <family val="1"/>
      <charset val="129"/>
    </font>
    <font>
      <sz val="10"/>
      <name val="±¼¸²Ã¼"/>
      <family val="3"/>
      <charset val="129"/>
    </font>
    <font>
      <sz val="9"/>
      <name val="Times New Roman"/>
      <family val="1"/>
    </font>
    <font>
      <b/>
      <sz val="11"/>
      <color indexed="52"/>
      <name val="맑은 고딕"/>
      <family val="3"/>
      <charset val="129"/>
    </font>
    <font>
      <b/>
      <sz val="11"/>
      <color indexed="52"/>
      <name val="맑은 고딕"/>
      <family val="2"/>
      <charset val="129"/>
    </font>
    <font>
      <b/>
      <sz val="11"/>
      <color indexed="53"/>
      <name val="돋움"/>
      <family val="3"/>
      <charset val="129"/>
    </font>
    <font>
      <b/>
      <sz val="11"/>
      <color indexed="52"/>
      <name val="맑은 고딕"/>
      <family val="3"/>
    </font>
    <font>
      <b/>
      <sz val="10"/>
      <name val="Helv"/>
      <family val="2"/>
    </font>
    <font>
      <b/>
      <sz val="11"/>
      <color indexed="9"/>
      <name val="맑은 고딕"/>
      <family val="3"/>
      <charset val="129"/>
    </font>
    <font>
      <b/>
      <sz val="11"/>
      <color indexed="9"/>
      <name val="맑은 고딕"/>
      <family val="2"/>
      <charset val="129"/>
    </font>
    <font>
      <b/>
      <sz val="11"/>
      <color indexed="9"/>
      <name val="돋움"/>
      <family val="3"/>
      <charset val="129"/>
    </font>
    <font>
      <b/>
      <sz val="11"/>
      <color indexed="9"/>
      <name val="맑은 고딕"/>
      <family val="3"/>
    </font>
    <font>
      <sz val="1"/>
      <color indexed="8"/>
      <name val="Courier"/>
      <family val="3"/>
    </font>
    <font>
      <sz val="8"/>
      <name val="1UAAA?"/>
      <family val="1"/>
    </font>
    <font>
      <sz val="10"/>
      <color indexed="8"/>
      <name val="Arial"/>
      <family val="2"/>
    </font>
    <font>
      <b/>
      <sz val="12"/>
      <name val="Avalon"/>
      <family val="1"/>
    </font>
    <font>
      <b/>
      <sz val="11"/>
      <color indexed="8"/>
      <name val="돋움"/>
      <family val="3"/>
      <charset val="129"/>
    </font>
    <font>
      <i/>
      <sz val="11"/>
      <color indexed="23"/>
      <name val="맑은 고딕"/>
      <family val="3"/>
      <charset val="129"/>
    </font>
    <font>
      <i/>
      <sz val="11"/>
      <color indexed="23"/>
      <name val="맑은 고딕"/>
      <family val="2"/>
      <charset val="129"/>
    </font>
    <font>
      <i/>
      <sz val="11"/>
      <color indexed="23"/>
      <name val="맑은 고딕"/>
      <family val="3"/>
    </font>
    <font>
      <sz val="11"/>
      <color indexed="17"/>
      <name val="맑은 고딕"/>
      <family val="3"/>
      <charset val="129"/>
    </font>
    <font>
      <sz val="11"/>
      <color indexed="17"/>
      <name val="맑은 고딕"/>
      <family val="2"/>
      <charset val="129"/>
    </font>
    <font>
      <sz val="11"/>
      <color indexed="17"/>
      <name val="맑은 고딕"/>
      <family val="3"/>
    </font>
    <font>
      <sz val="11"/>
      <color indexed="17"/>
      <name val="돋움"/>
      <family val="3"/>
      <charset val="129"/>
    </font>
    <font>
      <sz val="8"/>
      <name val="Arial"/>
      <family val="2"/>
    </font>
    <font>
      <b/>
      <sz val="12"/>
      <name val="Helv"/>
      <family val="2"/>
    </font>
    <font>
      <b/>
      <sz val="12"/>
      <name val="Arial"/>
      <family val="2"/>
    </font>
    <font>
      <b/>
      <sz val="15"/>
      <color indexed="56"/>
      <name val="맑은 고딕"/>
      <family val="3"/>
      <charset val="129"/>
    </font>
    <font>
      <b/>
      <sz val="15"/>
      <color indexed="56"/>
      <name val="맑은 고딕"/>
      <family val="2"/>
      <charset val="129"/>
    </font>
    <font>
      <b/>
      <sz val="15"/>
      <color indexed="56"/>
      <name val="맑은 고딕"/>
      <family val="3"/>
    </font>
    <font>
      <b/>
      <sz val="15"/>
      <color indexed="62"/>
      <name val="돋움"/>
      <family val="3"/>
      <charset val="129"/>
    </font>
    <font>
      <b/>
      <sz val="13"/>
      <color indexed="56"/>
      <name val="맑은 고딕"/>
      <family val="3"/>
      <charset val="129"/>
    </font>
    <font>
      <b/>
      <sz val="13"/>
      <color indexed="56"/>
      <name val="맑은 고딕"/>
      <family val="2"/>
      <charset val="129"/>
    </font>
    <font>
      <b/>
      <sz val="13"/>
      <color indexed="56"/>
      <name val="맑은 고딕"/>
      <family val="3"/>
    </font>
    <font>
      <b/>
      <sz val="13"/>
      <color indexed="62"/>
      <name val="돋움"/>
      <family val="3"/>
      <charset val="129"/>
    </font>
    <font>
      <b/>
      <sz val="11"/>
      <color indexed="56"/>
      <name val="맑은 고딕"/>
      <family val="3"/>
      <charset val="129"/>
    </font>
    <font>
      <b/>
      <sz val="11"/>
      <color indexed="62"/>
      <name val="돋움"/>
      <family val="3"/>
      <charset val="129"/>
    </font>
    <font>
      <b/>
      <sz val="11"/>
      <color indexed="56"/>
      <name val="맑은 고딕"/>
      <family val="2"/>
      <charset val="129"/>
    </font>
    <font>
      <b/>
      <sz val="11"/>
      <color indexed="56"/>
      <name val="맑은 고딕"/>
      <family val="3"/>
    </font>
    <font>
      <shadow/>
      <sz val="12"/>
      <color indexed="9"/>
      <name val="Arial"/>
      <family val="2"/>
    </font>
    <font>
      <sz val="10"/>
      <color indexed="12"/>
      <name val="Arial"/>
      <family val="2"/>
    </font>
    <font>
      <sz val="5"/>
      <name val="Avalon"/>
      <family val="1"/>
    </font>
    <font>
      <sz val="11"/>
      <color indexed="62"/>
      <name val="맑은 고딕"/>
      <family val="3"/>
      <charset val="129"/>
    </font>
    <font>
      <sz val="11"/>
      <color indexed="62"/>
      <name val="맑은 고딕"/>
      <family val="2"/>
      <charset val="129"/>
    </font>
    <font>
      <sz val="11"/>
      <color indexed="62"/>
      <name val="돋움"/>
      <family val="3"/>
      <charset val="129"/>
    </font>
    <font>
      <sz val="11"/>
      <color indexed="62"/>
      <name val="맑은 고딕"/>
      <family val="3"/>
    </font>
    <font>
      <sz val="11"/>
      <color indexed="52"/>
      <name val="맑은 고딕"/>
      <family val="3"/>
      <charset val="129"/>
    </font>
    <font>
      <sz val="11"/>
      <color indexed="52"/>
      <name val="맑은 고딕"/>
      <family val="2"/>
      <charset val="129"/>
    </font>
    <font>
      <sz val="11"/>
      <color indexed="52"/>
      <name val="맑은 고딕"/>
      <family val="3"/>
    </font>
    <font>
      <sz val="11"/>
      <color indexed="53"/>
      <name val="돋움"/>
      <family val="3"/>
      <charset val="129"/>
    </font>
    <font>
      <sz val="10"/>
      <name val="Times New Roman"/>
      <family val="1"/>
    </font>
    <font>
      <b/>
      <sz val="11"/>
      <name val="Helv"/>
      <family val="2"/>
    </font>
    <font>
      <b/>
      <sz val="14"/>
      <name val="Avalon"/>
      <family val="1"/>
    </font>
    <font>
      <sz val="11"/>
      <color indexed="60"/>
      <name val="맑은 고딕"/>
      <family val="3"/>
      <charset val="129"/>
    </font>
    <font>
      <sz val="11"/>
      <color indexed="60"/>
      <name val="맑은 고딕"/>
      <family val="2"/>
      <charset val="129"/>
    </font>
    <font>
      <sz val="11"/>
      <color indexed="60"/>
      <name val="맑은 고딕"/>
      <family val="3"/>
    </font>
    <font>
      <sz val="11"/>
      <color indexed="60"/>
      <name val="돋움"/>
      <family val="3"/>
      <charset val="129"/>
    </font>
    <font>
      <sz val="10"/>
      <name val="Courier"/>
      <family val="3"/>
    </font>
    <font>
      <sz val="11"/>
      <color indexed="8"/>
      <name val="돋움"/>
      <family val="2"/>
      <charset val="129"/>
    </font>
    <font>
      <sz val="11"/>
      <name val="돋움"/>
      <family val="2"/>
      <charset val="129"/>
    </font>
    <font>
      <b/>
      <sz val="11"/>
      <color indexed="63"/>
      <name val="맑은 고딕"/>
      <family val="3"/>
      <charset val="129"/>
    </font>
    <font>
      <b/>
      <sz val="11"/>
      <color indexed="63"/>
      <name val="돋움"/>
      <family val="3"/>
      <charset val="129"/>
    </font>
    <font>
      <b/>
      <sz val="11"/>
      <color indexed="63"/>
      <name val="맑은 고딕"/>
      <family val="2"/>
      <charset val="129"/>
    </font>
    <font>
      <b/>
      <sz val="11"/>
      <color indexed="63"/>
      <name val="맑은 고딕"/>
      <family val="3"/>
    </font>
    <font>
      <b/>
      <sz val="10"/>
      <color indexed="23"/>
      <name val="바탕체"/>
      <family val="1"/>
      <charset val="129"/>
    </font>
    <font>
      <sz val="12"/>
      <color indexed="9"/>
      <name val="MS Sans Serif"/>
      <family val="2"/>
    </font>
    <font>
      <b/>
      <sz val="9"/>
      <color indexed="18"/>
      <name val="Verdana"/>
      <family val="2"/>
    </font>
    <font>
      <b/>
      <sz val="18"/>
      <color indexed="62"/>
      <name val="맑은 고딕"/>
      <family val="3"/>
      <charset val="129"/>
    </font>
    <font>
      <b/>
      <sz val="18"/>
      <color indexed="56"/>
      <name val="맑은 고딕"/>
      <family val="3"/>
      <charset val="129"/>
    </font>
    <font>
      <b/>
      <sz val="18"/>
      <color indexed="56"/>
      <name val="맑은 고딕"/>
      <family val="2"/>
      <charset val="129"/>
    </font>
    <font>
      <b/>
      <sz val="18"/>
      <color indexed="56"/>
      <name val="맑은 고딕"/>
      <family val="3"/>
    </font>
    <font>
      <b/>
      <sz val="11"/>
      <color indexed="8"/>
      <name val="맑은 고딕"/>
      <family val="3"/>
      <charset val="129"/>
    </font>
    <font>
      <b/>
      <sz val="11"/>
      <color indexed="8"/>
      <name val="맑은 고딕"/>
      <family val="2"/>
      <charset val="129"/>
    </font>
    <font>
      <b/>
      <sz val="11"/>
      <color indexed="8"/>
      <name val="맑은 고딕"/>
      <family val="3"/>
    </font>
    <font>
      <sz val="8"/>
      <color indexed="12"/>
      <name val="Arial"/>
      <family val="2"/>
    </font>
    <font>
      <sz val="11"/>
      <color indexed="10"/>
      <name val="맑은 고딕"/>
      <family val="3"/>
      <charset val="129"/>
    </font>
    <font>
      <sz val="11"/>
      <color indexed="10"/>
      <name val="맑은 고딕"/>
      <family val="2"/>
      <charset val="129"/>
    </font>
    <font>
      <sz val="11"/>
      <color indexed="10"/>
      <name val="맑은 고딕"/>
      <family val="3"/>
    </font>
    <font>
      <sz val="11"/>
      <color indexed="10"/>
      <name val="돋움"/>
      <family val="3"/>
      <charset val="129"/>
    </font>
    <font>
      <sz val="7"/>
      <name val="Avalon"/>
      <family val="1"/>
    </font>
    <font>
      <sz val="7"/>
      <name val="Frutiger"/>
      <family val="1"/>
    </font>
    <font>
      <u/>
      <sz val="11"/>
      <color indexed="12"/>
      <name val="ＭＳ Ｐゴシック"/>
      <family val="2"/>
    </font>
    <font>
      <sz val="12"/>
      <name val="夥鰻羹"/>
      <family val="3"/>
      <charset val="136"/>
    </font>
    <font>
      <sz val="11"/>
      <color rgb="FFFF0000"/>
      <name val="Calibri"/>
      <family val="3"/>
      <charset val="129"/>
      <scheme val="minor"/>
    </font>
    <font>
      <sz val="11"/>
      <color indexed="10"/>
      <name val="굴림체"/>
      <family val="3"/>
      <charset val="129"/>
    </font>
    <font>
      <b/>
      <sz val="11"/>
      <color rgb="FFFA7D00"/>
      <name val="Calibri"/>
      <family val="3"/>
      <charset val="129"/>
      <scheme val="minor"/>
    </font>
    <font>
      <b/>
      <sz val="11"/>
      <color indexed="10"/>
      <name val="맑은 고딕"/>
      <family val="3"/>
      <charset val="129"/>
    </font>
    <font>
      <b/>
      <sz val="11"/>
      <color indexed="52"/>
      <name val="굴림체"/>
      <family val="3"/>
      <charset val="129"/>
    </font>
    <font>
      <sz val="12"/>
      <color indexed="24"/>
      <name val="바탕체"/>
      <family val="1"/>
      <charset val="129"/>
    </font>
    <font>
      <b/>
      <sz val="18"/>
      <color indexed="24"/>
      <name val="바탕체"/>
      <family val="1"/>
      <charset val="129"/>
    </font>
    <font>
      <b/>
      <sz val="1"/>
      <color indexed="8"/>
      <name val="Courier"/>
      <family val="3"/>
    </font>
    <font>
      <b/>
      <sz val="15"/>
      <color indexed="24"/>
      <name val="바탕체"/>
      <family val="1"/>
      <charset val="129"/>
    </font>
    <font>
      <sz val="12"/>
      <name val="Courier"/>
      <family val="3"/>
    </font>
    <font>
      <sz val="12"/>
      <name val="官帕眉"/>
      <family val="1"/>
      <charset val="129"/>
    </font>
    <font>
      <sz val="11"/>
      <color rgb="FF9C0006"/>
      <name val="Calibri"/>
      <family val="3"/>
      <charset val="129"/>
      <scheme val="minor"/>
    </font>
    <font>
      <sz val="11"/>
      <color indexed="20"/>
      <name val="굴림체"/>
      <family val="3"/>
      <charset val="129"/>
    </font>
    <font>
      <sz val="10"/>
      <name val="명조"/>
      <family val="3"/>
      <charset val="129"/>
    </font>
    <font>
      <u/>
      <sz val="11"/>
      <color indexed="36"/>
      <name val="돋움"/>
      <family val="3"/>
      <charset val="129"/>
    </font>
    <font>
      <sz val="14"/>
      <name val="뼥?ⓒ"/>
      <family val="3"/>
      <charset val="129"/>
    </font>
    <font>
      <sz val="11"/>
      <name val="바탕체"/>
      <family val="1"/>
      <charset val="129"/>
    </font>
    <font>
      <sz val="12"/>
      <name val="굴림"/>
      <family val="3"/>
      <charset val="129"/>
    </font>
    <font>
      <sz val="11"/>
      <color rgb="FF9C6500"/>
      <name val="Calibri"/>
      <family val="3"/>
      <charset val="129"/>
      <scheme val="minor"/>
    </font>
    <font>
      <sz val="11"/>
      <color indexed="19"/>
      <name val="맑은 고딕"/>
      <family val="3"/>
      <charset val="129"/>
    </font>
    <font>
      <sz val="11"/>
      <color indexed="60"/>
      <name val="굴림체"/>
      <family val="3"/>
      <charset val="129"/>
    </font>
    <font>
      <sz val="12"/>
      <name val="뼻뮝"/>
      <family val="1"/>
      <charset val="129"/>
    </font>
    <font>
      <sz val="9"/>
      <name val="굴림체"/>
      <family val="3"/>
      <charset val="129"/>
    </font>
    <font>
      <i/>
      <sz val="11"/>
      <color rgb="FF7F7F7F"/>
      <name val="Calibri"/>
      <family val="3"/>
      <charset val="129"/>
      <scheme val="minor"/>
    </font>
    <font>
      <i/>
      <sz val="11"/>
      <color indexed="23"/>
      <name val="굴림체"/>
      <family val="3"/>
      <charset val="129"/>
    </font>
    <font>
      <b/>
      <sz val="11"/>
      <color theme="0"/>
      <name val="Calibri"/>
      <family val="3"/>
      <charset val="129"/>
      <scheme val="minor"/>
    </font>
    <font>
      <b/>
      <sz val="11"/>
      <color indexed="9"/>
      <name val="굴림체"/>
      <family val="3"/>
      <charset val="129"/>
    </font>
    <font>
      <sz val="14"/>
      <name val="돋움"/>
      <family val="3"/>
      <charset val="129"/>
    </font>
    <font>
      <b/>
      <sz val="12"/>
      <color indexed="16"/>
      <name val="굴림체"/>
      <family val="3"/>
      <charset val="129"/>
    </font>
    <font>
      <sz val="10"/>
      <color theme="1"/>
      <name val="Calibri"/>
      <family val="3"/>
      <charset val="129"/>
      <scheme val="minor"/>
    </font>
    <font>
      <sz val="11"/>
      <color rgb="FFFA7D00"/>
      <name val="Calibri"/>
      <family val="3"/>
      <charset val="129"/>
      <scheme val="minor"/>
    </font>
    <font>
      <sz val="11"/>
      <color indexed="52"/>
      <name val="굴림체"/>
      <family val="3"/>
      <charset val="129"/>
    </font>
    <font>
      <u/>
      <sz val="12"/>
      <color indexed="36"/>
      <name val="바탕체"/>
      <family val="1"/>
      <charset val="129"/>
    </font>
    <font>
      <sz val="11"/>
      <name val="奔覆眉"/>
      <family val="3"/>
      <charset val="129"/>
    </font>
    <font>
      <b/>
      <sz val="11"/>
      <color theme="1"/>
      <name val="Calibri"/>
      <family val="3"/>
      <charset val="129"/>
      <scheme val="minor"/>
    </font>
    <font>
      <b/>
      <sz val="11"/>
      <color indexed="8"/>
      <name val="굴림체"/>
      <family val="3"/>
      <charset val="129"/>
    </font>
    <font>
      <sz val="12"/>
      <name val="新細明體"/>
      <family val="1"/>
      <charset val="136"/>
    </font>
    <font>
      <sz val="11"/>
      <color rgb="FF3F3F76"/>
      <name val="Calibri"/>
      <family val="3"/>
      <charset val="129"/>
      <scheme val="minor"/>
    </font>
    <font>
      <sz val="11"/>
      <color indexed="62"/>
      <name val="굴림체"/>
      <family val="3"/>
      <charset val="129"/>
    </font>
    <font>
      <b/>
      <sz val="15"/>
      <color theme="3"/>
      <name val="Calibri"/>
      <family val="3"/>
      <charset val="129"/>
      <scheme val="minor"/>
    </font>
    <font>
      <b/>
      <sz val="15"/>
      <color indexed="62"/>
      <name val="맑은 고딕"/>
      <family val="3"/>
      <charset val="129"/>
    </font>
    <font>
      <b/>
      <sz val="15"/>
      <color indexed="56"/>
      <name val="굴림체"/>
      <family val="3"/>
      <charset val="129"/>
    </font>
    <font>
      <b/>
      <sz val="18"/>
      <color theme="3"/>
      <name val="Calibri Light"/>
      <family val="3"/>
      <charset val="129"/>
      <scheme val="major"/>
    </font>
    <font>
      <b/>
      <sz val="13"/>
      <color theme="3"/>
      <name val="Calibri"/>
      <family val="3"/>
      <charset val="129"/>
      <scheme val="minor"/>
    </font>
    <font>
      <b/>
      <sz val="13"/>
      <color indexed="62"/>
      <name val="맑은 고딕"/>
      <family val="3"/>
      <charset val="129"/>
    </font>
    <font>
      <b/>
      <sz val="13"/>
      <color indexed="56"/>
      <name val="굴림체"/>
      <family val="3"/>
      <charset val="129"/>
    </font>
    <font>
      <b/>
      <sz val="11"/>
      <color theme="3"/>
      <name val="Calibri"/>
      <family val="3"/>
      <charset val="129"/>
      <scheme val="minor"/>
    </font>
    <font>
      <b/>
      <sz val="11"/>
      <color indexed="62"/>
      <name val="맑은 고딕"/>
      <family val="3"/>
      <charset val="129"/>
    </font>
    <font>
      <b/>
      <sz val="11"/>
      <color indexed="56"/>
      <name val="굴림체"/>
      <family val="3"/>
      <charset val="129"/>
    </font>
    <font>
      <sz val="11"/>
      <color rgb="FF006100"/>
      <name val="Calibri"/>
      <family val="3"/>
      <charset val="129"/>
      <scheme val="minor"/>
    </font>
    <font>
      <sz val="11"/>
      <color indexed="17"/>
      <name val="굴림체"/>
      <family val="3"/>
      <charset val="129"/>
    </font>
    <font>
      <b/>
      <sz val="11"/>
      <color rgb="FF3F3F3F"/>
      <name val="Calibri"/>
      <family val="3"/>
      <charset val="129"/>
      <scheme val="minor"/>
    </font>
    <font>
      <b/>
      <sz val="11"/>
      <color indexed="63"/>
      <name val="굴림체"/>
      <family val="3"/>
      <charset val="129"/>
    </font>
    <font>
      <sz val="11"/>
      <name val="ＭＳ Ｐゴシック"/>
      <family val="2"/>
    </font>
    <font>
      <u/>
      <sz val="8.25"/>
      <color indexed="36"/>
      <name val="ＭＳ Ｐゴシック"/>
      <family val="2"/>
    </font>
    <font>
      <sz val="9"/>
      <color indexed="8"/>
      <name val="굴림체"/>
      <family val="3"/>
      <charset val="129"/>
    </font>
    <font>
      <sz val="11"/>
      <color theme="1"/>
      <name val="돋움"/>
      <family val="3"/>
      <charset val="129"/>
    </font>
    <font>
      <sz val="11"/>
      <color theme="1"/>
      <name val="돋움"/>
      <family val="2"/>
      <charset val="129"/>
    </font>
    <font>
      <sz val="11"/>
      <color theme="1"/>
      <name val="Calibri"/>
      <family val="2"/>
      <charset val="134"/>
      <scheme val="minor"/>
    </font>
    <font>
      <sz val="10"/>
      <color indexed="8"/>
      <name val="굴림체"/>
      <family val="3"/>
      <charset val="129"/>
    </font>
    <font>
      <b/>
      <sz val="10"/>
      <name val="굴림"/>
      <family val="3"/>
      <charset val="129"/>
    </font>
    <font>
      <u/>
      <sz val="10"/>
      <color theme="10"/>
      <name val="맑은 고딕"/>
      <family val="3"/>
      <charset val="129"/>
    </font>
    <font>
      <sz val="11"/>
      <name val="ＭＳ Ｐゴシック"/>
      <family val="2"/>
      <charset val="128"/>
    </font>
    <font>
      <sz val="12"/>
      <name val="宋体"/>
      <charset val="134"/>
    </font>
    <font>
      <sz val="10"/>
      <name val="바탕체"/>
      <family val="3"/>
      <charset val="129"/>
    </font>
    <font>
      <sz val="8"/>
      <color rgb="FF000000"/>
      <name val="Times New Roman"/>
      <family val="1"/>
    </font>
    <font>
      <b/>
      <vertAlign val="subscript"/>
      <sz val="18"/>
      <name val="Times New Roman"/>
      <family val="1"/>
    </font>
    <font>
      <b/>
      <sz val="12"/>
      <name val="Times New Roman"/>
      <family val="1"/>
    </font>
    <font>
      <sz val="12"/>
      <color indexed="8"/>
      <name val="Times New Roman"/>
      <family val="1"/>
    </font>
    <font>
      <b/>
      <sz val="24"/>
      <color rgb="FF333333"/>
      <name val="바탕체"/>
    </font>
    <font>
      <b/>
      <sz val="11"/>
      <color theme="1"/>
      <name val="Calibri"/>
      <family val="2"/>
      <scheme val="minor"/>
    </font>
    <font>
      <b/>
      <sz val="11"/>
      <name val="Calibri"/>
      <family val="2"/>
      <scheme val="minor"/>
    </font>
  </fonts>
  <fills count="111">
    <fill>
      <patternFill patternType="none"/>
    </fill>
    <fill>
      <patternFill patternType="gray125"/>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theme="3" tint="0.59999389629810485"/>
        <bgColor indexed="64"/>
      </patternFill>
    </fill>
    <fill>
      <patternFill patternType="solid">
        <fgColor indexed="9"/>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indexed="41"/>
        <bgColor indexed="64"/>
      </patternFill>
    </fill>
    <fill>
      <patternFill patternType="solid">
        <fgColor indexed="47"/>
        <bgColor indexed="64"/>
      </patternFill>
    </fill>
    <fill>
      <patternFill patternType="solid">
        <fgColor indexed="31"/>
      </patternFill>
    </fill>
    <fill>
      <patternFill patternType="solid">
        <fgColor indexed="31"/>
        <bgColor indexed="64"/>
      </patternFill>
    </fill>
    <fill>
      <patternFill patternType="solid">
        <fgColor indexed="45"/>
      </patternFill>
    </fill>
    <fill>
      <patternFill patternType="solid">
        <fgColor indexed="45"/>
        <bgColor indexed="64"/>
      </patternFill>
    </fill>
    <fill>
      <patternFill patternType="solid">
        <fgColor indexed="42"/>
      </patternFill>
    </fill>
    <fill>
      <patternFill patternType="solid">
        <fgColor indexed="42"/>
        <bgColor indexed="64"/>
      </patternFill>
    </fill>
    <fill>
      <patternFill patternType="solid">
        <fgColor indexed="46"/>
      </patternFill>
    </fill>
    <fill>
      <patternFill patternType="solid">
        <fgColor indexed="46"/>
        <bgColor indexed="64"/>
      </patternFill>
    </fill>
    <fill>
      <patternFill patternType="solid">
        <fgColor indexed="27"/>
      </patternFill>
    </fill>
    <fill>
      <patternFill patternType="solid">
        <fgColor indexed="27"/>
        <bgColor indexed="64"/>
      </patternFill>
    </fill>
    <fill>
      <patternFill patternType="solid">
        <fgColor indexed="47"/>
      </patternFill>
    </fill>
    <fill>
      <patternFill patternType="solid">
        <fgColor indexed="44"/>
      </patternFill>
    </fill>
    <fill>
      <patternFill patternType="solid">
        <fgColor indexed="29"/>
      </patternFill>
    </fill>
    <fill>
      <patternFill patternType="solid">
        <fgColor indexed="26"/>
      </patternFill>
    </fill>
    <fill>
      <patternFill patternType="solid">
        <fgColor indexed="44"/>
        <bgColor indexed="64"/>
      </patternFill>
    </fill>
    <fill>
      <patternFill patternType="solid">
        <fgColor indexed="29"/>
        <bgColor indexed="64"/>
      </patternFill>
    </fill>
    <fill>
      <patternFill patternType="solid">
        <fgColor indexed="11"/>
      </patternFill>
    </fill>
    <fill>
      <patternFill patternType="solid">
        <fgColor indexed="11"/>
        <bgColor indexed="64"/>
      </patternFill>
    </fill>
    <fill>
      <patternFill patternType="solid">
        <fgColor indexed="51"/>
      </patternFill>
    </fill>
    <fill>
      <patternFill patternType="solid">
        <fgColor indexed="51"/>
        <bgColor indexed="64"/>
      </patternFill>
    </fill>
    <fill>
      <patternFill patternType="solid">
        <fgColor indexed="43"/>
      </patternFill>
    </fill>
    <fill>
      <patternFill patternType="solid">
        <fgColor indexed="30"/>
      </patternFill>
    </fill>
    <fill>
      <patternFill patternType="solid">
        <fgColor indexed="30"/>
        <bgColor indexed="64"/>
      </patternFill>
    </fill>
    <fill>
      <patternFill patternType="solid">
        <fgColor indexed="36"/>
      </patternFill>
    </fill>
    <fill>
      <patternFill patternType="solid">
        <fgColor indexed="20"/>
        <bgColor indexed="64"/>
      </patternFill>
    </fill>
    <fill>
      <patternFill patternType="solid">
        <fgColor indexed="49"/>
      </patternFill>
    </fill>
    <fill>
      <patternFill patternType="solid">
        <fgColor indexed="49"/>
        <bgColor indexed="64"/>
      </patternFill>
    </fill>
    <fill>
      <patternFill patternType="solid">
        <fgColor indexed="52"/>
      </patternFill>
    </fill>
    <fill>
      <patternFill patternType="solid">
        <fgColor indexed="52"/>
        <bgColor indexed="64"/>
      </patternFill>
    </fill>
    <fill>
      <patternFill patternType="solid">
        <fgColor indexed="53"/>
      </patternFill>
    </fill>
    <fill>
      <patternFill patternType="solid">
        <fgColor indexed="62"/>
      </patternFill>
    </fill>
    <fill>
      <patternFill patternType="solid">
        <fgColor indexed="47"/>
        <bgColor indexed="47"/>
      </patternFill>
    </fill>
    <fill>
      <patternFill patternType="solid">
        <fgColor indexed="31"/>
        <bgColor indexed="31"/>
      </patternFill>
    </fill>
    <fill>
      <patternFill patternType="solid">
        <fgColor indexed="44"/>
        <bgColor indexed="44"/>
      </patternFill>
    </fill>
    <fill>
      <patternFill patternType="solid">
        <fgColor indexed="62"/>
        <bgColor indexed="64"/>
      </patternFill>
    </fill>
    <fill>
      <patternFill patternType="solid">
        <fgColor indexed="54"/>
        <bgColor indexed="54"/>
      </patternFill>
    </fill>
    <fill>
      <patternFill patternType="solid">
        <fgColor indexed="10"/>
      </patternFill>
    </fill>
    <fill>
      <patternFill patternType="solid">
        <fgColor indexed="22"/>
        <bgColor indexed="22"/>
      </patternFill>
    </fill>
    <fill>
      <patternFill patternType="solid">
        <fgColor indexed="55"/>
        <bgColor indexed="55"/>
      </patternFill>
    </fill>
    <fill>
      <patternFill patternType="solid">
        <fgColor indexed="10"/>
        <bgColor indexed="64"/>
      </patternFill>
    </fill>
    <fill>
      <patternFill patternType="solid">
        <fgColor indexed="25"/>
        <bgColor indexed="25"/>
      </patternFill>
    </fill>
    <fill>
      <patternFill patternType="solid">
        <fgColor indexed="57"/>
      </patternFill>
    </fill>
    <fill>
      <patternFill patternType="solid">
        <fgColor indexed="57"/>
        <bgColor indexed="64"/>
      </patternFill>
    </fill>
    <fill>
      <patternFill patternType="solid">
        <fgColor indexed="49"/>
        <bgColor indexed="49"/>
      </patternFill>
    </fill>
    <fill>
      <patternFill patternType="solid">
        <fgColor indexed="26"/>
        <bgColor indexed="26"/>
      </patternFill>
    </fill>
    <fill>
      <patternFill patternType="solid">
        <fgColor indexed="43"/>
        <bgColor indexed="43"/>
      </patternFill>
    </fill>
    <fill>
      <patternFill patternType="solid">
        <fgColor indexed="53"/>
        <bgColor indexed="64"/>
      </patternFill>
    </fill>
    <fill>
      <patternFill patternType="solid">
        <fgColor indexed="52"/>
        <bgColor indexed="52"/>
      </patternFill>
    </fill>
    <fill>
      <patternFill patternType="solid">
        <fgColor indexed="45"/>
        <bgColor indexed="45"/>
      </patternFill>
    </fill>
    <fill>
      <patternFill patternType="solid">
        <fgColor indexed="22"/>
      </patternFill>
    </fill>
    <fill>
      <patternFill patternType="solid">
        <fgColor indexed="22"/>
        <bgColor indexed="64"/>
      </patternFill>
    </fill>
    <fill>
      <patternFill patternType="solid">
        <fgColor indexed="9"/>
        <bgColor indexed="9"/>
      </patternFill>
    </fill>
    <fill>
      <patternFill patternType="solid">
        <fgColor indexed="55"/>
      </patternFill>
    </fill>
    <fill>
      <patternFill patternType="solid">
        <fgColor indexed="55"/>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2"/>
        <bgColor indexed="42"/>
      </patternFill>
    </fill>
    <fill>
      <patternFill patternType="gray0625"/>
    </fill>
    <fill>
      <patternFill patternType="solid">
        <fgColor indexed="43"/>
        <bgColor indexed="64"/>
      </patternFill>
    </fill>
    <fill>
      <patternFill patternType="solid">
        <fgColor indexed="26"/>
        <bgColor indexed="64"/>
      </patternFill>
    </fill>
    <fill>
      <patternFill patternType="solid">
        <fgColor indexed="54"/>
        <bgColor indexed="64"/>
      </patternFill>
    </fill>
    <fill>
      <patternFill patternType="solid">
        <fgColor indexed="41"/>
      </patternFill>
    </fill>
    <fill>
      <patternFill patternType="solid">
        <fgColor indexed="40"/>
      </patternFill>
    </fill>
    <fill>
      <patternFill patternType="solid">
        <fgColor indexed="40"/>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rgb="FFFFFF00"/>
        <bgColor indexed="64"/>
      </patternFill>
    </fill>
    <fill>
      <patternFill patternType="solid">
        <fgColor theme="0"/>
        <bgColor indexed="64"/>
      </patternFill>
    </fill>
  </fills>
  <borders count="1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medium">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auto="1"/>
      </right>
      <top/>
      <bottom/>
      <diagonal/>
    </border>
    <border>
      <left style="medium">
        <color indexed="64"/>
      </left>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double">
        <color indexed="64"/>
      </bottom>
      <diagonal/>
    </border>
    <border>
      <left style="thin">
        <color indexed="64"/>
      </left>
      <right/>
      <top style="double">
        <color indexed="64"/>
      </top>
      <bottom style="thin">
        <color indexed="64"/>
      </bottom>
      <diagonal/>
    </border>
    <border>
      <left/>
      <right/>
      <top style="medium">
        <color indexed="64"/>
      </top>
      <bottom/>
      <diagonal/>
    </border>
    <border>
      <left/>
      <right/>
      <top/>
      <bottom style="medium">
        <color indexed="64"/>
      </bottom>
      <diagonal/>
    </border>
    <border>
      <left style="thin">
        <color indexed="64"/>
      </left>
      <right/>
      <top/>
      <bottom style="medium">
        <color indexed="6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style="double">
        <color indexed="64"/>
      </bottom>
      <diagonal/>
    </border>
    <border>
      <left/>
      <right/>
      <top style="medium">
        <color indexed="64"/>
      </top>
      <bottom style="medium">
        <color indexed="64"/>
      </bottom>
      <diagonal/>
    </border>
    <border>
      <left/>
      <right/>
      <top/>
      <bottom style="thick">
        <color indexed="62"/>
      </bottom>
      <diagonal/>
    </border>
    <border>
      <left/>
      <right/>
      <top/>
      <bottom style="thick">
        <color indexed="54"/>
      </bottom>
      <diagonal/>
    </border>
    <border>
      <left/>
      <right/>
      <top/>
      <bottom style="thick">
        <color indexed="22"/>
      </bottom>
      <diagonal/>
    </border>
    <border>
      <left/>
      <right/>
      <top/>
      <bottom style="medium">
        <color indexed="30"/>
      </bottom>
      <diagonal/>
    </border>
    <border>
      <left/>
      <right/>
      <top/>
      <bottom style="medium">
        <color indexed="44"/>
      </bottom>
      <diagonal/>
    </border>
    <border>
      <left style="double">
        <color indexed="64"/>
      </left>
      <right style="double">
        <color indexed="64"/>
      </right>
      <top style="double">
        <color indexed="64"/>
      </top>
      <bottom style="double">
        <color indexed="64"/>
      </bottom>
      <diagonal/>
    </border>
    <border>
      <left style="hair">
        <color auto="1"/>
      </left>
      <right style="hair">
        <color auto="1"/>
      </right>
      <top style="hair">
        <color auto="1"/>
      </top>
      <bottom style="hair">
        <color auto="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12"/>
      </top>
      <bottom style="medium">
        <color indexed="12"/>
      </bottom>
      <diagonal/>
    </border>
    <border>
      <left/>
      <right/>
      <top/>
      <bottom style="thick">
        <color indexed="44"/>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right/>
      <top style="thin">
        <color indexed="64"/>
      </top>
      <bottom style="double">
        <color indexed="64"/>
      </bottom>
      <diagonal/>
    </border>
    <border>
      <left/>
      <right/>
      <top style="thin">
        <color indexed="54"/>
      </top>
      <bottom style="double">
        <color indexed="54"/>
      </bottom>
      <diagonal/>
    </border>
    <border>
      <left/>
      <right/>
      <top/>
      <bottom style="double">
        <color indexed="10"/>
      </bottom>
      <diagonal/>
    </border>
    <border>
      <left/>
      <right/>
      <top style="thin">
        <color indexed="56"/>
      </top>
      <bottom style="double">
        <color indexed="56"/>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double">
        <color indexed="64"/>
      </top>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right style="thin">
        <color rgb="FF000000"/>
      </right>
      <top/>
      <bottom style="thin">
        <color rgb="FF000000"/>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diagonalUp="1">
      <left style="thin">
        <color indexed="64"/>
      </left>
      <right style="thin">
        <color indexed="64"/>
      </right>
      <top style="thin">
        <color indexed="64"/>
      </top>
      <bottom style="thin">
        <color indexed="64"/>
      </bottom>
      <diagonal style="thin">
        <color indexed="64"/>
      </diagonal>
    </border>
    <border diagonalUp="1">
      <left/>
      <right style="thin">
        <color indexed="64"/>
      </right>
      <top style="thin">
        <color indexed="64"/>
      </top>
      <bottom/>
      <diagonal style="thin">
        <color indexed="64"/>
      </diagonal>
    </border>
    <border diagonalUp="1">
      <left style="thin">
        <color indexed="64"/>
      </left>
      <right style="thin">
        <color indexed="64"/>
      </right>
      <top style="thin">
        <color indexed="64"/>
      </top>
      <bottom/>
      <diagonal style="thin">
        <color indexed="64"/>
      </diagonal>
    </border>
    <border diagonalUp="1">
      <left/>
      <right style="thin">
        <color indexed="64"/>
      </right>
      <top/>
      <bottom/>
      <diagonal style="thin">
        <color indexed="64"/>
      </diagonal>
    </border>
    <border diagonalUp="1">
      <left style="thin">
        <color indexed="64"/>
      </left>
      <right style="thin">
        <color indexed="64"/>
      </right>
      <top/>
      <bottom/>
      <diagonal style="thin">
        <color indexed="64"/>
      </diagonal>
    </border>
    <border diagonalUp="1">
      <left/>
      <right style="thin">
        <color indexed="64"/>
      </right>
      <top/>
      <bottom style="thin">
        <color indexed="64"/>
      </bottom>
      <diagonal style="thin">
        <color indexed="64"/>
      </diagonal>
    </border>
    <border diagonalUp="1">
      <left style="thin">
        <color indexed="64"/>
      </left>
      <right style="thin">
        <color indexed="64"/>
      </right>
      <top/>
      <bottom style="thin">
        <color indexed="64"/>
      </bottom>
      <diagonal style="thin">
        <color indexed="64"/>
      </diagonal>
    </border>
    <border diagonalUp="1">
      <left style="thin">
        <color indexed="64"/>
      </left>
      <right/>
      <top style="thin">
        <color indexed="64"/>
      </top>
      <bottom/>
      <diagonal style="thin">
        <color indexed="64"/>
      </diagonal>
    </border>
    <border diagonalUp="1">
      <left style="thin">
        <color indexed="64"/>
      </left>
      <right/>
      <top/>
      <bottom/>
      <diagonal style="thin">
        <color indexed="64"/>
      </diagonal>
    </border>
    <border diagonalUp="1">
      <left style="thin">
        <color indexed="64"/>
      </left>
      <right/>
      <top/>
      <bottom style="thin">
        <color indexed="64"/>
      </bottom>
      <diagonal style="thin">
        <color indexed="64"/>
      </diagonal>
    </border>
  </borders>
  <cellStyleXfs count="51159">
    <xf numFmtId="0" fontId="0" fillId="0" borderId="0"/>
    <xf numFmtId="9" fontId="1" fillId="0" borderId="0" applyFont="0" applyFill="0" applyBorder="0" applyAlignment="0" applyProtection="0"/>
    <xf numFmtId="0" fontId="1" fillId="0" borderId="0"/>
    <xf numFmtId="0" fontId="13" fillId="0" borderId="0"/>
    <xf numFmtId="0" fontId="1" fillId="0" borderId="0">
      <alignment vertical="center"/>
    </xf>
    <xf numFmtId="167" fontId="1" fillId="0" borderId="0" applyFont="0" applyFill="0" applyBorder="0" applyAlignment="0" applyProtection="0">
      <alignment vertical="center"/>
    </xf>
    <xf numFmtId="9" fontId="1" fillId="0" borderId="0" applyFont="0" applyFill="0" applyBorder="0" applyAlignment="0" applyProtection="0">
      <alignment vertical="center"/>
    </xf>
    <xf numFmtId="0" fontId="17" fillId="0" borderId="0">
      <alignment vertical="center"/>
    </xf>
    <xf numFmtId="9" fontId="17" fillId="0" borderId="0" applyFont="0" applyFill="0" applyBorder="0" applyAlignment="0" applyProtection="0">
      <alignment vertical="center"/>
    </xf>
    <xf numFmtId="0" fontId="1" fillId="0" borderId="0">
      <alignment vertical="center"/>
    </xf>
    <xf numFmtId="0" fontId="35" fillId="0" borderId="0" applyNumberFormat="0" applyFill="0" applyBorder="0" applyAlignment="0" applyProtection="0">
      <alignment vertical="top"/>
      <protection locked="0"/>
    </xf>
    <xf numFmtId="170" fontId="36" fillId="0" borderId="0" applyFont="0" applyFill="0" applyBorder="0" applyAlignment="0" applyProtection="0"/>
    <xf numFmtId="170" fontId="37" fillId="0" borderId="0" applyFont="0" applyFill="0" applyBorder="0" applyAlignment="0" applyProtection="0"/>
    <xf numFmtId="0" fontId="37" fillId="0" borderId="0" applyFont="0" applyFill="0" applyBorder="0" applyAlignment="0" applyProtection="0"/>
    <xf numFmtId="171" fontId="1" fillId="0" borderId="0" applyFont="0" applyFill="0" applyBorder="0" applyAlignment="0" applyProtection="0"/>
    <xf numFmtId="0" fontId="13" fillId="0" borderId="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0" fontId="37" fillId="0" borderId="0"/>
    <xf numFmtId="0" fontId="37" fillId="0" borderId="0"/>
    <xf numFmtId="0" fontId="37" fillId="0" borderId="0"/>
    <xf numFmtId="0" fontId="37" fillId="0" borderId="0"/>
    <xf numFmtId="170" fontId="38" fillId="0" borderId="0" applyNumberFormat="0" applyFill="0" applyBorder="0" applyAlignment="0" applyProtection="0"/>
    <xf numFmtId="170" fontId="39"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9" fillId="0" borderId="0" applyFont="0" applyFill="0" applyBorder="0" applyAlignment="0" applyProtection="0"/>
    <xf numFmtId="170" fontId="40" fillId="0" borderId="0"/>
    <xf numFmtId="172" fontId="41" fillId="0" borderId="0" applyFont="0" applyFill="0" applyBorder="0" applyAlignment="0" applyProtection="0"/>
    <xf numFmtId="170" fontId="42" fillId="0" borderId="0"/>
    <xf numFmtId="0" fontId="43" fillId="0" borderId="0" applyNumberFormat="0" applyFill="0" applyBorder="0" applyAlignment="0" applyProtection="0">
      <alignment vertical="top"/>
      <protection locked="0"/>
    </xf>
    <xf numFmtId="170" fontId="13" fillId="0" borderId="0" applyNumberFormat="0" applyFill="0" applyBorder="0" applyAlignment="0" applyProtection="0"/>
    <xf numFmtId="0" fontId="13" fillId="0" borderId="0" applyNumberFormat="0" applyFill="0" applyBorder="0" applyAlignment="0" applyProtection="0"/>
    <xf numFmtId="170" fontId="39" fillId="0" borderId="0" applyFont="0" applyFill="0" applyBorder="0" applyAlignment="0" applyProtection="0"/>
    <xf numFmtId="170" fontId="39" fillId="0" borderId="0" applyFont="0" applyFill="0" applyBorder="0" applyAlignment="0" applyProtection="0"/>
    <xf numFmtId="0" fontId="13" fillId="0" borderId="0"/>
    <xf numFmtId="170" fontId="44" fillId="0" borderId="0"/>
    <xf numFmtId="10" fontId="44" fillId="0" borderId="0" applyFont="0" applyFill="0" applyBorder="0" applyAlignment="0" applyProtection="0"/>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0" fontId="1" fillId="0" borderId="6">
      <alignment vertical="center"/>
    </xf>
    <xf numFmtId="0"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4" fontId="45" fillId="0" borderId="6">
      <alignment vertical="center"/>
    </xf>
    <xf numFmtId="170" fontId="37" fillId="0" borderId="6">
      <alignment vertical="center"/>
    </xf>
    <xf numFmtId="175" fontId="37"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7" fontId="1" fillId="0" borderId="6">
      <alignment vertical="center"/>
    </xf>
    <xf numFmtId="177" fontId="1" fillId="0" borderId="6">
      <alignment vertical="center"/>
    </xf>
    <xf numFmtId="177"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7" fontId="1" fillId="0" borderId="6">
      <alignment vertical="center"/>
    </xf>
    <xf numFmtId="177" fontId="1" fillId="0" borderId="6">
      <alignment vertical="center"/>
    </xf>
    <xf numFmtId="177"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0" fontId="46"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0" fontId="1" fillId="0" borderId="6">
      <alignment vertical="center"/>
    </xf>
    <xf numFmtId="176" fontId="1" fillId="0" borderId="6">
      <alignment vertical="center"/>
    </xf>
    <xf numFmtId="176" fontId="1" fillId="0" borderId="6">
      <alignment vertical="center"/>
    </xf>
    <xf numFmtId="176" fontId="1" fillId="0" borderId="6">
      <alignment vertical="center"/>
    </xf>
    <xf numFmtId="177" fontId="1" fillId="0" borderId="6">
      <alignment vertical="center"/>
    </xf>
    <xf numFmtId="177" fontId="1" fillId="0" borderId="6">
      <alignment vertical="center"/>
    </xf>
    <xf numFmtId="177"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6"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3" fontId="1" fillId="0" borderId="6">
      <alignment vertical="center"/>
    </xf>
    <xf numFmtId="170" fontId="13" fillId="0" borderId="0"/>
    <xf numFmtId="170" fontId="13" fillId="0" borderId="0"/>
    <xf numFmtId="170" fontId="13" fillId="0" borderId="0"/>
    <xf numFmtId="170" fontId="13" fillId="0" borderId="0"/>
    <xf numFmtId="170" fontId="37" fillId="0" borderId="0"/>
    <xf numFmtId="170" fontId="13" fillId="0" borderId="0"/>
    <xf numFmtId="0" fontId="13" fillId="0" borderId="0"/>
    <xf numFmtId="170" fontId="13" fillId="0" borderId="0" applyNumberFormat="0"/>
    <xf numFmtId="170" fontId="13" fillId="0" borderId="0"/>
    <xf numFmtId="0" fontId="13" fillId="0" borderId="0"/>
    <xf numFmtId="170" fontId="1" fillId="0" borderId="0" applyFont="0" applyFill="0" applyBorder="0" applyAlignment="0" applyProtection="0"/>
    <xf numFmtId="0" fontId="1" fillId="0" borderId="0" applyFont="0" applyFill="0" applyBorder="0" applyAlignment="0" applyProtection="0"/>
    <xf numFmtId="178" fontId="37" fillId="0" borderId="0" applyFont="0" applyFill="0" applyBorder="0" applyAlignment="0" applyProtection="0"/>
    <xf numFmtId="170" fontId="13" fillId="0" borderId="0"/>
    <xf numFmtId="179" fontId="1" fillId="0" borderId="0" applyFont="0" applyFill="0" applyBorder="0" applyAlignment="0" applyProtection="0"/>
    <xf numFmtId="180" fontId="1" fillId="0" borderId="0" applyFont="0" applyFill="0" applyBorder="0" applyAlignment="0" applyProtection="0"/>
    <xf numFmtId="181" fontId="1" fillId="0" borderId="0" applyFont="0" applyFill="0" applyBorder="0" applyAlignment="0" applyProtection="0"/>
    <xf numFmtId="182" fontId="1" fillId="0" borderId="0" applyFont="0" applyFill="0" applyBorder="0" applyAlignment="0" applyProtection="0"/>
    <xf numFmtId="183" fontId="1"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13" fillId="0" borderId="0"/>
    <xf numFmtId="0" fontId="13" fillId="0" borderId="0"/>
    <xf numFmtId="170" fontId="1" fillId="0" borderId="0" applyFont="0" applyFill="0" applyBorder="0" applyAlignment="0" applyProtection="0"/>
    <xf numFmtId="0" fontId="1" fillId="0" borderId="0" applyFont="0" applyFill="0" applyBorder="0" applyAlignment="0" applyProtection="0"/>
    <xf numFmtId="170" fontId="13" fillId="0" borderId="0"/>
    <xf numFmtId="0" fontId="13" fillId="0" borderId="0"/>
    <xf numFmtId="170" fontId="46" fillId="0" borderId="0" applyFont="0" applyFill="0" applyBorder="0" applyAlignment="0" applyProtection="0"/>
    <xf numFmtId="0" fontId="46" fillId="0" borderId="0" applyFont="0" applyFill="0" applyBorder="0" applyAlignment="0" applyProtection="0"/>
    <xf numFmtId="170" fontId="37" fillId="0" borderId="0"/>
    <xf numFmtId="170" fontId="13" fillId="0" borderId="0"/>
    <xf numFmtId="170" fontId="13" fillId="0" borderId="0"/>
    <xf numFmtId="170" fontId="13" fillId="0" borderId="0"/>
    <xf numFmtId="0" fontId="13" fillId="0" borderId="0"/>
    <xf numFmtId="0" fontId="47" fillId="0" borderId="0"/>
    <xf numFmtId="170" fontId="37" fillId="0" borderId="0"/>
    <xf numFmtId="170" fontId="37" fillId="0" borderId="0"/>
    <xf numFmtId="170" fontId="37" fillId="0" borderId="0"/>
    <xf numFmtId="170" fontId="13" fillId="0" borderId="0"/>
    <xf numFmtId="170" fontId="13" fillId="0" borderId="0"/>
    <xf numFmtId="170" fontId="46" fillId="0" borderId="0" applyFont="0" applyFill="0" applyBorder="0" applyAlignment="0" applyProtection="0"/>
    <xf numFmtId="0" fontId="46" fillId="0" borderId="0" applyFont="0" applyFill="0" applyBorder="0" applyAlignment="0" applyProtection="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170" fontId="37" fillId="0" borderId="0" applyFont="0" applyFill="0" applyBorder="0" applyAlignment="0" applyProtection="0"/>
    <xf numFmtId="0" fontId="37" fillId="0" borderId="0" applyFont="0" applyFill="0" applyBorder="0" applyAlignment="0" applyProtection="0"/>
    <xf numFmtId="170" fontId="37" fillId="0" borderId="0" applyFont="0" applyFill="0" applyBorder="0" applyAlignment="0" applyProtection="0"/>
    <xf numFmtId="0" fontId="37" fillId="0" borderId="0" applyFont="0" applyFill="0" applyBorder="0" applyAlignment="0" applyProtection="0"/>
    <xf numFmtId="170" fontId="37" fillId="0" borderId="0" applyFont="0" applyFill="0" applyBorder="0" applyAlignment="0" applyProtection="0"/>
    <xf numFmtId="0" fontId="37" fillId="0" borderId="0" applyFont="0" applyFill="0" applyBorder="0" applyAlignment="0" applyProtection="0"/>
    <xf numFmtId="170" fontId="13" fillId="0" borderId="0"/>
    <xf numFmtId="170" fontId="13" fillId="0" borderId="0"/>
    <xf numFmtId="170" fontId="13" fillId="0" borderId="0"/>
    <xf numFmtId="170" fontId="13" fillId="0" borderId="0"/>
    <xf numFmtId="170" fontId="1" fillId="0" borderId="0" applyFont="0" applyFill="0" applyBorder="0" applyAlignment="0" applyProtection="0"/>
    <xf numFmtId="0" fontId="1" fillId="0" borderId="0" applyFont="0" applyFill="0" applyBorder="0" applyAlignment="0" applyProtection="0"/>
    <xf numFmtId="170" fontId="37" fillId="0" borderId="0" applyFont="0" applyFill="0" applyBorder="0" applyAlignment="0" applyProtection="0"/>
    <xf numFmtId="184" fontId="45" fillId="0" borderId="0" applyFont="0" applyFill="0" applyBorder="0" applyAlignment="0" applyProtection="0"/>
    <xf numFmtId="185" fontId="46"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68" fontId="48" fillId="0" borderId="0" applyFont="0" applyFill="0" applyBorder="0" applyAlignment="0" applyProtection="0"/>
    <xf numFmtId="170" fontId="13" fillId="0" borderId="0"/>
    <xf numFmtId="170" fontId="13" fillId="0" borderId="0"/>
    <xf numFmtId="170" fontId="13" fillId="0" borderId="0"/>
    <xf numFmtId="170" fontId="13" fillId="0" borderId="0"/>
    <xf numFmtId="170" fontId="13" fillId="0" borderId="0"/>
    <xf numFmtId="0" fontId="47" fillId="0" borderId="0"/>
    <xf numFmtId="170" fontId="37" fillId="0" borderId="0"/>
    <xf numFmtId="170" fontId="13" fillId="0" borderId="0"/>
    <xf numFmtId="170" fontId="13" fillId="0" borderId="0"/>
    <xf numFmtId="170" fontId="13" fillId="0" borderId="0"/>
    <xf numFmtId="170" fontId="13" fillId="0" borderId="0"/>
    <xf numFmtId="170" fontId="13" fillId="0" borderId="0"/>
    <xf numFmtId="170" fontId="13" fillId="0" borderId="0" applyNumberFormat="0"/>
    <xf numFmtId="170" fontId="13" fillId="0" borderId="0"/>
    <xf numFmtId="170" fontId="13" fillId="0" borderId="0"/>
    <xf numFmtId="170" fontId="37" fillId="0" borderId="0"/>
    <xf numFmtId="170" fontId="13" fillId="0" borderId="0"/>
    <xf numFmtId="0" fontId="13" fillId="0" borderId="0"/>
    <xf numFmtId="170" fontId="13" fillId="0" borderId="0"/>
    <xf numFmtId="0" fontId="13" fillId="0" borderId="0"/>
    <xf numFmtId="170" fontId="13" fillId="0" borderId="0"/>
    <xf numFmtId="0" fontId="13" fillId="0" borderId="0"/>
    <xf numFmtId="170" fontId="13" fillId="0" borderId="0"/>
    <xf numFmtId="0" fontId="13" fillId="0" borderId="0"/>
    <xf numFmtId="170" fontId="13" fillId="0" borderId="0"/>
    <xf numFmtId="170" fontId="13" fillId="0" borderId="0"/>
    <xf numFmtId="0" fontId="13" fillId="0" borderId="0"/>
    <xf numFmtId="170" fontId="13" fillId="0" borderId="0"/>
    <xf numFmtId="170" fontId="13" fillId="0" borderId="0"/>
    <xf numFmtId="170" fontId="37" fillId="0" borderId="0" applyFont="0" applyFill="0" applyBorder="0" applyAlignment="0" applyProtection="0"/>
    <xf numFmtId="170" fontId="37" fillId="0" borderId="0" applyFont="0" applyFill="0" applyBorder="0" applyAlignment="0" applyProtection="0"/>
    <xf numFmtId="0" fontId="49" fillId="0" borderId="0" applyNumberFormat="0" applyFill="0" applyBorder="0" applyAlignment="0" applyProtection="0">
      <alignment vertical="top"/>
      <protection locked="0"/>
    </xf>
    <xf numFmtId="0" fontId="13" fillId="0" borderId="0" applyFont="0" applyFill="0" applyBorder="0" applyAlignment="0" applyProtection="0"/>
    <xf numFmtId="0" fontId="13" fillId="0" borderId="0" applyFont="0" applyFill="0" applyBorder="0" applyAlignment="0" applyProtection="0"/>
    <xf numFmtId="10" fontId="50" fillId="0" borderId="0" applyFont="0" applyFill="0" applyBorder="0" applyAlignment="0" applyProtection="0"/>
    <xf numFmtId="170" fontId="51" fillId="0" borderId="0"/>
    <xf numFmtId="10" fontId="52" fillId="0" borderId="0" applyFont="0" applyFill="0" applyBorder="0" applyAlignment="0" applyProtection="0"/>
    <xf numFmtId="170" fontId="53" fillId="0" borderId="0" applyNumberFormat="0" applyFill="0" applyBorder="0" applyAlignment="0" applyProtection="0"/>
    <xf numFmtId="170" fontId="54" fillId="0" borderId="0" applyNumberFormat="0" applyFill="0" applyBorder="0" applyAlignment="0" applyProtection="0"/>
    <xf numFmtId="170" fontId="13" fillId="0" borderId="0"/>
    <xf numFmtId="0" fontId="13" fillId="0" borderId="0"/>
    <xf numFmtId="49" fontId="55" fillId="0" borderId="6" applyBorder="0">
      <alignment vertical="center"/>
    </xf>
    <xf numFmtId="170" fontId="56" fillId="0" borderId="10" applyProtection="0">
      <alignment horizontal="center" vertical="center"/>
    </xf>
    <xf numFmtId="170" fontId="56" fillId="0" borderId="10" applyProtection="0">
      <alignment horizontal="center" vertical="center"/>
    </xf>
    <xf numFmtId="49" fontId="55" fillId="0" borderId="6" applyBorder="0">
      <alignment vertical="center"/>
    </xf>
    <xf numFmtId="49" fontId="55" fillId="0" borderId="6" applyBorder="0">
      <alignment vertical="center"/>
    </xf>
    <xf numFmtId="49" fontId="55" fillId="0" borderId="6" applyBorder="0">
      <alignment vertical="center"/>
    </xf>
    <xf numFmtId="170" fontId="57" fillId="0" borderId="8"/>
    <xf numFmtId="4" fontId="58" fillId="0" borderId="59">
      <alignment vertical="center"/>
    </xf>
    <xf numFmtId="4" fontId="58" fillId="0" borderId="59">
      <alignment vertical="center"/>
    </xf>
    <xf numFmtId="4" fontId="58" fillId="0" borderId="59">
      <alignment vertical="center"/>
    </xf>
    <xf numFmtId="4" fontId="58" fillId="0" borderId="59">
      <alignment vertical="center"/>
    </xf>
    <xf numFmtId="4" fontId="58" fillId="0" borderId="59">
      <alignment vertical="center"/>
    </xf>
    <xf numFmtId="4" fontId="58" fillId="0" borderId="59">
      <alignment vertical="center"/>
    </xf>
    <xf numFmtId="4" fontId="58" fillId="0" borderId="59">
      <alignment vertical="center"/>
    </xf>
    <xf numFmtId="4" fontId="58" fillId="0" borderId="59">
      <alignment vertical="center"/>
    </xf>
    <xf numFmtId="4" fontId="58" fillId="0" borderId="59">
      <alignment vertical="center"/>
    </xf>
    <xf numFmtId="4" fontId="58" fillId="0" borderId="59">
      <alignment vertical="center"/>
    </xf>
    <xf numFmtId="4" fontId="58" fillId="0" borderId="59">
      <alignment vertical="center"/>
    </xf>
    <xf numFmtId="4" fontId="58" fillId="0" borderId="59">
      <alignment vertical="center"/>
    </xf>
    <xf numFmtId="4" fontId="58" fillId="0" borderId="59">
      <alignment vertical="center"/>
    </xf>
    <xf numFmtId="4" fontId="58" fillId="0" borderId="59">
      <alignment vertical="center"/>
    </xf>
    <xf numFmtId="4" fontId="58" fillId="0" borderId="59">
      <alignment vertical="center"/>
    </xf>
    <xf numFmtId="4" fontId="58" fillId="0" borderId="59">
      <alignment vertical="center"/>
    </xf>
    <xf numFmtId="4" fontId="58" fillId="0" borderId="59">
      <alignment vertical="center"/>
    </xf>
    <xf numFmtId="4" fontId="58" fillId="0" borderId="59">
      <alignment vertical="center"/>
    </xf>
    <xf numFmtId="4" fontId="58" fillId="0" borderId="59">
      <alignment vertical="center"/>
    </xf>
    <xf numFmtId="4" fontId="58" fillId="0" borderId="59">
      <alignment vertical="center"/>
    </xf>
    <xf numFmtId="4" fontId="58" fillId="0" borderId="59">
      <alignment vertical="center"/>
    </xf>
    <xf numFmtId="4" fontId="58" fillId="0" borderId="59">
      <alignment vertical="center"/>
    </xf>
    <xf numFmtId="4" fontId="58" fillId="0" borderId="59">
      <alignment vertical="center"/>
    </xf>
    <xf numFmtId="4" fontId="58" fillId="0" borderId="59">
      <alignment vertical="center"/>
    </xf>
    <xf numFmtId="4" fontId="58" fillId="0" borderId="59">
      <alignment vertical="center"/>
    </xf>
    <xf numFmtId="4" fontId="58" fillId="0" borderId="59">
      <alignment vertical="center"/>
    </xf>
    <xf numFmtId="4" fontId="58" fillId="0" borderId="59">
      <alignment vertical="center"/>
    </xf>
    <xf numFmtId="4" fontId="58" fillId="0" borderId="59">
      <alignment vertical="center"/>
    </xf>
    <xf numFmtId="4" fontId="58" fillId="0" borderId="59">
      <alignment vertical="center"/>
    </xf>
    <xf numFmtId="4" fontId="58" fillId="0" borderId="59">
      <alignment vertical="center"/>
    </xf>
    <xf numFmtId="4" fontId="58" fillId="0" borderId="59">
      <alignment vertical="center"/>
    </xf>
    <xf numFmtId="4" fontId="58" fillId="0" borderId="59">
      <alignment vertical="center"/>
    </xf>
    <xf numFmtId="4" fontId="58" fillId="0" borderId="59">
      <alignment vertical="center"/>
    </xf>
    <xf numFmtId="4" fontId="58" fillId="0" borderId="59">
      <alignment vertical="center"/>
    </xf>
    <xf numFmtId="9" fontId="59" fillId="0" borderId="0" applyFont="0" applyFill="0" applyBorder="0" applyAlignment="0" applyProtection="0"/>
    <xf numFmtId="10" fontId="60" fillId="0" borderId="0" applyFont="0" applyFill="0" applyBorder="0" applyAlignment="0" applyProtection="0"/>
    <xf numFmtId="0" fontId="61" fillId="41" borderId="0" applyNumberFormat="0" applyBorder="0" applyAlignment="0" applyProtection="0">
      <alignment vertical="center"/>
    </xf>
    <xf numFmtId="0" fontId="61" fillId="41" borderId="0" applyNumberFormat="0" applyBorder="0" applyAlignment="0" applyProtection="0">
      <alignment vertical="center"/>
    </xf>
    <xf numFmtId="0" fontId="62" fillId="41" borderId="0" applyNumberFormat="0" applyBorder="0" applyAlignment="0" applyProtection="0">
      <alignment vertical="center"/>
    </xf>
    <xf numFmtId="0" fontId="63" fillId="41" borderId="0" applyNumberFormat="0" applyBorder="0" applyAlignment="0" applyProtection="0">
      <alignment vertical="center"/>
    </xf>
    <xf numFmtId="0" fontId="61" fillId="41" borderId="0" applyNumberFormat="0" applyBorder="0" applyAlignment="0" applyProtection="0">
      <alignment vertical="center"/>
    </xf>
    <xf numFmtId="0" fontId="62" fillId="41" borderId="0" applyNumberFormat="0" applyBorder="0" applyAlignment="0" applyProtection="0">
      <alignment vertical="center"/>
    </xf>
    <xf numFmtId="0" fontId="64" fillId="42" borderId="0">
      <alignment vertical="center"/>
    </xf>
    <xf numFmtId="0" fontId="61" fillId="43" borderId="0" applyNumberFormat="0" applyBorder="0" applyAlignment="0" applyProtection="0">
      <alignment vertical="center"/>
    </xf>
    <xf numFmtId="0" fontId="61" fillId="43" borderId="0" applyNumberFormat="0" applyBorder="0" applyAlignment="0" applyProtection="0">
      <alignment vertical="center"/>
    </xf>
    <xf numFmtId="0" fontId="62" fillId="43" borderId="0" applyNumberFormat="0" applyBorder="0" applyAlignment="0" applyProtection="0">
      <alignment vertical="center"/>
    </xf>
    <xf numFmtId="0" fontId="63" fillId="43" borderId="0" applyNumberFormat="0" applyBorder="0" applyAlignment="0" applyProtection="0">
      <alignment vertical="center"/>
    </xf>
    <xf numFmtId="0" fontId="61" fillId="43" borderId="0" applyNumberFormat="0" applyBorder="0" applyAlignment="0" applyProtection="0">
      <alignment vertical="center"/>
    </xf>
    <xf numFmtId="0" fontId="62" fillId="43" borderId="0" applyNumberFormat="0" applyBorder="0" applyAlignment="0" applyProtection="0">
      <alignment vertical="center"/>
    </xf>
    <xf numFmtId="0" fontId="64" fillId="44" borderId="0">
      <alignment vertical="center"/>
    </xf>
    <xf numFmtId="0" fontId="61" fillId="45" borderId="0" applyNumberFormat="0" applyBorder="0" applyAlignment="0" applyProtection="0">
      <alignment vertical="center"/>
    </xf>
    <xf numFmtId="0" fontId="61" fillId="45" borderId="0" applyNumberFormat="0" applyBorder="0" applyAlignment="0" applyProtection="0">
      <alignment vertical="center"/>
    </xf>
    <xf numFmtId="0" fontId="62" fillId="45" borderId="0" applyNumberFormat="0" applyBorder="0" applyAlignment="0" applyProtection="0">
      <alignment vertical="center"/>
    </xf>
    <xf numFmtId="0" fontId="63" fillId="45" borderId="0" applyNumberFormat="0" applyBorder="0" applyAlignment="0" applyProtection="0">
      <alignment vertical="center"/>
    </xf>
    <xf numFmtId="0" fontId="61" fillId="45" borderId="0" applyNumberFormat="0" applyBorder="0" applyAlignment="0" applyProtection="0">
      <alignment vertical="center"/>
    </xf>
    <xf numFmtId="0" fontId="62" fillId="45" borderId="0" applyNumberFormat="0" applyBorder="0" applyAlignment="0" applyProtection="0">
      <alignment vertical="center"/>
    </xf>
    <xf numFmtId="0" fontId="64" fillId="46" borderId="0">
      <alignment vertical="center"/>
    </xf>
    <xf numFmtId="0" fontId="61" fillId="47" borderId="0" applyNumberFormat="0" applyBorder="0" applyAlignment="0" applyProtection="0">
      <alignment vertical="center"/>
    </xf>
    <xf numFmtId="0" fontId="61" fillId="47" borderId="0" applyNumberFormat="0" applyBorder="0" applyAlignment="0" applyProtection="0">
      <alignment vertical="center"/>
    </xf>
    <xf numFmtId="0" fontId="62" fillId="47" borderId="0" applyNumberFormat="0" applyBorder="0" applyAlignment="0" applyProtection="0">
      <alignment vertical="center"/>
    </xf>
    <xf numFmtId="0" fontId="63" fillId="47" borderId="0" applyNumberFormat="0" applyBorder="0" applyAlignment="0" applyProtection="0">
      <alignment vertical="center"/>
    </xf>
    <xf numFmtId="0" fontId="61" fillId="47" borderId="0" applyNumberFormat="0" applyBorder="0" applyAlignment="0" applyProtection="0">
      <alignment vertical="center"/>
    </xf>
    <xf numFmtId="0" fontId="62" fillId="47" borderId="0" applyNumberFormat="0" applyBorder="0" applyAlignment="0" applyProtection="0">
      <alignment vertical="center"/>
    </xf>
    <xf numFmtId="0" fontId="64" fillId="48" borderId="0">
      <alignment vertical="center"/>
    </xf>
    <xf numFmtId="0" fontId="61" fillId="49" borderId="0" applyNumberFormat="0" applyBorder="0" applyAlignment="0" applyProtection="0">
      <alignment vertical="center"/>
    </xf>
    <xf numFmtId="0" fontId="61" fillId="49" borderId="0" applyNumberFormat="0" applyBorder="0" applyAlignment="0" applyProtection="0">
      <alignment vertical="center"/>
    </xf>
    <xf numFmtId="0" fontId="62" fillId="49" borderId="0" applyNumberFormat="0" applyBorder="0" applyAlignment="0" applyProtection="0">
      <alignment vertical="center"/>
    </xf>
    <xf numFmtId="0" fontId="63" fillId="49" borderId="0" applyNumberFormat="0" applyBorder="0" applyAlignment="0" applyProtection="0">
      <alignment vertical="center"/>
    </xf>
    <xf numFmtId="0" fontId="61" fillId="49" borderId="0" applyNumberFormat="0" applyBorder="0" applyAlignment="0" applyProtection="0">
      <alignment vertical="center"/>
    </xf>
    <xf numFmtId="0" fontId="62" fillId="49" borderId="0" applyNumberFormat="0" applyBorder="0" applyAlignment="0" applyProtection="0">
      <alignment vertical="center"/>
    </xf>
    <xf numFmtId="0" fontId="64" fillId="50" borderId="0">
      <alignment vertical="center"/>
    </xf>
    <xf numFmtId="0" fontId="61" fillId="51" borderId="0" applyNumberFormat="0" applyBorder="0" applyAlignment="0" applyProtection="0">
      <alignment vertical="center"/>
    </xf>
    <xf numFmtId="0" fontId="61" fillId="51" borderId="0" applyNumberFormat="0" applyBorder="0" applyAlignment="0" applyProtection="0">
      <alignment vertical="center"/>
    </xf>
    <xf numFmtId="0" fontId="62" fillId="51" borderId="0" applyNumberFormat="0" applyBorder="0" applyAlignment="0" applyProtection="0">
      <alignment vertical="center"/>
    </xf>
    <xf numFmtId="0" fontId="63" fillId="51" borderId="0" applyNumberFormat="0" applyBorder="0" applyAlignment="0" applyProtection="0">
      <alignment vertical="center"/>
    </xf>
    <xf numFmtId="0" fontId="61" fillId="51" borderId="0" applyNumberFormat="0" applyBorder="0" applyAlignment="0" applyProtection="0">
      <alignment vertical="center"/>
    </xf>
    <xf numFmtId="0" fontId="62" fillId="51" borderId="0" applyNumberFormat="0" applyBorder="0" applyAlignment="0" applyProtection="0">
      <alignment vertical="center"/>
    </xf>
    <xf numFmtId="0" fontId="64" fillId="40" borderId="0">
      <alignment vertical="center"/>
    </xf>
    <xf numFmtId="0" fontId="65"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65"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65"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65"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65"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65"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65" fillId="11" borderId="0" applyNumberFormat="0" applyBorder="0" applyAlignment="0" applyProtection="0">
      <alignment vertical="center"/>
    </xf>
    <xf numFmtId="170" fontId="65" fillId="11" borderId="0" applyNumberFormat="0" applyBorder="0" applyAlignment="0" applyProtection="0">
      <alignment vertical="center"/>
    </xf>
    <xf numFmtId="170" fontId="65" fillId="11" borderId="0" applyNumberFormat="0" applyBorder="0" applyAlignment="0" applyProtection="0">
      <alignment vertical="center"/>
    </xf>
    <xf numFmtId="0" fontId="65" fillId="11" borderId="0" applyNumberFormat="0" applyBorder="0" applyAlignment="0" applyProtection="0">
      <alignment vertical="center"/>
    </xf>
    <xf numFmtId="0" fontId="65" fillId="11" borderId="0" applyNumberFormat="0" applyBorder="0" applyAlignment="0" applyProtection="0">
      <alignment vertical="center"/>
    </xf>
    <xf numFmtId="170" fontId="65" fillId="11" borderId="0" applyNumberFormat="0" applyBorder="0" applyAlignment="0" applyProtection="0">
      <alignment vertical="center"/>
    </xf>
    <xf numFmtId="170" fontId="65" fillId="11" borderId="0" applyNumberFormat="0" applyBorder="0" applyAlignment="0" applyProtection="0">
      <alignment vertical="center"/>
    </xf>
    <xf numFmtId="0" fontId="65" fillId="11" borderId="0" applyNumberFormat="0" applyBorder="0" applyAlignment="0" applyProtection="0">
      <alignment vertical="center"/>
    </xf>
    <xf numFmtId="0" fontId="65" fillId="11" borderId="0" applyNumberFormat="0" applyBorder="0" applyAlignment="0" applyProtection="0">
      <alignment vertical="center"/>
    </xf>
    <xf numFmtId="170" fontId="65" fillId="11" borderId="0" applyNumberFormat="0" applyBorder="0" applyAlignment="0" applyProtection="0">
      <alignment vertical="center"/>
    </xf>
    <xf numFmtId="0" fontId="65" fillId="11" borderId="0" applyNumberFormat="0" applyBorder="0" applyAlignment="0" applyProtection="0">
      <alignment vertical="center"/>
    </xf>
    <xf numFmtId="170" fontId="61" fillId="52" borderId="0" applyNumberFormat="0" applyBorder="0" applyAlignment="0" applyProtection="0">
      <alignment vertical="center"/>
    </xf>
    <xf numFmtId="0" fontId="66" fillId="4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65"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65" fillId="11" borderId="0" applyNumberFormat="0" applyBorder="0" applyAlignment="0" applyProtection="0">
      <alignment vertical="center"/>
    </xf>
    <xf numFmtId="0" fontId="17" fillId="11" borderId="0" applyNumberFormat="0" applyBorder="0" applyAlignment="0" applyProtection="0">
      <alignment vertical="center"/>
    </xf>
    <xf numFmtId="170" fontId="65" fillId="11" borderId="0" applyNumberFormat="0" applyBorder="0" applyAlignment="0" applyProtection="0">
      <alignment vertical="center"/>
    </xf>
    <xf numFmtId="0" fontId="17" fillId="11" borderId="0" applyNumberFormat="0" applyBorder="0" applyAlignment="0" applyProtection="0">
      <alignment vertical="center"/>
    </xf>
    <xf numFmtId="0" fontId="65" fillId="11" borderId="0" applyNumberFormat="0" applyBorder="0" applyAlignment="0" applyProtection="0">
      <alignment vertical="center"/>
    </xf>
    <xf numFmtId="0" fontId="17" fillId="11" borderId="0" applyNumberFormat="0" applyBorder="0" applyAlignment="0" applyProtection="0">
      <alignment vertical="center"/>
    </xf>
    <xf numFmtId="170" fontId="65"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65"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170" fontId="65" fillId="11" borderId="0" applyNumberFormat="0" applyBorder="0" applyAlignment="0" applyProtection="0">
      <alignment vertical="center"/>
    </xf>
    <xf numFmtId="0" fontId="17" fillId="11" borderId="0" applyNumberFormat="0" applyBorder="0" applyAlignment="0" applyProtection="0">
      <alignment vertical="center"/>
    </xf>
    <xf numFmtId="0" fontId="65" fillId="11" borderId="0" applyNumberFormat="0" applyBorder="0" applyAlignment="0" applyProtection="0">
      <alignment vertical="center"/>
    </xf>
    <xf numFmtId="0" fontId="17" fillId="11" borderId="0" applyNumberFormat="0" applyBorder="0" applyAlignment="0" applyProtection="0">
      <alignment vertical="center"/>
    </xf>
    <xf numFmtId="170" fontId="65"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65"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170" fontId="65" fillId="11" borderId="0" applyNumberFormat="0" applyBorder="0" applyAlignment="0" applyProtection="0">
      <alignment vertical="center"/>
    </xf>
    <xf numFmtId="0" fontId="17" fillId="11" borderId="0" applyNumberFormat="0" applyBorder="0" applyAlignment="0" applyProtection="0">
      <alignment vertical="center"/>
    </xf>
    <xf numFmtId="0" fontId="65"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170" fontId="61" fillId="4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65"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65"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65"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65"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65"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65"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65"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65"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65"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65"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65"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65"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65" fillId="15" borderId="0" applyNumberFormat="0" applyBorder="0" applyAlignment="0" applyProtection="0">
      <alignment vertical="center"/>
    </xf>
    <xf numFmtId="170" fontId="65" fillId="15" borderId="0" applyNumberFormat="0" applyBorder="0" applyAlignment="0" applyProtection="0">
      <alignment vertical="center"/>
    </xf>
    <xf numFmtId="170" fontId="65" fillId="15" borderId="0" applyNumberFormat="0" applyBorder="0" applyAlignment="0" applyProtection="0">
      <alignment vertical="center"/>
    </xf>
    <xf numFmtId="0" fontId="65" fillId="15" borderId="0" applyNumberFormat="0" applyBorder="0" applyAlignment="0" applyProtection="0">
      <alignment vertical="center"/>
    </xf>
    <xf numFmtId="0" fontId="65" fillId="15" borderId="0" applyNumberFormat="0" applyBorder="0" applyAlignment="0" applyProtection="0">
      <alignment vertical="center"/>
    </xf>
    <xf numFmtId="170" fontId="65" fillId="15" borderId="0" applyNumberFormat="0" applyBorder="0" applyAlignment="0" applyProtection="0">
      <alignment vertical="center"/>
    </xf>
    <xf numFmtId="170" fontId="65" fillId="15" borderId="0" applyNumberFormat="0" applyBorder="0" applyAlignment="0" applyProtection="0">
      <alignment vertical="center"/>
    </xf>
    <xf numFmtId="0" fontId="65" fillId="15" borderId="0" applyNumberFormat="0" applyBorder="0" applyAlignment="0" applyProtection="0">
      <alignment vertical="center"/>
    </xf>
    <xf numFmtId="0" fontId="65" fillId="15" borderId="0" applyNumberFormat="0" applyBorder="0" applyAlignment="0" applyProtection="0">
      <alignment vertical="center"/>
    </xf>
    <xf numFmtId="170" fontId="65" fillId="15" borderId="0" applyNumberFormat="0" applyBorder="0" applyAlignment="0" applyProtection="0">
      <alignment vertical="center"/>
    </xf>
    <xf numFmtId="0" fontId="65" fillId="15" borderId="0" applyNumberFormat="0" applyBorder="0" applyAlignment="0" applyProtection="0">
      <alignment vertical="center"/>
    </xf>
    <xf numFmtId="170" fontId="61" fillId="53" borderId="0" applyNumberFormat="0" applyBorder="0" applyAlignment="0" applyProtection="0">
      <alignment vertical="center"/>
    </xf>
    <xf numFmtId="0" fontId="66" fillId="43"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65"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65" fillId="15" borderId="0" applyNumberFormat="0" applyBorder="0" applyAlignment="0" applyProtection="0">
      <alignment vertical="center"/>
    </xf>
    <xf numFmtId="0" fontId="17" fillId="15" borderId="0" applyNumberFormat="0" applyBorder="0" applyAlignment="0" applyProtection="0">
      <alignment vertical="center"/>
    </xf>
    <xf numFmtId="170" fontId="65" fillId="15" borderId="0" applyNumberFormat="0" applyBorder="0" applyAlignment="0" applyProtection="0">
      <alignment vertical="center"/>
    </xf>
    <xf numFmtId="0" fontId="17" fillId="15" borderId="0" applyNumberFormat="0" applyBorder="0" applyAlignment="0" applyProtection="0">
      <alignment vertical="center"/>
    </xf>
    <xf numFmtId="0" fontId="65" fillId="15" borderId="0" applyNumberFormat="0" applyBorder="0" applyAlignment="0" applyProtection="0">
      <alignment vertical="center"/>
    </xf>
    <xf numFmtId="0" fontId="17" fillId="15" borderId="0" applyNumberFormat="0" applyBorder="0" applyAlignment="0" applyProtection="0">
      <alignment vertical="center"/>
    </xf>
    <xf numFmtId="170" fontId="65"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65"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170" fontId="65" fillId="15" borderId="0" applyNumberFormat="0" applyBorder="0" applyAlignment="0" applyProtection="0">
      <alignment vertical="center"/>
    </xf>
    <xf numFmtId="0" fontId="17" fillId="15" borderId="0" applyNumberFormat="0" applyBorder="0" applyAlignment="0" applyProtection="0">
      <alignment vertical="center"/>
    </xf>
    <xf numFmtId="0" fontId="65" fillId="15" borderId="0" applyNumberFormat="0" applyBorder="0" applyAlignment="0" applyProtection="0">
      <alignment vertical="center"/>
    </xf>
    <xf numFmtId="0" fontId="17" fillId="15" borderId="0" applyNumberFormat="0" applyBorder="0" applyAlignment="0" applyProtection="0">
      <alignment vertical="center"/>
    </xf>
    <xf numFmtId="170" fontId="65"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65"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170" fontId="65" fillId="15" borderId="0" applyNumberFormat="0" applyBorder="0" applyAlignment="0" applyProtection="0">
      <alignment vertical="center"/>
    </xf>
    <xf numFmtId="0" fontId="17" fillId="15" borderId="0" applyNumberFormat="0" applyBorder="0" applyAlignment="0" applyProtection="0">
      <alignment vertical="center"/>
    </xf>
    <xf numFmtId="0" fontId="65"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170" fontId="61" fillId="43"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65"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65"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65"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65"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65"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65"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65"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65"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65"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65"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65"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65"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65" fillId="19" borderId="0" applyNumberFormat="0" applyBorder="0" applyAlignment="0" applyProtection="0">
      <alignment vertical="center"/>
    </xf>
    <xf numFmtId="170" fontId="65" fillId="19" borderId="0" applyNumberFormat="0" applyBorder="0" applyAlignment="0" applyProtection="0">
      <alignment vertical="center"/>
    </xf>
    <xf numFmtId="170" fontId="65" fillId="19" borderId="0" applyNumberFormat="0" applyBorder="0" applyAlignment="0" applyProtection="0">
      <alignment vertical="center"/>
    </xf>
    <xf numFmtId="0" fontId="65" fillId="19" borderId="0" applyNumberFormat="0" applyBorder="0" applyAlignment="0" applyProtection="0">
      <alignment vertical="center"/>
    </xf>
    <xf numFmtId="0" fontId="65" fillId="19" borderId="0" applyNumberFormat="0" applyBorder="0" applyAlignment="0" applyProtection="0">
      <alignment vertical="center"/>
    </xf>
    <xf numFmtId="170" fontId="65" fillId="19" borderId="0" applyNumberFormat="0" applyBorder="0" applyAlignment="0" applyProtection="0">
      <alignment vertical="center"/>
    </xf>
    <xf numFmtId="170" fontId="65" fillId="19" borderId="0" applyNumberFormat="0" applyBorder="0" applyAlignment="0" applyProtection="0">
      <alignment vertical="center"/>
    </xf>
    <xf numFmtId="0" fontId="65" fillId="19" borderId="0" applyNumberFormat="0" applyBorder="0" applyAlignment="0" applyProtection="0">
      <alignment vertical="center"/>
    </xf>
    <xf numFmtId="0" fontId="65" fillId="19" borderId="0" applyNumberFormat="0" applyBorder="0" applyAlignment="0" applyProtection="0">
      <alignment vertical="center"/>
    </xf>
    <xf numFmtId="170" fontId="65" fillId="19" borderId="0" applyNumberFormat="0" applyBorder="0" applyAlignment="0" applyProtection="0">
      <alignment vertical="center"/>
    </xf>
    <xf numFmtId="0" fontId="65" fillId="19" borderId="0" applyNumberFormat="0" applyBorder="0" applyAlignment="0" applyProtection="0">
      <alignment vertical="center"/>
    </xf>
    <xf numFmtId="170" fontId="61" fillId="54" borderId="0" applyNumberFormat="0" applyBorder="0" applyAlignment="0" applyProtection="0">
      <alignment vertical="center"/>
    </xf>
    <xf numFmtId="0" fontId="66" fillId="45"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65"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65" fillId="19" borderId="0" applyNumberFormat="0" applyBorder="0" applyAlignment="0" applyProtection="0">
      <alignment vertical="center"/>
    </xf>
    <xf numFmtId="0" fontId="17" fillId="19" borderId="0" applyNumberFormat="0" applyBorder="0" applyAlignment="0" applyProtection="0">
      <alignment vertical="center"/>
    </xf>
    <xf numFmtId="170" fontId="65" fillId="19" borderId="0" applyNumberFormat="0" applyBorder="0" applyAlignment="0" applyProtection="0">
      <alignment vertical="center"/>
    </xf>
    <xf numFmtId="0" fontId="17" fillId="19" borderId="0" applyNumberFormat="0" applyBorder="0" applyAlignment="0" applyProtection="0">
      <alignment vertical="center"/>
    </xf>
    <xf numFmtId="0" fontId="65" fillId="19" borderId="0" applyNumberFormat="0" applyBorder="0" applyAlignment="0" applyProtection="0">
      <alignment vertical="center"/>
    </xf>
    <xf numFmtId="0" fontId="17" fillId="19" borderId="0" applyNumberFormat="0" applyBorder="0" applyAlignment="0" applyProtection="0">
      <alignment vertical="center"/>
    </xf>
    <xf numFmtId="170" fontId="65"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65"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170" fontId="65" fillId="19" borderId="0" applyNumberFormat="0" applyBorder="0" applyAlignment="0" applyProtection="0">
      <alignment vertical="center"/>
    </xf>
    <xf numFmtId="0" fontId="17" fillId="19" borderId="0" applyNumberFormat="0" applyBorder="0" applyAlignment="0" applyProtection="0">
      <alignment vertical="center"/>
    </xf>
    <xf numFmtId="0" fontId="65" fillId="19" borderId="0" applyNumberFormat="0" applyBorder="0" applyAlignment="0" applyProtection="0">
      <alignment vertical="center"/>
    </xf>
    <xf numFmtId="0" fontId="17" fillId="19" borderId="0" applyNumberFormat="0" applyBorder="0" applyAlignment="0" applyProtection="0">
      <alignment vertical="center"/>
    </xf>
    <xf numFmtId="170" fontId="65"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65"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170" fontId="65" fillId="19" borderId="0" applyNumberFormat="0" applyBorder="0" applyAlignment="0" applyProtection="0">
      <alignment vertical="center"/>
    </xf>
    <xf numFmtId="0" fontId="17" fillId="19" borderId="0" applyNumberFormat="0" applyBorder="0" applyAlignment="0" applyProtection="0">
      <alignment vertical="center"/>
    </xf>
    <xf numFmtId="0" fontId="65"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170" fontId="61" fillId="45"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65"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65"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65"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65"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65"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65"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65"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65"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65"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65"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65"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65"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65" fillId="23" borderId="0" applyNumberFormat="0" applyBorder="0" applyAlignment="0" applyProtection="0">
      <alignment vertical="center"/>
    </xf>
    <xf numFmtId="170" fontId="65" fillId="23" borderId="0" applyNumberFormat="0" applyBorder="0" applyAlignment="0" applyProtection="0">
      <alignment vertical="center"/>
    </xf>
    <xf numFmtId="170" fontId="65" fillId="23" borderId="0" applyNumberFormat="0" applyBorder="0" applyAlignment="0" applyProtection="0">
      <alignment vertical="center"/>
    </xf>
    <xf numFmtId="0" fontId="65" fillId="23" borderId="0" applyNumberFormat="0" applyBorder="0" applyAlignment="0" applyProtection="0">
      <alignment vertical="center"/>
    </xf>
    <xf numFmtId="0" fontId="65" fillId="23" borderId="0" applyNumberFormat="0" applyBorder="0" applyAlignment="0" applyProtection="0">
      <alignment vertical="center"/>
    </xf>
    <xf numFmtId="170" fontId="65" fillId="23" borderId="0" applyNumberFormat="0" applyBorder="0" applyAlignment="0" applyProtection="0">
      <alignment vertical="center"/>
    </xf>
    <xf numFmtId="170" fontId="65" fillId="23" borderId="0" applyNumberFormat="0" applyBorder="0" applyAlignment="0" applyProtection="0">
      <alignment vertical="center"/>
    </xf>
    <xf numFmtId="0" fontId="65" fillId="23" borderId="0" applyNumberFormat="0" applyBorder="0" applyAlignment="0" applyProtection="0">
      <alignment vertical="center"/>
    </xf>
    <xf numFmtId="0" fontId="65" fillId="23" borderId="0" applyNumberFormat="0" applyBorder="0" applyAlignment="0" applyProtection="0">
      <alignment vertical="center"/>
    </xf>
    <xf numFmtId="170" fontId="65" fillId="23" borderId="0" applyNumberFormat="0" applyBorder="0" applyAlignment="0" applyProtection="0">
      <alignment vertical="center"/>
    </xf>
    <xf numFmtId="0" fontId="65" fillId="23" borderId="0" applyNumberFormat="0" applyBorder="0" applyAlignment="0" applyProtection="0">
      <alignment vertical="center"/>
    </xf>
    <xf numFmtId="170" fontId="61" fillId="51" borderId="0" applyNumberFormat="0" applyBorder="0" applyAlignment="0" applyProtection="0">
      <alignment vertical="center"/>
    </xf>
    <xf numFmtId="0" fontId="66" fillId="47"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65"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65" fillId="23" borderId="0" applyNumberFormat="0" applyBorder="0" applyAlignment="0" applyProtection="0">
      <alignment vertical="center"/>
    </xf>
    <xf numFmtId="0" fontId="17" fillId="23" borderId="0" applyNumberFormat="0" applyBorder="0" applyAlignment="0" applyProtection="0">
      <alignment vertical="center"/>
    </xf>
    <xf numFmtId="170" fontId="65" fillId="23" borderId="0" applyNumberFormat="0" applyBorder="0" applyAlignment="0" applyProtection="0">
      <alignment vertical="center"/>
    </xf>
    <xf numFmtId="0" fontId="17" fillId="23" borderId="0" applyNumberFormat="0" applyBorder="0" applyAlignment="0" applyProtection="0">
      <alignment vertical="center"/>
    </xf>
    <xf numFmtId="0" fontId="65" fillId="23" borderId="0" applyNumberFormat="0" applyBorder="0" applyAlignment="0" applyProtection="0">
      <alignment vertical="center"/>
    </xf>
    <xf numFmtId="0" fontId="17" fillId="23" borderId="0" applyNumberFormat="0" applyBorder="0" applyAlignment="0" applyProtection="0">
      <alignment vertical="center"/>
    </xf>
    <xf numFmtId="170" fontId="65"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65"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170" fontId="65" fillId="23" borderId="0" applyNumberFormat="0" applyBorder="0" applyAlignment="0" applyProtection="0">
      <alignment vertical="center"/>
    </xf>
    <xf numFmtId="0" fontId="17" fillId="23" borderId="0" applyNumberFormat="0" applyBorder="0" applyAlignment="0" applyProtection="0">
      <alignment vertical="center"/>
    </xf>
    <xf numFmtId="0" fontId="65" fillId="23" borderId="0" applyNumberFormat="0" applyBorder="0" applyAlignment="0" applyProtection="0">
      <alignment vertical="center"/>
    </xf>
    <xf numFmtId="0" fontId="17" fillId="23" borderId="0" applyNumberFormat="0" applyBorder="0" applyAlignment="0" applyProtection="0">
      <alignment vertical="center"/>
    </xf>
    <xf numFmtId="170" fontId="65"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65"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170" fontId="65" fillId="23" borderId="0" applyNumberFormat="0" applyBorder="0" applyAlignment="0" applyProtection="0">
      <alignment vertical="center"/>
    </xf>
    <xf numFmtId="0" fontId="17" fillId="23" borderId="0" applyNumberFormat="0" applyBorder="0" applyAlignment="0" applyProtection="0">
      <alignment vertical="center"/>
    </xf>
    <xf numFmtId="0" fontId="65"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170" fontId="61" fillId="47"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65"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65"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65"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65"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65"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65"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65"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65"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65"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65"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65"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65"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65" fillId="27" borderId="0" applyNumberFormat="0" applyBorder="0" applyAlignment="0" applyProtection="0">
      <alignment vertical="center"/>
    </xf>
    <xf numFmtId="170" fontId="65" fillId="27" borderId="0" applyNumberFormat="0" applyBorder="0" applyAlignment="0" applyProtection="0">
      <alignment vertical="center"/>
    </xf>
    <xf numFmtId="170" fontId="65" fillId="27" borderId="0" applyNumberFormat="0" applyBorder="0" applyAlignment="0" applyProtection="0">
      <alignment vertical="center"/>
    </xf>
    <xf numFmtId="0" fontId="65" fillId="27" borderId="0" applyNumberFormat="0" applyBorder="0" applyAlignment="0" applyProtection="0">
      <alignment vertical="center"/>
    </xf>
    <xf numFmtId="0" fontId="65" fillId="27" borderId="0" applyNumberFormat="0" applyBorder="0" applyAlignment="0" applyProtection="0">
      <alignment vertical="center"/>
    </xf>
    <xf numFmtId="170" fontId="65" fillId="27" borderId="0" applyNumberFormat="0" applyBorder="0" applyAlignment="0" applyProtection="0">
      <alignment vertical="center"/>
    </xf>
    <xf numFmtId="170" fontId="65" fillId="27" borderId="0" applyNumberFormat="0" applyBorder="0" applyAlignment="0" applyProtection="0">
      <alignment vertical="center"/>
    </xf>
    <xf numFmtId="0" fontId="65" fillId="27" borderId="0" applyNumberFormat="0" applyBorder="0" applyAlignment="0" applyProtection="0">
      <alignment vertical="center"/>
    </xf>
    <xf numFmtId="0" fontId="65" fillId="27" borderId="0" applyNumberFormat="0" applyBorder="0" applyAlignment="0" applyProtection="0">
      <alignment vertical="center"/>
    </xf>
    <xf numFmtId="170" fontId="65" fillId="27" borderId="0" applyNumberFormat="0" applyBorder="0" applyAlignment="0" applyProtection="0">
      <alignment vertical="center"/>
    </xf>
    <xf numFmtId="0" fontId="65" fillId="27" borderId="0" applyNumberFormat="0" applyBorder="0" applyAlignment="0" applyProtection="0">
      <alignment vertical="center"/>
    </xf>
    <xf numFmtId="170" fontId="61" fillId="49" borderId="0" applyNumberFormat="0" applyBorder="0" applyAlignment="0" applyProtection="0">
      <alignment vertical="center"/>
    </xf>
    <xf numFmtId="0" fontId="66" fillId="49"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65"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65" fillId="27" borderId="0" applyNumberFormat="0" applyBorder="0" applyAlignment="0" applyProtection="0">
      <alignment vertical="center"/>
    </xf>
    <xf numFmtId="0" fontId="17" fillId="27" borderId="0" applyNumberFormat="0" applyBorder="0" applyAlignment="0" applyProtection="0">
      <alignment vertical="center"/>
    </xf>
    <xf numFmtId="170" fontId="65" fillId="27" borderId="0" applyNumberFormat="0" applyBorder="0" applyAlignment="0" applyProtection="0">
      <alignment vertical="center"/>
    </xf>
    <xf numFmtId="0" fontId="17" fillId="27" borderId="0" applyNumberFormat="0" applyBorder="0" applyAlignment="0" applyProtection="0">
      <alignment vertical="center"/>
    </xf>
    <xf numFmtId="0" fontId="65" fillId="27" borderId="0" applyNumberFormat="0" applyBorder="0" applyAlignment="0" applyProtection="0">
      <alignment vertical="center"/>
    </xf>
    <xf numFmtId="0" fontId="17" fillId="27" borderId="0" applyNumberFormat="0" applyBorder="0" applyAlignment="0" applyProtection="0">
      <alignment vertical="center"/>
    </xf>
    <xf numFmtId="170" fontId="65"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65"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170" fontId="65" fillId="27" borderId="0" applyNumberFormat="0" applyBorder="0" applyAlignment="0" applyProtection="0">
      <alignment vertical="center"/>
    </xf>
    <xf numFmtId="0" fontId="17" fillId="27" borderId="0" applyNumberFormat="0" applyBorder="0" applyAlignment="0" applyProtection="0">
      <alignment vertical="center"/>
    </xf>
    <xf numFmtId="0" fontId="65" fillId="27" borderId="0" applyNumberFormat="0" applyBorder="0" applyAlignment="0" applyProtection="0">
      <alignment vertical="center"/>
    </xf>
    <xf numFmtId="0" fontId="17" fillId="27" borderId="0" applyNumberFormat="0" applyBorder="0" applyAlignment="0" applyProtection="0">
      <alignment vertical="center"/>
    </xf>
    <xf numFmtId="170" fontId="65"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65"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170" fontId="65" fillId="27" borderId="0" applyNumberFormat="0" applyBorder="0" applyAlignment="0" applyProtection="0">
      <alignment vertical="center"/>
    </xf>
    <xf numFmtId="0" fontId="17" fillId="27" borderId="0" applyNumberFormat="0" applyBorder="0" applyAlignment="0" applyProtection="0">
      <alignment vertical="center"/>
    </xf>
    <xf numFmtId="0" fontId="65"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65"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65"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65"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65"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65"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65"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17" fillId="27" borderId="0" applyNumberFormat="0" applyBorder="0" applyAlignment="0" applyProtection="0">
      <alignment vertical="center"/>
    </xf>
    <xf numFmtId="0" fontId="65"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65"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65"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65"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65"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65"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65" fillId="31" borderId="0" applyNumberFormat="0" applyBorder="0" applyAlignment="0" applyProtection="0">
      <alignment vertical="center"/>
    </xf>
    <xf numFmtId="170" fontId="65" fillId="31" borderId="0" applyNumberFormat="0" applyBorder="0" applyAlignment="0" applyProtection="0">
      <alignment vertical="center"/>
    </xf>
    <xf numFmtId="170" fontId="65" fillId="31" borderId="0" applyNumberFormat="0" applyBorder="0" applyAlignment="0" applyProtection="0">
      <alignment vertical="center"/>
    </xf>
    <xf numFmtId="0" fontId="65" fillId="31" borderId="0" applyNumberFormat="0" applyBorder="0" applyAlignment="0" applyProtection="0">
      <alignment vertical="center"/>
    </xf>
    <xf numFmtId="0" fontId="65" fillId="31" borderId="0" applyNumberFormat="0" applyBorder="0" applyAlignment="0" applyProtection="0">
      <alignment vertical="center"/>
    </xf>
    <xf numFmtId="170" fontId="65" fillId="31" borderId="0" applyNumberFormat="0" applyBorder="0" applyAlignment="0" applyProtection="0">
      <alignment vertical="center"/>
    </xf>
    <xf numFmtId="170" fontId="65" fillId="31" borderId="0" applyNumberFormat="0" applyBorder="0" applyAlignment="0" applyProtection="0">
      <alignment vertical="center"/>
    </xf>
    <xf numFmtId="0" fontId="65" fillId="31" borderId="0" applyNumberFormat="0" applyBorder="0" applyAlignment="0" applyProtection="0">
      <alignment vertical="center"/>
    </xf>
    <xf numFmtId="0" fontId="65" fillId="31" borderId="0" applyNumberFormat="0" applyBorder="0" applyAlignment="0" applyProtection="0">
      <alignment vertical="center"/>
    </xf>
    <xf numFmtId="170" fontId="65" fillId="31" borderId="0" applyNumberFormat="0" applyBorder="0" applyAlignment="0" applyProtection="0">
      <alignment vertical="center"/>
    </xf>
    <xf numFmtId="0" fontId="65" fillId="31" borderId="0" applyNumberFormat="0" applyBorder="0" applyAlignment="0" applyProtection="0">
      <alignment vertical="center"/>
    </xf>
    <xf numFmtId="170" fontId="61" fillId="54" borderId="0" applyNumberFormat="0" applyBorder="0" applyAlignment="0" applyProtection="0">
      <alignment vertical="center"/>
    </xf>
    <xf numFmtId="0" fontId="66" fillId="5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65"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65" fillId="31" borderId="0" applyNumberFormat="0" applyBorder="0" applyAlignment="0" applyProtection="0">
      <alignment vertical="center"/>
    </xf>
    <xf numFmtId="0" fontId="17" fillId="31" borderId="0" applyNumberFormat="0" applyBorder="0" applyAlignment="0" applyProtection="0">
      <alignment vertical="center"/>
    </xf>
    <xf numFmtId="170" fontId="65" fillId="31" borderId="0" applyNumberFormat="0" applyBorder="0" applyAlignment="0" applyProtection="0">
      <alignment vertical="center"/>
    </xf>
    <xf numFmtId="0" fontId="17" fillId="31" borderId="0" applyNumberFormat="0" applyBorder="0" applyAlignment="0" applyProtection="0">
      <alignment vertical="center"/>
    </xf>
    <xf numFmtId="0" fontId="65" fillId="31" borderId="0" applyNumberFormat="0" applyBorder="0" applyAlignment="0" applyProtection="0">
      <alignment vertical="center"/>
    </xf>
    <xf numFmtId="0" fontId="17" fillId="31" borderId="0" applyNumberFormat="0" applyBorder="0" applyAlignment="0" applyProtection="0">
      <alignment vertical="center"/>
    </xf>
    <xf numFmtId="170" fontId="65"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65"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170" fontId="65" fillId="31" borderId="0" applyNumberFormat="0" applyBorder="0" applyAlignment="0" applyProtection="0">
      <alignment vertical="center"/>
    </xf>
    <xf numFmtId="0" fontId="17" fillId="31" borderId="0" applyNumberFormat="0" applyBorder="0" applyAlignment="0" applyProtection="0">
      <alignment vertical="center"/>
    </xf>
    <xf numFmtId="0" fontId="65" fillId="31" borderId="0" applyNumberFormat="0" applyBorder="0" applyAlignment="0" applyProtection="0">
      <alignment vertical="center"/>
    </xf>
    <xf numFmtId="0" fontId="17" fillId="31" borderId="0" applyNumberFormat="0" applyBorder="0" applyAlignment="0" applyProtection="0">
      <alignment vertical="center"/>
    </xf>
    <xf numFmtId="170" fontId="65"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65"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170" fontId="65" fillId="31" borderId="0" applyNumberFormat="0" applyBorder="0" applyAlignment="0" applyProtection="0">
      <alignment vertical="center"/>
    </xf>
    <xf numFmtId="0" fontId="17" fillId="31" borderId="0" applyNumberFormat="0" applyBorder="0" applyAlignment="0" applyProtection="0">
      <alignment vertical="center"/>
    </xf>
    <xf numFmtId="0" fontId="65"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170" fontId="61" fillId="5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65"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65"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65"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65"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65"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65"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17" fillId="31" borderId="0" applyNumberFormat="0" applyBorder="0" applyAlignment="0" applyProtection="0">
      <alignment vertical="center"/>
    </xf>
    <xf numFmtId="0" fontId="61" fillId="52" borderId="0" applyNumberFormat="0" applyBorder="0" applyAlignment="0" applyProtection="0">
      <alignment vertical="center"/>
    </xf>
    <xf numFmtId="0" fontId="61" fillId="52" borderId="0" applyNumberFormat="0" applyBorder="0" applyAlignment="0" applyProtection="0">
      <alignment vertical="center"/>
    </xf>
    <xf numFmtId="0" fontId="62" fillId="52" borderId="0" applyNumberFormat="0" applyBorder="0" applyAlignment="0" applyProtection="0">
      <alignment vertical="center"/>
    </xf>
    <xf numFmtId="0" fontId="63" fillId="52" borderId="0" applyNumberFormat="0" applyBorder="0" applyAlignment="0" applyProtection="0">
      <alignment vertical="center"/>
    </xf>
    <xf numFmtId="0" fontId="61" fillId="52" borderId="0" applyNumberFormat="0" applyBorder="0" applyAlignment="0" applyProtection="0">
      <alignment vertical="center"/>
    </xf>
    <xf numFmtId="0" fontId="62" fillId="52" borderId="0" applyNumberFormat="0" applyBorder="0" applyAlignment="0" applyProtection="0">
      <alignment vertical="center"/>
    </xf>
    <xf numFmtId="0" fontId="64" fillId="55" borderId="0">
      <alignment vertical="center"/>
    </xf>
    <xf numFmtId="0" fontId="61" fillId="53" borderId="0" applyNumberFormat="0" applyBorder="0" applyAlignment="0" applyProtection="0">
      <alignment vertical="center"/>
    </xf>
    <xf numFmtId="0" fontId="61" fillId="53" borderId="0" applyNumberFormat="0" applyBorder="0" applyAlignment="0" applyProtection="0">
      <alignment vertical="center"/>
    </xf>
    <xf numFmtId="0" fontId="62" fillId="53" borderId="0" applyNumberFormat="0" applyBorder="0" applyAlignment="0" applyProtection="0">
      <alignment vertical="center"/>
    </xf>
    <xf numFmtId="0" fontId="63" fillId="53" borderId="0" applyNumberFormat="0" applyBorder="0" applyAlignment="0" applyProtection="0">
      <alignment vertical="center"/>
    </xf>
    <xf numFmtId="0" fontId="61" fillId="53" borderId="0" applyNumberFormat="0" applyBorder="0" applyAlignment="0" applyProtection="0">
      <alignment vertical="center"/>
    </xf>
    <xf numFmtId="0" fontId="62" fillId="53" borderId="0" applyNumberFormat="0" applyBorder="0" applyAlignment="0" applyProtection="0">
      <alignment vertical="center"/>
    </xf>
    <xf numFmtId="0" fontId="64" fillId="56" borderId="0">
      <alignment vertical="center"/>
    </xf>
    <xf numFmtId="0" fontId="61" fillId="57" borderId="0" applyNumberFormat="0" applyBorder="0" applyAlignment="0" applyProtection="0">
      <alignment vertical="center"/>
    </xf>
    <xf numFmtId="0" fontId="61" fillId="57" borderId="0" applyNumberFormat="0" applyBorder="0" applyAlignment="0" applyProtection="0">
      <alignment vertical="center"/>
    </xf>
    <xf numFmtId="0" fontId="62" fillId="57" borderId="0" applyNumberFormat="0" applyBorder="0" applyAlignment="0" applyProtection="0">
      <alignment vertical="center"/>
    </xf>
    <xf numFmtId="0" fontId="63" fillId="57" borderId="0" applyNumberFormat="0" applyBorder="0" applyAlignment="0" applyProtection="0">
      <alignment vertical="center"/>
    </xf>
    <xf numFmtId="0" fontId="61" fillId="57" borderId="0" applyNumberFormat="0" applyBorder="0" applyAlignment="0" applyProtection="0">
      <alignment vertical="center"/>
    </xf>
    <xf numFmtId="0" fontId="62" fillId="57" borderId="0" applyNumberFormat="0" applyBorder="0" applyAlignment="0" applyProtection="0">
      <alignment vertical="center"/>
    </xf>
    <xf numFmtId="0" fontId="64" fillId="58" borderId="0">
      <alignment vertical="center"/>
    </xf>
    <xf numFmtId="0" fontId="61" fillId="47" borderId="0" applyNumberFormat="0" applyBorder="0" applyAlignment="0" applyProtection="0">
      <alignment vertical="center"/>
    </xf>
    <xf numFmtId="0" fontId="61" fillId="47" borderId="0" applyNumberFormat="0" applyBorder="0" applyAlignment="0" applyProtection="0">
      <alignment vertical="center"/>
    </xf>
    <xf numFmtId="0" fontId="62" fillId="47" borderId="0" applyNumberFormat="0" applyBorder="0" applyAlignment="0" applyProtection="0">
      <alignment vertical="center"/>
    </xf>
    <xf numFmtId="0" fontId="63" fillId="47" borderId="0" applyNumberFormat="0" applyBorder="0" applyAlignment="0" applyProtection="0">
      <alignment vertical="center"/>
    </xf>
    <xf numFmtId="0" fontId="61" fillId="47" borderId="0" applyNumberFormat="0" applyBorder="0" applyAlignment="0" applyProtection="0">
      <alignment vertical="center"/>
    </xf>
    <xf numFmtId="0" fontId="62" fillId="47" borderId="0" applyNumberFormat="0" applyBorder="0" applyAlignment="0" applyProtection="0">
      <alignment vertical="center"/>
    </xf>
    <xf numFmtId="0" fontId="64" fillId="48" borderId="0">
      <alignment vertical="center"/>
    </xf>
    <xf numFmtId="0" fontId="61" fillId="52" borderId="0" applyNumberFormat="0" applyBorder="0" applyAlignment="0" applyProtection="0">
      <alignment vertical="center"/>
    </xf>
    <xf numFmtId="0" fontId="61" fillId="52" borderId="0" applyNumberFormat="0" applyBorder="0" applyAlignment="0" applyProtection="0">
      <alignment vertical="center"/>
    </xf>
    <xf numFmtId="0" fontId="62" fillId="52" borderId="0" applyNumberFormat="0" applyBorder="0" applyAlignment="0" applyProtection="0">
      <alignment vertical="center"/>
    </xf>
    <xf numFmtId="0" fontId="63" fillId="52" borderId="0" applyNumberFormat="0" applyBorder="0" applyAlignment="0" applyProtection="0">
      <alignment vertical="center"/>
    </xf>
    <xf numFmtId="0" fontId="61" fillId="52" borderId="0" applyNumberFormat="0" applyBorder="0" applyAlignment="0" applyProtection="0">
      <alignment vertical="center"/>
    </xf>
    <xf numFmtId="0" fontId="62" fillId="52" borderId="0" applyNumberFormat="0" applyBorder="0" applyAlignment="0" applyProtection="0">
      <alignment vertical="center"/>
    </xf>
    <xf numFmtId="0" fontId="64" fillId="55" borderId="0">
      <alignment vertical="center"/>
    </xf>
    <xf numFmtId="0" fontId="61" fillId="59" borderId="0" applyNumberFormat="0" applyBorder="0" applyAlignment="0" applyProtection="0">
      <alignment vertical="center"/>
    </xf>
    <xf numFmtId="0" fontId="61" fillId="59" borderId="0" applyNumberFormat="0" applyBorder="0" applyAlignment="0" applyProtection="0">
      <alignment vertical="center"/>
    </xf>
    <xf numFmtId="0" fontId="62" fillId="59" borderId="0" applyNumberFormat="0" applyBorder="0" applyAlignment="0" applyProtection="0">
      <alignment vertical="center"/>
    </xf>
    <xf numFmtId="0" fontId="63" fillId="59" borderId="0" applyNumberFormat="0" applyBorder="0" applyAlignment="0" applyProtection="0">
      <alignment vertical="center"/>
    </xf>
    <xf numFmtId="0" fontId="61" fillId="59" borderId="0" applyNumberFormat="0" applyBorder="0" applyAlignment="0" applyProtection="0">
      <alignment vertical="center"/>
    </xf>
    <xf numFmtId="0" fontId="62" fillId="59" borderId="0" applyNumberFormat="0" applyBorder="0" applyAlignment="0" applyProtection="0">
      <alignment vertical="center"/>
    </xf>
    <xf numFmtId="0" fontId="64" fillId="60" borderId="0">
      <alignment vertical="center"/>
    </xf>
    <xf numFmtId="0" fontId="65"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65"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65"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65"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65"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65"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65" fillId="12" borderId="0" applyNumberFormat="0" applyBorder="0" applyAlignment="0" applyProtection="0">
      <alignment vertical="center"/>
    </xf>
    <xf numFmtId="170" fontId="65" fillId="12" borderId="0" applyNumberFormat="0" applyBorder="0" applyAlignment="0" applyProtection="0">
      <alignment vertical="center"/>
    </xf>
    <xf numFmtId="170" fontId="65" fillId="12" borderId="0" applyNumberFormat="0" applyBorder="0" applyAlignment="0" applyProtection="0">
      <alignment vertical="center"/>
    </xf>
    <xf numFmtId="0" fontId="65" fillId="12" borderId="0" applyNumberFormat="0" applyBorder="0" applyAlignment="0" applyProtection="0">
      <alignment vertical="center"/>
    </xf>
    <xf numFmtId="0" fontId="65" fillId="12" borderId="0" applyNumberFormat="0" applyBorder="0" applyAlignment="0" applyProtection="0">
      <alignment vertical="center"/>
    </xf>
    <xf numFmtId="170" fontId="65" fillId="12" borderId="0" applyNumberFormat="0" applyBorder="0" applyAlignment="0" applyProtection="0">
      <alignment vertical="center"/>
    </xf>
    <xf numFmtId="170" fontId="65" fillId="12" borderId="0" applyNumberFormat="0" applyBorder="0" applyAlignment="0" applyProtection="0">
      <alignment vertical="center"/>
    </xf>
    <xf numFmtId="0" fontId="65" fillId="12" borderId="0" applyNumberFormat="0" applyBorder="0" applyAlignment="0" applyProtection="0">
      <alignment vertical="center"/>
    </xf>
    <xf numFmtId="0" fontId="65" fillId="12" borderId="0" applyNumberFormat="0" applyBorder="0" applyAlignment="0" applyProtection="0">
      <alignment vertical="center"/>
    </xf>
    <xf numFmtId="170" fontId="65" fillId="12" borderId="0" applyNumberFormat="0" applyBorder="0" applyAlignment="0" applyProtection="0">
      <alignment vertical="center"/>
    </xf>
    <xf numFmtId="0" fontId="65" fillId="12" borderId="0" applyNumberFormat="0" applyBorder="0" applyAlignment="0" applyProtection="0">
      <alignment vertical="center"/>
    </xf>
    <xf numFmtId="170" fontId="61" fillId="49" borderId="0" applyNumberFormat="0" applyBorder="0" applyAlignment="0" applyProtection="0">
      <alignment vertical="center"/>
    </xf>
    <xf numFmtId="0" fontId="66" fillId="5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65"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65" fillId="12" borderId="0" applyNumberFormat="0" applyBorder="0" applyAlignment="0" applyProtection="0">
      <alignment vertical="center"/>
    </xf>
    <xf numFmtId="0" fontId="17" fillId="12" borderId="0" applyNumberFormat="0" applyBorder="0" applyAlignment="0" applyProtection="0">
      <alignment vertical="center"/>
    </xf>
    <xf numFmtId="170" fontId="65" fillId="12" borderId="0" applyNumberFormat="0" applyBorder="0" applyAlignment="0" applyProtection="0">
      <alignment vertical="center"/>
    </xf>
    <xf numFmtId="0" fontId="17" fillId="12" borderId="0" applyNumberFormat="0" applyBorder="0" applyAlignment="0" applyProtection="0">
      <alignment vertical="center"/>
    </xf>
    <xf numFmtId="0" fontId="65" fillId="12" borderId="0" applyNumberFormat="0" applyBorder="0" applyAlignment="0" applyProtection="0">
      <alignment vertical="center"/>
    </xf>
    <xf numFmtId="0" fontId="17" fillId="12" borderId="0" applyNumberFormat="0" applyBorder="0" applyAlignment="0" applyProtection="0">
      <alignment vertical="center"/>
    </xf>
    <xf numFmtId="170" fontId="65"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65"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170" fontId="65" fillId="12" borderId="0" applyNumberFormat="0" applyBorder="0" applyAlignment="0" applyProtection="0">
      <alignment vertical="center"/>
    </xf>
    <xf numFmtId="0" fontId="17" fillId="12" borderId="0" applyNumberFormat="0" applyBorder="0" applyAlignment="0" applyProtection="0">
      <alignment vertical="center"/>
    </xf>
    <xf numFmtId="0" fontId="65" fillId="12" borderId="0" applyNumberFormat="0" applyBorder="0" applyAlignment="0" applyProtection="0">
      <alignment vertical="center"/>
    </xf>
    <xf numFmtId="0" fontId="17" fillId="12" borderId="0" applyNumberFormat="0" applyBorder="0" applyAlignment="0" applyProtection="0">
      <alignment vertical="center"/>
    </xf>
    <xf numFmtId="170" fontId="65"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65"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170" fontId="65" fillId="12" borderId="0" applyNumberFormat="0" applyBorder="0" applyAlignment="0" applyProtection="0">
      <alignment vertical="center"/>
    </xf>
    <xf numFmtId="0" fontId="17" fillId="12" borderId="0" applyNumberFormat="0" applyBorder="0" applyAlignment="0" applyProtection="0">
      <alignment vertical="center"/>
    </xf>
    <xf numFmtId="0" fontId="65"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170" fontId="61" fillId="5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65"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65"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65"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65"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65"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65"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65"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65"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65"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65"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65"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65"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65" fillId="16" borderId="0" applyNumberFormat="0" applyBorder="0" applyAlignment="0" applyProtection="0">
      <alignment vertical="center"/>
    </xf>
    <xf numFmtId="170" fontId="65" fillId="16" borderId="0" applyNumberFormat="0" applyBorder="0" applyAlignment="0" applyProtection="0">
      <alignment vertical="center"/>
    </xf>
    <xf numFmtId="170" fontId="65" fillId="16" borderId="0" applyNumberFormat="0" applyBorder="0" applyAlignment="0" applyProtection="0">
      <alignment vertical="center"/>
    </xf>
    <xf numFmtId="0" fontId="65" fillId="16" borderId="0" applyNumberFormat="0" applyBorder="0" applyAlignment="0" applyProtection="0">
      <alignment vertical="center"/>
    </xf>
    <xf numFmtId="0" fontId="65" fillId="16" borderId="0" applyNumberFormat="0" applyBorder="0" applyAlignment="0" applyProtection="0">
      <alignment vertical="center"/>
    </xf>
    <xf numFmtId="170" fontId="65" fillId="16" borderId="0" applyNumberFormat="0" applyBorder="0" applyAlignment="0" applyProtection="0">
      <alignment vertical="center"/>
    </xf>
    <xf numFmtId="170" fontId="65" fillId="16" borderId="0" applyNumberFormat="0" applyBorder="0" applyAlignment="0" applyProtection="0">
      <alignment vertical="center"/>
    </xf>
    <xf numFmtId="0" fontId="65" fillId="16" borderId="0" applyNumberFormat="0" applyBorder="0" applyAlignment="0" applyProtection="0">
      <alignment vertical="center"/>
    </xf>
    <xf numFmtId="0" fontId="65" fillId="16" borderId="0" applyNumberFormat="0" applyBorder="0" applyAlignment="0" applyProtection="0">
      <alignment vertical="center"/>
    </xf>
    <xf numFmtId="170" fontId="65" fillId="16" borderId="0" applyNumberFormat="0" applyBorder="0" applyAlignment="0" applyProtection="0">
      <alignment vertical="center"/>
    </xf>
    <xf numFmtId="0" fontId="65" fillId="16" borderId="0" applyNumberFormat="0" applyBorder="0" applyAlignment="0" applyProtection="0">
      <alignment vertical="center"/>
    </xf>
    <xf numFmtId="170" fontId="61" fillId="53" borderId="0" applyNumberFormat="0" applyBorder="0" applyAlignment="0" applyProtection="0">
      <alignment vertical="center"/>
    </xf>
    <xf numFmtId="0" fontId="66" fillId="53"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65"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65" fillId="16" borderId="0" applyNumberFormat="0" applyBorder="0" applyAlignment="0" applyProtection="0">
      <alignment vertical="center"/>
    </xf>
    <xf numFmtId="0" fontId="17" fillId="16" borderId="0" applyNumberFormat="0" applyBorder="0" applyAlignment="0" applyProtection="0">
      <alignment vertical="center"/>
    </xf>
    <xf numFmtId="170" fontId="65" fillId="16" borderId="0" applyNumberFormat="0" applyBorder="0" applyAlignment="0" applyProtection="0">
      <alignment vertical="center"/>
    </xf>
    <xf numFmtId="0" fontId="17" fillId="16" borderId="0" applyNumberFormat="0" applyBorder="0" applyAlignment="0" applyProtection="0">
      <alignment vertical="center"/>
    </xf>
    <xf numFmtId="0" fontId="65" fillId="16" borderId="0" applyNumberFormat="0" applyBorder="0" applyAlignment="0" applyProtection="0">
      <alignment vertical="center"/>
    </xf>
    <xf numFmtId="0" fontId="17" fillId="16" borderId="0" applyNumberFormat="0" applyBorder="0" applyAlignment="0" applyProtection="0">
      <alignment vertical="center"/>
    </xf>
    <xf numFmtId="170" fontId="65"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65"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170" fontId="65" fillId="16" borderId="0" applyNumberFormat="0" applyBorder="0" applyAlignment="0" applyProtection="0">
      <alignment vertical="center"/>
    </xf>
    <xf numFmtId="0" fontId="17" fillId="16" borderId="0" applyNumberFormat="0" applyBorder="0" applyAlignment="0" applyProtection="0">
      <alignment vertical="center"/>
    </xf>
    <xf numFmtId="0" fontId="65" fillId="16" borderId="0" applyNumberFormat="0" applyBorder="0" applyAlignment="0" applyProtection="0">
      <alignment vertical="center"/>
    </xf>
    <xf numFmtId="0" fontId="17" fillId="16" borderId="0" applyNumberFormat="0" applyBorder="0" applyAlignment="0" applyProtection="0">
      <alignment vertical="center"/>
    </xf>
    <xf numFmtId="170" fontId="65"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65"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170" fontId="65" fillId="16" borderId="0" applyNumberFormat="0" applyBorder="0" applyAlignment="0" applyProtection="0">
      <alignment vertical="center"/>
    </xf>
    <xf numFmtId="0" fontId="17" fillId="16" borderId="0" applyNumberFormat="0" applyBorder="0" applyAlignment="0" applyProtection="0">
      <alignment vertical="center"/>
    </xf>
    <xf numFmtId="0" fontId="65"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65"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65"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65"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65"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65"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65"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65"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65"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65"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65"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65"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65"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65" fillId="20" borderId="0" applyNumberFormat="0" applyBorder="0" applyAlignment="0" applyProtection="0">
      <alignment vertical="center"/>
    </xf>
    <xf numFmtId="170" fontId="65" fillId="20" borderId="0" applyNumberFormat="0" applyBorder="0" applyAlignment="0" applyProtection="0">
      <alignment vertical="center"/>
    </xf>
    <xf numFmtId="170" fontId="65" fillId="20" borderId="0" applyNumberFormat="0" applyBorder="0" applyAlignment="0" applyProtection="0">
      <alignment vertical="center"/>
    </xf>
    <xf numFmtId="0" fontId="65" fillId="20" borderId="0" applyNumberFormat="0" applyBorder="0" applyAlignment="0" applyProtection="0">
      <alignment vertical="center"/>
    </xf>
    <xf numFmtId="0" fontId="65" fillId="20" borderId="0" applyNumberFormat="0" applyBorder="0" applyAlignment="0" applyProtection="0">
      <alignment vertical="center"/>
    </xf>
    <xf numFmtId="170" fontId="65" fillId="20" borderId="0" applyNumberFormat="0" applyBorder="0" applyAlignment="0" applyProtection="0">
      <alignment vertical="center"/>
    </xf>
    <xf numFmtId="170" fontId="65" fillId="20" borderId="0" applyNumberFormat="0" applyBorder="0" applyAlignment="0" applyProtection="0">
      <alignment vertical="center"/>
    </xf>
    <xf numFmtId="0" fontId="65" fillId="20" borderId="0" applyNumberFormat="0" applyBorder="0" applyAlignment="0" applyProtection="0">
      <alignment vertical="center"/>
    </xf>
    <xf numFmtId="0" fontId="65" fillId="20" borderId="0" applyNumberFormat="0" applyBorder="0" applyAlignment="0" applyProtection="0">
      <alignment vertical="center"/>
    </xf>
    <xf numFmtId="170" fontId="65" fillId="20" borderId="0" applyNumberFormat="0" applyBorder="0" applyAlignment="0" applyProtection="0">
      <alignment vertical="center"/>
    </xf>
    <xf numFmtId="0" fontId="65" fillId="20" borderId="0" applyNumberFormat="0" applyBorder="0" applyAlignment="0" applyProtection="0">
      <alignment vertical="center"/>
    </xf>
    <xf numFmtId="170" fontId="61" fillId="61" borderId="0" applyNumberFormat="0" applyBorder="0" applyAlignment="0" applyProtection="0">
      <alignment vertical="center"/>
    </xf>
    <xf numFmtId="0" fontId="66" fillId="57"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65"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65" fillId="20" borderId="0" applyNumberFormat="0" applyBorder="0" applyAlignment="0" applyProtection="0">
      <alignment vertical="center"/>
    </xf>
    <xf numFmtId="0" fontId="17" fillId="20" borderId="0" applyNumberFormat="0" applyBorder="0" applyAlignment="0" applyProtection="0">
      <alignment vertical="center"/>
    </xf>
    <xf numFmtId="170" fontId="65" fillId="20" borderId="0" applyNumberFormat="0" applyBorder="0" applyAlignment="0" applyProtection="0">
      <alignment vertical="center"/>
    </xf>
    <xf numFmtId="0" fontId="17" fillId="20" borderId="0" applyNumberFormat="0" applyBorder="0" applyAlignment="0" applyProtection="0">
      <alignment vertical="center"/>
    </xf>
    <xf numFmtId="0" fontId="65" fillId="20" borderId="0" applyNumberFormat="0" applyBorder="0" applyAlignment="0" applyProtection="0">
      <alignment vertical="center"/>
    </xf>
    <xf numFmtId="0" fontId="17" fillId="20" borderId="0" applyNumberFormat="0" applyBorder="0" applyAlignment="0" applyProtection="0">
      <alignment vertical="center"/>
    </xf>
    <xf numFmtId="170" fontId="65"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65"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170" fontId="65" fillId="20" borderId="0" applyNumberFormat="0" applyBorder="0" applyAlignment="0" applyProtection="0">
      <alignment vertical="center"/>
    </xf>
    <xf numFmtId="0" fontId="17" fillId="20" borderId="0" applyNumberFormat="0" applyBorder="0" applyAlignment="0" applyProtection="0">
      <alignment vertical="center"/>
    </xf>
    <xf numFmtId="0" fontId="65" fillId="20" borderId="0" applyNumberFormat="0" applyBorder="0" applyAlignment="0" applyProtection="0">
      <alignment vertical="center"/>
    </xf>
    <xf numFmtId="0" fontId="17" fillId="20" borderId="0" applyNumberFormat="0" applyBorder="0" applyAlignment="0" applyProtection="0">
      <alignment vertical="center"/>
    </xf>
    <xf numFmtId="170" fontId="65"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65"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170" fontId="65" fillId="20" borderId="0" applyNumberFormat="0" applyBorder="0" applyAlignment="0" applyProtection="0">
      <alignment vertical="center"/>
    </xf>
    <xf numFmtId="0" fontId="17" fillId="20" borderId="0" applyNumberFormat="0" applyBorder="0" applyAlignment="0" applyProtection="0">
      <alignment vertical="center"/>
    </xf>
    <xf numFmtId="0" fontId="65"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170" fontId="61" fillId="57"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65"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65"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65"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65"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65"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65"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65"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65"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65"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65"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65"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65"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65" fillId="24" borderId="0" applyNumberFormat="0" applyBorder="0" applyAlignment="0" applyProtection="0">
      <alignment vertical="center"/>
    </xf>
    <xf numFmtId="170" fontId="65" fillId="24" borderId="0" applyNumberFormat="0" applyBorder="0" applyAlignment="0" applyProtection="0">
      <alignment vertical="center"/>
    </xf>
    <xf numFmtId="170" fontId="65" fillId="24" borderId="0" applyNumberFormat="0" applyBorder="0" applyAlignment="0" applyProtection="0">
      <alignment vertical="center"/>
    </xf>
    <xf numFmtId="0" fontId="65" fillId="24" borderId="0" applyNumberFormat="0" applyBorder="0" applyAlignment="0" applyProtection="0">
      <alignment vertical="center"/>
    </xf>
    <xf numFmtId="0" fontId="65" fillId="24" borderId="0" applyNumberFormat="0" applyBorder="0" applyAlignment="0" applyProtection="0">
      <alignment vertical="center"/>
    </xf>
    <xf numFmtId="170" fontId="65" fillId="24" borderId="0" applyNumberFormat="0" applyBorder="0" applyAlignment="0" applyProtection="0">
      <alignment vertical="center"/>
    </xf>
    <xf numFmtId="170" fontId="65" fillId="24" borderId="0" applyNumberFormat="0" applyBorder="0" applyAlignment="0" applyProtection="0">
      <alignment vertical="center"/>
    </xf>
    <xf numFmtId="0" fontId="65" fillId="24" borderId="0" applyNumberFormat="0" applyBorder="0" applyAlignment="0" applyProtection="0">
      <alignment vertical="center"/>
    </xf>
    <xf numFmtId="0" fontId="65" fillId="24" borderId="0" applyNumberFormat="0" applyBorder="0" applyAlignment="0" applyProtection="0">
      <alignment vertical="center"/>
    </xf>
    <xf numFmtId="170" fontId="65" fillId="24" borderId="0" applyNumberFormat="0" applyBorder="0" applyAlignment="0" applyProtection="0">
      <alignment vertical="center"/>
    </xf>
    <xf numFmtId="0" fontId="65" fillId="24" borderId="0" applyNumberFormat="0" applyBorder="0" applyAlignment="0" applyProtection="0">
      <alignment vertical="center"/>
    </xf>
    <xf numFmtId="170" fontId="61" fillId="43" borderId="0" applyNumberFormat="0" applyBorder="0" applyAlignment="0" applyProtection="0">
      <alignment vertical="center"/>
    </xf>
    <xf numFmtId="0" fontId="66" fillId="47"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65"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65" fillId="24" borderId="0" applyNumberFormat="0" applyBorder="0" applyAlignment="0" applyProtection="0">
      <alignment vertical="center"/>
    </xf>
    <xf numFmtId="0" fontId="17" fillId="24" borderId="0" applyNumberFormat="0" applyBorder="0" applyAlignment="0" applyProtection="0">
      <alignment vertical="center"/>
    </xf>
    <xf numFmtId="170" fontId="65" fillId="24" borderId="0" applyNumberFormat="0" applyBorder="0" applyAlignment="0" applyProtection="0">
      <alignment vertical="center"/>
    </xf>
    <xf numFmtId="0" fontId="17" fillId="24" borderId="0" applyNumberFormat="0" applyBorder="0" applyAlignment="0" applyProtection="0">
      <alignment vertical="center"/>
    </xf>
    <xf numFmtId="0" fontId="65" fillId="24" borderId="0" applyNumberFormat="0" applyBorder="0" applyAlignment="0" applyProtection="0">
      <alignment vertical="center"/>
    </xf>
    <xf numFmtId="0" fontId="17" fillId="24" borderId="0" applyNumberFormat="0" applyBorder="0" applyAlignment="0" applyProtection="0">
      <alignment vertical="center"/>
    </xf>
    <xf numFmtId="170" fontId="65"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65"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170" fontId="65" fillId="24" borderId="0" applyNumberFormat="0" applyBorder="0" applyAlignment="0" applyProtection="0">
      <alignment vertical="center"/>
    </xf>
    <xf numFmtId="0" fontId="17" fillId="24" borderId="0" applyNumberFormat="0" applyBorder="0" applyAlignment="0" applyProtection="0">
      <alignment vertical="center"/>
    </xf>
    <xf numFmtId="0" fontId="65" fillId="24" borderId="0" applyNumberFormat="0" applyBorder="0" applyAlignment="0" applyProtection="0">
      <alignment vertical="center"/>
    </xf>
    <xf numFmtId="0" fontId="17" fillId="24" borderId="0" applyNumberFormat="0" applyBorder="0" applyAlignment="0" applyProtection="0">
      <alignment vertical="center"/>
    </xf>
    <xf numFmtId="170" fontId="65"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65"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170" fontId="65" fillId="24" borderId="0" applyNumberFormat="0" applyBorder="0" applyAlignment="0" applyProtection="0">
      <alignment vertical="center"/>
    </xf>
    <xf numFmtId="0" fontId="17" fillId="24" borderId="0" applyNumberFormat="0" applyBorder="0" applyAlignment="0" applyProtection="0">
      <alignment vertical="center"/>
    </xf>
    <xf numFmtId="0" fontId="65"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170" fontId="61" fillId="47"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65"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65"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65"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65"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65"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65"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65"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65"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65"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65"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65"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65"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65" fillId="28" borderId="0" applyNumberFormat="0" applyBorder="0" applyAlignment="0" applyProtection="0">
      <alignment vertical="center"/>
    </xf>
    <xf numFmtId="170" fontId="65" fillId="28" borderId="0" applyNumberFormat="0" applyBorder="0" applyAlignment="0" applyProtection="0">
      <alignment vertical="center"/>
    </xf>
    <xf numFmtId="170" fontId="65" fillId="28" borderId="0" applyNumberFormat="0" applyBorder="0" applyAlignment="0" applyProtection="0">
      <alignment vertical="center"/>
    </xf>
    <xf numFmtId="0" fontId="65" fillId="28" borderId="0" applyNumberFormat="0" applyBorder="0" applyAlignment="0" applyProtection="0">
      <alignment vertical="center"/>
    </xf>
    <xf numFmtId="0" fontId="65" fillId="28" borderId="0" applyNumberFormat="0" applyBorder="0" applyAlignment="0" applyProtection="0">
      <alignment vertical="center"/>
    </xf>
    <xf numFmtId="170" fontId="65" fillId="28" borderId="0" applyNumberFormat="0" applyBorder="0" applyAlignment="0" applyProtection="0">
      <alignment vertical="center"/>
    </xf>
    <xf numFmtId="170" fontId="65" fillId="28" borderId="0" applyNumberFormat="0" applyBorder="0" applyAlignment="0" applyProtection="0">
      <alignment vertical="center"/>
    </xf>
    <xf numFmtId="0" fontId="65" fillId="28" borderId="0" applyNumberFormat="0" applyBorder="0" applyAlignment="0" applyProtection="0">
      <alignment vertical="center"/>
    </xf>
    <xf numFmtId="0" fontId="65" fillId="28" borderId="0" applyNumberFormat="0" applyBorder="0" applyAlignment="0" applyProtection="0">
      <alignment vertical="center"/>
    </xf>
    <xf numFmtId="170" fontId="65" fillId="28" borderId="0" applyNumberFormat="0" applyBorder="0" applyAlignment="0" applyProtection="0">
      <alignment vertical="center"/>
    </xf>
    <xf numFmtId="0" fontId="65" fillId="28" borderId="0" applyNumberFormat="0" applyBorder="0" applyAlignment="0" applyProtection="0">
      <alignment vertical="center"/>
    </xf>
    <xf numFmtId="170" fontId="61" fillId="49" borderId="0" applyNumberFormat="0" applyBorder="0" applyAlignment="0" applyProtection="0">
      <alignment vertical="center"/>
    </xf>
    <xf numFmtId="0" fontId="66" fillId="52"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65"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65" fillId="28" borderId="0" applyNumberFormat="0" applyBorder="0" applyAlignment="0" applyProtection="0">
      <alignment vertical="center"/>
    </xf>
    <xf numFmtId="0" fontId="17" fillId="28" borderId="0" applyNumberFormat="0" applyBorder="0" applyAlignment="0" applyProtection="0">
      <alignment vertical="center"/>
    </xf>
    <xf numFmtId="170" fontId="65" fillId="28" borderId="0" applyNumberFormat="0" applyBorder="0" applyAlignment="0" applyProtection="0">
      <alignment vertical="center"/>
    </xf>
    <xf numFmtId="0" fontId="17" fillId="28" borderId="0" applyNumberFormat="0" applyBorder="0" applyAlignment="0" applyProtection="0">
      <alignment vertical="center"/>
    </xf>
    <xf numFmtId="0" fontId="65" fillId="28" borderId="0" applyNumberFormat="0" applyBorder="0" applyAlignment="0" applyProtection="0">
      <alignment vertical="center"/>
    </xf>
    <xf numFmtId="0" fontId="17" fillId="28" borderId="0" applyNumberFormat="0" applyBorder="0" applyAlignment="0" applyProtection="0">
      <alignment vertical="center"/>
    </xf>
    <xf numFmtId="170" fontId="65"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65"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170" fontId="65" fillId="28" borderId="0" applyNumberFormat="0" applyBorder="0" applyAlignment="0" applyProtection="0">
      <alignment vertical="center"/>
    </xf>
    <xf numFmtId="0" fontId="17" fillId="28" borderId="0" applyNumberFormat="0" applyBorder="0" applyAlignment="0" applyProtection="0">
      <alignment vertical="center"/>
    </xf>
    <xf numFmtId="0" fontId="65" fillId="28" borderId="0" applyNumberFormat="0" applyBorder="0" applyAlignment="0" applyProtection="0">
      <alignment vertical="center"/>
    </xf>
    <xf numFmtId="0" fontId="17" fillId="28" borderId="0" applyNumberFormat="0" applyBorder="0" applyAlignment="0" applyProtection="0">
      <alignment vertical="center"/>
    </xf>
    <xf numFmtId="170" fontId="65"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65"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170" fontId="65" fillId="28" borderId="0" applyNumberFormat="0" applyBorder="0" applyAlignment="0" applyProtection="0">
      <alignment vertical="center"/>
    </xf>
    <xf numFmtId="0" fontId="17" fillId="28" borderId="0" applyNumberFormat="0" applyBorder="0" applyAlignment="0" applyProtection="0">
      <alignment vertical="center"/>
    </xf>
    <xf numFmtId="0" fontId="65"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170" fontId="61" fillId="52"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65"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65"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65"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65"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65"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65"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17" fillId="28" borderId="0" applyNumberFormat="0" applyBorder="0" applyAlignment="0" applyProtection="0">
      <alignment vertical="center"/>
    </xf>
    <xf numFmtId="0" fontId="65"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65"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65"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65"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65"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65"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65" fillId="32" borderId="0" applyNumberFormat="0" applyBorder="0" applyAlignment="0" applyProtection="0">
      <alignment vertical="center"/>
    </xf>
    <xf numFmtId="170" fontId="65" fillId="32" borderId="0" applyNumberFormat="0" applyBorder="0" applyAlignment="0" applyProtection="0">
      <alignment vertical="center"/>
    </xf>
    <xf numFmtId="170" fontId="65" fillId="32" borderId="0" applyNumberFormat="0" applyBorder="0" applyAlignment="0" applyProtection="0">
      <alignment vertical="center"/>
    </xf>
    <xf numFmtId="0" fontId="65" fillId="32" borderId="0" applyNumberFormat="0" applyBorder="0" applyAlignment="0" applyProtection="0">
      <alignment vertical="center"/>
    </xf>
    <xf numFmtId="0" fontId="65" fillId="32" borderId="0" applyNumberFormat="0" applyBorder="0" applyAlignment="0" applyProtection="0">
      <alignment vertical="center"/>
    </xf>
    <xf numFmtId="170" fontId="65" fillId="32" borderId="0" applyNumberFormat="0" applyBorder="0" applyAlignment="0" applyProtection="0">
      <alignment vertical="center"/>
    </xf>
    <xf numFmtId="170" fontId="65" fillId="32" borderId="0" applyNumberFormat="0" applyBorder="0" applyAlignment="0" applyProtection="0">
      <alignment vertical="center"/>
    </xf>
    <xf numFmtId="0" fontId="65" fillId="32" borderId="0" applyNumberFormat="0" applyBorder="0" applyAlignment="0" applyProtection="0">
      <alignment vertical="center"/>
    </xf>
    <xf numFmtId="0" fontId="65" fillId="32" borderId="0" applyNumberFormat="0" applyBorder="0" applyAlignment="0" applyProtection="0">
      <alignment vertical="center"/>
    </xf>
    <xf numFmtId="170" fontId="65" fillId="32" borderId="0" applyNumberFormat="0" applyBorder="0" applyAlignment="0" applyProtection="0">
      <alignment vertical="center"/>
    </xf>
    <xf numFmtId="0" fontId="65" fillId="32" borderId="0" applyNumberFormat="0" applyBorder="0" applyAlignment="0" applyProtection="0">
      <alignment vertical="center"/>
    </xf>
    <xf numFmtId="170" fontId="61" fillId="54" borderId="0" applyNumberFormat="0" applyBorder="0" applyAlignment="0" applyProtection="0">
      <alignment vertical="center"/>
    </xf>
    <xf numFmtId="0" fontId="66" fillId="59"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65"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65" fillId="32" borderId="0" applyNumberFormat="0" applyBorder="0" applyAlignment="0" applyProtection="0">
      <alignment vertical="center"/>
    </xf>
    <xf numFmtId="0" fontId="17" fillId="32" borderId="0" applyNumberFormat="0" applyBorder="0" applyAlignment="0" applyProtection="0">
      <alignment vertical="center"/>
    </xf>
    <xf numFmtId="170" fontId="65" fillId="32" borderId="0" applyNumberFormat="0" applyBorder="0" applyAlignment="0" applyProtection="0">
      <alignment vertical="center"/>
    </xf>
    <xf numFmtId="0" fontId="17" fillId="32" borderId="0" applyNumberFormat="0" applyBorder="0" applyAlignment="0" applyProtection="0">
      <alignment vertical="center"/>
    </xf>
    <xf numFmtId="0" fontId="65" fillId="32" borderId="0" applyNumberFormat="0" applyBorder="0" applyAlignment="0" applyProtection="0">
      <alignment vertical="center"/>
    </xf>
    <xf numFmtId="0" fontId="17" fillId="32" borderId="0" applyNumberFormat="0" applyBorder="0" applyAlignment="0" applyProtection="0">
      <alignment vertical="center"/>
    </xf>
    <xf numFmtId="170" fontId="65"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65"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170" fontId="65" fillId="32" borderId="0" applyNumberFormat="0" applyBorder="0" applyAlignment="0" applyProtection="0">
      <alignment vertical="center"/>
    </xf>
    <xf numFmtId="0" fontId="17" fillId="32" borderId="0" applyNumberFormat="0" applyBorder="0" applyAlignment="0" applyProtection="0">
      <alignment vertical="center"/>
    </xf>
    <xf numFmtId="0" fontId="65" fillId="32" borderId="0" applyNumberFormat="0" applyBorder="0" applyAlignment="0" applyProtection="0">
      <alignment vertical="center"/>
    </xf>
    <xf numFmtId="0" fontId="17" fillId="32" borderId="0" applyNumberFormat="0" applyBorder="0" applyAlignment="0" applyProtection="0">
      <alignment vertical="center"/>
    </xf>
    <xf numFmtId="170" fontId="65"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65"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170" fontId="65" fillId="32" borderId="0" applyNumberFormat="0" applyBorder="0" applyAlignment="0" applyProtection="0">
      <alignment vertical="center"/>
    </xf>
    <xf numFmtId="0" fontId="17" fillId="32" borderId="0" applyNumberFormat="0" applyBorder="0" applyAlignment="0" applyProtection="0">
      <alignment vertical="center"/>
    </xf>
    <xf numFmtId="0" fontId="65"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170" fontId="61" fillId="59"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65"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65"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65"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65"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65"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65"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0" fontId="17" fillId="32" borderId="0" applyNumberFormat="0" applyBorder="0" applyAlignment="0" applyProtection="0">
      <alignment vertical="center"/>
    </xf>
    <xf numFmtId="170" fontId="1" fillId="0" borderId="0" applyFont="0" applyFill="0" applyBorder="0" applyAlignment="0" applyProtection="0"/>
    <xf numFmtId="0" fontId="67" fillId="62" borderId="0" applyNumberFormat="0" applyBorder="0" applyAlignment="0" applyProtection="0">
      <alignment vertical="center"/>
    </xf>
    <xf numFmtId="0" fontId="67" fillId="62" borderId="0" applyNumberFormat="0" applyBorder="0" applyAlignment="0" applyProtection="0">
      <alignment vertical="center"/>
    </xf>
    <xf numFmtId="0" fontId="68" fillId="62" borderId="0" applyNumberFormat="0" applyBorder="0" applyAlignment="0" applyProtection="0">
      <alignment vertical="center"/>
    </xf>
    <xf numFmtId="0" fontId="69" fillId="62" borderId="0" applyNumberFormat="0" applyBorder="0" applyAlignment="0" applyProtection="0">
      <alignment vertical="center"/>
    </xf>
    <xf numFmtId="0" fontId="67" fillId="62" borderId="0" applyNumberFormat="0" applyBorder="0" applyAlignment="0" applyProtection="0">
      <alignment vertical="center"/>
    </xf>
    <xf numFmtId="0" fontId="68" fillId="62" borderId="0" applyNumberFormat="0" applyBorder="0" applyAlignment="0" applyProtection="0">
      <alignment vertical="center"/>
    </xf>
    <xf numFmtId="0" fontId="68" fillId="63" borderId="0">
      <alignment vertical="center"/>
    </xf>
    <xf numFmtId="0" fontId="67" fillId="53" borderId="0" applyNumberFormat="0" applyBorder="0" applyAlignment="0" applyProtection="0">
      <alignment vertical="center"/>
    </xf>
    <xf numFmtId="0" fontId="67" fillId="53" borderId="0" applyNumberFormat="0" applyBorder="0" applyAlignment="0" applyProtection="0">
      <alignment vertical="center"/>
    </xf>
    <xf numFmtId="0" fontId="68" fillId="53" borderId="0" applyNumberFormat="0" applyBorder="0" applyAlignment="0" applyProtection="0">
      <alignment vertical="center"/>
    </xf>
    <xf numFmtId="0" fontId="69" fillId="53" borderId="0" applyNumberFormat="0" applyBorder="0" applyAlignment="0" applyProtection="0">
      <alignment vertical="center"/>
    </xf>
    <xf numFmtId="0" fontId="67" fillId="53" borderId="0" applyNumberFormat="0" applyBorder="0" applyAlignment="0" applyProtection="0">
      <alignment vertical="center"/>
    </xf>
    <xf numFmtId="0" fontId="68" fillId="53" borderId="0" applyNumberFormat="0" applyBorder="0" applyAlignment="0" applyProtection="0">
      <alignment vertical="center"/>
    </xf>
    <xf numFmtId="0" fontId="68" fillId="56" borderId="0">
      <alignment vertical="center"/>
    </xf>
    <xf numFmtId="0" fontId="67" fillId="57" borderId="0" applyNumberFormat="0" applyBorder="0" applyAlignment="0" applyProtection="0">
      <alignment vertical="center"/>
    </xf>
    <xf numFmtId="0" fontId="67" fillId="57" borderId="0" applyNumberFormat="0" applyBorder="0" applyAlignment="0" applyProtection="0">
      <alignment vertical="center"/>
    </xf>
    <xf numFmtId="0" fontId="68" fillId="57" borderId="0" applyNumberFormat="0" applyBorder="0" applyAlignment="0" applyProtection="0">
      <alignment vertical="center"/>
    </xf>
    <xf numFmtId="0" fontId="69" fillId="57" borderId="0" applyNumberFormat="0" applyBorder="0" applyAlignment="0" applyProtection="0">
      <alignment vertical="center"/>
    </xf>
    <xf numFmtId="0" fontId="67" fillId="57" borderId="0" applyNumberFormat="0" applyBorder="0" applyAlignment="0" applyProtection="0">
      <alignment vertical="center"/>
    </xf>
    <xf numFmtId="0" fontId="68" fillId="57" borderId="0" applyNumberFormat="0" applyBorder="0" applyAlignment="0" applyProtection="0">
      <alignment vertical="center"/>
    </xf>
    <xf numFmtId="0" fontId="68" fillId="58" borderId="0">
      <alignment vertical="center"/>
    </xf>
    <xf numFmtId="0" fontId="67" fillId="64" borderId="0" applyNumberFormat="0" applyBorder="0" applyAlignment="0" applyProtection="0">
      <alignment vertical="center"/>
    </xf>
    <xf numFmtId="0" fontId="67" fillId="64" borderId="0" applyNumberFormat="0" applyBorder="0" applyAlignment="0" applyProtection="0">
      <alignment vertical="center"/>
    </xf>
    <xf numFmtId="0" fontId="68" fillId="64" borderId="0" applyNumberFormat="0" applyBorder="0" applyAlignment="0" applyProtection="0">
      <alignment vertical="center"/>
    </xf>
    <xf numFmtId="0" fontId="69" fillId="64" borderId="0" applyNumberFormat="0" applyBorder="0" applyAlignment="0" applyProtection="0">
      <alignment vertical="center"/>
    </xf>
    <xf numFmtId="0" fontId="67" fillId="64" borderId="0" applyNumberFormat="0" applyBorder="0" applyAlignment="0" applyProtection="0">
      <alignment vertical="center"/>
    </xf>
    <xf numFmtId="0" fontId="68" fillId="64" borderId="0" applyNumberFormat="0" applyBorder="0" applyAlignment="0" applyProtection="0">
      <alignment vertical="center"/>
    </xf>
    <xf numFmtId="0" fontId="68" fillId="65" borderId="0">
      <alignment vertical="center"/>
    </xf>
    <xf numFmtId="0" fontId="67" fillId="66" borderId="0" applyNumberFormat="0" applyBorder="0" applyAlignment="0" applyProtection="0">
      <alignment vertical="center"/>
    </xf>
    <xf numFmtId="0" fontId="67" fillId="66" borderId="0" applyNumberFormat="0" applyBorder="0" applyAlignment="0" applyProtection="0">
      <alignment vertical="center"/>
    </xf>
    <xf numFmtId="0" fontId="68" fillId="66" borderId="0" applyNumberFormat="0" applyBorder="0" applyAlignment="0" applyProtection="0">
      <alignment vertical="center"/>
    </xf>
    <xf numFmtId="0" fontId="69" fillId="66" borderId="0" applyNumberFormat="0" applyBorder="0" applyAlignment="0" applyProtection="0">
      <alignment vertical="center"/>
    </xf>
    <xf numFmtId="0" fontId="67" fillId="66" borderId="0" applyNumberFormat="0" applyBorder="0" applyAlignment="0" applyProtection="0">
      <alignment vertical="center"/>
    </xf>
    <xf numFmtId="0" fontId="68" fillId="66" borderId="0" applyNumberFormat="0" applyBorder="0" applyAlignment="0" applyProtection="0">
      <alignment vertical="center"/>
    </xf>
    <xf numFmtId="0" fontId="68" fillId="67" borderId="0">
      <alignment vertical="center"/>
    </xf>
    <xf numFmtId="0" fontId="67" fillId="68" borderId="0" applyNumberFormat="0" applyBorder="0" applyAlignment="0" applyProtection="0">
      <alignment vertical="center"/>
    </xf>
    <xf numFmtId="0" fontId="67" fillId="68" borderId="0" applyNumberFormat="0" applyBorder="0" applyAlignment="0" applyProtection="0">
      <alignment vertical="center"/>
    </xf>
    <xf numFmtId="0" fontId="68" fillId="68" borderId="0" applyNumberFormat="0" applyBorder="0" applyAlignment="0" applyProtection="0">
      <alignment vertical="center"/>
    </xf>
    <xf numFmtId="0" fontId="69" fillId="68" borderId="0" applyNumberFormat="0" applyBorder="0" applyAlignment="0" applyProtection="0">
      <alignment vertical="center"/>
    </xf>
    <xf numFmtId="0" fontId="67" fillId="68" borderId="0" applyNumberFormat="0" applyBorder="0" applyAlignment="0" applyProtection="0">
      <alignment vertical="center"/>
    </xf>
    <xf numFmtId="0" fontId="68" fillId="68" borderId="0" applyNumberFormat="0" applyBorder="0" applyAlignment="0" applyProtection="0">
      <alignment vertical="center"/>
    </xf>
    <xf numFmtId="0" fontId="68" fillId="69" borderId="0">
      <alignment vertical="center"/>
    </xf>
    <xf numFmtId="0" fontId="70" fillId="13" borderId="0" applyNumberFormat="0" applyBorder="0" applyAlignment="0" applyProtection="0">
      <alignment vertical="center"/>
    </xf>
    <xf numFmtId="0" fontId="70" fillId="13" borderId="0" applyNumberFormat="0" applyBorder="0" applyAlignment="0" applyProtection="0">
      <alignment vertical="center"/>
    </xf>
    <xf numFmtId="0" fontId="70" fillId="13" borderId="0" applyNumberFormat="0" applyBorder="0" applyAlignment="0" applyProtection="0">
      <alignment vertical="center"/>
    </xf>
    <xf numFmtId="0" fontId="70" fillId="13" borderId="0" applyNumberFormat="0" applyBorder="0" applyAlignment="0" applyProtection="0">
      <alignment vertical="center"/>
    </xf>
    <xf numFmtId="0" fontId="70" fillId="13" borderId="0" applyNumberFormat="0" applyBorder="0" applyAlignment="0" applyProtection="0">
      <alignment vertical="center"/>
    </xf>
    <xf numFmtId="0" fontId="70" fillId="13" borderId="0" applyNumberFormat="0" applyBorder="0" applyAlignment="0" applyProtection="0">
      <alignment vertical="center"/>
    </xf>
    <xf numFmtId="0" fontId="70" fillId="13" borderId="0" applyNumberFormat="0" applyBorder="0" applyAlignment="0" applyProtection="0">
      <alignment vertical="center"/>
    </xf>
    <xf numFmtId="170" fontId="67" fillId="49" borderId="0" applyNumberFormat="0" applyBorder="0" applyAlignment="0" applyProtection="0">
      <alignment vertical="center"/>
    </xf>
    <xf numFmtId="0" fontId="70" fillId="13" borderId="0" applyNumberFormat="0" applyBorder="0" applyAlignment="0" applyProtection="0">
      <alignment vertical="center"/>
    </xf>
    <xf numFmtId="0" fontId="71" fillId="62" borderId="0" applyNumberFormat="0" applyBorder="0" applyAlignment="0" applyProtection="0">
      <alignment vertical="center"/>
    </xf>
    <xf numFmtId="0" fontId="70" fillId="13" borderId="0" applyNumberFormat="0" applyBorder="0" applyAlignment="0" applyProtection="0">
      <alignment vertical="center"/>
    </xf>
    <xf numFmtId="170" fontId="67" fillId="62" borderId="0" applyNumberFormat="0" applyBorder="0" applyAlignment="0" applyProtection="0">
      <alignment vertical="center"/>
    </xf>
    <xf numFmtId="0" fontId="33" fillId="13" borderId="0" applyNumberFormat="0" applyBorder="0" applyAlignment="0" applyProtection="0">
      <alignment vertical="center"/>
    </xf>
    <xf numFmtId="0" fontId="70" fillId="13" borderId="0" applyNumberFormat="0" applyBorder="0" applyAlignment="0" applyProtection="0">
      <alignment vertical="center"/>
    </xf>
    <xf numFmtId="0" fontId="70" fillId="13" borderId="0" applyNumberFormat="0" applyBorder="0" applyAlignment="0" applyProtection="0">
      <alignment vertical="center"/>
    </xf>
    <xf numFmtId="0" fontId="70" fillId="13" borderId="0" applyNumberFormat="0" applyBorder="0" applyAlignment="0" applyProtection="0">
      <alignment vertical="center"/>
    </xf>
    <xf numFmtId="0" fontId="70" fillId="13" borderId="0" applyNumberFormat="0" applyBorder="0" applyAlignment="0" applyProtection="0">
      <alignment vertical="center"/>
    </xf>
    <xf numFmtId="0" fontId="70" fillId="13" borderId="0" applyNumberFormat="0" applyBorder="0" applyAlignment="0" applyProtection="0">
      <alignment vertical="center"/>
    </xf>
    <xf numFmtId="0" fontId="70" fillId="13" borderId="0" applyNumberFormat="0" applyBorder="0" applyAlignment="0" applyProtection="0">
      <alignment vertical="center"/>
    </xf>
    <xf numFmtId="0" fontId="70" fillId="13" borderId="0" applyNumberFormat="0" applyBorder="0" applyAlignment="0" applyProtection="0">
      <alignment vertical="center"/>
    </xf>
    <xf numFmtId="0" fontId="70" fillId="17" borderId="0" applyNumberFormat="0" applyBorder="0" applyAlignment="0" applyProtection="0">
      <alignment vertical="center"/>
    </xf>
    <xf numFmtId="0" fontId="70" fillId="17" borderId="0" applyNumberFormat="0" applyBorder="0" applyAlignment="0" applyProtection="0">
      <alignment vertical="center"/>
    </xf>
    <xf numFmtId="0" fontId="70" fillId="17" borderId="0" applyNumberFormat="0" applyBorder="0" applyAlignment="0" applyProtection="0">
      <alignment vertical="center"/>
    </xf>
    <xf numFmtId="0" fontId="70" fillId="17" borderId="0" applyNumberFormat="0" applyBorder="0" applyAlignment="0" applyProtection="0">
      <alignment vertical="center"/>
    </xf>
    <xf numFmtId="0" fontId="70" fillId="17" borderId="0" applyNumberFormat="0" applyBorder="0" applyAlignment="0" applyProtection="0">
      <alignment vertical="center"/>
    </xf>
    <xf numFmtId="0" fontId="70" fillId="17" borderId="0" applyNumberFormat="0" applyBorder="0" applyAlignment="0" applyProtection="0">
      <alignment vertical="center"/>
    </xf>
    <xf numFmtId="0" fontId="70" fillId="17" borderId="0" applyNumberFormat="0" applyBorder="0" applyAlignment="0" applyProtection="0">
      <alignment vertical="center"/>
    </xf>
    <xf numFmtId="170" fontId="67" fillId="70" borderId="0" applyNumberFormat="0" applyBorder="0" applyAlignment="0" applyProtection="0">
      <alignment vertical="center"/>
    </xf>
    <xf numFmtId="0" fontId="70" fillId="17" borderId="0" applyNumberFormat="0" applyBorder="0" applyAlignment="0" applyProtection="0">
      <alignment vertical="center"/>
    </xf>
    <xf numFmtId="0" fontId="71" fillId="53" borderId="0" applyNumberFormat="0" applyBorder="0" applyAlignment="0" applyProtection="0">
      <alignment vertical="center"/>
    </xf>
    <xf numFmtId="0" fontId="70" fillId="17" borderId="0" applyNumberFormat="0" applyBorder="0" applyAlignment="0" applyProtection="0">
      <alignment vertical="center"/>
    </xf>
    <xf numFmtId="170" fontId="67" fillId="53" borderId="0" applyNumberFormat="0" applyBorder="0" applyAlignment="0" applyProtection="0">
      <alignment vertical="center"/>
    </xf>
    <xf numFmtId="0" fontId="33" fillId="17" borderId="0" applyNumberFormat="0" applyBorder="0" applyAlignment="0" applyProtection="0">
      <alignment vertical="center"/>
    </xf>
    <xf numFmtId="0" fontId="70" fillId="17" borderId="0" applyNumberFormat="0" applyBorder="0" applyAlignment="0" applyProtection="0">
      <alignment vertical="center"/>
    </xf>
    <xf numFmtId="0" fontId="70" fillId="17" borderId="0" applyNumberFormat="0" applyBorder="0" applyAlignment="0" applyProtection="0">
      <alignment vertical="center"/>
    </xf>
    <xf numFmtId="0" fontId="70" fillId="17" borderId="0" applyNumberFormat="0" applyBorder="0" applyAlignment="0" applyProtection="0">
      <alignment vertical="center"/>
    </xf>
    <xf numFmtId="0" fontId="70" fillId="17" borderId="0" applyNumberFormat="0" applyBorder="0" applyAlignment="0" applyProtection="0">
      <alignment vertical="center"/>
    </xf>
    <xf numFmtId="0" fontId="70" fillId="17" borderId="0" applyNumberFormat="0" applyBorder="0" applyAlignment="0" applyProtection="0">
      <alignment vertical="center"/>
    </xf>
    <xf numFmtId="0" fontId="70" fillId="17" borderId="0" applyNumberFormat="0" applyBorder="0" applyAlignment="0" applyProtection="0">
      <alignment vertical="center"/>
    </xf>
    <xf numFmtId="0" fontId="70" fillId="17"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170" fontId="67" fillId="59" borderId="0" applyNumberFormat="0" applyBorder="0" applyAlignment="0" applyProtection="0">
      <alignment vertical="center"/>
    </xf>
    <xf numFmtId="0" fontId="70" fillId="21" borderId="0" applyNumberFormat="0" applyBorder="0" applyAlignment="0" applyProtection="0">
      <alignment vertical="center"/>
    </xf>
    <xf numFmtId="0" fontId="71" fillId="57" borderId="0" applyNumberFormat="0" applyBorder="0" applyAlignment="0" applyProtection="0">
      <alignment vertical="center"/>
    </xf>
    <xf numFmtId="0" fontId="70" fillId="21" borderId="0" applyNumberFormat="0" applyBorder="0" applyAlignment="0" applyProtection="0">
      <alignment vertical="center"/>
    </xf>
    <xf numFmtId="170" fontId="67" fillId="57" borderId="0" applyNumberFormat="0" applyBorder="0" applyAlignment="0" applyProtection="0">
      <alignment vertical="center"/>
    </xf>
    <xf numFmtId="0" fontId="33"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170" fontId="67" fillId="43" borderId="0" applyNumberFormat="0" applyBorder="0" applyAlignment="0" applyProtection="0">
      <alignment vertical="center"/>
    </xf>
    <xf numFmtId="0" fontId="70" fillId="25" borderId="0" applyNumberFormat="0" applyBorder="0" applyAlignment="0" applyProtection="0">
      <alignment vertical="center"/>
    </xf>
    <xf numFmtId="0" fontId="71" fillId="64" borderId="0" applyNumberFormat="0" applyBorder="0" applyAlignment="0" applyProtection="0">
      <alignment vertical="center"/>
    </xf>
    <xf numFmtId="0" fontId="70" fillId="25" borderId="0" applyNumberFormat="0" applyBorder="0" applyAlignment="0" applyProtection="0">
      <alignment vertical="center"/>
    </xf>
    <xf numFmtId="170" fontId="67" fillId="64" borderId="0" applyNumberFormat="0" applyBorder="0" applyAlignment="0" applyProtection="0">
      <alignment vertical="center"/>
    </xf>
    <xf numFmtId="0" fontId="33"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170" fontId="67" fillId="49" borderId="0" applyNumberFormat="0" applyBorder="0" applyAlignment="0" applyProtection="0">
      <alignment vertical="center"/>
    </xf>
    <xf numFmtId="0" fontId="70" fillId="29" borderId="0" applyNumberFormat="0" applyBorder="0" applyAlignment="0" applyProtection="0">
      <alignment vertical="center"/>
    </xf>
    <xf numFmtId="0" fontId="71" fillId="66" borderId="0" applyNumberFormat="0" applyBorder="0" applyAlignment="0" applyProtection="0">
      <alignment vertical="center"/>
    </xf>
    <xf numFmtId="0" fontId="70" fillId="29" borderId="0" applyNumberFormat="0" applyBorder="0" applyAlignment="0" applyProtection="0">
      <alignment vertical="center"/>
    </xf>
    <xf numFmtId="170" fontId="67" fillId="66" borderId="0" applyNumberFormat="0" applyBorder="0" applyAlignment="0" applyProtection="0">
      <alignment vertical="center"/>
    </xf>
    <xf numFmtId="0" fontId="33"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170" fontId="67" fillId="53" borderId="0" applyNumberFormat="0" applyBorder="0" applyAlignment="0" applyProtection="0">
      <alignment vertical="center"/>
    </xf>
    <xf numFmtId="0" fontId="70" fillId="33" borderId="0" applyNumberFormat="0" applyBorder="0" applyAlignment="0" applyProtection="0">
      <alignment vertical="center"/>
    </xf>
    <xf numFmtId="0" fontId="71" fillId="68" borderId="0" applyNumberFormat="0" applyBorder="0" applyAlignment="0" applyProtection="0">
      <alignment vertical="center"/>
    </xf>
    <xf numFmtId="0" fontId="70" fillId="33" borderId="0" applyNumberFormat="0" applyBorder="0" applyAlignment="0" applyProtection="0">
      <alignment vertical="center"/>
    </xf>
    <xf numFmtId="170" fontId="67" fillId="68" borderId="0" applyNumberFormat="0" applyBorder="0" applyAlignment="0" applyProtection="0">
      <alignment vertical="center"/>
    </xf>
    <xf numFmtId="0" fontId="33"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170" fontId="72" fillId="0" borderId="0" applyFont="0" applyFill="0" applyBorder="0" applyAlignment="0" applyProtection="0"/>
    <xf numFmtId="170" fontId="72" fillId="0" borderId="0" applyFont="0" applyFill="0" applyBorder="0" applyAlignment="0" applyProtection="0"/>
    <xf numFmtId="187" fontId="73" fillId="0" borderId="0" applyFont="0" applyFill="0" applyBorder="0" applyAlignment="0" applyProtection="0"/>
    <xf numFmtId="0" fontId="50" fillId="0" borderId="0" applyFont="0" applyFill="0" applyBorder="0" applyAlignment="0" applyProtection="0"/>
    <xf numFmtId="40" fontId="50" fillId="0" borderId="0" applyFont="0" applyFill="0" applyBorder="0" applyAlignment="0" applyProtection="0"/>
    <xf numFmtId="170" fontId="74" fillId="0" borderId="0" applyFont="0" applyFill="0" applyBorder="0" applyAlignment="0" applyProtection="0"/>
    <xf numFmtId="170" fontId="74" fillId="0" borderId="0" applyFont="0" applyFill="0" applyBorder="0" applyAlignment="0" applyProtection="0"/>
    <xf numFmtId="170" fontId="75" fillId="0" borderId="0" applyFont="0" applyFill="0" applyBorder="0" applyAlignment="0" applyProtection="0"/>
    <xf numFmtId="170" fontId="76" fillId="0" borderId="0" applyFont="0" applyFill="0" applyBorder="0" applyAlignment="0" applyProtection="0"/>
    <xf numFmtId="170" fontId="77" fillId="0" borderId="0" applyFont="0" applyFill="0" applyBorder="0" applyAlignment="0" applyProtection="0"/>
    <xf numFmtId="170" fontId="78" fillId="0" borderId="0" applyFont="0" applyFill="0" applyBorder="0" applyAlignment="0" applyProtection="0"/>
    <xf numFmtId="170" fontId="52" fillId="0" borderId="0" applyFont="0" applyFill="0" applyBorder="0" applyAlignment="0" applyProtection="0"/>
    <xf numFmtId="0" fontId="78" fillId="0" borderId="0" applyFont="0" applyFill="0" applyBorder="0" applyAlignment="0" applyProtection="0"/>
    <xf numFmtId="0" fontId="52" fillId="0" borderId="0" applyFont="0" applyFill="0" applyBorder="0" applyAlignment="0" applyProtection="0"/>
    <xf numFmtId="170" fontId="52" fillId="0" borderId="0" applyFont="0" applyFill="0" applyBorder="0" applyAlignment="0" applyProtection="0"/>
    <xf numFmtId="0" fontId="79" fillId="0" borderId="0" applyFont="0" applyFill="0" applyBorder="0" applyAlignment="0" applyProtection="0"/>
    <xf numFmtId="170" fontId="77" fillId="0" borderId="0" applyFont="0" applyFill="0" applyBorder="0" applyAlignment="0" applyProtection="0"/>
    <xf numFmtId="188" fontId="79" fillId="0" borderId="0" applyFont="0" applyFill="0" applyBorder="0" applyAlignment="0" applyProtection="0"/>
    <xf numFmtId="170" fontId="52" fillId="0" borderId="0" applyFont="0" applyFill="0" applyBorder="0" applyAlignment="0" applyProtection="0"/>
    <xf numFmtId="170" fontId="80" fillId="0" borderId="0" applyFont="0" applyFill="0" applyBorder="0" applyAlignment="0" applyProtection="0"/>
    <xf numFmtId="170" fontId="80" fillId="0" borderId="0" applyFont="0" applyFill="0" applyBorder="0" applyAlignment="0" applyProtection="0"/>
    <xf numFmtId="0" fontId="81" fillId="0" borderId="0" applyFont="0" applyFill="0" applyBorder="0" applyAlignment="0" applyProtection="0"/>
    <xf numFmtId="0" fontId="81" fillId="0" borderId="0" applyFont="0" applyFill="0" applyBorder="0" applyAlignment="0" applyProtection="0"/>
    <xf numFmtId="0" fontId="67" fillId="71" borderId="0" applyNumberFormat="0" applyBorder="0" applyAlignment="0" applyProtection="0">
      <alignment vertical="center"/>
    </xf>
    <xf numFmtId="170" fontId="82" fillId="72" borderId="0" applyNumberFormat="0" applyBorder="0" applyAlignment="0" applyProtection="0"/>
    <xf numFmtId="170" fontId="82" fillId="73" borderId="0" applyNumberFormat="0" applyBorder="0" applyAlignment="0" applyProtection="0"/>
    <xf numFmtId="170" fontId="83" fillId="74" borderId="0" applyNumberFormat="0" applyBorder="0" applyAlignment="0" applyProtection="0"/>
    <xf numFmtId="0" fontId="67" fillId="71" borderId="0" applyNumberFormat="0" applyBorder="0" applyAlignment="0" applyProtection="0">
      <alignment vertical="center"/>
    </xf>
    <xf numFmtId="0" fontId="68" fillId="71" borderId="0" applyNumberFormat="0" applyBorder="0" applyAlignment="0" applyProtection="0">
      <alignment vertical="center"/>
    </xf>
    <xf numFmtId="0" fontId="69" fillId="71" borderId="0" applyNumberFormat="0" applyBorder="0" applyAlignment="0" applyProtection="0">
      <alignment vertical="center"/>
    </xf>
    <xf numFmtId="0" fontId="67" fillId="71" borderId="0" applyNumberFormat="0" applyBorder="0" applyAlignment="0" applyProtection="0">
      <alignment vertical="center"/>
    </xf>
    <xf numFmtId="0" fontId="68" fillId="71" borderId="0" applyNumberFormat="0" applyBorder="0" applyAlignment="0" applyProtection="0">
      <alignment vertical="center"/>
    </xf>
    <xf numFmtId="0" fontId="68" fillId="75" borderId="0">
      <alignment vertical="center"/>
    </xf>
    <xf numFmtId="170" fontId="83" fillId="76" borderId="0" applyNumberFormat="0" applyBorder="0" applyAlignment="0" applyProtection="0"/>
    <xf numFmtId="0" fontId="67" fillId="77" borderId="0" applyNumberFormat="0" applyBorder="0" applyAlignment="0" applyProtection="0">
      <alignment vertical="center"/>
    </xf>
    <xf numFmtId="170" fontId="82" fillId="72" borderId="0" applyNumberFormat="0" applyBorder="0" applyAlignment="0" applyProtection="0"/>
    <xf numFmtId="170" fontId="82" fillId="78" borderId="0" applyNumberFormat="0" applyBorder="0" applyAlignment="0" applyProtection="0"/>
    <xf numFmtId="170" fontId="83" fillId="79" borderId="0" applyNumberFormat="0" applyBorder="0" applyAlignment="0" applyProtection="0"/>
    <xf numFmtId="0" fontId="67" fillId="77" borderId="0" applyNumberFormat="0" applyBorder="0" applyAlignment="0" applyProtection="0">
      <alignment vertical="center"/>
    </xf>
    <xf numFmtId="0" fontId="68" fillId="77" borderId="0" applyNumberFormat="0" applyBorder="0" applyAlignment="0" applyProtection="0">
      <alignment vertical="center"/>
    </xf>
    <xf numFmtId="0" fontId="69" fillId="77" borderId="0" applyNumberFormat="0" applyBorder="0" applyAlignment="0" applyProtection="0">
      <alignment vertical="center"/>
    </xf>
    <xf numFmtId="0" fontId="67" fillId="77" borderId="0" applyNumberFormat="0" applyBorder="0" applyAlignment="0" applyProtection="0">
      <alignment vertical="center"/>
    </xf>
    <xf numFmtId="0" fontId="68" fillId="77" borderId="0" applyNumberFormat="0" applyBorder="0" applyAlignment="0" applyProtection="0">
      <alignment vertical="center"/>
    </xf>
    <xf numFmtId="0" fontId="68" fillId="80" borderId="0">
      <alignment vertical="center"/>
    </xf>
    <xf numFmtId="170" fontId="83" fillId="81" borderId="0" applyNumberFormat="0" applyBorder="0" applyAlignment="0" applyProtection="0"/>
    <xf numFmtId="0" fontId="67" fillId="82" borderId="0" applyNumberFormat="0" applyBorder="0" applyAlignment="0" applyProtection="0">
      <alignment vertical="center"/>
    </xf>
    <xf numFmtId="170" fontId="82" fillId="72" borderId="0" applyNumberFormat="0" applyBorder="0" applyAlignment="0" applyProtection="0"/>
    <xf numFmtId="170" fontId="82" fillId="72" borderId="0" applyNumberFormat="0" applyBorder="0" applyAlignment="0" applyProtection="0"/>
    <xf numFmtId="170" fontId="83" fillId="78" borderId="0" applyNumberFormat="0" applyBorder="0" applyAlignment="0" applyProtection="0"/>
    <xf numFmtId="0" fontId="67" fillId="82" borderId="0" applyNumberFormat="0" applyBorder="0" applyAlignment="0" applyProtection="0">
      <alignment vertical="center"/>
    </xf>
    <xf numFmtId="0" fontId="68" fillId="82" borderId="0" applyNumberFormat="0" applyBorder="0" applyAlignment="0" applyProtection="0">
      <alignment vertical="center"/>
    </xf>
    <xf numFmtId="0" fontId="69" fillId="82" borderId="0" applyNumberFormat="0" applyBorder="0" applyAlignment="0" applyProtection="0">
      <alignment vertical="center"/>
    </xf>
    <xf numFmtId="0" fontId="67" fillId="82" borderId="0" applyNumberFormat="0" applyBorder="0" applyAlignment="0" applyProtection="0">
      <alignment vertical="center"/>
    </xf>
    <xf numFmtId="0" fontId="68" fillId="82" borderId="0" applyNumberFormat="0" applyBorder="0" applyAlignment="0" applyProtection="0">
      <alignment vertical="center"/>
    </xf>
    <xf numFmtId="0" fontId="68" fillId="83" borderId="0">
      <alignment vertical="center"/>
    </xf>
    <xf numFmtId="170" fontId="83" fillId="79" borderId="0" applyNumberFormat="0" applyBorder="0" applyAlignment="0" applyProtection="0"/>
    <xf numFmtId="0" fontId="67" fillId="64" borderId="0" applyNumberFormat="0" applyBorder="0" applyAlignment="0" applyProtection="0">
      <alignment vertical="center"/>
    </xf>
    <xf numFmtId="170" fontId="82" fillId="72" borderId="0" applyNumberFormat="0" applyBorder="0" applyAlignment="0" applyProtection="0"/>
    <xf numFmtId="170" fontId="82" fillId="78" borderId="0" applyNumberFormat="0" applyBorder="0" applyAlignment="0" applyProtection="0"/>
    <xf numFmtId="170" fontId="83" fillId="78" borderId="0" applyNumberFormat="0" applyBorder="0" applyAlignment="0" applyProtection="0"/>
    <xf numFmtId="0" fontId="67" fillId="64" borderId="0" applyNumberFormat="0" applyBorder="0" applyAlignment="0" applyProtection="0">
      <alignment vertical="center"/>
    </xf>
    <xf numFmtId="0" fontId="68" fillId="64" borderId="0" applyNumberFormat="0" applyBorder="0" applyAlignment="0" applyProtection="0">
      <alignment vertical="center"/>
    </xf>
    <xf numFmtId="0" fontId="69" fillId="64" borderId="0" applyNumberFormat="0" applyBorder="0" applyAlignment="0" applyProtection="0">
      <alignment vertical="center"/>
    </xf>
    <xf numFmtId="0" fontId="67" fillId="64" borderId="0" applyNumberFormat="0" applyBorder="0" applyAlignment="0" applyProtection="0">
      <alignment vertical="center"/>
    </xf>
    <xf numFmtId="0" fontId="68" fillId="64" borderId="0" applyNumberFormat="0" applyBorder="0" applyAlignment="0" applyProtection="0">
      <alignment vertical="center"/>
    </xf>
    <xf numFmtId="0" fontId="68" fillId="65" borderId="0">
      <alignment vertical="center"/>
    </xf>
    <xf numFmtId="170" fontId="83" fillId="76" borderId="0" applyNumberFormat="0" applyBorder="0" applyAlignment="0" applyProtection="0"/>
    <xf numFmtId="0" fontId="67" fillId="66" borderId="0" applyNumberFormat="0" applyBorder="0" applyAlignment="0" applyProtection="0">
      <alignment vertical="center"/>
    </xf>
    <xf numFmtId="170" fontId="82" fillId="72" borderId="0" applyNumberFormat="0" applyBorder="0" applyAlignment="0" applyProtection="0"/>
    <xf numFmtId="170" fontId="82" fillId="72" borderId="0" applyNumberFormat="0" applyBorder="0" applyAlignment="0" applyProtection="0"/>
    <xf numFmtId="170" fontId="83" fillId="74" borderId="0" applyNumberFormat="0" applyBorder="0" applyAlignment="0" applyProtection="0"/>
    <xf numFmtId="0" fontId="67" fillId="66" borderId="0" applyNumberFormat="0" applyBorder="0" applyAlignment="0" applyProtection="0">
      <alignment vertical="center"/>
    </xf>
    <xf numFmtId="0" fontId="68" fillId="66" borderId="0" applyNumberFormat="0" applyBorder="0" applyAlignment="0" applyProtection="0">
      <alignment vertical="center"/>
    </xf>
    <xf numFmtId="0" fontId="69" fillId="66" borderId="0" applyNumberFormat="0" applyBorder="0" applyAlignment="0" applyProtection="0">
      <alignment vertical="center"/>
    </xf>
    <xf numFmtId="0" fontId="67" fillId="66" borderId="0" applyNumberFormat="0" applyBorder="0" applyAlignment="0" applyProtection="0">
      <alignment vertical="center"/>
    </xf>
    <xf numFmtId="0" fontId="68" fillId="66" borderId="0" applyNumberFormat="0" applyBorder="0" applyAlignment="0" applyProtection="0">
      <alignment vertical="center"/>
    </xf>
    <xf numFmtId="0" fontId="68" fillId="67" borderId="0">
      <alignment vertical="center"/>
    </xf>
    <xf numFmtId="170" fontId="83" fillId="84" borderId="0" applyNumberFormat="0" applyBorder="0" applyAlignment="0" applyProtection="0"/>
    <xf numFmtId="0" fontId="67" fillId="70" borderId="0" applyNumberFormat="0" applyBorder="0" applyAlignment="0" applyProtection="0">
      <alignment vertical="center"/>
    </xf>
    <xf numFmtId="170" fontId="82" fillId="85" borderId="0" applyNumberFormat="0" applyBorder="0" applyAlignment="0" applyProtection="0"/>
    <xf numFmtId="170" fontId="82" fillId="85" borderId="0" applyNumberFormat="0" applyBorder="0" applyAlignment="0" applyProtection="0"/>
    <xf numFmtId="170" fontId="83" fillId="86" borderId="0" applyNumberFormat="0" applyBorder="0" applyAlignment="0" applyProtection="0"/>
    <xf numFmtId="0" fontId="67" fillId="70" borderId="0" applyNumberFormat="0" applyBorder="0" applyAlignment="0" applyProtection="0">
      <alignment vertical="center"/>
    </xf>
    <xf numFmtId="0" fontId="68" fillId="70" borderId="0" applyNumberFormat="0" applyBorder="0" applyAlignment="0" applyProtection="0">
      <alignment vertical="center"/>
    </xf>
    <xf numFmtId="0" fontId="69" fillId="70" borderId="0" applyNumberFormat="0" applyBorder="0" applyAlignment="0" applyProtection="0">
      <alignment vertical="center"/>
    </xf>
    <xf numFmtId="0" fontId="67" fillId="70" borderId="0" applyNumberFormat="0" applyBorder="0" applyAlignment="0" applyProtection="0">
      <alignment vertical="center"/>
    </xf>
    <xf numFmtId="0" fontId="68" fillId="70" borderId="0" applyNumberFormat="0" applyBorder="0" applyAlignment="0" applyProtection="0">
      <alignment vertical="center"/>
    </xf>
    <xf numFmtId="0" fontId="68" fillId="87" borderId="0">
      <alignment vertical="center"/>
    </xf>
    <xf numFmtId="170" fontId="83" fillId="88" borderId="0" applyNumberFormat="0" applyBorder="0" applyAlignment="0" applyProtection="0"/>
    <xf numFmtId="170" fontId="37" fillId="0" borderId="0" applyFont="0" applyFill="0" applyBorder="0" applyAlignment="0" applyProtection="0"/>
    <xf numFmtId="189" fontId="84" fillId="55" borderId="60">
      <alignment horizontal="center" vertical="center"/>
    </xf>
    <xf numFmtId="170" fontId="57" fillId="0" borderId="0" applyFont="0" applyFill="0" applyBorder="0" applyAlignment="0" applyProtection="0"/>
    <xf numFmtId="170" fontId="85" fillId="0" borderId="0" applyFont="0" applyFill="0" applyBorder="0" applyAlignment="0" applyProtection="0"/>
    <xf numFmtId="170" fontId="86" fillId="0" borderId="0" applyFont="0" applyFill="0" applyBorder="0" applyAlignment="0" applyProtection="0"/>
    <xf numFmtId="170" fontId="87" fillId="0" borderId="0" applyFont="0" applyFill="0" applyBorder="0" applyAlignment="0" applyProtection="0"/>
    <xf numFmtId="170" fontId="13" fillId="0" borderId="0" applyFont="0" applyFill="0" applyBorder="0" applyAlignment="0" applyProtection="0"/>
    <xf numFmtId="170" fontId="60" fillId="0" borderId="0" applyFont="0" applyFill="0" applyBorder="0" applyAlignment="0" applyProtection="0"/>
    <xf numFmtId="170" fontId="88" fillId="0" borderId="0" applyFont="0" applyFill="0" applyBorder="0" applyAlignment="0" applyProtection="0"/>
    <xf numFmtId="190" fontId="89" fillId="0" borderId="0" applyFont="0" applyFill="0" applyBorder="0" applyAlignment="0" applyProtection="0"/>
    <xf numFmtId="170" fontId="86" fillId="0" borderId="0" applyFont="0" applyFill="0" applyBorder="0" applyAlignment="0" applyProtection="0"/>
    <xf numFmtId="170" fontId="60" fillId="0" borderId="0" applyFont="0" applyFill="0" applyBorder="0" applyAlignment="0" applyProtection="0"/>
    <xf numFmtId="0" fontId="88" fillId="0" borderId="0" applyFont="0" applyFill="0" applyBorder="0" applyAlignment="0" applyProtection="0"/>
    <xf numFmtId="170" fontId="87" fillId="0" borderId="0" applyFont="0" applyFill="0" applyBorder="0" applyAlignment="0" applyProtection="0"/>
    <xf numFmtId="170" fontId="88" fillId="0" borderId="0" applyFont="0" applyFill="0" applyBorder="0" applyAlignment="0" applyProtection="0"/>
    <xf numFmtId="170" fontId="87" fillId="0" borderId="0" applyFont="0" applyFill="0" applyBorder="0" applyAlignment="0" applyProtection="0"/>
    <xf numFmtId="170" fontId="88" fillId="0" borderId="0" applyFont="0" applyFill="0" applyBorder="0" applyAlignment="0" applyProtection="0"/>
    <xf numFmtId="170" fontId="87" fillId="0" borderId="0" applyFont="0" applyFill="0" applyBorder="0" applyAlignment="0" applyProtection="0"/>
    <xf numFmtId="0" fontId="88" fillId="0" borderId="0" applyFont="0" applyFill="0" applyBorder="0" applyAlignment="0" applyProtection="0"/>
    <xf numFmtId="0" fontId="87" fillId="0" borderId="0" applyFont="0" applyFill="0" applyBorder="0" applyAlignment="0" applyProtection="0"/>
    <xf numFmtId="191" fontId="86" fillId="0" borderId="0" applyFont="0" applyFill="0" applyBorder="0" applyAlignment="0" applyProtection="0"/>
    <xf numFmtId="0" fontId="87" fillId="0" borderId="0" applyFont="0" applyFill="0" applyBorder="0" applyAlignment="0" applyProtection="0"/>
    <xf numFmtId="0" fontId="88" fillId="0" borderId="0" applyFont="0" applyFill="0" applyBorder="0" applyAlignment="0" applyProtection="0"/>
    <xf numFmtId="170" fontId="60" fillId="0" borderId="0" applyFont="0" applyFill="0" applyBorder="0" applyAlignment="0" applyProtection="0"/>
    <xf numFmtId="170" fontId="86" fillId="0" borderId="0" applyFont="0" applyFill="0" applyBorder="0" applyAlignment="0" applyProtection="0"/>
    <xf numFmtId="170" fontId="87" fillId="0" borderId="0" applyFont="0" applyFill="0" applyBorder="0" applyAlignment="0" applyProtection="0"/>
    <xf numFmtId="170" fontId="88" fillId="0" borderId="0" applyFont="0" applyFill="0" applyBorder="0" applyAlignment="0" applyProtection="0"/>
    <xf numFmtId="170" fontId="87" fillId="0" borderId="0" applyFont="0" applyFill="0" applyBorder="0" applyAlignment="0" applyProtection="0"/>
    <xf numFmtId="0" fontId="88" fillId="0" borderId="0" applyFont="0" applyFill="0" applyBorder="0" applyAlignment="0" applyProtection="0"/>
    <xf numFmtId="0" fontId="87" fillId="0" borderId="0" applyFont="0" applyFill="0" applyBorder="0" applyAlignment="0" applyProtection="0"/>
    <xf numFmtId="0" fontId="86" fillId="0" borderId="0" applyFont="0" applyFill="0" applyBorder="0" applyAlignment="0" applyProtection="0"/>
    <xf numFmtId="170" fontId="87" fillId="0" borderId="0" applyFont="0" applyFill="0" applyBorder="0" applyAlignment="0" applyProtection="0"/>
    <xf numFmtId="170" fontId="88" fillId="0" borderId="0" applyFont="0" applyFill="0" applyBorder="0" applyAlignment="0" applyProtection="0"/>
    <xf numFmtId="170" fontId="87" fillId="0" borderId="0" applyFont="0" applyFill="0" applyBorder="0" applyAlignment="0" applyProtection="0"/>
    <xf numFmtId="170" fontId="90" fillId="0" borderId="0" applyFont="0" applyFill="0" applyBorder="0" applyAlignment="0" applyProtection="0"/>
    <xf numFmtId="170" fontId="91" fillId="0" borderId="0" applyFont="0" applyFill="0" applyBorder="0" applyAlignment="0" applyProtection="0"/>
    <xf numFmtId="0" fontId="90" fillId="0" borderId="0" applyFont="0" applyFill="0" applyBorder="0" applyAlignment="0" applyProtection="0"/>
    <xf numFmtId="0" fontId="91" fillId="0" borderId="0" applyFont="0" applyFill="0" applyBorder="0" applyAlignment="0" applyProtection="0"/>
    <xf numFmtId="170" fontId="85" fillId="0" borderId="0" applyFont="0" applyFill="0" applyBorder="0" applyAlignment="0" applyProtection="0"/>
    <xf numFmtId="170" fontId="86" fillId="0" borderId="0" applyFont="0" applyFill="0" applyBorder="0" applyAlignment="0" applyProtection="0"/>
    <xf numFmtId="170" fontId="92" fillId="0" borderId="0" applyFont="0" applyFill="0" applyBorder="0" applyAlignment="0" applyProtection="0"/>
    <xf numFmtId="170" fontId="85" fillId="0" borderId="0" applyFont="0" applyFill="0" applyBorder="0" applyAlignment="0" applyProtection="0"/>
    <xf numFmtId="170" fontId="88" fillId="0" borderId="0" applyFont="0" applyFill="0" applyBorder="0" applyAlignment="0" applyProtection="0"/>
    <xf numFmtId="170" fontId="87" fillId="0" borderId="0" applyFont="0" applyFill="0" applyBorder="0" applyAlignment="0" applyProtection="0"/>
    <xf numFmtId="0" fontId="88" fillId="0" borderId="0" applyFont="0" applyFill="0" applyBorder="0" applyAlignment="0" applyProtection="0"/>
    <xf numFmtId="0" fontId="87" fillId="0" borderId="0" applyFont="0" applyFill="0" applyBorder="0" applyAlignment="0" applyProtection="0"/>
    <xf numFmtId="170" fontId="93" fillId="0" borderId="0" applyFont="0" applyFill="0" applyBorder="0" applyAlignment="0" applyProtection="0"/>
    <xf numFmtId="170" fontId="94" fillId="0" borderId="0" applyFont="0" applyFill="0" applyBorder="0" applyAlignment="0" applyProtection="0"/>
    <xf numFmtId="170" fontId="86" fillId="0" borderId="0" applyFont="0" applyFill="0" applyBorder="0" applyAlignment="0" applyProtection="0"/>
    <xf numFmtId="170" fontId="13" fillId="0" borderId="0" applyFont="0" applyFill="0" applyBorder="0" applyAlignment="0" applyProtection="0"/>
    <xf numFmtId="170" fontId="88" fillId="0" borderId="0" applyFont="0" applyFill="0" applyBorder="0" applyAlignment="0" applyProtection="0"/>
    <xf numFmtId="170" fontId="87" fillId="0" borderId="0" applyFont="0" applyFill="0" applyBorder="0" applyAlignment="0" applyProtection="0"/>
    <xf numFmtId="170" fontId="90" fillId="0" borderId="0" applyFont="0" applyFill="0" applyBorder="0" applyAlignment="0" applyProtection="0"/>
    <xf numFmtId="0" fontId="60" fillId="0" borderId="0" applyFont="0" applyFill="0" applyBorder="0" applyAlignment="0" applyProtection="0"/>
    <xf numFmtId="0" fontId="88" fillId="0" borderId="0" applyFont="0" applyFill="0" applyBorder="0" applyAlignment="0" applyProtection="0"/>
    <xf numFmtId="0" fontId="87" fillId="0" borderId="0" applyFont="0" applyFill="0" applyBorder="0" applyAlignment="0" applyProtection="0"/>
    <xf numFmtId="0" fontId="88" fillId="0" borderId="0" applyFont="0" applyFill="0" applyBorder="0" applyAlignment="0" applyProtection="0"/>
    <xf numFmtId="0" fontId="60" fillId="0" borderId="0" applyFont="0" applyFill="0" applyBorder="0" applyAlignment="0" applyProtection="0"/>
    <xf numFmtId="0" fontId="86" fillId="0" borderId="0" applyFont="0" applyFill="0" applyBorder="0" applyAlignment="0" applyProtection="0"/>
    <xf numFmtId="170" fontId="85" fillId="0" borderId="0" applyFont="0" applyFill="0" applyBorder="0" applyAlignment="0" applyProtection="0"/>
    <xf numFmtId="170" fontId="60" fillId="0" borderId="0" applyFont="0" applyFill="0" applyBorder="0" applyAlignment="0" applyProtection="0"/>
    <xf numFmtId="170" fontId="86" fillId="0" borderId="0" applyFont="0" applyFill="0" applyBorder="0" applyAlignment="0" applyProtection="0"/>
    <xf numFmtId="170" fontId="87" fillId="0" borderId="0" applyFont="0" applyFill="0" applyBorder="0" applyAlignment="0" applyProtection="0"/>
    <xf numFmtId="170" fontId="95" fillId="0" borderId="0" applyFont="0" applyFill="0" applyBorder="0" applyAlignment="0" applyProtection="0"/>
    <xf numFmtId="170" fontId="91" fillId="0" borderId="0" applyFont="0" applyFill="0" applyBorder="0" applyAlignment="0" applyProtection="0"/>
    <xf numFmtId="170" fontId="88" fillId="0" borderId="0" applyFont="0" applyFill="0" applyBorder="0" applyAlignment="0" applyProtection="0"/>
    <xf numFmtId="170" fontId="87" fillId="0" borderId="0" applyFont="0" applyFill="0" applyBorder="0" applyAlignment="0" applyProtection="0"/>
    <xf numFmtId="0" fontId="88" fillId="0" borderId="0" applyFont="0" applyFill="0" applyBorder="0" applyAlignment="0" applyProtection="0"/>
    <xf numFmtId="0" fontId="87" fillId="0" borderId="0" applyFont="0" applyFill="0" applyBorder="0" applyAlignment="0" applyProtection="0"/>
    <xf numFmtId="170" fontId="88" fillId="0" borderId="0" applyFont="0" applyFill="0" applyBorder="0" applyAlignment="0" applyProtection="0"/>
    <xf numFmtId="170" fontId="87" fillId="0" borderId="0" applyFont="0" applyFill="0" applyBorder="0" applyAlignment="0" applyProtection="0"/>
    <xf numFmtId="0" fontId="88" fillId="0" borderId="0" applyFont="0" applyFill="0" applyBorder="0" applyAlignment="0" applyProtection="0"/>
    <xf numFmtId="0" fontId="87" fillId="0" borderId="0" applyFont="0" applyFill="0" applyBorder="0" applyAlignment="0" applyProtection="0"/>
    <xf numFmtId="170" fontId="88" fillId="0" borderId="0" applyFont="0" applyFill="0" applyBorder="0" applyAlignment="0" applyProtection="0"/>
    <xf numFmtId="170" fontId="87" fillId="0" borderId="0" applyFont="0" applyFill="0" applyBorder="0" applyAlignment="0" applyProtection="0"/>
    <xf numFmtId="0" fontId="88" fillId="0" borderId="0" applyFont="0" applyFill="0" applyBorder="0" applyAlignment="0" applyProtection="0"/>
    <xf numFmtId="0" fontId="87" fillId="0" borderId="0" applyFont="0" applyFill="0" applyBorder="0" applyAlignment="0" applyProtection="0"/>
    <xf numFmtId="170" fontId="88" fillId="0" borderId="0" applyFont="0" applyFill="0" applyBorder="0" applyAlignment="0" applyProtection="0"/>
    <xf numFmtId="170" fontId="87" fillId="0" borderId="0" applyFont="0" applyFill="0" applyBorder="0" applyAlignment="0" applyProtection="0"/>
    <xf numFmtId="0" fontId="88" fillId="0" borderId="0" applyFont="0" applyFill="0" applyBorder="0" applyAlignment="0" applyProtection="0"/>
    <xf numFmtId="0" fontId="87" fillId="0" borderId="0" applyFont="0" applyFill="0" applyBorder="0" applyAlignment="0" applyProtection="0"/>
    <xf numFmtId="170" fontId="86" fillId="0" borderId="0" applyFont="0" applyFill="0" applyBorder="0" applyAlignment="0" applyProtection="0"/>
    <xf numFmtId="170" fontId="92" fillId="0" borderId="0" applyFont="0" applyFill="0" applyBorder="0" applyAlignment="0" applyProtection="0"/>
    <xf numFmtId="0" fontId="86" fillId="0" borderId="0" applyFont="0" applyFill="0" applyBorder="0" applyAlignment="0" applyProtection="0"/>
    <xf numFmtId="0" fontId="92" fillId="0" borderId="0" applyFont="0" applyFill="0" applyBorder="0" applyAlignment="0" applyProtection="0"/>
    <xf numFmtId="170" fontId="86" fillId="0" borderId="0" applyFont="0" applyFill="0" applyBorder="0" applyAlignment="0" applyProtection="0"/>
    <xf numFmtId="170" fontId="92" fillId="0" borderId="0" applyFont="0" applyFill="0" applyBorder="0" applyAlignment="0" applyProtection="0"/>
    <xf numFmtId="0" fontId="86" fillId="0" borderId="0" applyFont="0" applyFill="0" applyBorder="0" applyAlignment="0" applyProtection="0"/>
    <xf numFmtId="0" fontId="92" fillId="0" borderId="0" applyFont="0" applyFill="0" applyBorder="0" applyAlignment="0" applyProtection="0"/>
    <xf numFmtId="170" fontId="88" fillId="0" borderId="0" applyFont="0" applyFill="0" applyBorder="0" applyAlignment="0" applyProtection="0"/>
    <xf numFmtId="170" fontId="87" fillId="0" borderId="0" applyFont="0" applyFill="0" applyBorder="0" applyAlignment="0" applyProtection="0"/>
    <xf numFmtId="0" fontId="88" fillId="0" borderId="0" applyFont="0" applyFill="0" applyBorder="0" applyAlignment="0" applyProtection="0"/>
    <xf numFmtId="0" fontId="87" fillId="0" borderId="0" applyFont="0" applyFill="0" applyBorder="0" applyAlignment="0" applyProtection="0"/>
    <xf numFmtId="170" fontId="86" fillId="0" borderId="0" applyFont="0" applyFill="0" applyBorder="0" applyAlignment="0" applyProtection="0"/>
    <xf numFmtId="170" fontId="92" fillId="0" borderId="0" applyFont="0" applyFill="0" applyBorder="0" applyAlignment="0" applyProtection="0"/>
    <xf numFmtId="0" fontId="86" fillId="0" borderId="0" applyFont="0" applyFill="0" applyBorder="0" applyAlignment="0" applyProtection="0"/>
    <xf numFmtId="0" fontId="92" fillId="0" borderId="0" applyFont="0" applyFill="0" applyBorder="0" applyAlignment="0" applyProtection="0"/>
    <xf numFmtId="170" fontId="90" fillId="0" borderId="0" applyFont="0" applyFill="0" applyBorder="0" applyAlignment="0" applyProtection="0"/>
    <xf numFmtId="170" fontId="91" fillId="0" borderId="0" applyFont="0" applyFill="0" applyBorder="0" applyAlignment="0" applyProtection="0"/>
    <xf numFmtId="0" fontId="90" fillId="0" borderId="0" applyFont="0" applyFill="0" applyBorder="0" applyAlignment="0" applyProtection="0"/>
    <xf numFmtId="0" fontId="91" fillId="0" borderId="0" applyFont="0" applyFill="0" applyBorder="0" applyAlignment="0" applyProtection="0"/>
    <xf numFmtId="170" fontId="86" fillId="0" borderId="0" applyFont="0" applyFill="0" applyBorder="0" applyAlignment="0" applyProtection="0"/>
    <xf numFmtId="170" fontId="85" fillId="0" borderId="0" applyFont="0" applyFill="0" applyBorder="0" applyAlignment="0" applyProtection="0"/>
    <xf numFmtId="170" fontId="86" fillId="0" borderId="0" applyFont="0" applyFill="0" applyBorder="0" applyAlignment="0" applyProtection="0"/>
    <xf numFmtId="170" fontId="87" fillId="0" borderId="0" applyFont="0" applyFill="0" applyBorder="0" applyAlignment="0" applyProtection="0"/>
    <xf numFmtId="0" fontId="86" fillId="0" borderId="0" applyFont="0" applyFill="0" applyBorder="0" applyAlignment="0" applyProtection="0"/>
    <xf numFmtId="0" fontId="87" fillId="0" borderId="0" applyFont="0" applyFill="0" applyBorder="0" applyAlignment="0" applyProtection="0"/>
    <xf numFmtId="170" fontId="13" fillId="0" borderId="0" applyFont="0" applyFill="0" applyBorder="0" applyAlignment="0" applyProtection="0"/>
    <xf numFmtId="170" fontId="60" fillId="0" borderId="0" applyFont="0" applyFill="0" applyBorder="0" applyAlignment="0" applyProtection="0"/>
    <xf numFmtId="170" fontId="86" fillId="0" borderId="0" applyFont="0" applyFill="0" applyBorder="0" applyAlignment="0" applyProtection="0"/>
    <xf numFmtId="170" fontId="87" fillId="0" borderId="0" applyFont="0" applyFill="0" applyBorder="0" applyAlignment="0" applyProtection="0"/>
    <xf numFmtId="170" fontId="88" fillId="0" borderId="0" applyFont="0" applyFill="0" applyBorder="0" applyAlignment="0" applyProtection="0"/>
    <xf numFmtId="38" fontId="89" fillId="0" borderId="0" applyFont="0" applyFill="0" applyBorder="0" applyAlignment="0" applyProtection="0"/>
    <xf numFmtId="170" fontId="86" fillId="0" borderId="0" applyFont="0" applyFill="0" applyBorder="0" applyAlignment="0" applyProtection="0"/>
    <xf numFmtId="170" fontId="60" fillId="0" borderId="0" applyFont="0" applyFill="0" applyBorder="0" applyAlignment="0" applyProtection="0"/>
    <xf numFmtId="0" fontId="88" fillId="0" borderId="0" applyFont="0" applyFill="0" applyBorder="0" applyAlignment="0" applyProtection="0"/>
    <xf numFmtId="170" fontId="87" fillId="0" borderId="0" applyFont="0" applyFill="0" applyBorder="0" applyAlignment="0" applyProtection="0"/>
    <xf numFmtId="170" fontId="88" fillId="0" borderId="0" applyFont="0" applyFill="0" applyBorder="0" applyAlignment="0" applyProtection="0"/>
    <xf numFmtId="170" fontId="91" fillId="0" borderId="0" applyFont="0" applyFill="0" applyBorder="0" applyAlignment="0" applyProtection="0"/>
    <xf numFmtId="170" fontId="90" fillId="0" borderId="0" applyFont="0" applyFill="0" applyBorder="0" applyAlignment="0" applyProtection="0"/>
    <xf numFmtId="170" fontId="91" fillId="0" borderId="0" applyFont="0" applyFill="0" applyBorder="0" applyAlignment="0" applyProtection="0"/>
    <xf numFmtId="0" fontId="90" fillId="0" borderId="0" applyFont="0" applyFill="0" applyBorder="0" applyAlignment="0" applyProtection="0"/>
    <xf numFmtId="0" fontId="91" fillId="0" borderId="0" applyFont="0" applyFill="0" applyBorder="0" applyAlignment="0" applyProtection="0"/>
    <xf numFmtId="184" fontId="86" fillId="0" borderId="0" applyFont="0" applyFill="0" applyBorder="0" applyAlignment="0" applyProtection="0"/>
    <xf numFmtId="0" fontId="87" fillId="0" borderId="0" applyFont="0" applyFill="0" applyBorder="0" applyAlignment="0" applyProtection="0"/>
    <xf numFmtId="0" fontId="88" fillId="0" borderId="0" applyFont="0" applyFill="0" applyBorder="0" applyAlignment="0" applyProtection="0"/>
    <xf numFmtId="170" fontId="87" fillId="0" borderId="0" applyFont="0" applyFill="0" applyBorder="0" applyAlignment="0" applyProtection="0"/>
    <xf numFmtId="170" fontId="86" fillId="0" borderId="0" applyFont="0" applyFill="0" applyBorder="0" applyAlignment="0" applyProtection="0"/>
    <xf numFmtId="170" fontId="87" fillId="0" borderId="0" applyFont="0" applyFill="0" applyBorder="0" applyAlignment="0" applyProtection="0"/>
    <xf numFmtId="170" fontId="88" fillId="0" borderId="0" applyFont="0" applyFill="0" applyBorder="0" applyAlignment="0" applyProtection="0"/>
    <xf numFmtId="170" fontId="87" fillId="0" borderId="0" applyFont="0" applyFill="0" applyBorder="0" applyAlignment="0" applyProtection="0"/>
    <xf numFmtId="0" fontId="88" fillId="0" borderId="0" applyFont="0" applyFill="0" applyBorder="0" applyAlignment="0" applyProtection="0"/>
    <xf numFmtId="0" fontId="87" fillId="0" borderId="0" applyFont="0" applyFill="0" applyBorder="0" applyAlignment="0" applyProtection="0"/>
    <xf numFmtId="0" fontId="86" fillId="0" borderId="0" applyFont="0" applyFill="0" applyBorder="0" applyAlignment="0" applyProtection="0"/>
    <xf numFmtId="170" fontId="87" fillId="0" borderId="0" applyFont="0" applyFill="0" applyBorder="0" applyAlignment="0" applyProtection="0"/>
    <xf numFmtId="170" fontId="88" fillId="0" borderId="0" applyFont="0" applyFill="0" applyBorder="0" applyAlignment="0" applyProtection="0"/>
    <xf numFmtId="170" fontId="87" fillId="0" borderId="0" applyFont="0" applyFill="0" applyBorder="0" applyAlignment="0" applyProtection="0"/>
    <xf numFmtId="170" fontId="90" fillId="0" borderId="0" applyFont="0" applyFill="0" applyBorder="0" applyAlignment="0" applyProtection="0"/>
    <xf numFmtId="170" fontId="91" fillId="0" borderId="0" applyFont="0" applyFill="0" applyBorder="0" applyAlignment="0" applyProtection="0"/>
    <xf numFmtId="0" fontId="90" fillId="0" borderId="0" applyFont="0" applyFill="0" applyBorder="0" applyAlignment="0" applyProtection="0"/>
    <xf numFmtId="0" fontId="91" fillId="0" borderId="0" applyFont="0" applyFill="0" applyBorder="0" applyAlignment="0" applyProtection="0"/>
    <xf numFmtId="170" fontId="85" fillId="0" borderId="0" applyFont="0" applyFill="0" applyBorder="0" applyAlignment="0" applyProtection="0"/>
    <xf numFmtId="170" fontId="86" fillId="0" borderId="0" applyFont="0" applyFill="0" applyBorder="0" applyAlignment="0" applyProtection="0"/>
    <xf numFmtId="170" fontId="92" fillId="0" borderId="0" applyFont="0" applyFill="0" applyBorder="0" applyAlignment="0" applyProtection="0"/>
    <xf numFmtId="170" fontId="85" fillId="0" borderId="0" applyFont="0" applyFill="0" applyBorder="0" applyAlignment="0" applyProtection="0"/>
    <xf numFmtId="170" fontId="88" fillId="0" borderId="0" applyFont="0" applyFill="0" applyBorder="0" applyAlignment="0" applyProtection="0"/>
    <xf numFmtId="170" fontId="87" fillId="0" borderId="0" applyFont="0" applyFill="0" applyBorder="0" applyAlignment="0" applyProtection="0"/>
    <xf numFmtId="0" fontId="88" fillId="0" borderId="0" applyFont="0" applyFill="0" applyBorder="0" applyAlignment="0" applyProtection="0"/>
    <xf numFmtId="0" fontId="87" fillId="0" borderId="0" applyFont="0" applyFill="0" applyBorder="0" applyAlignment="0" applyProtection="0"/>
    <xf numFmtId="170" fontId="93" fillId="0" borderId="0" applyFont="0" applyFill="0" applyBorder="0" applyAlignment="0" applyProtection="0"/>
    <xf numFmtId="170" fontId="94" fillId="0" borderId="0" applyFont="0" applyFill="0" applyBorder="0" applyAlignment="0" applyProtection="0"/>
    <xf numFmtId="170" fontId="86" fillId="0" borderId="0" applyFont="0" applyFill="0" applyBorder="0" applyAlignment="0" applyProtection="0"/>
    <xf numFmtId="170" fontId="13" fillId="0" borderId="0" applyFont="0" applyFill="0" applyBorder="0" applyAlignment="0" applyProtection="0"/>
    <xf numFmtId="170" fontId="88" fillId="0" borderId="0" applyFont="0" applyFill="0" applyBorder="0" applyAlignment="0" applyProtection="0"/>
    <xf numFmtId="170" fontId="87" fillId="0" borderId="0" applyFont="0" applyFill="0" applyBorder="0" applyAlignment="0" applyProtection="0"/>
    <xf numFmtId="170" fontId="90" fillId="0" borderId="0" applyFont="0" applyFill="0" applyBorder="0" applyAlignment="0" applyProtection="0"/>
    <xf numFmtId="0" fontId="60" fillId="0" borderId="0" applyFont="0" applyFill="0" applyBorder="0" applyAlignment="0" applyProtection="0"/>
    <xf numFmtId="0" fontId="88" fillId="0" borderId="0" applyFont="0" applyFill="0" applyBorder="0" applyAlignment="0" applyProtection="0"/>
    <xf numFmtId="0" fontId="87" fillId="0" borderId="0" applyFont="0" applyFill="0" applyBorder="0" applyAlignment="0" applyProtection="0"/>
    <xf numFmtId="0" fontId="88" fillId="0" borderId="0" applyFont="0" applyFill="0" applyBorder="0" applyAlignment="0" applyProtection="0"/>
    <xf numFmtId="0" fontId="60" fillId="0" borderId="0" applyFont="0" applyFill="0" applyBorder="0" applyAlignment="0" applyProtection="0"/>
    <xf numFmtId="0" fontId="86" fillId="0" borderId="0" applyFont="0" applyFill="0" applyBorder="0" applyAlignment="0" applyProtection="0"/>
    <xf numFmtId="170" fontId="85" fillId="0" borderId="0" applyFont="0" applyFill="0" applyBorder="0" applyAlignment="0" applyProtection="0"/>
    <xf numFmtId="170" fontId="60" fillId="0" borderId="0" applyFont="0" applyFill="0" applyBorder="0" applyAlignment="0" applyProtection="0"/>
    <xf numFmtId="170" fontId="86" fillId="0" borderId="0" applyFont="0" applyFill="0" applyBorder="0" applyAlignment="0" applyProtection="0"/>
    <xf numFmtId="170" fontId="87" fillId="0" borderId="0" applyFont="0" applyFill="0" applyBorder="0" applyAlignment="0" applyProtection="0"/>
    <xf numFmtId="170" fontId="95" fillId="0" borderId="0" applyFont="0" applyFill="0" applyBorder="0" applyAlignment="0" applyProtection="0"/>
    <xf numFmtId="170" fontId="91" fillId="0" borderId="0" applyFont="0" applyFill="0" applyBorder="0" applyAlignment="0" applyProtection="0"/>
    <xf numFmtId="170" fontId="90" fillId="0" borderId="0" applyFont="0" applyFill="0" applyBorder="0" applyAlignment="0" applyProtection="0"/>
    <xf numFmtId="170" fontId="91" fillId="0" borderId="0" applyFont="0" applyFill="0" applyBorder="0" applyAlignment="0" applyProtection="0"/>
    <xf numFmtId="0" fontId="90" fillId="0" borderId="0" applyFont="0" applyFill="0" applyBorder="0" applyAlignment="0" applyProtection="0"/>
    <xf numFmtId="0" fontId="91" fillId="0" borderId="0" applyFont="0" applyFill="0" applyBorder="0" applyAlignment="0" applyProtection="0"/>
    <xf numFmtId="170" fontId="90" fillId="0" borderId="0" applyFont="0" applyFill="0" applyBorder="0" applyAlignment="0" applyProtection="0"/>
    <xf numFmtId="170" fontId="91" fillId="0" borderId="0" applyFont="0" applyFill="0" applyBorder="0" applyAlignment="0" applyProtection="0"/>
    <xf numFmtId="0" fontId="90" fillId="0" borderId="0" applyFont="0" applyFill="0" applyBorder="0" applyAlignment="0" applyProtection="0"/>
    <xf numFmtId="0" fontId="91" fillId="0" borderId="0" applyFont="0" applyFill="0" applyBorder="0" applyAlignment="0" applyProtection="0"/>
    <xf numFmtId="170" fontId="90" fillId="0" borderId="0" applyFont="0" applyFill="0" applyBorder="0" applyAlignment="0" applyProtection="0"/>
    <xf numFmtId="170" fontId="91" fillId="0" borderId="0" applyFont="0" applyFill="0" applyBorder="0" applyAlignment="0" applyProtection="0"/>
    <xf numFmtId="0" fontId="90" fillId="0" borderId="0" applyFont="0" applyFill="0" applyBorder="0" applyAlignment="0" applyProtection="0"/>
    <xf numFmtId="0" fontId="91" fillId="0" borderId="0" applyFont="0" applyFill="0" applyBorder="0" applyAlignment="0" applyProtection="0"/>
    <xf numFmtId="170" fontId="90" fillId="0" borderId="0" applyFont="0" applyFill="0" applyBorder="0" applyAlignment="0" applyProtection="0"/>
    <xf numFmtId="170" fontId="91" fillId="0" borderId="0" applyFont="0" applyFill="0" applyBorder="0" applyAlignment="0" applyProtection="0"/>
    <xf numFmtId="0" fontId="90" fillId="0" borderId="0" applyFont="0" applyFill="0" applyBorder="0" applyAlignment="0" applyProtection="0"/>
    <xf numFmtId="0" fontId="91" fillId="0" borderId="0" applyFont="0" applyFill="0" applyBorder="0" applyAlignment="0" applyProtection="0"/>
    <xf numFmtId="170" fontId="88" fillId="0" borderId="0" applyFont="0" applyFill="0" applyBorder="0" applyAlignment="0" applyProtection="0"/>
    <xf numFmtId="170" fontId="87" fillId="0" borderId="0" applyFont="0" applyFill="0" applyBorder="0" applyAlignment="0" applyProtection="0"/>
    <xf numFmtId="0" fontId="88" fillId="0" borderId="0" applyFont="0" applyFill="0" applyBorder="0" applyAlignment="0" applyProtection="0"/>
    <xf numFmtId="0" fontId="87" fillId="0" borderId="0" applyFont="0" applyFill="0" applyBorder="0" applyAlignment="0" applyProtection="0"/>
    <xf numFmtId="170" fontId="86" fillId="0" borderId="0" applyFont="0" applyFill="0" applyBorder="0" applyAlignment="0" applyProtection="0"/>
    <xf numFmtId="170" fontId="92" fillId="0" borderId="0" applyFont="0" applyFill="0" applyBorder="0" applyAlignment="0" applyProtection="0"/>
    <xf numFmtId="0" fontId="86" fillId="0" borderId="0" applyFont="0" applyFill="0" applyBorder="0" applyAlignment="0" applyProtection="0"/>
    <xf numFmtId="0" fontId="92" fillId="0" borderId="0" applyFont="0" applyFill="0" applyBorder="0" applyAlignment="0" applyProtection="0"/>
    <xf numFmtId="170" fontId="88" fillId="0" borderId="0" applyFont="0" applyFill="0" applyBorder="0" applyAlignment="0" applyProtection="0"/>
    <xf numFmtId="170" fontId="87" fillId="0" borderId="0" applyFont="0" applyFill="0" applyBorder="0" applyAlignment="0" applyProtection="0"/>
    <xf numFmtId="0" fontId="88" fillId="0" borderId="0" applyFont="0" applyFill="0" applyBorder="0" applyAlignment="0" applyProtection="0"/>
    <xf numFmtId="0" fontId="87" fillId="0" borderId="0" applyFont="0" applyFill="0" applyBorder="0" applyAlignment="0" applyProtection="0"/>
    <xf numFmtId="170" fontId="86" fillId="0" borderId="0" applyFont="0" applyFill="0" applyBorder="0" applyAlignment="0" applyProtection="0"/>
    <xf numFmtId="170" fontId="92" fillId="0" borderId="0" applyFont="0" applyFill="0" applyBorder="0" applyAlignment="0" applyProtection="0"/>
    <xf numFmtId="0" fontId="86" fillId="0" borderId="0" applyFont="0" applyFill="0" applyBorder="0" applyAlignment="0" applyProtection="0"/>
    <xf numFmtId="0" fontId="92" fillId="0" borderId="0" applyFont="0" applyFill="0" applyBorder="0" applyAlignment="0" applyProtection="0"/>
    <xf numFmtId="170" fontId="90" fillId="0" borderId="0" applyFont="0" applyFill="0" applyBorder="0" applyAlignment="0" applyProtection="0"/>
    <xf numFmtId="170" fontId="91" fillId="0" borderId="0" applyFont="0" applyFill="0" applyBorder="0" applyAlignment="0" applyProtection="0"/>
    <xf numFmtId="0" fontId="90" fillId="0" borderId="0" applyFont="0" applyFill="0" applyBorder="0" applyAlignment="0" applyProtection="0"/>
    <xf numFmtId="0" fontId="91" fillId="0" borderId="0" applyFont="0" applyFill="0" applyBorder="0" applyAlignment="0" applyProtection="0"/>
    <xf numFmtId="170" fontId="86" fillId="0" borderId="0" applyFont="0" applyFill="0" applyBorder="0" applyAlignment="0" applyProtection="0"/>
    <xf numFmtId="170" fontId="74" fillId="0" borderId="0" applyFont="0" applyFill="0" applyBorder="0" applyAlignment="0" applyProtection="0"/>
    <xf numFmtId="170" fontId="74" fillId="0" borderId="0" applyFont="0" applyFill="0" applyBorder="0" applyAlignment="0" applyProtection="0"/>
    <xf numFmtId="170" fontId="75" fillId="0" borderId="0" applyFont="0" applyFill="0" applyBorder="0" applyAlignment="0" applyProtection="0"/>
    <xf numFmtId="170" fontId="52" fillId="0" borderId="0" applyFont="0" applyFill="0" applyBorder="0" applyAlignment="0" applyProtection="0"/>
    <xf numFmtId="0" fontId="79" fillId="0" borderId="0" applyFont="0" applyFill="0" applyBorder="0" applyAlignment="0" applyProtection="0"/>
    <xf numFmtId="0" fontId="79" fillId="0" borderId="0" applyFont="0" applyFill="0" applyBorder="0" applyAlignment="0" applyProtection="0"/>
    <xf numFmtId="170" fontId="80" fillId="0" borderId="0" applyFont="0" applyFill="0" applyBorder="0" applyAlignment="0" applyProtection="0"/>
    <xf numFmtId="170" fontId="80" fillId="0" borderId="0" applyFont="0" applyFill="0" applyBorder="0" applyAlignment="0" applyProtection="0"/>
    <xf numFmtId="192" fontId="81" fillId="0" borderId="0" applyFont="0" applyFill="0" applyBorder="0" applyAlignment="0" applyProtection="0"/>
    <xf numFmtId="193" fontId="81" fillId="0" borderId="0" applyFont="0" applyFill="0" applyBorder="0" applyAlignment="0" applyProtection="0"/>
    <xf numFmtId="170" fontId="72" fillId="0" borderId="0" applyFont="0" applyFill="0" applyBorder="0" applyAlignment="0" applyProtection="0"/>
    <xf numFmtId="170" fontId="72" fillId="0" borderId="0" applyFont="0" applyFill="0" applyBorder="0" applyAlignment="0" applyProtection="0"/>
    <xf numFmtId="194" fontId="73" fillId="0" borderId="0" applyFont="0" applyFill="0" applyBorder="0" applyAlignment="0" applyProtection="0"/>
    <xf numFmtId="0" fontId="50" fillId="0" borderId="0" applyFont="0" applyFill="0" applyBorder="0" applyAlignment="0" applyProtection="0"/>
    <xf numFmtId="0" fontId="57" fillId="0" borderId="0"/>
    <xf numFmtId="170" fontId="57" fillId="0" borderId="0" applyFont="0" applyFill="0" applyBorder="0" applyAlignment="0" applyProtection="0"/>
    <xf numFmtId="170" fontId="87" fillId="0" borderId="0" applyFont="0" applyFill="0" applyBorder="0" applyAlignment="0" applyProtection="0"/>
    <xf numFmtId="170" fontId="13" fillId="0" borderId="0" applyFont="0" applyFill="0" applyBorder="0" applyAlignment="0" applyProtection="0"/>
    <xf numFmtId="170" fontId="60" fillId="0" borderId="0" applyFont="0" applyFill="0" applyBorder="0" applyAlignment="0" applyProtection="0"/>
    <xf numFmtId="170" fontId="93" fillId="0" borderId="0" applyBorder="0" applyProtection="0">
      <alignment vertical="center"/>
      <protection locked="0"/>
    </xf>
    <xf numFmtId="170" fontId="87" fillId="0" borderId="0" applyFont="0" applyFill="0" applyBorder="0" applyAlignment="0" applyProtection="0"/>
    <xf numFmtId="170" fontId="86" fillId="0" borderId="0" applyFont="0" applyFill="0" applyBorder="0" applyAlignment="0" applyProtection="0"/>
    <xf numFmtId="170" fontId="60" fillId="0" borderId="0" applyFont="0" applyFill="0" applyBorder="0" applyAlignment="0" applyProtection="0"/>
    <xf numFmtId="170" fontId="86" fillId="0" borderId="0" applyFont="0" applyFill="0" applyBorder="0" applyAlignment="0" applyProtection="0"/>
    <xf numFmtId="170" fontId="60" fillId="0" borderId="0" applyFont="0" applyFill="0" applyBorder="0" applyAlignment="0" applyProtection="0"/>
    <xf numFmtId="0" fontId="86" fillId="0" borderId="0" applyFont="0" applyFill="0" applyBorder="0" applyAlignment="0" applyProtection="0"/>
    <xf numFmtId="0" fontId="96" fillId="0" borderId="0" applyFont="0" applyFill="0" applyBorder="0" applyAlignment="0" applyProtection="0"/>
    <xf numFmtId="195" fontId="86" fillId="0" borderId="0" applyFont="0" applyFill="0" applyBorder="0" applyAlignment="0" applyProtection="0"/>
    <xf numFmtId="170" fontId="87" fillId="0" borderId="0" applyFont="0" applyFill="0" applyBorder="0" applyAlignment="0" applyProtection="0"/>
    <xf numFmtId="170" fontId="88" fillId="0" borderId="0" applyFont="0" applyFill="0" applyBorder="0" applyAlignment="0" applyProtection="0"/>
    <xf numFmtId="170" fontId="87" fillId="0" borderId="0" applyFont="0" applyFill="0" applyBorder="0" applyAlignment="0" applyProtection="0"/>
    <xf numFmtId="0" fontId="88" fillId="0" borderId="0" applyFont="0" applyFill="0" applyBorder="0" applyAlignment="0" applyProtection="0"/>
    <xf numFmtId="0" fontId="87" fillId="0" borderId="0" applyFont="0" applyFill="0" applyBorder="0" applyAlignment="0" applyProtection="0"/>
    <xf numFmtId="0" fontId="86" fillId="0" borderId="0" applyFont="0" applyFill="0" applyBorder="0" applyAlignment="0" applyProtection="0"/>
    <xf numFmtId="170" fontId="87" fillId="0" borderId="0" applyFont="0" applyFill="0" applyBorder="0" applyAlignment="0" applyProtection="0"/>
    <xf numFmtId="170" fontId="88" fillId="0" borderId="0" applyFont="0" applyFill="0" applyBorder="0" applyAlignment="0" applyProtection="0"/>
    <xf numFmtId="170" fontId="87" fillId="0" borderId="0" applyFont="0" applyFill="0" applyBorder="0" applyAlignment="0" applyProtection="0"/>
    <xf numFmtId="170" fontId="90" fillId="0" borderId="0" applyFont="0" applyFill="0" applyBorder="0" applyAlignment="0" applyProtection="0"/>
    <xf numFmtId="170" fontId="91" fillId="0" borderId="0" applyFont="0" applyFill="0" applyBorder="0" applyAlignment="0" applyProtection="0"/>
    <xf numFmtId="0" fontId="90" fillId="0" borderId="0" applyFont="0" applyFill="0" applyBorder="0" applyAlignment="0" applyProtection="0"/>
    <xf numFmtId="0" fontId="91" fillId="0" borderId="0" applyFont="0" applyFill="0" applyBorder="0" applyAlignment="0" applyProtection="0"/>
    <xf numFmtId="170" fontId="88" fillId="0" borderId="0" applyFont="0" applyFill="0" applyBorder="0" applyAlignment="0" applyProtection="0"/>
    <xf numFmtId="170" fontId="87" fillId="0" borderId="0" applyFont="0" applyFill="0" applyBorder="0" applyAlignment="0" applyProtection="0"/>
    <xf numFmtId="0" fontId="88" fillId="0" borderId="0" applyFont="0" applyFill="0" applyBorder="0" applyAlignment="0" applyProtection="0"/>
    <xf numFmtId="0" fontId="87" fillId="0" borderId="0" applyFont="0" applyFill="0" applyBorder="0" applyAlignment="0" applyProtection="0"/>
    <xf numFmtId="170" fontId="88" fillId="0" borderId="0" applyFont="0" applyFill="0" applyBorder="0" applyAlignment="0" applyProtection="0"/>
    <xf numFmtId="170" fontId="87" fillId="0" borderId="0" applyFont="0" applyFill="0" applyBorder="0" applyAlignment="0" applyProtection="0"/>
    <xf numFmtId="0" fontId="88" fillId="0" borderId="0" applyFont="0" applyFill="0" applyBorder="0" applyAlignment="0" applyProtection="0"/>
    <xf numFmtId="0" fontId="87" fillId="0" borderId="0" applyFont="0" applyFill="0" applyBorder="0" applyAlignment="0" applyProtection="0"/>
    <xf numFmtId="170" fontId="86" fillId="0" borderId="0" applyFont="0" applyFill="0" applyBorder="0" applyAlignment="0" applyProtection="0"/>
    <xf numFmtId="170" fontId="13" fillId="0" borderId="0" applyFont="0" applyFill="0" applyBorder="0" applyAlignment="0" applyProtection="0"/>
    <xf numFmtId="170" fontId="88" fillId="0" borderId="0" applyFont="0" applyFill="0" applyBorder="0" applyAlignment="0" applyProtection="0"/>
    <xf numFmtId="170" fontId="87" fillId="0" borderId="0" applyFont="0" applyFill="0" applyBorder="0" applyAlignment="0" applyProtection="0"/>
    <xf numFmtId="170" fontId="90" fillId="0" borderId="0" applyFont="0" applyFill="0" applyBorder="0" applyAlignment="0" applyProtection="0"/>
    <xf numFmtId="170" fontId="92" fillId="0" borderId="0" applyFont="0" applyFill="0" applyBorder="0" applyAlignment="0" applyProtection="0"/>
    <xf numFmtId="0" fontId="88" fillId="0" borderId="0" applyFont="0" applyFill="0" applyBorder="0" applyAlignment="0" applyProtection="0"/>
    <xf numFmtId="0" fontId="60" fillId="0" borderId="0" applyFont="0" applyFill="0" applyBorder="0" applyAlignment="0" applyProtection="0"/>
    <xf numFmtId="0" fontId="86" fillId="0" borderId="0" applyFont="0" applyFill="0" applyBorder="0" applyAlignment="0" applyProtection="0"/>
    <xf numFmtId="170" fontId="87" fillId="0" borderId="0" applyFont="0" applyFill="0" applyBorder="0" applyAlignment="0" applyProtection="0"/>
    <xf numFmtId="170" fontId="95" fillId="0" borderId="0" applyFont="0" applyFill="0" applyBorder="0" applyAlignment="0" applyProtection="0"/>
    <xf numFmtId="170" fontId="91" fillId="0" borderId="0" applyFont="0" applyFill="0" applyBorder="0" applyAlignment="0" applyProtection="0"/>
    <xf numFmtId="170" fontId="86" fillId="0" borderId="0" applyFont="0" applyFill="0" applyBorder="0" applyAlignment="0" applyProtection="0"/>
    <xf numFmtId="170" fontId="92" fillId="0" borderId="0" applyFont="0" applyFill="0" applyBorder="0" applyAlignment="0" applyProtection="0"/>
    <xf numFmtId="0" fontId="86" fillId="0" borderId="0" applyFont="0" applyFill="0" applyBorder="0" applyAlignment="0" applyProtection="0"/>
    <xf numFmtId="0" fontId="92" fillId="0" borderId="0" applyFont="0" applyFill="0" applyBorder="0" applyAlignment="0" applyProtection="0"/>
    <xf numFmtId="170" fontId="88" fillId="0" borderId="0" applyFont="0" applyFill="0" applyBorder="0" applyAlignment="0" applyProtection="0"/>
    <xf numFmtId="170" fontId="87" fillId="0" borderId="0" applyFont="0" applyFill="0" applyBorder="0" applyAlignment="0" applyProtection="0"/>
    <xf numFmtId="0" fontId="88" fillId="0" borderId="0" applyFont="0" applyFill="0" applyBorder="0" applyAlignment="0" applyProtection="0"/>
    <xf numFmtId="0" fontId="87" fillId="0" borderId="0" applyFont="0" applyFill="0" applyBorder="0" applyAlignment="0" applyProtection="0"/>
    <xf numFmtId="170" fontId="88" fillId="0" borderId="0" applyFont="0" applyFill="0" applyBorder="0" applyAlignment="0" applyProtection="0"/>
    <xf numFmtId="170" fontId="87" fillId="0" borderId="0" applyFont="0" applyFill="0" applyBorder="0" applyAlignment="0" applyProtection="0"/>
    <xf numFmtId="0" fontId="88" fillId="0" borderId="0" applyFont="0" applyFill="0" applyBorder="0" applyAlignment="0" applyProtection="0"/>
    <xf numFmtId="0" fontId="87" fillId="0" borderId="0" applyFont="0" applyFill="0" applyBorder="0" applyAlignment="0" applyProtection="0"/>
    <xf numFmtId="170" fontId="90" fillId="0" borderId="0" applyFont="0" applyFill="0" applyBorder="0" applyAlignment="0" applyProtection="0"/>
    <xf numFmtId="170" fontId="91" fillId="0" borderId="0" applyFont="0" applyFill="0" applyBorder="0" applyAlignment="0" applyProtection="0"/>
    <xf numFmtId="0" fontId="90" fillId="0" borderId="0" applyFont="0" applyFill="0" applyBorder="0" applyAlignment="0" applyProtection="0"/>
    <xf numFmtId="0" fontId="91" fillId="0" borderId="0" applyFont="0" applyFill="0" applyBorder="0" applyAlignment="0" applyProtection="0"/>
    <xf numFmtId="170" fontId="86" fillId="0" borderId="0" applyFont="0" applyFill="0" applyBorder="0" applyAlignment="0" applyProtection="0"/>
    <xf numFmtId="170" fontId="86" fillId="0" borderId="0" applyFont="0" applyFill="0" applyBorder="0" applyAlignment="0" applyProtection="0"/>
    <xf numFmtId="170" fontId="87" fillId="0" borderId="0" applyFont="0" applyFill="0" applyBorder="0" applyAlignment="0" applyProtection="0"/>
    <xf numFmtId="0" fontId="86" fillId="0" borderId="0" applyFont="0" applyFill="0" applyBorder="0" applyAlignment="0" applyProtection="0"/>
    <xf numFmtId="0" fontId="87" fillId="0" borderId="0" applyFont="0" applyFill="0" applyBorder="0" applyAlignment="0" applyProtection="0"/>
    <xf numFmtId="170" fontId="13" fillId="0" borderId="0" applyFont="0" applyFill="0" applyBorder="0" applyAlignment="0" applyProtection="0"/>
    <xf numFmtId="170" fontId="60" fillId="0" borderId="0" applyFont="0" applyFill="0" applyBorder="0" applyAlignment="0" applyProtection="0"/>
    <xf numFmtId="170" fontId="86" fillId="0" borderId="0" applyFont="0" applyFill="0" applyBorder="0" applyAlignment="0" applyProtection="0"/>
    <xf numFmtId="170" fontId="87" fillId="0" borderId="0" applyFont="0" applyFill="0" applyBorder="0" applyAlignment="0" applyProtection="0"/>
    <xf numFmtId="170" fontId="88" fillId="0" borderId="0" applyFont="0" applyFill="0" applyBorder="0" applyAlignment="0" applyProtection="0"/>
    <xf numFmtId="39" fontId="89" fillId="0" borderId="0" applyFont="0" applyFill="0" applyBorder="0" applyAlignment="0" applyProtection="0"/>
    <xf numFmtId="170" fontId="86" fillId="0" borderId="0" applyFont="0" applyFill="0" applyBorder="0" applyAlignment="0" applyProtection="0"/>
    <xf numFmtId="170" fontId="60" fillId="0" borderId="0" applyFont="0" applyFill="0" applyBorder="0" applyAlignment="0" applyProtection="0"/>
    <xf numFmtId="0" fontId="88" fillId="0" borderId="0" applyFont="0" applyFill="0" applyBorder="0" applyAlignment="0" applyProtection="0"/>
    <xf numFmtId="170" fontId="87" fillId="0" borderId="0" applyFont="0" applyFill="0" applyBorder="0" applyAlignment="0" applyProtection="0"/>
    <xf numFmtId="170" fontId="88" fillId="0" borderId="0" applyFont="0" applyFill="0" applyBorder="0" applyAlignment="0" applyProtection="0"/>
    <xf numFmtId="0" fontId="60" fillId="0" borderId="0" applyFont="0" applyFill="0" applyBorder="0" applyAlignment="0" applyProtection="0"/>
    <xf numFmtId="196" fontId="86" fillId="0" borderId="0" applyFont="0" applyFill="0" applyBorder="0" applyAlignment="0" applyProtection="0"/>
    <xf numFmtId="0" fontId="96" fillId="0" borderId="0" applyFont="0" applyFill="0" applyBorder="0" applyAlignment="0" applyProtection="0"/>
    <xf numFmtId="0" fontId="97" fillId="0" borderId="0" applyFont="0" applyFill="0" applyBorder="0" applyAlignment="0" applyProtection="0"/>
    <xf numFmtId="170" fontId="60" fillId="0" borderId="0" applyFont="0" applyFill="0" applyBorder="0" applyAlignment="0" applyProtection="0"/>
    <xf numFmtId="170" fontId="86" fillId="0" borderId="0" applyFont="0" applyFill="0" applyBorder="0" applyAlignment="0" applyProtection="0"/>
    <xf numFmtId="170" fontId="87" fillId="0" borderId="0" applyFont="0" applyFill="0" applyBorder="0" applyAlignment="0" applyProtection="0"/>
    <xf numFmtId="170" fontId="88" fillId="0" borderId="0" applyFont="0" applyFill="0" applyBorder="0" applyAlignment="0" applyProtection="0"/>
    <xf numFmtId="170" fontId="87" fillId="0" borderId="0" applyFont="0" applyFill="0" applyBorder="0" applyAlignment="0" applyProtection="0"/>
    <xf numFmtId="0" fontId="88" fillId="0" borderId="0" applyFont="0" applyFill="0" applyBorder="0" applyAlignment="0" applyProtection="0"/>
    <xf numFmtId="0" fontId="87" fillId="0" borderId="0" applyFont="0" applyFill="0" applyBorder="0" applyAlignment="0" applyProtection="0"/>
    <xf numFmtId="0" fontId="86" fillId="0" borderId="0" applyFont="0" applyFill="0" applyBorder="0" applyAlignment="0" applyProtection="0"/>
    <xf numFmtId="170" fontId="87" fillId="0" borderId="0" applyFont="0" applyFill="0" applyBorder="0" applyAlignment="0" applyProtection="0"/>
    <xf numFmtId="170" fontId="88" fillId="0" borderId="0" applyFont="0" applyFill="0" applyBorder="0" applyAlignment="0" applyProtection="0"/>
    <xf numFmtId="170" fontId="87" fillId="0" borderId="0" applyFont="0" applyFill="0" applyBorder="0" applyAlignment="0" applyProtection="0"/>
    <xf numFmtId="170" fontId="90" fillId="0" borderId="0" applyFont="0" applyFill="0" applyBorder="0" applyAlignment="0" applyProtection="0"/>
    <xf numFmtId="170" fontId="91" fillId="0" borderId="0" applyFont="0" applyFill="0" applyBorder="0" applyAlignment="0" applyProtection="0"/>
    <xf numFmtId="0" fontId="90" fillId="0" borderId="0" applyFont="0" applyFill="0" applyBorder="0" applyAlignment="0" applyProtection="0"/>
    <xf numFmtId="0" fontId="91" fillId="0" borderId="0" applyFont="0" applyFill="0" applyBorder="0" applyAlignment="0" applyProtection="0"/>
    <xf numFmtId="170" fontId="86" fillId="0" borderId="0" applyFont="0" applyFill="0" applyBorder="0" applyAlignment="0" applyProtection="0"/>
    <xf numFmtId="170" fontId="92" fillId="0" borderId="0" applyFont="0" applyFill="0" applyBorder="0" applyAlignment="0" applyProtection="0"/>
    <xf numFmtId="0" fontId="86" fillId="0" borderId="0" applyFont="0" applyFill="0" applyBorder="0" applyAlignment="0" applyProtection="0"/>
    <xf numFmtId="0" fontId="92" fillId="0" borderId="0" applyFont="0" applyFill="0" applyBorder="0" applyAlignment="0" applyProtection="0"/>
    <xf numFmtId="170" fontId="88" fillId="0" borderId="0" applyFont="0" applyFill="0" applyBorder="0" applyAlignment="0" applyProtection="0"/>
    <xf numFmtId="170" fontId="87" fillId="0" borderId="0" applyFont="0" applyFill="0" applyBorder="0" applyAlignment="0" applyProtection="0"/>
    <xf numFmtId="0" fontId="88" fillId="0" borderId="0" applyFont="0" applyFill="0" applyBorder="0" applyAlignment="0" applyProtection="0"/>
    <xf numFmtId="0" fontId="87" fillId="0" borderId="0" applyFont="0" applyFill="0" applyBorder="0" applyAlignment="0" applyProtection="0"/>
    <xf numFmtId="170" fontId="86" fillId="0" borderId="0" applyFont="0" applyFill="0" applyBorder="0" applyAlignment="0" applyProtection="0"/>
    <xf numFmtId="170" fontId="13" fillId="0" borderId="0" applyFont="0" applyFill="0" applyBorder="0" applyAlignment="0" applyProtection="0"/>
    <xf numFmtId="170" fontId="88" fillId="0" borderId="0" applyFont="0" applyFill="0" applyBorder="0" applyAlignment="0" applyProtection="0"/>
    <xf numFmtId="170" fontId="87" fillId="0" borderId="0" applyFont="0" applyFill="0" applyBorder="0" applyAlignment="0" applyProtection="0"/>
    <xf numFmtId="170" fontId="90" fillId="0" borderId="0" applyFont="0" applyFill="0" applyBorder="0" applyAlignment="0" applyProtection="0"/>
    <xf numFmtId="0" fontId="60" fillId="0" borderId="0" applyFont="0" applyFill="0" applyBorder="0" applyAlignment="0" applyProtection="0"/>
    <xf numFmtId="0" fontId="88" fillId="0" borderId="0" applyFont="0" applyFill="0" applyBorder="0" applyAlignment="0" applyProtection="0"/>
    <xf numFmtId="0" fontId="87" fillId="0" borderId="0" applyFont="0" applyFill="0" applyBorder="0" applyAlignment="0" applyProtection="0"/>
    <xf numFmtId="0" fontId="88" fillId="0" borderId="0" applyFont="0" applyFill="0" applyBorder="0" applyAlignment="0" applyProtection="0"/>
    <xf numFmtId="0" fontId="60" fillId="0" borderId="0" applyFont="0" applyFill="0" applyBorder="0" applyAlignment="0" applyProtection="0"/>
    <xf numFmtId="0" fontId="86" fillId="0" borderId="0" applyFont="0" applyFill="0" applyBorder="0" applyAlignment="0" applyProtection="0"/>
    <xf numFmtId="170" fontId="87" fillId="0" borderId="0" applyFont="0" applyFill="0" applyBorder="0" applyAlignment="0" applyProtection="0"/>
    <xf numFmtId="170" fontId="95" fillId="0" borderId="0" applyFont="0" applyFill="0" applyBorder="0" applyAlignment="0" applyProtection="0"/>
    <xf numFmtId="170" fontId="91" fillId="0" borderId="0" applyFont="0" applyFill="0" applyBorder="0" applyAlignment="0" applyProtection="0"/>
    <xf numFmtId="170" fontId="86" fillId="0" borderId="0" applyFont="0" applyFill="0" applyBorder="0" applyAlignment="0" applyProtection="0"/>
    <xf numFmtId="170" fontId="92" fillId="0" borderId="0" applyFont="0" applyFill="0" applyBorder="0" applyAlignment="0" applyProtection="0"/>
    <xf numFmtId="0" fontId="86" fillId="0" borderId="0" applyFont="0" applyFill="0" applyBorder="0" applyAlignment="0" applyProtection="0"/>
    <xf numFmtId="0" fontId="92" fillId="0" borderId="0" applyFont="0" applyFill="0" applyBorder="0" applyAlignment="0" applyProtection="0"/>
    <xf numFmtId="170" fontId="88" fillId="0" borderId="0" applyFont="0" applyFill="0" applyBorder="0" applyAlignment="0" applyProtection="0"/>
    <xf numFmtId="170" fontId="87" fillId="0" borderId="0" applyFont="0" applyFill="0" applyBorder="0" applyAlignment="0" applyProtection="0"/>
    <xf numFmtId="0" fontId="88" fillId="0" borderId="0" applyFont="0" applyFill="0" applyBorder="0" applyAlignment="0" applyProtection="0"/>
    <xf numFmtId="0" fontId="87" fillId="0" borderId="0" applyFont="0" applyFill="0" applyBorder="0" applyAlignment="0" applyProtection="0"/>
    <xf numFmtId="170" fontId="86" fillId="0" borderId="0" applyFont="0" applyFill="0" applyBorder="0" applyAlignment="0" applyProtection="0"/>
    <xf numFmtId="170" fontId="92" fillId="0" borderId="0" applyFont="0" applyFill="0" applyBorder="0" applyAlignment="0" applyProtection="0"/>
    <xf numFmtId="0" fontId="86" fillId="0" borderId="0" applyFont="0" applyFill="0" applyBorder="0" applyAlignment="0" applyProtection="0"/>
    <xf numFmtId="0" fontId="92" fillId="0" borderId="0" applyFont="0" applyFill="0" applyBorder="0" applyAlignment="0" applyProtection="0"/>
    <xf numFmtId="170" fontId="90" fillId="0" borderId="0" applyFont="0" applyFill="0" applyBorder="0" applyAlignment="0" applyProtection="0"/>
    <xf numFmtId="170" fontId="91" fillId="0" borderId="0" applyFont="0" applyFill="0" applyBorder="0" applyAlignment="0" applyProtection="0"/>
    <xf numFmtId="0" fontId="90" fillId="0" borderId="0" applyFont="0" applyFill="0" applyBorder="0" applyAlignment="0" applyProtection="0"/>
    <xf numFmtId="0" fontId="91" fillId="0" borderId="0" applyFont="0" applyFill="0" applyBorder="0" applyAlignment="0" applyProtection="0"/>
    <xf numFmtId="170" fontId="86" fillId="0" borderId="0" applyFont="0" applyFill="0" applyBorder="0" applyAlignment="0" applyProtection="0"/>
    <xf numFmtId="170" fontId="85" fillId="0" borderId="0" applyFont="0" applyFill="0" applyBorder="0" applyAlignment="0" applyProtection="0"/>
    <xf numFmtId="170" fontId="85" fillId="0" borderId="0" applyFont="0" applyFill="0" applyBorder="0" applyAlignment="0" applyProtection="0"/>
    <xf numFmtId="170" fontId="1" fillId="0" borderId="0" applyFont="0" applyFill="0" applyBorder="0" applyAlignment="0" applyProtection="0"/>
    <xf numFmtId="0" fontId="1" fillId="0" borderId="0" applyFont="0" applyFill="0" applyBorder="0" applyAlignment="0" applyProtection="0"/>
    <xf numFmtId="0" fontId="98" fillId="43" borderId="0" applyNumberFormat="0" applyBorder="0" applyAlignment="0" applyProtection="0">
      <alignment vertical="center"/>
    </xf>
    <xf numFmtId="0" fontId="98" fillId="43" borderId="0" applyNumberFormat="0" applyBorder="0" applyAlignment="0" applyProtection="0">
      <alignment vertical="center"/>
    </xf>
    <xf numFmtId="0" fontId="99" fillId="43" borderId="0" applyNumberFormat="0" applyBorder="0" applyAlignment="0" applyProtection="0">
      <alignment vertical="center"/>
    </xf>
    <xf numFmtId="0" fontId="100" fillId="43" borderId="0" applyNumberFormat="0" applyBorder="0" applyAlignment="0" applyProtection="0">
      <alignment vertical="center"/>
    </xf>
    <xf numFmtId="0" fontId="98" fillId="43" borderId="0" applyNumberFormat="0" applyBorder="0" applyAlignment="0" applyProtection="0">
      <alignment vertical="center"/>
    </xf>
    <xf numFmtId="0" fontId="99" fillId="43" borderId="0" applyNumberFormat="0" applyBorder="0" applyAlignment="0" applyProtection="0">
      <alignment vertical="center"/>
    </xf>
    <xf numFmtId="0" fontId="99" fillId="44" borderId="0">
      <alignment vertical="center"/>
    </xf>
    <xf numFmtId="170" fontId="101" fillId="89" borderId="0" applyNumberFormat="0" applyBorder="0" applyAlignment="0" applyProtection="0"/>
    <xf numFmtId="170" fontId="102" fillId="0" borderId="0" applyNumberFormat="0" applyFill="0" applyBorder="0" applyAlignment="0" applyProtection="0"/>
    <xf numFmtId="0" fontId="102" fillId="0" borderId="0" applyNumberFormat="0" applyFill="0" applyBorder="0" applyAlignment="0" applyProtection="0"/>
    <xf numFmtId="170" fontId="103" fillId="0" borderId="0"/>
    <xf numFmtId="0" fontId="104" fillId="0" borderId="0"/>
    <xf numFmtId="170" fontId="80" fillId="0" borderId="0"/>
    <xf numFmtId="170" fontId="52" fillId="0" borderId="0"/>
    <xf numFmtId="0" fontId="105" fillId="0" borderId="0"/>
    <xf numFmtId="170" fontId="52" fillId="0" borderId="0"/>
    <xf numFmtId="170" fontId="78" fillId="0" borderId="0"/>
    <xf numFmtId="170" fontId="52" fillId="0" borderId="0"/>
    <xf numFmtId="0" fontId="78" fillId="0" borderId="0"/>
    <xf numFmtId="0" fontId="52" fillId="0" borderId="0"/>
    <xf numFmtId="170" fontId="78" fillId="0" borderId="0"/>
    <xf numFmtId="170" fontId="52" fillId="0" borderId="0"/>
    <xf numFmtId="0" fontId="78" fillId="0" borderId="0"/>
    <xf numFmtId="0" fontId="52" fillId="0" borderId="0"/>
    <xf numFmtId="0" fontId="50" fillId="0" borderId="0"/>
    <xf numFmtId="170" fontId="72" fillId="0" borderId="0"/>
    <xf numFmtId="170" fontId="106" fillId="0" borderId="0"/>
    <xf numFmtId="170" fontId="107" fillId="0" borderId="0"/>
    <xf numFmtId="0" fontId="93" fillId="0" borderId="0"/>
    <xf numFmtId="170" fontId="108" fillId="0" borderId="0"/>
    <xf numFmtId="170" fontId="93" fillId="0" borderId="0"/>
    <xf numFmtId="170" fontId="109" fillId="0" borderId="0"/>
    <xf numFmtId="170" fontId="59" fillId="0" borderId="0"/>
    <xf numFmtId="170" fontId="108" fillId="0" borderId="0"/>
    <xf numFmtId="170" fontId="110" fillId="0" borderId="0"/>
    <xf numFmtId="170" fontId="92" fillId="0" borderId="0"/>
    <xf numFmtId="170" fontId="86" fillId="0" borderId="0"/>
    <xf numFmtId="170" fontId="111" fillId="0" borderId="0"/>
    <xf numFmtId="170" fontId="112" fillId="0" borderId="0"/>
    <xf numFmtId="170" fontId="111" fillId="0" borderId="0"/>
    <xf numFmtId="0" fontId="112" fillId="0" borderId="0"/>
    <xf numFmtId="0" fontId="111" fillId="0" borderId="0"/>
    <xf numFmtId="0" fontId="112" fillId="0" borderId="0"/>
    <xf numFmtId="0" fontId="109" fillId="0" borderId="0"/>
    <xf numFmtId="170" fontId="86" fillId="0" borderId="0"/>
    <xf numFmtId="170" fontId="60" fillId="0" borderId="0"/>
    <xf numFmtId="170" fontId="86" fillId="0" borderId="0"/>
    <xf numFmtId="170" fontId="13" fillId="0" borderId="0"/>
    <xf numFmtId="0" fontId="86" fillId="0" borderId="0"/>
    <xf numFmtId="170" fontId="60" fillId="0" borderId="0"/>
    <xf numFmtId="170" fontId="88" fillId="0" borderId="0"/>
    <xf numFmtId="170" fontId="87" fillId="0" borderId="0"/>
    <xf numFmtId="170" fontId="88" fillId="0" borderId="0"/>
    <xf numFmtId="170" fontId="87" fillId="0" borderId="0"/>
    <xf numFmtId="0" fontId="88" fillId="0" borderId="0"/>
    <xf numFmtId="0" fontId="87" fillId="0" borderId="0"/>
    <xf numFmtId="0" fontId="93" fillId="0" borderId="0"/>
    <xf numFmtId="170" fontId="113" fillId="0" borderId="0"/>
    <xf numFmtId="170" fontId="95" fillId="0" borderId="0"/>
    <xf numFmtId="170" fontId="87" fillId="0" borderId="0"/>
    <xf numFmtId="170" fontId="90" fillId="0" borderId="0"/>
    <xf numFmtId="170" fontId="91" fillId="0" borderId="0"/>
    <xf numFmtId="0" fontId="90" fillId="0" borderId="0"/>
    <xf numFmtId="0" fontId="91" fillId="0" borderId="0"/>
    <xf numFmtId="170" fontId="86" fillId="0" borderId="0"/>
    <xf numFmtId="170" fontId="92" fillId="0" borderId="0"/>
    <xf numFmtId="0" fontId="86" fillId="0" borderId="0"/>
    <xf numFmtId="0" fontId="92" fillId="0" borderId="0"/>
    <xf numFmtId="170" fontId="86" fillId="0" borderId="0"/>
    <xf numFmtId="170" fontId="92" fillId="0" borderId="0"/>
    <xf numFmtId="170" fontId="88" fillId="0" borderId="0"/>
    <xf numFmtId="170" fontId="87" fillId="0" borderId="0"/>
    <xf numFmtId="0" fontId="88" fillId="0" borderId="0"/>
    <xf numFmtId="0" fontId="87" fillId="0" borderId="0"/>
    <xf numFmtId="170" fontId="88" fillId="0" borderId="0"/>
    <xf numFmtId="170" fontId="92" fillId="0" borderId="0"/>
    <xf numFmtId="170" fontId="86" fillId="0" borderId="0"/>
    <xf numFmtId="170" fontId="92" fillId="0" borderId="0"/>
    <xf numFmtId="0" fontId="86" fillId="0" borderId="0"/>
    <xf numFmtId="0" fontId="92" fillId="0" borderId="0"/>
    <xf numFmtId="49" fontId="86" fillId="0" borderId="0">
      <alignment vertical="center"/>
    </xf>
    <xf numFmtId="170" fontId="109" fillId="0" borderId="0"/>
    <xf numFmtId="170" fontId="86" fillId="0" borderId="0"/>
    <xf numFmtId="170" fontId="87" fillId="0" borderId="0"/>
    <xf numFmtId="170" fontId="88" fillId="0" borderId="0"/>
    <xf numFmtId="170" fontId="92" fillId="0" borderId="0"/>
    <xf numFmtId="0" fontId="88" fillId="0" borderId="0"/>
    <xf numFmtId="0" fontId="60" fillId="0" borderId="0"/>
    <xf numFmtId="0" fontId="88" fillId="0" borderId="0"/>
    <xf numFmtId="0" fontId="87" fillId="0" borderId="0"/>
    <xf numFmtId="170" fontId="90" fillId="0" borderId="0"/>
    <xf numFmtId="170" fontId="91" fillId="0" borderId="0"/>
    <xf numFmtId="0" fontId="90" fillId="0" borderId="0"/>
    <xf numFmtId="0" fontId="91" fillId="0" borderId="0"/>
    <xf numFmtId="170" fontId="106" fillId="0" borderId="0"/>
    <xf numFmtId="170" fontId="60" fillId="0" borderId="0"/>
    <xf numFmtId="170" fontId="86" fillId="0" borderId="0"/>
    <xf numFmtId="170" fontId="92" fillId="0" borderId="0"/>
    <xf numFmtId="170" fontId="88" fillId="0" borderId="0"/>
    <xf numFmtId="170" fontId="87" fillId="0" borderId="0"/>
    <xf numFmtId="0" fontId="88" fillId="0" borderId="0"/>
    <xf numFmtId="0" fontId="87" fillId="0" borderId="0"/>
    <xf numFmtId="170" fontId="86" fillId="0" borderId="0"/>
    <xf numFmtId="170" fontId="92" fillId="0" borderId="0"/>
    <xf numFmtId="0" fontId="86" fillId="0" borderId="0"/>
    <xf numFmtId="0" fontId="92" fillId="0" borderId="0"/>
    <xf numFmtId="170" fontId="110" fillId="0" borderId="0"/>
    <xf numFmtId="170" fontId="110" fillId="0" borderId="0"/>
    <xf numFmtId="0" fontId="110" fillId="0" borderId="0"/>
    <xf numFmtId="0" fontId="110" fillId="0" borderId="0"/>
    <xf numFmtId="170" fontId="112" fillId="0" borderId="0"/>
    <xf numFmtId="170" fontId="92" fillId="0" borderId="0" applyBorder="0"/>
    <xf numFmtId="170" fontId="13" fillId="0" borderId="0"/>
    <xf numFmtId="170" fontId="13" fillId="0" borderId="0"/>
    <xf numFmtId="170" fontId="88" fillId="0" borderId="0"/>
    <xf numFmtId="170" fontId="87" fillId="0" borderId="0"/>
    <xf numFmtId="0" fontId="88" fillId="0" borderId="0"/>
    <xf numFmtId="0" fontId="87" fillId="0" borderId="0"/>
    <xf numFmtId="170" fontId="86" fillId="0" borderId="0"/>
    <xf numFmtId="170" fontId="92" fillId="0" borderId="0"/>
    <xf numFmtId="0" fontId="86" fillId="0" borderId="0"/>
    <xf numFmtId="0" fontId="92" fillId="0" borderId="0"/>
    <xf numFmtId="170" fontId="86" fillId="0" borderId="0"/>
    <xf numFmtId="197" fontId="13" fillId="0" borderId="0" applyFill="0" applyBorder="0" applyAlignment="0"/>
    <xf numFmtId="198" fontId="114" fillId="0" borderId="0" applyFill="0" applyBorder="0" applyAlignment="0"/>
    <xf numFmtId="199" fontId="114" fillId="0" borderId="0" applyFill="0" applyBorder="0" applyAlignment="0"/>
    <xf numFmtId="170" fontId="13" fillId="0" borderId="0" applyFill="0" applyBorder="0" applyAlignment="0"/>
    <xf numFmtId="170" fontId="13" fillId="0" borderId="0" applyFill="0" applyBorder="0" applyAlignment="0"/>
    <xf numFmtId="197" fontId="13" fillId="0" borderId="0" applyFill="0" applyBorder="0" applyAlignment="0"/>
    <xf numFmtId="200" fontId="13" fillId="0" borderId="0" applyFill="0" applyBorder="0" applyAlignment="0"/>
    <xf numFmtId="198" fontId="114" fillId="0" borderId="0" applyFill="0" applyBorder="0" applyAlignment="0"/>
    <xf numFmtId="0" fontId="115" fillId="90" borderId="61" applyNumberFormat="0" applyAlignment="0" applyProtection="0">
      <alignment vertical="center"/>
    </xf>
    <xf numFmtId="0" fontId="115" fillId="90" borderId="61" applyNumberFormat="0" applyAlignment="0" applyProtection="0">
      <alignment vertical="center"/>
    </xf>
    <xf numFmtId="0" fontId="115" fillId="91" borderId="61">
      <alignment vertical="center"/>
    </xf>
    <xf numFmtId="0" fontId="116" fillId="91" borderId="61">
      <alignment vertical="center"/>
    </xf>
    <xf numFmtId="0" fontId="115" fillId="91" borderId="61">
      <alignment vertical="center"/>
    </xf>
    <xf numFmtId="170" fontId="117" fillId="92" borderId="61" applyNumberFormat="0" applyAlignment="0" applyProtection="0"/>
    <xf numFmtId="0" fontId="115" fillId="91" borderId="61">
      <alignment vertical="center"/>
    </xf>
    <xf numFmtId="0" fontId="115" fillId="91" borderId="61">
      <alignment vertical="center"/>
    </xf>
    <xf numFmtId="170" fontId="117" fillId="92" borderId="61" applyNumberFormat="0" applyAlignment="0" applyProtection="0"/>
    <xf numFmtId="0" fontId="115" fillId="91" borderId="61">
      <alignment vertical="center"/>
    </xf>
    <xf numFmtId="170" fontId="117" fillId="92" borderId="61" applyNumberFormat="0" applyAlignment="0" applyProtection="0"/>
    <xf numFmtId="0" fontId="115" fillId="91" borderId="61">
      <alignment vertical="center"/>
    </xf>
    <xf numFmtId="0" fontId="115" fillId="91" borderId="61">
      <alignment vertical="center"/>
    </xf>
    <xf numFmtId="0" fontId="116" fillId="91" borderId="61">
      <alignment vertical="center"/>
    </xf>
    <xf numFmtId="0" fontId="115" fillId="91" borderId="61">
      <alignment vertical="center"/>
    </xf>
    <xf numFmtId="170" fontId="117" fillId="92" borderId="61" applyNumberFormat="0" applyAlignment="0" applyProtection="0"/>
    <xf numFmtId="0" fontId="115" fillId="91" borderId="61">
      <alignment vertical="center"/>
    </xf>
    <xf numFmtId="0" fontId="115" fillId="91" borderId="61">
      <alignment vertical="center"/>
    </xf>
    <xf numFmtId="170" fontId="117" fillId="92" borderId="61" applyNumberFormat="0" applyAlignment="0" applyProtection="0"/>
    <xf numFmtId="0" fontId="115" fillId="91" borderId="61">
      <alignment vertical="center"/>
    </xf>
    <xf numFmtId="170" fontId="117" fillId="92" borderId="61" applyNumberFormat="0" applyAlignment="0" applyProtection="0"/>
    <xf numFmtId="0" fontId="115" fillId="91" borderId="61">
      <alignment vertical="center"/>
    </xf>
    <xf numFmtId="0" fontId="115" fillId="91" borderId="61">
      <alignment vertical="center"/>
    </xf>
    <xf numFmtId="0" fontId="116" fillId="91" borderId="61">
      <alignment vertical="center"/>
    </xf>
    <xf numFmtId="0" fontId="115" fillId="91" borderId="61">
      <alignment vertical="center"/>
    </xf>
    <xf numFmtId="0" fontId="115" fillId="91" borderId="61">
      <alignment vertical="center"/>
    </xf>
    <xf numFmtId="0" fontId="115" fillId="91" borderId="61">
      <alignment vertical="center"/>
    </xf>
    <xf numFmtId="0" fontId="115" fillId="91" borderId="61">
      <alignment vertical="center"/>
    </xf>
    <xf numFmtId="170" fontId="117" fillId="92" borderId="61" applyNumberFormat="0" applyAlignment="0" applyProtection="0"/>
    <xf numFmtId="0" fontId="115" fillId="91" borderId="61">
      <alignment vertical="center"/>
    </xf>
    <xf numFmtId="0" fontId="115" fillId="91" borderId="61">
      <alignment vertical="center"/>
    </xf>
    <xf numFmtId="0" fontId="116" fillId="91" borderId="61">
      <alignment vertical="center"/>
    </xf>
    <xf numFmtId="0" fontId="115" fillId="91" borderId="61">
      <alignment vertical="center"/>
    </xf>
    <xf numFmtId="0" fontId="115" fillId="91" borderId="61">
      <alignment vertical="center"/>
    </xf>
    <xf numFmtId="0" fontId="115" fillId="91" borderId="61">
      <alignment vertical="center"/>
    </xf>
    <xf numFmtId="0" fontId="115" fillId="91" borderId="61">
      <alignment vertical="center"/>
    </xf>
    <xf numFmtId="170" fontId="117" fillId="92" borderId="61" applyNumberFormat="0" applyAlignment="0" applyProtection="0"/>
    <xf numFmtId="0" fontId="115" fillId="91" borderId="61">
      <alignment vertical="center"/>
    </xf>
    <xf numFmtId="0" fontId="116" fillId="91" borderId="61">
      <alignment vertical="center"/>
    </xf>
    <xf numFmtId="0" fontId="115" fillId="91" borderId="61">
      <alignment vertical="center"/>
    </xf>
    <xf numFmtId="0" fontId="116" fillId="91" borderId="61">
      <alignment vertical="center"/>
    </xf>
    <xf numFmtId="0" fontId="115" fillId="91" borderId="61">
      <alignment vertical="center"/>
    </xf>
    <xf numFmtId="170" fontId="117" fillId="92" borderId="61" applyNumberFormat="0" applyAlignment="0" applyProtection="0"/>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6"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6"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6" fillId="90" borderId="61" applyNumberFormat="0" applyAlignment="0" applyProtection="0">
      <alignment vertical="center"/>
    </xf>
    <xf numFmtId="0" fontId="115" fillId="90" borderId="61" applyNumberFormat="0" applyAlignment="0" applyProtection="0">
      <alignment vertical="center"/>
    </xf>
    <xf numFmtId="0" fontId="116" fillId="90" borderId="61" applyNumberFormat="0" applyAlignment="0" applyProtection="0">
      <alignment vertical="center"/>
    </xf>
    <xf numFmtId="0" fontId="115" fillId="90" borderId="61" applyNumberFormat="0" applyAlignment="0" applyProtection="0">
      <alignment vertical="center"/>
    </xf>
    <xf numFmtId="170" fontId="117" fillId="92" borderId="61" applyNumberFormat="0" applyAlignment="0" applyProtection="0"/>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6"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6" fillId="90" borderId="61" applyNumberFormat="0" applyAlignment="0" applyProtection="0">
      <alignment vertical="center"/>
    </xf>
    <xf numFmtId="0" fontId="115" fillId="90" borderId="61" applyNumberFormat="0" applyAlignment="0" applyProtection="0">
      <alignment vertical="center"/>
    </xf>
    <xf numFmtId="0" fontId="116" fillId="90" borderId="61" applyNumberFormat="0" applyAlignment="0" applyProtection="0">
      <alignment vertical="center"/>
    </xf>
    <xf numFmtId="0" fontId="115" fillId="90" borderId="61" applyNumberFormat="0" applyAlignment="0" applyProtection="0">
      <alignment vertical="center"/>
    </xf>
    <xf numFmtId="170" fontId="117" fillId="92" borderId="61" applyNumberFormat="0" applyAlignment="0" applyProtection="0"/>
    <xf numFmtId="0" fontId="115" fillId="90" borderId="61" applyNumberFormat="0" applyAlignment="0" applyProtection="0">
      <alignment vertical="center"/>
    </xf>
    <xf numFmtId="0" fontId="115" fillId="90" borderId="61" applyNumberFormat="0" applyAlignment="0" applyProtection="0">
      <alignment vertical="center"/>
    </xf>
    <xf numFmtId="0" fontId="116"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6"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6"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6"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6"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6"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6"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6"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6"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6"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6"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6"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6"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6"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6"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6"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5" fillId="90" borderId="61" applyNumberFormat="0" applyAlignment="0" applyProtection="0">
      <alignment vertical="center"/>
    </xf>
    <xf numFmtId="0" fontId="118" fillId="90" borderId="61" applyNumberFormat="0" applyAlignment="0" applyProtection="0">
      <alignment vertical="center"/>
    </xf>
    <xf numFmtId="0" fontId="115"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6"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5" fillId="90" borderId="61" applyNumberFormat="0" applyAlignment="0" applyProtection="0">
      <alignment vertical="center"/>
    </xf>
    <xf numFmtId="0" fontId="118" fillId="90" borderId="61" applyNumberFormat="0" applyAlignment="0" applyProtection="0">
      <alignment vertical="center"/>
    </xf>
    <xf numFmtId="0" fontId="115" fillId="90" borderId="61" applyNumberFormat="0" applyAlignment="0" applyProtection="0">
      <alignment vertical="center"/>
    </xf>
    <xf numFmtId="0" fontId="118" fillId="90" borderId="61" applyNumberFormat="0" applyAlignment="0" applyProtection="0">
      <alignment vertical="center"/>
    </xf>
    <xf numFmtId="0" fontId="115" fillId="90" borderId="61" applyNumberFormat="0" applyAlignment="0" applyProtection="0">
      <alignment vertical="center"/>
    </xf>
    <xf numFmtId="0" fontId="116" fillId="90" borderId="61" applyNumberFormat="0" applyAlignment="0" applyProtection="0">
      <alignment vertical="center"/>
    </xf>
    <xf numFmtId="0" fontId="118"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6" fillId="90" borderId="61" applyNumberFormat="0" applyAlignment="0" applyProtection="0">
      <alignment vertical="center"/>
    </xf>
    <xf numFmtId="0" fontId="118" fillId="90" borderId="61" applyNumberFormat="0" applyAlignment="0" applyProtection="0">
      <alignment vertical="center"/>
    </xf>
    <xf numFmtId="0" fontId="115" fillId="90" borderId="61" applyNumberFormat="0" applyAlignment="0" applyProtection="0">
      <alignment vertical="center"/>
    </xf>
    <xf numFmtId="170" fontId="117" fillId="92" borderId="61" applyNumberFormat="0" applyAlignment="0" applyProtection="0"/>
    <xf numFmtId="0" fontId="115"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6"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5" fillId="90" borderId="61" applyNumberFormat="0" applyAlignment="0" applyProtection="0">
      <alignment vertical="center"/>
    </xf>
    <xf numFmtId="0" fontId="118" fillId="90" borderId="61" applyNumberFormat="0" applyAlignment="0" applyProtection="0">
      <alignment vertical="center"/>
    </xf>
    <xf numFmtId="0" fontId="115" fillId="90" borderId="61" applyNumberFormat="0" applyAlignment="0" applyProtection="0">
      <alignment vertical="center"/>
    </xf>
    <xf numFmtId="0" fontId="118" fillId="90" borderId="61" applyNumberFormat="0" applyAlignment="0" applyProtection="0">
      <alignment vertical="center"/>
    </xf>
    <xf numFmtId="0" fontId="115" fillId="90" borderId="61" applyNumberFormat="0" applyAlignment="0" applyProtection="0">
      <alignment vertical="center"/>
    </xf>
    <xf numFmtId="0" fontId="116" fillId="90" borderId="61" applyNumberFormat="0" applyAlignment="0" applyProtection="0">
      <alignment vertical="center"/>
    </xf>
    <xf numFmtId="0" fontId="118"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6" fillId="90" borderId="61" applyNumberFormat="0" applyAlignment="0" applyProtection="0">
      <alignment vertical="center"/>
    </xf>
    <xf numFmtId="0" fontId="118" fillId="90" borderId="61" applyNumberFormat="0" applyAlignment="0" applyProtection="0">
      <alignment vertical="center"/>
    </xf>
    <xf numFmtId="0" fontId="115" fillId="90" borderId="61" applyNumberFormat="0" applyAlignment="0" applyProtection="0">
      <alignment vertical="center"/>
    </xf>
    <xf numFmtId="170" fontId="117" fillId="92" borderId="61" applyNumberFormat="0" applyAlignment="0" applyProtection="0"/>
    <xf numFmtId="0" fontId="118" fillId="90" borderId="61" applyNumberFormat="0" applyAlignment="0" applyProtection="0">
      <alignment vertical="center"/>
    </xf>
    <xf numFmtId="0" fontId="118" fillId="90" borderId="61" applyNumberFormat="0" applyAlignment="0" applyProtection="0">
      <alignment vertical="center"/>
    </xf>
    <xf numFmtId="0" fontId="116"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5" fillId="90" borderId="61" applyNumberFormat="0" applyAlignment="0" applyProtection="0">
      <alignment vertical="center"/>
    </xf>
    <xf numFmtId="0" fontId="118" fillId="90" borderId="61" applyNumberFormat="0" applyAlignment="0" applyProtection="0">
      <alignment vertical="center"/>
    </xf>
    <xf numFmtId="0" fontId="115"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6"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5" fillId="90" borderId="61" applyNumberFormat="0" applyAlignment="0" applyProtection="0">
      <alignment vertical="center"/>
    </xf>
    <xf numFmtId="0" fontId="118" fillId="90" borderId="61" applyNumberFormat="0" applyAlignment="0" applyProtection="0">
      <alignment vertical="center"/>
    </xf>
    <xf numFmtId="0" fontId="115"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6"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5" fillId="90" borderId="61" applyNumberFormat="0" applyAlignment="0" applyProtection="0">
      <alignment vertical="center"/>
    </xf>
    <xf numFmtId="0" fontId="118" fillId="90" borderId="61" applyNumberFormat="0" applyAlignment="0" applyProtection="0">
      <alignment vertical="center"/>
    </xf>
    <xf numFmtId="0" fontId="115"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6"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5" fillId="90" borderId="61" applyNumberFormat="0" applyAlignment="0" applyProtection="0">
      <alignment vertical="center"/>
    </xf>
    <xf numFmtId="0" fontId="118" fillId="90" borderId="61" applyNumberFormat="0" applyAlignment="0" applyProtection="0">
      <alignment vertical="center"/>
    </xf>
    <xf numFmtId="0" fontId="115"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6"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5" fillId="90" borderId="61" applyNumberFormat="0" applyAlignment="0" applyProtection="0">
      <alignment vertical="center"/>
    </xf>
    <xf numFmtId="0" fontId="118" fillId="90" borderId="61" applyNumberFormat="0" applyAlignment="0" applyProtection="0">
      <alignment vertical="center"/>
    </xf>
    <xf numFmtId="0" fontId="115"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6"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5" fillId="90" borderId="61" applyNumberFormat="0" applyAlignment="0" applyProtection="0">
      <alignment vertical="center"/>
    </xf>
    <xf numFmtId="0" fontId="118" fillId="90" borderId="61" applyNumberFormat="0" applyAlignment="0" applyProtection="0">
      <alignment vertical="center"/>
    </xf>
    <xf numFmtId="0" fontId="115"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6"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5" fillId="90" borderId="61" applyNumberFormat="0" applyAlignment="0" applyProtection="0">
      <alignment vertical="center"/>
    </xf>
    <xf numFmtId="0" fontId="118" fillId="90" borderId="61" applyNumberFormat="0" applyAlignment="0" applyProtection="0">
      <alignment vertical="center"/>
    </xf>
    <xf numFmtId="0" fontId="115"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6"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5" fillId="90" borderId="61" applyNumberFormat="0" applyAlignment="0" applyProtection="0">
      <alignment vertical="center"/>
    </xf>
    <xf numFmtId="0" fontId="118"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8" fillId="90" borderId="61" applyNumberFormat="0" applyAlignment="0" applyProtection="0">
      <alignment vertical="center"/>
    </xf>
    <xf numFmtId="0" fontId="116"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5" fillId="90" borderId="61" applyNumberFormat="0" applyAlignment="0" applyProtection="0">
      <alignment vertical="center"/>
    </xf>
    <xf numFmtId="0" fontId="118"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8" fillId="90" borderId="61" applyNumberFormat="0" applyAlignment="0" applyProtection="0">
      <alignment vertical="center"/>
    </xf>
    <xf numFmtId="0" fontId="116"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5" fillId="90" borderId="61" applyNumberFormat="0" applyAlignment="0" applyProtection="0">
      <alignment vertical="center"/>
    </xf>
    <xf numFmtId="0" fontId="118" fillId="90" borderId="61" applyNumberFormat="0" applyAlignment="0" applyProtection="0">
      <alignment vertical="center"/>
    </xf>
    <xf numFmtId="0" fontId="115"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6"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5" fillId="90" borderId="61" applyNumberFormat="0" applyAlignment="0" applyProtection="0">
      <alignment vertical="center"/>
    </xf>
    <xf numFmtId="0" fontId="118" fillId="90" borderId="61" applyNumberFormat="0" applyAlignment="0" applyProtection="0">
      <alignment vertical="center"/>
    </xf>
    <xf numFmtId="0" fontId="115"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6"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5" fillId="90" borderId="61" applyNumberFormat="0" applyAlignment="0" applyProtection="0">
      <alignment vertical="center"/>
    </xf>
    <xf numFmtId="0" fontId="118" fillId="90" borderId="61" applyNumberFormat="0" applyAlignment="0" applyProtection="0">
      <alignment vertical="center"/>
    </xf>
    <xf numFmtId="0" fontId="115"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6"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5" fillId="90" borderId="61" applyNumberFormat="0" applyAlignment="0" applyProtection="0">
      <alignment vertical="center"/>
    </xf>
    <xf numFmtId="0" fontId="118" fillId="90" borderId="61" applyNumberFormat="0" applyAlignment="0" applyProtection="0">
      <alignment vertical="center"/>
    </xf>
    <xf numFmtId="0" fontId="115"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6"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5" fillId="90" borderId="61" applyNumberFormat="0" applyAlignment="0" applyProtection="0">
      <alignment vertical="center"/>
    </xf>
    <xf numFmtId="0" fontId="118" fillId="90" borderId="61" applyNumberFormat="0" applyAlignment="0" applyProtection="0">
      <alignment vertical="center"/>
    </xf>
    <xf numFmtId="0" fontId="115"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6"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8" fillId="90" borderId="61" applyNumberFormat="0" applyAlignment="0" applyProtection="0">
      <alignment vertical="center"/>
    </xf>
    <xf numFmtId="0" fontId="115" fillId="90" borderId="61" applyNumberFormat="0" applyAlignment="0" applyProtection="0">
      <alignment vertical="center"/>
    </xf>
    <xf numFmtId="0" fontId="118" fillId="90" borderId="61" applyNumberFormat="0" applyAlignment="0" applyProtection="0">
      <alignment vertical="center"/>
    </xf>
    <xf numFmtId="0" fontId="115" fillId="90" borderId="61" applyNumberFormat="0" applyAlignment="0" applyProtection="0">
      <alignment vertical="center"/>
    </xf>
    <xf numFmtId="0" fontId="115" fillId="90" borderId="61" applyNumberFormat="0" applyAlignment="0" applyProtection="0">
      <alignment vertical="center"/>
    </xf>
    <xf numFmtId="0" fontId="115" fillId="91" borderId="61">
      <alignment vertical="center"/>
    </xf>
    <xf numFmtId="0" fontId="115" fillId="91" borderId="61">
      <alignment vertical="center"/>
    </xf>
    <xf numFmtId="0" fontId="116" fillId="91" borderId="61">
      <alignment vertical="center"/>
    </xf>
    <xf numFmtId="0" fontId="115" fillId="91" borderId="61">
      <alignment vertical="center"/>
    </xf>
    <xf numFmtId="0" fontId="115" fillId="91" borderId="61">
      <alignment vertical="center"/>
    </xf>
    <xf numFmtId="0" fontId="115" fillId="91" borderId="61">
      <alignment vertical="center"/>
    </xf>
    <xf numFmtId="0" fontId="115" fillId="91" borderId="61">
      <alignment vertical="center"/>
    </xf>
    <xf numFmtId="0" fontId="115" fillId="91" borderId="61">
      <alignment vertical="center"/>
    </xf>
    <xf numFmtId="0" fontId="116" fillId="91" borderId="61">
      <alignment vertical="center"/>
    </xf>
    <xf numFmtId="0" fontId="115" fillId="91" borderId="61">
      <alignment vertical="center"/>
    </xf>
    <xf numFmtId="0" fontId="116" fillId="91" borderId="61">
      <alignment vertical="center"/>
    </xf>
    <xf numFmtId="0" fontId="115" fillId="91" borderId="61">
      <alignment vertical="center"/>
    </xf>
    <xf numFmtId="170" fontId="117" fillId="92" borderId="61" applyNumberFormat="0" applyAlignment="0" applyProtection="0"/>
    <xf numFmtId="0" fontId="115" fillId="91" borderId="61">
      <alignment vertical="center"/>
    </xf>
    <xf numFmtId="0" fontId="115" fillId="91" borderId="61">
      <alignment vertical="center"/>
    </xf>
    <xf numFmtId="0" fontId="116" fillId="91" borderId="61">
      <alignment vertical="center"/>
    </xf>
    <xf numFmtId="0" fontId="115" fillId="91" borderId="61">
      <alignment vertical="center"/>
    </xf>
    <xf numFmtId="0" fontId="115" fillId="91" borderId="61">
      <alignment vertical="center"/>
    </xf>
    <xf numFmtId="0" fontId="115" fillId="91" borderId="61">
      <alignment vertical="center"/>
    </xf>
    <xf numFmtId="0" fontId="115" fillId="91" borderId="61">
      <alignment vertical="center"/>
    </xf>
    <xf numFmtId="170" fontId="117" fillId="92" borderId="61" applyNumberFormat="0" applyAlignment="0" applyProtection="0"/>
    <xf numFmtId="0" fontId="115" fillId="91" borderId="61">
      <alignment vertical="center"/>
    </xf>
    <xf numFmtId="0" fontId="115" fillId="91" borderId="61">
      <alignment vertical="center"/>
    </xf>
    <xf numFmtId="0" fontId="116" fillId="91" borderId="61">
      <alignment vertical="center"/>
    </xf>
    <xf numFmtId="0" fontId="115" fillId="91" borderId="61">
      <alignment vertical="center"/>
    </xf>
    <xf numFmtId="0" fontId="115" fillId="91" borderId="61">
      <alignment vertical="center"/>
    </xf>
    <xf numFmtId="0" fontId="115" fillId="91" borderId="61">
      <alignment vertical="center"/>
    </xf>
    <xf numFmtId="0" fontId="115" fillId="91" borderId="61">
      <alignment vertical="center"/>
    </xf>
    <xf numFmtId="0" fontId="115" fillId="91" borderId="61">
      <alignment vertical="center"/>
    </xf>
    <xf numFmtId="0" fontId="115" fillId="91" borderId="61">
      <alignment vertical="center"/>
    </xf>
    <xf numFmtId="0" fontId="116" fillId="91" borderId="61">
      <alignment vertical="center"/>
    </xf>
    <xf numFmtId="0" fontId="115" fillId="91" borderId="61">
      <alignment vertical="center"/>
    </xf>
    <xf numFmtId="0" fontId="115" fillId="91" borderId="61">
      <alignment vertical="center"/>
    </xf>
    <xf numFmtId="0" fontId="115" fillId="91" borderId="61">
      <alignment vertical="center"/>
    </xf>
    <xf numFmtId="0" fontId="115" fillId="91" borderId="61">
      <alignment vertical="center"/>
    </xf>
    <xf numFmtId="0" fontId="115" fillId="91" borderId="61">
      <alignment vertical="center"/>
    </xf>
    <xf numFmtId="0" fontId="115" fillId="91" borderId="61">
      <alignment vertical="center"/>
    </xf>
    <xf numFmtId="0" fontId="116" fillId="91" borderId="61">
      <alignment vertical="center"/>
    </xf>
    <xf numFmtId="0" fontId="115" fillId="91" borderId="61">
      <alignment vertical="center"/>
    </xf>
    <xf numFmtId="0" fontId="115" fillId="91" borderId="61">
      <alignment vertical="center"/>
    </xf>
    <xf numFmtId="0" fontId="115" fillId="91" borderId="61">
      <alignment vertical="center"/>
    </xf>
    <xf numFmtId="0" fontId="115" fillId="91" borderId="61">
      <alignment vertical="center"/>
    </xf>
    <xf numFmtId="0" fontId="115" fillId="91" borderId="61">
      <alignment vertical="center"/>
    </xf>
    <xf numFmtId="0" fontId="115" fillId="91" borderId="61">
      <alignment vertical="center"/>
    </xf>
    <xf numFmtId="0" fontId="116" fillId="91" borderId="61">
      <alignment vertical="center"/>
    </xf>
    <xf numFmtId="0" fontId="115" fillId="91" borderId="61">
      <alignment vertical="center"/>
    </xf>
    <xf numFmtId="0" fontId="115" fillId="91" borderId="61">
      <alignment vertical="center"/>
    </xf>
    <xf numFmtId="0" fontId="115" fillId="91" borderId="61">
      <alignment vertical="center"/>
    </xf>
    <xf numFmtId="0" fontId="115" fillId="91" borderId="61">
      <alignment vertical="center"/>
    </xf>
    <xf numFmtId="0" fontId="115" fillId="91" borderId="61">
      <alignment vertical="center"/>
    </xf>
    <xf numFmtId="0" fontId="115" fillId="91" borderId="61">
      <alignment vertical="center"/>
    </xf>
    <xf numFmtId="0" fontId="116" fillId="91" borderId="61">
      <alignment vertical="center"/>
    </xf>
    <xf numFmtId="0" fontId="115" fillId="91" borderId="61">
      <alignment vertical="center"/>
    </xf>
    <xf numFmtId="0" fontId="115" fillId="91" borderId="61">
      <alignment vertical="center"/>
    </xf>
    <xf numFmtId="0" fontId="115" fillId="91" borderId="61">
      <alignment vertical="center"/>
    </xf>
    <xf numFmtId="0" fontId="115" fillId="91" borderId="61">
      <alignment vertical="center"/>
    </xf>
    <xf numFmtId="0" fontId="115" fillId="91" borderId="61">
      <alignment vertical="center"/>
    </xf>
    <xf numFmtId="0" fontId="115" fillId="91" borderId="61">
      <alignment vertical="center"/>
    </xf>
    <xf numFmtId="0" fontId="116" fillId="91" borderId="61">
      <alignment vertical="center"/>
    </xf>
    <xf numFmtId="0" fontId="115" fillId="91" borderId="61">
      <alignment vertical="center"/>
    </xf>
    <xf numFmtId="0" fontId="115" fillId="91" borderId="61">
      <alignment vertical="center"/>
    </xf>
    <xf numFmtId="0" fontId="115" fillId="91" borderId="61">
      <alignment vertical="center"/>
    </xf>
    <xf numFmtId="0" fontId="115" fillId="91" borderId="61">
      <alignment vertical="center"/>
    </xf>
    <xf numFmtId="0" fontId="115" fillId="91" borderId="61">
      <alignment vertical="center"/>
    </xf>
    <xf numFmtId="0" fontId="115" fillId="91" borderId="61">
      <alignment vertical="center"/>
    </xf>
    <xf numFmtId="0" fontId="116" fillId="91" borderId="61">
      <alignment vertical="center"/>
    </xf>
    <xf numFmtId="0" fontId="115" fillId="91" borderId="61">
      <alignment vertical="center"/>
    </xf>
    <xf numFmtId="0" fontId="115" fillId="91" borderId="61">
      <alignment vertical="center"/>
    </xf>
    <xf numFmtId="0" fontId="115" fillId="91" borderId="61">
      <alignment vertical="center"/>
    </xf>
    <xf numFmtId="0" fontId="115" fillId="91" borderId="61">
      <alignment vertical="center"/>
    </xf>
    <xf numFmtId="0" fontId="115" fillId="90" borderId="61" applyNumberFormat="0" applyAlignment="0" applyProtection="0">
      <alignment vertical="center"/>
    </xf>
    <xf numFmtId="0" fontId="115" fillId="91" borderId="61">
      <alignment vertical="center"/>
    </xf>
    <xf numFmtId="0" fontId="116" fillId="91" borderId="61">
      <alignment vertical="center"/>
    </xf>
    <xf numFmtId="0" fontId="115" fillId="91" borderId="61">
      <alignment vertical="center"/>
    </xf>
    <xf numFmtId="170" fontId="117" fillId="92" borderId="61" applyNumberFormat="0" applyAlignment="0" applyProtection="0"/>
    <xf numFmtId="0" fontId="115" fillId="91" borderId="61">
      <alignment vertical="center"/>
    </xf>
    <xf numFmtId="0" fontId="115" fillId="91" borderId="61">
      <alignment vertical="center"/>
    </xf>
    <xf numFmtId="0" fontId="115" fillId="91" borderId="61">
      <alignment vertical="center"/>
    </xf>
    <xf numFmtId="170" fontId="117" fillId="92" borderId="61" applyNumberFormat="0" applyAlignment="0" applyProtection="0"/>
    <xf numFmtId="0" fontId="115" fillId="90" borderId="61" applyNumberFormat="0" applyAlignment="0" applyProtection="0">
      <alignment vertical="center"/>
    </xf>
    <xf numFmtId="0" fontId="115" fillId="91" borderId="61">
      <alignment vertical="center"/>
    </xf>
    <xf numFmtId="0" fontId="116" fillId="91" borderId="61">
      <alignment vertical="center"/>
    </xf>
    <xf numFmtId="0" fontId="115" fillId="91" borderId="61">
      <alignment vertical="center"/>
    </xf>
    <xf numFmtId="170" fontId="117" fillId="92" borderId="61" applyNumberFormat="0" applyAlignment="0" applyProtection="0"/>
    <xf numFmtId="0" fontId="115" fillId="91" borderId="61">
      <alignment vertical="center"/>
    </xf>
    <xf numFmtId="0" fontId="115" fillId="91" borderId="61">
      <alignment vertical="center"/>
    </xf>
    <xf numFmtId="170" fontId="117" fillId="92" borderId="61" applyNumberFormat="0" applyAlignment="0" applyProtection="0"/>
    <xf numFmtId="0" fontId="115" fillId="91" borderId="61">
      <alignment vertical="center"/>
    </xf>
    <xf numFmtId="170" fontId="117" fillId="92" borderId="61" applyNumberFormat="0" applyAlignment="0" applyProtection="0"/>
    <xf numFmtId="0" fontId="115" fillId="90" borderId="61" applyNumberFormat="0" applyAlignment="0" applyProtection="0">
      <alignment vertical="center"/>
    </xf>
    <xf numFmtId="0" fontId="115" fillId="91" borderId="61">
      <alignment vertical="center"/>
    </xf>
    <xf numFmtId="0" fontId="116" fillId="91" borderId="61">
      <alignment vertical="center"/>
    </xf>
    <xf numFmtId="0" fontId="115" fillId="91" borderId="61">
      <alignment vertical="center"/>
    </xf>
    <xf numFmtId="170" fontId="117" fillId="92" borderId="61" applyNumberFormat="0" applyAlignment="0" applyProtection="0"/>
    <xf numFmtId="0" fontId="115" fillId="91" borderId="61">
      <alignment vertical="center"/>
    </xf>
    <xf numFmtId="0" fontId="115" fillId="91" borderId="61">
      <alignment vertical="center"/>
    </xf>
    <xf numFmtId="170" fontId="117" fillId="92" borderId="61" applyNumberFormat="0" applyAlignment="0" applyProtection="0"/>
    <xf numFmtId="0" fontId="115" fillId="91" borderId="61">
      <alignment vertical="center"/>
    </xf>
    <xf numFmtId="170" fontId="117" fillId="92" borderId="61" applyNumberFormat="0" applyAlignment="0" applyProtection="0"/>
    <xf numFmtId="0" fontId="115" fillId="90" borderId="61" applyNumberFormat="0" applyAlignment="0" applyProtection="0">
      <alignment vertical="center"/>
    </xf>
    <xf numFmtId="0" fontId="115" fillId="91" borderId="61">
      <alignment vertical="center"/>
    </xf>
    <xf numFmtId="0" fontId="116" fillId="91" borderId="61">
      <alignment vertical="center"/>
    </xf>
    <xf numFmtId="0" fontId="115" fillId="91" borderId="61">
      <alignment vertical="center"/>
    </xf>
    <xf numFmtId="170" fontId="117" fillId="92" borderId="61" applyNumberFormat="0" applyAlignment="0" applyProtection="0"/>
    <xf numFmtId="0" fontId="115" fillId="91" borderId="61">
      <alignment vertical="center"/>
    </xf>
    <xf numFmtId="0" fontId="115" fillId="91" borderId="61">
      <alignment vertical="center"/>
    </xf>
    <xf numFmtId="170" fontId="117" fillId="92" borderId="61" applyNumberFormat="0" applyAlignment="0" applyProtection="0"/>
    <xf numFmtId="0" fontId="115" fillId="91" borderId="61">
      <alignment vertical="center"/>
    </xf>
    <xf numFmtId="170" fontId="117" fillId="92" borderId="61" applyNumberFormat="0" applyAlignment="0" applyProtection="0"/>
    <xf numFmtId="0" fontId="115" fillId="90" borderId="61" applyNumberFormat="0" applyAlignment="0" applyProtection="0">
      <alignment vertical="center"/>
    </xf>
    <xf numFmtId="0" fontId="115" fillId="91" borderId="61">
      <alignment vertical="center"/>
    </xf>
    <xf numFmtId="0" fontId="116" fillId="91" borderId="61">
      <alignment vertical="center"/>
    </xf>
    <xf numFmtId="0" fontId="115" fillId="91" borderId="61">
      <alignment vertical="center"/>
    </xf>
    <xf numFmtId="170" fontId="117" fillId="92" borderId="61" applyNumberFormat="0" applyAlignment="0" applyProtection="0"/>
    <xf numFmtId="0" fontId="115" fillId="91" borderId="61">
      <alignment vertical="center"/>
    </xf>
    <xf numFmtId="0" fontId="115" fillId="91" borderId="61">
      <alignment vertical="center"/>
    </xf>
    <xf numFmtId="170" fontId="117" fillId="92" borderId="61" applyNumberFormat="0" applyAlignment="0" applyProtection="0"/>
    <xf numFmtId="0" fontId="115" fillId="91" borderId="61">
      <alignment vertical="center"/>
    </xf>
    <xf numFmtId="170" fontId="117" fillId="92" borderId="61" applyNumberFormat="0" applyAlignment="0" applyProtection="0"/>
    <xf numFmtId="0" fontId="119" fillId="0" borderId="0"/>
    <xf numFmtId="0" fontId="119" fillId="0" borderId="0"/>
    <xf numFmtId="0" fontId="120" fillId="93" borderId="62" applyNumberFormat="0" applyAlignment="0" applyProtection="0">
      <alignment vertical="center"/>
    </xf>
    <xf numFmtId="0" fontId="120" fillId="93" borderId="62" applyNumberFormat="0" applyAlignment="0" applyProtection="0">
      <alignment vertical="center"/>
    </xf>
    <xf numFmtId="0" fontId="121" fillId="93" borderId="62" applyNumberFormat="0" applyAlignment="0" applyProtection="0">
      <alignment vertical="center"/>
    </xf>
    <xf numFmtId="170" fontId="122" fillId="79" borderId="62" applyNumberFormat="0" applyAlignment="0" applyProtection="0"/>
    <xf numFmtId="0" fontId="123" fillId="93" borderId="62" applyNumberFormat="0" applyAlignment="0" applyProtection="0">
      <alignment vertical="center"/>
    </xf>
    <xf numFmtId="0" fontId="120" fillId="93" borderId="62" applyNumberFormat="0" applyAlignment="0" applyProtection="0">
      <alignment vertical="center"/>
    </xf>
    <xf numFmtId="0" fontId="121" fillId="93" borderId="62" applyNumberFormat="0" applyAlignment="0" applyProtection="0">
      <alignment vertical="center"/>
    </xf>
    <xf numFmtId="0" fontId="121" fillId="94" borderId="62">
      <alignment vertical="center"/>
    </xf>
    <xf numFmtId="170" fontId="122" fillId="79" borderId="62" applyNumberFormat="0" applyAlignment="0" applyProtection="0"/>
    <xf numFmtId="0" fontId="43" fillId="0" borderId="0" applyNumberFormat="0" applyFill="0" applyBorder="0" applyAlignment="0" applyProtection="0">
      <alignment vertical="top"/>
      <protection locked="0"/>
    </xf>
    <xf numFmtId="10" fontId="78" fillId="0" borderId="0" applyFont="0" applyFill="0" applyBorder="0" applyAlignment="0" applyProtection="0"/>
    <xf numFmtId="4" fontId="124" fillId="0" borderId="0">
      <protection locked="0"/>
    </xf>
    <xf numFmtId="201" fontId="13" fillId="0" borderId="0"/>
    <xf numFmtId="201" fontId="13" fillId="0" borderId="0"/>
    <xf numFmtId="201" fontId="13" fillId="0" borderId="0"/>
    <xf numFmtId="201" fontId="13" fillId="0" borderId="0"/>
    <xf numFmtId="201" fontId="13" fillId="0" borderId="0"/>
    <xf numFmtId="201" fontId="13" fillId="0" borderId="0"/>
    <xf numFmtId="201" fontId="13" fillId="0" borderId="0"/>
    <xf numFmtId="201" fontId="13" fillId="0" borderId="0"/>
    <xf numFmtId="197" fontId="13" fillId="0" borderId="0" applyFont="0" applyFill="0" applyBorder="0" applyAlignment="0" applyProtection="0"/>
    <xf numFmtId="202" fontId="1" fillId="0" borderId="0"/>
    <xf numFmtId="0" fontId="1" fillId="0" borderId="0" applyFont="0" applyFill="0" applyBorder="0" applyAlignment="0" applyProtection="0"/>
    <xf numFmtId="170" fontId="37" fillId="0" borderId="0">
      <protection locked="0"/>
    </xf>
    <xf numFmtId="170" fontId="13" fillId="0" borderId="0" applyFont="0" applyFill="0" applyBorder="0" applyAlignment="0" applyProtection="0"/>
    <xf numFmtId="0" fontId="13" fillId="0" borderId="0" applyFont="0" applyFill="0" applyBorder="0" applyAlignment="0" applyProtection="0"/>
    <xf numFmtId="198" fontId="114" fillId="0" borderId="0" applyFont="0" applyFill="0" applyBorder="0" applyAlignment="0" applyProtection="0"/>
    <xf numFmtId="170" fontId="1" fillId="0" borderId="0"/>
    <xf numFmtId="0" fontId="1" fillId="0" borderId="0"/>
    <xf numFmtId="0" fontId="48" fillId="91" borderId="0" applyFont="0" applyBorder="0"/>
    <xf numFmtId="170" fontId="125" fillId="0" borderId="0"/>
    <xf numFmtId="203" fontId="1" fillId="0" borderId="0">
      <protection locked="0"/>
    </xf>
    <xf numFmtId="204" fontId="84" fillId="0" borderId="0">
      <protection locked="0"/>
    </xf>
    <xf numFmtId="14" fontId="126" fillId="0" borderId="0" applyFill="0" applyBorder="0" applyAlignment="0"/>
    <xf numFmtId="14" fontId="13" fillId="0" borderId="0" applyFont="0" applyFill="0" applyBorder="0" applyAlignment="0" applyProtection="0"/>
    <xf numFmtId="170" fontId="89" fillId="0" borderId="0">
      <protection locked="0"/>
    </xf>
    <xf numFmtId="0" fontId="127" fillId="1" borderId="0" applyFill="0">
      <alignment horizontal="center"/>
    </xf>
    <xf numFmtId="38" fontId="57" fillId="0" borderId="63">
      <alignment vertical="center"/>
    </xf>
    <xf numFmtId="205" fontId="1" fillId="0" borderId="0"/>
    <xf numFmtId="170" fontId="37" fillId="0" borderId="0" applyFont="0" applyFill="0" applyBorder="0" applyAlignment="0" applyProtection="0"/>
    <xf numFmtId="170" fontId="128" fillId="95" borderId="0" applyNumberFormat="0" applyBorder="0" applyAlignment="0" applyProtection="0"/>
    <xf numFmtId="170" fontId="128" fillId="96" borderId="0" applyNumberFormat="0" applyBorder="0" applyAlignment="0" applyProtection="0"/>
    <xf numFmtId="170" fontId="128" fillId="97" borderId="0" applyNumberFormat="0" applyBorder="0" applyAlignment="0" applyProtection="0"/>
    <xf numFmtId="170" fontId="37" fillId="0" borderId="0" applyFont="0" applyFill="0" applyBorder="0" applyAlignment="0" applyProtection="0"/>
    <xf numFmtId="197" fontId="13" fillId="0" borderId="0" applyFill="0" applyBorder="0" applyAlignment="0"/>
    <xf numFmtId="198" fontId="114" fillId="0" borderId="0" applyFill="0" applyBorder="0" applyAlignment="0"/>
    <xf numFmtId="197" fontId="13" fillId="0" borderId="0" applyFill="0" applyBorder="0" applyAlignment="0"/>
    <xf numFmtId="200" fontId="13" fillId="0" borderId="0" applyFill="0" applyBorder="0" applyAlignment="0"/>
    <xf numFmtId="198" fontId="114" fillId="0" borderId="0" applyFill="0" applyBorder="0" applyAlignment="0"/>
    <xf numFmtId="170" fontId="114" fillId="0" borderId="0">
      <alignment horizontal="left"/>
    </xf>
    <xf numFmtId="170" fontId="1" fillId="0" borderId="0" applyFont="0" applyFill="0" applyBorder="0" applyAlignment="0" applyProtection="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62" fillId="0" borderId="0">
      <alignment vertical="center"/>
    </xf>
    <xf numFmtId="0" fontId="129"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29"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0" fillId="0" borderId="0">
      <alignment vertical="center"/>
    </xf>
    <xf numFmtId="170" fontId="124" fillId="0" borderId="0">
      <protection locked="0"/>
    </xf>
    <xf numFmtId="170" fontId="124" fillId="0" borderId="0">
      <protection locked="0"/>
    </xf>
    <xf numFmtId="170" fontId="124" fillId="0" borderId="0">
      <protection locked="0"/>
    </xf>
    <xf numFmtId="170" fontId="124" fillId="0" borderId="0">
      <protection locked="0"/>
    </xf>
    <xf numFmtId="170" fontId="124" fillId="0" borderId="0">
      <protection locked="0"/>
    </xf>
    <xf numFmtId="170" fontId="124" fillId="0" borderId="0">
      <protection locked="0"/>
    </xf>
    <xf numFmtId="170" fontId="124" fillId="0" borderId="0">
      <protection locked="0"/>
    </xf>
    <xf numFmtId="203" fontId="1" fillId="0" borderId="0">
      <protection locked="0"/>
    </xf>
    <xf numFmtId="179" fontId="84" fillId="0" borderId="0">
      <protection locked="0"/>
    </xf>
    <xf numFmtId="170" fontId="13" fillId="0" borderId="0"/>
    <xf numFmtId="0" fontId="132" fillId="45" borderId="0" applyNumberFormat="0" applyBorder="0" applyAlignment="0" applyProtection="0">
      <alignment vertical="center"/>
    </xf>
    <xf numFmtId="0" fontId="132" fillId="45" borderId="0" applyNumberFormat="0" applyBorder="0" applyAlignment="0" applyProtection="0">
      <alignment vertical="center"/>
    </xf>
    <xf numFmtId="0" fontId="133" fillId="45" borderId="0" applyNumberFormat="0" applyBorder="0" applyAlignment="0" applyProtection="0">
      <alignment vertical="center"/>
    </xf>
    <xf numFmtId="0" fontId="134" fillId="45" borderId="0" applyNumberFormat="0" applyBorder="0" applyAlignment="0" applyProtection="0">
      <alignment vertical="center"/>
    </xf>
    <xf numFmtId="0" fontId="132" fillId="45" borderId="0" applyNumberFormat="0" applyBorder="0" applyAlignment="0" applyProtection="0">
      <alignment vertical="center"/>
    </xf>
    <xf numFmtId="0" fontId="133" fillId="45" borderId="0" applyNumberFormat="0" applyBorder="0" applyAlignment="0" applyProtection="0">
      <alignment vertical="center"/>
    </xf>
    <xf numFmtId="0" fontId="133" fillId="46" borderId="0">
      <alignment vertical="center"/>
    </xf>
    <xf numFmtId="170" fontId="135" fillId="98" borderId="0" applyNumberFormat="0" applyBorder="0" applyAlignment="0" applyProtection="0"/>
    <xf numFmtId="38" fontId="136" fillId="36" borderId="0" applyNumberFormat="0" applyBorder="0" applyAlignment="0" applyProtection="0"/>
    <xf numFmtId="0" fontId="137" fillId="0" borderId="0">
      <alignment horizontal="left"/>
    </xf>
    <xf numFmtId="0" fontId="137" fillId="0" borderId="0">
      <alignment horizontal="left"/>
    </xf>
    <xf numFmtId="0" fontId="138" fillId="0" borderId="64" applyNumberFormat="0" applyAlignment="0" applyProtection="0">
      <alignment horizontal="left" vertical="center"/>
    </xf>
    <xf numFmtId="0" fontId="138" fillId="0" borderId="64" applyNumberFormat="0" applyAlignment="0" applyProtection="0">
      <alignment horizontal="left" vertical="center"/>
    </xf>
    <xf numFmtId="0" fontId="138" fillId="0" borderId="12">
      <alignment horizontal="left" vertical="center"/>
    </xf>
    <xf numFmtId="0" fontId="138" fillId="0" borderId="12">
      <alignment horizontal="left" vertical="center"/>
    </xf>
    <xf numFmtId="170" fontId="138" fillId="0" borderId="12">
      <alignment horizontal="left" vertical="center"/>
    </xf>
    <xf numFmtId="170" fontId="138" fillId="0" borderId="12">
      <alignment horizontal="left" vertical="center"/>
    </xf>
    <xf numFmtId="170" fontId="138" fillId="0" borderId="12">
      <alignment horizontal="left" vertical="center"/>
    </xf>
    <xf numFmtId="170" fontId="138" fillId="0" borderId="12">
      <alignment horizontal="left" vertical="center"/>
    </xf>
    <xf numFmtId="170" fontId="138" fillId="0" borderId="12">
      <alignment horizontal="left" vertical="center"/>
    </xf>
    <xf numFmtId="170" fontId="138" fillId="0" borderId="12">
      <alignment horizontal="left" vertical="center"/>
    </xf>
    <xf numFmtId="170" fontId="138" fillId="0" borderId="12">
      <alignment horizontal="left" vertical="center"/>
    </xf>
    <xf numFmtId="170" fontId="138" fillId="0" borderId="12">
      <alignment horizontal="left" vertical="center"/>
    </xf>
    <xf numFmtId="170" fontId="138" fillId="0" borderId="12">
      <alignment horizontal="left" vertical="center"/>
    </xf>
    <xf numFmtId="170" fontId="138" fillId="0" borderId="12">
      <alignment horizontal="left" vertical="center"/>
    </xf>
    <xf numFmtId="170" fontId="138" fillId="0" borderId="12">
      <alignment horizontal="left" vertical="center"/>
    </xf>
    <xf numFmtId="170" fontId="138" fillId="0" borderId="12">
      <alignment horizontal="left" vertical="center"/>
    </xf>
    <xf numFmtId="170" fontId="138" fillId="0" borderId="12">
      <alignment horizontal="left" vertical="center"/>
    </xf>
    <xf numFmtId="170" fontId="138" fillId="0" borderId="12">
      <alignment horizontal="left" vertical="center"/>
    </xf>
    <xf numFmtId="0" fontId="138" fillId="0" borderId="12">
      <alignment horizontal="left" vertical="center"/>
    </xf>
    <xf numFmtId="170" fontId="138" fillId="0" borderId="12">
      <alignment horizontal="left" vertical="center"/>
    </xf>
    <xf numFmtId="170" fontId="138" fillId="0" borderId="12">
      <alignment horizontal="left" vertical="center"/>
    </xf>
    <xf numFmtId="170" fontId="138" fillId="0" borderId="12">
      <alignment horizontal="left" vertical="center"/>
    </xf>
    <xf numFmtId="170" fontId="138" fillId="0" borderId="12">
      <alignment horizontal="left" vertical="center"/>
    </xf>
    <xf numFmtId="170" fontId="138" fillId="0" borderId="12">
      <alignment horizontal="left" vertical="center"/>
    </xf>
    <xf numFmtId="170" fontId="138" fillId="0" borderId="12">
      <alignment horizontal="left" vertical="center"/>
    </xf>
    <xf numFmtId="170" fontId="138" fillId="0" borderId="12">
      <alignment horizontal="left" vertical="center"/>
    </xf>
    <xf numFmtId="170" fontId="138" fillId="0" borderId="12">
      <alignment horizontal="left" vertical="center"/>
    </xf>
    <xf numFmtId="170" fontId="138" fillId="0" borderId="12">
      <alignment horizontal="left" vertical="center"/>
    </xf>
    <xf numFmtId="170" fontId="138" fillId="0" borderId="12">
      <alignment horizontal="left" vertical="center"/>
    </xf>
    <xf numFmtId="170" fontId="138" fillId="0" borderId="12">
      <alignment horizontal="left" vertical="center"/>
    </xf>
    <xf numFmtId="170" fontId="138" fillId="0" borderId="12">
      <alignment horizontal="left" vertical="center"/>
    </xf>
    <xf numFmtId="170" fontId="138" fillId="0" borderId="12">
      <alignment horizontal="left" vertical="center"/>
    </xf>
    <xf numFmtId="170" fontId="138" fillId="0" borderId="12">
      <alignment horizontal="left" vertical="center"/>
    </xf>
    <xf numFmtId="0" fontId="138" fillId="0" borderId="12">
      <alignment horizontal="left" vertical="center"/>
    </xf>
    <xf numFmtId="0" fontId="139" fillId="0" borderId="65" applyNumberFormat="0" applyFill="0" applyAlignment="0" applyProtection="0">
      <alignment vertical="center"/>
    </xf>
    <xf numFmtId="0" fontId="139" fillId="0" borderId="65" applyNumberFormat="0" applyFill="0" applyAlignment="0" applyProtection="0">
      <alignment vertical="center"/>
    </xf>
    <xf numFmtId="0" fontId="140" fillId="0" borderId="65" applyNumberFormat="0" applyFill="0" applyAlignment="0" applyProtection="0">
      <alignment vertical="center"/>
    </xf>
    <xf numFmtId="0" fontId="141" fillId="0" borderId="65" applyNumberFormat="0" applyFill="0" applyAlignment="0" applyProtection="0">
      <alignment vertical="center"/>
    </xf>
    <xf numFmtId="0" fontId="139" fillId="0" borderId="65" applyNumberFormat="0" applyFill="0" applyAlignment="0" applyProtection="0">
      <alignment vertical="center"/>
    </xf>
    <xf numFmtId="0" fontId="140" fillId="0" borderId="65" applyNumberFormat="0" applyFill="0" applyAlignment="0" applyProtection="0">
      <alignment vertical="center"/>
    </xf>
    <xf numFmtId="0" fontId="140" fillId="0" borderId="65">
      <alignment vertical="center"/>
    </xf>
    <xf numFmtId="170" fontId="142" fillId="0" borderId="66" applyNumberFormat="0" applyFill="0" applyAlignment="0" applyProtection="0"/>
    <xf numFmtId="0" fontId="143" fillId="0" borderId="67" applyNumberFormat="0" applyFill="0" applyAlignment="0" applyProtection="0">
      <alignment vertical="center"/>
    </xf>
    <xf numFmtId="0" fontId="143" fillId="0" borderId="67" applyNumberFormat="0" applyFill="0" applyAlignment="0" applyProtection="0">
      <alignment vertical="center"/>
    </xf>
    <xf numFmtId="0" fontId="144" fillId="0" borderId="67" applyNumberFormat="0" applyFill="0" applyAlignment="0" applyProtection="0">
      <alignment vertical="center"/>
    </xf>
    <xf numFmtId="0" fontId="145" fillId="0" borderId="67" applyNumberFormat="0" applyFill="0" applyAlignment="0" applyProtection="0">
      <alignment vertical="center"/>
    </xf>
    <xf numFmtId="0" fontId="143" fillId="0" borderId="67" applyNumberFormat="0" applyFill="0" applyAlignment="0" applyProtection="0">
      <alignment vertical="center"/>
    </xf>
    <xf numFmtId="0" fontId="144" fillId="0" borderId="67" applyNumberFormat="0" applyFill="0" applyAlignment="0" applyProtection="0">
      <alignment vertical="center"/>
    </xf>
    <xf numFmtId="0" fontId="144" fillId="0" borderId="67">
      <alignment vertical="center"/>
    </xf>
    <xf numFmtId="170" fontId="146" fillId="0" borderId="67" applyNumberFormat="0" applyFill="0" applyAlignment="0" applyProtection="0"/>
    <xf numFmtId="0" fontId="147" fillId="0" borderId="68" applyNumberFormat="0" applyFill="0" applyAlignment="0" applyProtection="0">
      <alignment vertical="center"/>
    </xf>
    <xf numFmtId="170" fontId="148" fillId="0" borderId="69" applyNumberFormat="0" applyFill="0" applyAlignment="0" applyProtection="0"/>
    <xf numFmtId="0" fontId="147" fillId="0" borderId="68" applyNumberFormat="0" applyFill="0" applyAlignment="0" applyProtection="0">
      <alignment vertical="center"/>
    </xf>
    <xf numFmtId="0" fontId="149" fillId="0" borderId="68" applyNumberFormat="0" applyFill="0" applyAlignment="0" applyProtection="0">
      <alignment vertical="center"/>
    </xf>
    <xf numFmtId="170" fontId="148" fillId="0" borderId="69" applyNumberFormat="0" applyFill="0" applyAlignment="0" applyProtection="0"/>
    <xf numFmtId="170" fontId="148" fillId="0" borderId="69" applyNumberFormat="0" applyFill="0" applyAlignment="0" applyProtection="0"/>
    <xf numFmtId="0" fontId="147" fillId="0" borderId="68" applyNumberFormat="0" applyFill="0" applyAlignment="0" applyProtection="0">
      <alignment vertical="center"/>
    </xf>
    <xf numFmtId="0" fontId="147" fillId="0" borderId="68" applyNumberFormat="0" applyFill="0" applyAlignment="0" applyProtection="0">
      <alignment vertical="center"/>
    </xf>
    <xf numFmtId="0" fontId="149" fillId="0" borderId="68" applyNumberFormat="0" applyFill="0" applyAlignment="0" applyProtection="0">
      <alignment vertical="center"/>
    </xf>
    <xf numFmtId="170" fontId="148" fillId="0" borderId="69" applyNumberFormat="0" applyFill="0" applyAlignment="0" applyProtection="0"/>
    <xf numFmtId="170" fontId="148" fillId="0" borderId="69" applyNumberFormat="0" applyFill="0" applyAlignment="0" applyProtection="0"/>
    <xf numFmtId="0" fontId="149" fillId="0" borderId="68">
      <alignment vertical="center"/>
    </xf>
    <xf numFmtId="170" fontId="148" fillId="0" borderId="69" applyNumberFormat="0" applyFill="0" applyAlignment="0" applyProtection="0"/>
    <xf numFmtId="170" fontId="148" fillId="0" borderId="69" applyNumberFormat="0" applyFill="0" applyAlignment="0" applyProtection="0"/>
    <xf numFmtId="170" fontId="148" fillId="0" borderId="69" applyNumberFormat="0" applyFill="0" applyAlignment="0" applyProtection="0"/>
    <xf numFmtId="170" fontId="148" fillId="0" borderId="69" applyNumberFormat="0" applyFill="0" applyAlignment="0" applyProtection="0"/>
    <xf numFmtId="170" fontId="148" fillId="0" borderId="69" applyNumberFormat="0" applyFill="0" applyAlignment="0" applyProtection="0"/>
    <xf numFmtId="170" fontId="148" fillId="0" borderId="69" applyNumberFormat="0" applyFill="0" applyAlignment="0" applyProtection="0"/>
    <xf numFmtId="170" fontId="148" fillId="0" borderId="69" applyNumberFormat="0" applyFill="0" applyAlignment="0" applyProtection="0"/>
    <xf numFmtId="170" fontId="148" fillId="0" borderId="69" applyNumberFormat="0" applyFill="0" applyAlignment="0" applyProtection="0"/>
    <xf numFmtId="170" fontId="148" fillId="0" borderId="69" applyNumberFormat="0" applyFill="0" applyAlignment="0" applyProtection="0"/>
    <xf numFmtId="170" fontId="148" fillId="0" borderId="69" applyNumberFormat="0" applyFill="0" applyAlignment="0" applyProtection="0"/>
    <xf numFmtId="170" fontId="148" fillId="0" borderId="69" applyNumberFormat="0" applyFill="0" applyAlignment="0" applyProtection="0"/>
    <xf numFmtId="170" fontId="148" fillId="0" borderId="69" applyNumberFormat="0" applyFill="0" applyAlignment="0" applyProtection="0"/>
    <xf numFmtId="0" fontId="147" fillId="0" borderId="0" applyNumberFormat="0" applyFill="0" applyBorder="0" applyAlignment="0" applyProtection="0">
      <alignment vertical="center"/>
    </xf>
    <xf numFmtId="0" fontId="147"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50" fillId="0" borderId="0" applyNumberFormat="0" applyFill="0" applyBorder="0" applyAlignment="0" applyProtection="0">
      <alignment vertical="center"/>
    </xf>
    <xf numFmtId="0" fontId="147"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49" fillId="0" borderId="0">
      <alignment vertical="center"/>
    </xf>
    <xf numFmtId="170" fontId="148" fillId="0" borderId="0" applyNumberFormat="0" applyFill="0" applyBorder="0" applyAlignment="0" applyProtection="0"/>
    <xf numFmtId="203" fontId="1" fillId="0" borderId="0">
      <protection locked="0"/>
    </xf>
    <xf numFmtId="206" fontId="37" fillId="0" borderId="0">
      <protection locked="0"/>
    </xf>
    <xf numFmtId="203" fontId="1" fillId="0" borderId="0">
      <protection locked="0"/>
    </xf>
    <xf numFmtId="206" fontId="37" fillId="0" borderId="0">
      <protection locked="0"/>
    </xf>
    <xf numFmtId="207" fontId="37" fillId="0" borderId="0" applyFont="0" applyFill="0" applyBorder="0" applyAlignment="0" applyProtection="0"/>
    <xf numFmtId="184" fontId="48"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208" fontId="151" fillId="0" borderId="0"/>
    <xf numFmtId="170" fontId="152" fillId="0" borderId="70" applyNumberFormat="0" applyFill="0" applyAlignment="0" applyProtection="0"/>
    <xf numFmtId="209" fontId="153" fillId="99" borderId="71">
      <alignment horizontal="left" vertical="top" textRotation="90"/>
    </xf>
    <xf numFmtId="170" fontId="110" fillId="0" borderId="0"/>
    <xf numFmtId="170" fontId="37" fillId="0" borderId="0" applyFont="0" applyFill="0" applyBorder="0" applyAlignment="0" applyProtection="0"/>
    <xf numFmtId="0" fontId="37" fillId="0" borderId="0" applyFont="0" applyFill="0" applyBorder="0" applyAlignment="0" applyProtection="0"/>
    <xf numFmtId="0" fontId="154" fillId="51" borderId="61" applyNumberFormat="0" applyAlignment="0" applyProtection="0">
      <alignment vertical="center"/>
    </xf>
    <xf numFmtId="10" fontId="136" fillId="36" borderId="4" applyNumberFormat="0" applyBorder="0" applyAlignment="0" applyProtection="0"/>
    <xf numFmtId="10" fontId="136" fillId="36" borderId="4" applyNumberFormat="0" applyBorder="0" applyAlignment="0" applyProtection="0"/>
    <xf numFmtId="10" fontId="136" fillId="36" borderId="4" applyNumberFormat="0" applyBorder="0" applyAlignment="0" applyProtection="0"/>
    <xf numFmtId="10" fontId="136" fillId="36" borderId="4" applyNumberFormat="0" applyBorder="0" applyAlignment="0" applyProtection="0"/>
    <xf numFmtId="10" fontId="136" fillId="36" borderId="4" applyNumberFormat="0" applyBorder="0" applyAlignment="0" applyProtection="0"/>
    <xf numFmtId="10" fontId="136" fillId="36" borderId="4" applyNumberFormat="0" applyBorder="0" applyAlignment="0" applyProtection="0"/>
    <xf numFmtId="10" fontId="136" fillId="36" borderId="4" applyNumberFormat="0" applyBorder="0" applyAlignment="0" applyProtection="0"/>
    <xf numFmtId="10" fontId="136" fillId="36" borderId="4" applyNumberFormat="0" applyBorder="0" applyAlignment="0" applyProtection="0"/>
    <xf numFmtId="10" fontId="136" fillId="36" borderId="4" applyNumberFormat="0" applyBorder="0" applyAlignment="0" applyProtection="0"/>
    <xf numFmtId="10" fontId="136" fillId="36" borderId="4" applyNumberFormat="0" applyBorder="0" applyAlignment="0" applyProtection="0"/>
    <xf numFmtId="10" fontId="136" fillId="36" borderId="4" applyNumberFormat="0" applyBorder="0" applyAlignment="0" applyProtection="0"/>
    <xf numFmtId="10" fontId="136" fillId="36" borderId="4" applyNumberFormat="0" applyBorder="0" applyAlignment="0" applyProtection="0"/>
    <xf numFmtId="10" fontId="136" fillId="36" borderId="4" applyNumberFormat="0" applyBorder="0" applyAlignment="0" applyProtection="0"/>
    <xf numFmtId="10" fontId="136" fillId="36" borderId="4" applyNumberFormat="0" applyBorder="0" applyAlignment="0" applyProtection="0"/>
    <xf numFmtId="10" fontId="136" fillId="36" borderId="4" applyNumberFormat="0" applyBorder="0" applyAlignment="0" applyProtection="0"/>
    <xf numFmtId="10" fontId="136" fillId="36" borderId="4" applyNumberFormat="0" applyBorder="0" applyAlignment="0" applyProtection="0"/>
    <xf numFmtId="10" fontId="136" fillId="36" borderId="4" applyNumberFormat="0" applyBorder="0" applyAlignment="0" applyProtection="0"/>
    <xf numFmtId="10" fontId="136" fillId="36" borderId="4" applyNumberFormat="0" applyBorder="0" applyAlignment="0" applyProtection="0"/>
    <xf numFmtId="10" fontId="136" fillId="36" borderId="4" applyNumberFormat="0" applyBorder="0" applyAlignment="0" applyProtection="0"/>
    <xf numFmtId="10" fontId="136" fillId="36" borderId="4" applyNumberFormat="0" applyBorder="0" applyAlignment="0" applyProtection="0"/>
    <xf numFmtId="10" fontId="136" fillId="36" borderId="4" applyNumberFormat="0" applyBorder="0" applyAlignment="0" applyProtection="0"/>
    <xf numFmtId="10" fontId="136" fillId="36" borderId="4" applyNumberFormat="0" applyBorder="0" applyAlignment="0" applyProtection="0"/>
    <xf numFmtId="10" fontId="136" fillId="36" borderId="4" applyNumberFormat="0" applyBorder="0" applyAlignment="0" applyProtection="0"/>
    <xf numFmtId="10" fontId="136" fillId="36" borderId="4" applyNumberFormat="0" applyBorder="0" applyAlignment="0" applyProtection="0"/>
    <xf numFmtId="0" fontId="154" fillId="51" borderId="61" applyNumberFormat="0" applyAlignment="0" applyProtection="0">
      <alignment vertical="center"/>
    </xf>
    <xf numFmtId="0" fontId="154" fillId="40" borderId="61">
      <alignment vertical="center"/>
    </xf>
    <xf numFmtId="0" fontId="155" fillId="40" borderId="61">
      <alignment vertical="center"/>
    </xf>
    <xf numFmtId="0" fontId="154" fillId="40" borderId="61">
      <alignment vertical="center"/>
    </xf>
    <xf numFmtId="170" fontId="156" fillId="86" borderId="61" applyNumberFormat="0" applyAlignment="0" applyProtection="0"/>
    <xf numFmtId="0" fontId="154" fillId="40" borderId="61">
      <alignment vertical="center"/>
    </xf>
    <xf numFmtId="0" fontId="154" fillId="40" borderId="61">
      <alignment vertical="center"/>
    </xf>
    <xf numFmtId="170" fontId="156" fillId="86" borderId="61" applyNumberFormat="0" applyAlignment="0" applyProtection="0"/>
    <xf numFmtId="0" fontId="154" fillId="40" borderId="61">
      <alignment vertical="center"/>
    </xf>
    <xf numFmtId="170" fontId="156" fillId="86" borderId="61" applyNumberFormat="0" applyAlignment="0" applyProtection="0"/>
    <xf numFmtId="0" fontId="154" fillId="51" borderId="61" applyNumberFormat="0" applyAlignment="0" applyProtection="0">
      <alignment vertical="center"/>
    </xf>
    <xf numFmtId="0" fontId="154" fillId="40" borderId="61">
      <alignment vertical="center"/>
    </xf>
    <xf numFmtId="0" fontId="155" fillId="40" borderId="61">
      <alignment vertical="center"/>
    </xf>
    <xf numFmtId="0" fontId="154" fillId="40" borderId="61">
      <alignment vertical="center"/>
    </xf>
    <xf numFmtId="170" fontId="156" fillId="86" borderId="61" applyNumberFormat="0" applyAlignment="0" applyProtection="0"/>
    <xf numFmtId="0" fontId="154" fillId="40" borderId="61">
      <alignment vertical="center"/>
    </xf>
    <xf numFmtId="0" fontId="154" fillId="40" borderId="61">
      <alignment vertical="center"/>
    </xf>
    <xf numFmtId="170" fontId="156" fillId="86" borderId="61" applyNumberFormat="0" applyAlignment="0" applyProtection="0"/>
    <xf numFmtId="0" fontId="154" fillId="40" borderId="61">
      <alignment vertical="center"/>
    </xf>
    <xf numFmtId="170" fontId="156" fillId="86" borderId="61" applyNumberFormat="0" applyAlignment="0" applyProtection="0"/>
    <xf numFmtId="0" fontId="154" fillId="51" borderId="61" applyNumberFormat="0" applyAlignment="0" applyProtection="0">
      <alignment vertical="center"/>
    </xf>
    <xf numFmtId="0" fontId="154" fillId="40" borderId="61">
      <alignment vertical="center"/>
    </xf>
    <xf numFmtId="0" fontId="155" fillId="40" borderId="61">
      <alignment vertical="center"/>
    </xf>
    <xf numFmtId="0" fontId="154" fillId="40" borderId="61">
      <alignment vertical="center"/>
    </xf>
    <xf numFmtId="0" fontId="154" fillId="40" borderId="61">
      <alignment vertical="center"/>
    </xf>
    <xf numFmtId="0" fontId="154" fillId="40" borderId="61">
      <alignment vertical="center"/>
    </xf>
    <xf numFmtId="0" fontId="154" fillId="40" borderId="61">
      <alignment vertical="center"/>
    </xf>
    <xf numFmtId="170" fontId="156" fillId="86" borderId="61" applyNumberFormat="0" applyAlignment="0" applyProtection="0"/>
    <xf numFmtId="0" fontId="154" fillId="51" borderId="61" applyNumberFormat="0" applyAlignment="0" applyProtection="0">
      <alignment vertical="center"/>
    </xf>
    <xf numFmtId="0" fontId="154" fillId="40" borderId="61">
      <alignment vertical="center"/>
    </xf>
    <xf numFmtId="0" fontId="155" fillId="40" borderId="61">
      <alignment vertical="center"/>
    </xf>
    <xf numFmtId="0" fontId="154" fillId="40" borderId="61">
      <alignment vertical="center"/>
    </xf>
    <xf numFmtId="0" fontId="154" fillId="40" borderId="61">
      <alignment vertical="center"/>
    </xf>
    <xf numFmtId="0" fontId="154" fillId="40" borderId="61">
      <alignment vertical="center"/>
    </xf>
    <xf numFmtId="0" fontId="154" fillId="40" borderId="61">
      <alignment vertical="center"/>
    </xf>
    <xf numFmtId="170" fontId="156" fillId="86" borderId="61" applyNumberFormat="0" applyAlignment="0" applyProtection="0"/>
    <xf numFmtId="0" fontId="154" fillId="51" borderId="61" applyNumberFormat="0" applyAlignment="0" applyProtection="0">
      <alignment vertical="center"/>
    </xf>
    <xf numFmtId="0" fontId="155" fillId="40" borderId="61">
      <alignment vertical="center"/>
    </xf>
    <xf numFmtId="0" fontId="154" fillId="40" borderId="61">
      <alignment vertical="center"/>
    </xf>
    <xf numFmtId="170" fontId="156" fillId="86" borderId="61" applyNumberFormat="0" applyAlignment="0" applyProtection="0"/>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5"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5"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5" fillId="51" borderId="61" applyNumberFormat="0" applyAlignment="0" applyProtection="0">
      <alignment vertical="center"/>
    </xf>
    <xf numFmtId="0" fontId="154" fillId="51" borderId="61" applyNumberFormat="0" applyAlignment="0" applyProtection="0">
      <alignment vertical="center"/>
    </xf>
    <xf numFmtId="0" fontId="155" fillId="51" borderId="61" applyNumberFormat="0" applyAlignment="0" applyProtection="0">
      <alignment vertical="center"/>
    </xf>
    <xf numFmtId="0" fontId="154" fillId="51" borderId="61" applyNumberFormat="0" applyAlignment="0" applyProtection="0">
      <alignment vertical="center"/>
    </xf>
    <xf numFmtId="170" fontId="156" fillId="86" borderId="61" applyNumberFormat="0" applyAlignment="0" applyProtection="0"/>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5"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5" fillId="51" borderId="61" applyNumberFormat="0" applyAlignment="0" applyProtection="0">
      <alignment vertical="center"/>
    </xf>
    <xf numFmtId="0" fontId="154" fillId="51" borderId="61" applyNumberFormat="0" applyAlignment="0" applyProtection="0">
      <alignment vertical="center"/>
    </xf>
    <xf numFmtId="0" fontId="155" fillId="51" borderId="61" applyNumberFormat="0" applyAlignment="0" applyProtection="0">
      <alignment vertical="center"/>
    </xf>
    <xf numFmtId="0" fontId="154" fillId="51" borderId="61" applyNumberFormat="0" applyAlignment="0" applyProtection="0">
      <alignment vertical="center"/>
    </xf>
    <xf numFmtId="170" fontId="156" fillId="86" borderId="61" applyNumberFormat="0" applyAlignment="0" applyProtection="0"/>
    <xf numFmtId="0" fontId="154" fillId="51" borderId="61" applyNumberFormat="0" applyAlignment="0" applyProtection="0">
      <alignment vertical="center"/>
    </xf>
    <xf numFmtId="0" fontId="154" fillId="51" borderId="61" applyNumberFormat="0" applyAlignment="0" applyProtection="0">
      <alignment vertical="center"/>
    </xf>
    <xf numFmtId="0" fontId="155"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5"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5"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5"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5"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5"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5"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5"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5"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5"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5"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5"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5"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5"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5"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5"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4" fillId="51" borderId="61" applyNumberFormat="0" applyAlignment="0" applyProtection="0">
      <alignment vertical="center"/>
    </xf>
    <xf numFmtId="0" fontId="157" fillId="51" borderId="61" applyNumberFormat="0" applyAlignment="0" applyProtection="0">
      <alignment vertical="center"/>
    </xf>
    <xf numFmtId="0" fontId="154"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5"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4" fillId="51" borderId="61" applyNumberFormat="0" applyAlignment="0" applyProtection="0">
      <alignment vertical="center"/>
    </xf>
    <xf numFmtId="0" fontId="157" fillId="51" borderId="61" applyNumberFormat="0" applyAlignment="0" applyProtection="0">
      <alignment vertical="center"/>
    </xf>
    <xf numFmtId="0" fontId="154" fillId="51" borderId="61" applyNumberFormat="0" applyAlignment="0" applyProtection="0">
      <alignment vertical="center"/>
    </xf>
    <xf numFmtId="0" fontId="157" fillId="51" borderId="61" applyNumberFormat="0" applyAlignment="0" applyProtection="0">
      <alignment vertical="center"/>
    </xf>
    <xf numFmtId="0" fontId="154" fillId="51" borderId="61" applyNumberFormat="0" applyAlignment="0" applyProtection="0">
      <alignment vertical="center"/>
    </xf>
    <xf numFmtId="0" fontId="155" fillId="51" borderId="61" applyNumberFormat="0" applyAlignment="0" applyProtection="0">
      <alignment vertical="center"/>
    </xf>
    <xf numFmtId="0" fontId="157"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5" fillId="51" borderId="61" applyNumberFormat="0" applyAlignment="0" applyProtection="0">
      <alignment vertical="center"/>
    </xf>
    <xf numFmtId="0" fontId="157" fillId="51" borderId="61" applyNumberFormat="0" applyAlignment="0" applyProtection="0">
      <alignment vertical="center"/>
    </xf>
    <xf numFmtId="0" fontId="154" fillId="51" borderId="61" applyNumberFormat="0" applyAlignment="0" applyProtection="0">
      <alignment vertical="center"/>
    </xf>
    <xf numFmtId="170" fontId="156" fillId="86" borderId="61" applyNumberFormat="0" applyAlignment="0" applyProtection="0"/>
    <xf numFmtId="0" fontId="154"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5"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4" fillId="51" borderId="61" applyNumberFormat="0" applyAlignment="0" applyProtection="0">
      <alignment vertical="center"/>
    </xf>
    <xf numFmtId="0" fontId="157" fillId="51" borderId="61" applyNumberFormat="0" applyAlignment="0" applyProtection="0">
      <alignment vertical="center"/>
    </xf>
    <xf numFmtId="0" fontId="154" fillId="51" borderId="61" applyNumberFormat="0" applyAlignment="0" applyProtection="0">
      <alignment vertical="center"/>
    </xf>
    <xf numFmtId="0" fontId="157" fillId="51" borderId="61" applyNumberFormat="0" applyAlignment="0" applyProtection="0">
      <alignment vertical="center"/>
    </xf>
    <xf numFmtId="0" fontId="154" fillId="51" borderId="61" applyNumberFormat="0" applyAlignment="0" applyProtection="0">
      <alignment vertical="center"/>
    </xf>
    <xf numFmtId="0" fontId="155" fillId="51" borderId="61" applyNumberFormat="0" applyAlignment="0" applyProtection="0">
      <alignment vertical="center"/>
    </xf>
    <xf numFmtId="0" fontId="157"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5" fillId="51" borderId="61" applyNumberFormat="0" applyAlignment="0" applyProtection="0">
      <alignment vertical="center"/>
    </xf>
    <xf numFmtId="0" fontId="157" fillId="51" borderId="61" applyNumberFormat="0" applyAlignment="0" applyProtection="0">
      <alignment vertical="center"/>
    </xf>
    <xf numFmtId="0" fontId="154" fillId="51" borderId="61" applyNumberFormat="0" applyAlignment="0" applyProtection="0">
      <alignment vertical="center"/>
    </xf>
    <xf numFmtId="170" fontId="156" fillId="86" borderId="61" applyNumberFormat="0" applyAlignment="0" applyProtection="0"/>
    <xf numFmtId="0" fontId="157" fillId="51" borderId="61" applyNumberFormat="0" applyAlignment="0" applyProtection="0">
      <alignment vertical="center"/>
    </xf>
    <xf numFmtId="0" fontId="157" fillId="51" borderId="61" applyNumberFormat="0" applyAlignment="0" applyProtection="0">
      <alignment vertical="center"/>
    </xf>
    <xf numFmtId="0" fontId="155"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4" fillId="51" borderId="61" applyNumberFormat="0" applyAlignment="0" applyProtection="0">
      <alignment vertical="center"/>
    </xf>
    <xf numFmtId="0" fontId="157" fillId="51" borderId="61" applyNumberFormat="0" applyAlignment="0" applyProtection="0">
      <alignment vertical="center"/>
    </xf>
    <xf numFmtId="0" fontId="154"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5"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4" fillId="51" borderId="61" applyNumberFormat="0" applyAlignment="0" applyProtection="0">
      <alignment vertical="center"/>
    </xf>
    <xf numFmtId="0" fontId="157" fillId="51" borderId="61" applyNumberFormat="0" applyAlignment="0" applyProtection="0">
      <alignment vertical="center"/>
    </xf>
    <xf numFmtId="0" fontId="154"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5"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4" fillId="51" borderId="61" applyNumberFormat="0" applyAlignment="0" applyProtection="0">
      <alignment vertical="center"/>
    </xf>
    <xf numFmtId="0" fontId="157" fillId="51" borderId="61" applyNumberFormat="0" applyAlignment="0" applyProtection="0">
      <alignment vertical="center"/>
    </xf>
    <xf numFmtId="0" fontId="154"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5"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4" fillId="51" borderId="61" applyNumberFormat="0" applyAlignment="0" applyProtection="0">
      <alignment vertical="center"/>
    </xf>
    <xf numFmtId="0" fontId="157" fillId="51" borderId="61" applyNumberFormat="0" applyAlignment="0" applyProtection="0">
      <alignment vertical="center"/>
    </xf>
    <xf numFmtId="0" fontId="154"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5"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4" fillId="51" borderId="61" applyNumberFormat="0" applyAlignment="0" applyProtection="0">
      <alignment vertical="center"/>
    </xf>
    <xf numFmtId="0" fontId="157" fillId="51" borderId="61" applyNumberFormat="0" applyAlignment="0" applyProtection="0">
      <alignment vertical="center"/>
    </xf>
    <xf numFmtId="0" fontId="154"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5"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4" fillId="51" borderId="61" applyNumberFormat="0" applyAlignment="0" applyProtection="0">
      <alignment vertical="center"/>
    </xf>
    <xf numFmtId="0" fontId="157" fillId="51" borderId="61" applyNumberFormat="0" applyAlignment="0" applyProtection="0">
      <alignment vertical="center"/>
    </xf>
    <xf numFmtId="0" fontId="154"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5"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4" fillId="51" borderId="61" applyNumberFormat="0" applyAlignment="0" applyProtection="0">
      <alignment vertical="center"/>
    </xf>
    <xf numFmtId="0" fontId="157" fillId="51" borderId="61" applyNumberFormat="0" applyAlignment="0" applyProtection="0">
      <alignment vertical="center"/>
    </xf>
    <xf numFmtId="0" fontId="154"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5"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4" fillId="51" borderId="61" applyNumberFormat="0" applyAlignment="0" applyProtection="0">
      <alignment vertical="center"/>
    </xf>
    <xf numFmtId="0" fontId="157"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7" fillId="51" borderId="61" applyNumberFormat="0" applyAlignment="0" applyProtection="0">
      <alignment vertical="center"/>
    </xf>
    <xf numFmtId="0" fontId="155"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4" fillId="51" borderId="61" applyNumberFormat="0" applyAlignment="0" applyProtection="0">
      <alignment vertical="center"/>
    </xf>
    <xf numFmtId="0" fontId="157"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7" fillId="51" borderId="61" applyNumberFormat="0" applyAlignment="0" applyProtection="0">
      <alignment vertical="center"/>
    </xf>
    <xf numFmtId="0" fontId="155"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4" fillId="51" borderId="61" applyNumberFormat="0" applyAlignment="0" applyProtection="0">
      <alignment vertical="center"/>
    </xf>
    <xf numFmtId="0" fontId="157" fillId="51" borderId="61" applyNumberFormat="0" applyAlignment="0" applyProtection="0">
      <alignment vertical="center"/>
    </xf>
    <xf numFmtId="0" fontId="154"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5"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4" fillId="51" borderId="61" applyNumberFormat="0" applyAlignment="0" applyProtection="0">
      <alignment vertical="center"/>
    </xf>
    <xf numFmtId="0" fontId="157" fillId="51" borderId="61" applyNumberFormat="0" applyAlignment="0" applyProtection="0">
      <alignment vertical="center"/>
    </xf>
    <xf numFmtId="0" fontId="154"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5"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4" fillId="51" borderId="61" applyNumberFormat="0" applyAlignment="0" applyProtection="0">
      <alignment vertical="center"/>
    </xf>
    <xf numFmtId="0" fontId="157" fillId="51" borderId="61" applyNumberFormat="0" applyAlignment="0" applyProtection="0">
      <alignment vertical="center"/>
    </xf>
    <xf numFmtId="0" fontId="154"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5"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4" fillId="51" borderId="61" applyNumberFormat="0" applyAlignment="0" applyProtection="0">
      <alignment vertical="center"/>
    </xf>
    <xf numFmtId="0" fontId="157" fillId="51" borderId="61" applyNumberFormat="0" applyAlignment="0" applyProtection="0">
      <alignment vertical="center"/>
    </xf>
    <xf numFmtId="0" fontId="154"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5"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4" fillId="51" borderId="61" applyNumberFormat="0" applyAlignment="0" applyProtection="0">
      <alignment vertical="center"/>
    </xf>
    <xf numFmtId="0" fontId="157" fillId="51" borderId="61" applyNumberFormat="0" applyAlignment="0" applyProtection="0">
      <alignment vertical="center"/>
    </xf>
    <xf numFmtId="0" fontId="154"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5"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7" fillId="51" borderId="61" applyNumberFormat="0" applyAlignment="0" applyProtection="0">
      <alignment vertical="center"/>
    </xf>
    <xf numFmtId="0" fontId="154" fillId="51" borderId="61" applyNumberFormat="0" applyAlignment="0" applyProtection="0">
      <alignment vertical="center"/>
    </xf>
    <xf numFmtId="0" fontId="157"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4" fillId="40" borderId="61">
      <alignment vertical="center"/>
    </xf>
    <xf numFmtId="0" fontId="154" fillId="40" borderId="61">
      <alignment vertical="center"/>
    </xf>
    <xf numFmtId="0" fontId="155" fillId="40" borderId="61">
      <alignment vertical="center"/>
    </xf>
    <xf numFmtId="0" fontId="154" fillId="40" borderId="61">
      <alignment vertical="center"/>
    </xf>
    <xf numFmtId="0" fontId="154" fillId="40" borderId="61">
      <alignment vertical="center"/>
    </xf>
    <xf numFmtId="0" fontId="154" fillId="40" borderId="61">
      <alignment vertical="center"/>
    </xf>
    <xf numFmtId="0" fontId="154" fillId="40" borderId="61">
      <alignment vertical="center"/>
    </xf>
    <xf numFmtId="0" fontId="154" fillId="40" borderId="61">
      <alignment vertical="center"/>
    </xf>
    <xf numFmtId="0" fontId="155" fillId="40" borderId="61">
      <alignment vertical="center"/>
    </xf>
    <xf numFmtId="0" fontId="154" fillId="40" borderId="61">
      <alignment vertical="center"/>
    </xf>
    <xf numFmtId="0" fontId="155" fillId="40" borderId="61">
      <alignment vertical="center"/>
    </xf>
    <xf numFmtId="0" fontId="154" fillId="40" borderId="61">
      <alignment vertical="center"/>
    </xf>
    <xf numFmtId="170" fontId="156" fillId="86" borderId="61" applyNumberFormat="0" applyAlignment="0" applyProtection="0"/>
    <xf numFmtId="0" fontId="154" fillId="51" borderId="61" applyNumberFormat="0" applyAlignment="0" applyProtection="0">
      <alignment vertical="center"/>
    </xf>
    <xf numFmtId="0" fontId="154" fillId="40" borderId="61">
      <alignment vertical="center"/>
    </xf>
    <xf numFmtId="0" fontId="155" fillId="40" borderId="61">
      <alignment vertical="center"/>
    </xf>
    <xf numFmtId="0" fontId="154" fillId="40" borderId="61">
      <alignment vertical="center"/>
    </xf>
    <xf numFmtId="0" fontId="154" fillId="40" borderId="61">
      <alignment vertical="center"/>
    </xf>
    <xf numFmtId="0" fontId="154" fillId="40" borderId="61">
      <alignment vertical="center"/>
    </xf>
    <xf numFmtId="0" fontId="154" fillId="40" borderId="61">
      <alignment vertical="center"/>
    </xf>
    <xf numFmtId="170" fontId="156" fillId="86" borderId="61" applyNumberFormat="0" applyAlignment="0" applyProtection="0"/>
    <xf numFmtId="0" fontId="154" fillId="40" borderId="61">
      <alignment vertical="center"/>
    </xf>
    <xf numFmtId="0" fontId="154" fillId="40" borderId="61">
      <alignment vertical="center"/>
    </xf>
    <xf numFmtId="0" fontId="155" fillId="40" borderId="61">
      <alignment vertical="center"/>
    </xf>
    <xf numFmtId="0" fontId="154" fillId="40" borderId="61">
      <alignment vertical="center"/>
    </xf>
    <xf numFmtId="0" fontId="154" fillId="40" borderId="61">
      <alignment vertical="center"/>
    </xf>
    <xf numFmtId="0" fontId="154" fillId="40" borderId="61">
      <alignment vertical="center"/>
    </xf>
    <xf numFmtId="0" fontId="154" fillId="40" borderId="61">
      <alignment vertical="center"/>
    </xf>
    <xf numFmtId="0" fontId="154" fillId="40" borderId="61">
      <alignment vertical="center"/>
    </xf>
    <xf numFmtId="0" fontId="154" fillId="40" borderId="61">
      <alignment vertical="center"/>
    </xf>
    <xf numFmtId="0" fontId="155" fillId="40" borderId="61">
      <alignment vertical="center"/>
    </xf>
    <xf numFmtId="0" fontId="154" fillId="40" borderId="61">
      <alignment vertical="center"/>
    </xf>
    <xf numFmtId="0" fontId="154" fillId="40" borderId="61">
      <alignment vertical="center"/>
    </xf>
    <xf numFmtId="0" fontId="154" fillId="40" borderId="61">
      <alignment vertical="center"/>
    </xf>
    <xf numFmtId="0" fontId="154" fillId="40" borderId="61">
      <alignment vertical="center"/>
    </xf>
    <xf numFmtId="0" fontId="154" fillId="40" borderId="61">
      <alignment vertical="center"/>
    </xf>
    <xf numFmtId="0" fontId="154" fillId="40" borderId="61">
      <alignment vertical="center"/>
    </xf>
    <xf numFmtId="0" fontId="155" fillId="40" borderId="61">
      <alignment vertical="center"/>
    </xf>
    <xf numFmtId="0" fontId="154" fillId="40" borderId="61">
      <alignment vertical="center"/>
    </xf>
    <xf numFmtId="0" fontId="154" fillId="40" borderId="61">
      <alignment vertical="center"/>
    </xf>
    <xf numFmtId="0" fontId="154" fillId="40" borderId="61">
      <alignment vertical="center"/>
    </xf>
    <xf numFmtId="0" fontId="154" fillId="40" borderId="61">
      <alignment vertical="center"/>
    </xf>
    <xf numFmtId="0" fontId="154" fillId="40" borderId="61">
      <alignment vertical="center"/>
    </xf>
    <xf numFmtId="0" fontId="154" fillId="40" borderId="61">
      <alignment vertical="center"/>
    </xf>
    <xf numFmtId="0" fontId="155" fillId="40" borderId="61">
      <alignment vertical="center"/>
    </xf>
    <xf numFmtId="0" fontId="154" fillId="40" borderId="61">
      <alignment vertical="center"/>
    </xf>
    <xf numFmtId="0" fontId="154" fillId="40" borderId="61">
      <alignment vertical="center"/>
    </xf>
    <xf numFmtId="0" fontId="154" fillId="40" borderId="61">
      <alignment vertical="center"/>
    </xf>
    <xf numFmtId="0" fontId="154" fillId="40" borderId="61">
      <alignment vertical="center"/>
    </xf>
    <xf numFmtId="0" fontId="154" fillId="40" borderId="61">
      <alignment vertical="center"/>
    </xf>
    <xf numFmtId="0" fontId="154" fillId="40" borderId="61">
      <alignment vertical="center"/>
    </xf>
    <xf numFmtId="0" fontId="155" fillId="40" borderId="61">
      <alignment vertical="center"/>
    </xf>
    <xf numFmtId="0" fontId="154" fillId="40" borderId="61">
      <alignment vertical="center"/>
    </xf>
    <xf numFmtId="0" fontId="154" fillId="40" borderId="61">
      <alignment vertical="center"/>
    </xf>
    <xf numFmtId="0" fontId="154" fillId="40" borderId="61">
      <alignment vertical="center"/>
    </xf>
    <xf numFmtId="0" fontId="154" fillId="40" borderId="61">
      <alignment vertical="center"/>
    </xf>
    <xf numFmtId="0" fontId="154" fillId="40" borderId="61">
      <alignment vertical="center"/>
    </xf>
    <xf numFmtId="0" fontId="154" fillId="40" borderId="61">
      <alignment vertical="center"/>
    </xf>
    <xf numFmtId="0" fontId="155" fillId="40" borderId="61">
      <alignment vertical="center"/>
    </xf>
    <xf numFmtId="0" fontId="154" fillId="40" borderId="61">
      <alignment vertical="center"/>
    </xf>
    <xf numFmtId="0" fontId="154" fillId="40" borderId="61">
      <alignment vertical="center"/>
    </xf>
    <xf numFmtId="0" fontId="154" fillId="40" borderId="61">
      <alignment vertical="center"/>
    </xf>
    <xf numFmtId="0" fontId="154" fillId="40" borderId="61">
      <alignment vertical="center"/>
    </xf>
    <xf numFmtId="0" fontId="154" fillId="40" borderId="61">
      <alignment vertical="center"/>
    </xf>
    <xf numFmtId="0" fontId="154" fillId="40" borderId="61">
      <alignment vertical="center"/>
    </xf>
    <xf numFmtId="0" fontId="155" fillId="40" borderId="61">
      <alignment vertical="center"/>
    </xf>
    <xf numFmtId="0" fontId="154" fillId="40" borderId="61">
      <alignment vertical="center"/>
    </xf>
    <xf numFmtId="0" fontId="154" fillId="40" borderId="61">
      <alignment vertical="center"/>
    </xf>
    <xf numFmtId="0" fontId="154" fillId="40" borderId="61">
      <alignment vertical="center"/>
    </xf>
    <xf numFmtId="0" fontId="154" fillId="40" borderId="61">
      <alignment vertical="center"/>
    </xf>
    <xf numFmtId="0" fontId="154" fillId="51" borderId="61" applyNumberFormat="0" applyAlignment="0" applyProtection="0">
      <alignment vertical="center"/>
    </xf>
    <xf numFmtId="0" fontId="154" fillId="51" borderId="61" applyNumberFormat="0" applyAlignment="0" applyProtection="0">
      <alignment vertical="center"/>
    </xf>
    <xf numFmtId="0" fontId="155" fillId="40" borderId="61">
      <alignment vertical="center"/>
    </xf>
    <xf numFmtId="0" fontId="154" fillId="40" borderId="61">
      <alignment vertical="center"/>
    </xf>
    <xf numFmtId="170" fontId="156" fillId="86" borderId="61" applyNumberFormat="0" applyAlignment="0" applyProtection="0"/>
    <xf numFmtId="0" fontId="154" fillId="40" borderId="61">
      <alignment vertical="center"/>
    </xf>
    <xf numFmtId="0" fontId="154" fillId="40" borderId="61">
      <alignment vertical="center"/>
    </xf>
    <xf numFmtId="0" fontId="154" fillId="40" borderId="61">
      <alignment vertical="center"/>
    </xf>
    <xf numFmtId="170" fontId="156" fillId="86" borderId="61" applyNumberFormat="0" applyAlignment="0" applyProtection="0"/>
    <xf numFmtId="0" fontId="154" fillId="51" borderId="61" applyNumberFormat="0" applyAlignment="0" applyProtection="0">
      <alignment vertical="center"/>
    </xf>
    <xf numFmtId="0" fontId="154" fillId="51" borderId="61" applyNumberFormat="0" applyAlignment="0" applyProtection="0">
      <alignment vertical="center"/>
    </xf>
    <xf numFmtId="0" fontId="155" fillId="40" borderId="61">
      <alignment vertical="center"/>
    </xf>
    <xf numFmtId="0" fontId="154" fillId="40" borderId="61">
      <alignment vertical="center"/>
    </xf>
    <xf numFmtId="170" fontId="156" fillId="86" borderId="61" applyNumberFormat="0" applyAlignment="0" applyProtection="0"/>
    <xf numFmtId="0" fontId="154" fillId="40" borderId="61">
      <alignment vertical="center"/>
    </xf>
    <xf numFmtId="0" fontId="154" fillId="40" borderId="61">
      <alignment vertical="center"/>
    </xf>
    <xf numFmtId="170" fontId="156" fillId="86" borderId="61" applyNumberFormat="0" applyAlignment="0" applyProtection="0"/>
    <xf numFmtId="0" fontId="154" fillId="40" borderId="61">
      <alignment vertical="center"/>
    </xf>
    <xf numFmtId="170" fontId="156" fillId="86" borderId="61" applyNumberFormat="0" applyAlignment="0" applyProtection="0"/>
    <xf numFmtId="0" fontId="154" fillId="51" borderId="61" applyNumberFormat="0" applyAlignment="0" applyProtection="0">
      <alignment vertical="center"/>
    </xf>
    <xf numFmtId="0" fontId="154" fillId="51" borderId="61" applyNumberFormat="0" applyAlignment="0" applyProtection="0">
      <alignment vertical="center"/>
    </xf>
    <xf numFmtId="0" fontId="155" fillId="40" borderId="61">
      <alignment vertical="center"/>
    </xf>
    <xf numFmtId="0" fontId="154" fillId="40" borderId="61">
      <alignment vertical="center"/>
    </xf>
    <xf numFmtId="170" fontId="156" fillId="86" borderId="61" applyNumberFormat="0" applyAlignment="0" applyProtection="0"/>
    <xf numFmtId="0" fontId="154" fillId="40" borderId="61">
      <alignment vertical="center"/>
    </xf>
    <xf numFmtId="0" fontId="154" fillId="40" borderId="61">
      <alignment vertical="center"/>
    </xf>
    <xf numFmtId="170" fontId="156" fillId="86" borderId="61" applyNumberFormat="0" applyAlignment="0" applyProtection="0"/>
    <xf numFmtId="0" fontId="154" fillId="40" borderId="61">
      <alignment vertical="center"/>
    </xf>
    <xf numFmtId="170" fontId="156" fillId="86" borderId="61" applyNumberFormat="0" applyAlignment="0" applyProtection="0"/>
    <xf numFmtId="0" fontId="154" fillId="51" borderId="61" applyNumberFormat="0" applyAlignment="0" applyProtection="0">
      <alignment vertical="center"/>
    </xf>
    <xf numFmtId="0" fontId="154" fillId="51" borderId="61" applyNumberFormat="0" applyAlignment="0" applyProtection="0">
      <alignment vertical="center"/>
    </xf>
    <xf numFmtId="0" fontId="155" fillId="40" borderId="61">
      <alignment vertical="center"/>
    </xf>
    <xf numFmtId="0" fontId="154" fillId="40" borderId="61">
      <alignment vertical="center"/>
    </xf>
    <xf numFmtId="170" fontId="156" fillId="86" borderId="61" applyNumberFormat="0" applyAlignment="0" applyProtection="0"/>
    <xf numFmtId="0" fontId="154" fillId="40" borderId="61">
      <alignment vertical="center"/>
    </xf>
    <xf numFmtId="0" fontId="154" fillId="40" borderId="61">
      <alignment vertical="center"/>
    </xf>
    <xf numFmtId="170" fontId="156" fillId="86" borderId="61" applyNumberFormat="0" applyAlignment="0" applyProtection="0"/>
    <xf numFmtId="0" fontId="154" fillId="40" borderId="61">
      <alignment vertical="center"/>
    </xf>
    <xf numFmtId="170" fontId="156" fillId="86" borderId="61" applyNumberFormat="0" applyAlignment="0" applyProtection="0"/>
    <xf numFmtId="0" fontId="154" fillId="51" borderId="61" applyNumberFormat="0" applyAlignment="0" applyProtection="0">
      <alignment vertical="center"/>
    </xf>
    <xf numFmtId="0" fontId="154" fillId="40" borderId="61">
      <alignment vertical="center"/>
    </xf>
    <xf numFmtId="0" fontId="155" fillId="40" borderId="61">
      <alignment vertical="center"/>
    </xf>
    <xf numFmtId="0" fontId="154" fillId="40" borderId="61">
      <alignment vertical="center"/>
    </xf>
    <xf numFmtId="170" fontId="156" fillId="86" borderId="61" applyNumberFormat="0" applyAlignment="0" applyProtection="0"/>
    <xf numFmtId="0" fontId="154" fillId="40" borderId="61">
      <alignment vertical="center"/>
    </xf>
    <xf numFmtId="0" fontId="154" fillId="40" borderId="61">
      <alignment vertical="center"/>
    </xf>
    <xf numFmtId="170" fontId="156" fillId="86" borderId="61" applyNumberFormat="0" applyAlignment="0" applyProtection="0"/>
    <xf numFmtId="0" fontId="154" fillId="40" borderId="61">
      <alignment vertical="center"/>
    </xf>
    <xf numFmtId="170" fontId="156" fillId="86" borderId="61" applyNumberFormat="0" applyAlignment="0" applyProtection="0"/>
    <xf numFmtId="170" fontId="37" fillId="0" borderId="0" applyFont="0" applyFill="0" applyBorder="0" applyAlignment="0" applyProtection="0"/>
    <xf numFmtId="0" fontId="37" fillId="0" borderId="0" applyFont="0" applyFill="0" applyBorder="0" applyAlignment="0" applyProtection="0"/>
    <xf numFmtId="210" fontId="36" fillId="0" borderId="0"/>
    <xf numFmtId="170" fontId="37" fillId="0" borderId="0" applyFont="0" applyFill="0" applyBorder="0" applyAlignment="0" applyProtection="0"/>
    <xf numFmtId="0" fontId="37" fillId="0" borderId="0" applyFont="0" applyFill="0" applyBorder="0" applyAlignment="0" applyProtection="0"/>
    <xf numFmtId="197" fontId="13" fillId="0" borderId="0" applyFill="0" applyBorder="0" applyAlignment="0"/>
    <xf numFmtId="198" fontId="114" fillId="0" borderId="0" applyFill="0" applyBorder="0" applyAlignment="0"/>
    <xf numFmtId="197" fontId="13" fillId="0" borderId="0" applyFill="0" applyBorder="0" applyAlignment="0"/>
    <xf numFmtId="200" fontId="13" fillId="0" borderId="0" applyFill="0" applyBorder="0" applyAlignment="0"/>
    <xf numFmtId="198" fontId="114" fillId="0" borderId="0" applyFill="0" applyBorder="0" applyAlignment="0"/>
    <xf numFmtId="0" fontId="158" fillId="0" borderId="72" applyNumberFormat="0" applyFill="0" applyAlignment="0" applyProtection="0">
      <alignment vertical="center"/>
    </xf>
    <xf numFmtId="0" fontId="158" fillId="0" borderId="72" applyNumberFormat="0" applyFill="0" applyAlignment="0" applyProtection="0">
      <alignment vertical="center"/>
    </xf>
    <xf numFmtId="0" fontId="159" fillId="0" borderId="72" applyNumberFormat="0" applyFill="0" applyAlignment="0" applyProtection="0">
      <alignment vertical="center"/>
    </xf>
    <xf numFmtId="0" fontId="160" fillId="0" borderId="72" applyNumberFormat="0" applyFill="0" applyAlignment="0" applyProtection="0">
      <alignment vertical="center"/>
    </xf>
    <xf numFmtId="0" fontId="158" fillId="0" borderId="72" applyNumberFormat="0" applyFill="0" applyAlignment="0" applyProtection="0">
      <alignment vertical="center"/>
    </xf>
    <xf numFmtId="0" fontId="159" fillId="0" borderId="72" applyNumberFormat="0" applyFill="0" applyAlignment="0" applyProtection="0">
      <alignment vertical="center"/>
    </xf>
    <xf numFmtId="0" fontId="159" fillId="0" borderId="72">
      <alignment vertical="center"/>
    </xf>
    <xf numFmtId="170" fontId="161" fillId="0" borderId="72" applyNumberFormat="0" applyFill="0" applyAlignment="0" applyProtection="0"/>
    <xf numFmtId="170" fontId="36" fillId="0" borderId="0" applyFont="0" applyFill="0" applyBorder="0" applyAlignment="0" applyProtection="0"/>
    <xf numFmtId="0" fontId="162" fillId="0" borderId="0">
      <alignment horizontal="center"/>
    </xf>
    <xf numFmtId="167" fontId="13" fillId="0" borderId="0" applyFont="0" applyFill="0" applyBorder="0" applyAlignment="0" applyProtection="0"/>
    <xf numFmtId="169" fontId="13" fillId="0" borderId="0" applyFont="0" applyFill="0" applyBorder="0" applyAlignment="0" applyProtection="0"/>
    <xf numFmtId="38" fontId="57" fillId="0" borderId="0" applyFont="0" applyFill="0" applyBorder="0" applyAlignment="0" applyProtection="0"/>
    <xf numFmtId="40" fontId="57" fillId="0" borderId="0" applyFont="0" applyFill="0" applyBorder="0" applyAlignment="0" applyProtection="0"/>
    <xf numFmtId="38" fontId="36" fillId="0" borderId="0"/>
    <xf numFmtId="206" fontId="36" fillId="0" borderId="0"/>
    <xf numFmtId="40" fontId="36" fillId="0" borderId="0"/>
    <xf numFmtId="0" fontId="163" fillId="0" borderId="58"/>
    <xf numFmtId="0" fontId="163" fillId="0" borderId="58"/>
    <xf numFmtId="0" fontId="163" fillId="0" borderId="58"/>
    <xf numFmtId="170" fontId="163" fillId="0" borderId="58"/>
    <xf numFmtId="170" fontId="163" fillId="0" borderId="58"/>
    <xf numFmtId="170" fontId="163" fillId="0" borderId="58"/>
    <xf numFmtId="170" fontId="163" fillId="0" borderId="58"/>
    <xf numFmtId="170" fontId="163" fillId="0" borderId="58"/>
    <xf numFmtId="170" fontId="163" fillId="0" borderId="58"/>
    <xf numFmtId="170" fontId="163" fillId="0" borderId="58"/>
    <xf numFmtId="170" fontId="163" fillId="0" borderId="58"/>
    <xf numFmtId="170" fontId="163" fillId="0" borderId="58"/>
    <xf numFmtId="170" fontId="163" fillId="0" borderId="58"/>
    <xf numFmtId="170" fontId="163" fillId="0" borderId="58"/>
    <xf numFmtId="170" fontId="163" fillId="0" borderId="58"/>
    <xf numFmtId="170" fontId="163" fillId="0" borderId="58"/>
    <xf numFmtId="170" fontId="163" fillId="0" borderId="58"/>
    <xf numFmtId="170" fontId="163" fillId="0" borderId="58"/>
    <xf numFmtId="211" fontId="13" fillId="0" borderId="0" applyFont="0" applyFill="0" applyBorder="0" applyAlignment="0" applyProtection="0"/>
    <xf numFmtId="212" fontId="13"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0" fontId="164" fillId="1" borderId="0" applyFill="0">
      <alignment horizontal="center" vertical="center" textRotation="90"/>
    </xf>
    <xf numFmtId="170" fontId="36" fillId="0" borderId="0" applyFont="0" applyFill="0" applyBorder="0" applyAlignment="0" applyProtection="0"/>
    <xf numFmtId="0" fontId="165" fillId="61" borderId="0" applyNumberFormat="0" applyBorder="0" applyAlignment="0" applyProtection="0">
      <alignment vertical="center"/>
    </xf>
    <xf numFmtId="0" fontId="165" fillId="61" borderId="0" applyNumberFormat="0" applyBorder="0" applyAlignment="0" applyProtection="0">
      <alignment vertical="center"/>
    </xf>
    <xf numFmtId="0" fontId="166" fillId="61" borderId="0" applyNumberFormat="0" applyBorder="0" applyAlignment="0" applyProtection="0">
      <alignment vertical="center"/>
    </xf>
    <xf numFmtId="0" fontId="167" fillId="61" borderId="0" applyNumberFormat="0" applyBorder="0" applyAlignment="0" applyProtection="0">
      <alignment vertical="center"/>
    </xf>
    <xf numFmtId="0" fontId="165" fillId="61" borderId="0" applyNumberFormat="0" applyBorder="0" applyAlignment="0" applyProtection="0">
      <alignment vertical="center"/>
    </xf>
    <xf numFmtId="0" fontId="166" fillId="61" borderId="0" applyNumberFormat="0" applyBorder="0" applyAlignment="0" applyProtection="0">
      <alignment vertical="center"/>
    </xf>
    <xf numFmtId="0" fontId="166" fillId="100" borderId="0">
      <alignment vertical="center"/>
    </xf>
    <xf numFmtId="170" fontId="168" fillId="86" borderId="0" applyNumberFormat="0" applyBorder="0" applyAlignment="0" applyProtection="0"/>
    <xf numFmtId="37" fontId="48" fillId="0" borderId="0"/>
    <xf numFmtId="37" fontId="48" fillId="0" borderId="0"/>
    <xf numFmtId="170" fontId="169" fillId="0" borderId="0"/>
    <xf numFmtId="0" fontId="169" fillId="0" borderId="0"/>
    <xf numFmtId="0" fontId="37" fillId="0" borderId="0"/>
    <xf numFmtId="213" fontId="1" fillId="0" borderId="0"/>
    <xf numFmtId="0" fontId="37" fillId="0" borderId="0"/>
    <xf numFmtId="213" fontId="1" fillId="0" borderId="0"/>
    <xf numFmtId="0" fontId="37" fillId="0" borderId="0"/>
    <xf numFmtId="170" fontId="13" fillId="0" borderId="0"/>
    <xf numFmtId="0" fontId="13" fillId="0" borderId="0"/>
    <xf numFmtId="0" fontId="1" fillId="54" borderId="73" applyNumberFormat="0" applyFont="0" applyAlignment="0" applyProtection="0">
      <alignment vertical="center"/>
    </xf>
    <xf numFmtId="0" fontId="82" fillId="101" borderId="73">
      <alignment vertical="center"/>
    </xf>
    <xf numFmtId="0" fontId="82" fillId="101" borderId="73">
      <alignment vertical="center"/>
    </xf>
    <xf numFmtId="0" fontId="170" fillId="101" borderId="73">
      <alignment vertical="center"/>
    </xf>
    <xf numFmtId="0" fontId="82" fillId="101" borderId="73">
      <alignment vertical="center"/>
    </xf>
    <xf numFmtId="170" fontId="1" fillId="85" borderId="73" applyNumberFormat="0" applyFont="0" applyAlignment="0" applyProtection="0"/>
    <xf numFmtId="0" fontId="82" fillId="101" borderId="73">
      <alignment vertical="center"/>
    </xf>
    <xf numFmtId="0" fontId="82" fillId="101" borderId="73">
      <alignment vertical="center"/>
    </xf>
    <xf numFmtId="170" fontId="1" fillId="85" borderId="73" applyNumberFormat="0" applyFont="0" applyAlignment="0" applyProtection="0"/>
    <xf numFmtId="0" fontId="82" fillId="101" borderId="73">
      <alignment vertical="center"/>
    </xf>
    <xf numFmtId="170" fontId="1" fillId="85" borderId="73" applyNumberFormat="0" applyFont="0" applyAlignment="0" applyProtection="0"/>
    <xf numFmtId="0" fontId="82" fillId="101" borderId="73">
      <alignment vertical="center"/>
    </xf>
    <xf numFmtId="0" fontId="82" fillId="101" borderId="73">
      <alignment vertical="center"/>
    </xf>
    <xf numFmtId="0" fontId="170" fillId="101" borderId="73">
      <alignment vertical="center"/>
    </xf>
    <xf numFmtId="0" fontId="82" fillId="101" borderId="73">
      <alignment vertical="center"/>
    </xf>
    <xf numFmtId="170" fontId="1" fillId="85" borderId="73" applyNumberFormat="0" applyFont="0" applyAlignment="0" applyProtection="0"/>
    <xf numFmtId="0" fontId="82" fillId="101" borderId="73">
      <alignment vertical="center"/>
    </xf>
    <xf numFmtId="0" fontId="82" fillId="101" borderId="73">
      <alignment vertical="center"/>
    </xf>
    <xf numFmtId="170" fontId="1" fillId="85" borderId="73" applyNumberFormat="0" applyFont="0" applyAlignment="0" applyProtection="0"/>
    <xf numFmtId="0" fontId="82" fillId="101" borderId="73">
      <alignment vertical="center"/>
    </xf>
    <xf numFmtId="170" fontId="1" fillId="85" borderId="73" applyNumberFormat="0" applyFont="0" applyAlignment="0" applyProtection="0"/>
    <xf numFmtId="0" fontId="82" fillId="101" borderId="73">
      <alignment vertical="center"/>
    </xf>
    <xf numFmtId="0" fontId="82" fillId="101" borderId="73">
      <alignment vertical="center"/>
    </xf>
    <xf numFmtId="0" fontId="170" fillId="101" borderId="73">
      <alignment vertical="center"/>
    </xf>
    <xf numFmtId="0" fontId="82" fillId="101" borderId="73">
      <alignment vertical="center"/>
    </xf>
    <xf numFmtId="0" fontId="82" fillId="101" borderId="73">
      <alignment vertical="center"/>
    </xf>
    <xf numFmtId="0" fontId="82" fillId="101" borderId="73">
      <alignment vertical="center"/>
    </xf>
    <xf numFmtId="0" fontId="82" fillId="101" borderId="73">
      <alignment vertical="center"/>
    </xf>
    <xf numFmtId="170" fontId="1" fillId="85" borderId="73" applyNumberFormat="0" applyFont="0" applyAlignment="0" applyProtection="0"/>
    <xf numFmtId="0" fontId="82" fillId="101" borderId="73">
      <alignment vertical="center"/>
    </xf>
    <xf numFmtId="0" fontId="170" fillId="101" borderId="73">
      <alignment vertical="center"/>
    </xf>
    <xf numFmtId="0" fontId="82" fillId="101" borderId="73">
      <alignment vertical="center"/>
    </xf>
    <xf numFmtId="170" fontId="1" fillId="85" borderId="73" applyNumberFormat="0" applyFont="0" applyAlignment="0" applyProtection="0"/>
    <xf numFmtId="0" fontId="170" fillId="101" borderId="73">
      <alignment vertical="center"/>
    </xf>
    <xf numFmtId="0" fontId="82" fillId="101" borderId="73">
      <alignment vertical="center"/>
    </xf>
    <xf numFmtId="170" fontId="1" fillId="85" borderId="73" applyNumberFormat="0" applyFont="0" applyAlignment="0" applyProtection="0"/>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7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7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71" fillId="54" borderId="73" applyNumberFormat="0" applyFont="0" applyAlignment="0" applyProtection="0">
      <alignment vertical="center"/>
    </xf>
    <xf numFmtId="0" fontId="1" fillId="54" borderId="73" applyNumberFormat="0" applyFont="0" applyAlignment="0" applyProtection="0">
      <alignment vertical="center"/>
    </xf>
    <xf numFmtId="0" fontId="171" fillId="54" borderId="73" applyNumberFormat="0" applyFont="0" applyAlignment="0" applyProtection="0">
      <alignment vertical="center"/>
    </xf>
    <xf numFmtId="0" fontId="1" fillId="54" borderId="73" applyNumberFormat="0" applyFont="0" applyAlignment="0" applyProtection="0">
      <alignment vertical="center"/>
    </xf>
    <xf numFmtId="170" fontId="1" fillId="85" borderId="73" applyNumberFormat="0" applyFont="0" applyAlignment="0" applyProtection="0"/>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7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71" fillId="54" borderId="73" applyNumberFormat="0" applyFont="0" applyAlignment="0" applyProtection="0">
      <alignment vertical="center"/>
    </xf>
    <xf numFmtId="0" fontId="1" fillId="54" borderId="73" applyNumberFormat="0" applyFont="0" applyAlignment="0" applyProtection="0">
      <alignment vertical="center"/>
    </xf>
    <xf numFmtId="0" fontId="171" fillId="54" borderId="73" applyNumberFormat="0" applyFont="0" applyAlignment="0" applyProtection="0">
      <alignment vertical="center"/>
    </xf>
    <xf numFmtId="0" fontId="1" fillId="54" borderId="73" applyNumberFormat="0" applyFont="0" applyAlignment="0" applyProtection="0">
      <alignment vertical="center"/>
    </xf>
    <xf numFmtId="170" fontId="1" fillId="85" borderId="73" applyNumberFormat="0" applyFont="0" applyAlignment="0" applyProtection="0"/>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7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7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7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7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7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7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7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7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7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7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7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7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7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7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7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1" fillId="54" borderId="73" applyNumberFormat="0" applyFont="0" applyAlignment="0" applyProtection="0">
      <alignment vertical="center"/>
    </xf>
    <xf numFmtId="0" fontId="82" fillId="101" borderId="73">
      <alignment vertical="center"/>
    </xf>
    <xf numFmtId="0" fontId="82" fillId="101" borderId="73">
      <alignment vertical="center"/>
    </xf>
    <xf numFmtId="0" fontId="170" fillId="101" borderId="73">
      <alignment vertical="center"/>
    </xf>
    <xf numFmtId="0" fontId="82" fillId="101" borderId="73">
      <alignment vertical="center"/>
    </xf>
    <xf numFmtId="0" fontId="82" fillId="101" borderId="73">
      <alignment vertical="center"/>
    </xf>
    <xf numFmtId="0" fontId="82" fillId="101" borderId="73">
      <alignment vertical="center"/>
    </xf>
    <xf numFmtId="0" fontId="82" fillId="101" borderId="73">
      <alignment vertical="center"/>
    </xf>
    <xf numFmtId="0" fontId="82" fillId="101" borderId="73">
      <alignment vertical="center"/>
    </xf>
    <xf numFmtId="0" fontId="170" fillId="101" borderId="73">
      <alignment vertical="center"/>
    </xf>
    <xf numFmtId="0" fontId="82" fillId="101" borderId="73">
      <alignment vertical="center"/>
    </xf>
    <xf numFmtId="0" fontId="170" fillId="101" borderId="73">
      <alignment vertical="center"/>
    </xf>
    <xf numFmtId="0" fontId="82" fillId="101" borderId="73">
      <alignment vertical="center"/>
    </xf>
    <xf numFmtId="170" fontId="1" fillId="85" borderId="73" applyNumberFormat="0" applyFont="0" applyAlignment="0" applyProtection="0"/>
    <xf numFmtId="0" fontId="1" fillId="54" borderId="73" applyNumberFormat="0" applyFont="0" applyAlignment="0" applyProtection="0">
      <alignment vertical="center"/>
    </xf>
    <xf numFmtId="0" fontId="82" fillId="101" borderId="73">
      <alignment vertical="center"/>
    </xf>
    <xf numFmtId="0" fontId="170" fillId="101" borderId="73">
      <alignment vertical="center"/>
    </xf>
    <xf numFmtId="0" fontId="82" fillId="101" borderId="73">
      <alignment vertical="center"/>
    </xf>
    <xf numFmtId="0" fontId="82" fillId="101" borderId="73">
      <alignment vertical="center"/>
    </xf>
    <xf numFmtId="0" fontId="82" fillId="101" borderId="73">
      <alignment vertical="center"/>
    </xf>
    <xf numFmtId="0" fontId="82" fillId="101" borderId="73">
      <alignment vertical="center"/>
    </xf>
    <xf numFmtId="170" fontId="1" fillId="85" borderId="73" applyNumberFormat="0" applyFont="0" applyAlignment="0" applyProtection="0"/>
    <xf numFmtId="0" fontId="1" fillId="54" borderId="73" applyNumberFormat="0" applyFont="0" applyAlignment="0" applyProtection="0">
      <alignment vertical="center"/>
    </xf>
    <xf numFmtId="0" fontId="82" fillId="101" borderId="73">
      <alignment vertical="center"/>
    </xf>
    <xf numFmtId="0" fontId="170" fillId="101" borderId="73">
      <alignment vertical="center"/>
    </xf>
    <xf numFmtId="0" fontId="82" fillId="101" borderId="73">
      <alignment vertical="center"/>
    </xf>
    <xf numFmtId="0" fontId="82" fillId="101" borderId="73">
      <alignment vertical="center"/>
    </xf>
    <xf numFmtId="0" fontId="82" fillId="101" borderId="73">
      <alignment vertical="center"/>
    </xf>
    <xf numFmtId="0" fontId="82" fillId="101" borderId="73">
      <alignment vertical="center"/>
    </xf>
    <xf numFmtId="0" fontId="1" fillId="54" borderId="73" applyNumberFormat="0" applyFont="0" applyAlignment="0" applyProtection="0">
      <alignment vertical="center"/>
    </xf>
    <xf numFmtId="0" fontId="82" fillId="101" borderId="73">
      <alignment vertical="center"/>
    </xf>
    <xf numFmtId="0" fontId="170" fillId="101" borderId="73">
      <alignment vertical="center"/>
    </xf>
    <xf numFmtId="0" fontId="82" fillId="101" borderId="73">
      <alignment vertical="center"/>
    </xf>
    <xf numFmtId="0" fontId="82" fillId="101" borderId="73">
      <alignment vertical="center"/>
    </xf>
    <xf numFmtId="0" fontId="82" fillId="101" borderId="73">
      <alignment vertical="center"/>
    </xf>
    <xf numFmtId="0" fontId="82" fillId="101" borderId="73">
      <alignment vertical="center"/>
    </xf>
    <xf numFmtId="0" fontId="82" fillId="101" borderId="73">
      <alignment vertical="center"/>
    </xf>
    <xf numFmtId="0" fontId="82" fillId="101" borderId="73">
      <alignment vertical="center"/>
    </xf>
    <xf numFmtId="0" fontId="170" fillId="101" borderId="73">
      <alignment vertical="center"/>
    </xf>
    <xf numFmtId="0" fontId="82" fillId="101" borderId="73">
      <alignment vertical="center"/>
    </xf>
    <xf numFmtId="0" fontId="82" fillId="101" borderId="73">
      <alignment vertical="center"/>
    </xf>
    <xf numFmtId="0" fontId="82" fillId="101" borderId="73">
      <alignment vertical="center"/>
    </xf>
    <xf numFmtId="0" fontId="82" fillId="101" borderId="73">
      <alignment vertical="center"/>
    </xf>
    <xf numFmtId="0" fontId="82" fillId="101" borderId="73">
      <alignment vertical="center"/>
    </xf>
    <xf numFmtId="0" fontId="82" fillId="101" borderId="73">
      <alignment vertical="center"/>
    </xf>
    <xf numFmtId="0" fontId="170" fillId="101" borderId="73">
      <alignment vertical="center"/>
    </xf>
    <xf numFmtId="0" fontId="82" fillId="101" borderId="73">
      <alignment vertical="center"/>
    </xf>
    <xf numFmtId="0" fontId="82" fillId="101" borderId="73">
      <alignment vertical="center"/>
    </xf>
    <xf numFmtId="0" fontId="82" fillId="101" borderId="73">
      <alignment vertical="center"/>
    </xf>
    <xf numFmtId="0" fontId="82" fillId="101" borderId="73">
      <alignment vertical="center"/>
    </xf>
    <xf numFmtId="0" fontId="82" fillId="101" borderId="73">
      <alignment vertical="center"/>
    </xf>
    <xf numFmtId="0" fontId="82" fillId="101" borderId="73">
      <alignment vertical="center"/>
    </xf>
    <xf numFmtId="0" fontId="170" fillId="101" borderId="73">
      <alignment vertical="center"/>
    </xf>
    <xf numFmtId="0" fontId="82" fillId="101" borderId="73">
      <alignment vertical="center"/>
    </xf>
    <xf numFmtId="0" fontId="82" fillId="101" borderId="73">
      <alignment vertical="center"/>
    </xf>
    <xf numFmtId="0" fontId="82" fillId="101" borderId="73">
      <alignment vertical="center"/>
    </xf>
    <xf numFmtId="0" fontId="82" fillId="101" borderId="73">
      <alignment vertical="center"/>
    </xf>
    <xf numFmtId="0" fontId="82" fillId="101" borderId="73">
      <alignment vertical="center"/>
    </xf>
    <xf numFmtId="0" fontId="82" fillId="101" borderId="73">
      <alignment vertical="center"/>
    </xf>
    <xf numFmtId="0" fontId="170" fillId="101" borderId="73">
      <alignment vertical="center"/>
    </xf>
    <xf numFmtId="0" fontId="82" fillId="101" borderId="73">
      <alignment vertical="center"/>
    </xf>
    <xf numFmtId="0" fontId="82" fillId="101" borderId="73">
      <alignment vertical="center"/>
    </xf>
    <xf numFmtId="0" fontId="82" fillId="101" borderId="73">
      <alignment vertical="center"/>
    </xf>
    <xf numFmtId="0" fontId="82" fillId="101" borderId="73">
      <alignment vertical="center"/>
    </xf>
    <xf numFmtId="0" fontId="82" fillId="101" borderId="73">
      <alignment vertical="center"/>
    </xf>
    <xf numFmtId="0" fontId="82" fillId="101" borderId="73">
      <alignment vertical="center"/>
    </xf>
    <xf numFmtId="0" fontId="170" fillId="101" borderId="73">
      <alignment vertical="center"/>
    </xf>
    <xf numFmtId="0" fontId="82" fillId="101" borderId="73">
      <alignment vertical="center"/>
    </xf>
    <xf numFmtId="0" fontId="82" fillId="101" borderId="73">
      <alignment vertical="center"/>
    </xf>
    <xf numFmtId="0" fontId="82" fillId="101" borderId="73">
      <alignment vertical="center"/>
    </xf>
    <xf numFmtId="0" fontId="82" fillId="101" borderId="73">
      <alignment vertical="center"/>
    </xf>
    <xf numFmtId="0" fontId="1" fillId="54" borderId="73" applyNumberFormat="0" applyFont="0" applyAlignment="0" applyProtection="0">
      <alignment vertical="center"/>
    </xf>
    <xf numFmtId="0" fontId="82" fillId="101" borderId="73">
      <alignment vertical="center"/>
    </xf>
    <xf numFmtId="0" fontId="170" fillId="101" borderId="73">
      <alignment vertical="center"/>
    </xf>
    <xf numFmtId="0" fontId="82" fillId="101" borderId="73">
      <alignment vertical="center"/>
    </xf>
    <xf numFmtId="170" fontId="1" fillId="85" borderId="73" applyNumberFormat="0" applyFont="0" applyAlignment="0" applyProtection="0"/>
    <xf numFmtId="0" fontId="82" fillId="101" borderId="73">
      <alignment vertical="center"/>
    </xf>
    <xf numFmtId="0" fontId="82" fillId="101" borderId="73">
      <alignment vertical="center"/>
    </xf>
    <xf numFmtId="0" fontId="82" fillId="101" borderId="73">
      <alignment vertical="center"/>
    </xf>
    <xf numFmtId="170" fontId="1" fillId="85" borderId="73" applyNumberFormat="0" applyFont="0" applyAlignment="0" applyProtection="0"/>
    <xf numFmtId="0" fontId="1" fillId="54" borderId="73" applyNumberFormat="0" applyFont="0" applyAlignment="0" applyProtection="0">
      <alignment vertical="center"/>
    </xf>
    <xf numFmtId="0" fontId="82" fillId="101" borderId="73">
      <alignment vertical="center"/>
    </xf>
    <xf numFmtId="0" fontId="170" fillId="101" borderId="73">
      <alignment vertical="center"/>
    </xf>
    <xf numFmtId="0" fontId="82" fillId="101" borderId="73">
      <alignment vertical="center"/>
    </xf>
    <xf numFmtId="170" fontId="1" fillId="85" borderId="73" applyNumberFormat="0" applyFont="0" applyAlignment="0" applyProtection="0"/>
    <xf numFmtId="0" fontId="82" fillId="101" borderId="73">
      <alignment vertical="center"/>
    </xf>
    <xf numFmtId="0" fontId="82" fillId="101" borderId="73">
      <alignment vertical="center"/>
    </xf>
    <xf numFmtId="0" fontId="82" fillId="101" borderId="73">
      <alignment vertical="center"/>
    </xf>
    <xf numFmtId="170" fontId="1" fillId="85" borderId="73" applyNumberFormat="0" applyFont="0" applyAlignment="0" applyProtection="0"/>
    <xf numFmtId="0" fontId="1" fillId="54" borderId="73" applyNumberFormat="0" applyFont="0" applyAlignment="0" applyProtection="0">
      <alignment vertical="center"/>
    </xf>
    <xf numFmtId="0" fontId="82" fillId="101" borderId="73">
      <alignment vertical="center"/>
    </xf>
    <xf numFmtId="0" fontId="170" fillId="101" borderId="73">
      <alignment vertical="center"/>
    </xf>
    <xf numFmtId="0" fontId="82" fillId="101" borderId="73">
      <alignment vertical="center"/>
    </xf>
    <xf numFmtId="170" fontId="1" fillId="85" borderId="73" applyNumberFormat="0" applyFont="0" applyAlignment="0" applyProtection="0"/>
    <xf numFmtId="0" fontId="82" fillId="101" borderId="73">
      <alignment vertical="center"/>
    </xf>
    <xf numFmtId="0" fontId="82" fillId="101" borderId="73">
      <alignment vertical="center"/>
    </xf>
    <xf numFmtId="170" fontId="1" fillId="85" borderId="73" applyNumberFormat="0" applyFont="0" applyAlignment="0" applyProtection="0"/>
    <xf numFmtId="0" fontId="82" fillId="101" borderId="73">
      <alignment vertical="center"/>
    </xf>
    <xf numFmtId="170" fontId="1" fillId="85" borderId="73" applyNumberFormat="0" applyFont="0" applyAlignment="0" applyProtection="0"/>
    <xf numFmtId="0" fontId="1" fillId="54" borderId="73" applyNumberFormat="0" applyFont="0" applyAlignment="0" applyProtection="0">
      <alignment vertical="center"/>
    </xf>
    <xf numFmtId="0" fontId="82" fillId="101" borderId="73">
      <alignment vertical="center"/>
    </xf>
    <xf numFmtId="0" fontId="170" fillId="101" borderId="73">
      <alignment vertical="center"/>
    </xf>
    <xf numFmtId="0" fontId="82" fillId="101" borderId="73">
      <alignment vertical="center"/>
    </xf>
    <xf numFmtId="170" fontId="1" fillId="85" borderId="73" applyNumberFormat="0" applyFont="0" applyAlignment="0" applyProtection="0"/>
    <xf numFmtId="0" fontId="82" fillId="101" borderId="73">
      <alignment vertical="center"/>
    </xf>
    <xf numFmtId="0" fontId="82" fillId="101" borderId="73">
      <alignment vertical="center"/>
    </xf>
    <xf numFmtId="170" fontId="1" fillId="85" borderId="73" applyNumberFormat="0" applyFont="0" applyAlignment="0" applyProtection="0"/>
    <xf numFmtId="0" fontId="82" fillId="101" borderId="73">
      <alignment vertical="center"/>
    </xf>
    <xf numFmtId="170" fontId="1" fillId="85" borderId="73" applyNumberFormat="0" applyFont="0" applyAlignment="0" applyProtection="0"/>
    <xf numFmtId="0" fontId="1" fillId="54" borderId="73" applyNumberFormat="0" applyFont="0" applyAlignment="0" applyProtection="0">
      <alignment vertical="center"/>
    </xf>
    <xf numFmtId="0" fontId="82" fillId="101" borderId="73">
      <alignment vertical="center"/>
    </xf>
    <xf numFmtId="0" fontId="170" fillId="101" borderId="73">
      <alignment vertical="center"/>
    </xf>
    <xf numFmtId="0" fontId="82" fillId="101" borderId="73">
      <alignment vertical="center"/>
    </xf>
    <xf numFmtId="170" fontId="1" fillId="85" borderId="73" applyNumberFormat="0" applyFont="0" applyAlignment="0" applyProtection="0"/>
    <xf numFmtId="0" fontId="82" fillId="101" borderId="73">
      <alignment vertical="center"/>
    </xf>
    <xf numFmtId="0" fontId="82" fillId="101" borderId="73">
      <alignment vertical="center"/>
    </xf>
    <xf numFmtId="170" fontId="1" fillId="85" borderId="73" applyNumberFormat="0" applyFont="0" applyAlignment="0" applyProtection="0"/>
    <xf numFmtId="0" fontId="82" fillId="101" borderId="73">
      <alignment vertical="center"/>
    </xf>
    <xf numFmtId="170" fontId="1" fillId="85" borderId="73" applyNumberFormat="0" applyFont="0" applyAlignment="0" applyProtection="0"/>
    <xf numFmtId="0" fontId="1" fillId="54" borderId="73" applyNumberFormat="0" applyFont="0" applyAlignment="0" applyProtection="0">
      <alignment vertical="center"/>
    </xf>
    <xf numFmtId="0" fontId="82" fillId="101" borderId="73">
      <alignment vertical="center"/>
    </xf>
    <xf numFmtId="0" fontId="170" fillId="101" borderId="73">
      <alignment vertical="center"/>
    </xf>
    <xf numFmtId="0" fontId="82" fillId="101" borderId="73">
      <alignment vertical="center"/>
    </xf>
    <xf numFmtId="170" fontId="1" fillId="85" borderId="73" applyNumberFormat="0" applyFont="0" applyAlignment="0" applyProtection="0"/>
    <xf numFmtId="0" fontId="82" fillId="101" borderId="73">
      <alignment vertical="center"/>
    </xf>
    <xf numFmtId="0" fontId="82" fillId="101" borderId="73">
      <alignment vertical="center"/>
    </xf>
    <xf numFmtId="170" fontId="1" fillId="85" borderId="73" applyNumberFormat="0" applyFont="0" applyAlignment="0" applyProtection="0"/>
    <xf numFmtId="0" fontId="82" fillId="101" borderId="73">
      <alignment vertical="center"/>
    </xf>
    <xf numFmtId="170" fontId="1" fillId="85" borderId="73" applyNumberFormat="0" applyFont="0" applyAlignment="0" applyProtection="0"/>
    <xf numFmtId="0" fontId="13" fillId="0" borderId="0" applyFont="0" applyFill="0" applyBorder="0" applyAlignment="0" applyProtection="0"/>
    <xf numFmtId="0" fontId="13" fillId="0" borderId="0" applyFont="0" applyFill="0" applyBorder="0" applyAlignment="0" applyProtection="0"/>
    <xf numFmtId="0" fontId="172" fillId="90" borderId="74" applyNumberFormat="0" applyAlignment="0" applyProtection="0">
      <alignment vertical="center"/>
    </xf>
    <xf numFmtId="0" fontId="172" fillId="90" borderId="74" applyNumberFormat="0" applyAlignment="0" applyProtection="0">
      <alignment vertical="center"/>
    </xf>
    <xf numFmtId="170" fontId="173" fillId="92" borderId="74" applyNumberFormat="0" applyAlignment="0" applyProtection="0"/>
    <xf numFmtId="170" fontId="173" fillId="92" borderId="74" applyNumberFormat="0" applyAlignment="0" applyProtection="0"/>
    <xf numFmtId="0" fontId="172" fillId="90" borderId="74" applyNumberFormat="0" applyAlignment="0" applyProtection="0">
      <alignment vertical="center"/>
    </xf>
    <xf numFmtId="170" fontId="173" fillId="92" borderId="74" applyNumberFormat="0" applyAlignment="0" applyProtection="0"/>
    <xf numFmtId="170" fontId="173" fillId="92" borderId="74" applyNumberFormat="0" applyAlignment="0" applyProtection="0"/>
    <xf numFmtId="170" fontId="173" fillId="92" borderId="74" applyNumberFormat="0" applyAlignment="0" applyProtection="0"/>
    <xf numFmtId="170" fontId="173" fillId="92" borderId="74" applyNumberFormat="0" applyAlignment="0" applyProtection="0"/>
    <xf numFmtId="170" fontId="173" fillId="92" borderId="74" applyNumberFormat="0" applyAlignment="0" applyProtection="0"/>
    <xf numFmtId="0" fontId="172"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4"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4"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4" fillId="90" borderId="74" applyNumberFormat="0" applyAlignment="0" applyProtection="0">
      <alignment vertical="center"/>
    </xf>
    <xf numFmtId="0" fontId="172" fillId="90" borderId="74" applyNumberFormat="0" applyAlignment="0" applyProtection="0">
      <alignment vertical="center"/>
    </xf>
    <xf numFmtId="0" fontId="174" fillId="90" borderId="74" applyNumberFormat="0" applyAlignment="0" applyProtection="0">
      <alignment vertical="center"/>
    </xf>
    <xf numFmtId="0" fontId="172" fillId="90" borderId="74" applyNumberFormat="0" applyAlignment="0" applyProtection="0">
      <alignment vertical="center"/>
    </xf>
    <xf numFmtId="170" fontId="173" fillId="92" borderId="74" applyNumberFormat="0" applyAlignment="0" applyProtection="0"/>
    <xf numFmtId="0" fontId="172" fillId="90" borderId="74" applyNumberFormat="0" applyAlignment="0" applyProtection="0">
      <alignment vertical="center"/>
    </xf>
    <xf numFmtId="0" fontId="172" fillId="90" borderId="74" applyNumberFormat="0" applyAlignment="0" applyProtection="0">
      <alignment vertical="center"/>
    </xf>
    <xf numFmtId="0" fontId="174"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4"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4"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4"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4"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4"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4"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4"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5" fillId="90" borderId="74" applyNumberFormat="0" applyAlignment="0" applyProtection="0">
      <alignment vertical="center"/>
    </xf>
    <xf numFmtId="0" fontId="175" fillId="90" borderId="74" applyNumberFormat="0" applyAlignment="0" applyProtection="0">
      <alignment vertical="center"/>
    </xf>
    <xf numFmtId="0" fontId="174" fillId="90" borderId="74" applyNumberFormat="0" applyAlignment="0" applyProtection="0">
      <alignment vertical="center"/>
    </xf>
    <xf numFmtId="0" fontId="175" fillId="90" borderId="74" applyNumberFormat="0" applyAlignment="0" applyProtection="0">
      <alignment vertical="center"/>
    </xf>
    <xf numFmtId="0" fontId="175" fillId="90" borderId="74" applyNumberFormat="0" applyAlignment="0" applyProtection="0">
      <alignment vertical="center"/>
    </xf>
    <xf numFmtId="0" fontId="175" fillId="90" borderId="74" applyNumberFormat="0" applyAlignment="0" applyProtection="0">
      <alignment vertical="center"/>
    </xf>
    <xf numFmtId="0" fontId="172" fillId="90" borderId="74" applyNumberFormat="0" applyAlignment="0" applyProtection="0">
      <alignment vertical="center"/>
    </xf>
    <xf numFmtId="0" fontId="175" fillId="90" borderId="74" applyNumberFormat="0" applyAlignment="0" applyProtection="0">
      <alignment vertical="center"/>
    </xf>
    <xf numFmtId="0" fontId="172" fillId="90" borderId="74" applyNumberFormat="0" applyAlignment="0" applyProtection="0">
      <alignment vertical="center"/>
    </xf>
    <xf numFmtId="0" fontId="175" fillId="90" borderId="74" applyNumberFormat="0" applyAlignment="0" applyProtection="0">
      <alignment vertical="center"/>
    </xf>
    <xf numFmtId="0" fontId="175" fillId="90" borderId="74" applyNumberFormat="0" applyAlignment="0" applyProtection="0">
      <alignment vertical="center"/>
    </xf>
    <xf numFmtId="0" fontId="174" fillId="90" borderId="74" applyNumberFormat="0" applyAlignment="0" applyProtection="0">
      <alignment vertical="center"/>
    </xf>
    <xf numFmtId="0" fontId="175" fillId="90" borderId="74" applyNumberFormat="0" applyAlignment="0" applyProtection="0">
      <alignment vertical="center"/>
    </xf>
    <xf numFmtId="0" fontId="175" fillId="90" borderId="74" applyNumberFormat="0" applyAlignment="0" applyProtection="0">
      <alignment vertical="center"/>
    </xf>
    <xf numFmtId="0" fontId="175" fillId="90" borderId="74" applyNumberFormat="0" applyAlignment="0" applyProtection="0">
      <alignment vertical="center"/>
    </xf>
    <xf numFmtId="0" fontId="172" fillId="90" borderId="74" applyNumberFormat="0" applyAlignment="0" applyProtection="0">
      <alignment vertical="center"/>
    </xf>
    <xf numFmtId="0" fontId="175" fillId="90" borderId="74" applyNumberFormat="0" applyAlignment="0" applyProtection="0">
      <alignment vertical="center"/>
    </xf>
    <xf numFmtId="0" fontId="172" fillId="90" borderId="74" applyNumberFormat="0" applyAlignment="0" applyProtection="0">
      <alignment vertical="center"/>
    </xf>
    <xf numFmtId="0" fontId="175" fillId="90" borderId="74" applyNumberFormat="0" applyAlignment="0" applyProtection="0">
      <alignment vertical="center"/>
    </xf>
    <xf numFmtId="0" fontId="172" fillId="90" borderId="74" applyNumberFormat="0" applyAlignment="0" applyProtection="0">
      <alignment vertical="center"/>
    </xf>
    <xf numFmtId="0" fontId="174" fillId="90" borderId="74" applyNumberFormat="0" applyAlignment="0" applyProtection="0">
      <alignment vertical="center"/>
    </xf>
    <xf numFmtId="0" fontId="175"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4" fillId="90" borderId="74" applyNumberFormat="0" applyAlignment="0" applyProtection="0">
      <alignment vertical="center"/>
    </xf>
    <xf numFmtId="0" fontId="175" fillId="90" borderId="74" applyNumberFormat="0" applyAlignment="0" applyProtection="0">
      <alignment vertical="center"/>
    </xf>
    <xf numFmtId="0" fontId="172" fillId="90" borderId="74" applyNumberFormat="0" applyAlignment="0" applyProtection="0">
      <alignment vertical="center"/>
    </xf>
    <xf numFmtId="170" fontId="173" fillId="92" borderId="74" applyNumberFormat="0" applyAlignment="0" applyProtection="0"/>
    <xf numFmtId="0" fontId="175" fillId="90" borderId="74" applyNumberFormat="0" applyAlignment="0" applyProtection="0">
      <alignment vertical="center"/>
    </xf>
    <xf numFmtId="0" fontId="175" fillId="90" borderId="74" applyNumberFormat="0" applyAlignment="0" applyProtection="0">
      <alignment vertical="center"/>
    </xf>
    <xf numFmtId="0" fontId="174" fillId="90" borderId="74" applyNumberFormat="0" applyAlignment="0" applyProtection="0">
      <alignment vertical="center"/>
    </xf>
    <xf numFmtId="0" fontId="175" fillId="90" borderId="74" applyNumberFormat="0" applyAlignment="0" applyProtection="0">
      <alignment vertical="center"/>
    </xf>
    <xf numFmtId="0" fontId="175" fillId="90" borderId="74" applyNumberFormat="0" applyAlignment="0" applyProtection="0">
      <alignment vertical="center"/>
    </xf>
    <xf numFmtId="0" fontId="175" fillId="90" borderId="74" applyNumberFormat="0" applyAlignment="0" applyProtection="0">
      <alignment vertical="center"/>
    </xf>
    <xf numFmtId="0" fontId="172" fillId="90" borderId="74" applyNumberFormat="0" applyAlignment="0" applyProtection="0">
      <alignment vertical="center"/>
    </xf>
    <xf numFmtId="0" fontId="175" fillId="90" borderId="74" applyNumberFormat="0" applyAlignment="0" applyProtection="0">
      <alignment vertical="center"/>
    </xf>
    <xf numFmtId="0" fontId="172" fillId="90" borderId="74" applyNumberFormat="0" applyAlignment="0" applyProtection="0">
      <alignment vertical="center"/>
    </xf>
    <xf numFmtId="0" fontId="175" fillId="90" borderId="74" applyNumberFormat="0" applyAlignment="0" applyProtection="0">
      <alignment vertical="center"/>
    </xf>
    <xf numFmtId="0" fontId="175" fillId="90" borderId="74" applyNumberFormat="0" applyAlignment="0" applyProtection="0">
      <alignment vertical="center"/>
    </xf>
    <xf numFmtId="0" fontId="174" fillId="90" borderId="74" applyNumberFormat="0" applyAlignment="0" applyProtection="0">
      <alignment vertical="center"/>
    </xf>
    <xf numFmtId="0" fontId="175" fillId="90" borderId="74" applyNumberFormat="0" applyAlignment="0" applyProtection="0">
      <alignment vertical="center"/>
    </xf>
    <xf numFmtId="0" fontId="175" fillId="90" borderId="74" applyNumberFormat="0" applyAlignment="0" applyProtection="0">
      <alignment vertical="center"/>
    </xf>
    <xf numFmtId="0" fontId="175" fillId="90" borderId="74" applyNumberFormat="0" applyAlignment="0" applyProtection="0">
      <alignment vertical="center"/>
    </xf>
    <xf numFmtId="0" fontId="172" fillId="90" borderId="74" applyNumberFormat="0" applyAlignment="0" applyProtection="0">
      <alignment vertical="center"/>
    </xf>
    <xf numFmtId="0" fontId="175" fillId="90" borderId="74" applyNumberFormat="0" applyAlignment="0" applyProtection="0">
      <alignment vertical="center"/>
    </xf>
    <xf numFmtId="0" fontId="172" fillId="90" borderId="74" applyNumberFormat="0" applyAlignment="0" applyProtection="0">
      <alignment vertical="center"/>
    </xf>
    <xf numFmtId="0" fontId="175" fillId="90" borderId="74" applyNumberFormat="0" applyAlignment="0" applyProtection="0">
      <alignment vertical="center"/>
    </xf>
    <xf numFmtId="0" fontId="175" fillId="90" borderId="74" applyNumberFormat="0" applyAlignment="0" applyProtection="0">
      <alignment vertical="center"/>
    </xf>
    <xf numFmtId="0" fontId="174" fillId="90" borderId="74" applyNumberFormat="0" applyAlignment="0" applyProtection="0">
      <alignment vertical="center"/>
    </xf>
    <xf numFmtId="0" fontId="175" fillId="90" borderId="74" applyNumberFormat="0" applyAlignment="0" applyProtection="0">
      <alignment vertical="center"/>
    </xf>
    <xf numFmtId="0" fontId="175" fillId="90" borderId="74" applyNumberFormat="0" applyAlignment="0" applyProtection="0">
      <alignment vertical="center"/>
    </xf>
    <xf numFmtId="0" fontId="175" fillId="90" borderId="74" applyNumberFormat="0" applyAlignment="0" applyProtection="0">
      <alignment vertical="center"/>
    </xf>
    <xf numFmtId="0" fontId="172" fillId="90" borderId="74" applyNumberFormat="0" applyAlignment="0" applyProtection="0">
      <alignment vertical="center"/>
    </xf>
    <xf numFmtId="0" fontId="175" fillId="90" borderId="74" applyNumberFormat="0" applyAlignment="0" applyProtection="0">
      <alignment vertical="center"/>
    </xf>
    <xf numFmtId="0" fontId="172" fillId="90" borderId="74" applyNumberFormat="0" applyAlignment="0" applyProtection="0">
      <alignment vertical="center"/>
    </xf>
    <xf numFmtId="0" fontId="175" fillId="90" borderId="74" applyNumberFormat="0" applyAlignment="0" applyProtection="0">
      <alignment vertical="center"/>
    </xf>
    <xf numFmtId="0" fontId="175" fillId="90" borderId="74" applyNumberFormat="0" applyAlignment="0" applyProtection="0">
      <alignment vertical="center"/>
    </xf>
    <xf numFmtId="0" fontId="174" fillId="90" borderId="74" applyNumberFormat="0" applyAlignment="0" applyProtection="0">
      <alignment vertical="center"/>
    </xf>
    <xf numFmtId="0" fontId="175" fillId="90" borderId="74" applyNumberFormat="0" applyAlignment="0" applyProtection="0">
      <alignment vertical="center"/>
    </xf>
    <xf numFmtId="0" fontId="175" fillId="90" borderId="74" applyNumberFormat="0" applyAlignment="0" applyProtection="0">
      <alignment vertical="center"/>
    </xf>
    <xf numFmtId="0" fontId="175" fillId="90" borderId="74" applyNumberFormat="0" applyAlignment="0" applyProtection="0">
      <alignment vertical="center"/>
    </xf>
    <xf numFmtId="0" fontId="172" fillId="90" borderId="74" applyNumberFormat="0" applyAlignment="0" applyProtection="0">
      <alignment vertical="center"/>
    </xf>
    <xf numFmtId="0" fontId="175" fillId="90" borderId="74" applyNumberFormat="0" applyAlignment="0" applyProtection="0">
      <alignment vertical="center"/>
    </xf>
    <xf numFmtId="0" fontId="172" fillId="90" borderId="74" applyNumberFormat="0" applyAlignment="0" applyProtection="0">
      <alignment vertical="center"/>
    </xf>
    <xf numFmtId="0" fontId="175" fillId="90" borderId="74" applyNumberFormat="0" applyAlignment="0" applyProtection="0">
      <alignment vertical="center"/>
    </xf>
    <xf numFmtId="0" fontId="175" fillId="90" borderId="74" applyNumberFormat="0" applyAlignment="0" applyProtection="0">
      <alignment vertical="center"/>
    </xf>
    <xf numFmtId="0" fontId="174" fillId="90" borderId="74" applyNumberFormat="0" applyAlignment="0" applyProtection="0">
      <alignment vertical="center"/>
    </xf>
    <xf numFmtId="0" fontId="175" fillId="90" borderId="74" applyNumberFormat="0" applyAlignment="0" applyProtection="0">
      <alignment vertical="center"/>
    </xf>
    <xf numFmtId="0" fontId="175" fillId="90" borderId="74" applyNumberFormat="0" applyAlignment="0" applyProtection="0">
      <alignment vertical="center"/>
    </xf>
    <xf numFmtId="0" fontId="175" fillId="90" borderId="74" applyNumberFormat="0" applyAlignment="0" applyProtection="0">
      <alignment vertical="center"/>
    </xf>
    <xf numFmtId="0" fontId="172" fillId="90" borderId="74" applyNumberFormat="0" applyAlignment="0" applyProtection="0">
      <alignment vertical="center"/>
    </xf>
    <xf numFmtId="0" fontId="175" fillId="90" borderId="74" applyNumberFormat="0" applyAlignment="0" applyProtection="0">
      <alignment vertical="center"/>
    </xf>
    <xf numFmtId="0" fontId="172" fillId="90" borderId="74" applyNumberFormat="0" applyAlignment="0" applyProtection="0">
      <alignment vertical="center"/>
    </xf>
    <xf numFmtId="0" fontId="175" fillId="90" borderId="74" applyNumberFormat="0" applyAlignment="0" applyProtection="0">
      <alignment vertical="center"/>
    </xf>
    <xf numFmtId="0" fontId="175" fillId="90" borderId="74" applyNumberFormat="0" applyAlignment="0" applyProtection="0">
      <alignment vertical="center"/>
    </xf>
    <xf numFmtId="0" fontId="174" fillId="90" borderId="74" applyNumberFormat="0" applyAlignment="0" applyProtection="0">
      <alignment vertical="center"/>
    </xf>
    <xf numFmtId="0" fontId="175" fillId="90" borderId="74" applyNumberFormat="0" applyAlignment="0" applyProtection="0">
      <alignment vertical="center"/>
    </xf>
    <xf numFmtId="0" fontId="175" fillId="90" borderId="74" applyNumberFormat="0" applyAlignment="0" applyProtection="0">
      <alignment vertical="center"/>
    </xf>
    <xf numFmtId="0" fontId="175" fillId="90" borderId="74" applyNumberFormat="0" applyAlignment="0" applyProtection="0">
      <alignment vertical="center"/>
    </xf>
    <xf numFmtId="0" fontId="172" fillId="90" borderId="74" applyNumberFormat="0" applyAlignment="0" applyProtection="0">
      <alignment vertical="center"/>
    </xf>
    <xf numFmtId="0" fontId="175" fillId="90" borderId="74" applyNumberFormat="0" applyAlignment="0" applyProtection="0">
      <alignment vertical="center"/>
    </xf>
    <xf numFmtId="0" fontId="172" fillId="90" borderId="74" applyNumberFormat="0" applyAlignment="0" applyProtection="0">
      <alignment vertical="center"/>
    </xf>
    <xf numFmtId="0" fontId="175" fillId="90" borderId="74" applyNumberFormat="0" applyAlignment="0" applyProtection="0">
      <alignment vertical="center"/>
    </xf>
    <xf numFmtId="0" fontId="175" fillId="90" borderId="74" applyNumberFormat="0" applyAlignment="0" applyProtection="0">
      <alignment vertical="center"/>
    </xf>
    <xf numFmtId="0" fontId="174" fillId="90" borderId="74" applyNumberFormat="0" applyAlignment="0" applyProtection="0">
      <alignment vertical="center"/>
    </xf>
    <xf numFmtId="0" fontId="175" fillId="90" borderId="74" applyNumberFormat="0" applyAlignment="0" applyProtection="0">
      <alignment vertical="center"/>
    </xf>
    <xf numFmtId="0" fontId="175" fillId="90" borderId="74" applyNumberFormat="0" applyAlignment="0" applyProtection="0">
      <alignment vertical="center"/>
    </xf>
    <xf numFmtId="0" fontId="175" fillId="90" borderId="74" applyNumberFormat="0" applyAlignment="0" applyProtection="0">
      <alignment vertical="center"/>
    </xf>
    <xf numFmtId="0" fontId="172" fillId="90" borderId="74" applyNumberFormat="0" applyAlignment="0" applyProtection="0">
      <alignment vertical="center"/>
    </xf>
    <xf numFmtId="0" fontId="175" fillId="90" borderId="74" applyNumberFormat="0" applyAlignment="0" applyProtection="0">
      <alignment vertical="center"/>
    </xf>
    <xf numFmtId="0" fontId="172" fillId="90" borderId="74" applyNumberFormat="0" applyAlignment="0" applyProtection="0">
      <alignment vertical="center"/>
    </xf>
    <xf numFmtId="0" fontId="175" fillId="90" borderId="74" applyNumberFormat="0" applyAlignment="0" applyProtection="0">
      <alignment vertical="center"/>
    </xf>
    <xf numFmtId="0" fontId="175" fillId="90" borderId="74" applyNumberFormat="0" applyAlignment="0" applyProtection="0">
      <alignment vertical="center"/>
    </xf>
    <xf numFmtId="0" fontId="174" fillId="90" borderId="74" applyNumberFormat="0" applyAlignment="0" applyProtection="0">
      <alignment vertical="center"/>
    </xf>
    <xf numFmtId="0" fontId="175" fillId="90" borderId="74" applyNumberFormat="0" applyAlignment="0" applyProtection="0">
      <alignment vertical="center"/>
    </xf>
    <xf numFmtId="0" fontId="175" fillId="90" borderId="74" applyNumberFormat="0" applyAlignment="0" applyProtection="0">
      <alignment vertical="center"/>
    </xf>
    <xf numFmtId="0" fontId="175" fillId="90" borderId="74" applyNumberFormat="0" applyAlignment="0" applyProtection="0">
      <alignment vertical="center"/>
    </xf>
    <xf numFmtId="0" fontId="172" fillId="90" borderId="74" applyNumberFormat="0" applyAlignment="0" applyProtection="0">
      <alignment vertical="center"/>
    </xf>
    <xf numFmtId="0" fontId="175"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0" fontId="174" fillId="90" borderId="74" applyNumberFormat="0" applyAlignment="0" applyProtection="0">
      <alignment vertical="center"/>
    </xf>
    <xf numFmtId="0" fontId="172" fillId="90" borderId="74" applyNumberFormat="0" applyAlignment="0" applyProtection="0">
      <alignment vertical="center"/>
    </xf>
    <xf numFmtId="0" fontId="172" fillId="90" borderId="74" applyNumberFormat="0" applyAlignment="0" applyProtection="0">
      <alignment vertical="center"/>
    </xf>
    <xf numFmtId="170" fontId="173" fillId="92" borderId="74" applyNumberFormat="0" applyAlignment="0" applyProtection="0"/>
    <xf numFmtId="0" fontId="172" fillId="90" borderId="74" applyNumberFormat="0" applyAlignment="0" applyProtection="0">
      <alignment vertical="center"/>
    </xf>
    <xf numFmtId="0" fontId="172" fillId="91" borderId="74">
      <alignment vertical="center"/>
    </xf>
    <xf numFmtId="0" fontId="172" fillId="91" borderId="74">
      <alignment vertical="center"/>
    </xf>
    <xf numFmtId="0" fontId="174" fillId="91" borderId="74">
      <alignment vertical="center"/>
    </xf>
    <xf numFmtId="0" fontId="172" fillId="91" borderId="74">
      <alignment vertical="center"/>
    </xf>
    <xf numFmtId="0" fontId="172" fillId="91" borderId="74">
      <alignment vertical="center"/>
    </xf>
    <xf numFmtId="0" fontId="172" fillId="91" borderId="74">
      <alignment vertical="center"/>
    </xf>
    <xf numFmtId="0" fontId="172" fillId="91" borderId="74">
      <alignment vertical="center"/>
    </xf>
    <xf numFmtId="0" fontId="172" fillId="91" borderId="74">
      <alignment vertical="center"/>
    </xf>
    <xf numFmtId="0" fontId="172" fillId="91" borderId="74">
      <alignment vertical="center"/>
    </xf>
    <xf numFmtId="0" fontId="174" fillId="91" borderId="74">
      <alignment vertical="center"/>
    </xf>
    <xf numFmtId="0" fontId="172" fillId="91" borderId="74">
      <alignment vertical="center"/>
    </xf>
    <xf numFmtId="0" fontId="172" fillId="91" borderId="74">
      <alignment vertical="center"/>
    </xf>
    <xf numFmtId="0" fontId="172" fillId="91" borderId="74">
      <alignment vertical="center"/>
    </xf>
    <xf numFmtId="0" fontId="172" fillId="91" borderId="74">
      <alignment vertical="center"/>
    </xf>
    <xf numFmtId="0" fontId="172" fillId="91" borderId="74">
      <alignment vertical="center"/>
    </xf>
    <xf numFmtId="0" fontId="174" fillId="91" borderId="74">
      <alignment vertical="center"/>
    </xf>
    <xf numFmtId="0" fontId="172" fillId="91" borderId="74">
      <alignment vertical="center"/>
    </xf>
    <xf numFmtId="0" fontId="174" fillId="91" borderId="74">
      <alignment vertical="center"/>
    </xf>
    <xf numFmtId="0" fontId="172" fillId="91" borderId="74">
      <alignment vertical="center"/>
    </xf>
    <xf numFmtId="170" fontId="173" fillId="92" borderId="74" applyNumberFormat="0" applyAlignment="0" applyProtection="0"/>
    <xf numFmtId="0" fontId="172" fillId="91" borderId="74">
      <alignment vertical="center"/>
    </xf>
    <xf numFmtId="0" fontId="172" fillId="91" borderId="74">
      <alignment vertical="center"/>
    </xf>
    <xf numFmtId="0" fontId="174" fillId="91" borderId="74">
      <alignment vertical="center"/>
    </xf>
    <xf numFmtId="0" fontId="172" fillId="91" borderId="74">
      <alignment vertical="center"/>
    </xf>
    <xf numFmtId="0" fontId="172" fillId="91" borderId="74">
      <alignment vertical="center"/>
    </xf>
    <xf numFmtId="0" fontId="172" fillId="91" borderId="74">
      <alignment vertical="center"/>
    </xf>
    <xf numFmtId="0" fontId="172" fillId="91" borderId="74">
      <alignment vertical="center"/>
    </xf>
    <xf numFmtId="170" fontId="173" fillId="92" borderId="74" applyNumberFormat="0" applyAlignment="0" applyProtection="0"/>
    <xf numFmtId="0" fontId="172" fillId="91" borderId="74">
      <alignment vertical="center"/>
    </xf>
    <xf numFmtId="0" fontId="172" fillId="91" borderId="74">
      <alignment vertical="center"/>
    </xf>
    <xf numFmtId="0" fontId="174" fillId="91" borderId="74">
      <alignment vertical="center"/>
    </xf>
    <xf numFmtId="0" fontId="172" fillId="91" borderId="74">
      <alignment vertical="center"/>
    </xf>
    <xf numFmtId="0" fontId="172" fillId="91" borderId="74">
      <alignment vertical="center"/>
    </xf>
    <xf numFmtId="0" fontId="172" fillId="91" borderId="74">
      <alignment vertical="center"/>
    </xf>
    <xf numFmtId="0" fontId="172" fillId="91" borderId="74">
      <alignment vertical="center"/>
    </xf>
    <xf numFmtId="0" fontId="172" fillId="91" borderId="74">
      <alignment vertical="center"/>
    </xf>
    <xf numFmtId="0" fontId="172" fillId="91" borderId="74">
      <alignment vertical="center"/>
    </xf>
    <xf numFmtId="0" fontId="174" fillId="91" borderId="74">
      <alignment vertical="center"/>
    </xf>
    <xf numFmtId="0" fontId="172" fillId="91" borderId="74">
      <alignment vertical="center"/>
    </xf>
    <xf numFmtId="0" fontId="172" fillId="91" borderId="74">
      <alignment vertical="center"/>
    </xf>
    <xf numFmtId="0" fontId="172" fillId="91" borderId="74">
      <alignment vertical="center"/>
    </xf>
    <xf numFmtId="0" fontId="172" fillId="91" borderId="74">
      <alignment vertical="center"/>
    </xf>
    <xf numFmtId="0" fontId="172" fillId="91" borderId="74">
      <alignment vertical="center"/>
    </xf>
    <xf numFmtId="0" fontId="172" fillId="91" borderId="74">
      <alignment vertical="center"/>
    </xf>
    <xf numFmtId="0" fontId="174" fillId="91" borderId="74">
      <alignment vertical="center"/>
    </xf>
    <xf numFmtId="0" fontId="172" fillId="91" borderId="74">
      <alignment vertical="center"/>
    </xf>
    <xf numFmtId="0" fontId="172" fillId="91" borderId="74">
      <alignment vertical="center"/>
    </xf>
    <xf numFmtId="0" fontId="172" fillId="91" borderId="74">
      <alignment vertical="center"/>
    </xf>
    <xf numFmtId="0" fontId="172" fillId="91" borderId="74">
      <alignment vertical="center"/>
    </xf>
    <xf numFmtId="0" fontId="172" fillId="91" borderId="74">
      <alignment vertical="center"/>
    </xf>
    <xf numFmtId="0" fontId="172" fillId="91" borderId="74">
      <alignment vertical="center"/>
    </xf>
    <xf numFmtId="0" fontId="174" fillId="91" borderId="74">
      <alignment vertical="center"/>
    </xf>
    <xf numFmtId="0" fontId="172" fillId="91" borderId="74">
      <alignment vertical="center"/>
    </xf>
    <xf numFmtId="0" fontId="172" fillId="91" borderId="74">
      <alignment vertical="center"/>
    </xf>
    <xf numFmtId="0" fontId="172" fillId="91" borderId="74">
      <alignment vertical="center"/>
    </xf>
    <xf numFmtId="0" fontId="172" fillId="91" borderId="74">
      <alignment vertical="center"/>
    </xf>
    <xf numFmtId="0" fontId="172" fillId="91" borderId="74">
      <alignment vertical="center"/>
    </xf>
    <xf numFmtId="0" fontId="172" fillId="91" borderId="74">
      <alignment vertical="center"/>
    </xf>
    <xf numFmtId="0" fontId="174" fillId="91" borderId="74">
      <alignment vertical="center"/>
    </xf>
    <xf numFmtId="0" fontId="172" fillId="91" borderId="74">
      <alignment vertical="center"/>
    </xf>
    <xf numFmtId="0" fontId="172" fillId="91" borderId="74">
      <alignment vertical="center"/>
    </xf>
    <xf numFmtId="0" fontId="172" fillId="91" borderId="74">
      <alignment vertical="center"/>
    </xf>
    <xf numFmtId="0" fontId="172" fillId="91" borderId="74">
      <alignment vertical="center"/>
    </xf>
    <xf numFmtId="0" fontId="172" fillId="91" borderId="74">
      <alignment vertical="center"/>
    </xf>
    <xf numFmtId="0" fontId="172" fillId="91" borderId="74">
      <alignment vertical="center"/>
    </xf>
    <xf numFmtId="0" fontId="174" fillId="91" borderId="74">
      <alignment vertical="center"/>
    </xf>
    <xf numFmtId="0" fontId="172" fillId="91" borderId="74">
      <alignment vertical="center"/>
    </xf>
    <xf numFmtId="0" fontId="172" fillId="91" borderId="74">
      <alignment vertical="center"/>
    </xf>
    <xf numFmtId="0" fontId="172" fillId="91" borderId="74">
      <alignment vertical="center"/>
    </xf>
    <xf numFmtId="0" fontId="172" fillId="91" borderId="74">
      <alignment vertical="center"/>
    </xf>
    <xf numFmtId="0" fontId="172" fillId="91" borderId="74">
      <alignment vertical="center"/>
    </xf>
    <xf numFmtId="0" fontId="172" fillId="91" borderId="74">
      <alignment vertical="center"/>
    </xf>
    <xf numFmtId="0" fontId="174" fillId="91" borderId="74">
      <alignment vertical="center"/>
    </xf>
    <xf numFmtId="0" fontId="172" fillId="91" borderId="74">
      <alignment vertical="center"/>
    </xf>
    <xf numFmtId="0" fontId="172" fillId="91" borderId="74">
      <alignment vertical="center"/>
    </xf>
    <xf numFmtId="0" fontId="172" fillId="91" borderId="74">
      <alignment vertical="center"/>
    </xf>
    <xf numFmtId="0" fontId="172" fillId="91" borderId="74">
      <alignment vertical="center"/>
    </xf>
    <xf numFmtId="0" fontId="172" fillId="90" borderId="74" applyNumberFormat="0" applyAlignment="0" applyProtection="0">
      <alignment vertical="center"/>
    </xf>
    <xf numFmtId="170" fontId="173" fillId="92" borderId="74" applyNumberFormat="0" applyAlignment="0" applyProtection="0"/>
    <xf numFmtId="170" fontId="173" fillId="92" borderId="74" applyNumberFormat="0" applyAlignment="0" applyProtection="0"/>
    <xf numFmtId="0" fontId="172" fillId="90" borderId="74" applyNumberFormat="0" applyAlignment="0" applyProtection="0">
      <alignment vertical="center"/>
    </xf>
    <xf numFmtId="170" fontId="173" fillId="92" borderId="74" applyNumberFormat="0" applyAlignment="0" applyProtection="0"/>
    <xf numFmtId="170" fontId="173" fillId="92" borderId="74" applyNumberFormat="0" applyAlignment="0" applyProtection="0"/>
    <xf numFmtId="170" fontId="173" fillId="92" borderId="74" applyNumberFormat="0" applyAlignment="0" applyProtection="0"/>
    <xf numFmtId="0" fontId="172" fillId="90" borderId="74" applyNumberFormat="0" applyAlignment="0" applyProtection="0">
      <alignment vertical="center"/>
    </xf>
    <xf numFmtId="170" fontId="173" fillId="92" borderId="74" applyNumberFormat="0" applyAlignment="0" applyProtection="0"/>
    <xf numFmtId="170" fontId="173" fillId="92" borderId="74" applyNumberFormat="0" applyAlignment="0" applyProtection="0"/>
    <xf numFmtId="0" fontId="172" fillId="90" borderId="74" applyNumberFormat="0" applyAlignment="0" applyProtection="0">
      <alignment vertical="center"/>
    </xf>
    <xf numFmtId="170" fontId="173" fillId="92" borderId="74" applyNumberFormat="0" applyAlignment="0" applyProtection="0"/>
    <xf numFmtId="170" fontId="173" fillId="92" borderId="74" applyNumberFormat="0" applyAlignment="0" applyProtection="0"/>
    <xf numFmtId="0" fontId="172" fillId="90" borderId="74" applyNumberFormat="0" applyAlignment="0" applyProtection="0">
      <alignment vertical="center"/>
    </xf>
    <xf numFmtId="170" fontId="173" fillId="92" borderId="74" applyNumberFormat="0" applyAlignment="0" applyProtection="0"/>
    <xf numFmtId="170" fontId="173" fillId="92" borderId="74" applyNumberFormat="0" applyAlignment="0" applyProtection="0"/>
    <xf numFmtId="170" fontId="13" fillId="0" borderId="0" applyFont="0" applyFill="0" applyBorder="0" applyAlignment="0" applyProtection="0"/>
    <xf numFmtId="214" fontId="13" fillId="0" borderId="0" applyFont="0" applyFill="0" applyBorder="0" applyAlignment="0" applyProtection="0"/>
    <xf numFmtId="10" fontId="13" fillId="0" borderId="0" applyFont="0" applyFill="0" applyBorder="0" applyAlignment="0" applyProtection="0"/>
    <xf numFmtId="9" fontId="57" fillId="0" borderId="57" applyNumberFormat="0" applyBorder="0"/>
    <xf numFmtId="197" fontId="13" fillId="0" borderId="0" applyFill="0" applyBorder="0" applyAlignment="0"/>
    <xf numFmtId="198" fontId="114" fillId="0" borderId="0" applyFill="0" applyBorder="0" applyAlignment="0"/>
    <xf numFmtId="197" fontId="13" fillId="0" borderId="0" applyFill="0" applyBorder="0" applyAlignment="0"/>
    <xf numFmtId="200" fontId="13" fillId="0" borderId="0" applyFill="0" applyBorder="0" applyAlignment="0"/>
    <xf numFmtId="198" fontId="114" fillId="0" borderId="0" applyFill="0" applyBorder="0" applyAlignment="0"/>
    <xf numFmtId="170" fontId="37" fillId="0" borderId="0"/>
    <xf numFmtId="0" fontId="37" fillId="0" borderId="0"/>
    <xf numFmtId="170" fontId="37" fillId="0" borderId="0" applyFont="0" applyFill="0" applyBorder="0" applyAlignment="0" applyProtection="0"/>
    <xf numFmtId="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176" fillId="101" borderId="75" applyFont="0" applyFill="0" applyBorder="0" applyAlignment="0" applyProtection="0">
      <alignment horizontal="left" vertical="center"/>
    </xf>
    <xf numFmtId="0" fontId="176" fillId="101" borderId="75" applyFont="0" applyFill="0" applyBorder="0" applyAlignment="0" applyProtection="0">
      <alignment horizontal="left" vertical="center"/>
    </xf>
    <xf numFmtId="4" fontId="177" fillId="102" borderId="76" applyNumberFormat="0" applyProtection="0">
      <alignment horizontal="left" vertical="center" indent="1"/>
    </xf>
    <xf numFmtId="4" fontId="126" fillId="103" borderId="77" applyNumberFormat="0" applyProtection="0">
      <alignment horizontal="right" vertical="center"/>
    </xf>
    <xf numFmtId="4" fontId="126" fillId="103" borderId="77" applyNumberFormat="0" applyProtection="0">
      <alignment horizontal="right" vertical="center"/>
    </xf>
    <xf numFmtId="4" fontId="178" fillId="39" borderId="76" applyNumberFormat="0" applyProtection="0">
      <alignment vertical="center"/>
    </xf>
    <xf numFmtId="4" fontId="126" fillId="104" borderId="77" applyNumberFormat="0" applyProtection="0">
      <alignment horizontal="left" vertical="center" indent="1"/>
    </xf>
    <xf numFmtId="0" fontId="126" fillId="105" borderId="77" applyNumberFormat="0" applyProtection="0">
      <alignment horizontal="left" vertical="top" indent="1"/>
    </xf>
    <xf numFmtId="0" fontId="126" fillId="105" borderId="77" applyNumberFormat="0" applyProtection="0">
      <alignment horizontal="left" vertical="top" indent="1"/>
    </xf>
    <xf numFmtId="170" fontId="45" fillId="0" borderId="0" applyFont="0" applyFill="0" applyBorder="0" applyAlignment="0" applyProtection="0"/>
    <xf numFmtId="0" fontId="45" fillId="0" borderId="0" applyFont="0" applyFill="0" applyBorder="0" applyAlignment="0" applyProtection="0"/>
    <xf numFmtId="170" fontId="179" fillId="0" borderId="0" applyNumberFormat="0" applyFill="0" applyBorder="0" applyAlignment="0" applyProtection="0"/>
    <xf numFmtId="170" fontId="37" fillId="0" borderId="0" applyFont="0" applyFill="0" applyBorder="0" applyAlignment="0" applyProtection="0"/>
    <xf numFmtId="0" fontId="163" fillId="0" borderId="0"/>
    <xf numFmtId="0" fontId="163" fillId="0" borderId="0"/>
    <xf numFmtId="49" fontId="126" fillId="0" borderId="0" applyFill="0" applyBorder="0" applyAlignment="0"/>
    <xf numFmtId="215" fontId="13" fillId="0" borderId="0" applyFill="0" applyBorder="0" applyAlignment="0"/>
    <xf numFmtId="216" fontId="13" fillId="0" borderId="0" applyFill="0" applyBorder="0" applyAlignment="0"/>
    <xf numFmtId="170" fontId="86" fillId="0" borderId="0"/>
    <xf numFmtId="0" fontId="86" fillId="0" borderId="0"/>
    <xf numFmtId="0" fontId="180" fillId="0" borderId="0" applyNumberFormat="0" applyFill="0" applyBorder="0" applyAlignment="0" applyProtection="0">
      <alignment vertical="center"/>
    </xf>
    <xf numFmtId="0" fontId="180" fillId="0" borderId="0" applyNumberFormat="0" applyFill="0" applyBorder="0" applyAlignment="0" applyProtection="0">
      <alignment vertical="center"/>
    </xf>
    <xf numFmtId="0" fontId="181" fillId="0" borderId="0" applyNumberFormat="0" applyFill="0" applyBorder="0" applyAlignment="0" applyProtection="0">
      <alignment vertical="center"/>
    </xf>
    <xf numFmtId="0" fontId="182" fillId="0" borderId="0" applyNumberFormat="0" applyFill="0" applyBorder="0" applyAlignment="0" applyProtection="0">
      <alignment vertical="center"/>
    </xf>
    <xf numFmtId="0" fontId="180" fillId="0" borderId="0" applyNumberFormat="0" applyFill="0" applyBorder="0" applyAlignment="0" applyProtection="0">
      <alignment vertical="center"/>
    </xf>
    <xf numFmtId="0" fontId="181" fillId="0" borderId="0" applyNumberFormat="0" applyFill="0" applyBorder="0" applyAlignment="0" applyProtection="0">
      <alignment vertical="center"/>
    </xf>
    <xf numFmtId="0" fontId="181" fillId="0" borderId="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lignment vertical="center"/>
    </xf>
    <xf numFmtId="0" fontId="184" fillId="0" borderId="78">
      <alignment vertical="center"/>
    </xf>
    <xf numFmtId="0" fontId="183" fillId="0" borderId="78">
      <alignment vertical="center"/>
    </xf>
    <xf numFmtId="0" fontId="183" fillId="0" borderId="78">
      <alignment vertical="center"/>
    </xf>
    <xf numFmtId="0" fontId="183" fillId="0" borderId="78">
      <alignment vertical="center"/>
    </xf>
    <xf numFmtId="0" fontId="183" fillId="0" borderId="78">
      <alignment vertical="center"/>
    </xf>
    <xf numFmtId="0" fontId="183" fillId="0" borderId="78" applyNumberFormat="0" applyFill="0" applyAlignment="0" applyProtection="0">
      <alignment vertical="center"/>
    </xf>
    <xf numFmtId="0" fontId="183" fillId="0" borderId="78">
      <alignment vertical="center"/>
    </xf>
    <xf numFmtId="0" fontId="184" fillId="0" borderId="78">
      <alignment vertical="center"/>
    </xf>
    <xf numFmtId="0" fontId="183" fillId="0" borderId="78">
      <alignment vertical="center"/>
    </xf>
    <xf numFmtId="0" fontId="183" fillId="0" borderId="78">
      <alignment vertical="center"/>
    </xf>
    <xf numFmtId="0" fontId="183" fillId="0" borderId="78">
      <alignment vertical="center"/>
    </xf>
    <xf numFmtId="0" fontId="183" fillId="0" borderId="78">
      <alignment vertical="center"/>
    </xf>
    <xf numFmtId="0" fontId="183" fillId="0" borderId="78">
      <alignment vertical="center"/>
    </xf>
    <xf numFmtId="0" fontId="183" fillId="0" borderId="78">
      <alignment vertical="center"/>
    </xf>
    <xf numFmtId="0" fontId="184" fillId="0" borderId="78">
      <alignment vertical="center"/>
    </xf>
    <xf numFmtId="0" fontId="183" fillId="0" borderId="78">
      <alignment vertical="center"/>
    </xf>
    <xf numFmtId="0" fontId="183" fillId="0" borderId="78">
      <alignment vertical="center"/>
    </xf>
    <xf numFmtId="0" fontId="183" fillId="0" borderId="78">
      <alignment vertical="center"/>
    </xf>
    <xf numFmtId="0" fontId="183" fillId="0" borderId="78">
      <alignment vertical="center"/>
    </xf>
    <xf numFmtId="0" fontId="183" fillId="0" borderId="78">
      <alignment vertical="center"/>
    </xf>
    <xf numFmtId="0" fontId="183" fillId="0" borderId="78">
      <alignment vertical="center"/>
    </xf>
    <xf numFmtId="0" fontId="184" fillId="0" borderId="78">
      <alignment vertical="center"/>
    </xf>
    <xf numFmtId="0" fontId="183" fillId="0" borderId="78">
      <alignment vertical="center"/>
    </xf>
    <xf numFmtId="0" fontId="183" fillId="0" borderId="78">
      <alignment vertical="center"/>
    </xf>
    <xf numFmtId="0" fontId="183" fillId="0" borderId="78">
      <alignment vertical="center"/>
    </xf>
    <xf numFmtId="0" fontId="183" fillId="0" borderId="78">
      <alignment vertical="center"/>
    </xf>
    <xf numFmtId="0" fontId="183" fillId="0" borderId="78">
      <alignment vertical="center"/>
    </xf>
    <xf numFmtId="0" fontId="184" fillId="0" borderId="78">
      <alignment vertical="center"/>
    </xf>
    <xf numFmtId="0" fontId="183" fillId="0" borderId="78">
      <alignment vertical="center"/>
    </xf>
    <xf numFmtId="0" fontId="184" fillId="0" borderId="78">
      <alignment vertical="center"/>
    </xf>
    <xf numFmtId="0" fontId="183" fillId="0" borderId="78">
      <alignment vertical="center"/>
    </xf>
    <xf numFmtId="203" fontId="1" fillId="0" borderId="79">
      <protection locked="0"/>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4" fillId="0" borderId="78" applyNumberFormat="0" applyFill="0" applyAlignment="0" applyProtection="0">
      <alignment vertical="center"/>
    </xf>
    <xf numFmtId="0" fontId="183" fillId="0" borderId="78" applyNumberFormat="0" applyFill="0" applyAlignment="0" applyProtection="0">
      <alignment vertical="center"/>
    </xf>
    <xf numFmtId="170" fontId="128" fillId="0" borderId="80" applyNumberFormat="0" applyFill="0" applyAlignment="0" applyProtection="0"/>
    <xf numFmtId="0" fontId="183" fillId="0" borderId="78" applyNumberFormat="0" applyFill="0" applyAlignment="0" applyProtection="0">
      <alignment vertical="center"/>
    </xf>
    <xf numFmtId="0" fontId="183" fillId="0" borderId="78" applyNumberFormat="0" applyFill="0" applyAlignment="0" applyProtection="0">
      <alignment vertical="center"/>
    </xf>
    <xf numFmtId="170" fontId="128" fillId="0" borderId="80" applyNumberFormat="0" applyFill="0" applyAlignment="0" applyProtection="0"/>
    <xf numFmtId="0" fontId="183" fillId="0" borderId="78" applyNumberFormat="0" applyFill="0" applyAlignment="0" applyProtection="0">
      <alignment vertical="center"/>
    </xf>
    <xf numFmtId="170" fontId="128" fillId="0" borderId="80" applyNumberFormat="0" applyFill="0" applyAlignment="0" applyProtection="0"/>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4" fillId="0" borderId="78" applyNumberFormat="0" applyFill="0" applyAlignment="0" applyProtection="0">
      <alignment vertical="center"/>
    </xf>
    <xf numFmtId="0" fontId="183" fillId="0" borderId="78" applyNumberFormat="0" applyFill="0" applyAlignment="0" applyProtection="0">
      <alignment vertical="center"/>
    </xf>
    <xf numFmtId="170" fontId="128" fillId="0" borderId="80" applyNumberFormat="0" applyFill="0" applyAlignment="0" applyProtection="0"/>
    <xf numFmtId="0" fontId="183" fillId="0" borderId="78" applyNumberFormat="0" applyFill="0" applyAlignment="0" applyProtection="0">
      <alignment vertical="center"/>
    </xf>
    <xf numFmtId="0" fontId="183" fillId="0" borderId="78" applyNumberFormat="0" applyFill="0" applyAlignment="0" applyProtection="0">
      <alignment vertical="center"/>
    </xf>
    <xf numFmtId="170" fontId="128" fillId="0" borderId="80" applyNumberFormat="0" applyFill="0" applyAlignment="0" applyProtection="0"/>
    <xf numFmtId="0" fontId="183" fillId="0" borderId="78" applyNumberFormat="0" applyFill="0" applyAlignment="0" applyProtection="0">
      <alignment vertical="center"/>
    </xf>
    <xf numFmtId="170" fontId="128" fillId="0" borderId="80" applyNumberFormat="0" applyFill="0" applyAlignment="0" applyProtection="0"/>
    <xf numFmtId="0" fontId="183" fillId="0" borderId="78" applyNumberFormat="0" applyFill="0" applyAlignment="0" applyProtection="0">
      <alignment vertical="center"/>
    </xf>
    <xf numFmtId="0" fontId="184" fillId="0" borderId="78" applyNumberFormat="0" applyFill="0" applyAlignment="0" applyProtection="0">
      <alignment vertical="center"/>
    </xf>
    <xf numFmtId="0" fontId="183" fillId="0" borderId="78" applyNumberFormat="0" applyFill="0" applyAlignment="0" applyProtection="0">
      <alignment vertical="center"/>
    </xf>
    <xf numFmtId="170" fontId="128" fillId="0" borderId="80" applyNumberFormat="0" applyFill="0" applyAlignment="0" applyProtection="0"/>
    <xf numFmtId="0" fontId="184" fillId="0" borderId="78" applyNumberFormat="0" applyFill="0" applyAlignment="0" applyProtection="0">
      <alignment vertical="center"/>
    </xf>
    <xf numFmtId="170" fontId="128" fillId="0" borderId="80" applyNumberFormat="0" applyFill="0" applyAlignment="0" applyProtection="0"/>
    <xf numFmtId="0" fontId="183" fillId="0" borderId="78" applyNumberFormat="0" applyFill="0" applyAlignment="0" applyProtection="0">
      <alignment vertical="center"/>
    </xf>
    <xf numFmtId="170" fontId="128" fillId="0" borderId="80" applyNumberFormat="0" applyFill="0" applyAlignment="0" applyProtection="0"/>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4"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4" fillId="0" borderId="78" applyNumberFormat="0" applyFill="0" applyAlignment="0" applyProtection="0">
      <alignment vertical="center"/>
    </xf>
    <xf numFmtId="0" fontId="183" fillId="0" borderId="78" applyNumberFormat="0" applyFill="0" applyAlignment="0" applyProtection="0">
      <alignment vertical="center"/>
    </xf>
    <xf numFmtId="0" fontId="184" fillId="0" borderId="78" applyNumberFormat="0" applyFill="0" applyAlignment="0" applyProtection="0">
      <alignment vertical="center"/>
    </xf>
    <xf numFmtId="0" fontId="183" fillId="0" borderId="78" applyNumberFormat="0" applyFill="0" applyAlignment="0" applyProtection="0">
      <alignment vertical="center"/>
    </xf>
    <xf numFmtId="170" fontId="128" fillId="0" borderId="80" applyNumberFormat="0" applyFill="0" applyAlignment="0" applyProtection="0"/>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4"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170" fontId="128" fillId="0" borderId="80" applyNumberFormat="0" applyFill="0" applyAlignment="0" applyProtection="0"/>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4"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4"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4"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4"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4"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4"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4"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4" fillId="0" borderId="78" applyNumberFormat="0" applyFill="0" applyAlignment="0" applyProtection="0">
      <alignment vertical="center"/>
    </xf>
    <xf numFmtId="0" fontId="183" fillId="0" borderId="78" applyNumberFormat="0" applyFill="0" applyAlignment="0" applyProtection="0">
      <alignment vertical="center"/>
    </xf>
    <xf numFmtId="170" fontId="128" fillId="0" borderId="80" applyNumberFormat="0" applyFill="0" applyAlignment="0" applyProtection="0"/>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170" fontId="128" fillId="0" borderId="80" applyNumberFormat="0" applyFill="0" applyAlignment="0" applyProtection="0"/>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4" fillId="0" borderId="78" applyNumberFormat="0" applyFill="0" applyAlignment="0" applyProtection="0">
      <alignment vertical="center"/>
    </xf>
    <xf numFmtId="0" fontId="183" fillId="0" borderId="78" applyNumberFormat="0" applyFill="0" applyAlignment="0" applyProtection="0">
      <alignment vertical="center"/>
    </xf>
    <xf numFmtId="170" fontId="128" fillId="0" borderId="80" applyNumberFormat="0" applyFill="0" applyAlignment="0" applyProtection="0"/>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170" fontId="128" fillId="0" borderId="80" applyNumberFormat="0" applyFill="0" applyAlignment="0" applyProtection="0"/>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4" fillId="0" borderId="78" applyNumberFormat="0" applyFill="0" applyAlignment="0" applyProtection="0">
      <alignment vertical="center"/>
    </xf>
    <xf numFmtId="0" fontId="183" fillId="0" borderId="78" applyNumberFormat="0" applyFill="0" applyAlignment="0" applyProtection="0">
      <alignment vertical="center"/>
    </xf>
    <xf numFmtId="170" fontId="128" fillId="0" borderId="80" applyNumberFormat="0" applyFill="0" applyAlignment="0" applyProtection="0"/>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170" fontId="128" fillId="0" borderId="80" applyNumberFormat="0" applyFill="0" applyAlignment="0" applyProtection="0"/>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4" fillId="0" borderId="78" applyNumberFormat="0" applyFill="0" applyAlignment="0" applyProtection="0">
      <alignment vertical="center"/>
    </xf>
    <xf numFmtId="0" fontId="183" fillId="0" borderId="78" applyNumberFormat="0" applyFill="0" applyAlignment="0" applyProtection="0">
      <alignment vertical="center"/>
    </xf>
    <xf numFmtId="170" fontId="128" fillId="0" borderId="80" applyNumberFormat="0" applyFill="0" applyAlignment="0" applyProtection="0"/>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170" fontId="128" fillId="0" borderId="80" applyNumberFormat="0" applyFill="0" applyAlignment="0" applyProtection="0"/>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4" fillId="0" borderId="78" applyNumberFormat="0" applyFill="0" applyAlignment="0" applyProtection="0">
      <alignment vertical="center"/>
    </xf>
    <xf numFmtId="0" fontId="183" fillId="0" borderId="78" applyNumberFormat="0" applyFill="0" applyAlignment="0" applyProtection="0">
      <alignment vertical="center"/>
    </xf>
    <xf numFmtId="170" fontId="128" fillId="0" borderId="80" applyNumberFormat="0" applyFill="0" applyAlignment="0" applyProtection="0"/>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170" fontId="128" fillId="0" borderId="80" applyNumberFormat="0" applyFill="0" applyAlignment="0" applyProtection="0"/>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4" fillId="0" borderId="78" applyNumberFormat="0" applyFill="0" applyAlignment="0" applyProtection="0">
      <alignment vertical="center"/>
    </xf>
    <xf numFmtId="0" fontId="183" fillId="0" borderId="78" applyNumberFormat="0" applyFill="0" applyAlignment="0" applyProtection="0">
      <alignment vertical="center"/>
    </xf>
    <xf numFmtId="170" fontId="128" fillId="0" borderId="80" applyNumberFormat="0" applyFill="0" applyAlignment="0" applyProtection="0"/>
    <xf numFmtId="0" fontId="183" fillId="0" borderId="78" applyNumberFormat="0" applyFill="0" applyAlignment="0" applyProtection="0">
      <alignment vertical="center"/>
    </xf>
    <xf numFmtId="0" fontId="183" fillId="0" borderId="78" applyNumberFormat="0" applyFill="0" applyAlignment="0" applyProtection="0">
      <alignment vertical="center"/>
    </xf>
    <xf numFmtId="170" fontId="128" fillId="0" borderId="80" applyNumberFormat="0" applyFill="0" applyAlignment="0" applyProtection="0"/>
    <xf numFmtId="0" fontId="183" fillId="0" borderId="78" applyNumberFormat="0" applyFill="0" applyAlignment="0" applyProtection="0">
      <alignment vertical="center"/>
    </xf>
    <xf numFmtId="170" fontId="128" fillId="0" borderId="80" applyNumberFormat="0" applyFill="0" applyAlignment="0" applyProtection="0"/>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4" fillId="0" borderId="78" applyNumberFormat="0" applyFill="0" applyAlignment="0" applyProtection="0">
      <alignment vertical="center"/>
    </xf>
    <xf numFmtId="0" fontId="183" fillId="0" borderId="78" applyNumberFormat="0" applyFill="0" applyAlignment="0" applyProtection="0">
      <alignment vertical="center"/>
    </xf>
    <xf numFmtId="170" fontId="128" fillId="0" borderId="80" applyNumberFormat="0" applyFill="0" applyAlignment="0" applyProtection="0"/>
    <xf numFmtId="0" fontId="183" fillId="0" borderId="78" applyNumberFormat="0" applyFill="0" applyAlignment="0" applyProtection="0">
      <alignment vertical="center"/>
    </xf>
    <xf numFmtId="0" fontId="183" fillId="0" borderId="78" applyNumberFormat="0" applyFill="0" applyAlignment="0" applyProtection="0">
      <alignment vertical="center"/>
    </xf>
    <xf numFmtId="170" fontId="128" fillId="0" borderId="80" applyNumberFormat="0" applyFill="0" applyAlignment="0" applyProtection="0"/>
    <xf numFmtId="0" fontId="183" fillId="0" borderId="78" applyNumberFormat="0" applyFill="0" applyAlignment="0" applyProtection="0">
      <alignment vertical="center"/>
    </xf>
    <xf numFmtId="170" fontId="128" fillId="0" borderId="80" applyNumberFormat="0" applyFill="0" applyAlignment="0" applyProtection="0"/>
    <xf numFmtId="0" fontId="183"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4"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3" fillId="0" borderId="78" applyNumberFormat="0" applyFill="0" applyAlignment="0" applyProtection="0">
      <alignment vertical="center"/>
    </xf>
    <xf numFmtId="0" fontId="185" fillId="0" borderId="78" applyNumberFormat="0" applyFill="0" applyAlignment="0" applyProtection="0">
      <alignment vertical="center"/>
    </xf>
    <xf numFmtId="0" fontId="183"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4"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3" fillId="0" borderId="78" applyNumberFormat="0" applyFill="0" applyAlignment="0" applyProtection="0">
      <alignment vertical="center"/>
    </xf>
    <xf numFmtId="0" fontId="185" fillId="0" borderId="78" applyNumberFormat="0" applyFill="0" applyAlignment="0" applyProtection="0">
      <alignment vertical="center"/>
    </xf>
    <xf numFmtId="0" fontId="183" fillId="0" borderId="78" applyNumberFormat="0" applyFill="0" applyAlignment="0" applyProtection="0">
      <alignment vertical="center"/>
    </xf>
    <xf numFmtId="0" fontId="185" fillId="0" borderId="78" applyNumberFormat="0" applyFill="0" applyAlignment="0" applyProtection="0">
      <alignment vertical="center"/>
    </xf>
    <xf numFmtId="0" fontId="183" fillId="0" borderId="78" applyNumberFormat="0" applyFill="0" applyAlignment="0" applyProtection="0">
      <alignment vertical="center"/>
    </xf>
    <xf numFmtId="0" fontId="184" fillId="0" borderId="78" applyNumberFormat="0" applyFill="0" applyAlignment="0" applyProtection="0">
      <alignment vertical="center"/>
    </xf>
    <xf numFmtId="0" fontId="185"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4" fillId="0" borderId="78" applyNumberFormat="0" applyFill="0" applyAlignment="0" applyProtection="0">
      <alignment vertical="center"/>
    </xf>
    <xf numFmtId="0" fontId="185"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4"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3" fillId="0" borderId="78" applyNumberFormat="0" applyFill="0" applyAlignment="0" applyProtection="0">
      <alignment vertical="center"/>
    </xf>
    <xf numFmtId="0" fontId="185" fillId="0" borderId="78" applyNumberFormat="0" applyFill="0" applyAlignment="0" applyProtection="0">
      <alignment vertical="center"/>
    </xf>
    <xf numFmtId="0" fontId="183" fillId="0" borderId="78" applyNumberFormat="0" applyFill="0" applyAlignment="0" applyProtection="0">
      <alignment vertical="center"/>
    </xf>
    <xf numFmtId="0" fontId="185" fillId="0" borderId="78" applyNumberFormat="0" applyFill="0" applyAlignment="0" applyProtection="0">
      <alignment vertical="center"/>
    </xf>
    <xf numFmtId="0" fontId="183" fillId="0" borderId="78" applyNumberFormat="0" applyFill="0" applyAlignment="0" applyProtection="0">
      <alignment vertical="center"/>
    </xf>
    <xf numFmtId="0" fontId="184" fillId="0" borderId="78" applyNumberFormat="0" applyFill="0" applyAlignment="0" applyProtection="0">
      <alignment vertical="center"/>
    </xf>
    <xf numFmtId="0" fontId="185"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4" fillId="0" borderId="78" applyNumberFormat="0" applyFill="0" applyAlignment="0" applyProtection="0">
      <alignment vertical="center"/>
    </xf>
    <xf numFmtId="0" fontId="185" fillId="0" borderId="78" applyNumberFormat="0" applyFill="0" applyAlignment="0" applyProtection="0">
      <alignment vertical="center"/>
    </xf>
    <xf numFmtId="0" fontId="183"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4"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3" fillId="0" borderId="78" applyNumberFormat="0" applyFill="0" applyAlignment="0" applyProtection="0">
      <alignment vertical="center"/>
    </xf>
    <xf numFmtId="0" fontId="185" fillId="0" borderId="78" applyNumberFormat="0" applyFill="0" applyAlignment="0" applyProtection="0">
      <alignment vertical="center"/>
    </xf>
    <xf numFmtId="0" fontId="183"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4"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3" fillId="0" borderId="78" applyNumberFormat="0" applyFill="0" applyAlignment="0" applyProtection="0">
      <alignment vertical="center"/>
    </xf>
    <xf numFmtId="0" fontId="185" fillId="0" borderId="78" applyNumberFormat="0" applyFill="0" applyAlignment="0" applyProtection="0">
      <alignment vertical="center"/>
    </xf>
    <xf numFmtId="0" fontId="183"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4"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3" fillId="0" borderId="78" applyNumberFormat="0" applyFill="0" applyAlignment="0" applyProtection="0">
      <alignment vertical="center"/>
    </xf>
    <xf numFmtId="0" fontId="185" fillId="0" borderId="78" applyNumberFormat="0" applyFill="0" applyAlignment="0" applyProtection="0">
      <alignment vertical="center"/>
    </xf>
    <xf numFmtId="0" fontId="183"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4"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3" fillId="0" borderId="78" applyNumberFormat="0" applyFill="0" applyAlignment="0" applyProtection="0">
      <alignment vertical="center"/>
    </xf>
    <xf numFmtId="0" fontId="185" fillId="0" borderId="78" applyNumberFormat="0" applyFill="0" applyAlignment="0" applyProtection="0">
      <alignment vertical="center"/>
    </xf>
    <xf numFmtId="0" fontId="183"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4"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3" fillId="0" borderId="78" applyNumberFormat="0" applyFill="0" applyAlignment="0" applyProtection="0">
      <alignment vertical="center"/>
    </xf>
    <xf numFmtId="0" fontId="185" fillId="0" borderId="78" applyNumberFormat="0" applyFill="0" applyAlignment="0" applyProtection="0">
      <alignment vertical="center"/>
    </xf>
    <xf numFmtId="0" fontId="183"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4"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3" fillId="0" borderId="78" applyNumberFormat="0" applyFill="0" applyAlignment="0" applyProtection="0">
      <alignment vertical="center"/>
    </xf>
    <xf numFmtId="0" fontId="185" fillId="0" borderId="78" applyNumberFormat="0" applyFill="0" applyAlignment="0" applyProtection="0">
      <alignment vertical="center"/>
    </xf>
    <xf numFmtId="0" fontId="183"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4"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3" fillId="0" borderId="78" applyNumberFormat="0" applyFill="0" applyAlignment="0" applyProtection="0">
      <alignment vertical="center"/>
    </xf>
    <xf numFmtId="0" fontId="185" fillId="0" borderId="78" applyNumberFormat="0" applyFill="0" applyAlignment="0" applyProtection="0">
      <alignment vertical="center"/>
    </xf>
    <xf numFmtId="0" fontId="183"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4"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3" fillId="0" borderId="78" applyNumberFormat="0" applyFill="0" applyAlignment="0" applyProtection="0">
      <alignment vertical="center"/>
    </xf>
    <xf numFmtId="0" fontId="185"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5" fillId="0" borderId="78" applyNumberFormat="0" applyFill="0" applyAlignment="0" applyProtection="0">
      <alignment vertical="center"/>
    </xf>
    <xf numFmtId="0" fontId="184"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3" fillId="0" borderId="78" applyNumberFormat="0" applyFill="0" applyAlignment="0" applyProtection="0">
      <alignment vertical="center"/>
    </xf>
    <xf numFmtId="0" fontId="185"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5" fillId="0" borderId="78" applyNumberFormat="0" applyFill="0" applyAlignment="0" applyProtection="0">
      <alignment vertical="center"/>
    </xf>
    <xf numFmtId="0" fontId="184"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3" fillId="0" borderId="78" applyNumberFormat="0" applyFill="0" applyAlignment="0" applyProtection="0">
      <alignment vertical="center"/>
    </xf>
    <xf numFmtId="0" fontId="185" fillId="0" borderId="78" applyNumberFormat="0" applyFill="0" applyAlignment="0" applyProtection="0">
      <alignment vertical="center"/>
    </xf>
    <xf numFmtId="0" fontId="183"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4"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3" fillId="0" borderId="78" applyNumberFormat="0" applyFill="0" applyAlignment="0" applyProtection="0">
      <alignment vertical="center"/>
    </xf>
    <xf numFmtId="0" fontId="185" fillId="0" borderId="78" applyNumberFormat="0" applyFill="0" applyAlignment="0" applyProtection="0">
      <alignment vertical="center"/>
    </xf>
    <xf numFmtId="0" fontId="183"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4"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3" fillId="0" borderId="78" applyNumberFormat="0" applyFill="0" applyAlignment="0" applyProtection="0">
      <alignment vertical="center"/>
    </xf>
    <xf numFmtId="0" fontId="185" fillId="0" borderId="78" applyNumberFormat="0" applyFill="0" applyAlignment="0" applyProtection="0">
      <alignment vertical="center"/>
    </xf>
    <xf numFmtId="0" fontId="183"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4"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3" fillId="0" borderId="78" applyNumberFormat="0" applyFill="0" applyAlignment="0" applyProtection="0">
      <alignment vertical="center"/>
    </xf>
    <xf numFmtId="0" fontId="185" fillId="0" borderId="78" applyNumberFormat="0" applyFill="0" applyAlignment="0" applyProtection="0">
      <alignment vertical="center"/>
    </xf>
    <xf numFmtId="0" fontId="183"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4"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3" fillId="0" borderId="78" applyNumberFormat="0" applyFill="0" applyAlignment="0" applyProtection="0">
      <alignment vertical="center"/>
    </xf>
    <xf numFmtId="0" fontId="185" fillId="0" borderId="78" applyNumberFormat="0" applyFill="0" applyAlignment="0" applyProtection="0">
      <alignment vertical="center"/>
    </xf>
    <xf numFmtId="0" fontId="183"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4"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5" fillId="0" borderId="78" applyNumberFormat="0" applyFill="0" applyAlignment="0" applyProtection="0">
      <alignment vertical="center"/>
    </xf>
    <xf numFmtId="0" fontId="183" fillId="0" borderId="78" applyNumberFormat="0" applyFill="0" applyAlignment="0" applyProtection="0">
      <alignment vertical="center"/>
    </xf>
    <xf numFmtId="0" fontId="185"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pplyNumberFormat="0" applyFill="0" applyAlignment="0" applyProtection="0">
      <alignment vertical="center"/>
    </xf>
    <xf numFmtId="0" fontId="183" fillId="0" borderId="78">
      <alignment vertical="center"/>
    </xf>
    <xf numFmtId="0" fontId="183" fillId="0" borderId="78">
      <alignment vertical="center"/>
    </xf>
    <xf numFmtId="0" fontId="184" fillId="0" borderId="78">
      <alignment vertical="center"/>
    </xf>
    <xf numFmtId="0" fontId="183" fillId="0" borderId="78">
      <alignment vertical="center"/>
    </xf>
    <xf numFmtId="0" fontId="183" fillId="0" borderId="78">
      <alignment vertical="center"/>
    </xf>
    <xf numFmtId="0" fontId="183" fillId="0" borderId="78">
      <alignment vertical="center"/>
    </xf>
    <xf numFmtId="0" fontId="183" fillId="0" borderId="78">
      <alignment vertical="center"/>
    </xf>
    <xf numFmtId="0" fontId="183" fillId="0" borderId="78">
      <alignment vertical="center"/>
    </xf>
    <xf numFmtId="0" fontId="184" fillId="0" borderId="78">
      <alignment vertical="center"/>
    </xf>
    <xf numFmtId="0" fontId="183" fillId="0" borderId="78">
      <alignment vertical="center"/>
    </xf>
    <xf numFmtId="0" fontId="184" fillId="0" borderId="78">
      <alignment vertical="center"/>
    </xf>
    <xf numFmtId="0" fontId="183" fillId="0" borderId="78">
      <alignment vertical="center"/>
    </xf>
    <xf numFmtId="0" fontId="183" fillId="0" borderId="78">
      <alignment vertical="center"/>
    </xf>
    <xf numFmtId="0" fontId="183" fillId="0" borderId="78">
      <alignment vertical="center"/>
    </xf>
    <xf numFmtId="0" fontId="184" fillId="0" borderId="78">
      <alignment vertical="center"/>
    </xf>
    <xf numFmtId="0" fontId="183" fillId="0" borderId="78">
      <alignment vertical="center"/>
    </xf>
    <xf numFmtId="0" fontId="183" fillId="0" borderId="78">
      <alignment vertical="center"/>
    </xf>
    <xf numFmtId="0" fontId="183" fillId="0" borderId="78">
      <alignment vertical="center"/>
    </xf>
    <xf numFmtId="0" fontId="183" fillId="0" borderId="78">
      <alignment vertical="center"/>
    </xf>
    <xf numFmtId="0" fontId="183" fillId="0" borderId="78">
      <alignment vertical="center"/>
    </xf>
    <xf numFmtId="0" fontId="183" fillId="0" borderId="78">
      <alignment vertical="center"/>
    </xf>
    <xf numFmtId="0" fontId="184" fillId="0" borderId="78">
      <alignment vertical="center"/>
    </xf>
    <xf numFmtId="0" fontId="183" fillId="0" borderId="78">
      <alignment vertical="center"/>
    </xf>
    <xf numFmtId="0" fontId="183" fillId="0" borderId="78">
      <alignment vertical="center"/>
    </xf>
    <xf numFmtId="0" fontId="183" fillId="0" borderId="78">
      <alignment vertical="center"/>
    </xf>
    <xf numFmtId="0" fontId="183" fillId="0" borderId="78">
      <alignment vertical="center"/>
    </xf>
    <xf numFmtId="0" fontId="183" fillId="0" borderId="78">
      <alignment vertical="center"/>
    </xf>
    <xf numFmtId="0" fontId="183" fillId="0" borderId="78">
      <alignment vertical="center"/>
    </xf>
    <xf numFmtId="0" fontId="184" fillId="0" borderId="78">
      <alignment vertical="center"/>
    </xf>
    <xf numFmtId="0" fontId="183" fillId="0" borderId="78">
      <alignment vertical="center"/>
    </xf>
    <xf numFmtId="0" fontId="183" fillId="0" borderId="78">
      <alignment vertical="center"/>
    </xf>
    <xf numFmtId="0" fontId="183" fillId="0" borderId="78">
      <alignment vertical="center"/>
    </xf>
    <xf numFmtId="0" fontId="183" fillId="0" borderId="78">
      <alignment vertical="center"/>
    </xf>
    <xf numFmtId="0" fontId="183" fillId="0" borderId="78">
      <alignment vertical="center"/>
    </xf>
    <xf numFmtId="0" fontId="183" fillId="0" borderId="78">
      <alignment vertical="center"/>
    </xf>
    <xf numFmtId="0" fontId="184" fillId="0" borderId="78">
      <alignment vertical="center"/>
    </xf>
    <xf numFmtId="0" fontId="183" fillId="0" borderId="78">
      <alignment vertical="center"/>
    </xf>
    <xf numFmtId="0" fontId="183" fillId="0" borderId="78">
      <alignment vertical="center"/>
    </xf>
    <xf numFmtId="0" fontId="183" fillId="0" borderId="78">
      <alignment vertical="center"/>
    </xf>
    <xf numFmtId="0" fontId="183" fillId="0" borderId="78">
      <alignment vertical="center"/>
    </xf>
    <xf numFmtId="0" fontId="183" fillId="0" borderId="78">
      <alignment vertical="center"/>
    </xf>
    <xf numFmtId="0" fontId="183" fillId="0" borderId="78">
      <alignment vertical="center"/>
    </xf>
    <xf numFmtId="0" fontId="184" fillId="0" borderId="78">
      <alignment vertical="center"/>
    </xf>
    <xf numFmtId="0" fontId="183" fillId="0" borderId="78">
      <alignment vertical="center"/>
    </xf>
    <xf numFmtId="0" fontId="183" fillId="0" borderId="78">
      <alignment vertical="center"/>
    </xf>
    <xf numFmtId="0" fontId="183" fillId="0" borderId="78">
      <alignment vertical="center"/>
    </xf>
    <xf numFmtId="0" fontId="183" fillId="0" borderId="78">
      <alignment vertical="center"/>
    </xf>
    <xf numFmtId="0" fontId="183" fillId="0" borderId="78">
      <alignment vertical="center"/>
    </xf>
    <xf numFmtId="0" fontId="183" fillId="0" borderId="78">
      <alignment vertical="center"/>
    </xf>
    <xf numFmtId="0" fontId="184" fillId="0" borderId="78">
      <alignment vertical="center"/>
    </xf>
    <xf numFmtId="0" fontId="183" fillId="0" borderId="78">
      <alignment vertical="center"/>
    </xf>
    <xf numFmtId="0" fontId="183" fillId="0" borderId="78">
      <alignment vertical="center"/>
    </xf>
    <xf numFmtId="0" fontId="183" fillId="0" borderId="78">
      <alignment vertical="center"/>
    </xf>
    <xf numFmtId="0" fontId="183" fillId="0" borderId="78">
      <alignment vertical="center"/>
    </xf>
    <xf numFmtId="0" fontId="183" fillId="0" borderId="78">
      <alignment vertical="center"/>
    </xf>
    <xf numFmtId="0" fontId="183" fillId="0" borderId="78">
      <alignment vertical="center"/>
    </xf>
    <xf numFmtId="0" fontId="184" fillId="0" borderId="78">
      <alignment vertical="center"/>
    </xf>
    <xf numFmtId="0" fontId="183" fillId="0" borderId="78">
      <alignment vertical="center"/>
    </xf>
    <xf numFmtId="0" fontId="183" fillId="0" borderId="78">
      <alignment vertical="center"/>
    </xf>
    <xf numFmtId="0" fontId="183" fillId="0" borderId="78">
      <alignment vertical="center"/>
    </xf>
    <xf numFmtId="0" fontId="183" fillId="0" borderId="78">
      <alignment vertical="center"/>
    </xf>
    <xf numFmtId="0" fontId="183" fillId="0" borderId="78">
      <alignment vertical="center"/>
    </xf>
    <xf numFmtId="0" fontId="183" fillId="0" borderId="78">
      <alignment vertical="center"/>
    </xf>
    <xf numFmtId="0" fontId="184" fillId="0" borderId="78">
      <alignment vertical="center"/>
    </xf>
    <xf numFmtId="0" fontId="183" fillId="0" borderId="78">
      <alignment vertical="center"/>
    </xf>
    <xf numFmtId="0" fontId="183" fillId="0" borderId="78">
      <alignment vertical="center"/>
    </xf>
    <xf numFmtId="0" fontId="183" fillId="0" borderId="78">
      <alignment vertical="center"/>
    </xf>
    <xf numFmtId="0" fontId="183" fillId="0" borderId="78">
      <alignment vertical="center"/>
    </xf>
    <xf numFmtId="0" fontId="183" fillId="0" borderId="78" applyNumberFormat="0" applyFill="0" applyAlignment="0" applyProtection="0">
      <alignment vertical="center"/>
    </xf>
    <xf numFmtId="0" fontId="183" fillId="0" borderId="78">
      <alignment vertical="center"/>
    </xf>
    <xf numFmtId="0" fontId="184" fillId="0" borderId="78">
      <alignment vertical="center"/>
    </xf>
    <xf numFmtId="0" fontId="183" fillId="0" borderId="78">
      <alignment vertical="center"/>
    </xf>
    <xf numFmtId="0" fontId="183" fillId="0" borderId="78">
      <alignment vertical="center"/>
    </xf>
    <xf numFmtId="0" fontId="183" fillId="0" borderId="78">
      <alignment vertical="center"/>
    </xf>
    <xf numFmtId="0" fontId="183" fillId="0" borderId="78">
      <alignment vertical="center"/>
    </xf>
    <xf numFmtId="0" fontId="183" fillId="0" borderId="78" applyNumberFormat="0" applyFill="0" applyAlignment="0" applyProtection="0">
      <alignment vertical="center"/>
    </xf>
    <xf numFmtId="0" fontId="183" fillId="0" borderId="78">
      <alignment vertical="center"/>
    </xf>
    <xf numFmtId="0" fontId="184" fillId="0" borderId="78">
      <alignment vertical="center"/>
    </xf>
    <xf numFmtId="0" fontId="183" fillId="0" borderId="78">
      <alignment vertical="center"/>
    </xf>
    <xf numFmtId="0" fontId="183" fillId="0" borderId="78">
      <alignment vertical="center"/>
    </xf>
    <xf numFmtId="0" fontId="183" fillId="0" borderId="78">
      <alignment vertical="center"/>
    </xf>
    <xf numFmtId="0" fontId="183" fillId="0" borderId="78">
      <alignment vertical="center"/>
    </xf>
    <xf numFmtId="0" fontId="183" fillId="0" borderId="78" applyNumberFormat="0" applyFill="0" applyAlignment="0" applyProtection="0">
      <alignment vertical="center"/>
    </xf>
    <xf numFmtId="0" fontId="183" fillId="0" borderId="78">
      <alignment vertical="center"/>
    </xf>
    <xf numFmtId="0" fontId="184" fillId="0" borderId="78">
      <alignment vertical="center"/>
    </xf>
    <xf numFmtId="0" fontId="183" fillId="0" borderId="78">
      <alignment vertical="center"/>
    </xf>
    <xf numFmtId="0" fontId="183" fillId="0" borderId="78">
      <alignment vertical="center"/>
    </xf>
    <xf numFmtId="0" fontId="183" fillId="0" borderId="78">
      <alignment vertical="center"/>
    </xf>
    <xf numFmtId="0" fontId="183" fillId="0" borderId="78">
      <alignment vertical="center"/>
    </xf>
    <xf numFmtId="0" fontId="183" fillId="0" borderId="78" applyNumberFormat="0" applyFill="0" applyAlignment="0" applyProtection="0">
      <alignment vertical="center"/>
    </xf>
    <xf numFmtId="0" fontId="183" fillId="0" borderId="78">
      <alignment vertical="center"/>
    </xf>
    <xf numFmtId="0" fontId="184" fillId="0" borderId="78">
      <alignment vertical="center"/>
    </xf>
    <xf numFmtId="0" fontId="183" fillId="0" borderId="78">
      <alignment vertical="center"/>
    </xf>
    <xf numFmtId="0" fontId="183" fillId="0" borderId="78">
      <alignment vertical="center"/>
    </xf>
    <xf numFmtId="0" fontId="183" fillId="0" borderId="78">
      <alignment vertical="center"/>
    </xf>
    <xf numFmtId="0" fontId="183" fillId="0" borderId="78">
      <alignment vertical="center"/>
    </xf>
    <xf numFmtId="0" fontId="183" fillId="0" borderId="78" applyNumberFormat="0" applyFill="0" applyAlignment="0" applyProtection="0">
      <alignment vertical="center"/>
    </xf>
    <xf numFmtId="0" fontId="183" fillId="0" borderId="78">
      <alignment vertical="center"/>
    </xf>
    <xf numFmtId="0" fontId="184" fillId="0" borderId="78">
      <alignment vertical="center"/>
    </xf>
    <xf numFmtId="0" fontId="183" fillId="0" borderId="78">
      <alignment vertical="center"/>
    </xf>
    <xf numFmtId="0" fontId="183" fillId="0" borderId="78">
      <alignment vertical="center"/>
    </xf>
    <xf numFmtId="0" fontId="183" fillId="0" borderId="78">
      <alignment vertical="center"/>
    </xf>
    <xf numFmtId="0" fontId="183" fillId="0" borderId="78">
      <alignment vertical="center"/>
    </xf>
    <xf numFmtId="167" fontId="13" fillId="0" borderId="0" applyFont="0" applyFill="0" applyBorder="0" applyAlignment="0" applyProtection="0"/>
    <xf numFmtId="169" fontId="13" fillId="0" borderId="0" applyFont="0" applyFill="0" applyBorder="0" applyAlignment="0" applyProtection="0"/>
    <xf numFmtId="37" fontId="136" fillId="100" borderId="0" applyNumberFormat="0" applyBorder="0" applyAlignment="0" applyProtection="0"/>
    <xf numFmtId="37" fontId="136" fillId="0" borderId="0"/>
    <xf numFmtId="3" fontId="186" fillId="0" borderId="70" applyProtection="0"/>
    <xf numFmtId="217" fontId="93" fillId="0" borderId="0" applyFont="0" applyFill="0" applyBorder="0" applyAlignment="0" applyProtection="0"/>
    <xf numFmtId="170" fontId="88" fillId="0" borderId="0" applyFont="0" applyFill="0" applyBorder="0" applyAlignment="0" applyProtection="0"/>
    <xf numFmtId="170" fontId="13" fillId="0" borderId="0" applyNumberFormat="0" applyFont="0" applyBorder="0" applyAlignment="0" applyProtection="0"/>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189"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188" fillId="0" borderId="0">
      <alignment vertical="center"/>
    </xf>
    <xf numFmtId="170" fontId="190" fillId="0" borderId="0" applyNumberFormat="0" applyFill="0" applyBorder="0" applyAlignment="0" applyProtection="0"/>
    <xf numFmtId="209" fontId="191" fillId="0" borderId="71">
      <alignment horizontal="left" vertical="top"/>
    </xf>
    <xf numFmtId="209" fontId="192" fillId="99" borderId="71">
      <alignment horizontal="left" vertical="top"/>
    </xf>
    <xf numFmtId="170" fontId="37" fillId="0" borderId="0" applyFont="0" applyFill="0" applyBorder="0" applyAlignment="0" applyProtection="0"/>
    <xf numFmtId="0" fontId="37" fillId="0" borderId="0" applyFont="0" applyFill="0" applyBorder="0" applyAlignment="0" applyProtection="0"/>
    <xf numFmtId="170" fontId="37" fillId="0" borderId="0" applyFont="0" applyFill="0" applyBorder="0" applyAlignment="0" applyProtection="0"/>
    <xf numFmtId="170" fontId="37" fillId="0" borderId="0"/>
    <xf numFmtId="170" fontId="193" fillId="0" borderId="0" applyNumberFormat="0" applyFill="0" applyBorder="0" applyAlignment="0" applyProtection="0">
      <alignment vertical="top"/>
      <protection locked="0"/>
    </xf>
    <xf numFmtId="170" fontId="194" fillId="0" borderId="0"/>
    <xf numFmtId="0" fontId="37" fillId="0" borderId="0"/>
    <xf numFmtId="0" fontId="37" fillId="0" borderId="0"/>
    <xf numFmtId="170" fontId="36" fillId="0" borderId="0" applyFont="0" applyFill="0" applyBorder="0" applyAlignment="0" applyProtection="0"/>
    <xf numFmtId="0" fontId="70" fillId="10" borderId="0" applyNumberFormat="0" applyBorder="0" applyAlignment="0" applyProtection="0">
      <alignment vertical="center"/>
    </xf>
    <xf numFmtId="0" fontId="70" fillId="10" borderId="0" applyNumberFormat="0" applyBorder="0" applyAlignment="0" applyProtection="0">
      <alignment vertical="center"/>
    </xf>
    <xf numFmtId="0" fontId="70" fillId="10" borderId="0" applyNumberFormat="0" applyBorder="0" applyAlignment="0" applyProtection="0">
      <alignment vertical="center"/>
    </xf>
    <xf numFmtId="0" fontId="70" fillId="10" borderId="0" applyNumberFormat="0" applyBorder="0" applyAlignment="0" applyProtection="0">
      <alignment vertical="center"/>
    </xf>
    <xf numFmtId="0" fontId="70" fillId="10" borderId="0" applyNumberFormat="0" applyBorder="0" applyAlignment="0" applyProtection="0">
      <alignment vertical="center"/>
    </xf>
    <xf numFmtId="0" fontId="70" fillId="10" borderId="0" applyNumberFormat="0" applyBorder="0" applyAlignment="0" applyProtection="0">
      <alignment vertical="center"/>
    </xf>
    <xf numFmtId="0" fontId="70" fillId="10" borderId="0" applyNumberFormat="0" applyBorder="0" applyAlignment="0" applyProtection="0">
      <alignment vertical="center"/>
    </xf>
    <xf numFmtId="170" fontId="67" fillId="106" borderId="0" applyNumberFormat="0" applyBorder="0" applyAlignment="0" applyProtection="0">
      <alignment vertical="center"/>
    </xf>
    <xf numFmtId="0" fontId="70" fillId="10" borderId="0" applyNumberFormat="0" applyBorder="0" applyAlignment="0" applyProtection="0">
      <alignment vertical="center"/>
    </xf>
    <xf numFmtId="0" fontId="71" fillId="71" borderId="0" applyNumberFormat="0" applyBorder="0" applyAlignment="0" applyProtection="0">
      <alignment vertical="center"/>
    </xf>
    <xf numFmtId="0" fontId="70" fillId="10" borderId="0" applyNumberFormat="0" applyBorder="0" applyAlignment="0" applyProtection="0">
      <alignment vertical="center"/>
    </xf>
    <xf numFmtId="170" fontId="67" fillId="71" borderId="0" applyNumberFormat="0" applyBorder="0" applyAlignment="0" applyProtection="0">
      <alignment vertical="center"/>
    </xf>
    <xf numFmtId="0" fontId="33" fillId="10" borderId="0" applyNumberFormat="0" applyBorder="0" applyAlignment="0" applyProtection="0">
      <alignment vertical="center"/>
    </xf>
    <xf numFmtId="0" fontId="70" fillId="10" borderId="0" applyNumberFormat="0" applyBorder="0" applyAlignment="0" applyProtection="0">
      <alignment vertical="center"/>
    </xf>
    <xf numFmtId="0" fontId="70" fillId="10" borderId="0" applyNumberFormat="0" applyBorder="0" applyAlignment="0" applyProtection="0">
      <alignment vertical="center"/>
    </xf>
    <xf numFmtId="0" fontId="70" fillId="10" borderId="0" applyNumberFormat="0" applyBorder="0" applyAlignment="0" applyProtection="0">
      <alignment vertical="center"/>
    </xf>
    <xf numFmtId="0" fontId="70" fillId="10" borderId="0" applyNumberFormat="0" applyBorder="0" applyAlignment="0" applyProtection="0">
      <alignment vertical="center"/>
    </xf>
    <xf numFmtId="0" fontId="70" fillId="10" borderId="0" applyNumberFormat="0" applyBorder="0" applyAlignment="0" applyProtection="0">
      <alignment vertical="center"/>
    </xf>
    <xf numFmtId="0" fontId="70" fillId="10" borderId="0" applyNumberFormat="0" applyBorder="0" applyAlignment="0" applyProtection="0">
      <alignment vertical="center"/>
    </xf>
    <xf numFmtId="0" fontId="70" fillId="10"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170" fontId="67" fillId="70" borderId="0" applyNumberFormat="0" applyBorder="0" applyAlignment="0" applyProtection="0">
      <alignment vertical="center"/>
    </xf>
    <xf numFmtId="0" fontId="70" fillId="14" borderId="0" applyNumberFormat="0" applyBorder="0" applyAlignment="0" applyProtection="0">
      <alignment vertical="center"/>
    </xf>
    <xf numFmtId="0" fontId="71" fillId="77" borderId="0" applyNumberFormat="0" applyBorder="0" applyAlignment="0" applyProtection="0">
      <alignment vertical="center"/>
    </xf>
    <xf numFmtId="0" fontId="70" fillId="14" borderId="0" applyNumberFormat="0" applyBorder="0" applyAlignment="0" applyProtection="0">
      <alignment vertical="center"/>
    </xf>
    <xf numFmtId="170" fontId="67" fillId="77" borderId="0" applyNumberFormat="0" applyBorder="0" applyAlignment="0" applyProtection="0">
      <alignment vertical="center"/>
    </xf>
    <xf numFmtId="0" fontId="33"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8" borderId="0" applyNumberFormat="0" applyBorder="0" applyAlignment="0" applyProtection="0">
      <alignment vertical="center"/>
    </xf>
    <xf numFmtId="0" fontId="70" fillId="18" borderId="0" applyNumberFormat="0" applyBorder="0" applyAlignment="0" applyProtection="0">
      <alignment vertical="center"/>
    </xf>
    <xf numFmtId="0" fontId="70" fillId="18" borderId="0" applyNumberFormat="0" applyBorder="0" applyAlignment="0" applyProtection="0">
      <alignment vertical="center"/>
    </xf>
    <xf numFmtId="0" fontId="70" fillId="18" borderId="0" applyNumberFormat="0" applyBorder="0" applyAlignment="0" applyProtection="0">
      <alignment vertical="center"/>
    </xf>
    <xf numFmtId="0" fontId="70" fillId="18" borderId="0" applyNumberFormat="0" applyBorder="0" applyAlignment="0" applyProtection="0">
      <alignment vertical="center"/>
    </xf>
    <xf numFmtId="0" fontId="70" fillId="18" borderId="0" applyNumberFormat="0" applyBorder="0" applyAlignment="0" applyProtection="0">
      <alignment vertical="center"/>
    </xf>
    <xf numFmtId="0" fontId="70" fillId="18" borderId="0" applyNumberFormat="0" applyBorder="0" applyAlignment="0" applyProtection="0">
      <alignment vertical="center"/>
    </xf>
    <xf numFmtId="170" fontId="67" fillId="59" borderId="0" applyNumberFormat="0" applyBorder="0" applyAlignment="0" applyProtection="0">
      <alignment vertical="center"/>
    </xf>
    <xf numFmtId="0" fontId="70" fillId="18" borderId="0" applyNumberFormat="0" applyBorder="0" applyAlignment="0" applyProtection="0">
      <alignment vertical="center"/>
    </xf>
    <xf numFmtId="0" fontId="71" fillId="82" borderId="0" applyNumberFormat="0" applyBorder="0" applyAlignment="0" applyProtection="0">
      <alignment vertical="center"/>
    </xf>
    <xf numFmtId="0" fontId="70" fillId="18" borderId="0" applyNumberFormat="0" applyBorder="0" applyAlignment="0" applyProtection="0">
      <alignment vertical="center"/>
    </xf>
    <xf numFmtId="170" fontId="67" fillId="82" borderId="0" applyNumberFormat="0" applyBorder="0" applyAlignment="0" applyProtection="0">
      <alignment vertical="center"/>
    </xf>
    <xf numFmtId="0" fontId="33" fillId="18" borderId="0" applyNumberFormat="0" applyBorder="0" applyAlignment="0" applyProtection="0">
      <alignment vertical="center"/>
    </xf>
    <xf numFmtId="0" fontId="70" fillId="18" borderId="0" applyNumberFormat="0" applyBorder="0" applyAlignment="0" applyProtection="0">
      <alignment vertical="center"/>
    </xf>
    <xf numFmtId="0" fontId="70" fillId="18" borderId="0" applyNumberFormat="0" applyBorder="0" applyAlignment="0" applyProtection="0">
      <alignment vertical="center"/>
    </xf>
    <xf numFmtId="0" fontId="70" fillId="18" borderId="0" applyNumberFormat="0" applyBorder="0" applyAlignment="0" applyProtection="0">
      <alignment vertical="center"/>
    </xf>
    <xf numFmtId="0" fontId="70" fillId="18" borderId="0" applyNumberFormat="0" applyBorder="0" applyAlignment="0" applyProtection="0">
      <alignment vertical="center"/>
    </xf>
    <xf numFmtId="0" fontId="70" fillId="18" borderId="0" applyNumberFormat="0" applyBorder="0" applyAlignment="0" applyProtection="0">
      <alignment vertical="center"/>
    </xf>
    <xf numFmtId="0" fontId="70" fillId="18" borderId="0" applyNumberFormat="0" applyBorder="0" applyAlignment="0" applyProtection="0">
      <alignment vertical="center"/>
    </xf>
    <xf numFmtId="0" fontId="70" fillId="18" borderId="0" applyNumberFormat="0" applyBorder="0" applyAlignment="0" applyProtection="0">
      <alignment vertical="center"/>
    </xf>
    <xf numFmtId="0" fontId="70" fillId="22" borderId="0" applyNumberFormat="0" applyBorder="0" applyAlignment="0" applyProtection="0">
      <alignment vertical="center"/>
    </xf>
    <xf numFmtId="0" fontId="70" fillId="22" borderId="0" applyNumberFormat="0" applyBorder="0" applyAlignment="0" applyProtection="0">
      <alignment vertical="center"/>
    </xf>
    <xf numFmtId="0" fontId="70" fillId="22" borderId="0" applyNumberFormat="0" applyBorder="0" applyAlignment="0" applyProtection="0">
      <alignment vertical="center"/>
    </xf>
    <xf numFmtId="0" fontId="70" fillId="22" borderId="0" applyNumberFormat="0" applyBorder="0" applyAlignment="0" applyProtection="0">
      <alignment vertical="center"/>
    </xf>
    <xf numFmtId="0" fontId="70" fillId="22" borderId="0" applyNumberFormat="0" applyBorder="0" applyAlignment="0" applyProtection="0">
      <alignment vertical="center"/>
    </xf>
    <xf numFmtId="0" fontId="70" fillId="22" borderId="0" applyNumberFormat="0" applyBorder="0" applyAlignment="0" applyProtection="0">
      <alignment vertical="center"/>
    </xf>
    <xf numFmtId="0" fontId="70" fillId="22" borderId="0" applyNumberFormat="0" applyBorder="0" applyAlignment="0" applyProtection="0">
      <alignment vertical="center"/>
    </xf>
    <xf numFmtId="170" fontId="67" fillId="107" borderId="0" applyNumberFormat="0" applyBorder="0" applyAlignment="0" applyProtection="0">
      <alignment vertical="center"/>
    </xf>
    <xf numFmtId="0" fontId="70" fillId="22" borderId="0" applyNumberFormat="0" applyBorder="0" applyAlignment="0" applyProtection="0">
      <alignment vertical="center"/>
    </xf>
    <xf numFmtId="0" fontId="71" fillId="64" borderId="0" applyNumberFormat="0" applyBorder="0" applyAlignment="0" applyProtection="0">
      <alignment vertical="center"/>
    </xf>
    <xf numFmtId="0" fontId="70" fillId="22" borderId="0" applyNumberFormat="0" applyBorder="0" applyAlignment="0" applyProtection="0">
      <alignment vertical="center"/>
    </xf>
    <xf numFmtId="170" fontId="67" fillId="64" borderId="0" applyNumberFormat="0" applyBorder="0" applyAlignment="0" applyProtection="0">
      <alignment vertical="center"/>
    </xf>
    <xf numFmtId="0" fontId="33" fillId="22" borderId="0" applyNumberFormat="0" applyBorder="0" applyAlignment="0" applyProtection="0">
      <alignment vertical="center"/>
    </xf>
    <xf numFmtId="0" fontId="70" fillId="22" borderId="0" applyNumberFormat="0" applyBorder="0" applyAlignment="0" applyProtection="0">
      <alignment vertical="center"/>
    </xf>
    <xf numFmtId="0" fontId="70" fillId="22" borderId="0" applyNumberFormat="0" applyBorder="0" applyAlignment="0" applyProtection="0">
      <alignment vertical="center"/>
    </xf>
    <xf numFmtId="0" fontId="70" fillId="22" borderId="0" applyNumberFormat="0" applyBorder="0" applyAlignment="0" applyProtection="0">
      <alignment vertical="center"/>
    </xf>
    <xf numFmtId="0" fontId="70" fillId="22" borderId="0" applyNumberFormat="0" applyBorder="0" applyAlignment="0" applyProtection="0">
      <alignment vertical="center"/>
    </xf>
    <xf numFmtId="0" fontId="70" fillId="22" borderId="0" applyNumberFormat="0" applyBorder="0" applyAlignment="0" applyProtection="0">
      <alignment vertical="center"/>
    </xf>
    <xf numFmtId="0" fontId="70" fillId="22" borderId="0" applyNumberFormat="0" applyBorder="0" applyAlignment="0" applyProtection="0">
      <alignment vertical="center"/>
    </xf>
    <xf numFmtId="0" fontId="70" fillId="22" borderId="0" applyNumberFormat="0" applyBorder="0" applyAlignment="0" applyProtection="0">
      <alignment vertical="center"/>
    </xf>
    <xf numFmtId="0" fontId="70" fillId="26" borderId="0" applyNumberFormat="0" applyBorder="0" applyAlignment="0" applyProtection="0">
      <alignment vertical="center"/>
    </xf>
    <xf numFmtId="0" fontId="70" fillId="26" borderId="0" applyNumberFormat="0" applyBorder="0" applyAlignment="0" applyProtection="0">
      <alignment vertical="center"/>
    </xf>
    <xf numFmtId="0" fontId="70" fillId="26" borderId="0" applyNumberFormat="0" applyBorder="0" applyAlignment="0" applyProtection="0">
      <alignment vertical="center"/>
    </xf>
    <xf numFmtId="0" fontId="70" fillId="26" borderId="0" applyNumberFormat="0" applyBorder="0" applyAlignment="0" applyProtection="0">
      <alignment vertical="center"/>
    </xf>
    <xf numFmtId="0" fontId="70" fillId="26" borderId="0" applyNumberFormat="0" applyBorder="0" applyAlignment="0" applyProtection="0">
      <alignment vertical="center"/>
    </xf>
    <xf numFmtId="0" fontId="70" fillId="26" borderId="0" applyNumberFormat="0" applyBorder="0" applyAlignment="0" applyProtection="0">
      <alignment vertical="center"/>
    </xf>
    <xf numFmtId="0" fontId="70" fillId="26" borderId="0" applyNumberFormat="0" applyBorder="0" applyAlignment="0" applyProtection="0">
      <alignment vertical="center"/>
    </xf>
    <xf numFmtId="170" fontId="67" fillId="66" borderId="0" applyNumberFormat="0" applyBorder="0" applyAlignment="0" applyProtection="0">
      <alignment vertical="center"/>
    </xf>
    <xf numFmtId="0" fontId="70" fillId="26" borderId="0" applyNumberFormat="0" applyBorder="0" applyAlignment="0" applyProtection="0">
      <alignment vertical="center"/>
    </xf>
    <xf numFmtId="0" fontId="71" fillId="66" borderId="0" applyNumberFormat="0" applyBorder="0" applyAlignment="0" applyProtection="0">
      <alignment vertical="center"/>
    </xf>
    <xf numFmtId="0" fontId="70" fillId="26" borderId="0" applyNumberFormat="0" applyBorder="0" applyAlignment="0" applyProtection="0">
      <alignment vertical="center"/>
    </xf>
    <xf numFmtId="0" fontId="33" fillId="26" borderId="0" applyNumberFormat="0" applyBorder="0" applyAlignment="0" applyProtection="0">
      <alignment vertical="center"/>
    </xf>
    <xf numFmtId="0" fontId="70" fillId="26" borderId="0" applyNumberFormat="0" applyBorder="0" applyAlignment="0" applyProtection="0">
      <alignment vertical="center"/>
    </xf>
    <xf numFmtId="0" fontId="70" fillId="26" borderId="0" applyNumberFormat="0" applyBorder="0" applyAlignment="0" applyProtection="0">
      <alignment vertical="center"/>
    </xf>
    <xf numFmtId="0" fontId="70" fillId="26" borderId="0" applyNumberFormat="0" applyBorder="0" applyAlignment="0" applyProtection="0">
      <alignment vertical="center"/>
    </xf>
    <xf numFmtId="0" fontId="70" fillId="26" borderId="0" applyNumberFormat="0" applyBorder="0" applyAlignment="0" applyProtection="0">
      <alignment vertical="center"/>
    </xf>
    <xf numFmtId="0" fontId="70" fillId="26" borderId="0" applyNumberFormat="0" applyBorder="0" applyAlignment="0" applyProtection="0">
      <alignment vertical="center"/>
    </xf>
    <xf numFmtId="0" fontId="70" fillId="26" borderId="0" applyNumberFormat="0" applyBorder="0" applyAlignment="0" applyProtection="0">
      <alignment vertical="center"/>
    </xf>
    <xf numFmtId="0" fontId="70" fillId="26" borderId="0" applyNumberFormat="0" applyBorder="0" applyAlignment="0" applyProtection="0">
      <alignment vertical="center"/>
    </xf>
    <xf numFmtId="0" fontId="70" fillId="30" borderId="0" applyNumberFormat="0" applyBorder="0" applyAlignment="0" applyProtection="0">
      <alignment vertical="center"/>
    </xf>
    <xf numFmtId="0" fontId="70" fillId="30" borderId="0" applyNumberFormat="0" applyBorder="0" applyAlignment="0" applyProtection="0">
      <alignment vertical="center"/>
    </xf>
    <xf numFmtId="0" fontId="70" fillId="30" borderId="0" applyNumberFormat="0" applyBorder="0" applyAlignment="0" applyProtection="0">
      <alignment vertical="center"/>
    </xf>
    <xf numFmtId="0" fontId="70" fillId="30" borderId="0" applyNumberFormat="0" applyBorder="0" applyAlignment="0" applyProtection="0">
      <alignment vertical="center"/>
    </xf>
    <xf numFmtId="0" fontId="70" fillId="30" borderId="0" applyNumberFormat="0" applyBorder="0" applyAlignment="0" applyProtection="0">
      <alignment vertical="center"/>
    </xf>
    <xf numFmtId="0" fontId="70" fillId="30" borderId="0" applyNumberFormat="0" applyBorder="0" applyAlignment="0" applyProtection="0">
      <alignment vertical="center"/>
    </xf>
    <xf numFmtId="0" fontId="70" fillId="30" borderId="0" applyNumberFormat="0" applyBorder="0" applyAlignment="0" applyProtection="0">
      <alignment vertical="center"/>
    </xf>
    <xf numFmtId="170" fontId="67" fillId="77" borderId="0" applyNumberFormat="0" applyBorder="0" applyAlignment="0" applyProtection="0">
      <alignment vertical="center"/>
    </xf>
    <xf numFmtId="0" fontId="70" fillId="30" borderId="0" applyNumberFormat="0" applyBorder="0" applyAlignment="0" applyProtection="0">
      <alignment vertical="center"/>
    </xf>
    <xf numFmtId="0" fontId="71" fillId="70" borderId="0" applyNumberFormat="0" applyBorder="0" applyAlignment="0" applyProtection="0">
      <alignment vertical="center"/>
    </xf>
    <xf numFmtId="0" fontId="70" fillId="30" borderId="0" applyNumberFormat="0" applyBorder="0" applyAlignment="0" applyProtection="0">
      <alignment vertical="center"/>
    </xf>
    <xf numFmtId="170" fontId="67" fillId="70" borderId="0" applyNumberFormat="0" applyBorder="0" applyAlignment="0" applyProtection="0">
      <alignment vertical="center"/>
    </xf>
    <xf numFmtId="0" fontId="33" fillId="30" borderId="0" applyNumberFormat="0" applyBorder="0" applyAlignment="0" applyProtection="0">
      <alignment vertical="center"/>
    </xf>
    <xf numFmtId="0" fontId="70" fillId="30" borderId="0" applyNumberFormat="0" applyBorder="0" applyAlignment="0" applyProtection="0">
      <alignment vertical="center"/>
    </xf>
    <xf numFmtId="0" fontId="70" fillId="30" borderId="0" applyNumberFormat="0" applyBorder="0" applyAlignment="0" applyProtection="0">
      <alignment vertical="center"/>
    </xf>
    <xf numFmtId="0" fontId="70" fillId="30" borderId="0" applyNumberFormat="0" applyBorder="0" applyAlignment="0" applyProtection="0">
      <alignment vertical="center"/>
    </xf>
    <xf numFmtId="0" fontId="70" fillId="30" borderId="0" applyNumberFormat="0" applyBorder="0" applyAlignment="0" applyProtection="0">
      <alignment vertical="center"/>
    </xf>
    <xf numFmtId="0" fontId="70" fillId="30" borderId="0" applyNumberFormat="0" applyBorder="0" applyAlignment="0" applyProtection="0">
      <alignment vertical="center"/>
    </xf>
    <xf numFmtId="0" fontId="70" fillId="30" borderId="0" applyNumberFormat="0" applyBorder="0" applyAlignment="0" applyProtection="0">
      <alignment vertical="center"/>
    </xf>
    <xf numFmtId="0" fontId="70" fillId="30" borderId="0" applyNumberFormat="0" applyBorder="0" applyAlignment="0" applyProtection="0">
      <alignment vertical="center"/>
    </xf>
    <xf numFmtId="0" fontId="195" fillId="0" borderId="0" applyNumberFormat="0" applyFill="0" applyBorder="0" applyAlignment="0" applyProtection="0">
      <alignment vertical="center"/>
    </xf>
    <xf numFmtId="0" fontId="195" fillId="0" borderId="0" applyNumberFormat="0" applyFill="0" applyBorder="0" applyAlignment="0" applyProtection="0">
      <alignment vertical="center"/>
    </xf>
    <xf numFmtId="0" fontId="195" fillId="0" borderId="0" applyNumberFormat="0" applyFill="0" applyBorder="0" applyAlignment="0" applyProtection="0">
      <alignment vertical="center"/>
    </xf>
    <xf numFmtId="0" fontId="195" fillId="0" borderId="0" applyNumberFormat="0" applyFill="0" applyBorder="0" applyAlignment="0" applyProtection="0">
      <alignment vertical="center"/>
    </xf>
    <xf numFmtId="0" fontId="195" fillId="0" borderId="0" applyNumberFormat="0" applyFill="0" applyBorder="0" applyAlignment="0" applyProtection="0">
      <alignment vertical="center"/>
    </xf>
    <xf numFmtId="0" fontId="195" fillId="0" borderId="0" applyNumberFormat="0" applyFill="0" applyBorder="0" applyAlignment="0" applyProtection="0">
      <alignment vertical="center"/>
    </xf>
    <xf numFmtId="0" fontId="195" fillId="0" borderId="0" applyNumberFormat="0" applyFill="0" applyBorder="0" applyAlignment="0" applyProtection="0">
      <alignment vertical="center"/>
    </xf>
    <xf numFmtId="170" fontId="187" fillId="0" borderId="0" applyNumberFormat="0" applyFill="0" applyBorder="0" applyAlignment="0" applyProtection="0">
      <alignment vertical="center"/>
    </xf>
    <xf numFmtId="0" fontId="195" fillId="0" borderId="0" applyNumberFormat="0" applyFill="0" applyBorder="0" applyAlignment="0" applyProtection="0">
      <alignment vertical="center"/>
    </xf>
    <xf numFmtId="0" fontId="196" fillId="0" borderId="0" applyNumberFormat="0" applyFill="0" applyBorder="0" applyAlignment="0" applyProtection="0">
      <alignment vertical="center"/>
    </xf>
    <xf numFmtId="0" fontId="195"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195" fillId="0" borderId="0" applyNumberFormat="0" applyFill="0" applyBorder="0" applyAlignment="0" applyProtection="0">
      <alignment vertical="center"/>
    </xf>
    <xf numFmtId="0" fontId="195" fillId="0" borderId="0" applyNumberFormat="0" applyFill="0" applyBorder="0" applyAlignment="0" applyProtection="0">
      <alignment vertical="center"/>
    </xf>
    <xf numFmtId="0" fontId="195" fillId="0" borderId="0" applyNumberFormat="0" applyFill="0" applyBorder="0" applyAlignment="0" applyProtection="0">
      <alignment vertical="center"/>
    </xf>
    <xf numFmtId="0" fontId="195" fillId="0" borderId="0" applyNumberFormat="0" applyFill="0" applyBorder="0" applyAlignment="0" applyProtection="0">
      <alignment vertical="center"/>
    </xf>
    <xf numFmtId="0" fontId="195" fillId="0" borderId="0" applyNumberFormat="0" applyFill="0" applyBorder="0" applyAlignment="0" applyProtection="0">
      <alignment vertical="center"/>
    </xf>
    <xf numFmtId="0" fontId="195" fillId="0" borderId="0" applyNumberFormat="0" applyFill="0" applyBorder="0" applyAlignment="0" applyProtection="0">
      <alignment vertical="center"/>
    </xf>
    <xf numFmtId="0" fontId="195" fillId="0" borderId="0" applyNumberFormat="0" applyFill="0" applyBorder="0" applyAlignment="0" applyProtection="0">
      <alignment vertical="center"/>
    </xf>
    <xf numFmtId="0" fontId="197" fillId="7" borderId="28" applyNumberFormat="0" applyAlignment="0" applyProtection="0">
      <alignment vertical="center"/>
    </xf>
    <xf numFmtId="0" fontId="197" fillId="7" borderId="28" applyNumberFormat="0" applyAlignment="0" applyProtection="0">
      <alignment vertical="center"/>
    </xf>
    <xf numFmtId="0" fontId="197" fillId="7" borderId="28" applyNumberFormat="0" applyAlignment="0" applyProtection="0">
      <alignment vertical="center"/>
    </xf>
    <xf numFmtId="0" fontId="197" fillId="7" borderId="28" applyNumberFormat="0" applyAlignment="0" applyProtection="0">
      <alignment vertical="center"/>
    </xf>
    <xf numFmtId="0" fontId="197" fillId="7" borderId="28" applyNumberFormat="0" applyAlignment="0" applyProtection="0">
      <alignment vertical="center"/>
    </xf>
    <xf numFmtId="0" fontId="197" fillId="7" borderId="28" applyNumberFormat="0" applyAlignment="0" applyProtection="0">
      <alignment vertical="center"/>
    </xf>
    <xf numFmtId="0" fontId="197" fillId="7" borderId="28" applyNumberFormat="0" applyAlignment="0" applyProtection="0">
      <alignment vertical="center"/>
    </xf>
    <xf numFmtId="170" fontId="198" fillId="108" borderId="61" applyNumberFormat="0" applyAlignment="0" applyProtection="0">
      <alignment vertical="center"/>
    </xf>
    <xf numFmtId="170" fontId="198" fillId="108" borderId="61" applyNumberFormat="0" applyAlignment="0" applyProtection="0">
      <alignment vertical="center"/>
    </xf>
    <xf numFmtId="170" fontId="198" fillId="108" borderId="61" applyNumberFormat="0" applyAlignment="0" applyProtection="0">
      <alignment vertical="center"/>
    </xf>
    <xf numFmtId="170" fontId="198" fillId="108" borderId="61" applyNumberFormat="0" applyAlignment="0" applyProtection="0">
      <alignment vertical="center"/>
    </xf>
    <xf numFmtId="170" fontId="198" fillId="108" borderId="61" applyNumberFormat="0" applyAlignment="0" applyProtection="0">
      <alignment vertical="center"/>
    </xf>
    <xf numFmtId="170" fontId="198" fillId="108" borderId="61" applyNumberFormat="0" applyAlignment="0" applyProtection="0">
      <alignment vertical="center"/>
    </xf>
    <xf numFmtId="170" fontId="198" fillId="108" borderId="61" applyNumberFormat="0" applyAlignment="0" applyProtection="0">
      <alignment vertical="center"/>
    </xf>
    <xf numFmtId="170" fontId="198" fillId="108" borderId="61" applyNumberFormat="0" applyAlignment="0" applyProtection="0">
      <alignment vertical="center"/>
    </xf>
    <xf numFmtId="170" fontId="198" fillId="108" borderId="61" applyNumberFormat="0" applyAlignment="0" applyProtection="0">
      <alignment vertical="center"/>
    </xf>
    <xf numFmtId="0" fontId="199" fillId="90" borderId="61" applyNumberFormat="0" applyAlignment="0" applyProtection="0">
      <alignment vertical="center"/>
    </xf>
    <xf numFmtId="170" fontId="198" fillId="108" borderId="61" applyNumberFormat="0" applyAlignment="0" applyProtection="0">
      <alignment vertical="center"/>
    </xf>
    <xf numFmtId="170" fontId="198" fillId="108" borderId="61" applyNumberFormat="0" applyAlignment="0" applyProtection="0">
      <alignment vertical="center"/>
    </xf>
    <xf numFmtId="170" fontId="198" fillId="108" borderId="61" applyNumberFormat="0" applyAlignment="0" applyProtection="0">
      <alignment vertical="center"/>
    </xf>
    <xf numFmtId="170" fontId="198" fillId="108" borderId="61" applyNumberFormat="0" applyAlignment="0" applyProtection="0">
      <alignment vertical="center"/>
    </xf>
    <xf numFmtId="170" fontId="198" fillId="108" borderId="61" applyNumberFormat="0" applyAlignment="0" applyProtection="0">
      <alignment vertical="center"/>
    </xf>
    <xf numFmtId="170" fontId="198" fillId="108" borderId="61" applyNumberFormat="0" applyAlignment="0" applyProtection="0">
      <alignment vertical="center"/>
    </xf>
    <xf numFmtId="170" fontId="198" fillId="108" borderId="61" applyNumberFormat="0" applyAlignment="0" applyProtection="0">
      <alignment vertical="center"/>
    </xf>
    <xf numFmtId="170" fontId="198" fillId="108" borderId="61" applyNumberFormat="0" applyAlignment="0" applyProtection="0">
      <alignment vertical="center"/>
    </xf>
    <xf numFmtId="170" fontId="198" fillId="108" borderId="61" applyNumberFormat="0" applyAlignment="0" applyProtection="0">
      <alignment vertical="center"/>
    </xf>
    <xf numFmtId="170" fontId="198" fillId="108" borderId="61" applyNumberFormat="0" applyAlignment="0" applyProtection="0">
      <alignment vertical="center"/>
    </xf>
    <xf numFmtId="170" fontId="198" fillId="108" borderId="61" applyNumberFormat="0" applyAlignment="0" applyProtection="0">
      <alignment vertical="center"/>
    </xf>
    <xf numFmtId="170" fontId="198" fillId="108" borderId="61" applyNumberFormat="0" applyAlignment="0" applyProtection="0">
      <alignment vertical="center"/>
    </xf>
    <xf numFmtId="170" fontId="198" fillId="108" borderId="61" applyNumberFormat="0" applyAlignment="0" applyProtection="0">
      <alignment vertical="center"/>
    </xf>
    <xf numFmtId="170" fontId="198" fillId="108" borderId="61" applyNumberFormat="0" applyAlignment="0" applyProtection="0">
      <alignment vertical="center"/>
    </xf>
    <xf numFmtId="170" fontId="198" fillId="108" borderId="61" applyNumberFormat="0" applyAlignment="0" applyProtection="0">
      <alignment vertical="center"/>
    </xf>
    <xf numFmtId="170" fontId="198" fillId="108" borderId="61" applyNumberFormat="0" applyAlignment="0" applyProtection="0">
      <alignment vertical="center"/>
    </xf>
    <xf numFmtId="170" fontId="198" fillId="108" borderId="61" applyNumberFormat="0" applyAlignment="0" applyProtection="0">
      <alignment vertical="center"/>
    </xf>
    <xf numFmtId="170" fontId="198" fillId="108" borderId="61" applyNumberFormat="0" applyAlignment="0" applyProtection="0">
      <alignment vertical="center"/>
    </xf>
    <xf numFmtId="0" fontId="197" fillId="7" borderId="28" applyNumberFormat="0" applyAlignment="0" applyProtection="0">
      <alignment vertical="center"/>
    </xf>
    <xf numFmtId="0" fontId="199" fillId="90" borderId="61" applyNumberFormat="0" applyAlignment="0" applyProtection="0">
      <alignment vertical="center"/>
    </xf>
    <xf numFmtId="0" fontId="197" fillId="7" borderId="28" applyNumberFormat="0" applyAlignment="0" applyProtection="0">
      <alignment vertical="center"/>
    </xf>
    <xf numFmtId="170" fontId="115" fillId="90" borderId="61" applyNumberFormat="0" applyAlignment="0" applyProtection="0">
      <alignment vertical="center"/>
    </xf>
    <xf numFmtId="170" fontId="115" fillId="90" borderId="61" applyNumberFormat="0" applyAlignment="0" applyProtection="0">
      <alignment vertical="center"/>
    </xf>
    <xf numFmtId="170" fontId="115" fillId="90" borderId="61" applyNumberFormat="0" applyAlignment="0" applyProtection="0">
      <alignment vertical="center"/>
    </xf>
    <xf numFmtId="170" fontId="115" fillId="90" borderId="61" applyNumberFormat="0" applyAlignment="0" applyProtection="0">
      <alignment vertical="center"/>
    </xf>
    <xf numFmtId="170" fontId="115" fillId="90" borderId="61" applyNumberFormat="0" applyAlignment="0" applyProtection="0">
      <alignment vertical="center"/>
    </xf>
    <xf numFmtId="170" fontId="115" fillId="90" borderId="61" applyNumberFormat="0" applyAlignment="0" applyProtection="0">
      <alignment vertical="center"/>
    </xf>
    <xf numFmtId="170" fontId="115" fillId="90" borderId="61" applyNumberFormat="0" applyAlignment="0" applyProtection="0">
      <alignment vertical="center"/>
    </xf>
    <xf numFmtId="170" fontId="115" fillId="90" borderId="61" applyNumberFormat="0" applyAlignment="0" applyProtection="0">
      <alignment vertical="center"/>
    </xf>
    <xf numFmtId="170" fontId="115" fillId="90" borderId="61" applyNumberFormat="0" applyAlignment="0" applyProtection="0">
      <alignment vertical="center"/>
    </xf>
    <xf numFmtId="170" fontId="115" fillId="90" borderId="61" applyNumberFormat="0" applyAlignment="0" applyProtection="0">
      <alignment vertical="center"/>
    </xf>
    <xf numFmtId="170" fontId="115" fillId="90" borderId="61" applyNumberFormat="0" applyAlignment="0" applyProtection="0">
      <alignment vertical="center"/>
    </xf>
    <xf numFmtId="170" fontId="115" fillId="90" borderId="61" applyNumberFormat="0" applyAlignment="0" applyProtection="0">
      <alignment vertical="center"/>
    </xf>
    <xf numFmtId="170" fontId="115" fillId="90" borderId="61" applyNumberFormat="0" applyAlignment="0" applyProtection="0">
      <alignment vertical="center"/>
    </xf>
    <xf numFmtId="170" fontId="115" fillId="90" borderId="61" applyNumberFormat="0" applyAlignment="0" applyProtection="0">
      <alignment vertical="center"/>
    </xf>
    <xf numFmtId="170" fontId="115" fillId="90" borderId="61" applyNumberFormat="0" applyAlignment="0" applyProtection="0">
      <alignment vertical="center"/>
    </xf>
    <xf numFmtId="170" fontId="115" fillId="90" borderId="61" applyNumberFormat="0" applyAlignment="0" applyProtection="0">
      <alignment vertical="center"/>
    </xf>
    <xf numFmtId="170" fontId="115" fillId="90" borderId="61" applyNumberFormat="0" applyAlignment="0" applyProtection="0">
      <alignment vertical="center"/>
    </xf>
    <xf numFmtId="170" fontId="115" fillId="90" borderId="61" applyNumberFormat="0" applyAlignment="0" applyProtection="0">
      <alignment vertical="center"/>
    </xf>
    <xf numFmtId="170" fontId="115" fillId="90" borderId="61" applyNumberFormat="0" applyAlignment="0" applyProtection="0">
      <alignment vertical="center"/>
    </xf>
    <xf numFmtId="170" fontId="115" fillId="90" borderId="61" applyNumberFormat="0" applyAlignment="0" applyProtection="0">
      <alignment vertical="center"/>
    </xf>
    <xf numFmtId="170" fontId="115" fillId="90" borderId="61" applyNumberFormat="0" applyAlignment="0" applyProtection="0">
      <alignment vertical="center"/>
    </xf>
    <xf numFmtId="170" fontId="115" fillId="90" borderId="61" applyNumberFormat="0" applyAlignment="0" applyProtection="0">
      <alignment vertical="center"/>
    </xf>
    <xf numFmtId="170" fontId="115" fillId="90" borderId="61" applyNumberFormat="0" applyAlignment="0" applyProtection="0">
      <alignment vertical="center"/>
    </xf>
    <xf numFmtId="170" fontId="115" fillId="90" borderId="61" applyNumberFormat="0" applyAlignment="0" applyProtection="0">
      <alignment vertical="center"/>
    </xf>
    <xf numFmtId="170" fontId="115" fillId="90" borderId="61" applyNumberFormat="0" applyAlignment="0" applyProtection="0">
      <alignment vertical="center"/>
    </xf>
    <xf numFmtId="170" fontId="115" fillId="90" borderId="61" applyNumberFormat="0" applyAlignment="0" applyProtection="0">
      <alignment vertical="center"/>
    </xf>
    <xf numFmtId="170" fontId="115" fillId="90" borderId="61" applyNumberFormat="0" applyAlignment="0" applyProtection="0">
      <alignment vertical="center"/>
    </xf>
    <xf numFmtId="0" fontId="27" fillId="7" borderId="28" applyNumberFormat="0" applyAlignment="0" applyProtection="0">
      <alignment vertical="center"/>
    </xf>
    <xf numFmtId="0" fontId="197" fillId="7" borderId="28" applyNumberFormat="0" applyAlignment="0" applyProtection="0">
      <alignment vertical="center"/>
    </xf>
    <xf numFmtId="0" fontId="197" fillId="7" borderId="28" applyNumberFormat="0" applyAlignment="0" applyProtection="0">
      <alignment vertical="center"/>
    </xf>
    <xf numFmtId="0" fontId="197" fillId="7" borderId="28" applyNumberFormat="0" applyAlignment="0" applyProtection="0">
      <alignment vertical="center"/>
    </xf>
    <xf numFmtId="0" fontId="197" fillId="7" borderId="28" applyNumberFormat="0" applyAlignment="0" applyProtection="0">
      <alignment vertical="center"/>
    </xf>
    <xf numFmtId="0" fontId="197" fillId="7" borderId="28" applyNumberFormat="0" applyAlignment="0" applyProtection="0">
      <alignment vertical="center"/>
    </xf>
    <xf numFmtId="0" fontId="197" fillId="7" borderId="28" applyNumberFormat="0" applyAlignment="0" applyProtection="0">
      <alignment vertical="center"/>
    </xf>
    <xf numFmtId="0" fontId="197" fillId="7" borderId="28" applyNumberFormat="0" applyAlignment="0" applyProtection="0">
      <alignment vertical="center"/>
    </xf>
    <xf numFmtId="170" fontId="37" fillId="0" borderId="0"/>
    <xf numFmtId="2" fontId="200" fillId="0" borderId="0" applyFont="0" applyFill="0" applyBorder="0" applyAlignment="0" applyProtection="0"/>
    <xf numFmtId="170" fontId="37" fillId="0" borderId="0">
      <protection locked="0"/>
    </xf>
    <xf numFmtId="2" fontId="200" fillId="0" borderId="0" applyFont="0" applyFill="0" applyBorder="0" applyAlignment="0" applyProtection="0"/>
    <xf numFmtId="0" fontId="37" fillId="0" borderId="0">
      <protection locked="0"/>
    </xf>
    <xf numFmtId="170" fontId="201" fillId="0" borderId="0" applyNumberFormat="0" applyFill="0" applyBorder="0" applyAlignment="0" applyProtection="0"/>
    <xf numFmtId="170" fontId="202" fillId="0" borderId="0">
      <protection locked="0"/>
    </xf>
    <xf numFmtId="0" fontId="201" fillId="0" borderId="0" applyNumberFormat="0" applyFill="0" applyBorder="0" applyAlignment="0" applyProtection="0"/>
    <xf numFmtId="0" fontId="202" fillId="0" borderId="0">
      <protection locked="0"/>
    </xf>
    <xf numFmtId="170" fontId="203" fillId="0" borderId="0" applyNumberFormat="0" applyFill="0" applyBorder="0" applyAlignment="0" applyProtection="0"/>
    <xf numFmtId="170" fontId="202" fillId="0" borderId="0">
      <protection locked="0"/>
    </xf>
    <xf numFmtId="0" fontId="203" fillId="0" borderId="0" applyNumberFormat="0" applyFill="0" applyBorder="0" applyAlignment="0" applyProtection="0"/>
    <xf numFmtId="0" fontId="202" fillId="0" borderId="0">
      <protection locked="0"/>
    </xf>
    <xf numFmtId="198" fontId="204" fillId="0" borderId="0"/>
    <xf numFmtId="198" fontId="204" fillId="0" borderId="0"/>
    <xf numFmtId="198" fontId="204" fillId="0" borderId="0"/>
    <xf numFmtId="198" fontId="204" fillId="0" borderId="0"/>
    <xf numFmtId="198" fontId="204" fillId="0" borderId="0"/>
    <xf numFmtId="198" fontId="204" fillId="0" borderId="0"/>
    <xf numFmtId="198" fontId="204" fillId="0" borderId="0"/>
    <xf numFmtId="198" fontId="204" fillId="0" borderId="0"/>
    <xf numFmtId="198" fontId="204" fillId="0" borderId="0"/>
    <xf numFmtId="198" fontId="204" fillId="0" borderId="0"/>
    <xf numFmtId="198" fontId="204" fillId="0" borderId="0"/>
    <xf numFmtId="170" fontId="36" fillId="0" borderId="0" applyFont="0" applyFill="0" applyBorder="0" applyAlignment="0" applyProtection="0"/>
    <xf numFmtId="10" fontId="205" fillId="0" borderId="0" applyFont="0" applyFill="0" applyBorder="0" applyAlignment="0" applyProtection="0"/>
    <xf numFmtId="170" fontId="36" fillId="0" borderId="0" applyFont="0" applyFill="0" applyBorder="0" applyAlignment="0" applyProtection="0"/>
    <xf numFmtId="0" fontId="206" fillId="4" borderId="0" applyNumberFormat="0" applyBorder="0" applyAlignment="0" applyProtection="0">
      <alignment vertical="center"/>
    </xf>
    <xf numFmtId="0" fontId="206" fillId="4" borderId="0" applyNumberFormat="0" applyBorder="0" applyAlignment="0" applyProtection="0">
      <alignment vertical="center"/>
    </xf>
    <xf numFmtId="0" fontId="206" fillId="4" borderId="0" applyNumberFormat="0" applyBorder="0" applyAlignment="0" applyProtection="0">
      <alignment vertical="center"/>
    </xf>
    <xf numFmtId="0" fontId="206" fillId="4" borderId="0" applyNumberFormat="0" applyBorder="0" applyAlignment="0" applyProtection="0">
      <alignment vertical="center"/>
    </xf>
    <xf numFmtId="0" fontId="206" fillId="4" borderId="0" applyNumberFormat="0" applyBorder="0" applyAlignment="0" applyProtection="0">
      <alignment vertical="center"/>
    </xf>
    <xf numFmtId="0" fontId="206" fillId="4" borderId="0" applyNumberFormat="0" applyBorder="0" applyAlignment="0" applyProtection="0">
      <alignment vertical="center"/>
    </xf>
    <xf numFmtId="0" fontId="206" fillId="4" borderId="0" applyNumberFormat="0" applyBorder="0" applyAlignment="0" applyProtection="0">
      <alignment vertical="center"/>
    </xf>
    <xf numFmtId="170" fontId="98" fillId="47" borderId="0" applyNumberFormat="0" applyBorder="0" applyAlignment="0" applyProtection="0">
      <alignment vertical="center"/>
    </xf>
    <xf numFmtId="0" fontId="206" fillId="4" borderId="0" applyNumberFormat="0" applyBorder="0" applyAlignment="0" applyProtection="0">
      <alignment vertical="center"/>
    </xf>
    <xf numFmtId="0" fontId="207" fillId="43" borderId="0" applyNumberFormat="0" applyBorder="0" applyAlignment="0" applyProtection="0">
      <alignment vertical="center"/>
    </xf>
    <xf numFmtId="0" fontId="206" fillId="4" borderId="0" applyNumberFormat="0" applyBorder="0" applyAlignment="0" applyProtection="0">
      <alignment vertical="center"/>
    </xf>
    <xf numFmtId="170" fontId="98" fillId="43" borderId="0" applyNumberFormat="0" applyBorder="0" applyAlignment="0" applyProtection="0">
      <alignment vertical="center"/>
    </xf>
    <xf numFmtId="0" fontId="23" fillId="4" borderId="0" applyNumberFormat="0" applyBorder="0" applyAlignment="0" applyProtection="0">
      <alignment vertical="center"/>
    </xf>
    <xf numFmtId="0" fontId="206" fillId="4" borderId="0" applyNumberFormat="0" applyBorder="0" applyAlignment="0" applyProtection="0">
      <alignment vertical="center"/>
    </xf>
    <xf numFmtId="0" fontId="206" fillId="4" borderId="0" applyNumberFormat="0" applyBorder="0" applyAlignment="0" applyProtection="0">
      <alignment vertical="center"/>
    </xf>
    <xf numFmtId="0" fontId="206" fillId="4" borderId="0" applyNumberFormat="0" applyBorder="0" applyAlignment="0" applyProtection="0">
      <alignment vertical="center"/>
    </xf>
    <xf numFmtId="0" fontId="206" fillId="4" borderId="0" applyNumberFormat="0" applyBorder="0" applyAlignment="0" applyProtection="0">
      <alignment vertical="center"/>
    </xf>
    <xf numFmtId="0" fontId="206" fillId="4" borderId="0" applyNumberFormat="0" applyBorder="0" applyAlignment="0" applyProtection="0">
      <alignment vertical="center"/>
    </xf>
    <xf numFmtId="0" fontId="206" fillId="4" borderId="0" applyNumberFormat="0" applyBorder="0" applyAlignment="0" applyProtection="0">
      <alignment vertical="center"/>
    </xf>
    <xf numFmtId="0" fontId="206" fillId="4" borderId="0" applyNumberFormat="0" applyBorder="0" applyAlignment="0" applyProtection="0">
      <alignment vertical="center"/>
    </xf>
    <xf numFmtId="170" fontId="200" fillId="0" borderId="0" applyFont="0" applyFill="0" applyBorder="0" applyAlignment="0" applyProtection="0"/>
    <xf numFmtId="170" fontId="124" fillId="0" borderId="0">
      <protection locked="0"/>
    </xf>
    <xf numFmtId="0" fontId="200" fillId="0" borderId="0" applyFont="0" applyFill="0" applyBorder="0" applyAlignment="0" applyProtection="0"/>
    <xf numFmtId="0" fontId="124" fillId="0" borderId="0">
      <protection locked="0"/>
    </xf>
    <xf numFmtId="0" fontId="208" fillId="0" borderId="3">
      <alignment horizontal="right" vertical="center"/>
    </xf>
    <xf numFmtId="0" fontId="208" fillId="0" borderId="3">
      <alignment horizontal="right" vertical="center"/>
    </xf>
    <xf numFmtId="170" fontId="200" fillId="0" borderId="0" applyFont="0" applyFill="0" applyBorder="0" applyAlignment="0" applyProtection="0"/>
    <xf numFmtId="170" fontId="124" fillId="0" borderId="0">
      <protection locked="0"/>
    </xf>
    <xf numFmtId="0" fontId="200" fillId="0" borderId="0" applyFont="0" applyFill="0" applyBorder="0" applyAlignment="0" applyProtection="0"/>
    <xf numFmtId="0" fontId="124" fillId="0" borderId="0">
      <protection locked="0"/>
    </xf>
    <xf numFmtId="0" fontId="49" fillId="0" borderId="0" applyNumberFormat="0" applyFill="0" applyBorder="0" applyAlignment="0" applyProtection="0">
      <alignment vertical="top"/>
      <protection locked="0"/>
    </xf>
    <xf numFmtId="17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20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40" fontId="210" fillId="0" borderId="0" applyFont="0" applyFill="0" applyBorder="0" applyAlignment="0" applyProtection="0"/>
    <xf numFmtId="38" fontId="210"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61" fillId="9" borderId="32" applyNumberFormat="0" applyFont="0" applyAlignment="0" applyProtection="0">
      <alignment vertical="center"/>
    </xf>
    <xf numFmtId="0" fontId="61" fillId="9" borderId="32" applyNumberFormat="0" applyFont="0" applyAlignment="0" applyProtection="0">
      <alignment vertical="center"/>
    </xf>
    <xf numFmtId="0" fontId="61" fillId="9" borderId="32" applyNumberFormat="0" applyFont="0" applyAlignment="0" applyProtection="0">
      <alignment vertical="center"/>
    </xf>
    <xf numFmtId="0" fontId="61" fillId="9" borderId="32" applyNumberFormat="0" applyFont="0" applyAlignment="0" applyProtection="0">
      <alignment vertical="center"/>
    </xf>
    <xf numFmtId="0" fontId="61" fillId="9" borderId="32" applyNumberFormat="0" applyFont="0" applyAlignment="0" applyProtection="0">
      <alignment vertical="center"/>
    </xf>
    <xf numFmtId="0" fontId="61"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170" fontId="1" fillId="54" borderId="73" applyNumberFormat="0" applyFont="0" applyAlignment="0" applyProtection="0">
      <alignment vertical="center"/>
    </xf>
    <xf numFmtId="170" fontId="1" fillId="54" borderId="73" applyNumberFormat="0" applyFont="0" applyAlignment="0" applyProtection="0">
      <alignment vertical="center"/>
    </xf>
    <xf numFmtId="170" fontId="1" fillId="54" borderId="73" applyNumberFormat="0" applyFont="0" applyAlignment="0" applyProtection="0">
      <alignment vertical="center"/>
    </xf>
    <xf numFmtId="170" fontId="1" fillId="54" borderId="73" applyNumberFormat="0" applyFont="0" applyAlignment="0" applyProtection="0">
      <alignment vertical="center"/>
    </xf>
    <xf numFmtId="170" fontId="1" fillId="54" borderId="73" applyNumberFormat="0" applyFont="0" applyAlignment="0" applyProtection="0">
      <alignment vertical="center"/>
    </xf>
    <xf numFmtId="170" fontId="1" fillId="54" borderId="73" applyNumberFormat="0" applyFont="0" applyAlignment="0" applyProtection="0">
      <alignment vertical="center"/>
    </xf>
    <xf numFmtId="170" fontId="1" fillId="54" borderId="73" applyNumberFormat="0" applyFont="0" applyAlignment="0" applyProtection="0">
      <alignment vertical="center"/>
    </xf>
    <xf numFmtId="170" fontId="1" fillId="54" borderId="73" applyNumberFormat="0" applyFont="0" applyAlignment="0" applyProtection="0">
      <alignment vertical="center"/>
    </xf>
    <xf numFmtId="0" fontId="45" fillId="54" borderId="73"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170" fontId="1" fillId="54" borderId="73"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61"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170" fontId="1" fillId="54" borderId="73" applyNumberFormat="0" applyFont="0" applyAlignment="0" applyProtection="0">
      <alignment vertical="center"/>
    </xf>
    <xf numFmtId="170" fontId="1" fillId="54" borderId="73" applyNumberFormat="0" applyFont="0" applyAlignment="0" applyProtection="0">
      <alignment vertical="center"/>
    </xf>
    <xf numFmtId="0" fontId="17" fillId="9" borderId="32" applyNumberFormat="0" applyFont="0" applyAlignment="0" applyProtection="0">
      <alignment vertical="center"/>
    </xf>
    <xf numFmtId="170" fontId="1" fillId="54" borderId="73" applyNumberFormat="0" applyFont="0" applyAlignment="0" applyProtection="0">
      <alignment vertical="center"/>
    </xf>
    <xf numFmtId="170" fontId="1" fillId="54" borderId="73" applyNumberFormat="0" applyFont="0" applyAlignment="0" applyProtection="0">
      <alignment vertical="center"/>
    </xf>
    <xf numFmtId="170" fontId="1" fillId="54" borderId="73" applyNumberFormat="0" applyFont="0" applyAlignment="0" applyProtection="0">
      <alignment vertical="center"/>
    </xf>
    <xf numFmtId="170" fontId="1" fillId="54" borderId="73" applyNumberFormat="0" applyFont="0" applyAlignment="0" applyProtection="0">
      <alignment vertical="center"/>
    </xf>
    <xf numFmtId="170" fontId="1" fillId="54" borderId="73" applyNumberFormat="0" applyFont="0" applyAlignment="0" applyProtection="0">
      <alignment vertical="center"/>
    </xf>
    <xf numFmtId="170" fontId="1" fillId="54" borderId="73" applyNumberFormat="0" applyFont="0" applyAlignment="0" applyProtection="0">
      <alignment vertical="center"/>
    </xf>
    <xf numFmtId="170" fontId="1" fillId="54" borderId="73" applyNumberFormat="0" applyFont="0" applyAlignment="0" applyProtection="0">
      <alignment vertical="center"/>
    </xf>
    <xf numFmtId="170" fontId="1" fillId="54" borderId="73" applyNumberFormat="0" applyFont="0" applyAlignment="0" applyProtection="0">
      <alignment vertical="center"/>
    </xf>
    <xf numFmtId="170" fontId="1" fillId="54" borderId="73" applyNumberFormat="0" applyFont="0" applyAlignment="0" applyProtection="0">
      <alignment vertical="center"/>
    </xf>
    <xf numFmtId="170" fontId="1" fillId="54" borderId="73" applyNumberFormat="0" applyFont="0" applyAlignment="0" applyProtection="0">
      <alignment vertical="center"/>
    </xf>
    <xf numFmtId="170" fontId="1" fillId="54" borderId="73" applyNumberFormat="0" applyFont="0" applyAlignment="0" applyProtection="0">
      <alignment vertical="center"/>
    </xf>
    <xf numFmtId="170" fontId="1" fillId="54" borderId="73" applyNumberFormat="0" applyFont="0" applyAlignment="0" applyProtection="0">
      <alignment vertical="center"/>
    </xf>
    <xf numFmtId="170" fontId="1" fillId="54" borderId="73" applyNumberFormat="0" applyFont="0" applyAlignment="0" applyProtection="0">
      <alignment vertical="center"/>
    </xf>
    <xf numFmtId="170" fontId="1" fillId="54" borderId="73"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61"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61" fillId="9" borderId="32" applyNumberFormat="0" applyFont="0" applyAlignment="0" applyProtection="0">
      <alignment vertical="center"/>
    </xf>
    <xf numFmtId="0" fontId="61" fillId="9" borderId="32" applyNumberFormat="0" applyFont="0" applyAlignment="0" applyProtection="0">
      <alignment vertical="center"/>
    </xf>
    <xf numFmtId="0" fontId="61" fillId="9" borderId="32" applyNumberFormat="0" applyFont="0" applyAlignment="0" applyProtection="0">
      <alignment vertical="center"/>
    </xf>
    <xf numFmtId="0" fontId="61" fillId="9" borderId="32" applyNumberFormat="0" applyFont="0" applyAlignment="0" applyProtection="0">
      <alignment vertical="center"/>
    </xf>
    <xf numFmtId="0" fontId="61" fillId="9" borderId="32" applyNumberFormat="0" applyFont="0" applyAlignment="0" applyProtection="0">
      <alignment vertical="center"/>
    </xf>
    <xf numFmtId="0" fontId="61"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170" fontId="61"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61" fillId="9" borderId="32" applyNumberFormat="0" applyFont="0" applyAlignment="0" applyProtection="0">
      <alignment vertical="center"/>
    </xf>
    <xf numFmtId="0" fontId="17" fillId="9" borderId="32" applyNumberFormat="0" applyFont="0" applyAlignment="0" applyProtection="0">
      <alignment vertical="center"/>
    </xf>
    <xf numFmtId="170" fontId="61"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61" fillId="9" borderId="32" applyNumberFormat="0" applyFont="0" applyAlignment="0" applyProtection="0">
      <alignment vertical="center"/>
    </xf>
    <xf numFmtId="0" fontId="17" fillId="9" borderId="32" applyNumberFormat="0" applyFont="0" applyAlignment="0" applyProtection="0">
      <alignment vertical="center"/>
    </xf>
    <xf numFmtId="170" fontId="61" fillId="9" borderId="32" applyNumberFormat="0" applyFont="0" applyAlignment="0" applyProtection="0">
      <alignment vertical="center"/>
    </xf>
    <xf numFmtId="0" fontId="17" fillId="9" borderId="32" applyNumberFormat="0" applyFont="0" applyAlignment="0" applyProtection="0">
      <alignment vertical="center"/>
    </xf>
    <xf numFmtId="0" fontId="61"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170" fontId="61" fillId="9" borderId="32" applyNumberFormat="0" applyFont="0" applyAlignment="0" applyProtection="0">
      <alignment vertical="center"/>
    </xf>
    <xf numFmtId="0" fontId="17" fillId="9" borderId="32" applyNumberFormat="0" applyFont="0" applyAlignment="0" applyProtection="0">
      <alignment vertical="center"/>
    </xf>
    <xf numFmtId="0" fontId="61" fillId="9" borderId="32" applyNumberFormat="0" applyFont="0" applyAlignment="0" applyProtection="0">
      <alignment vertical="center"/>
    </xf>
    <xf numFmtId="0" fontId="17" fillId="9" borderId="32" applyNumberFormat="0" applyFont="0" applyAlignment="0" applyProtection="0">
      <alignment vertical="center"/>
    </xf>
    <xf numFmtId="170" fontId="61"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61"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170" fontId="61" fillId="9" borderId="32" applyNumberFormat="0" applyFont="0" applyAlignment="0" applyProtection="0">
      <alignment vertical="center"/>
    </xf>
    <xf numFmtId="0" fontId="17" fillId="9" borderId="32" applyNumberFormat="0" applyFont="0" applyAlignment="0" applyProtection="0">
      <alignment vertical="center"/>
    </xf>
    <xf numFmtId="0" fontId="61"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170" fontId="61" fillId="54" borderId="73" applyNumberFormat="0" applyFont="0" applyAlignment="0" applyProtection="0">
      <alignment vertical="center"/>
    </xf>
    <xf numFmtId="170" fontId="61" fillId="54" borderId="73" applyNumberFormat="0" applyFont="0" applyAlignment="0" applyProtection="0">
      <alignment vertical="center"/>
    </xf>
    <xf numFmtId="170" fontId="61" fillId="54" borderId="73" applyNumberFormat="0" applyFont="0" applyAlignment="0" applyProtection="0">
      <alignment vertical="center"/>
    </xf>
    <xf numFmtId="170" fontId="61" fillId="54" borderId="73" applyNumberFormat="0" applyFont="0" applyAlignment="0" applyProtection="0">
      <alignment vertical="center"/>
    </xf>
    <xf numFmtId="0" fontId="17" fillId="9" borderId="32" applyNumberFormat="0" applyFont="0" applyAlignment="0" applyProtection="0">
      <alignment vertical="center"/>
    </xf>
    <xf numFmtId="170" fontId="61" fillId="54" borderId="73" applyNumberFormat="0" applyFont="0" applyAlignment="0" applyProtection="0">
      <alignment vertical="center"/>
    </xf>
    <xf numFmtId="170" fontId="61" fillId="54" borderId="73" applyNumberFormat="0" applyFont="0" applyAlignment="0" applyProtection="0">
      <alignment vertical="center"/>
    </xf>
    <xf numFmtId="170" fontId="61" fillId="54" borderId="73" applyNumberFormat="0" applyFont="0" applyAlignment="0" applyProtection="0">
      <alignment vertical="center"/>
    </xf>
    <xf numFmtId="170" fontId="61" fillId="54" borderId="73" applyNumberFormat="0" applyFont="0" applyAlignment="0" applyProtection="0">
      <alignment vertical="center"/>
    </xf>
    <xf numFmtId="170" fontId="61" fillId="54" borderId="73" applyNumberFormat="0" applyFont="0" applyAlignment="0" applyProtection="0">
      <alignment vertical="center"/>
    </xf>
    <xf numFmtId="0" fontId="17" fillId="9" borderId="32" applyNumberFormat="0" applyFont="0" applyAlignment="0" applyProtection="0">
      <alignment vertical="center"/>
    </xf>
    <xf numFmtId="170" fontId="61" fillId="54" borderId="73" applyNumberFormat="0" applyFont="0" applyAlignment="0" applyProtection="0">
      <alignment vertical="center"/>
    </xf>
    <xf numFmtId="170" fontId="61" fillId="54" borderId="73"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170" fontId="61" fillId="54" borderId="73" applyNumberFormat="0" applyFont="0" applyAlignment="0" applyProtection="0">
      <alignment vertical="center"/>
    </xf>
    <xf numFmtId="170" fontId="61" fillId="54" borderId="73"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170" fontId="61" fillId="54" borderId="73" applyNumberFormat="0" applyFont="0" applyAlignment="0" applyProtection="0">
      <alignment vertical="center"/>
    </xf>
    <xf numFmtId="170" fontId="61" fillId="54" borderId="73"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170" fontId="61" fillId="54" borderId="73" applyNumberFormat="0" applyFont="0" applyAlignment="0" applyProtection="0">
      <alignment vertical="center"/>
    </xf>
    <xf numFmtId="170" fontId="61" fillId="54" borderId="73"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170" fontId="61" fillId="54" borderId="73" applyNumberFormat="0" applyFont="0" applyAlignment="0" applyProtection="0">
      <alignment vertical="center"/>
    </xf>
    <xf numFmtId="170" fontId="61" fillId="54" borderId="73"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170" fontId="61" fillId="54" borderId="73" applyNumberFormat="0" applyFont="0" applyAlignment="0" applyProtection="0">
      <alignment vertical="center"/>
    </xf>
    <xf numFmtId="170" fontId="61" fillId="54" borderId="73"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170" fontId="61" fillId="54" borderId="73" applyNumberFormat="0" applyFont="0" applyAlignment="0" applyProtection="0">
      <alignment vertical="center"/>
    </xf>
    <xf numFmtId="170" fontId="61" fillId="54" borderId="73" applyNumberFormat="0" applyFont="0" applyAlignment="0" applyProtection="0">
      <alignment vertical="center"/>
    </xf>
    <xf numFmtId="0" fontId="17" fillId="9" borderId="32" applyNumberFormat="0" applyFont="0" applyAlignment="0" applyProtection="0">
      <alignment vertical="center"/>
    </xf>
    <xf numFmtId="170" fontId="61" fillId="54" borderId="73"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170" fontId="61" fillId="54" borderId="73" applyNumberFormat="0" applyFont="0" applyAlignment="0" applyProtection="0">
      <alignment vertical="center"/>
    </xf>
    <xf numFmtId="170" fontId="61" fillId="54" borderId="73" applyNumberFormat="0" applyFont="0" applyAlignment="0" applyProtection="0">
      <alignment vertical="center"/>
    </xf>
    <xf numFmtId="170" fontId="61" fillId="54" borderId="73"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170" fontId="61"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61" fillId="9" borderId="32" applyNumberFormat="0" applyFont="0" applyAlignment="0" applyProtection="0">
      <alignment vertical="center"/>
    </xf>
    <xf numFmtId="0" fontId="17" fillId="9" borderId="32" applyNumberFormat="0" applyFont="0" applyAlignment="0" applyProtection="0">
      <alignment vertical="center"/>
    </xf>
    <xf numFmtId="170" fontId="61" fillId="9" borderId="32" applyNumberFormat="0" applyFont="0" applyAlignment="0" applyProtection="0">
      <alignment vertical="center"/>
    </xf>
    <xf numFmtId="0" fontId="17" fillId="9" borderId="32" applyNumberFormat="0" applyFont="0" applyAlignment="0" applyProtection="0">
      <alignment vertical="center"/>
    </xf>
    <xf numFmtId="0" fontId="61" fillId="9" borderId="32" applyNumberFormat="0" applyFont="0" applyAlignment="0" applyProtection="0">
      <alignment vertical="center"/>
    </xf>
    <xf numFmtId="0" fontId="17" fillId="9" borderId="32" applyNumberFormat="0" applyFont="0" applyAlignment="0" applyProtection="0">
      <alignment vertical="center"/>
    </xf>
    <xf numFmtId="170" fontId="61"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61"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170" fontId="61" fillId="9" borderId="32" applyNumberFormat="0" applyFont="0" applyAlignment="0" applyProtection="0">
      <alignment vertical="center"/>
    </xf>
    <xf numFmtId="0" fontId="17" fillId="9" borderId="32" applyNumberFormat="0" applyFont="0" applyAlignment="0" applyProtection="0">
      <alignment vertical="center"/>
    </xf>
    <xf numFmtId="0" fontId="61" fillId="9" borderId="32" applyNumberFormat="0" applyFont="0" applyAlignment="0" applyProtection="0">
      <alignment vertical="center"/>
    </xf>
    <xf numFmtId="0" fontId="17" fillId="9" borderId="32" applyNumberFormat="0" applyFont="0" applyAlignment="0" applyProtection="0">
      <alignment vertical="center"/>
    </xf>
    <xf numFmtId="170" fontId="61"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61"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170" fontId="61" fillId="9" borderId="32" applyNumberFormat="0" applyFont="0" applyAlignment="0" applyProtection="0">
      <alignment vertical="center"/>
    </xf>
    <xf numFmtId="0" fontId="17" fillId="9" borderId="32" applyNumberFormat="0" applyFont="0" applyAlignment="0" applyProtection="0">
      <alignment vertical="center"/>
    </xf>
    <xf numFmtId="0" fontId="61"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17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0" fontId="17" fillId="9" borderId="32" applyNumberFormat="0" applyFont="0" applyAlignment="0" applyProtection="0">
      <alignment vertical="center"/>
    </xf>
    <xf numFmtId="170" fontId="210" fillId="0" borderId="0" applyFont="0" applyFill="0" applyBorder="0" applyAlignment="0" applyProtection="0"/>
    <xf numFmtId="170" fontId="210"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9" fontId="162" fillId="0" borderId="0" applyFont="0" applyFill="0" applyBorder="0" applyAlignment="0" applyProtection="0"/>
    <xf numFmtId="9" fontId="34" fillId="0" borderId="0" applyFont="0" applyFill="0" applyBorder="0" applyAlignment="0" applyProtection="0"/>
    <xf numFmtId="9" fontId="65" fillId="0" borderId="0" applyFont="0" applyFill="0" applyBorder="0" applyAlignment="0" applyProtection="0">
      <alignment vertical="center"/>
    </xf>
    <xf numFmtId="9" fontId="61" fillId="0" borderId="0" applyFont="0" applyFill="0" applyBorder="0" applyAlignment="0" applyProtection="0">
      <alignment vertical="center"/>
    </xf>
    <xf numFmtId="9" fontId="61" fillId="0" borderId="0" applyFont="0" applyFill="0" applyBorder="0" applyAlignment="0" applyProtection="0">
      <alignment vertical="center"/>
    </xf>
    <xf numFmtId="9" fontId="9" fillId="0" borderId="0" applyFont="0" applyFill="0" applyBorder="0" applyAlignment="0" applyProtection="0">
      <alignment vertical="center"/>
    </xf>
    <xf numFmtId="9" fontId="65" fillId="0" borderId="0" applyFont="0" applyFill="0" applyBorder="0" applyAlignment="0" applyProtection="0">
      <alignment vertical="center"/>
    </xf>
    <xf numFmtId="9" fontId="34" fillId="0" borderId="0" applyFont="0" applyFill="0" applyBorder="0" applyAlignment="0" applyProtection="0"/>
    <xf numFmtId="9" fontId="61" fillId="0" borderId="0" applyFont="0" applyFill="0" applyBorder="0" applyAlignment="0" applyProtection="0">
      <alignment vertical="center"/>
    </xf>
    <xf numFmtId="9" fontId="46" fillId="0" borderId="0" applyFont="0" applyFill="0" applyBorder="0" applyAlignment="0" applyProtection="0"/>
    <xf numFmtId="9" fontId="1" fillId="0" borderId="0" applyFont="0" applyFill="0" applyBorder="0" applyAlignment="0" applyProtection="0">
      <alignment vertical="center"/>
    </xf>
    <xf numFmtId="9" fontId="61" fillId="0" borderId="0" applyFont="0" applyFill="0" applyBorder="0" applyAlignment="0" applyProtection="0">
      <alignment vertical="center"/>
    </xf>
    <xf numFmtId="9" fontId="46" fillId="0" borderId="0" applyFont="0" applyFill="0" applyBorder="0" applyAlignment="0" applyProtection="0"/>
    <xf numFmtId="9" fontId="1" fillId="0" borderId="0" applyFont="0" applyFill="0" applyBorder="0" applyAlignment="0" applyProtection="0"/>
    <xf numFmtId="9" fontId="211" fillId="0" borderId="0" applyFont="0" applyFill="0" applyBorder="0" applyAlignment="0" applyProtection="0">
      <alignment vertical="center"/>
    </xf>
    <xf numFmtId="9" fontId="65" fillId="0" borderId="0" applyFont="0" applyFill="0" applyBorder="0" applyAlignment="0" applyProtection="0">
      <alignment vertical="center"/>
    </xf>
    <xf numFmtId="9" fontId="65" fillId="0" borderId="0" applyFont="0" applyFill="0" applyBorder="0" applyAlignment="0" applyProtection="0">
      <alignment vertical="center"/>
    </xf>
    <xf numFmtId="9" fontId="1" fillId="0" borderId="0" applyFont="0" applyFill="0" applyBorder="0" applyAlignment="0" applyProtection="0">
      <alignment vertical="center"/>
    </xf>
    <xf numFmtId="9" fontId="212" fillId="0" borderId="0" applyFont="0" applyFill="0" applyBorder="0" applyAlignment="0" applyProtection="0"/>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7" fillId="0" borderId="0" applyFont="0" applyFill="0" applyBorder="0" applyAlignment="0" applyProtection="0">
      <alignment vertical="center"/>
    </xf>
    <xf numFmtId="0" fontId="213" fillId="5" borderId="0" applyNumberFormat="0" applyBorder="0" applyAlignment="0" applyProtection="0">
      <alignment vertical="center"/>
    </xf>
    <xf numFmtId="0" fontId="213" fillId="5" borderId="0" applyNumberFormat="0" applyBorder="0" applyAlignment="0" applyProtection="0">
      <alignment vertical="center"/>
    </xf>
    <xf numFmtId="0" fontId="213" fillId="5" borderId="0" applyNumberFormat="0" applyBorder="0" applyAlignment="0" applyProtection="0">
      <alignment vertical="center"/>
    </xf>
    <xf numFmtId="0" fontId="213" fillId="5" borderId="0" applyNumberFormat="0" applyBorder="0" applyAlignment="0" applyProtection="0">
      <alignment vertical="center"/>
    </xf>
    <xf numFmtId="0" fontId="213" fillId="5" borderId="0" applyNumberFormat="0" applyBorder="0" applyAlignment="0" applyProtection="0">
      <alignment vertical="center"/>
    </xf>
    <xf numFmtId="0" fontId="213" fillId="5" borderId="0" applyNumberFormat="0" applyBorder="0" applyAlignment="0" applyProtection="0">
      <alignment vertical="center"/>
    </xf>
    <xf numFmtId="0" fontId="213" fillId="5" borderId="0" applyNumberFormat="0" applyBorder="0" applyAlignment="0" applyProtection="0">
      <alignment vertical="center"/>
    </xf>
    <xf numFmtId="170" fontId="214" fillId="61" borderId="0" applyNumberFormat="0" applyBorder="0" applyAlignment="0" applyProtection="0">
      <alignment vertical="center"/>
    </xf>
    <xf numFmtId="0" fontId="213" fillId="5" borderId="0" applyNumberFormat="0" applyBorder="0" applyAlignment="0" applyProtection="0">
      <alignment vertical="center"/>
    </xf>
    <xf numFmtId="0" fontId="215" fillId="61" borderId="0" applyNumberFormat="0" applyBorder="0" applyAlignment="0" applyProtection="0">
      <alignment vertical="center"/>
    </xf>
    <xf numFmtId="0" fontId="213" fillId="5" borderId="0" applyNumberFormat="0" applyBorder="0" applyAlignment="0" applyProtection="0">
      <alignment vertical="center"/>
    </xf>
    <xf numFmtId="170" fontId="165" fillId="61" borderId="0" applyNumberFormat="0" applyBorder="0" applyAlignment="0" applyProtection="0">
      <alignment vertical="center"/>
    </xf>
    <xf numFmtId="0" fontId="24" fillId="5" borderId="0" applyNumberFormat="0" applyBorder="0" applyAlignment="0" applyProtection="0">
      <alignment vertical="center"/>
    </xf>
    <xf numFmtId="0" fontId="213" fillId="5" borderId="0" applyNumberFormat="0" applyBorder="0" applyAlignment="0" applyProtection="0">
      <alignment vertical="center"/>
    </xf>
    <xf numFmtId="0" fontId="213" fillId="5" borderId="0" applyNumberFormat="0" applyBorder="0" applyAlignment="0" applyProtection="0">
      <alignment vertical="center"/>
    </xf>
    <xf numFmtId="0" fontId="213" fillId="5" borderId="0" applyNumberFormat="0" applyBorder="0" applyAlignment="0" applyProtection="0">
      <alignment vertical="center"/>
    </xf>
    <xf numFmtId="0" fontId="213" fillId="5" borderId="0" applyNumberFormat="0" applyBorder="0" applyAlignment="0" applyProtection="0">
      <alignment vertical="center"/>
    </xf>
    <xf numFmtId="0" fontId="213" fillId="5" borderId="0" applyNumberFormat="0" applyBorder="0" applyAlignment="0" applyProtection="0">
      <alignment vertical="center"/>
    </xf>
    <xf numFmtId="0" fontId="213" fillId="5" borderId="0" applyNumberFormat="0" applyBorder="0" applyAlignment="0" applyProtection="0">
      <alignment vertical="center"/>
    </xf>
    <xf numFmtId="0" fontId="213" fillId="5" borderId="0" applyNumberFormat="0" applyBorder="0" applyAlignment="0" applyProtection="0">
      <alignment vertical="center"/>
    </xf>
    <xf numFmtId="0" fontId="41" fillId="0" borderId="0"/>
    <xf numFmtId="170" fontId="216" fillId="0" borderId="0"/>
    <xf numFmtId="170" fontId="1" fillId="0" borderId="0"/>
    <xf numFmtId="199" fontId="217" fillId="0" borderId="0" applyFont="0" applyFill="0" applyBorder="0" applyAlignment="0" applyProtection="0"/>
    <xf numFmtId="220" fontId="217" fillId="0" borderId="0" applyFont="0" applyFill="0" applyBorder="0" applyAlignment="0" applyProtection="0"/>
    <xf numFmtId="191" fontId="194" fillId="0" borderId="0" applyFont="0" applyFill="0" applyBorder="0" applyAlignment="0" applyProtection="0"/>
    <xf numFmtId="184" fontId="194" fillId="0" borderId="0" applyFont="0" applyFill="0" applyBorder="0" applyAlignment="0" applyProtection="0"/>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170" fontId="129"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20" fillId="8" borderId="31" applyNumberFormat="0" applyAlignment="0" applyProtection="0">
      <alignment vertical="center"/>
    </xf>
    <xf numFmtId="0" fontId="220" fillId="8" borderId="31" applyNumberFormat="0" applyAlignment="0" applyProtection="0">
      <alignment vertical="center"/>
    </xf>
    <xf numFmtId="0" fontId="220" fillId="8" borderId="31" applyNumberFormat="0" applyAlignment="0" applyProtection="0">
      <alignment vertical="center"/>
    </xf>
    <xf numFmtId="0" fontId="220" fillId="8" borderId="31" applyNumberFormat="0" applyAlignment="0" applyProtection="0">
      <alignment vertical="center"/>
    </xf>
    <xf numFmtId="0" fontId="220" fillId="8" borderId="31" applyNumberFormat="0" applyAlignment="0" applyProtection="0">
      <alignment vertical="center"/>
    </xf>
    <xf numFmtId="0" fontId="220" fillId="8" borderId="31" applyNumberFormat="0" applyAlignment="0" applyProtection="0">
      <alignment vertical="center"/>
    </xf>
    <xf numFmtId="0" fontId="220" fillId="8" borderId="31" applyNumberFormat="0" applyAlignment="0" applyProtection="0">
      <alignment vertical="center"/>
    </xf>
    <xf numFmtId="170" fontId="120" fillId="93" borderId="62" applyNumberFormat="0" applyAlignment="0" applyProtection="0">
      <alignment vertical="center"/>
    </xf>
    <xf numFmtId="0" fontId="220" fillId="8" borderId="31" applyNumberFormat="0" applyAlignment="0" applyProtection="0">
      <alignment vertical="center"/>
    </xf>
    <xf numFmtId="0" fontId="221" fillId="93" borderId="62" applyNumberFormat="0" applyAlignment="0" applyProtection="0">
      <alignment vertical="center"/>
    </xf>
    <xf numFmtId="0" fontId="220" fillId="8" borderId="31" applyNumberFormat="0" applyAlignment="0" applyProtection="0">
      <alignment vertical="center"/>
    </xf>
    <xf numFmtId="170" fontId="120" fillId="93" borderId="62" applyNumberFormat="0" applyAlignment="0" applyProtection="0">
      <alignment vertical="center"/>
    </xf>
    <xf numFmtId="0" fontId="29" fillId="8" borderId="31" applyNumberFormat="0" applyAlignment="0" applyProtection="0">
      <alignment vertical="center"/>
    </xf>
    <xf numFmtId="0" fontId="220" fillId="8" borderId="31" applyNumberFormat="0" applyAlignment="0" applyProtection="0">
      <alignment vertical="center"/>
    </xf>
    <xf numFmtId="0" fontId="220" fillId="8" borderId="31" applyNumberFormat="0" applyAlignment="0" applyProtection="0">
      <alignment vertical="center"/>
    </xf>
    <xf numFmtId="0" fontId="220" fillId="8" borderId="31" applyNumberFormat="0" applyAlignment="0" applyProtection="0">
      <alignment vertical="center"/>
    </xf>
    <xf numFmtId="0" fontId="220" fillId="8" borderId="31" applyNumberFormat="0" applyAlignment="0" applyProtection="0">
      <alignment vertical="center"/>
    </xf>
    <xf numFmtId="0" fontId="220" fillId="8" borderId="31" applyNumberFormat="0" applyAlignment="0" applyProtection="0">
      <alignment vertical="center"/>
    </xf>
    <xf numFmtId="0" fontId="220" fillId="8" borderId="31" applyNumberFormat="0" applyAlignment="0" applyProtection="0">
      <alignment vertical="center"/>
    </xf>
    <xf numFmtId="0" fontId="220" fillId="8" borderId="31" applyNumberFormat="0" applyAlignment="0" applyProtection="0">
      <alignment vertical="center"/>
    </xf>
    <xf numFmtId="170" fontId="1" fillId="0" borderId="0" applyFont="0" applyFill="0" applyBorder="0" applyAlignment="0" applyProtection="0"/>
    <xf numFmtId="170" fontId="222" fillId="0" borderId="0">
      <alignment vertical="center"/>
    </xf>
    <xf numFmtId="0" fontId="222" fillId="0" borderId="0">
      <alignment vertical="center"/>
    </xf>
    <xf numFmtId="170" fontId="223" fillId="0" borderId="0">
      <alignment vertical="center"/>
    </xf>
    <xf numFmtId="0" fontId="223" fillId="0" borderId="0">
      <alignment vertical="center"/>
    </xf>
    <xf numFmtId="167" fontId="17" fillId="0" borderId="0" applyFont="0" applyFill="0" applyBorder="0" applyAlignment="0" applyProtection="0">
      <alignment vertical="center"/>
    </xf>
    <xf numFmtId="167" fontId="17" fillId="0" borderId="0" applyFont="0" applyFill="0" applyBorder="0" applyAlignment="0" applyProtection="0">
      <alignment vertical="center"/>
    </xf>
    <xf numFmtId="167" fontId="17" fillId="0" borderId="0" applyFont="0" applyFill="0" applyBorder="0" applyAlignment="0" applyProtection="0">
      <alignment vertical="center"/>
    </xf>
    <xf numFmtId="167" fontId="17" fillId="0" borderId="0" applyFont="0" applyFill="0" applyBorder="0" applyAlignment="0" applyProtection="0">
      <alignment vertical="center"/>
    </xf>
    <xf numFmtId="167" fontId="17" fillId="0" borderId="0" applyFont="0" applyFill="0" applyBorder="0" applyAlignment="0" applyProtection="0">
      <alignment vertical="center"/>
    </xf>
    <xf numFmtId="167" fontId="17" fillId="0" borderId="0" applyFont="0" applyFill="0" applyBorder="0" applyAlignment="0" applyProtection="0">
      <alignment vertical="center"/>
    </xf>
    <xf numFmtId="167" fontId="17" fillId="0" borderId="0" applyFont="0" applyFill="0" applyBorder="0" applyAlignment="0" applyProtection="0">
      <alignment vertical="center"/>
    </xf>
    <xf numFmtId="167" fontId="17" fillId="0" borderId="0" applyFont="0" applyFill="0" applyBorder="0" applyAlignment="0" applyProtection="0">
      <alignment vertical="center"/>
    </xf>
    <xf numFmtId="167" fontId="17" fillId="0" borderId="0" applyFont="0" applyFill="0" applyBorder="0" applyAlignment="0" applyProtection="0">
      <alignment vertical="center"/>
    </xf>
    <xf numFmtId="167" fontId="1" fillId="0" borderId="0" applyFont="0" applyFill="0" applyBorder="0" applyAlignment="0" applyProtection="0">
      <alignment vertical="center"/>
    </xf>
    <xf numFmtId="167" fontId="46" fillId="0" borderId="0" applyFont="0" applyFill="0" applyBorder="0" applyAlignment="0" applyProtection="0"/>
    <xf numFmtId="167" fontId="17" fillId="0" borderId="0" applyFont="0" applyFill="0" applyBorder="0" applyAlignment="0" applyProtection="0">
      <alignment vertical="center"/>
    </xf>
    <xf numFmtId="167" fontId="17" fillId="0" borderId="0" applyFont="0" applyFill="0" applyBorder="0" applyAlignment="0" applyProtection="0">
      <alignment vertical="center"/>
    </xf>
    <xf numFmtId="167" fontId="17" fillId="0" borderId="0" applyFont="0" applyFill="0" applyBorder="0" applyAlignment="0" applyProtection="0">
      <alignment vertical="center"/>
    </xf>
    <xf numFmtId="167" fontId="17" fillId="0" borderId="0" applyFont="0" applyFill="0" applyBorder="0" applyAlignment="0" applyProtection="0">
      <alignment vertical="center"/>
    </xf>
    <xf numFmtId="167" fontId="17" fillId="0" borderId="0" applyFont="0" applyFill="0" applyBorder="0" applyAlignment="0" applyProtection="0">
      <alignment vertical="center"/>
    </xf>
    <xf numFmtId="167" fontId="17" fillId="0" borderId="0" applyFont="0" applyFill="0" applyBorder="0" applyAlignment="0" applyProtection="0">
      <alignment vertical="center"/>
    </xf>
    <xf numFmtId="167" fontId="46" fillId="0" borderId="0" applyFont="0" applyFill="0" applyBorder="0" applyAlignment="0" applyProtection="0"/>
    <xf numFmtId="167" fontId="1" fillId="0" borderId="0" applyFont="0" applyFill="0" applyBorder="0" applyAlignment="0" applyProtection="0">
      <alignment vertical="center"/>
    </xf>
    <xf numFmtId="167" fontId="46" fillId="0" borderId="0" applyFont="0" applyFill="0" applyBorder="0" applyAlignment="0" applyProtection="0"/>
    <xf numFmtId="167" fontId="1" fillId="0" borderId="0" applyFont="0" applyFill="0" applyBorder="0" applyAlignment="0" applyProtection="0">
      <alignment vertical="center"/>
    </xf>
    <xf numFmtId="167" fontId="46" fillId="0" borderId="0" applyFont="0" applyFill="0" applyBorder="0" applyAlignment="0" applyProtection="0"/>
    <xf numFmtId="167" fontId="1" fillId="0" borderId="0" applyFont="0" applyFill="0" applyBorder="0" applyAlignment="0" applyProtection="0">
      <alignment vertical="center"/>
    </xf>
    <xf numFmtId="167" fontId="46" fillId="0" borderId="0" applyFont="0" applyFill="0" applyBorder="0" applyAlignment="0" applyProtection="0"/>
    <xf numFmtId="167" fontId="46" fillId="0" borderId="0" applyFont="0" applyFill="0" applyBorder="0" applyAlignment="0" applyProtection="0"/>
    <xf numFmtId="167" fontId="65" fillId="0" borderId="0" applyFont="0" applyFill="0" applyBorder="0" applyAlignment="0" applyProtection="0">
      <alignment vertical="center"/>
    </xf>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61" fillId="0" borderId="0" applyFont="0" applyFill="0" applyBorder="0" applyAlignment="0" applyProtection="0">
      <alignment vertical="center"/>
    </xf>
    <xf numFmtId="167" fontId="61" fillId="0" borderId="0" applyFont="0" applyFill="0" applyBorder="0" applyAlignment="0" applyProtection="0">
      <alignment vertical="center"/>
    </xf>
    <xf numFmtId="167" fontId="61" fillId="0" borderId="0" applyFont="0" applyFill="0" applyBorder="0" applyAlignment="0" applyProtection="0">
      <alignment vertical="center"/>
    </xf>
    <xf numFmtId="167" fontId="61" fillId="0" borderId="0" applyFont="0" applyFill="0" applyBorder="0" applyAlignment="0" applyProtection="0">
      <alignment vertical="center"/>
    </xf>
    <xf numFmtId="167" fontId="61" fillId="0" borderId="0" applyFont="0" applyFill="0" applyBorder="0" applyAlignment="0" applyProtection="0">
      <alignment vertical="center"/>
    </xf>
    <xf numFmtId="167" fontId="61" fillId="0" borderId="0" applyFont="0" applyFill="0" applyBorder="0" applyAlignment="0" applyProtection="0">
      <alignment vertical="center"/>
    </xf>
    <xf numFmtId="167" fontId="61" fillId="0" borderId="0" applyFont="0" applyFill="0" applyBorder="0" applyAlignment="0" applyProtection="0">
      <alignment vertical="center"/>
    </xf>
    <xf numFmtId="167" fontId="61" fillId="0" borderId="0" applyFont="0" applyFill="0" applyBorder="0" applyAlignment="0" applyProtection="0">
      <alignment vertical="center"/>
    </xf>
    <xf numFmtId="167" fontId="61" fillId="0" borderId="0" applyFont="0" applyFill="0" applyBorder="0" applyAlignment="0" applyProtection="0">
      <alignment vertical="center"/>
    </xf>
    <xf numFmtId="167" fontId="61" fillId="0" borderId="0" applyFont="0" applyFill="0" applyBorder="0" applyAlignment="0" applyProtection="0">
      <alignment vertical="center"/>
    </xf>
    <xf numFmtId="167" fontId="1" fillId="0" borderId="0" applyFont="0" applyFill="0" applyBorder="0" applyAlignment="0" applyProtection="0"/>
    <xf numFmtId="167" fontId="61" fillId="0" borderId="0" applyFont="0" applyFill="0" applyBorder="0" applyAlignment="0" applyProtection="0">
      <alignment vertical="center"/>
    </xf>
    <xf numFmtId="167" fontId="1" fillId="0" borderId="0" applyFont="0" applyFill="0" applyBorder="0" applyAlignment="0" applyProtection="0">
      <alignment vertical="center"/>
    </xf>
    <xf numFmtId="167" fontId="1" fillId="0" borderId="0" applyFont="0" applyFill="0" applyBorder="0" applyAlignment="0" applyProtection="0"/>
    <xf numFmtId="167" fontId="1" fillId="0" borderId="0" applyFont="0" applyFill="0" applyBorder="0" applyAlignment="0" applyProtection="0">
      <alignment vertical="center"/>
    </xf>
    <xf numFmtId="167" fontId="1" fillId="0" borderId="0" applyFont="0" applyFill="0" applyBorder="0" applyAlignment="0" applyProtection="0">
      <alignment vertical="center"/>
    </xf>
    <xf numFmtId="167" fontId="224" fillId="0" borderId="0" applyFont="0" applyFill="0" applyBorder="0" applyAlignment="0" applyProtection="0">
      <alignment vertical="center"/>
    </xf>
    <xf numFmtId="167" fontId="48" fillId="0" borderId="0" applyFont="0" applyFill="0" applyBorder="0" applyAlignment="0" applyProtection="0">
      <alignment vertical="center"/>
    </xf>
    <xf numFmtId="167" fontId="48" fillId="0" borderId="0" applyFont="0" applyFill="0" applyBorder="0" applyAlignment="0" applyProtection="0">
      <alignment vertical="center"/>
    </xf>
    <xf numFmtId="167" fontId="45" fillId="0" borderId="0" applyFont="0" applyFill="0" applyBorder="0" applyAlignment="0" applyProtection="0"/>
    <xf numFmtId="167" fontId="212" fillId="0" borderId="0" applyFont="0" applyFill="0" applyBorder="0" applyAlignment="0" applyProtection="0"/>
    <xf numFmtId="0" fontId="37" fillId="0" borderId="0"/>
    <xf numFmtId="170" fontId="13" fillId="0" borderId="0"/>
    <xf numFmtId="0" fontId="47" fillId="0" borderId="0"/>
    <xf numFmtId="221" fontId="37" fillId="0" borderId="0" applyFont="0" applyFill="0" applyBorder="0" applyAlignment="0" applyProtection="0"/>
    <xf numFmtId="0" fontId="13" fillId="0" borderId="0"/>
    <xf numFmtId="0" fontId="47" fillId="0" borderId="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222" fontId="37" fillId="0" borderId="0" applyFont="0" applyFill="0" applyBorder="0" applyAlignment="0" applyProtection="0"/>
    <xf numFmtId="223" fontId="1" fillId="0" borderId="0" applyFont="0" applyFill="0" applyBorder="0" applyAlignment="0" applyProtection="0"/>
    <xf numFmtId="170" fontId="36"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13" fillId="0" borderId="0"/>
    <xf numFmtId="170" fontId="13" fillId="0" borderId="0"/>
    <xf numFmtId="170" fontId="36" fillId="0" borderId="0" applyFont="0" applyFill="0" applyBorder="0" applyAlignment="0" applyProtection="0"/>
    <xf numFmtId="170" fontId="13" fillId="0" borderId="0" applyNumberFormat="0"/>
    <xf numFmtId="170" fontId="13" fillId="0" borderId="0" applyNumberFormat="0"/>
    <xf numFmtId="170" fontId="13" fillId="0" borderId="0" applyNumberFormat="0"/>
    <xf numFmtId="170" fontId="13" fillId="0" borderId="0"/>
    <xf numFmtId="170" fontId="13" fillId="0" borderId="0" applyNumberFormat="0"/>
    <xf numFmtId="170" fontId="13" fillId="0" borderId="0"/>
    <xf numFmtId="170" fontId="13" fillId="0" borderId="0" applyNumberFormat="0"/>
    <xf numFmtId="170" fontId="13" fillId="0" borderId="0"/>
    <xf numFmtId="170" fontId="13" fillId="0" borderId="0"/>
    <xf numFmtId="170" fontId="13" fillId="0" borderId="0"/>
    <xf numFmtId="170" fontId="36" fillId="0" borderId="0" applyFont="0" applyFill="0" applyBorder="0" applyAlignment="0" applyProtection="0"/>
    <xf numFmtId="170" fontId="13" fillId="0" borderId="0"/>
    <xf numFmtId="170" fontId="13" fillId="0" borderId="0"/>
    <xf numFmtId="170" fontId="13" fillId="0" borderId="0" applyNumberFormat="0"/>
    <xf numFmtId="170" fontId="13" fillId="0" borderId="0" applyNumberFormat="0"/>
    <xf numFmtId="170" fontId="13" fillId="0" borderId="0"/>
    <xf numFmtId="170" fontId="13" fillId="0" borderId="0"/>
    <xf numFmtId="170" fontId="13" fillId="0" borderId="0"/>
    <xf numFmtId="170" fontId="13" fillId="0" borderId="0" applyNumberFormat="0"/>
    <xf numFmtId="170" fontId="13" fillId="0" borderId="0"/>
    <xf numFmtId="170" fontId="13" fillId="0" borderId="0"/>
    <xf numFmtId="170" fontId="36" fillId="0" borderId="0" applyFont="0" applyFill="0" applyBorder="0" applyAlignment="0" applyProtection="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applyNumberFormat="0"/>
    <xf numFmtId="170" fontId="13" fillId="0" borderId="0"/>
    <xf numFmtId="170" fontId="13" fillId="0" borderId="0"/>
    <xf numFmtId="170" fontId="13" fillId="0" borderId="0" applyNumberFormat="0"/>
    <xf numFmtId="170" fontId="36" fillId="0" borderId="0" applyFont="0" applyFill="0" applyBorder="0" applyAlignment="0" applyProtection="0"/>
    <xf numFmtId="170" fontId="13" fillId="0" borderId="0"/>
    <xf numFmtId="170" fontId="13" fillId="0" borderId="0"/>
    <xf numFmtId="170" fontId="13" fillId="0" borderId="0" applyNumberFormat="0"/>
    <xf numFmtId="170" fontId="13" fillId="0" borderId="0" applyNumberFormat="0"/>
    <xf numFmtId="170" fontId="37"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170" fontId="36" fillId="0" borderId="0" applyFont="0" applyFill="0" applyBorder="0" applyAlignment="0" applyProtection="0"/>
    <xf numFmtId="0" fontId="225" fillId="0" borderId="30" applyNumberFormat="0" applyFill="0" applyAlignment="0" applyProtection="0">
      <alignment vertical="center"/>
    </xf>
    <xf numFmtId="0" fontId="225" fillId="0" borderId="30" applyNumberFormat="0" applyFill="0" applyAlignment="0" applyProtection="0">
      <alignment vertical="center"/>
    </xf>
    <xf numFmtId="0" fontId="225" fillId="0" borderId="30" applyNumberFormat="0" applyFill="0" applyAlignment="0" applyProtection="0">
      <alignment vertical="center"/>
    </xf>
    <xf numFmtId="0" fontId="225" fillId="0" borderId="30" applyNumberFormat="0" applyFill="0" applyAlignment="0" applyProtection="0">
      <alignment vertical="center"/>
    </xf>
    <xf numFmtId="0" fontId="225" fillId="0" borderId="30" applyNumberFormat="0" applyFill="0" applyAlignment="0" applyProtection="0">
      <alignment vertical="center"/>
    </xf>
    <xf numFmtId="0" fontId="225" fillId="0" borderId="30" applyNumberFormat="0" applyFill="0" applyAlignment="0" applyProtection="0">
      <alignment vertical="center"/>
    </xf>
    <xf numFmtId="0" fontId="225" fillId="0" borderId="30" applyNumberFormat="0" applyFill="0" applyAlignment="0" applyProtection="0">
      <alignment vertical="center"/>
    </xf>
    <xf numFmtId="170" fontId="187" fillId="0" borderId="81" applyNumberFormat="0" applyFill="0" applyAlignment="0" applyProtection="0">
      <alignment vertical="center"/>
    </xf>
    <xf numFmtId="0" fontId="225" fillId="0" borderId="30" applyNumberFormat="0" applyFill="0" applyAlignment="0" applyProtection="0">
      <alignment vertical="center"/>
    </xf>
    <xf numFmtId="0" fontId="226" fillId="0" borderId="72" applyNumberFormat="0" applyFill="0" applyAlignment="0" applyProtection="0">
      <alignment vertical="center"/>
    </xf>
    <xf numFmtId="0" fontId="225" fillId="0" borderId="30" applyNumberFormat="0" applyFill="0" applyAlignment="0" applyProtection="0">
      <alignment vertical="center"/>
    </xf>
    <xf numFmtId="170" fontId="158" fillId="0" borderId="72" applyNumberFormat="0" applyFill="0" applyAlignment="0" applyProtection="0">
      <alignment vertical="center"/>
    </xf>
    <xf numFmtId="0" fontId="28" fillId="0" borderId="30" applyNumberFormat="0" applyFill="0" applyAlignment="0" applyProtection="0">
      <alignment vertical="center"/>
    </xf>
    <xf numFmtId="0" fontId="225" fillId="0" borderId="30" applyNumberFormat="0" applyFill="0" applyAlignment="0" applyProtection="0">
      <alignment vertical="center"/>
    </xf>
    <xf numFmtId="0" fontId="225" fillId="0" borderId="30" applyNumberFormat="0" applyFill="0" applyAlignment="0" applyProtection="0">
      <alignment vertical="center"/>
    </xf>
    <xf numFmtId="0" fontId="225" fillId="0" borderId="30" applyNumberFormat="0" applyFill="0" applyAlignment="0" applyProtection="0">
      <alignment vertical="center"/>
    </xf>
    <xf numFmtId="0" fontId="225" fillId="0" borderId="30" applyNumberFormat="0" applyFill="0" applyAlignment="0" applyProtection="0">
      <alignment vertical="center"/>
    </xf>
    <xf numFmtId="0" fontId="225" fillId="0" borderId="30" applyNumberFormat="0" applyFill="0" applyAlignment="0" applyProtection="0">
      <alignment vertical="center"/>
    </xf>
    <xf numFmtId="0" fontId="225" fillId="0" borderId="30" applyNumberFormat="0" applyFill="0" applyAlignment="0" applyProtection="0">
      <alignment vertical="center"/>
    </xf>
    <xf numFmtId="0" fontId="225" fillId="0" borderId="30" applyNumberFormat="0" applyFill="0" applyAlignment="0" applyProtection="0">
      <alignment vertical="center"/>
    </xf>
    <xf numFmtId="170" fontId="209" fillId="0" borderId="0" applyNumberFormat="0" applyFill="0" applyBorder="0" applyAlignment="0" applyProtection="0">
      <alignment vertical="top"/>
      <protection locked="0"/>
    </xf>
    <xf numFmtId="0" fontId="227" fillId="0" borderId="0" applyNumberFormat="0" applyFill="0" applyBorder="0" applyAlignment="0" applyProtection="0">
      <alignment vertical="top"/>
      <protection locked="0"/>
    </xf>
    <xf numFmtId="187" fontId="228" fillId="0" borderId="0" applyFont="0" applyFill="0" applyBorder="0" applyAlignment="0" applyProtection="0"/>
    <xf numFmtId="170" fontId="44" fillId="0" borderId="0" applyFont="0" applyFill="0" applyBorder="0" applyAlignment="0" applyProtection="0"/>
    <xf numFmtId="195" fontId="194" fillId="0" borderId="0" applyFont="0" applyFill="0" applyBorder="0" applyAlignment="0" applyProtection="0"/>
    <xf numFmtId="196" fontId="194" fillId="0" borderId="0" applyFont="0" applyFill="0" applyBorder="0" applyAlignment="0" applyProtection="0"/>
    <xf numFmtId="0" fontId="229" fillId="0" borderId="33" applyNumberFormat="0" applyFill="0" applyAlignment="0" applyProtection="0">
      <alignment vertical="center"/>
    </xf>
    <xf numFmtId="0" fontId="229" fillId="0" borderId="33" applyNumberFormat="0" applyFill="0" applyAlignment="0" applyProtection="0">
      <alignment vertical="center"/>
    </xf>
    <xf numFmtId="0" fontId="229" fillId="0" borderId="33" applyNumberFormat="0" applyFill="0" applyAlignment="0" applyProtection="0">
      <alignment vertical="center"/>
    </xf>
    <xf numFmtId="0" fontId="229" fillId="0" borderId="33" applyNumberFormat="0" applyFill="0" applyAlignment="0" applyProtection="0">
      <alignment vertical="center"/>
    </xf>
    <xf numFmtId="0" fontId="229" fillId="0" borderId="33" applyNumberFormat="0" applyFill="0" applyAlignment="0" applyProtection="0">
      <alignment vertical="center"/>
    </xf>
    <xf numFmtId="0" fontId="229" fillId="0" borderId="33" applyNumberFormat="0" applyFill="0" applyAlignment="0" applyProtection="0">
      <alignment vertical="center"/>
    </xf>
    <xf numFmtId="0" fontId="229" fillId="0" borderId="33" applyNumberFormat="0" applyFill="0" applyAlignment="0" applyProtection="0">
      <alignment vertical="center"/>
    </xf>
    <xf numFmtId="170" fontId="183" fillId="0" borderId="82" applyNumberFormat="0" applyFill="0" applyAlignment="0" applyProtection="0">
      <alignment vertical="center"/>
    </xf>
    <xf numFmtId="170" fontId="183" fillId="0" borderId="82" applyNumberFormat="0" applyFill="0" applyAlignment="0" applyProtection="0">
      <alignment vertical="center"/>
    </xf>
    <xf numFmtId="170" fontId="183" fillId="0" borderId="82" applyNumberFormat="0" applyFill="0" applyAlignment="0" applyProtection="0">
      <alignment vertical="center"/>
    </xf>
    <xf numFmtId="170" fontId="183" fillId="0" borderId="82" applyNumberFormat="0" applyFill="0" applyAlignment="0" applyProtection="0">
      <alignment vertical="center"/>
    </xf>
    <xf numFmtId="170" fontId="183" fillId="0" borderId="82" applyNumberFormat="0" applyFill="0" applyAlignment="0" applyProtection="0">
      <alignment vertical="center"/>
    </xf>
    <xf numFmtId="170" fontId="183" fillId="0" borderId="82" applyNumberFormat="0" applyFill="0" applyAlignment="0" applyProtection="0">
      <alignment vertical="center"/>
    </xf>
    <xf numFmtId="170" fontId="183" fillId="0" borderId="82" applyNumberFormat="0" applyFill="0" applyAlignment="0" applyProtection="0">
      <alignment vertical="center"/>
    </xf>
    <xf numFmtId="170" fontId="183" fillId="0" borderId="82" applyNumberFormat="0" applyFill="0" applyAlignment="0" applyProtection="0">
      <alignment vertical="center"/>
    </xf>
    <xf numFmtId="170" fontId="183" fillId="0" borderId="82" applyNumberFormat="0" applyFill="0" applyAlignment="0" applyProtection="0">
      <alignment vertical="center"/>
    </xf>
    <xf numFmtId="0" fontId="230" fillId="0" borderId="78" applyNumberFormat="0" applyFill="0" applyAlignment="0" applyProtection="0">
      <alignment vertical="center"/>
    </xf>
    <xf numFmtId="170" fontId="183" fillId="0" borderId="82" applyNumberFormat="0" applyFill="0" applyAlignment="0" applyProtection="0">
      <alignment vertical="center"/>
    </xf>
    <xf numFmtId="170" fontId="183" fillId="0" borderId="82" applyNumberFormat="0" applyFill="0" applyAlignment="0" applyProtection="0">
      <alignment vertical="center"/>
    </xf>
    <xf numFmtId="170" fontId="183" fillId="0" borderId="82" applyNumberFormat="0" applyFill="0" applyAlignment="0" applyProtection="0">
      <alignment vertical="center"/>
    </xf>
    <xf numFmtId="170" fontId="183" fillId="0" borderId="82" applyNumberFormat="0" applyFill="0" applyAlignment="0" applyProtection="0">
      <alignment vertical="center"/>
    </xf>
    <xf numFmtId="170" fontId="183" fillId="0" borderId="82" applyNumberFormat="0" applyFill="0" applyAlignment="0" applyProtection="0">
      <alignment vertical="center"/>
    </xf>
    <xf numFmtId="170" fontId="183" fillId="0" borderId="82" applyNumberFormat="0" applyFill="0" applyAlignment="0" applyProtection="0">
      <alignment vertical="center"/>
    </xf>
    <xf numFmtId="170" fontId="183" fillId="0" borderId="82" applyNumberFormat="0" applyFill="0" applyAlignment="0" applyProtection="0">
      <alignment vertical="center"/>
    </xf>
    <xf numFmtId="170" fontId="183" fillId="0" borderId="82" applyNumberFormat="0" applyFill="0" applyAlignment="0" applyProtection="0">
      <alignment vertical="center"/>
    </xf>
    <xf numFmtId="170" fontId="183" fillId="0" borderId="82" applyNumberFormat="0" applyFill="0" applyAlignment="0" applyProtection="0">
      <alignment vertical="center"/>
    </xf>
    <xf numFmtId="170" fontId="183" fillId="0" borderId="82" applyNumberFormat="0" applyFill="0" applyAlignment="0" applyProtection="0">
      <alignment vertical="center"/>
    </xf>
    <xf numFmtId="170" fontId="183" fillId="0" borderId="82" applyNumberFormat="0" applyFill="0" applyAlignment="0" applyProtection="0">
      <alignment vertical="center"/>
    </xf>
    <xf numFmtId="170" fontId="183" fillId="0" borderId="82" applyNumberFormat="0" applyFill="0" applyAlignment="0" applyProtection="0">
      <alignment vertical="center"/>
    </xf>
    <xf numFmtId="170" fontId="183" fillId="0" borderId="82" applyNumberFormat="0" applyFill="0" applyAlignment="0" applyProtection="0">
      <alignment vertical="center"/>
    </xf>
    <xf numFmtId="170" fontId="183" fillId="0" borderId="82" applyNumberFormat="0" applyFill="0" applyAlignment="0" applyProtection="0">
      <alignment vertical="center"/>
    </xf>
    <xf numFmtId="170" fontId="183" fillId="0" borderId="82" applyNumberFormat="0" applyFill="0" applyAlignment="0" applyProtection="0">
      <alignment vertical="center"/>
    </xf>
    <xf numFmtId="170" fontId="183" fillId="0" borderId="82" applyNumberFormat="0" applyFill="0" applyAlignment="0" applyProtection="0">
      <alignment vertical="center"/>
    </xf>
    <xf numFmtId="170" fontId="183" fillId="0" borderId="82" applyNumberFormat="0" applyFill="0" applyAlignment="0" applyProtection="0">
      <alignment vertical="center"/>
    </xf>
    <xf numFmtId="170" fontId="183" fillId="0" borderId="82" applyNumberFormat="0" applyFill="0" applyAlignment="0" applyProtection="0">
      <alignment vertical="center"/>
    </xf>
    <xf numFmtId="0" fontId="229" fillId="0" borderId="33" applyNumberFormat="0" applyFill="0" applyAlignment="0" applyProtection="0">
      <alignment vertical="center"/>
    </xf>
    <xf numFmtId="0" fontId="230" fillId="0" borderId="78" applyNumberFormat="0" applyFill="0" applyAlignment="0" applyProtection="0">
      <alignment vertical="center"/>
    </xf>
    <xf numFmtId="0" fontId="229" fillId="0" borderId="33" applyNumberFormat="0" applyFill="0" applyAlignment="0" applyProtection="0">
      <alignment vertical="center"/>
    </xf>
    <xf numFmtId="170" fontId="183" fillId="0" borderId="78" applyNumberFormat="0" applyFill="0" applyAlignment="0" applyProtection="0">
      <alignment vertical="center"/>
    </xf>
    <xf numFmtId="170" fontId="183" fillId="0" borderId="78" applyNumberFormat="0" applyFill="0" applyAlignment="0" applyProtection="0">
      <alignment vertical="center"/>
    </xf>
    <xf numFmtId="170" fontId="183" fillId="0" borderId="78" applyNumberFormat="0" applyFill="0" applyAlignment="0" applyProtection="0">
      <alignment vertical="center"/>
    </xf>
    <xf numFmtId="170" fontId="183" fillId="0" borderId="78" applyNumberFormat="0" applyFill="0" applyAlignment="0" applyProtection="0">
      <alignment vertical="center"/>
    </xf>
    <xf numFmtId="170" fontId="183" fillId="0" borderId="78" applyNumberFormat="0" applyFill="0" applyAlignment="0" applyProtection="0">
      <alignment vertical="center"/>
    </xf>
    <xf numFmtId="170" fontId="183" fillId="0" borderId="78" applyNumberFormat="0" applyFill="0" applyAlignment="0" applyProtection="0">
      <alignment vertical="center"/>
    </xf>
    <xf numFmtId="170" fontId="183" fillId="0" borderId="78" applyNumberFormat="0" applyFill="0" applyAlignment="0" applyProtection="0">
      <alignment vertical="center"/>
    </xf>
    <xf numFmtId="170" fontId="183" fillId="0" borderId="78" applyNumberFormat="0" applyFill="0" applyAlignment="0" applyProtection="0">
      <alignment vertical="center"/>
    </xf>
    <xf numFmtId="170" fontId="183" fillId="0" borderId="78" applyNumberFormat="0" applyFill="0" applyAlignment="0" applyProtection="0">
      <alignment vertical="center"/>
    </xf>
    <xf numFmtId="170" fontId="183" fillId="0" borderId="78" applyNumberFormat="0" applyFill="0" applyAlignment="0" applyProtection="0">
      <alignment vertical="center"/>
    </xf>
    <xf numFmtId="170" fontId="183" fillId="0" borderId="78" applyNumberFormat="0" applyFill="0" applyAlignment="0" applyProtection="0">
      <alignment vertical="center"/>
    </xf>
    <xf numFmtId="170" fontId="183" fillId="0" borderId="78" applyNumberFormat="0" applyFill="0" applyAlignment="0" applyProtection="0">
      <alignment vertical="center"/>
    </xf>
    <xf numFmtId="170" fontId="183" fillId="0" borderId="78" applyNumberFormat="0" applyFill="0" applyAlignment="0" applyProtection="0">
      <alignment vertical="center"/>
    </xf>
    <xf numFmtId="170" fontId="183" fillId="0" borderId="78" applyNumberFormat="0" applyFill="0" applyAlignment="0" applyProtection="0">
      <alignment vertical="center"/>
    </xf>
    <xf numFmtId="170" fontId="183" fillId="0" borderId="78" applyNumberFormat="0" applyFill="0" applyAlignment="0" applyProtection="0">
      <alignment vertical="center"/>
    </xf>
    <xf numFmtId="170" fontId="183" fillId="0" borderId="78" applyNumberFormat="0" applyFill="0" applyAlignment="0" applyProtection="0">
      <alignment vertical="center"/>
    </xf>
    <xf numFmtId="170" fontId="183" fillId="0" borderId="78" applyNumberFormat="0" applyFill="0" applyAlignment="0" applyProtection="0">
      <alignment vertical="center"/>
    </xf>
    <xf numFmtId="170" fontId="183" fillId="0" borderId="78" applyNumberFormat="0" applyFill="0" applyAlignment="0" applyProtection="0">
      <alignment vertical="center"/>
    </xf>
    <xf numFmtId="170" fontId="183" fillId="0" borderId="78" applyNumberFormat="0" applyFill="0" applyAlignment="0" applyProtection="0">
      <alignment vertical="center"/>
    </xf>
    <xf numFmtId="170" fontId="183" fillId="0" borderId="78" applyNumberFormat="0" applyFill="0" applyAlignment="0" applyProtection="0">
      <alignment vertical="center"/>
    </xf>
    <xf numFmtId="170" fontId="183" fillId="0" borderId="78" applyNumberFormat="0" applyFill="0" applyAlignment="0" applyProtection="0">
      <alignment vertical="center"/>
    </xf>
    <xf numFmtId="170" fontId="183" fillId="0" borderId="78" applyNumberFormat="0" applyFill="0" applyAlignment="0" applyProtection="0">
      <alignment vertical="center"/>
    </xf>
    <xf numFmtId="170" fontId="183" fillId="0" borderId="78" applyNumberFormat="0" applyFill="0" applyAlignment="0" applyProtection="0">
      <alignment vertical="center"/>
    </xf>
    <xf numFmtId="170" fontId="183" fillId="0" borderId="78" applyNumberFormat="0" applyFill="0" applyAlignment="0" applyProtection="0">
      <alignment vertical="center"/>
    </xf>
    <xf numFmtId="170" fontId="183" fillId="0" borderId="78" applyNumberFormat="0" applyFill="0" applyAlignment="0" applyProtection="0">
      <alignment vertical="center"/>
    </xf>
    <xf numFmtId="170" fontId="183" fillId="0" borderId="78" applyNumberFormat="0" applyFill="0" applyAlignment="0" applyProtection="0">
      <alignment vertical="center"/>
    </xf>
    <xf numFmtId="170" fontId="183" fillId="0" borderId="78" applyNumberFormat="0" applyFill="0" applyAlignment="0" applyProtection="0">
      <alignment vertical="center"/>
    </xf>
    <xf numFmtId="0" fontId="32" fillId="0" borderId="33" applyNumberFormat="0" applyFill="0" applyAlignment="0" applyProtection="0">
      <alignment vertical="center"/>
    </xf>
    <xf numFmtId="0" fontId="229" fillId="0" borderId="33" applyNumberFormat="0" applyFill="0" applyAlignment="0" applyProtection="0">
      <alignment vertical="center"/>
    </xf>
    <xf numFmtId="0" fontId="229" fillId="0" borderId="33" applyNumberFormat="0" applyFill="0" applyAlignment="0" applyProtection="0">
      <alignment vertical="center"/>
    </xf>
    <xf numFmtId="0" fontId="229" fillId="0" borderId="33" applyNumberFormat="0" applyFill="0" applyAlignment="0" applyProtection="0">
      <alignment vertical="center"/>
    </xf>
    <xf numFmtId="0" fontId="229" fillId="0" borderId="33" applyNumberFormat="0" applyFill="0" applyAlignment="0" applyProtection="0">
      <alignment vertical="center"/>
    </xf>
    <xf numFmtId="0" fontId="229" fillId="0" borderId="33" applyNumberFormat="0" applyFill="0" applyAlignment="0" applyProtection="0">
      <alignment vertical="center"/>
    </xf>
    <xf numFmtId="0" fontId="229" fillId="0" borderId="33" applyNumberFormat="0" applyFill="0" applyAlignment="0" applyProtection="0">
      <alignment vertical="center"/>
    </xf>
    <xf numFmtId="0" fontId="229" fillId="0" borderId="33" applyNumberFormat="0" applyFill="0" applyAlignment="0" applyProtection="0">
      <alignment vertical="center"/>
    </xf>
    <xf numFmtId="170" fontId="231" fillId="0" borderId="0"/>
    <xf numFmtId="0" fontId="232" fillId="6" borderId="28" applyNumberFormat="0" applyAlignment="0" applyProtection="0">
      <alignment vertical="center"/>
    </xf>
    <xf numFmtId="0" fontId="232" fillId="6" borderId="28" applyNumberFormat="0" applyAlignment="0" applyProtection="0">
      <alignment vertical="center"/>
    </xf>
    <xf numFmtId="0" fontId="232" fillId="6" borderId="28" applyNumberFormat="0" applyAlignment="0" applyProtection="0">
      <alignment vertical="center"/>
    </xf>
    <xf numFmtId="0" fontId="232" fillId="6" borderId="28" applyNumberFormat="0" applyAlignment="0" applyProtection="0">
      <alignment vertical="center"/>
    </xf>
    <xf numFmtId="0" fontId="232" fillId="6" borderId="28" applyNumberFormat="0" applyAlignment="0" applyProtection="0">
      <alignment vertical="center"/>
    </xf>
    <xf numFmtId="0" fontId="232" fillId="6" borderId="28" applyNumberFormat="0" applyAlignment="0" applyProtection="0">
      <alignment vertical="center"/>
    </xf>
    <xf numFmtId="0" fontId="232" fillId="6" borderId="28" applyNumberFormat="0" applyAlignment="0" applyProtection="0">
      <alignment vertical="center"/>
    </xf>
    <xf numFmtId="170" fontId="154" fillId="61" borderId="61" applyNumberFormat="0" applyAlignment="0" applyProtection="0">
      <alignment vertical="center"/>
    </xf>
    <xf numFmtId="170" fontId="154" fillId="61" borderId="61" applyNumberFormat="0" applyAlignment="0" applyProtection="0">
      <alignment vertical="center"/>
    </xf>
    <xf numFmtId="170" fontId="154" fillId="61" borderId="61" applyNumberFormat="0" applyAlignment="0" applyProtection="0">
      <alignment vertical="center"/>
    </xf>
    <xf numFmtId="170" fontId="154" fillId="61" borderId="61" applyNumberFormat="0" applyAlignment="0" applyProtection="0">
      <alignment vertical="center"/>
    </xf>
    <xf numFmtId="170" fontId="154" fillId="61" borderId="61" applyNumberFormat="0" applyAlignment="0" applyProtection="0">
      <alignment vertical="center"/>
    </xf>
    <xf numFmtId="170" fontId="154" fillId="61" borderId="61" applyNumberFormat="0" applyAlignment="0" applyProtection="0">
      <alignment vertical="center"/>
    </xf>
    <xf numFmtId="170" fontId="154" fillId="61" borderId="61" applyNumberFormat="0" applyAlignment="0" applyProtection="0">
      <alignment vertical="center"/>
    </xf>
    <xf numFmtId="170" fontId="154" fillId="61" borderId="61" applyNumberFormat="0" applyAlignment="0" applyProtection="0">
      <alignment vertical="center"/>
    </xf>
    <xf numFmtId="170" fontId="154" fillId="61" borderId="61" applyNumberFormat="0" applyAlignment="0" applyProtection="0">
      <alignment vertical="center"/>
    </xf>
    <xf numFmtId="0" fontId="233" fillId="51" borderId="61" applyNumberFormat="0" applyAlignment="0" applyProtection="0">
      <alignment vertical="center"/>
    </xf>
    <xf numFmtId="170" fontId="154" fillId="61" borderId="61" applyNumberFormat="0" applyAlignment="0" applyProtection="0">
      <alignment vertical="center"/>
    </xf>
    <xf numFmtId="170" fontId="154" fillId="61" borderId="61" applyNumberFormat="0" applyAlignment="0" applyProtection="0">
      <alignment vertical="center"/>
    </xf>
    <xf numFmtId="170" fontId="154" fillId="61" borderId="61" applyNumberFormat="0" applyAlignment="0" applyProtection="0">
      <alignment vertical="center"/>
    </xf>
    <xf numFmtId="170" fontId="154" fillId="61" borderId="61" applyNumberFormat="0" applyAlignment="0" applyProtection="0">
      <alignment vertical="center"/>
    </xf>
    <xf numFmtId="170" fontId="154" fillId="61" borderId="61" applyNumberFormat="0" applyAlignment="0" applyProtection="0">
      <alignment vertical="center"/>
    </xf>
    <xf numFmtId="170" fontId="154" fillId="61" borderId="61" applyNumberFormat="0" applyAlignment="0" applyProtection="0">
      <alignment vertical="center"/>
    </xf>
    <xf numFmtId="170" fontId="154" fillId="61" borderId="61" applyNumberFormat="0" applyAlignment="0" applyProtection="0">
      <alignment vertical="center"/>
    </xf>
    <xf numFmtId="170" fontId="154" fillId="61" borderId="61" applyNumberFormat="0" applyAlignment="0" applyProtection="0">
      <alignment vertical="center"/>
    </xf>
    <xf numFmtId="170" fontId="154" fillId="61" borderId="61" applyNumberFormat="0" applyAlignment="0" applyProtection="0">
      <alignment vertical="center"/>
    </xf>
    <xf numFmtId="170" fontId="154" fillId="61" borderId="61" applyNumberFormat="0" applyAlignment="0" applyProtection="0">
      <alignment vertical="center"/>
    </xf>
    <xf numFmtId="170" fontId="154" fillId="61" borderId="61" applyNumberFormat="0" applyAlignment="0" applyProtection="0">
      <alignment vertical="center"/>
    </xf>
    <xf numFmtId="170" fontId="154" fillId="61" borderId="61" applyNumberFormat="0" applyAlignment="0" applyProtection="0">
      <alignment vertical="center"/>
    </xf>
    <xf numFmtId="170" fontId="154" fillId="61" borderId="61" applyNumberFormat="0" applyAlignment="0" applyProtection="0">
      <alignment vertical="center"/>
    </xf>
    <xf numFmtId="170" fontId="154" fillId="61" borderId="61" applyNumberFormat="0" applyAlignment="0" applyProtection="0">
      <alignment vertical="center"/>
    </xf>
    <xf numFmtId="170" fontId="154" fillId="61" borderId="61" applyNumberFormat="0" applyAlignment="0" applyProtection="0">
      <alignment vertical="center"/>
    </xf>
    <xf numFmtId="170" fontId="154" fillId="61" borderId="61" applyNumberFormat="0" applyAlignment="0" applyProtection="0">
      <alignment vertical="center"/>
    </xf>
    <xf numFmtId="170" fontId="154" fillId="61" borderId="61" applyNumberFormat="0" applyAlignment="0" applyProtection="0">
      <alignment vertical="center"/>
    </xf>
    <xf numFmtId="170" fontId="154" fillId="61" borderId="61" applyNumberFormat="0" applyAlignment="0" applyProtection="0">
      <alignment vertical="center"/>
    </xf>
    <xf numFmtId="0" fontId="232" fillId="6" borderId="28" applyNumberFormat="0" applyAlignment="0" applyProtection="0">
      <alignment vertical="center"/>
    </xf>
    <xf numFmtId="0" fontId="233" fillId="51" borderId="61" applyNumberFormat="0" applyAlignment="0" applyProtection="0">
      <alignment vertical="center"/>
    </xf>
    <xf numFmtId="0" fontId="232" fillId="6" borderId="28" applyNumberFormat="0" applyAlignment="0" applyProtection="0">
      <alignment vertical="center"/>
    </xf>
    <xf numFmtId="170" fontId="154" fillId="51" borderId="61" applyNumberFormat="0" applyAlignment="0" applyProtection="0">
      <alignment vertical="center"/>
    </xf>
    <xf numFmtId="170" fontId="154" fillId="51" borderId="61" applyNumberFormat="0" applyAlignment="0" applyProtection="0">
      <alignment vertical="center"/>
    </xf>
    <xf numFmtId="170" fontId="154" fillId="51" borderId="61" applyNumberFormat="0" applyAlignment="0" applyProtection="0">
      <alignment vertical="center"/>
    </xf>
    <xf numFmtId="170" fontId="154" fillId="51" borderId="61" applyNumberFormat="0" applyAlignment="0" applyProtection="0">
      <alignment vertical="center"/>
    </xf>
    <xf numFmtId="170" fontId="154" fillId="51" borderId="61" applyNumberFormat="0" applyAlignment="0" applyProtection="0">
      <alignment vertical="center"/>
    </xf>
    <xf numFmtId="170" fontId="154" fillId="51" borderId="61" applyNumberFormat="0" applyAlignment="0" applyProtection="0">
      <alignment vertical="center"/>
    </xf>
    <xf numFmtId="170" fontId="154" fillId="51" borderId="61" applyNumberFormat="0" applyAlignment="0" applyProtection="0">
      <alignment vertical="center"/>
    </xf>
    <xf numFmtId="170" fontId="154" fillId="51" borderId="61" applyNumberFormat="0" applyAlignment="0" applyProtection="0">
      <alignment vertical="center"/>
    </xf>
    <xf numFmtId="170" fontId="154" fillId="51" borderId="61" applyNumberFormat="0" applyAlignment="0" applyProtection="0">
      <alignment vertical="center"/>
    </xf>
    <xf numFmtId="170" fontId="154" fillId="51" borderId="61" applyNumberFormat="0" applyAlignment="0" applyProtection="0">
      <alignment vertical="center"/>
    </xf>
    <xf numFmtId="170" fontId="154" fillId="51" borderId="61" applyNumberFormat="0" applyAlignment="0" applyProtection="0">
      <alignment vertical="center"/>
    </xf>
    <xf numFmtId="170" fontId="154" fillId="51" borderId="61" applyNumberFormat="0" applyAlignment="0" applyProtection="0">
      <alignment vertical="center"/>
    </xf>
    <xf numFmtId="170" fontId="154" fillId="51" borderId="61" applyNumberFormat="0" applyAlignment="0" applyProtection="0">
      <alignment vertical="center"/>
    </xf>
    <xf numFmtId="170" fontId="154" fillId="51" borderId="61" applyNumberFormat="0" applyAlignment="0" applyProtection="0">
      <alignment vertical="center"/>
    </xf>
    <xf numFmtId="170" fontId="154" fillId="51" borderId="61" applyNumberFormat="0" applyAlignment="0" applyProtection="0">
      <alignment vertical="center"/>
    </xf>
    <xf numFmtId="170" fontId="154" fillId="51" borderId="61" applyNumberFormat="0" applyAlignment="0" applyProtection="0">
      <alignment vertical="center"/>
    </xf>
    <xf numFmtId="170" fontId="154" fillId="51" borderId="61" applyNumberFormat="0" applyAlignment="0" applyProtection="0">
      <alignment vertical="center"/>
    </xf>
    <xf numFmtId="170" fontId="154" fillId="51" borderId="61" applyNumberFormat="0" applyAlignment="0" applyProtection="0">
      <alignment vertical="center"/>
    </xf>
    <xf numFmtId="170" fontId="154" fillId="51" borderId="61" applyNumberFormat="0" applyAlignment="0" applyProtection="0">
      <alignment vertical="center"/>
    </xf>
    <xf numFmtId="170" fontId="154" fillId="51" borderId="61" applyNumberFormat="0" applyAlignment="0" applyProtection="0">
      <alignment vertical="center"/>
    </xf>
    <xf numFmtId="170" fontId="154" fillId="51" borderId="61" applyNumberFormat="0" applyAlignment="0" applyProtection="0">
      <alignment vertical="center"/>
    </xf>
    <xf numFmtId="170" fontId="154" fillId="51" borderId="61" applyNumberFormat="0" applyAlignment="0" applyProtection="0">
      <alignment vertical="center"/>
    </xf>
    <xf numFmtId="170" fontId="154" fillId="51" borderId="61" applyNumberFormat="0" applyAlignment="0" applyProtection="0">
      <alignment vertical="center"/>
    </xf>
    <xf numFmtId="170" fontId="154" fillId="51" borderId="61" applyNumberFormat="0" applyAlignment="0" applyProtection="0">
      <alignment vertical="center"/>
    </xf>
    <xf numFmtId="170" fontId="154" fillId="51" borderId="61" applyNumberFormat="0" applyAlignment="0" applyProtection="0">
      <alignment vertical="center"/>
    </xf>
    <xf numFmtId="170" fontId="154" fillId="51" borderId="61" applyNumberFormat="0" applyAlignment="0" applyProtection="0">
      <alignment vertical="center"/>
    </xf>
    <xf numFmtId="170" fontId="154" fillId="51" borderId="61" applyNumberFormat="0" applyAlignment="0" applyProtection="0">
      <alignment vertical="center"/>
    </xf>
    <xf numFmtId="0" fontId="25" fillId="6" borderId="28" applyNumberFormat="0" applyAlignment="0" applyProtection="0">
      <alignment vertical="center"/>
    </xf>
    <xf numFmtId="0" fontId="232" fillId="6" borderId="28" applyNumberFormat="0" applyAlignment="0" applyProtection="0">
      <alignment vertical="center"/>
    </xf>
    <xf numFmtId="0" fontId="232" fillId="6" borderId="28" applyNumberFormat="0" applyAlignment="0" applyProtection="0">
      <alignment vertical="center"/>
    </xf>
    <xf numFmtId="0" fontId="232" fillId="6" borderId="28" applyNumberFormat="0" applyAlignment="0" applyProtection="0">
      <alignment vertical="center"/>
    </xf>
    <xf numFmtId="0" fontId="232" fillId="6" borderId="28" applyNumberFormat="0" applyAlignment="0" applyProtection="0">
      <alignment vertical="center"/>
    </xf>
    <xf numFmtId="0" fontId="232" fillId="6" borderId="28" applyNumberFormat="0" applyAlignment="0" applyProtection="0">
      <alignment vertical="center"/>
    </xf>
    <xf numFmtId="0" fontId="232" fillId="6" borderId="28" applyNumberFormat="0" applyAlignment="0" applyProtection="0">
      <alignment vertical="center"/>
    </xf>
    <xf numFmtId="0" fontId="232" fillId="6" borderId="28" applyNumberFormat="0" applyAlignment="0" applyProtection="0">
      <alignment vertical="center"/>
    </xf>
    <xf numFmtId="4" fontId="200" fillId="0" borderId="0" applyFont="0" applyFill="0" applyBorder="0" applyAlignment="0" applyProtection="0"/>
    <xf numFmtId="4" fontId="124" fillId="0" borderId="0">
      <protection locked="0"/>
    </xf>
    <xf numFmtId="4" fontId="200" fillId="0" borderId="0" applyFont="0" applyFill="0" applyBorder="0" applyAlignment="0" applyProtection="0"/>
    <xf numFmtId="3" fontId="200" fillId="0" borderId="0" applyFont="0" applyFill="0" applyBorder="0" applyAlignment="0" applyProtection="0"/>
    <xf numFmtId="170" fontId="37" fillId="0" borderId="0">
      <protection locked="0"/>
    </xf>
    <xf numFmtId="3" fontId="200" fillId="0" borderId="0" applyFont="0" applyFill="0" applyBorder="0" applyAlignment="0" applyProtection="0"/>
    <xf numFmtId="0" fontId="37" fillId="0" borderId="0">
      <protection locked="0"/>
    </xf>
    <xf numFmtId="0" fontId="234" fillId="0" borderId="25" applyNumberFormat="0" applyFill="0" applyAlignment="0" applyProtection="0">
      <alignment vertical="center"/>
    </xf>
    <xf numFmtId="0" fontId="234" fillId="0" borderId="25" applyNumberFormat="0" applyFill="0" applyAlignment="0" applyProtection="0">
      <alignment vertical="center"/>
    </xf>
    <xf numFmtId="0" fontId="234" fillId="0" borderId="25" applyNumberFormat="0" applyFill="0" applyAlignment="0" applyProtection="0">
      <alignment vertical="center"/>
    </xf>
    <xf numFmtId="0" fontId="234" fillId="0" borderId="25" applyNumberFormat="0" applyFill="0" applyAlignment="0" applyProtection="0">
      <alignment vertical="center"/>
    </xf>
    <xf numFmtId="0" fontId="234" fillId="0" borderId="25" applyNumberFormat="0" applyFill="0" applyAlignment="0" applyProtection="0">
      <alignment vertical="center"/>
    </xf>
    <xf numFmtId="0" fontId="234" fillId="0" borderId="25" applyNumberFormat="0" applyFill="0" applyAlignment="0" applyProtection="0">
      <alignment vertical="center"/>
    </xf>
    <xf numFmtId="0" fontId="234" fillId="0" borderId="25" applyNumberFormat="0" applyFill="0" applyAlignment="0" applyProtection="0">
      <alignment vertical="center"/>
    </xf>
    <xf numFmtId="170" fontId="235" fillId="0" borderId="83" applyNumberFormat="0" applyFill="0" applyAlignment="0" applyProtection="0">
      <alignment vertical="center"/>
    </xf>
    <xf numFmtId="0" fontId="234" fillId="0" borderId="25" applyNumberFormat="0" applyFill="0" applyAlignment="0" applyProtection="0">
      <alignment vertical="center"/>
    </xf>
    <xf numFmtId="0" fontId="236" fillId="0" borderId="65" applyNumberFormat="0" applyFill="0" applyAlignment="0" applyProtection="0">
      <alignment vertical="center"/>
    </xf>
    <xf numFmtId="0" fontId="234" fillId="0" borderId="25" applyNumberFormat="0" applyFill="0" applyAlignment="0" applyProtection="0">
      <alignment vertical="center"/>
    </xf>
    <xf numFmtId="170" fontId="139" fillId="0" borderId="65" applyNumberFormat="0" applyFill="0" applyAlignment="0" applyProtection="0">
      <alignment vertical="center"/>
    </xf>
    <xf numFmtId="0" fontId="19" fillId="0" borderId="25" applyNumberFormat="0" applyFill="0" applyAlignment="0" applyProtection="0">
      <alignment vertical="center"/>
    </xf>
    <xf numFmtId="0" fontId="234" fillId="0" borderId="25" applyNumberFormat="0" applyFill="0" applyAlignment="0" applyProtection="0">
      <alignment vertical="center"/>
    </xf>
    <xf numFmtId="0" fontId="234" fillId="0" borderId="25" applyNumberFormat="0" applyFill="0" applyAlignment="0" applyProtection="0">
      <alignment vertical="center"/>
    </xf>
    <xf numFmtId="0" fontId="234" fillId="0" borderId="25" applyNumberFormat="0" applyFill="0" applyAlignment="0" applyProtection="0">
      <alignment vertical="center"/>
    </xf>
    <xf numFmtId="0" fontId="234" fillId="0" borderId="25" applyNumberFormat="0" applyFill="0" applyAlignment="0" applyProtection="0">
      <alignment vertical="center"/>
    </xf>
    <xf numFmtId="0" fontId="234" fillId="0" borderId="25" applyNumberFormat="0" applyFill="0" applyAlignment="0" applyProtection="0">
      <alignment vertical="center"/>
    </xf>
    <xf numFmtId="0" fontId="234" fillId="0" borderId="25" applyNumberFormat="0" applyFill="0" applyAlignment="0" applyProtection="0">
      <alignment vertical="center"/>
    </xf>
    <xf numFmtId="0" fontId="234" fillId="0" borderId="25" applyNumberFormat="0" applyFill="0" applyAlignment="0" applyProtection="0">
      <alignment vertical="center"/>
    </xf>
    <xf numFmtId="0" fontId="237" fillId="0" borderId="0" applyNumberFormat="0" applyFill="0" applyBorder="0" applyAlignment="0" applyProtection="0">
      <alignment vertical="center"/>
    </xf>
    <xf numFmtId="0" fontId="237" fillId="0" borderId="0" applyNumberFormat="0" applyFill="0" applyBorder="0" applyAlignment="0" applyProtection="0">
      <alignment vertical="center"/>
    </xf>
    <xf numFmtId="0" fontId="237" fillId="0" borderId="0" applyNumberFormat="0" applyFill="0" applyBorder="0" applyAlignment="0" applyProtection="0">
      <alignment vertical="center"/>
    </xf>
    <xf numFmtId="0" fontId="237" fillId="0" borderId="0" applyNumberFormat="0" applyFill="0" applyBorder="0" applyAlignment="0" applyProtection="0">
      <alignment vertical="center"/>
    </xf>
    <xf numFmtId="0" fontId="237" fillId="0" borderId="0" applyNumberFormat="0" applyFill="0" applyBorder="0" applyAlignment="0" applyProtection="0">
      <alignment vertical="center"/>
    </xf>
    <xf numFmtId="0" fontId="237" fillId="0" borderId="0" applyNumberFormat="0" applyFill="0" applyBorder="0" applyAlignment="0" applyProtection="0">
      <alignment vertical="center"/>
    </xf>
    <xf numFmtId="0" fontId="237" fillId="0" borderId="0" applyNumberFormat="0" applyFill="0" applyBorder="0" applyAlignment="0" applyProtection="0">
      <alignment vertical="center"/>
    </xf>
    <xf numFmtId="0" fontId="237" fillId="0" borderId="0" applyNumberFormat="0" applyFill="0" applyBorder="0" applyAlignment="0" applyProtection="0">
      <alignment vertical="center"/>
    </xf>
    <xf numFmtId="0" fontId="237" fillId="0" borderId="0" applyNumberFormat="0" applyFill="0" applyBorder="0" applyAlignment="0" applyProtection="0">
      <alignment vertical="center"/>
    </xf>
    <xf numFmtId="0" fontId="238" fillId="0" borderId="26" applyNumberFormat="0" applyFill="0" applyAlignment="0" applyProtection="0">
      <alignment vertical="center"/>
    </xf>
    <xf numFmtId="0" fontId="238" fillId="0" borderId="26" applyNumberFormat="0" applyFill="0" applyAlignment="0" applyProtection="0">
      <alignment vertical="center"/>
    </xf>
    <xf numFmtId="0" fontId="238" fillId="0" borderId="26" applyNumberFormat="0" applyFill="0" applyAlignment="0" applyProtection="0">
      <alignment vertical="center"/>
    </xf>
    <xf numFmtId="0" fontId="238" fillId="0" borderId="26" applyNumberFormat="0" applyFill="0" applyAlignment="0" applyProtection="0">
      <alignment vertical="center"/>
    </xf>
    <xf numFmtId="0" fontId="238" fillId="0" borderId="26" applyNumberFormat="0" applyFill="0" applyAlignment="0" applyProtection="0">
      <alignment vertical="center"/>
    </xf>
    <xf numFmtId="0" fontId="238" fillId="0" borderId="26" applyNumberFormat="0" applyFill="0" applyAlignment="0" applyProtection="0">
      <alignment vertical="center"/>
    </xf>
    <xf numFmtId="0" fontId="238" fillId="0" borderId="26" applyNumberFormat="0" applyFill="0" applyAlignment="0" applyProtection="0">
      <alignment vertical="center"/>
    </xf>
    <xf numFmtId="170" fontId="239" fillId="0" borderId="84" applyNumberFormat="0" applyFill="0" applyAlignment="0" applyProtection="0">
      <alignment vertical="center"/>
    </xf>
    <xf numFmtId="0" fontId="238" fillId="0" borderId="26" applyNumberFormat="0" applyFill="0" applyAlignment="0" applyProtection="0">
      <alignment vertical="center"/>
    </xf>
    <xf numFmtId="0" fontId="240" fillId="0" borderId="67" applyNumberFormat="0" applyFill="0" applyAlignment="0" applyProtection="0">
      <alignment vertical="center"/>
    </xf>
    <xf numFmtId="0" fontId="238" fillId="0" borderId="26" applyNumberFormat="0" applyFill="0" applyAlignment="0" applyProtection="0">
      <alignment vertical="center"/>
    </xf>
    <xf numFmtId="170" fontId="143" fillId="0" borderId="67" applyNumberFormat="0" applyFill="0" applyAlignment="0" applyProtection="0">
      <alignment vertical="center"/>
    </xf>
    <xf numFmtId="0" fontId="20" fillId="0" borderId="26" applyNumberFormat="0" applyFill="0" applyAlignment="0" applyProtection="0">
      <alignment vertical="center"/>
    </xf>
    <xf numFmtId="0" fontId="238" fillId="0" borderId="26" applyNumberFormat="0" applyFill="0" applyAlignment="0" applyProtection="0">
      <alignment vertical="center"/>
    </xf>
    <xf numFmtId="0" fontId="238" fillId="0" borderId="26" applyNumberFormat="0" applyFill="0" applyAlignment="0" applyProtection="0">
      <alignment vertical="center"/>
    </xf>
    <xf numFmtId="0" fontId="238" fillId="0" borderId="26" applyNumberFormat="0" applyFill="0" applyAlignment="0" applyProtection="0">
      <alignment vertical="center"/>
    </xf>
    <xf numFmtId="0" fontId="238" fillId="0" borderId="26" applyNumberFormat="0" applyFill="0" applyAlignment="0" applyProtection="0">
      <alignment vertical="center"/>
    </xf>
    <xf numFmtId="0" fontId="238" fillId="0" borderId="26" applyNumberFormat="0" applyFill="0" applyAlignment="0" applyProtection="0">
      <alignment vertical="center"/>
    </xf>
    <xf numFmtId="0" fontId="238" fillId="0" borderId="26" applyNumberFormat="0" applyFill="0" applyAlignment="0" applyProtection="0">
      <alignment vertical="center"/>
    </xf>
    <xf numFmtId="0" fontId="238" fillId="0" borderId="26" applyNumberFormat="0" applyFill="0" applyAlignment="0" applyProtection="0">
      <alignment vertical="center"/>
    </xf>
    <xf numFmtId="0" fontId="241" fillId="0" borderId="27" applyNumberFormat="0" applyFill="0" applyAlignment="0" applyProtection="0">
      <alignment vertical="center"/>
    </xf>
    <xf numFmtId="0" fontId="241" fillId="0" borderId="27" applyNumberFormat="0" applyFill="0" applyAlignment="0" applyProtection="0">
      <alignment vertical="center"/>
    </xf>
    <xf numFmtId="0" fontId="241" fillId="0" borderId="27" applyNumberFormat="0" applyFill="0" applyAlignment="0" applyProtection="0">
      <alignment vertical="center"/>
    </xf>
    <xf numFmtId="0" fontId="241" fillId="0" borderId="27" applyNumberFormat="0" applyFill="0" applyAlignment="0" applyProtection="0">
      <alignment vertical="center"/>
    </xf>
    <xf numFmtId="0" fontId="241" fillId="0" borderId="27" applyNumberFormat="0" applyFill="0" applyAlignment="0" applyProtection="0">
      <alignment vertical="center"/>
    </xf>
    <xf numFmtId="0" fontId="241" fillId="0" borderId="27" applyNumberFormat="0" applyFill="0" applyAlignment="0" applyProtection="0">
      <alignment vertical="center"/>
    </xf>
    <xf numFmtId="0" fontId="241" fillId="0" borderId="27" applyNumberFormat="0" applyFill="0" applyAlignment="0" applyProtection="0">
      <alignment vertical="center"/>
    </xf>
    <xf numFmtId="170" fontId="242" fillId="0" borderId="85" applyNumberFormat="0" applyFill="0" applyAlignment="0" applyProtection="0">
      <alignment vertical="center"/>
    </xf>
    <xf numFmtId="0" fontId="241" fillId="0" borderId="27" applyNumberFormat="0" applyFill="0" applyAlignment="0" applyProtection="0">
      <alignment vertical="center"/>
    </xf>
    <xf numFmtId="170" fontId="242" fillId="0" borderId="85" applyNumberFormat="0" applyFill="0" applyAlignment="0" applyProtection="0">
      <alignment vertical="center"/>
    </xf>
    <xf numFmtId="170" fontId="242" fillId="0" borderId="85" applyNumberFormat="0" applyFill="0" applyAlignment="0" applyProtection="0">
      <alignment vertical="center"/>
    </xf>
    <xf numFmtId="170" fontId="242" fillId="0" borderId="85" applyNumberFormat="0" applyFill="0" applyAlignment="0" applyProtection="0">
      <alignment vertical="center"/>
    </xf>
    <xf numFmtId="170" fontId="242" fillId="0" borderId="85" applyNumberFormat="0" applyFill="0" applyAlignment="0" applyProtection="0">
      <alignment vertical="center"/>
    </xf>
    <xf numFmtId="170" fontId="242" fillId="0" borderId="85" applyNumberFormat="0" applyFill="0" applyAlignment="0" applyProtection="0">
      <alignment vertical="center"/>
    </xf>
    <xf numFmtId="170" fontId="242" fillId="0" borderId="85" applyNumberFormat="0" applyFill="0" applyAlignment="0" applyProtection="0">
      <alignment vertical="center"/>
    </xf>
    <xf numFmtId="170" fontId="242" fillId="0" borderId="85" applyNumberFormat="0" applyFill="0" applyAlignment="0" applyProtection="0">
      <alignment vertical="center"/>
    </xf>
    <xf numFmtId="170" fontId="242" fillId="0" borderId="85" applyNumberFormat="0" applyFill="0" applyAlignment="0" applyProtection="0">
      <alignment vertical="center"/>
    </xf>
    <xf numFmtId="170" fontId="242" fillId="0" borderId="85" applyNumberFormat="0" applyFill="0" applyAlignment="0" applyProtection="0">
      <alignment vertical="center"/>
    </xf>
    <xf numFmtId="170" fontId="242" fillId="0" borderId="85" applyNumberFormat="0" applyFill="0" applyAlignment="0" applyProtection="0">
      <alignment vertical="center"/>
    </xf>
    <xf numFmtId="170" fontId="242" fillId="0" borderId="85" applyNumberFormat="0" applyFill="0" applyAlignment="0" applyProtection="0">
      <alignment vertical="center"/>
    </xf>
    <xf numFmtId="170" fontId="242" fillId="0" borderId="85" applyNumberFormat="0" applyFill="0" applyAlignment="0" applyProtection="0">
      <alignment vertical="center"/>
    </xf>
    <xf numFmtId="170" fontId="242" fillId="0" borderId="85" applyNumberFormat="0" applyFill="0" applyAlignment="0" applyProtection="0">
      <alignment vertical="center"/>
    </xf>
    <xf numFmtId="170" fontId="242" fillId="0" borderId="85" applyNumberFormat="0" applyFill="0" applyAlignment="0" applyProtection="0">
      <alignment vertical="center"/>
    </xf>
    <xf numFmtId="170" fontId="242" fillId="0" borderId="85" applyNumberFormat="0" applyFill="0" applyAlignment="0" applyProtection="0">
      <alignment vertical="center"/>
    </xf>
    <xf numFmtId="170" fontId="242" fillId="0" borderId="85" applyNumberFormat="0" applyFill="0" applyAlignment="0" applyProtection="0">
      <alignment vertical="center"/>
    </xf>
    <xf numFmtId="0" fontId="243" fillId="0" borderId="68" applyNumberFormat="0" applyFill="0" applyAlignment="0" applyProtection="0">
      <alignment vertical="center"/>
    </xf>
    <xf numFmtId="0" fontId="241" fillId="0" borderId="27" applyNumberFormat="0" applyFill="0" applyAlignment="0" applyProtection="0">
      <alignment vertical="center"/>
    </xf>
    <xf numFmtId="170" fontId="147" fillId="0" borderId="68" applyNumberFormat="0" applyFill="0" applyAlignment="0" applyProtection="0">
      <alignment vertical="center"/>
    </xf>
    <xf numFmtId="170" fontId="147" fillId="0" borderId="68" applyNumberFormat="0" applyFill="0" applyAlignment="0" applyProtection="0">
      <alignment vertical="center"/>
    </xf>
    <xf numFmtId="170" fontId="147" fillId="0" borderId="68" applyNumberFormat="0" applyFill="0" applyAlignment="0" applyProtection="0">
      <alignment vertical="center"/>
    </xf>
    <xf numFmtId="170" fontId="147" fillId="0" borderId="68" applyNumberFormat="0" applyFill="0" applyAlignment="0" applyProtection="0">
      <alignment vertical="center"/>
    </xf>
    <xf numFmtId="170" fontId="147" fillId="0" borderId="68" applyNumberFormat="0" applyFill="0" applyAlignment="0" applyProtection="0">
      <alignment vertical="center"/>
    </xf>
    <xf numFmtId="170" fontId="147" fillId="0" borderId="68" applyNumberFormat="0" applyFill="0" applyAlignment="0" applyProtection="0">
      <alignment vertical="center"/>
    </xf>
    <xf numFmtId="170" fontId="147" fillId="0" borderId="68" applyNumberFormat="0" applyFill="0" applyAlignment="0" applyProtection="0">
      <alignment vertical="center"/>
    </xf>
    <xf numFmtId="170" fontId="147" fillId="0" borderId="68" applyNumberFormat="0" applyFill="0" applyAlignment="0" applyProtection="0">
      <alignment vertical="center"/>
    </xf>
    <xf numFmtId="170" fontId="147" fillId="0" borderId="68" applyNumberFormat="0" applyFill="0" applyAlignment="0" applyProtection="0">
      <alignment vertical="center"/>
    </xf>
    <xf numFmtId="170" fontId="147" fillId="0" borderId="68" applyNumberFormat="0" applyFill="0" applyAlignment="0" applyProtection="0">
      <alignment vertical="center"/>
    </xf>
    <xf numFmtId="170" fontId="147" fillId="0" borderId="68" applyNumberFormat="0" applyFill="0" applyAlignment="0" applyProtection="0">
      <alignment vertical="center"/>
    </xf>
    <xf numFmtId="170" fontId="147" fillId="0" borderId="68" applyNumberFormat="0" applyFill="0" applyAlignment="0" applyProtection="0">
      <alignment vertical="center"/>
    </xf>
    <xf numFmtId="170" fontId="147" fillId="0" borderId="68" applyNumberFormat="0" applyFill="0" applyAlignment="0" applyProtection="0">
      <alignment vertical="center"/>
    </xf>
    <xf numFmtId="170" fontId="147" fillId="0" borderId="68" applyNumberFormat="0" applyFill="0" applyAlignment="0" applyProtection="0">
      <alignment vertical="center"/>
    </xf>
    <xf numFmtId="170" fontId="147" fillId="0" borderId="68" applyNumberFormat="0" applyFill="0" applyAlignment="0" applyProtection="0">
      <alignment vertical="center"/>
    </xf>
    <xf numFmtId="170" fontId="147" fillId="0" borderId="68" applyNumberFormat="0" applyFill="0" applyAlignment="0" applyProtection="0">
      <alignment vertical="center"/>
    </xf>
    <xf numFmtId="170" fontId="147" fillId="0" borderId="68" applyNumberFormat="0" applyFill="0" applyAlignment="0" applyProtection="0">
      <alignment vertical="center"/>
    </xf>
    <xf numFmtId="0" fontId="21" fillId="0" borderId="27" applyNumberFormat="0" applyFill="0" applyAlignment="0" applyProtection="0">
      <alignment vertical="center"/>
    </xf>
    <xf numFmtId="0" fontId="241" fillId="0" borderId="27" applyNumberFormat="0" applyFill="0" applyAlignment="0" applyProtection="0">
      <alignment vertical="center"/>
    </xf>
    <xf numFmtId="0" fontId="241" fillId="0" borderId="27" applyNumberFormat="0" applyFill="0" applyAlignment="0" applyProtection="0">
      <alignment vertical="center"/>
    </xf>
    <xf numFmtId="0" fontId="241" fillId="0" borderId="27" applyNumberFormat="0" applyFill="0" applyAlignment="0" applyProtection="0">
      <alignment vertical="center"/>
    </xf>
    <xf numFmtId="0" fontId="241" fillId="0" borderId="27" applyNumberFormat="0" applyFill="0" applyAlignment="0" applyProtection="0">
      <alignment vertical="center"/>
    </xf>
    <xf numFmtId="0" fontId="241" fillId="0" borderId="27" applyNumberFormat="0" applyFill="0" applyAlignment="0" applyProtection="0">
      <alignment vertical="center"/>
    </xf>
    <xf numFmtId="0" fontId="241" fillId="0" borderId="27" applyNumberFormat="0" applyFill="0" applyAlignment="0" applyProtection="0">
      <alignment vertical="center"/>
    </xf>
    <xf numFmtId="0" fontId="241" fillId="0" borderId="27" applyNumberFormat="0" applyFill="0" applyAlignment="0" applyProtection="0">
      <alignment vertical="center"/>
    </xf>
    <xf numFmtId="0" fontId="241" fillId="0" borderId="0" applyNumberFormat="0" applyFill="0" applyBorder="0" applyAlignment="0" applyProtection="0">
      <alignment vertical="center"/>
    </xf>
    <xf numFmtId="0" fontId="241" fillId="0" borderId="0" applyNumberFormat="0" applyFill="0" applyBorder="0" applyAlignment="0" applyProtection="0">
      <alignment vertical="center"/>
    </xf>
    <xf numFmtId="0" fontId="241" fillId="0" borderId="0" applyNumberFormat="0" applyFill="0" applyBorder="0" applyAlignment="0" applyProtection="0">
      <alignment vertical="center"/>
    </xf>
    <xf numFmtId="0" fontId="241" fillId="0" borderId="0" applyNumberFormat="0" applyFill="0" applyBorder="0" applyAlignment="0" applyProtection="0">
      <alignment vertical="center"/>
    </xf>
    <xf numFmtId="0" fontId="241" fillId="0" borderId="0" applyNumberFormat="0" applyFill="0" applyBorder="0" applyAlignment="0" applyProtection="0">
      <alignment vertical="center"/>
    </xf>
    <xf numFmtId="0" fontId="241" fillId="0" borderId="0" applyNumberFormat="0" applyFill="0" applyBorder="0" applyAlignment="0" applyProtection="0">
      <alignment vertical="center"/>
    </xf>
    <xf numFmtId="0" fontId="241" fillId="0" borderId="0" applyNumberFormat="0" applyFill="0" applyBorder="0" applyAlignment="0" applyProtection="0">
      <alignment vertical="center"/>
    </xf>
    <xf numFmtId="170" fontId="242" fillId="0" borderId="0" applyNumberFormat="0" applyFill="0" applyBorder="0" applyAlignment="0" applyProtection="0">
      <alignment vertical="center"/>
    </xf>
    <xf numFmtId="0" fontId="241" fillId="0" borderId="0" applyNumberFormat="0" applyFill="0" applyBorder="0" applyAlignment="0" applyProtection="0">
      <alignment vertical="center"/>
    </xf>
    <xf numFmtId="0" fontId="243" fillId="0" borderId="0" applyNumberFormat="0" applyFill="0" applyBorder="0" applyAlignment="0" applyProtection="0">
      <alignment vertical="center"/>
    </xf>
    <xf numFmtId="0" fontId="241" fillId="0" borderId="0" applyNumberFormat="0" applyFill="0" applyBorder="0" applyAlignment="0" applyProtection="0">
      <alignment vertical="center"/>
    </xf>
    <xf numFmtId="170" fontId="147"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41" fillId="0" borderId="0" applyNumberFormat="0" applyFill="0" applyBorder="0" applyAlignment="0" applyProtection="0">
      <alignment vertical="center"/>
    </xf>
    <xf numFmtId="0" fontId="241" fillId="0" borderId="0" applyNumberFormat="0" applyFill="0" applyBorder="0" applyAlignment="0" applyProtection="0">
      <alignment vertical="center"/>
    </xf>
    <xf numFmtId="0" fontId="241" fillId="0" borderId="0" applyNumberFormat="0" applyFill="0" applyBorder="0" applyAlignment="0" applyProtection="0">
      <alignment vertical="center"/>
    </xf>
    <xf numFmtId="0" fontId="241" fillId="0" borderId="0" applyNumberFormat="0" applyFill="0" applyBorder="0" applyAlignment="0" applyProtection="0">
      <alignment vertical="center"/>
    </xf>
    <xf numFmtId="0" fontId="241" fillId="0" borderId="0" applyNumberFormat="0" applyFill="0" applyBorder="0" applyAlignment="0" applyProtection="0">
      <alignment vertical="center"/>
    </xf>
    <xf numFmtId="0" fontId="241" fillId="0" borderId="0" applyNumberFormat="0" applyFill="0" applyBorder="0" applyAlignment="0" applyProtection="0">
      <alignment vertical="center"/>
    </xf>
    <xf numFmtId="0" fontId="241" fillId="0" borderId="0" applyNumberFormat="0" applyFill="0" applyBorder="0" applyAlignment="0" applyProtection="0">
      <alignment vertical="center"/>
    </xf>
    <xf numFmtId="0" fontId="237" fillId="0" borderId="0" applyNumberFormat="0" applyFill="0" applyBorder="0" applyAlignment="0" applyProtection="0">
      <alignment vertical="center"/>
    </xf>
    <xf numFmtId="170" fontId="179" fillId="0" borderId="0" applyNumberFormat="0" applyFill="0" applyBorder="0" applyAlignment="0" applyProtection="0">
      <alignment vertical="center"/>
    </xf>
    <xf numFmtId="0" fontId="237" fillId="0" borderId="0" applyNumberFormat="0" applyFill="0" applyBorder="0" applyAlignment="0" applyProtection="0">
      <alignment vertical="center"/>
    </xf>
    <xf numFmtId="0" fontId="180" fillId="0" borderId="0" applyNumberFormat="0" applyFill="0" applyBorder="0" applyAlignment="0" applyProtection="0">
      <alignment vertical="center"/>
    </xf>
    <xf numFmtId="0" fontId="237" fillId="0" borderId="0" applyNumberFormat="0" applyFill="0" applyBorder="0" applyAlignment="0" applyProtection="0">
      <alignment vertical="center"/>
    </xf>
    <xf numFmtId="170" fontId="180"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37" fillId="0" borderId="0" applyNumberFormat="0" applyFill="0" applyBorder="0" applyAlignment="0" applyProtection="0">
      <alignment vertical="center"/>
    </xf>
    <xf numFmtId="0" fontId="237" fillId="0" borderId="0" applyNumberFormat="0" applyFill="0" applyBorder="0" applyAlignment="0" applyProtection="0">
      <alignment vertical="center"/>
    </xf>
    <xf numFmtId="0" fontId="237" fillId="0" borderId="0" applyNumberFormat="0" applyFill="0" applyBorder="0" applyAlignment="0" applyProtection="0">
      <alignment vertical="center"/>
    </xf>
    <xf numFmtId="0" fontId="237" fillId="0" borderId="0" applyNumberFormat="0" applyFill="0" applyBorder="0" applyAlignment="0" applyProtection="0">
      <alignment vertical="center"/>
    </xf>
    <xf numFmtId="0" fontId="49" fillId="0" borderId="0" applyNumberFormat="0" applyFill="0" applyBorder="0" applyAlignment="0" applyProtection="0">
      <alignment vertical="top"/>
      <protection locked="0"/>
    </xf>
    <xf numFmtId="0" fontId="244" fillId="3" borderId="0" applyNumberFormat="0" applyBorder="0" applyAlignment="0" applyProtection="0">
      <alignment vertical="center"/>
    </xf>
    <xf numFmtId="0" fontId="244" fillId="3" borderId="0" applyNumberFormat="0" applyBorder="0" applyAlignment="0" applyProtection="0">
      <alignment vertical="center"/>
    </xf>
    <xf numFmtId="0" fontId="244" fillId="3" borderId="0" applyNumberFormat="0" applyBorder="0" applyAlignment="0" applyProtection="0">
      <alignment vertical="center"/>
    </xf>
    <xf numFmtId="0" fontId="244" fillId="3" borderId="0" applyNumberFormat="0" applyBorder="0" applyAlignment="0" applyProtection="0">
      <alignment vertical="center"/>
    </xf>
    <xf numFmtId="0" fontId="244" fillId="3" borderId="0" applyNumberFormat="0" applyBorder="0" applyAlignment="0" applyProtection="0">
      <alignment vertical="center"/>
    </xf>
    <xf numFmtId="0" fontId="244" fillId="3" borderId="0" applyNumberFormat="0" applyBorder="0" applyAlignment="0" applyProtection="0">
      <alignment vertical="center"/>
    </xf>
    <xf numFmtId="0" fontId="244" fillId="3" borderId="0" applyNumberFormat="0" applyBorder="0" applyAlignment="0" applyProtection="0">
      <alignment vertical="center"/>
    </xf>
    <xf numFmtId="0" fontId="244" fillId="3" borderId="0" applyNumberFormat="0" applyBorder="0" applyAlignment="0" applyProtection="0">
      <alignment vertical="center"/>
    </xf>
    <xf numFmtId="0" fontId="244" fillId="3" borderId="0" applyNumberFormat="0" applyBorder="0" applyAlignment="0" applyProtection="0">
      <alignment vertical="center"/>
    </xf>
    <xf numFmtId="170" fontId="132" fillId="49" borderId="0" applyNumberFormat="0" applyBorder="0" applyAlignment="0" applyProtection="0">
      <alignment vertical="center"/>
    </xf>
    <xf numFmtId="0" fontId="244" fillId="3" borderId="0" applyNumberFormat="0" applyBorder="0" applyAlignment="0" applyProtection="0">
      <alignment vertical="center"/>
    </xf>
    <xf numFmtId="0" fontId="245" fillId="45" borderId="0" applyNumberFormat="0" applyBorder="0" applyAlignment="0" applyProtection="0">
      <alignment vertical="center"/>
    </xf>
    <xf numFmtId="0" fontId="244" fillId="3" borderId="0" applyNumberFormat="0" applyBorder="0" applyAlignment="0" applyProtection="0">
      <alignment vertical="center"/>
    </xf>
    <xf numFmtId="170" fontId="132" fillId="45" borderId="0" applyNumberFormat="0" applyBorder="0" applyAlignment="0" applyProtection="0">
      <alignment vertical="center"/>
    </xf>
    <xf numFmtId="0" fontId="244" fillId="3" borderId="0" applyNumberFormat="0" applyBorder="0" applyAlignment="0" applyProtection="0">
      <alignment vertical="center"/>
    </xf>
    <xf numFmtId="0" fontId="22" fillId="3" borderId="0" applyNumberFormat="0" applyBorder="0" applyAlignment="0" applyProtection="0">
      <alignment vertical="center"/>
    </xf>
    <xf numFmtId="0" fontId="244" fillId="3" borderId="0" applyNumberFormat="0" applyBorder="0" applyAlignment="0" applyProtection="0">
      <alignment vertical="center"/>
    </xf>
    <xf numFmtId="0" fontId="244" fillId="3" borderId="0" applyNumberFormat="0" applyBorder="0" applyAlignment="0" applyProtection="0">
      <alignment vertical="center"/>
    </xf>
    <xf numFmtId="0" fontId="244" fillId="3" borderId="0" applyNumberFormat="0" applyBorder="0" applyAlignment="0" applyProtection="0">
      <alignment vertical="center"/>
    </xf>
    <xf numFmtId="0" fontId="244" fillId="3" borderId="0" applyNumberFormat="0" applyBorder="0" applyAlignment="0" applyProtection="0">
      <alignment vertical="center"/>
    </xf>
    <xf numFmtId="0" fontId="244" fillId="3" borderId="0" applyNumberFormat="0" applyBorder="0" applyAlignment="0" applyProtection="0">
      <alignment vertical="center"/>
    </xf>
    <xf numFmtId="0" fontId="244" fillId="3" borderId="0" applyNumberFormat="0" applyBorder="0" applyAlignment="0" applyProtection="0">
      <alignment vertical="center"/>
    </xf>
    <xf numFmtId="0" fontId="244" fillId="3" borderId="0" applyNumberFormat="0" applyBorder="0" applyAlignment="0" applyProtection="0">
      <alignment vertical="center"/>
    </xf>
    <xf numFmtId="170" fontId="37" fillId="0" borderId="0"/>
    <xf numFmtId="170" fontId="205" fillId="0" borderId="0"/>
    <xf numFmtId="195" fontId="41" fillId="0" borderId="0" applyFont="0" applyFill="0" applyBorder="0" applyAlignment="0" applyProtection="0"/>
    <xf numFmtId="196" fontId="4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0" fontId="246" fillId="7" borderId="29" applyNumberFormat="0" applyAlignment="0" applyProtection="0">
      <alignment vertical="center"/>
    </xf>
    <xf numFmtId="0" fontId="246" fillId="7" borderId="29" applyNumberFormat="0" applyAlignment="0" applyProtection="0">
      <alignment vertical="center"/>
    </xf>
    <xf numFmtId="0" fontId="246" fillId="7" borderId="29" applyNumberFormat="0" applyAlignment="0" applyProtection="0">
      <alignment vertical="center"/>
    </xf>
    <xf numFmtId="0" fontId="246" fillId="7" borderId="29" applyNumberFormat="0" applyAlignment="0" applyProtection="0">
      <alignment vertical="center"/>
    </xf>
    <xf numFmtId="0" fontId="246" fillId="7" borderId="29" applyNumberFormat="0" applyAlignment="0" applyProtection="0">
      <alignment vertical="center"/>
    </xf>
    <xf numFmtId="0" fontId="246" fillId="7" borderId="29" applyNumberFormat="0" applyAlignment="0" applyProtection="0">
      <alignment vertical="center"/>
    </xf>
    <xf numFmtId="0" fontId="246" fillId="7" borderId="29" applyNumberFormat="0" applyAlignment="0" applyProtection="0">
      <alignment vertical="center"/>
    </xf>
    <xf numFmtId="170" fontId="172" fillId="108" borderId="74" applyNumberFormat="0" applyAlignment="0" applyProtection="0">
      <alignment vertical="center"/>
    </xf>
    <xf numFmtId="170" fontId="172" fillId="108" borderId="74" applyNumberFormat="0" applyAlignment="0" applyProtection="0">
      <alignment vertical="center"/>
    </xf>
    <xf numFmtId="170" fontId="172" fillId="108" borderId="74" applyNumberFormat="0" applyAlignment="0" applyProtection="0">
      <alignment vertical="center"/>
    </xf>
    <xf numFmtId="170" fontId="172" fillId="108" borderId="74" applyNumberFormat="0" applyAlignment="0" applyProtection="0">
      <alignment vertical="center"/>
    </xf>
    <xf numFmtId="170" fontId="172" fillId="108" borderId="74" applyNumberFormat="0" applyAlignment="0" applyProtection="0">
      <alignment vertical="center"/>
    </xf>
    <xf numFmtId="170" fontId="172" fillId="108" borderId="74" applyNumberFormat="0" applyAlignment="0" applyProtection="0">
      <alignment vertical="center"/>
    </xf>
    <xf numFmtId="170" fontId="172" fillId="108" borderId="74" applyNumberFormat="0" applyAlignment="0" applyProtection="0">
      <alignment vertical="center"/>
    </xf>
    <xf numFmtId="170" fontId="172" fillId="108" borderId="74" applyNumberFormat="0" applyAlignment="0" applyProtection="0">
      <alignment vertical="center"/>
    </xf>
    <xf numFmtId="170" fontId="172" fillId="108" borderId="74" applyNumberFormat="0" applyAlignment="0" applyProtection="0">
      <alignment vertical="center"/>
    </xf>
    <xf numFmtId="0" fontId="247" fillId="90" borderId="74" applyNumberFormat="0" applyAlignment="0" applyProtection="0">
      <alignment vertical="center"/>
    </xf>
    <xf numFmtId="170" fontId="172" fillId="108" borderId="74" applyNumberFormat="0" applyAlignment="0" applyProtection="0">
      <alignment vertical="center"/>
    </xf>
    <xf numFmtId="170" fontId="172" fillId="108" borderId="74" applyNumberFormat="0" applyAlignment="0" applyProtection="0">
      <alignment vertical="center"/>
    </xf>
    <xf numFmtId="170" fontId="172" fillId="108" borderId="74" applyNumberFormat="0" applyAlignment="0" applyProtection="0">
      <alignment vertical="center"/>
    </xf>
    <xf numFmtId="170" fontId="172" fillId="108" borderId="74" applyNumberFormat="0" applyAlignment="0" applyProtection="0">
      <alignment vertical="center"/>
    </xf>
    <xf numFmtId="170" fontId="172" fillId="108" borderId="74" applyNumberFormat="0" applyAlignment="0" applyProtection="0">
      <alignment vertical="center"/>
    </xf>
    <xf numFmtId="170" fontId="172" fillId="108" borderId="74" applyNumberFormat="0" applyAlignment="0" applyProtection="0">
      <alignment vertical="center"/>
    </xf>
    <xf numFmtId="170" fontId="172" fillId="108" borderId="74" applyNumberFormat="0" applyAlignment="0" applyProtection="0">
      <alignment vertical="center"/>
    </xf>
    <xf numFmtId="170" fontId="172" fillId="108" borderId="74" applyNumberFormat="0" applyAlignment="0" applyProtection="0">
      <alignment vertical="center"/>
    </xf>
    <xf numFmtId="170" fontId="172" fillId="108" borderId="74" applyNumberFormat="0" applyAlignment="0" applyProtection="0">
      <alignment vertical="center"/>
    </xf>
    <xf numFmtId="170" fontId="172" fillId="108" borderId="74" applyNumberFormat="0" applyAlignment="0" applyProtection="0">
      <alignment vertical="center"/>
    </xf>
    <xf numFmtId="170" fontId="172" fillId="108" borderId="74" applyNumberFormat="0" applyAlignment="0" applyProtection="0">
      <alignment vertical="center"/>
    </xf>
    <xf numFmtId="170" fontId="172" fillId="108" borderId="74" applyNumberFormat="0" applyAlignment="0" applyProtection="0">
      <alignment vertical="center"/>
    </xf>
    <xf numFmtId="170" fontId="172" fillId="108" borderId="74" applyNumberFormat="0" applyAlignment="0" applyProtection="0">
      <alignment vertical="center"/>
    </xf>
    <xf numFmtId="170" fontId="172" fillId="108" borderId="74" applyNumberFormat="0" applyAlignment="0" applyProtection="0">
      <alignment vertical="center"/>
    </xf>
    <xf numFmtId="170" fontId="172" fillId="108" borderId="74" applyNumberFormat="0" applyAlignment="0" applyProtection="0">
      <alignment vertical="center"/>
    </xf>
    <xf numFmtId="170" fontId="172" fillId="108" borderId="74" applyNumberFormat="0" applyAlignment="0" applyProtection="0">
      <alignment vertical="center"/>
    </xf>
    <xf numFmtId="170" fontId="172" fillId="108" borderId="74" applyNumberFormat="0" applyAlignment="0" applyProtection="0">
      <alignment vertical="center"/>
    </xf>
    <xf numFmtId="170" fontId="172" fillId="108" borderId="74" applyNumberFormat="0" applyAlignment="0" applyProtection="0">
      <alignment vertical="center"/>
    </xf>
    <xf numFmtId="0" fontId="246" fillId="7" borderId="29" applyNumberFormat="0" applyAlignment="0" applyProtection="0">
      <alignment vertical="center"/>
    </xf>
    <xf numFmtId="0" fontId="247" fillId="90" borderId="74" applyNumberFormat="0" applyAlignment="0" applyProtection="0">
      <alignment vertical="center"/>
    </xf>
    <xf numFmtId="0" fontId="246" fillId="7" borderId="29" applyNumberFormat="0" applyAlignment="0" applyProtection="0">
      <alignment vertical="center"/>
    </xf>
    <xf numFmtId="170" fontId="172" fillId="90" borderId="74" applyNumberFormat="0" applyAlignment="0" applyProtection="0">
      <alignment vertical="center"/>
    </xf>
    <xf numFmtId="170" fontId="172" fillId="90" borderId="74" applyNumberFormat="0" applyAlignment="0" applyProtection="0">
      <alignment vertical="center"/>
    </xf>
    <xf numFmtId="170" fontId="172" fillId="90" borderId="74" applyNumberFormat="0" applyAlignment="0" applyProtection="0">
      <alignment vertical="center"/>
    </xf>
    <xf numFmtId="170" fontId="172" fillId="90" borderId="74" applyNumberFormat="0" applyAlignment="0" applyProtection="0">
      <alignment vertical="center"/>
    </xf>
    <xf numFmtId="170" fontId="172" fillId="90" borderId="74" applyNumberFormat="0" applyAlignment="0" applyProtection="0">
      <alignment vertical="center"/>
    </xf>
    <xf numFmtId="170" fontId="172" fillId="90" borderId="74" applyNumberFormat="0" applyAlignment="0" applyProtection="0">
      <alignment vertical="center"/>
    </xf>
    <xf numFmtId="170" fontId="172" fillId="90" borderId="74" applyNumberFormat="0" applyAlignment="0" applyProtection="0">
      <alignment vertical="center"/>
    </xf>
    <xf numFmtId="170" fontId="172" fillId="90" borderId="74" applyNumberFormat="0" applyAlignment="0" applyProtection="0">
      <alignment vertical="center"/>
    </xf>
    <xf numFmtId="170" fontId="172" fillId="90" borderId="74" applyNumberFormat="0" applyAlignment="0" applyProtection="0">
      <alignment vertical="center"/>
    </xf>
    <xf numFmtId="170" fontId="172" fillId="90" borderId="74" applyNumberFormat="0" applyAlignment="0" applyProtection="0">
      <alignment vertical="center"/>
    </xf>
    <xf numFmtId="170" fontId="172" fillId="90" borderId="74" applyNumberFormat="0" applyAlignment="0" applyProtection="0">
      <alignment vertical="center"/>
    </xf>
    <xf numFmtId="170" fontId="172" fillId="90" borderId="74" applyNumberFormat="0" applyAlignment="0" applyProtection="0">
      <alignment vertical="center"/>
    </xf>
    <xf numFmtId="170" fontId="172" fillId="90" borderId="74" applyNumberFormat="0" applyAlignment="0" applyProtection="0">
      <alignment vertical="center"/>
    </xf>
    <xf numFmtId="170" fontId="172" fillId="90" borderId="74" applyNumberFormat="0" applyAlignment="0" applyProtection="0">
      <alignment vertical="center"/>
    </xf>
    <xf numFmtId="170" fontId="172" fillId="90" borderId="74" applyNumberFormat="0" applyAlignment="0" applyProtection="0">
      <alignment vertical="center"/>
    </xf>
    <xf numFmtId="170" fontId="172" fillId="90" borderId="74" applyNumberFormat="0" applyAlignment="0" applyProtection="0">
      <alignment vertical="center"/>
    </xf>
    <xf numFmtId="170" fontId="172" fillId="90" borderId="74" applyNumberFormat="0" applyAlignment="0" applyProtection="0">
      <alignment vertical="center"/>
    </xf>
    <xf numFmtId="170" fontId="172" fillId="90" borderId="74" applyNumberFormat="0" applyAlignment="0" applyProtection="0">
      <alignment vertical="center"/>
    </xf>
    <xf numFmtId="170" fontId="172" fillId="90" borderId="74" applyNumberFormat="0" applyAlignment="0" applyProtection="0">
      <alignment vertical="center"/>
    </xf>
    <xf numFmtId="170" fontId="172" fillId="90" borderId="74" applyNumberFormat="0" applyAlignment="0" applyProtection="0">
      <alignment vertical="center"/>
    </xf>
    <xf numFmtId="170" fontId="172" fillId="90" borderId="74" applyNumberFormat="0" applyAlignment="0" applyProtection="0">
      <alignment vertical="center"/>
    </xf>
    <xf numFmtId="170" fontId="172" fillId="90" borderId="74" applyNumberFormat="0" applyAlignment="0" applyProtection="0">
      <alignment vertical="center"/>
    </xf>
    <xf numFmtId="170" fontId="172" fillId="90" borderId="74" applyNumberFormat="0" applyAlignment="0" applyProtection="0">
      <alignment vertical="center"/>
    </xf>
    <xf numFmtId="170" fontId="172" fillId="90" borderId="74" applyNumberFormat="0" applyAlignment="0" applyProtection="0">
      <alignment vertical="center"/>
    </xf>
    <xf numFmtId="170" fontId="172" fillId="90" borderId="74" applyNumberFormat="0" applyAlignment="0" applyProtection="0">
      <alignment vertical="center"/>
    </xf>
    <xf numFmtId="170" fontId="172" fillId="90" borderId="74" applyNumberFormat="0" applyAlignment="0" applyProtection="0">
      <alignment vertical="center"/>
    </xf>
    <xf numFmtId="170" fontId="172" fillId="90" borderId="74" applyNumberFormat="0" applyAlignment="0" applyProtection="0">
      <alignment vertical="center"/>
    </xf>
    <xf numFmtId="0" fontId="26" fillId="7" borderId="29" applyNumberFormat="0" applyAlignment="0" applyProtection="0">
      <alignment vertical="center"/>
    </xf>
    <xf numFmtId="0" fontId="246" fillId="7" borderId="29" applyNumberFormat="0" applyAlignment="0" applyProtection="0">
      <alignment vertical="center"/>
    </xf>
    <xf numFmtId="0" fontId="246" fillId="7" borderId="29" applyNumberFormat="0" applyAlignment="0" applyProtection="0">
      <alignment vertical="center"/>
    </xf>
    <xf numFmtId="0" fontId="246" fillId="7" borderId="29" applyNumberFormat="0" applyAlignment="0" applyProtection="0">
      <alignment vertical="center"/>
    </xf>
    <xf numFmtId="0" fontId="246" fillId="7" borderId="29" applyNumberFormat="0" applyAlignment="0" applyProtection="0">
      <alignment vertical="center"/>
    </xf>
    <xf numFmtId="0" fontId="246" fillId="7" borderId="29" applyNumberFormat="0" applyAlignment="0" applyProtection="0">
      <alignment vertical="center"/>
    </xf>
    <xf numFmtId="0" fontId="246" fillId="7" borderId="29" applyNumberFormat="0" applyAlignment="0" applyProtection="0">
      <alignment vertical="center"/>
    </xf>
    <xf numFmtId="0" fontId="246" fillId="7" borderId="29" applyNumberFormat="0" applyAlignment="0" applyProtection="0">
      <alignment vertical="center"/>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170" fontId="1" fillId="0" borderId="0" applyFont="0" applyFill="0" applyBorder="0" applyAlignment="0" applyProtection="0"/>
    <xf numFmtId="170" fontId="45" fillId="0" borderId="0" applyFont="0" applyFill="0" applyBorder="0" applyAlignment="0" applyProtection="0"/>
    <xf numFmtId="0" fontId="45" fillId="0" borderId="0" applyFont="0" applyFill="0" applyBorder="0" applyAlignment="0" applyProtection="0"/>
    <xf numFmtId="170" fontId="1" fillId="0" borderId="0" applyFont="0" applyFill="0" applyBorder="0" applyAlignment="0" applyProtection="0"/>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24" fontId="248" fillId="0" borderId="0" applyFont="0" applyFill="0" applyBorder="0" applyAlignment="0" applyProtection="0"/>
    <xf numFmtId="166" fontId="46" fillId="0" borderId="0" applyFont="0" applyFill="0" applyBorder="0" applyAlignment="0" applyProtection="0"/>
    <xf numFmtId="166" fontId="1" fillId="0" borderId="0" applyFont="0" applyFill="0" applyBorder="0" applyAlignment="0" applyProtection="0">
      <alignment vertical="center"/>
    </xf>
    <xf numFmtId="225" fontId="248" fillId="0" borderId="0" applyFont="0" applyFill="0" applyBorder="0" applyAlignment="0" applyProtection="0"/>
    <xf numFmtId="170" fontId="37" fillId="0" borderId="0" applyFont="0" applyFill="0" applyBorder="0" applyAlignment="0" applyProtection="0"/>
    <xf numFmtId="0" fontId="37" fillId="0" borderId="0" applyFont="0" applyFill="0" applyBorder="0" applyAlignment="0" applyProtection="0"/>
    <xf numFmtId="170" fontId="51" fillId="0" borderId="0"/>
    <xf numFmtId="194" fontId="228" fillId="0" borderId="0" applyFont="0" applyFill="0" applyBorder="0" applyAlignment="0" applyProtection="0"/>
    <xf numFmtId="170" fontId="44" fillId="0" borderId="0" applyFont="0" applyFill="0" applyBorder="0" applyAlignment="0" applyProtection="0"/>
    <xf numFmtId="10" fontId="200" fillId="0" borderId="0" applyFont="0" applyFill="0" applyBorder="0" applyAlignment="0" applyProtection="0"/>
    <xf numFmtId="170" fontId="37" fillId="0" borderId="0">
      <protection locked="0"/>
    </xf>
    <xf numFmtId="10" fontId="200" fillId="0" borderId="0" applyFont="0" applyFill="0" applyBorder="0" applyAlignment="0" applyProtection="0"/>
    <xf numFmtId="0" fontId="37"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9"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218" fontId="1" fillId="0" borderId="0">
      <protection locked="0"/>
    </xf>
    <xf numFmtId="170" fontId="249" fillId="0" borderId="0" applyNumberFormat="0" applyFill="0" applyBorder="0" applyAlignment="0" applyProtection="0">
      <alignment vertical="top"/>
      <protection locked="0"/>
    </xf>
    <xf numFmtId="0" fontId="1" fillId="0" borderId="0"/>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224"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224"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1" fillId="0" borderId="0"/>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1" fillId="0" borderId="0"/>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1"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 fillId="0" borderId="0"/>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1" fillId="0" borderId="0"/>
    <xf numFmtId="0" fontId="1" fillId="0" borderId="0"/>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1" fillId="0" borderId="0"/>
    <xf numFmtId="0" fontId="1" fillId="0" borderId="0"/>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48" fillId="0" borderId="0"/>
    <xf numFmtId="0" fontId="48" fillId="0" borderId="0"/>
    <xf numFmtId="0" fontId="48" fillId="0" borderId="0"/>
    <xf numFmtId="0" fontId="17" fillId="0" borderId="0">
      <alignment vertical="center"/>
    </xf>
    <xf numFmtId="170" fontId="17" fillId="0" borderId="0">
      <alignment vertical="center"/>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50" fillId="0" borderId="0"/>
    <xf numFmtId="0" fontId="250"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50" fillId="0" borderId="0"/>
    <xf numFmtId="0" fontId="250" fillId="0" borderId="0"/>
    <xf numFmtId="0" fontId="1" fillId="0" borderId="0"/>
    <xf numFmtId="0" fontId="17" fillId="0" borderId="0">
      <alignment vertical="center"/>
    </xf>
    <xf numFmtId="0" fontId="17" fillId="0" borderId="0">
      <alignment vertical="center"/>
    </xf>
    <xf numFmtId="0" fontId="1" fillId="0" borderId="0"/>
    <xf numFmtId="0" fontId="1" fillId="0" borderId="0"/>
    <xf numFmtId="0" fontId="17" fillId="0" borderId="0">
      <alignment vertical="center"/>
    </xf>
    <xf numFmtId="0" fontId="17" fillId="0" borderId="0">
      <alignment vertical="center"/>
    </xf>
    <xf numFmtId="0" fontId="1" fillId="0" borderId="0"/>
    <xf numFmtId="0" fontId="17" fillId="0" borderId="0">
      <alignment vertical="center"/>
    </xf>
    <xf numFmtId="0" fontId="17" fillId="0" borderId="0">
      <alignment vertical="center"/>
    </xf>
    <xf numFmtId="0" fontId="1" fillId="0" borderId="0"/>
    <xf numFmtId="0" fontId="17" fillId="0" borderId="0">
      <alignment vertical="center"/>
    </xf>
    <xf numFmtId="0" fontId="17" fillId="0" borderId="0">
      <alignment vertical="center"/>
    </xf>
    <xf numFmtId="0" fontId="65" fillId="0" borderId="0">
      <alignment vertical="center"/>
    </xf>
    <xf numFmtId="170" fontId="48" fillId="0" borderId="0"/>
    <xf numFmtId="170" fontId="65" fillId="0" borderId="0">
      <alignment vertical="center"/>
    </xf>
    <xf numFmtId="0" fontId="48" fillId="0" borderId="0"/>
    <xf numFmtId="170" fontId="1" fillId="0" borderId="0">
      <alignment vertical="center"/>
    </xf>
    <xf numFmtId="170" fontId="65" fillId="0" borderId="0">
      <alignment vertical="center"/>
    </xf>
    <xf numFmtId="0" fontId="65" fillId="0" borderId="0">
      <alignment vertical="center"/>
    </xf>
    <xf numFmtId="170" fontId="65" fillId="0" borderId="0">
      <alignment vertical="center"/>
    </xf>
    <xf numFmtId="0" fontId="250" fillId="0" borderId="0"/>
    <xf numFmtId="170" fontId="65" fillId="0" borderId="0">
      <alignment vertical="center"/>
    </xf>
    <xf numFmtId="0" fontId="250" fillId="0" borderId="0"/>
    <xf numFmtId="170" fontId="65" fillId="0" borderId="0">
      <alignment vertical="center"/>
    </xf>
    <xf numFmtId="0" fontId="250" fillId="0" borderId="0"/>
    <xf numFmtId="170" fontId="65" fillId="0" borderId="0">
      <alignment vertical="center"/>
    </xf>
    <xf numFmtId="0" fontId="250" fillId="0" borderId="0"/>
    <xf numFmtId="170" fontId="65" fillId="0" borderId="0">
      <alignment vertical="center"/>
    </xf>
    <xf numFmtId="0" fontId="250" fillId="0" borderId="0"/>
    <xf numFmtId="170" fontId="65" fillId="0" borderId="0">
      <alignment vertical="center"/>
    </xf>
    <xf numFmtId="0" fontId="250" fillId="0" borderId="0"/>
    <xf numFmtId="170" fontId="65" fillId="0" borderId="0">
      <alignment vertical="center"/>
    </xf>
    <xf numFmtId="0" fontId="250" fillId="0" borderId="0"/>
    <xf numFmtId="170" fontId="65" fillId="0" borderId="0">
      <alignment vertical="center"/>
    </xf>
    <xf numFmtId="0" fontId="250" fillId="0" borderId="0"/>
    <xf numFmtId="0" fontId="34" fillId="0" borderId="0"/>
    <xf numFmtId="170" fontId="1" fillId="0" borderId="0"/>
    <xf numFmtId="0" fontId="1" fillId="0" borderId="0"/>
    <xf numFmtId="170" fontId="48" fillId="0" borderId="0"/>
    <xf numFmtId="0" fontId="46" fillId="0" borderId="0"/>
    <xf numFmtId="17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65" fillId="0" borderId="0">
      <alignment vertical="center"/>
    </xf>
    <xf numFmtId="0" fontId="65" fillId="0" borderId="0">
      <alignment vertical="center"/>
    </xf>
    <xf numFmtId="0" fontId="65" fillId="0" borderId="0">
      <alignment vertical="center"/>
    </xf>
    <xf numFmtId="170" fontId="48" fillId="0" borderId="0"/>
    <xf numFmtId="170" fontId="1" fillId="0" borderId="0"/>
    <xf numFmtId="0" fontId="1" fillId="0" borderId="0"/>
    <xf numFmtId="170" fontId="1" fillId="0" borderId="0"/>
    <xf numFmtId="0" fontId="1" fillId="0" borderId="0"/>
    <xf numFmtId="170" fontId="48" fillId="0" borderId="0"/>
    <xf numFmtId="0" fontId="48" fillId="0" borderId="0"/>
    <xf numFmtId="0" fontId="1" fillId="0" borderId="0"/>
    <xf numFmtId="170" fontId="48" fillId="0" borderId="0"/>
    <xf numFmtId="0" fontId="48" fillId="0" borderId="0"/>
    <xf numFmtId="0" fontId="48" fillId="0" borderId="0"/>
    <xf numFmtId="170" fontId="1" fillId="0" borderId="0"/>
    <xf numFmtId="0" fontId="1" fillId="0" borderId="0"/>
    <xf numFmtId="170" fontId="1" fillId="0" borderId="0"/>
    <xf numFmtId="0" fontId="1" fillId="0" borderId="0"/>
    <xf numFmtId="170" fontId="48" fillId="0" borderId="0"/>
    <xf numFmtId="0" fontId="9" fillId="0" borderId="0">
      <alignment vertical="center"/>
    </xf>
    <xf numFmtId="0" fontId="1" fillId="0" borderId="0"/>
    <xf numFmtId="170" fontId="9" fillId="0" borderId="0">
      <alignment vertical="center"/>
    </xf>
    <xf numFmtId="0" fontId="65" fillId="0" borderId="0">
      <alignment vertical="center"/>
    </xf>
    <xf numFmtId="0" fontId="1" fillId="0" borderId="0"/>
    <xf numFmtId="170" fontId="48" fillId="0" borderId="0"/>
    <xf numFmtId="170" fontId="1" fillId="0" borderId="0"/>
    <xf numFmtId="0" fontId="1" fillId="0" borderId="0"/>
    <xf numFmtId="170" fontId="1" fillId="0" borderId="0"/>
    <xf numFmtId="0" fontId="1" fillId="0" borderId="0"/>
    <xf numFmtId="170" fontId="48" fillId="0" borderId="0"/>
    <xf numFmtId="0" fontId="48" fillId="0" borderId="0"/>
    <xf numFmtId="0" fontId="1" fillId="0" borderId="0"/>
    <xf numFmtId="170" fontId="48" fillId="0" borderId="0"/>
    <xf numFmtId="0" fontId="48" fillId="0" borderId="0"/>
    <xf numFmtId="170" fontId="1" fillId="0" borderId="0"/>
    <xf numFmtId="0" fontId="17" fillId="0" borderId="0">
      <alignment vertical="center"/>
    </xf>
    <xf numFmtId="170" fontId="65" fillId="0" borderId="0">
      <alignment vertical="center"/>
    </xf>
    <xf numFmtId="0" fontId="17" fillId="0" borderId="0">
      <alignment vertical="center"/>
    </xf>
    <xf numFmtId="170" fontId="17"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xf numFmtId="0" fontId="17"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50" fillId="0" borderId="0"/>
    <xf numFmtId="0" fontId="250" fillId="0" borderId="0"/>
    <xf numFmtId="170" fontId="1" fillId="0" borderId="0"/>
    <xf numFmtId="0" fontId="1" fillId="0" borderId="0"/>
    <xf numFmtId="0" fontId="250" fillId="0" borderId="0"/>
    <xf numFmtId="0" fontId="17" fillId="0" borderId="0">
      <alignment vertical="center"/>
    </xf>
    <xf numFmtId="170" fontId="46" fillId="0" borderId="0"/>
    <xf numFmtId="170" fontId="1" fillId="0" borderId="0"/>
    <xf numFmtId="0" fontId="1" fillId="0" borderId="0"/>
    <xf numFmtId="170" fontId="1" fillId="0" borderId="0"/>
    <xf numFmtId="0" fontId="1" fillId="0" borderId="0"/>
    <xf numFmtId="170" fontId="1" fillId="0" borderId="0"/>
    <xf numFmtId="0" fontId="1" fillId="0" borderId="0"/>
    <xf numFmtId="170" fontId="1" fillId="0" borderId="0"/>
    <xf numFmtId="170" fontId="48" fillId="0" borderId="0"/>
    <xf numFmtId="170" fontId="1" fillId="0" borderId="0"/>
    <xf numFmtId="170" fontId="48" fillId="0" borderId="0"/>
    <xf numFmtId="0" fontId="48" fillId="0" borderId="0"/>
    <xf numFmtId="170" fontId="48" fillId="0" borderId="0"/>
    <xf numFmtId="0" fontId="48" fillId="0" borderId="0"/>
    <xf numFmtId="170" fontId="1" fillId="0" borderId="0"/>
    <xf numFmtId="0" fontId="1" fillId="0" borderId="0"/>
    <xf numFmtId="0" fontId="48" fillId="0" borderId="0"/>
    <xf numFmtId="170" fontId="1" fillId="0" borderId="0"/>
    <xf numFmtId="0" fontId="1" fillId="0" borderId="0"/>
    <xf numFmtId="0" fontId="1" fillId="0" borderId="0"/>
    <xf numFmtId="170" fontId="48" fillId="0" borderId="0"/>
    <xf numFmtId="0" fontId="48" fillId="0" borderId="0"/>
    <xf numFmtId="170" fontId="48" fillId="0" borderId="0"/>
    <xf numFmtId="0" fontId="48" fillId="0" borderId="0"/>
    <xf numFmtId="0" fontId="48" fillId="0" borderId="0"/>
    <xf numFmtId="170" fontId="1" fillId="0" borderId="0"/>
    <xf numFmtId="170" fontId="48" fillId="0" borderId="0"/>
    <xf numFmtId="0" fontId="48" fillId="0" borderId="0"/>
    <xf numFmtId="170" fontId="48" fillId="0" borderId="0"/>
    <xf numFmtId="0" fontId="48" fillId="0" borderId="0"/>
    <xf numFmtId="170" fontId="1" fillId="0" borderId="0"/>
    <xf numFmtId="0" fontId="1" fillId="0" borderId="0"/>
    <xf numFmtId="0" fontId="48" fillId="0" borderId="0"/>
    <xf numFmtId="170" fontId="65" fillId="0" borderId="0">
      <alignment vertical="center"/>
    </xf>
    <xf numFmtId="0" fontId="250" fillId="0" borderId="0"/>
    <xf numFmtId="170" fontId="17" fillId="0" borderId="0">
      <alignment vertical="center"/>
    </xf>
    <xf numFmtId="0" fontId="250" fillId="0" borderId="0"/>
    <xf numFmtId="0" fontId="250" fillId="0" borderId="0"/>
    <xf numFmtId="0" fontId="250" fillId="0" borderId="0"/>
    <xf numFmtId="0" fontId="250" fillId="0" borderId="0"/>
    <xf numFmtId="0" fontId="250" fillId="0" borderId="0"/>
    <xf numFmtId="0" fontId="250" fillId="0" borderId="0"/>
    <xf numFmtId="0" fontId="250" fillId="0" borderId="0"/>
    <xf numFmtId="0" fontId="250" fillId="0" borderId="0"/>
    <xf numFmtId="0" fontId="250" fillId="0" borderId="0"/>
    <xf numFmtId="0" fontId="65" fillId="0" borderId="0">
      <alignment vertical="center"/>
    </xf>
    <xf numFmtId="0" fontId="1" fillId="0" borderId="0"/>
    <xf numFmtId="170" fontId="48" fillId="0" borderId="0"/>
    <xf numFmtId="170" fontId="1" fillId="0" borderId="0">
      <alignment vertical="center"/>
    </xf>
    <xf numFmtId="170" fontId="48" fillId="0" borderId="0"/>
    <xf numFmtId="0" fontId="48" fillId="0" borderId="0"/>
    <xf numFmtId="170" fontId="48" fillId="0" borderId="0"/>
    <xf numFmtId="0" fontId="48" fillId="0" borderId="0"/>
    <xf numFmtId="170" fontId="1" fillId="0" borderId="0">
      <alignment vertical="center"/>
    </xf>
    <xf numFmtId="0" fontId="1" fillId="0" borderId="0">
      <alignment vertical="center"/>
    </xf>
    <xf numFmtId="0" fontId="48" fillId="0" borderId="0"/>
    <xf numFmtId="170" fontId="1" fillId="0" borderId="0">
      <alignment vertical="center"/>
    </xf>
    <xf numFmtId="0" fontId="1" fillId="0" borderId="0">
      <alignment vertical="center"/>
    </xf>
    <xf numFmtId="0" fontId="1" fillId="0" borderId="0">
      <alignment vertical="center"/>
    </xf>
    <xf numFmtId="170" fontId="48" fillId="0" borderId="0"/>
    <xf numFmtId="0" fontId="48" fillId="0" borderId="0"/>
    <xf numFmtId="170" fontId="48" fillId="0" borderId="0"/>
    <xf numFmtId="0" fontId="48" fillId="0" borderId="0"/>
    <xf numFmtId="170" fontId="1" fillId="0" borderId="0">
      <alignment vertical="center"/>
    </xf>
    <xf numFmtId="0" fontId="1" fillId="0" borderId="0"/>
    <xf numFmtId="0" fontId="17" fillId="0" borderId="0">
      <alignment vertical="center"/>
    </xf>
    <xf numFmtId="0" fontId="65" fillId="0" borderId="0">
      <alignment vertical="center"/>
    </xf>
    <xf numFmtId="0" fontId="17" fillId="0" borderId="0">
      <alignment vertical="center"/>
    </xf>
    <xf numFmtId="170" fontId="1" fillId="0" borderId="0">
      <alignment vertical="center"/>
    </xf>
    <xf numFmtId="170" fontId="48" fillId="0" borderId="0"/>
    <xf numFmtId="0" fontId="48" fillId="0" borderId="0"/>
    <xf numFmtId="170" fontId="48" fillId="0" borderId="0"/>
    <xf numFmtId="0" fontId="48" fillId="0" borderId="0"/>
    <xf numFmtId="170" fontId="1" fillId="0" borderId="0">
      <alignment vertical="center"/>
    </xf>
    <xf numFmtId="0" fontId="1" fillId="0" borderId="0">
      <alignment vertical="center"/>
    </xf>
    <xf numFmtId="0" fontId="48" fillId="0" borderId="0"/>
    <xf numFmtId="170" fontId="1" fillId="0" borderId="0">
      <alignment vertical="center"/>
    </xf>
    <xf numFmtId="0" fontId="1" fillId="0" borderId="0">
      <alignment vertical="center"/>
    </xf>
    <xf numFmtId="170" fontId="48" fillId="0" borderId="0"/>
    <xf numFmtId="0" fontId="9" fillId="0" borderId="0">
      <alignment vertical="center"/>
    </xf>
    <xf numFmtId="170" fontId="65" fillId="0" borderId="0">
      <alignment vertical="center"/>
    </xf>
    <xf numFmtId="0" fontId="17" fillId="0" borderId="0">
      <alignment vertical="center"/>
    </xf>
    <xf numFmtId="170" fontId="9" fillId="0" borderId="0">
      <alignment vertical="center"/>
    </xf>
    <xf numFmtId="0" fontId="250" fillId="0" borderId="0"/>
    <xf numFmtId="0" fontId="250" fillId="0" borderId="0"/>
    <xf numFmtId="0" fontId="250" fillId="0" borderId="0"/>
    <xf numFmtId="0" fontId="250" fillId="0" borderId="0"/>
    <xf numFmtId="0" fontId="250" fillId="0" borderId="0"/>
    <xf numFmtId="0" fontId="250" fillId="0" borderId="0"/>
    <xf numFmtId="0" fontId="250" fillId="0" borderId="0"/>
    <xf numFmtId="0" fontId="250" fillId="0" borderId="0"/>
    <xf numFmtId="0" fontId="250" fillId="0" borderId="0"/>
    <xf numFmtId="0" fontId="250" fillId="0" borderId="0"/>
    <xf numFmtId="0" fontId="1" fillId="0" borderId="0"/>
    <xf numFmtId="0" fontId="1" fillId="0" borderId="0"/>
    <xf numFmtId="170" fontId="48" fillId="0" borderId="0"/>
    <xf numFmtId="170" fontId="65" fillId="0" borderId="0">
      <alignment vertical="center"/>
    </xf>
    <xf numFmtId="0" fontId="48" fillId="0" borderId="0"/>
    <xf numFmtId="170" fontId="1" fillId="0" borderId="0"/>
    <xf numFmtId="0" fontId="1" fillId="0" borderId="0"/>
    <xf numFmtId="0" fontId="1" fillId="0" borderId="0"/>
    <xf numFmtId="0" fontId="1" fillId="0" borderId="0"/>
    <xf numFmtId="0" fontId="1" fillId="0" borderId="0"/>
    <xf numFmtId="0" fontId="65" fillId="0" borderId="0">
      <alignment vertical="center"/>
    </xf>
    <xf numFmtId="0" fontId="250" fillId="0" borderId="0"/>
    <xf numFmtId="0" fontId="1" fillId="0" borderId="0">
      <alignment vertical="center"/>
    </xf>
    <xf numFmtId="170" fontId="65" fillId="0" borderId="0">
      <alignment vertical="center"/>
    </xf>
    <xf numFmtId="0" fontId="1" fillId="0" borderId="0"/>
    <xf numFmtId="0" fontId="64" fillId="0" borderId="0">
      <alignment vertical="center"/>
    </xf>
    <xf numFmtId="0" fontId="1" fillId="0" borderId="0"/>
    <xf numFmtId="170" fontId="48" fillId="0" borderId="0"/>
    <xf numFmtId="170" fontId="65" fillId="0" borderId="0">
      <alignment vertical="center"/>
    </xf>
    <xf numFmtId="0" fontId="48" fillId="0" borderId="0"/>
    <xf numFmtId="170" fontId="1" fillId="0" borderId="0"/>
    <xf numFmtId="0" fontId="1" fillId="0" borderId="0"/>
    <xf numFmtId="170" fontId="48" fillId="0" borderId="0"/>
    <xf numFmtId="0" fontId="1" fillId="0" borderId="0"/>
    <xf numFmtId="170" fontId="65" fillId="0" borderId="0">
      <alignment vertical="center"/>
    </xf>
    <xf numFmtId="0" fontId="48" fillId="0" borderId="0"/>
    <xf numFmtId="170" fontId="48" fillId="0" borderId="0"/>
    <xf numFmtId="170" fontId="65" fillId="0" borderId="0">
      <alignment vertical="center"/>
    </xf>
    <xf numFmtId="0" fontId="48" fillId="0" borderId="0"/>
    <xf numFmtId="170" fontId="48" fillId="0" borderId="0"/>
    <xf numFmtId="170" fontId="1" fillId="0" borderId="0">
      <alignment vertical="center"/>
    </xf>
    <xf numFmtId="170" fontId="48" fillId="0" borderId="0"/>
    <xf numFmtId="170" fontId="1" fillId="0" borderId="0">
      <alignment vertical="center"/>
    </xf>
    <xf numFmtId="0" fontId="1" fillId="0" borderId="0">
      <alignment vertical="center"/>
    </xf>
    <xf numFmtId="170" fontId="1" fillId="0" borderId="0">
      <alignment vertical="center"/>
    </xf>
    <xf numFmtId="0" fontId="1" fillId="0" borderId="0">
      <alignment vertical="center"/>
    </xf>
    <xf numFmtId="170" fontId="48" fillId="0" borderId="0"/>
    <xf numFmtId="0" fontId="48" fillId="0" borderId="0"/>
    <xf numFmtId="0" fontId="1" fillId="0" borderId="0">
      <alignment vertical="center"/>
    </xf>
    <xf numFmtId="170" fontId="48" fillId="0" borderId="0"/>
    <xf numFmtId="0" fontId="48" fillId="0" borderId="0"/>
    <xf numFmtId="0" fontId="48" fillId="0" borderId="0"/>
    <xf numFmtId="170" fontId="1" fillId="0" borderId="0">
      <alignment vertical="center"/>
    </xf>
    <xf numFmtId="0" fontId="1" fillId="0" borderId="0">
      <alignment vertical="center"/>
    </xf>
    <xf numFmtId="170" fontId="1" fillId="0" borderId="0">
      <alignment vertical="center"/>
    </xf>
    <xf numFmtId="0" fontId="1" fillId="0" borderId="0">
      <alignment vertical="center"/>
    </xf>
    <xf numFmtId="170" fontId="65" fillId="0" borderId="0">
      <alignment vertical="center"/>
    </xf>
    <xf numFmtId="0" fontId="1" fillId="0" borderId="0">
      <alignment vertical="center"/>
    </xf>
    <xf numFmtId="170" fontId="48" fillId="0" borderId="0"/>
    <xf numFmtId="170" fontId="1" fillId="0" borderId="0">
      <alignment vertical="center"/>
    </xf>
    <xf numFmtId="0" fontId="1" fillId="0" borderId="0">
      <alignment vertical="center"/>
    </xf>
    <xf numFmtId="170" fontId="1" fillId="0" borderId="0">
      <alignment vertical="center"/>
    </xf>
    <xf numFmtId="0" fontId="1" fillId="0" borderId="0">
      <alignment vertical="center"/>
    </xf>
    <xf numFmtId="170" fontId="48" fillId="0" borderId="0"/>
    <xf numFmtId="0" fontId="48" fillId="0" borderId="0"/>
    <xf numFmtId="170" fontId="65" fillId="0" borderId="0">
      <alignment vertical="center"/>
    </xf>
    <xf numFmtId="0" fontId="1" fillId="0" borderId="0">
      <alignment vertical="center"/>
    </xf>
    <xf numFmtId="170" fontId="61" fillId="0" borderId="0">
      <alignment vertical="center"/>
    </xf>
    <xf numFmtId="0" fontId="1" fillId="0" borderId="0"/>
    <xf numFmtId="0" fontId="17" fillId="0" borderId="0">
      <alignment vertical="center"/>
    </xf>
    <xf numFmtId="0" fontId="17" fillId="0" borderId="0">
      <alignment vertical="center"/>
    </xf>
    <xf numFmtId="0" fontId="1" fillId="0" borderId="0"/>
    <xf numFmtId="0" fontId="17" fillId="0" borderId="0">
      <alignment vertical="center"/>
    </xf>
    <xf numFmtId="0" fontId="17" fillId="0" borderId="0">
      <alignment vertical="center"/>
    </xf>
    <xf numFmtId="0" fontId="1" fillId="0" borderId="0"/>
    <xf numFmtId="0" fontId="17" fillId="0" borderId="0">
      <alignment vertical="center"/>
    </xf>
    <xf numFmtId="0" fontId="17" fillId="0" borderId="0">
      <alignment vertical="center"/>
    </xf>
    <xf numFmtId="0" fontId="1" fillId="0" borderId="0"/>
    <xf numFmtId="0" fontId="17" fillId="0" borderId="0">
      <alignment vertical="center"/>
    </xf>
    <xf numFmtId="0" fontId="17" fillId="0" borderId="0">
      <alignment vertical="center"/>
    </xf>
    <xf numFmtId="0" fontId="1" fillId="0" borderId="0"/>
    <xf numFmtId="0" fontId="17" fillId="0" borderId="0">
      <alignment vertical="center"/>
    </xf>
    <xf numFmtId="0" fontId="17" fillId="0" borderId="0">
      <alignment vertical="center"/>
    </xf>
    <xf numFmtId="0" fontId="1" fillId="0" borderId="0"/>
    <xf numFmtId="0" fontId="17" fillId="0" borderId="0">
      <alignment vertical="center"/>
    </xf>
    <xf numFmtId="0" fontId="17" fillId="0" borderId="0">
      <alignment vertical="center"/>
    </xf>
    <xf numFmtId="0" fontId="17" fillId="0" borderId="0">
      <alignment vertical="center"/>
    </xf>
    <xf numFmtId="0" fontId="1" fillId="0" borderId="0"/>
    <xf numFmtId="0" fontId="17" fillId="0" borderId="0">
      <alignment vertical="center"/>
    </xf>
    <xf numFmtId="0" fontId="17" fillId="0" borderId="0">
      <alignment vertical="center"/>
    </xf>
    <xf numFmtId="0" fontId="1" fillId="0" borderId="0"/>
    <xf numFmtId="0" fontId="17" fillId="0" borderId="0">
      <alignment vertical="center"/>
    </xf>
    <xf numFmtId="0" fontId="1" fillId="0" borderId="0"/>
    <xf numFmtId="0" fontId="17" fillId="0" borderId="0">
      <alignment vertical="center"/>
    </xf>
    <xf numFmtId="0" fontId="1" fillId="0" borderId="0"/>
    <xf numFmtId="0" fontId="17" fillId="0" borderId="0">
      <alignment vertical="center"/>
    </xf>
    <xf numFmtId="0" fontId="1"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 fillId="0" borderId="0"/>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 fillId="0" borderId="0"/>
    <xf numFmtId="0" fontId="1" fillId="0" borderId="0"/>
    <xf numFmtId="0" fontId="1" fillId="0" borderId="0"/>
    <xf numFmtId="170" fontId="1" fillId="0" borderId="0"/>
    <xf numFmtId="0" fontId="251" fillId="0" borderId="0">
      <alignment vertical="center"/>
    </xf>
    <xf numFmtId="0" fontId="1" fillId="0" borderId="0"/>
    <xf numFmtId="0" fontId="17" fillId="0" borderId="0">
      <alignment vertical="center"/>
    </xf>
    <xf numFmtId="0" fontId="65" fillId="0" borderId="0">
      <alignment vertical="center"/>
    </xf>
    <xf numFmtId="0" fontId="17" fillId="0" borderId="0">
      <alignment vertical="center"/>
    </xf>
    <xf numFmtId="170" fontId="252"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170" fontId="65" fillId="0" borderId="0">
      <alignment vertical="center"/>
    </xf>
    <xf numFmtId="0" fontId="1" fillId="0" borderId="0"/>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170" fontId="1" fillId="0" borderId="0"/>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170" fontId="17" fillId="0" borderId="0">
      <alignment vertical="center"/>
    </xf>
    <xf numFmtId="0" fontId="1" fillId="0" borderId="0"/>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170" fontId="1" fillId="0" borderId="0"/>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 fillId="0" borderId="0"/>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170" fontId="1"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 fillId="0" borderId="0"/>
    <xf numFmtId="0" fontId="17" fillId="0" borderId="0">
      <alignment vertical="center"/>
    </xf>
    <xf numFmtId="0" fontId="1" fillId="0" borderId="0"/>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 fillId="0" borderId="0"/>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 fillId="0" borderId="0"/>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 fillId="0" borderId="0"/>
    <xf numFmtId="0" fontId="65" fillId="0" borderId="0">
      <alignment vertical="center"/>
    </xf>
    <xf numFmtId="0" fontId="65" fillId="0" borderId="0">
      <alignment vertical="center"/>
    </xf>
    <xf numFmtId="17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 fillId="0" borderId="0"/>
    <xf numFmtId="0" fontId="17" fillId="0" borderId="0">
      <alignment vertical="center"/>
    </xf>
    <xf numFmtId="170" fontId="48" fillId="0" borderId="0">
      <alignment vertical="center"/>
    </xf>
    <xf numFmtId="0" fontId="1" fillId="0" borderId="0"/>
    <xf numFmtId="0" fontId="1" fillId="0" borderId="0">
      <alignment vertical="center"/>
    </xf>
    <xf numFmtId="17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1" fillId="0" borderId="0">
      <alignment vertical="center"/>
    </xf>
    <xf numFmtId="0" fontId="17" fillId="0" borderId="0">
      <alignment vertical="center"/>
    </xf>
    <xf numFmtId="0" fontId="17" fillId="0" borderId="0">
      <alignment vertical="center"/>
    </xf>
    <xf numFmtId="0" fontId="1"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 fillId="0" borderId="0"/>
    <xf numFmtId="170" fontId="65" fillId="0" borderId="0">
      <alignment vertical="center"/>
    </xf>
    <xf numFmtId="170" fontId="65" fillId="0" borderId="0">
      <alignment vertical="center"/>
    </xf>
    <xf numFmtId="170" fontId="65" fillId="0" borderId="0">
      <alignment vertical="center"/>
    </xf>
    <xf numFmtId="170" fontId="65" fillId="0" borderId="0">
      <alignment vertical="center"/>
    </xf>
    <xf numFmtId="170" fontId="65" fillId="0" borderId="0">
      <alignment vertical="center"/>
    </xf>
    <xf numFmtId="170" fontId="65" fillId="0" borderId="0">
      <alignment vertical="center"/>
    </xf>
    <xf numFmtId="170" fontId="65" fillId="0" borderId="0">
      <alignment vertical="center"/>
    </xf>
    <xf numFmtId="170" fontId="65" fillId="0" borderId="0">
      <alignment vertical="center"/>
    </xf>
    <xf numFmtId="170" fontId="65" fillId="0" borderId="0">
      <alignment vertical="center"/>
    </xf>
    <xf numFmtId="170" fontId="65" fillId="0" borderId="0">
      <alignment vertical="center"/>
    </xf>
    <xf numFmtId="0" fontId="65" fillId="0" borderId="0">
      <alignment vertical="center"/>
    </xf>
    <xf numFmtId="0" fontId="65" fillId="0" borderId="0">
      <alignment vertical="center"/>
    </xf>
    <xf numFmtId="170" fontId="46" fillId="0" borderId="0">
      <alignment vertical="center"/>
    </xf>
    <xf numFmtId="0" fontId="211" fillId="0" borderId="0"/>
    <xf numFmtId="170" fontId="1" fillId="0" borderId="0">
      <alignment vertical="center"/>
    </xf>
    <xf numFmtId="0" fontId="1" fillId="0" borderId="0"/>
    <xf numFmtId="0" fontId="1" fillId="0" borderId="0">
      <alignment vertical="center"/>
    </xf>
    <xf numFmtId="170" fontId="65" fillId="0" borderId="0">
      <alignment vertical="center"/>
    </xf>
    <xf numFmtId="170" fontId="65" fillId="0" borderId="0">
      <alignment vertical="center"/>
    </xf>
    <xf numFmtId="170" fontId="65" fillId="0" borderId="0">
      <alignment vertical="center"/>
    </xf>
    <xf numFmtId="170" fontId="65" fillId="0" borderId="0">
      <alignment vertical="center"/>
    </xf>
    <xf numFmtId="170" fontId="65" fillId="0" borderId="0">
      <alignment vertical="center"/>
    </xf>
    <xf numFmtId="17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 fillId="0" borderId="0"/>
    <xf numFmtId="0" fontId="1" fillId="0" borderId="0"/>
    <xf numFmtId="170" fontId="65" fillId="0" borderId="0">
      <alignment vertical="center"/>
    </xf>
    <xf numFmtId="0" fontId="65" fillId="0" borderId="0">
      <alignment vertical="center"/>
    </xf>
    <xf numFmtId="0" fontId="17" fillId="0" borderId="0">
      <alignment vertical="center"/>
    </xf>
    <xf numFmtId="0" fontId="17" fillId="0" borderId="0">
      <alignment vertical="center"/>
    </xf>
    <xf numFmtId="170" fontId="65" fillId="0" borderId="0">
      <alignment vertical="center"/>
    </xf>
    <xf numFmtId="170" fontId="65" fillId="0" borderId="0">
      <alignment vertical="center"/>
    </xf>
    <xf numFmtId="0" fontId="65" fillId="0" borderId="0">
      <alignment vertical="center"/>
    </xf>
    <xf numFmtId="0" fontId="65" fillId="0" borderId="0">
      <alignment vertical="center"/>
    </xf>
    <xf numFmtId="170" fontId="65" fillId="0" borderId="0">
      <alignment vertical="center"/>
    </xf>
    <xf numFmtId="0" fontId="65" fillId="0" borderId="0">
      <alignment vertical="center"/>
    </xf>
    <xf numFmtId="170" fontId="1" fillId="0" borderId="0">
      <alignment vertical="center"/>
    </xf>
    <xf numFmtId="0" fontId="250" fillId="0" borderId="0"/>
    <xf numFmtId="0" fontId="224" fillId="0" borderId="0">
      <alignment vertical="center"/>
    </xf>
    <xf numFmtId="17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 fillId="0" borderId="0"/>
    <xf numFmtId="0" fontId="65" fillId="0" borderId="0">
      <alignment vertical="center"/>
    </xf>
    <xf numFmtId="170" fontId="65" fillId="0" borderId="0">
      <alignment vertical="center"/>
    </xf>
    <xf numFmtId="0" fontId="65" fillId="0" borderId="0">
      <alignment vertical="center"/>
    </xf>
    <xf numFmtId="0" fontId="253" fillId="0" borderId="0">
      <alignment vertical="center"/>
    </xf>
    <xf numFmtId="0" fontId="65" fillId="0" borderId="0">
      <alignment vertical="center"/>
    </xf>
    <xf numFmtId="0" fontId="1" fillId="0" borderId="0"/>
    <xf numFmtId="170" fontId="65" fillId="0" borderId="0">
      <alignment vertical="center"/>
    </xf>
    <xf numFmtId="0" fontId="65" fillId="0" borderId="0">
      <alignment vertical="center"/>
    </xf>
    <xf numFmtId="0" fontId="65" fillId="0" borderId="0">
      <alignment vertical="center"/>
    </xf>
    <xf numFmtId="170" fontId="65" fillId="0" borderId="0">
      <alignment vertical="center"/>
    </xf>
    <xf numFmtId="0" fontId="65" fillId="0" borderId="0">
      <alignment vertical="center"/>
    </xf>
    <xf numFmtId="170" fontId="1" fillId="0" borderId="0">
      <alignment vertical="center"/>
    </xf>
    <xf numFmtId="0" fontId="254" fillId="0" borderId="0">
      <alignment vertical="center"/>
    </xf>
    <xf numFmtId="0" fontId="37" fillId="0" borderId="0"/>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26" fillId="34" borderId="0">
      <alignment horizontal="center"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 fillId="0" borderId="0"/>
    <xf numFmtId="0" fontId="1" fillId="0" borderId="0"/>
    <xf numFmtId="0" fontId="17" fillId="0" borderId="0">
      <alignment vertical="center"/>
    </xf>
    <xf numFmtId="0" fontId="65" fillId="0" borderId="0">
      <alignment vertical="center"/>
    </xf>
    <xf numFmtId="170" fontId="1"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250" fillId="0" borderId="0"/>
    <xf numFmtId="0" fontId="212" fillId="0" borderId="0"/>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 fillId="0" borderId="0"/>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 fillId="0" borderId="0"/>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170" fontId="1" fillId="0" borderId="0"/>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65"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 fillId="0" borderId="0">
      <alignment vertical="center"/>
    </xf>
    <xf numFmtId="0" fontId="48" fillId="0" borderId="0"/>
    <xf numFmtId="0" fontId="48" fillId="0" borderId="0"/>
    <xf numFmtId="0" fontId="48" fillId="0" borderId="0"/>
    <xf numFmtId="170" fontId="1" fillId="0" borderId="0"/>
    <xf numFmtId="170" fontId="255" fillId="0" borderId="0">
      <alignment vertical="center"/>
    </xf>
    <xf numFmtId="170" fontId="46" fillId="0" borderId="0">
      <alignment vertical="center"/>
    </xf>
    <xf numFmtId="170" fontId="1" fillId="0" borderId="0"/>
    <xf numFmtId="195" fontId="162" fillId="0" borderId="0" applyFont="0" applyFill="0" applyBorder="0" applyAlignment="0" applyProtection="0"/>
    <xf numFmtId="196" fontId="162" fillId="0" borderId="0" applyFont="0" applyFill="0" applyBorder="0" applyAlignment="0" applyProtection="0"/>
    <xf numFmtId="0" fontId="256" fillId="0" borderId="0" applyNumberFormat="0" applyFill="0" applyBorder="0" applyAlignment="0" applyProtection="0">
      <alignment vertical="top"/>
      <protection locked="0"/>
    </xf>
    <xf numFmtId="0" fontId="256" fillId="0" borderId="0" applyNumberFormat="0" applyFill="0" applyBorder="0" applyAlignment="0" applyProtection="0">
      <alignment vertical="top"/>
      <protection locked="0"/>
    </xf>
    <xf numFmtId="170" fontId="200" fillId="0" borderId="86" applyNumberFormat="0" applyFont="0" applyFill="0" applyAlignment="0" applyProtection="0"/>
    <xf numFmtId="170" fontId="124" fillId="0" borderId="86">
      <protection locked="0"/>
    </xf>
    <xf numFmtId="0" fontId="200" fillId="0" borderId="86" applyNumberFormat="0" applyFont="0" applyFill="0" applyAlignment="0" applyProtection="0"/>
    <xf numFmtId="0" fontId="124" fillId="0" borderId="86">
      <protection locked="0"/>
    </xf>
    <xf numFmtId="38" fontId="257"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6" fontId="204" fillId="0" borderId="0" applyFont="0" applyFill="0" applyBorder="0" applyAlignment="0" applyProtection="0"/>
    <xf numFmtId="226" fontId="1" fillId="0" borderId="0" applyFont="0" applyFill="0" applyBorder="0" applyAlignment="0" applyProtection="0"/>
    <xf numFmtId="170" fontId="37" fillId="0" borderId="0">
      <protection locked="0"/>
    </xf>
    <xf numFmtId="226" fontId="1" fillId="0" borderId="0" applyFont="0" applyFill="0" applyBorder="0" applyAlignment="0" applyProtection="0"/>
    <xf numFmtId="0" fontId="37" fillId="0" borderId="0">
      <protection locked="0"/>
    </xf>
    <xf numFmtId="227" fontId="200" fillId="0" borderId="0" applyFont="0" applyFill="0" applyBorder="0" applyAlignment="0" applyProtection="0"/>
    <xf numFmtId="170" fontId="37" fillId="0" borderId="0">
      <protection locked="0"/>
    </xf>
    <xf numFmtId="227" fontId="200" fillId="0" borderId="0" applyFont="0" applyFill="0" applyBorder="0" applyAlignment="0" applyProtection="0"/>
    <xf numFmtId="0" fontId="37" fillId="0" borderId="0">
      <protection locked="0"/>
    </xf>
    <xf numFmtId="0" fontId="17" fillId="0" borderId="0">
      <alignment vertical="center"/>
    </xf>
    <xf numFmtId="9" fontId="17" fillId="0" borderId="0" applyFont="0" applyFill="0" applyBorder="0" applyAlignment="0" applyProtection="0">
      <alignment vertical="center"/>
    </xf>
    <xf numFmtId="0" fontId="9" fillId="0" borderId="0"/>
    <xf numFmtId="9" fontId="9" fillId="0" borderId="0" applyFont="0" applyFill="0" applyBorder="0" applyAlignment="0" applyProtection="0"/>
    <xf numFmtId="167" fontId="1" fillId="0" borderId="0" applyFont="0" applyFill="0" applyBorder="0" applyAlignment="0" applyProtection="0">
      <alignment vertical="center"/>
    </xf>
    <xf numFmtId="0" fontId="13" fillId="0" borderId="0"/>
    <xf numFmtId="0" fontId="258" fillId="0" borderId="0"/>
    <xf numFmtId="0" fontId="259" fillId="0" borderId="0" applyProtection="0"/>
    <xf numFmtId="0" fontId="231" fillId="0" borderId="0"/>
  </cellStyleXfs>
  <cellXfs count="263">
    <xf numFmtId="0" fontId="0" fillId="0" borderId="0" xfId="0"/>
    <xf numFmtId="0" fontId="5" fillId="0" borderId="0" xfId="2" applyFont="1" applyAlignment="1">
      <alignment horizontal="center" vertical="center"/>
    </xf>
    <xf numFmtId="0" fontId="6" fillId="0" borderId="0" xfId="2" applyFont="1" applyAlignment="1">
      <alignment horizontal="center" vertical="center"/>
    </xf>
    <xf numFmtId="0" fontId="5" fillId="0" borderId="0" xfId="2" applyFont="1"/>
    <xf numFmtId="0" fontId="6" fillId="0" borderId="0" xfId="2" applyFont="1"/>
    <xf numFmtId="0" fontId="5" fillId="0" borderId="0" xfId="2" applyFont="1" applyAlignment="1">
      <alignment vertical="center"/>
    </xf>
    <xf numFmtId="0" fontId="6" fillId="0" borderId="0" xfId="2" applyFont="1" applyAlignment="1">
      <alignment vertical="center"/>
    </xf>
    <xf numFmtId="0" fontId="7" fillId="0" borderId="15" xfId="2" applyFont="1" applyBorder="1" applyAlignment="1">
      <alignment horizontal="left" vertical="center"/>
    </xf>
    <xf numFmtId="0" fontId="8" fillId="0" borderId="0" xfId="2" applyFont="1" applyAlignment="1">
      <alignment vertical="center"/>
    </xf>
    <xf numFmtId="0" fontId="8" fillId="0" borderId="0" xfId="2" applyFont="1" applyFill="1" applyAlignment="1">
      <alignment vertical="center"/>
    </xf>
    <xf numFmtId="0" fontId="8" fillId="0" borderId="0" xfId="2" applyFont="1" applyFill="1" applyAlignment="1">
      <alignment horizontal="left" vertical="center"/>
    </xf>
    <xf numFmtId="0" fontId="7" fillId="0" borderId="16" xfId="2" applyFont="1" applyBorder="1" applyAlignment="1">
      <alignment horizontal="left" vertical="center" indent="1"/>
    </xf>
    <xf numFmtId="0" fontId="7" fillId="0" borderId="18" xfId="2" applyFont="1" applyFill="1" applyBorder="1" applyAlignment="1">
      <alignment horizontal="left" vertical="center" indent="1"/>
    </xf>
    <xf numFmtId="0" fontId="7" fillId="0" borderId="18" xfId="2" applyFont="1" applyBorder="1" applyAlignment="1">
      <alignment horizontal="left" vertical="center"/>
    </xf>
    <xf numFmtId="0" fontId="7" fillId="0" borderId="18" xfId="2" applyFont="1" applyFill="1" applyBorder="1" applyAlignment="1">
      <alignment horizontal="left" vertical="center"/>
    </xf>
    <xf numFmtId="0" fontId="7" fillId="0" borderId="17" xfId="2" applyFont="1" applyFill="1" applyBorder="1" applyAlignment="1">
      <alignment horizontal="left" vertical="center"/>
    </xf>
    <xf numFmtId="0" fontId="7" fillId="0" borderId="0" xfId="2" applyFont="1" applyAlignment="1">
      <alignment vertical="center"/>
    </xf>
    <xf numFmtId="0" fontId="7" fillId="0" borderId="19" xfId="2" applyFont="1" applyBorder="1" applyAlignment="1">
      <alignment horizontal="left" vertical="center" indent="1"/>
    </xf>
    <xf numFmtId="0" fontId="7" fillId="0" borderId="21" xfId="2" applyFont="1" applyFill="1" applyBorder="1" applyAlignment="1">
      <alignment horizontal="left" vertical="center" indent="1"/>
    </xf>
    <xf numFmtId="0" fontId="7" fillId="0" borderId="21" xfId="2" applyFont="1" applyBorder="1" applyAlignment="1">
      <alignment horizontal="left" vertical="center"/>
    </xf>
    <xf numFmtId="0" fontId="7" fillId="0" borderId="21" xfId="2" applyFont="1" applyFill="1" applyBorder="1" applyAlignment="1">
      <alignment horizontal="left" vertical="center"/>
    </xf>
    <xf numFmtId="0" fontId="7" fillId="0" borderId="9" xfId="2" applyFont="1" applyFill="1" applyBorder="1" applyAlignment="1">
      <alignment horizontal="left" vertical="center"/>
    </xf>
    <xf numFmtId="0" fontId="7" fillId="0" borderId="20" xfId="2" applyFont="1" applyFill="1" applyBorder="1" applyAlignment="1">
      <alignment horizontal="left" vertical="center"/>
    </xf>
    <xf numFmtId="0" fontId="5" fillId="0" borderId="0" xfId="2" applyFont="1" applyAlignment="1">
      <alignment horizontal="right"/>
    </xf>
    <xf numFmtId="0" fontId="5" fillId="0" borderId="0" xfId="2" applyFont="1" applyAlignment="1">
      <alignment horizontal="center" vertical="center"/>
    </xf>
    <xf numFmtId="164" fontId="6" fillId="0" borderId="0" xfId="2" applyNumberFormat="1" applyFont="1" applyAlignment="1">
      <alignment vertical="center"/>
    </xf>
    <xf numFmtId="0" fontId="7" fillId="0" borderId="13" xfId="2" applyFont="1" applyBorder="1" applyAlignment="1">
      <alignment horizontal="left" vertical="center" indent="1"/>
    </xf>
    <xf numFmtId="0" fontId="7" fillId="0" borderId="15" xfId="2" applyFont="1" applyFill="1" applyBorder="1" applyAlignment="1">
      <alignment horizontal="left" vertical="center" indent="1"/>
    </xf>
    <xf numFmtId="0" fontId="7" fillId="0" borderId="15" xfId="2" applyFont="1" applyFill="1" applyBorder="1" applyAlignment="1">
      <alignment vertical="center"/>
    </xf>
    <xf numFmtId="0" fontId="7" fillId="0" borderId="15" xfId="2" applyFont="1" applyFill="1" applyBorder="1" applyAlignment="1">
      <alignment horizontal="left" vertical="center"/>
    </xf>
    <xf numFmtId="0" fontId="7" fillId="0" borderId="14" xfId="2" applyFont="1" applyFill="1" applyBorder="1" applyAlignment="1">
      <alignment horizontal="left" vertical="center"/>
    </xf>
    <xf numFmtId="0" fontId="7" fillId="0" borderId="22" xfId="2" applyFont="1" applyBorder="1" applyAlignment="1">
      <alignment horizontal="left" vertical="center" indent="1"/>
    </xf>
    <xf numFmtId="0" fontId="7" fillId="0" borderId="23" xfId="2" applyFont="1" applyFill="1" applyBorder="1" applyAlignment="1">
      <alignment horizontal="left" vertical="center" indent="1"/>
    </xf>
    <xf numFmtId="0" fontId="7" fillId="0" borderId="23" xfId="2" applyFont="1" applyFill="1" applyBorder="1" applyAlignment="1">
      <alignment vertical="center"/>
    </xf>
    <xf numFmtId="0" fontId="7" fillId="0" borderId="23" xfId="2" applyFont="1" applyBorder="1" applyAlignment="1">
      <alignment horizontal="left" vertical="center"/>
    </xf>
    <xf numFmtId="0" fontId="7" fillId="0" borderId="23" xfId="2" applyFont="1" applyFill="1" applyBorder="1" applyAlignment="1">
      <alignment horizontal="left" vertical="center"/>
    </xf>
    <xf numFmtId="0" fontId="7" fillId="0" borderId="24" xfId="2" applyFont="1" applyFill="1" applyBorder="1" applyAlignment="1">
      <alignment horizontal="left" vertical="center"/>
    </xf>
    <xf numFmtId="0" fontId="7" fillId="0" borderId="16" xfId="2" applyFont="1" applyFill="1" applyBorder="1" applyAlignment="1">
      <alignment horizontal="left" vertical="center" indent="1"/>
    </xf>
    <xf numFmtId="0" fontId="7" fillId="0" borderId="0" xfId="2" applyFont="1" applyFill="1" applyAlignment="1">
      <alignment vertical="center"/>
    </xf>
    <xf numFmtId="0" fontId="7" fillId="0" borderId="18" xfId="2" applyFont="1" applyFill="1" applyBorder="1" applyAlignment="1">
      <alignment vertical="center"/>
    </xf>
    <xf numFmtId="0" fontId="7" fillId="0" borderId="22" xfId="2" applyFont="1" applyFill="1" applyBorder="1" applyAlignment="1">
      <alignment horizontal="left" vertical="center" indent="1"/>
    </xf>
    <xf numFmtId="0" fontId="7" fillId="0" borderId="6" xfId="2" applyFont="1" applyBorder="1" applyAlignment="1">
      <alignment horizontal="left" vertical="center" indent="1"/>
    </xf>
    <xf numFmtId="0" fontId="7" fillId="0" borderId="0" xfId="2" applyFont="1" applyFill="1" applyBorder="1" applyAlignment="1">
      <alignment horizontal="left" vertical="center" indent="1"/>
    </xf>
    <xf numFmtId="0" fontId="7" fillId="0" borderId="0" xfId="2" applyFont="1" applyFill="1" applyBorder="1" applyAlignment="1">
      <alignment vertical="center"/>
    </xf>
    <xf numFmtId="0" fontId="7" fillId="0" borderId="0" xfId="2" applyFont="1" applyBorder="1" applyAlignment="1">
      <alignment horizontal="left" vertical="center"/>
    </xf>
    <xf numFmtId="0" fontId="7" fillId="0" borderId="0" xfId="2" applyFont="1" applyFill="1" applyBorder="1" applyAlignment="1">
      <alignment horizontal="left" vertical="center"/>
    </xf>
    <xf numFmtId="0" fontId="7" fillId="0" borderId="7" xfId="2" applyFont="1" applyFill="1" applyBorder="1" applyAlignment="1">
      <alignment horizontal="left" vertical="center"/>
    </xf>
    <xf numFmtId="0" fontId="7" fillId="0" borderId="21" xfId="2" applyFont="1" applyFill="1" applyBorder="1" applyAlignment="1">
      <alignment vertical="center"/>
    </xf>
    <xf numFmtId="9" fontId="5" fillId="0" borderId="0" xfId="1" applyFont="1" applyAlignment="1">
      <alignment vertical="center"/>
    </xf>
    <xf numFmtId="0" fontId="7" fillId="0" borderId="18" xfId="2" applyFont="1" applyBorder="1" applyAlignment="1">
      <alignment horizontal="left" vertical="center" indent="1"/>
    </xf>
    <xf numFmtId="0" fontId="7" fillId="0" borderId="18" xfId="2" applyFont="1" applyBorder="1" applyAlignment="1">
      <alignment vertical="center"/>
    </xf>
    <xf numFmtId="0" fontId="7" fillId="0" borderId="23" xfId="2" applyFont="1" applyBorder="1" applyAlignment="1">
      <alignment vertical="center"/>
    </xf>
    <xf numFmtId="0" fontId="7" fillId="0" borderId="16" xfId="2" applyFont="1" applyFill="1" applyBorder="1" applyAlignment="1">
      <alignment vertical="center"/>
    </xf>
    <xf numFmtId="0" fontId="7" fillId="0" borderId="0" xfId="2" applyFont="1" applyBorder="1" applyAlignment="1">
      <alignment vertical="center"/>
    </xf>
    <xf numFmtId="0" fontId="7" fillId="0" borderId="19" xfId="2" applyFont="1" applyFill="1" applyBorder="1" applyAlignment="1">
      <alignment horizontal="left" vertical="center" indent="1"/>
    </xf>
    <xf numFmtId="0" fontId="7" fillId="0" borderId="19" xfId="2" applyFont="1" applyFill="1" applyBorder="1" applyAlignment="1">
      <alignment vertical="center"/>
    </xf>
    <xf numFmtId="0" fontId="7" fillId="0" borderId="21" xfId="2" applyFont="1" applyBorder="1" applyAlignment="1">
      <alignment vertical="center"/>
    </xf>
    <xf numFmtId="0" fontId="5" fillId="0" borderId="0" xfId="2" applyFont="1" applyAlignment="1">
      <alignment horizontal="center" vertical="center"/>
    </xf>
    <xf numFmtId="10" fontId="5" fillId="0" borderId="0" xfId="1" applyNumberFormat="1" applyFont="1" applyAlignment="1">
      <alignment vertical="center"/>
    </xf>
    <xf numFmtId="0" fontId="7" fillId="0" borderId="0" xfId="2" quotePrefix="1" applyFont="1" applyAlignment="1">
      <alignment vertical="center"/>
    </xf>
    <xf numFmtId="0" fontId="7" fillId="0" borderId="0" xfId="2" applyFont="1" applyFill="1" applyAlignment="1">
      <alignment horizontal="left" vertical="center"/>
    </xf>
    <xf numFmtId="0" fontId="7" fillId="0" borderId="0" xfId="2" applyFont="1" applyAlignment="1">
      <alignment horizontal="left" vertical="center" wrapText="1"/>
    </xf>
    <xf numFmtId="0" fontId="7" fillId="0" borderId="6" xfId="2" applyFont="1" applyBorder="1" applyAlignment="1">
      <alignment vertical="center"/>
    </xf>
    <xf numFmtId="0" fontId="7" fillId="0" borderId="6" xfId="2" applyFont="1" applyFill="1" applyBorder="1" applyAlignment="1">
      <alignment vertical="center"/>
    </xf>
    <xf numFmtId="0" fontId="12" fillId="34" borderId="37" xfId="0" applyFont="1" applyFill="1" applyBorder="1" applyAlignment="1">
      <alignment horizontal="left" vertical="center" wrapText="1"/>
    </xf>
    <xf numFmtId="0" fontId="12" fillId="34" borderId="37" xfId="0" applyFont="1" applyFill="1" applyBorder="1" applyAlignment="1">
      <alignment horizontal="center" vertical="center" wrapText="1"/>
    </xf>
    <xf numFmtId="0" fontId="12" fillId="34" borderId="38" xfId="0" applyFont="1" applyFill="1" applyBorder="1" applyAlignment="1">
      <alignment horizontal="left" vertical="center" wrapText="1"/>
    </xf>
    <xf numFmtId="165" fontId="12" fillId="34" borderId="37" xfId="1" applyNumberFormat="1" applyFont="1" applyFill="1" applyBorder="1" applyAlignment="1">
      <alignment horizontal="right" vertical="center" wrapText="1"/>
    </xf>
    <xf numFmtId="0" fontId="15" fillId="36" borderId="0" xfId="3" applyFont="1" applyFill="1" applyAlignment="1" applyProtection="1">
      <alignment vertical="center"/>
      <protection locked="0"/>
    </xf>
    <xf numFmtId="0" fontId="7" fillId="36" borderId="46" xfId="3" applyFont="1" applyFill="1" applyBorder="1" applyAlignment="1" applyProtection="1">
      <alignment vertical="center"/>
      <protection locked="0"/>
    </xf>
    <xf numFmtId="0" fontId="7" fillId="36" borderId="0" xfId="3" applyFont="1" applyFill="1" applyBorder="1" applyAlignment="1" applyProtection="1">
      <alignment vertical="center"/>
      <protection locked="0"/>
    </xf>
    <xf numFmtId="0" fontId="7" fillId="36" borderId="47" xfId="3" applyFont="1" applyFill="1" applyBorder="1" applyAlignment="1" applyProtection="1">
      <alignment vertical="center"/>
      <protection locked="0"/>
    </xf>
    <xf numFmtId="0" fontId="4" fillId="37" borderId="48" xfId="3" applyFont="1" applyFill="1" applyBorder="1" applyAlignment="1" applyProtection="1">
      <alignment horizontal="center" vertical="center"/>
      <protection locked="0"/>
    </xf>
    <xf numFmtId="0" fontId="4" fillId="37" borderId="49" xfId="3" applyFont="1" applyFill="1" applyBorder="1" applyAlignment="1" applyProtection="1">
      <alignment horizontal="center" vertical="center"/>
      <protection locked="0"/>
    </xf>
    <xf numFmtId="0" fontId="4" fillId="37" borderId="50" xfId="3" applyFont="1" applyFill="1" applyBorder="1" applyAlignment="1" applyProtection="1">
      <alignment horizontal="center" vertical="center"/>
      <protection locked="0"/>
    </xf>
    <xf numFmtId="0" fontId="2" fillId="36" borderId="51" xfId="3" applyFont="1" applyFill="1" applyBorder="1" applyAlignment="1" applyProtection="1">
      <alignment horizontal="center" vertical="center"/>
      <protection locked="0"/>
    </xf>
    <xf numFmtId="0" fontId="16" fillId="36" borderId="52" xfId="3" applyFont="1" applyFill="1" applyBorder="1" applyAlignment="1" applyProtection="1">
      <alignment horizontal="center" vertical="center"/>
      <protection locked="0"/>
    </xf>
    <xf numFmtId="0" fontId="2" fillId="36" borderId="40" xfId="3" applyFont="1" applyFill="1" applyBorder="1" applyAlignment="1" applyProtection="1">
      <alignment horizontal="center" vertical="center"/>
      <protection locked="0"/>
    </xf>
    <xf numFmtId="0" fontId="16" fillId="36" borderId="4" xfId="3" applyFont="1" applyFill="1" applyBorder="1" applyAlignment="1" applyProtection="1">
      <alignment horizontal="center" vertical="center"/>
      <protection locked="0"/>
    </xf>
    <xf numFmtId="0" fontId="16" fillId="36" borderId="45" xfId="3" applyFont="1" applyFill="1" applyBorder="1" applyAlignment="1" applyProtection="1">
      <alignment vertical="center"/>
      <protection locked="0"/>
    </xf>
    <xf numFmtId="0" fontId="4" fillId="37" borderId="55" xfId="3" applyFont="1" applyFill="1" applyBorder="1" applyAlignment="1" applyProtection="1">
      <alignment horizontal="center" vertical="center"/>
      <protection locked="0"/>
    </xf>
    <xf numFmtId="0" fontId="16" fillId="36" borderId="56" xfId="3" applyFont="1" applyFill="1" applyBorder="1" applyAlignment="1" applyProtection="1">
      <alignment horizontal="center" vertical="center"/>
      <protection locked="0"/>
    </xf>
    <xf numFmtId="0" fontId="16" fillId="36" borderId="11" xfId="3" applyFont="1" applyFill="1" applyBorder="1" applyAlignment="1" applyProtection="1">
      <alignment horizontal="center" vertical="center"/>
      <protection locked="0"/>
    </xf>
    <xf numFmtId="0" fontId="12" fillId="38" borderId="37" xfId="0" applyFont="1" applyFill="1" applyBorder="1" applyAlignment="1">
      <alignment horizontal="left" vertical="center" wrapText="1"/>
    </xf>
    <xf numFmtId="0" fontId="12" fillId="38" borderId="38" xfId="0" applyFont="1" applyFill="1" applyBorder="1" applyAlignment="1">
      <alignment horizontal="left" vertical="center" wrapText="1"/>
    </xf>
    <xf numFmtId="0" fontId="12" fillId="38" borderId="38" xfId="0" applyFont="1" applyFill="1" applyBorder="1" applyAlignment="1">
      <alignment horizontal="center" vertical="center" wrapText="1"/>
    </xf>
    <xf numFmtId="0" fontId="16" fillId="36" borderId="56" xfId="3" applyFont="1" applyFill="1" applyBorder="1" applyAlignment="1" applyProtection="1">
      <alignment horizontal="center" vertical="center" wrapText="1"/>
      <protection locked="0"/>
    </xf>
    <xf numFmtId="0" fontId="16" fillId="36" borderId="53" xfId="3" applyFont="1" applyFill="1" applyBorder="1" applyAlignment="1" applyProtection="1">
      <alignment vertical="center" wrapText="1"/>
      <protection locked="0"/>
    </xf>
    <xf numFmtId="0" fontId="12" fillId="34" borderId="87" xfId="0" applyFont="1" applyFill="1" applyBorder="1" applyAlignment="1">
      <alignment horizontal="left" vertical="center" wrapText="1"/>
    </xf>
    <xf numFmtId="0" fontId="12" fillId="38" borderId="39" xfId="0" applyFont="1" applyFill="1" applyBorder="1" applyAlignment="1">
      <alignment horizontal="left" vertical="center" wrapText="1"/>
    </xf>
    <xf numFmtId="14" fontId="12" fillId="34" borderId="39" xfId="0" applyNumberFormat="1" applyFont="1" applyFill="1" applyBorder="1" applyAlignment="1">
      <alignment horizontal="left" vertical="center" wrapText="1"/>
    </xf>
    <xf numFmtId="0" fontId="12" fillId="38" borderId="4" xfId="0" applyFont="1" applyFill="1" applyBorder="1" applyAlignment="1">
      <alignment horizontal="left" vertical="center" wrapText="1"/>
    </xf>
    <xf numFmtId="165" fontId="12" fillId="34" borderId="4" xfId="0" applyNumberFormat="1" applyFont="1" applyFill="1" applyBorder="1" applyAlignment="1">
      <alignment horizontal="left" vertical="center" wrapText="1"/>
    </xf>
    <xf numFmtId="165" fontId="12" fillId="38" borderId="90" xfId="0" applyNumberFormat="1" applyFont="1" applyFill="1" applyBorder="1" applyAlignment="1">
      <alignment horizontal="center" vertical="center" wrapText="1"/>
    </xf>
    <xf numFmtId="0" fontId="12" fillId="38" borderId="90" xfId="0" applyFont="1" applyFill="1" applyBorder="1" applyAlignment="1">
      <alignment horizontal="center" vertical="center" wrapText="1"/>
    </xf>
    <xf numFmtId="2" fontId="5" fillId="0" borderId="0" xfId="2" applyNumberFormat="1" applyFont="1" applyAlignment="1">
      <alignment vertical="center"/>
    </xf>
    <xf numFmtId="10" fontId="6" fillId="0" borderId="0" xfId="1" applyNumberFormat="1" applyFont="1" applyAlignment="1">
      <alignment vertical="center"/>
    </xf>
    <xf numFmtId="0" fontId="16" fillId="36" borderId="95" xfId="3" applyFont="1" applyFill="1" applyBorder="1" applyAlignment="1" applyProtection="1">
      <alignment horizontal="center" vertical="center"/>
      <protection locked="0"/>
    </xf>
    <xf numFmtId="0" fontId="16" fillId="36" borderId="95" xfId="3" applyFont="1" applyFill="1" applyBorder="1" applyAlignment="1" applyProtection="1">
      <alignment horizontal="center" vertical="center" wrapText="1"/>
      <protection locked="0"/>
    </xf>
    <xf numFmtId="0" fontId="16" fillId="36" borderId="8" xfId="3" applyFont="1" applyFill="1" applyBorder="1" applyAlignment="1" applyProtection="1">
      <alignment horizontal="center" vertical="center"/>
      <protection locked="0"/>
    </xf>
    <xf numFmtId="0" fontId="16" fillId="36" borderId="8" xfId="3" applyFont="1" applyFill="1" applyBorder="1" applyAlignment="1" applyProtection="1">
      <alignment horizontal="center" vertical="center" wrapText="1"/>
      <protection locked="0"/>
    </xf>
    <xf numFmtId="0" fontId="16" fillId="36" borderId="96" xfId="3" applyFont="1" applyFill="1" applyBorder="1" applyAlignment="1" applyProtection="1">
      <alignment vertical="center" wrapText="1"/>
      <protection locked="0"/>
    </xf>
    <xf numFmtId="0" fontId="51" fillId="0" borderId="4" xfId="51158" applyFont="1" applyBorder="1" applyAlignment="1">
      <alignment horizontal="center" vertical="center" wrapText="1"/>
    </xf>
    <xf numFmtId="0" fontId="51" fillId="0" borderId="4" xfId="51158" applyFont="1" applyBorder="1" applyAlignment="1">
      <alignment horizontal="left" vertical="center" wrapText="1"/>
    </xf>
    <xf numFmtId="0" fontId="51" fillId="0" borderId="4" xfId="51158" applyFont="1" applyBorder="1" applyAlignment="1">
      <alignment vertical="center"/>
    </xf>
    <xf numFmtId="0" fontId="263" fillId="0" borderId="4" xfId="51158" applyFont="1" applyBorder="1" applyAlignment="1">
      <alignment horizontal="center" vertical="center" wrapText="1"/>
    </xf>
    <xf numFmtId="0" fontId="263" fillId="0" borderId="4" xfId="51158" applyFont="1" applyBorder="1" applyAlignment="1">
      <alignment horizontal="left" vertical="center" wrapText="1"/>
    </xf>
    <xf numFmtId="0" fontId="263" fillId="0" borderId="4" xfId="51158" applyFont="1" applyBorder="1" applyAlignment="1">
      <alignment vertical="center"/>
    </xf>
    <xf numFmtId="0" fontId="263" fillId="110" borderId="4" xfId="51158" applyFont="1" applyFill="1" applyBorder="1" applyAlignment="1">
      <alignment vertical="center"/>
    </xf>
    <xf numFmtId="0" fontId="51" fillId="110" borderId="4" xfId="51158" applyFont="1" applyFill="1" applyBorder="1" applyAlignment="1">
      <alignment vertical="center"/>
    </xf>
    <xf numFmtId="0" fontId="261" fillId="38" borderId="4" xfId="51158" applyFont="1" applyFill="1" applyBorder="1" applyAlignment="1">
      <alignment horizontal="center" vertical="center"/>
    </xf>
    <xf numFmtId="0" fontId="262" fillId="38" borderId="4" xfId="51158" applyFont="1" applyFill="1" applyBorder="1" applyAlignment="1">
      <alignment horizontal="center" vertical="center"/>
    </xf>
    <xf numFmtId="0" fontId="16" fillId="36" borderId="4" xfId="3" applyFont="1" applyFill="1" applyBorder="1" applyAlignment="1" applyProtection="1">
      <alignment horizontal="center" vertical="center" wrapText="1"/>
      <protection locked="0"/>
    </xf>
    <xf numFmtId="0" fontId="16" fillId="36" borderId="102" xfId="3" applyFont="1" applyFill="1" applyBorder="1" applyAlignment="1" applyProtection="1">
      <alignment horizontal="center" vertical="center"/>
      <protection locked="0"/>
    </xf>
    <xf numFmtId="0" fontId="7" fillId="109" borderId="22" xfId="2" applyFont="1" applyFill="1" applyBorder="1" applyAlignment="1">
      <alignment horizontal="left" vertical="center" indent="1"/>
    </xf>
    <xf numFmtId="0" fontId="7" fillId="109" borderId="18" xfId="2" applyFont="1" applyFill="1" applyBorder="1" applyAlignment="1">
      <alignment horizontal="left" vertical="center" indent="1"/>
    </xf>
    <xf numFmtId="0" fontId="7" fillId="109" borderId="23" xfId="2" applyFont="1" applyFill="1" applyBorder="1" applyAlignment="1">
      <alignment vertical="center"/>
    </xf>
    <xf numFmtId="0" fontId="7" fillId="109" borderId="23" xfId="2" applyFont="1" applyFill="1" applyBorder="1" applyAlignment="1">
      <alignment horizontal="left" vertical="center"/>
    </xf>
    <xf numFmtId="0" fontId="265" fillId="0" borderId="0" xfId="0" applyFont="1"/>
    <xf numFmtId="0" fontId="0" fillId="0" borderId="103" xfId="0" applyBorder="1"/>
    <xf numFmtId="0" fontId="0" fillId="0" borderId="105" xfId="0" applyBorder="1"/>
    <xf numFmtId="0" fontId="0" fillId="0" borderId="107" xfId="0" applyBorder="1"/>
    <xf numFmtId="0" fontId="0" fillId="0" borderId="109" xfId="0" applyBorder="1"/>
    <xf numFmtId="0" fontId="0" fillId="0" borderId="110" xfId="0" applyBorder="1"/>
    <xf numFmtId="0" fontId="0" fillId="0" borderId="111" xfId="0" applyBorder="1"/>
    <xf numFmtId="0" fontId="14" fillId="35" borderId="41" xfId="3" applyFont="1" applyFill="1" applyBorder="1" applyAlignment="1" applyProtection="1">
      <alignment horizontal="center" vertical="center"/>
      <protection locked="0"/>
    </xf>
    <xf numFmtId="0" fontId="14" fillId="35" borderId="42" xfId="3" applyFont="1" applyFill="1" applyBorder="1" applyAlignment="1" applyProtection="1">
      <alignment horizontal="center" vertical="center"/>
      <protection locked="0"/>
    </xf>
    <xf numFmtId="0" fontId="14" fillId="35" borderId="54" xfId="3" applyFont="1" applyFill="1" applyBorder="1" applyAlignment="1" applyProtection="1">
      <alignment horizontal="center" vertical="center"/>
      <protection locked="0"/>
    </xf>
    <xf numFmtId="0" fontId="14" fillId="35" borderId="43" xfId="3" applyFont="1" applyFill="1" applyBorder="1" applyAlignment="1" applyProtection="1">
      <alignment horizontal="center" vertical="center"/>
      <protection locked="0"/>
    </xf>
    <xf numFmtId="0" fontId="14" fillId="35" borderId="44" xfId="3" applyFont="1" applyFill="1" applyBorder="1" applyAlignment="1" applyProtection="1">
      <alignment horizontal="center" vertical="center"/>
      <protection locked="0"/>
    </xf>
    <xf numFmtId="0" fontId="14" fillId="35" borderId="4" xfId="3" applyFont="1" applyFill="1" applyBorder="1" applyAlignment="1" applyProtection="1">
      <alignment horizontal="center" vertical="center"/>
      <protection locked="0"/>
    </xf>
    <xf numFmtId="0" fontId="14" fillId="35" borderId="11" xfId="3" applyFont="1" applyFill="1" applyBorder="1" applyAlignment="1" applyProtection="1">
      <alignment horizontal="center" vertical="center"/>
      <protection locked="0"/>
    </xf>
    <xf numFmtId="0" fontId="14" fillId="35" borderId="45" xfId="3" applyFont="1" applyFill="1" applyBorder="1" applyAlignment="1" applyProtection="1">
      <alignment horizontal="center" vertical="center"/>
      <protection locked="0"/>
    </xf>
    <xf numFmtId="0" fontId="264" fillId="34" borderId="100" xfId="0" applyFont="1" applyFill="1" applyBorder="1" applyAlignment="1">
      <alignment horizontal="center" vertical="center" wrapText="1"/>
    </xf>
    <xf numFmtId="0" fontId="264" fillId="34" borderId="64" xfId="0" applyFont="1" applyFill="1" applyBorder="1" applyAlignment="1">
      <alignment horizontal="center" vertical="center" wrapText="1"/>
    </xf>
    <xf numFmtId="0" fontId="264" fillId="34" borderId="101" xfId="0" applyFont="1" applyFill="1" applyBorder="1" applyAlignment="1">
      <alignment horizontal="center" vertical="center" wrapText="1"/>
    </xf>
    <xf numFmtId="0" fontId="11" fillId="0" borderId="97" xfId="0" applyFont="1" applyBorder="1" applyAlignment="1">
      <alignment horizontal="left" vertical="center" wrapText="1"/>
    </xf>
    <xf numFmtId="0" fontId="11" fillId="0" borderId="98" xfId="0" applyFont="1" applyBorder="1" applyAlignment="1">
      <alignment horizontal="left" vertical="center" wrapText="1"/>
    </xf>
    <xf numFmtId="0" fontId="11" fillId="0" borderId="99" xfId="0" applyFont="1" applyBorder="1" applyAlignment="1">
      <alignment horizontal="left" vertical="center" wrapText="1"/>
    </xf>
    <xf numFmtId="0" fontId="262" fillId="38" borderId="11" xfId="51158" applyFont="1" applyFill="1" applyBorder="1" applyAlignment="1">
      <alignment horizontal="center" vertical="center"/>
    </xf>
    <xf numFmtId="0" fontId="262" fillId="38" borderId="12" xfId="51158" applyFont="1" applyFill="1" applyBorder="1" applyAlignment="1">
      <alignment horizontal="center" vertical="center"/>
    </xf>
    <xf numFmtId="0" fontId="262" fillId="38" borderId="5" xfId="51158" applyFont="1" applyFill="1" applyBorder="1" applyAlignment="1">
      <alignment horizontal="center" vertical="center"/>
    </xf>
    <xf numFmtId="0" fontId="262" fillId="0" borderId="1" xfId="51158" applyFont="1" applyBorder="1" applyAlignment="1">
      <alignment vertical="center"/>
    </xf>
    <xf numFmtId="0" fontId="262" fillId="0" borderId="2" xfId="51158" applyFont="1" applyBorder="1" applyAlignment="1">
      <alignment vertical="center"/>
    </xf>
    <xf numFmtId="0" fontId="262" fillId="0" borderId="3" xfId="51158" applyFont="1" applyBorder="1" applyAlignment="1">
      <alignment vertical="center"/>
    </xf>
    <xf numFmtId="0" fontId="262" fillId="0" borderId="8" xfId="51158" applyFont="1" applyBorder="1" applyAlignment="1">
      <alignment vertical="center"/>
    </xf>
    <xf numFmtId="0" fontId="262" fillId="0" borderId="9" xfId="51158" applyFont="1" applyBorder="1" applyAlignment="1">
      <alignment vertical="center"/>
    </xf>
    <xf numFmtId="0" fontId="262" fillId="0" borderId="10" xfId="51158" applyFont="1" applyBorder="1" applyAlignment="1">
      <alignment vertical="center"/>
    </xf>
    <xf numFmtId="0" fontId="12" fillId="34" borderId="34" xfId="0" applyFont="1" applyFill="1" applyBorder="1" applyAlignment="1">
      <alignment horizontal="left" vertical="center" wrapText="1"/>
    </xf>
    <xf numFmtId="0" fontId="12" fillId="34" borderId="36" xfId="0" applyFont="1" applyFill="1" applyBorder="1" applyAlignment="1">
      <alignment horizontal="left" vertical="center" wrapText="1"/>
    </xf>
    <xf numFmtId="0" fontId="12" fillId="34" borderId="34" xfId="0" applyFont="1" applyFill="1" applyBorder="1" applyAlignment="1">
      <alignment horizontal="center" vertical="center" wrapText="1"/>
    </xf>
    <xf numFmtId="0" fontId="12" fillId="34" borderId="35" xfId="0" applyFont="1" applyFill="1" applyBorder="1" applyAlignment="1">
      <alignment horizontal="center" vertical="center" wrapText="1"/>
    </xf>
    <xf numFmtId="0" fontId="12" fillId="34" borderId="36" xfId="0" applyFont="1" applyFill="1" applyBorder="1" applyAlignment="1">
      <alignment horizontal="center" vertical="center" wrapText="1"/>
    </xf>
    <xf numFmtId="0" fontId="12" fillId="34" borderId="91" xfId="0" applyFont="1" applyFill="1" applyBorder="1" applyAlignment="1">
      <alignment horizontal="center" vertical="center" wrapText="1"/>
    </xf>
    <xf numFmtId="0" fontId="12" fillId="34" borderId="92" xfId="0" applyFont="1" applyFill="1" applyBorder="1" applyAlignment="1">
      <alignment horizontal="center" vertical="center" wrapText="1"/>
    </xf>
    <xf numFmtId="0" fontId="12" fillId="34" borderId="93" xfId="0" applyFont="1" applyFill="1" applyBorder="1" applyAlignment="1">
      <alignment horizontal="center" vertical="center" wrapText="1"/>
    </xf>
    <xf numFmtId="0" fontId="10" fillId="38" borderId="34" xfId="0" applyFont="1" applyFill="1" applyBorder="1" applyAlignment="1">
      <alignment horizontal="left" vertical="center" wrapText="1"/>
    </xf>
    <xf numFmtId="0" fontId="10" fillId="38" borderId="35" xfId="0" applyFont="1" applyFill="1" applyBorder="1" applyAlignment="1">
      <alignment horizontal="left" vertical="center" wrapText="1"/>
    </xf>
    <xf numFmtId="0" fontId="10" fillId="38" borderId="36" xfId="0" applyFont="1" applyFill="1" applyBorder="1" applyAlignment="1">
      <alignment horizontal="left" vertical="center" wrapText="1"/>
    </xf>
    <xf numFmtId="0" fontId="11" fillId="0" borderId="34" xfId="0" applyFont="1" applyBorder="1" applyAlignment="1">
      <alignment horizontal="left" vertical="center"/>
    </xf>
    <xf numFmtId="0" fontId="11" fillId="0" borderId="35" xfId="0" applyFont="1" applyBorder="1" applyAlignment="1">
      <alignment horizontal="left" vertical="center"/>
    </xf>
    <xf numFmtId="0" fontId="11" fillId="0" borderId="36" xfId="0" applyFont="1" applyBorder="1" applyAlignment="1">
      <alignment horizontal="left" vertical="center"/>
    </xf>
    <xf numFmtId="0" fontId="11" fillId="0" borderId="34" xfId="0" applyFont="1" applyBorder="1" applyAlignment="1">
      <alignment horizontal="left" vertical="center" wrapText="1"/>
    </xf>
    <xf numFmtId="0" fontId="11" fillId="0" borderId="35" xfId="0" applyFont="1" applyBorder="1" applyAlignment="1">
      <alignment horizontal="left" vertical="center" wrapText="1"/>
    </xf>
    <xf numFmtId="0" fontId="11" fillId="0" borderId="36" xfId="0" applyFont="1" applyBorder="1" applyAlignment="1">
      <alignment horizontal="left" vertical="center" wrapText="1"/>
    </xf>
    <xf numFmtId="0" fontId="12" fillId="38" borderId="39" xfId="0" applyFont="1" applyFill="1" applyBorder="1" applyAlignment="1">
      <alignment horizontal="center" vertical="center" wrapText="1"/>
    </xf>
    <xf numFmtId="0" fontId="12" fillId="38" borderId="38" xfId="0" applyFont="1" applyFill="1" applyBorder="1" applyAlignment="1">
      <alignment horizontal="center" vertical="center" wrapText="1"/>
    </xf>
    <xf numFmtId="0" fontId="12" fillId="38" borderId="34" xfId="0" applyFont="1" applyFill="1" applyBorder="1" applyAlignment="1">
      <alignment horizontal="center" vertical="center" wrapText="1"/>
    </xf>
    <xf numFmtId="0" fontId="12" fillId="38" borderId="35" xfId="0" applyFont="1" applyFill="1" applyBorder="1" applyAlignment="1">
      <alignment horizontal="center" vertical="center" wrapText="1"/>
    </xf>
    <xf numFmtId="0" fontId="12" fillId="38" borderId="36" xfId="0" applyFont="1" applyFill="1" applyBorder="1" applyAlignment="1">
      <alignment horizontal="center" vertical="center" wrapText="1"/>
    </xf>
    <xf numFmtId="0" fontId="12" fillId="38" borderId="89" xfId="0" applyFont="1" applyFill="1" applyBorder="1" applyAlignment="1">
      <alignment horizontal="center" vertical="center" wrapText="1"/>
    </xf>
    <xf numFmtId="0" fontId="12" fillId="38" borderId="88" xfId="0" applyFont="1" applyFill="1" applyBorder="1" applyAlignment="1">
      <alignment horizontal="center" vertical="center" wrapText="1"/>
    </xf>
    <xf numFmtId="0" fontId="12" fillId="38" borderId="87" xfId="0" applyFont="1" applyFill="1" applyBorder="1" applyAlignment="1">
      <alignment horizontal="center" vertical="center" wrapText="1"/>
    </xf>
    <xf numFmtId="0" fontId="12" fillId="38" borderId="94" xfId="0" applyFont="1" applyFill="1" applyBorder="1" applyAlignment="1">
      <alignment horizontal="center" vertical="center" wrapText="1"/>
    </xf>
    <xf numFmtId="0" fontId="4" fillId="2" borderId="5" xfId="2" applyFont="1" applyFill="1" applyBorder="1" applyAlignment="1">
      <alignment horizontal="center" vertical="center"/>
    </xf>
    <xf numFmtId="0" fontId="4" fillId="2" borderId="4" xfId="2" applyFont="1" applyFill="1" applyBorder="1" applyAlignment="1">
      <alignment horizontal="center" vertical="center"/>
    </xf>
    <xf numFmtId="0" fontId="7" fillId="0" borderId="4" xfId="2" applyFont="1" applyBorder="1" applyAlignment="1">
      <alignment horizontal="center" vertical="center"/>
    </xf>
    <xf numFmtId="0" fontId="7" fillId="0" borderId="11" xfId="2" applyFont="1" applyBorder="1" applyAlignment="1">
      <alignment horizontal="center" vertical="center"/>
    </xf>
    <xf numFmtId="0" fontId="7" fillId="0" borderId="104" xfId="2" applyFont="1" applyBorder="1" applyAlignment="1">
      <alignment horizontal="center" vertical="center"/>
    </xf>
    <xf numFmtId="0" fontId="7" fillId="0" borderId="106" xfId="2" applyFont="1" applyBorder="1" applyAlignment="1">
      <alignment horizontal="center" vertical="center"/>
    </xf>
    <xf numFmtId="0" fontId="7" fillId="0" borderId="108" xfId="2" applyFont="1" applyBorder="1" applyAlignment="1">
      <alignment horizontal="center" vertical="center"/>
    </xf>
    <xf numFmtId="0" fontId="7" fillId="0" borderId="5" xfId="2" applyFont="1" applyBorder="1" applyAlignment="1">
      <alignment horizontal="center" vertical="center"/>
    </xf>
    <xf numFmtId="0" fontId="266" fillId="0" borderId="1" xfId="2" applyFont="1" applyFill="1" applyBorder="1" applyAlignment="1">
      <alignment horizontal="center" vertical="center" wrapText="1"/>
    </xf>
    <xf numFmtId="0" fontId="266" fillId="0" borderId="2" xfId="2" applyFont="1" applyFill="1" applyBorder="1" applyAlignment="1">
      <alignment horizontal="center" vertical="center"/>
    </xf>
    <xf numFmtId="0" fontId="266" fillId="0" borderId="3" xfId="2" applyFont="1" applyFill="1" applyBorder="1" applyAlignment="1">
      <alignment horizontal="center" vertical="center"/>
    </xf>
    <xf numFmtId="0" fontId="266" fillId="0" borderId="8" xfId="2" applyFont="1" applyFill="1" applyBorder="1" applyAlignment="1">
      <alignment horizontal="center" vertical="center"/>
    </xf>
    <xf numFmtId="0" fontId="266" fillId="0" borderId="9" xfId="2" applyFont="1" applyFill="1" applyBorder="1" applyAlignment="1">
      <alignment horizontal="center" vertical="center"/>
    </xf>
    <xf numFmtId="0" fontId="266" fillId="0" borderId="10" xfId="2" applyFont="1" applyFill="1" applyBorder="1" applyAlignment="1">
      <alignment horizontal="center" vertical="center"/>
    </xf>
    <xf numFmtId="0" fontId="4" fillId="2" borderId="11" xfId="2" applyFont="1" applyFill="1" applyBorder="1" applyAlignment="1">
      <alignment horizontal="center" vertical="center"/>
    </xf>
    <xf numFmtId="0" fontId="4" fillId="2" borderId="12" xfId="2" applyFont="1" applyFill="1" applyBorder="1" applyAlignment="1">
      <alignment horizontal="center" vertical="center"/>
    </xf>
    <xf numFmtId="0" fontId="7" fillId="0" borderId="11" xfId="2" applyFont="1" applyFill="1" applyBorder="1" applyAlignment="1">
      <alignment horizontal="center" vertical="center"/>
    </xf>
    <xf numFmtId="0" fontId="7" fillId="0" borderId="12" xfId="2" applyFont="1" applyFill="1" applyBorder="1" applyAlignment="1">
      <alignment horizontal="center" vertical="center"/>
    </xf>
    <xf numFmtId="0" fontId="7" fillId="0" borderId="5" xfId="2" applyFont="1" applyFill="1" applyBorder="1" applyAlignment="1">
      <alignment horizontal="center" vertical="center"/>
    </xf>
    <xf numFmtId="0" fontId="2" fillId="0" borderId="1" xfId="2" applyFont="1" applyFill="1" applyBorder="1" applyAlignment="1">
      <alignment horizontal="center" vertical="center"/>
    </xf>
    <xf numFmtId="0" fontId="2" fillId="0" borderId="2" xfId="2" applyFont="1" applyFill="1" applyBorder="1" applyAlignment="1">
      <alignment horizontal="center" vertical="center"/>
    </xf>
    <xf numFmtId="0" fontId="2" fillId="0" borderId="3" xfId="2" applyFont="1" applyFill="1" applyBorder="1" applyAlignment="1">
      <alignment horizontal="center" vertical="center"/>
    </xf>
    <xf numFmtId="0" fontId="2" fillId="0" borderId="6" xfId="2" applyFont="1" applyFill="1" applyBorder="1" applyAlignment="1">
      <alignment horizontal="center" vertical="center"/>
    </xf>
    <xf numFmtId="0" fontId="2" fillId="0" borderId="0" xfId="2" applyFont="1" applyFill="1" applyBorder="1" applyAlignment="1">
      <alignment horizontal="center" vertical="center"/>
    </xf>
    <xf numFmtId="0" fontId="2" fillId="0" borderId="7" xfId="2" applyFont="1" applyFill="1" applyBorder="1" applyAlignment="1">
      <alignment horizontal="center" vertical="center"/>
    </xf>
    <xf numFmtId="0" fontId="2" fillId="0" borderId="8" xfId="2" applyFont="1" applyFill="1" applyBorder="1" applyAlignment="1">
      <alignment horizontal="center" vertical="center"/>
    </xf>
    <xf numFmtId="0" fontId="2" fillId="0" borderId="9" xfId="2" applyFont="1" applyFill="1" applyBorder="1" applyAlignment="1">
      <alignment horizontal="center" vertical="center"/>
    </xf>
    <xf numFmtId="0" fontId="2" fillId="0" borderId="10" xfId="2" applyFont="1" applyFill="1" applyBorder="1" applyAlignment="1">
      <alignment horizontal="center" vertical="center"/>
    </xf>
    <xf numFmtId="0" fontId="3" fillId="0" borderId="4" xfId="2" applyFont="1" applyFill="1" applyBorder="1" applyAlignment="1">
      <alignment horizontal="center" vertical="center" wrapText="1"/>
    </xf>
    <xf numFmtId="0" fontId="3" fillId="0" borderId="4" xfId="2" applyFont="1" applyFill="1" applyBorder="1" applyAlignment="1">
      <alignment horizontal="center" vertical="center"/>
    </xf>
    <xf numFmtId="0" fontId="4" fillId="2" borderId="4" xfId="2" applyFont="1" applyFill="1" applyBorder="1" applyAlignment="1">
      <alignment horizontal="center" vertical="center" textRotation="255"/>
    </xf>
    <xf numFmtId="0" fontId="4" fillId="2" borderId="4" xfId="2" applyFont="1" applyFill="1" applyBorder="1" applyAlignment="1">
      <alignment horizontal="center" vertical="center" wrapText="1"/>
    </xf>
    <xf numFmtId="0" fontId="7" fillId="0" borderId="16" xfId="2" applyFont="1" applyBorder="1" applyAlignment="1">
      <alignment horizontal="center" vertical="center"/>
    </xf>
    <xf numFmtId="0" fontId="7" fillId="0" borderId="17" xfId="2" applyFont="1" applyBorder="1" applyAlignment="1">
      <alignment horizontal="center" vertical="center"/>
    </xf>
    <xf numFmtId="0" fontId="7" fillId="0" borderId="16" xfId="2" applyFont="1" applyFill="1" applyBorder="1" applyAlignment="1">
      <alignment horizontal="left" vertical="center"/>
    </xf>
    <xf numFmtId="0" fontId="7" fillId="0" borderId="18" xfId="2" applyFont="1" applyFill="1" applyBorder="1" applyAlignment="1">
      <alignment horizontal="left" vertical="center"/>
    </xf>
    <xf numFmtId="0" fontId="7" fillId="0" borderId="17" xfId="2" applyFont="1" applyFill="1" applyBorder="1" applyAlignment="1">
      <alignment horizontal="left" vertical="center"/>
    </xf>
    <xf numFmtId="0" fontId="7" fillId="0" borderId="16" xfId="2" applyFont="1" applyFill="1" applyBorder="1" applyAlignment="1">
      <alignment horizontal="center" vertical="center"/>
    </xf>
    <xf numFmtId="0" fontId="7" fillId="0" borderId="18" xfId="2" applyFont="1" applyFill="1" applyBorder="1" applyAlignment="1">
      <alignment horizontal="center" vertical="center"/>
    </xf>
    <xf numFmtId="0" fontId="7" fillId="0" borderId="17" xfId="2" applyFont="1" applyFill="1" applyBorder="1" applyAlignment="1">
      <alignment horizontal="center" vertical="center"/>
    </xf>
    <xf numFmtId="0" fontId="7" fillId="0" borderId="12" xfId="2" applyFont="1" applyBorder="1" applyAlignment="1">
      <alignment horizontal="center" vertical="center"/>
    </xf>
    <xf numFmtId="0" fontId="7" fillId="0" borderId="13" xfId="2" applyFont="1" applyBorder="1" applyAlignment="1">
      <alignment horizontal="center" vertical="center"/>
    </xf>
    <xf numFmtId="0" fontId="7" fillId="0" borderId="14" xfId="2" applyFont="1" applyBorder="1" applyAlignment="1">
      <alignment horizontal="center" vertical="center"/>
    </xf>
    <xf numFmtId="0" fontId="7" fillId="0" borderId="13" xfId="2" applyFont="1" applyBorder="1" applyAlignment="1">
      <alignment horizontal="left" vertical="center" wrapText="1"/>
    </xf>
    <xf numFmtId="0" fontId="7" fillId="0" borderId="15" xfId="2" applyFont="1" applyBorder="1" applyAlignment="1">
      <alignment horizontal="left" vertical="center"/>
    </xf>
    <xf numFmtId="0" fontId="7" fillId="0" borderId="14" xfId="2" applyFont="1" applyBorder="1" applyAlignment="1">
      <alignment horizontal="left" vertical="center"/>
    </xf>
    <xf numFmtId="0" fontId="7" fillId="0" borderId="15" xfId="2" applyFont="1" applyBorder="1" applyAlignment="1">
      <alignment horizontal="center" vertical="center"/>
    </xf>
    <xf numFmtId="0" fontId="7" fillId="0" borderId="16" xfId="2" applyFont="1" applyBorder="1" applyAlignment="1">
      <alignment horizontal="left" vertical="center"/>
    </xf>
    <xf numFmtId="0" fontId="7" fillId="0" borderId="18" xfId="2" applyFont="1" applyBorder="1" applyAlignment="1">
      <alignment horizontal="left" vertical="center"/>
    </xf>
    <xf numFmtId="0" fontId="7" fillId="0" borderId="17" xfId="2" applyFont="1" applyBorder="1" applyAlignment="1">
      <alignment horizontal="left" vertical="center"/>
    </xf>
    <xf numFmtId="0" fontId="7" fillId="0" borderId="18" xfId="2" applyFont="1" applyBorder="1" applyAlignment="1">
      <alignment horizontal="center" vertical="center"/>
    </xf>
    <xf numFmtId="0" fontId="7" fillId="0" borderId="19" xfId="2" applyFont="1" applyBorder="1" applyAlignment="1">
      <alignment horizontal="center" vertical="center"/>
    </xf>
    <xf numFmtId="0" fontId="7" fillId="0" borderId="20" xfId="2" applyFont="1" applyBorder="1" applyAlignment="1">
      <alignment horizontal="center" vertical="center"/>
    </xf>
    <xf numFmtId="0" fontId="7" fillId="0" borderId="21" xfId="2" applyFont="1" applyBorder="1" applyAlignment="1">
      <alignment horizontal="center" vertical="center"/>
    </xf>
    <xf numFmtId="0" fontId="5" fillId="0" borderId="0" xfId="2" applyFont="1" applyAlignment="1">
      <alignment horizontal="center" vertical="center"/>
    </xf>
    <xf numFmtId="0" fontId="6" fillId="0" borderId="0" xfId="2" applyFont="1" applyAlignment="1">
      <alignment horizontal="center" vertical="center"/>
    </xf>
    <xf numFmtId="0" fontId="7" fillId="0" borderId="6" xfId="2" applyFont="1" applyBorder="1" applyAlignment="1">
      <alignment horizontal="center" vertical="center" wrapText="1"/>
    </xf>
    <xf numFmtId="0" fontId="7" fillId="0" borderId="0" xfId="2" applyFont="1" applyBorder="1" applyAlignment="1">
      <alignment horizontal="center" vertical="center" wrapText="1"/>
    </xf>
    <xf numFmtId="0" fontId="7" fillId="0" borderId="16" xfId="2" applyFont="1" applyBorder="1" applyAlignment="1">
      <alignment horizontal="left" vertical="center" wrapText="1"/>
    </xf>
    <xf numFmtId="0" fontId="7" fillId="0" borderId="18" xfId="2" applyFont="1" applyBorder="1" applyAlignment="1">
      <alignment horizontal="left" vertical="center" wrapText="1"/>
    </xf>
    <xf numFmtId="0" fontId="7" fillId="0" borderId="17" xfId="2" applyFont="1" applyBorder="1" applyAlignment="1">
      <alignment horizontal="left" vertical="center" wrapText="1"/>
    </xf>
    <xf numFmtId="0" fontId="7" fillId="0" borderId="6" xfId="2" quotePrefix="1" applyFont="1" applyBorder="1" applyAlignment="1">
      <alignment horizontal="left" vertical="center" wrapText="1"/>
    </xf>
    <xf numFmtId="0" fontId="7" fillId="0" borderId="0" xfId="2" quotePrefix="1" applyFont="1" applyAlignment="1">
      <alignment horizontal="left" vertical="center" wrapText="1"/>
    </xf>
    <xf numFmtId="0" fontId="7" fillId="109" borderId="6" xfId="2" quotePrefix="1" applyFont="1" applyFill="1" applyBorder="1" applyAlignment="1">
      <alignment horizontal="left" vertical="center" wrapText="1"/>
    </xf>
    <xf numFmtId="0" fontId="7" fillId="109" borderId="0" xfId="2" quotePrefix="1" applyFont="1" applyFill="1" applyAlignment="1">
      <alignment horizontal="left" vertical="center" wrapText="1"/>
    </xf>
    <xf numFmtId="0" fontId="7" fillId="0" borderId="0" xfId="2" applyFont="1" applyAlignment="1">
      <alignment horizontal="center" vertical="center" wrapText="1"/>
    </xf>
    <xf numFmtId="0" fontId="266" fillId="0" borderId="1" xfId="2" applyFont="1" applyFill="1" applyBorder="1" applyAlignment="1">
      <alignment horizontal="center" vertical="center"/>
    </xf>
    <xf numFmtId="0" fontId="7" fillId="0" borderId="19" xfId="2" applyFont="1" applyFill="1" applyBorder="1" applyAlignment="1">
      <alignment horizontal="left" vertical="center"/>
    </xf>
    <xf numFmtId="0" fontId="7" fillId="0" borderId="21" xfId="2" applyFont="1" applyFill="1" applyBorder="1" applyAlignment="1">
      <alignment horizontal="left" vertical="center"/>
    </xf>
    <xf numFmtId="0" fontId="7" fillId="0" borderId="20" xfId="2" applyFont="1" applyFill="1" applyBorder="1" applyAlignment="1">
      <alignment horizontal="left" vertical="center"/>
    </xf>
    <xf numFmtId="0" fontId="7" fillId="0" borderId="6" xfId="2" applyFont="1" applyBorder="1" applyAlignment="1">
      <alignment horizontal="left" vertical="center" wrapText="1"/>
    </xf>
    <xf numFmtId="0" fontId="7" fillId="0" borderId="0" xfId="2" applyFont="1" applyAlignment="1">
      <alignment horizontal="left" vertical="center" wrapText="1"/>
    </xf>
    <xf numFmtId="0" fontId="7" fillId="0" borderId="16" xfId="2" applyFont="1" applyFill="1" applyBorder="1" applyAlignment="1">
      <alignment horizontal="center" vertical="center" wrapText="1"/>
    </xf>
    <xf numFmtId="0" fontId="7" fillId="0" borderId="18" xfId="2" applyFont="1" applyFill="1" applyBorder="1" applyAlignment="1">
      <alignment horizontal="center" vertical="center" wrapText="1"/>
    </xf>
    <xf numFmtId="0" fontId="7" fillId="0" borderId="17" xfId="2" applyFont="1" applyFill="1" applyBorder="1" applyAlignment="1">
      <alignment horizontal="center" vertical="center" wrapText="1"/>
    </xf>
    <xf numFmtId="0" fontId="7" fillId="0" borderId="9" xfId="2" applyFont="1" applyBorder="1" applyAlignment="1">
      <alignment horizontal="center" vertical="center" wrapText="1"/>
    </xf>
    <xf numFmtId="0" fontId="7" fillId="0" borderId="10" xfId="2" applyFont="1" applyBorder="1" applyAlignment="1">
      <alignment horizontal="center" vertical="center" wrapText="1"/>
    </xf>
    <xf numFmtId="0" fontId="7" fillId="0" borderId="21" xfId="2" applyFont="1" applyBorder="1" applyAlignment="1">
      <alignment horizontal="left" vertical="center"/>
    </xf>
    <xf numFmtId="0" fontId="7" fillId="0" borderId="20" xfId="2" applyFont="1" applyBorder="1" applyAlignment="1">
      <alignment horizontal="left" vertical="center"/>
    </xf>
    <xf numFmtId="0" fontId="7" fillId="0" borderId="6" xfId="2" applyFont="1" applyBorder="1" applyAlignment="1">
      <alignment horizontal="center" vertical="center"/>
    </xf>
    <xf numFmtId="0" fontId="7" fillId="0" borderId="0" xfId="2" applyFont="1" applyAlignment="1">
      <alignment horizontal="center" vertical="center"/>
    </xf>
    <xf numFmtId="0" fontId="7" fillId="109" borderId="16" xfId="2" applyFont="1" applyFill="1" applyBorder="1" applyAlignment="1">
      <alignment horizontal="center" vertical="center" wrapText="1"/>
    </xf>
    <xf numFmtId="0" fontId="7" fillId="109" borderId="18" xfId="2" applyFont="1" applyFill="1" applyBorder="1" applyAlignment="1">
      <alignment horizontal="center" vertical="center" wrapText="1"/>
    </xf>
    <xf numFmtId="0" fontId="7" fillId="109" borderId="17" xfId="2" applyFont="1" applyFill="1" applyBorder="1" applyAlignment="1">
      <alignment horizontal="center" vertical="center" wrapText="1"/>
    </xf>
    <xf numFmtId="0" fontId="260" fillId="0" borderId="6" xfId="0" applyFont="1" applyBorder="1" applyAlignment="1">
      <alignment horizontal="center" vertical="center" wrapText="1" readingOrder="1"/>
    </xf>
    <xf numFmtId="0" fontId="260" fillId="0" borderId="0" xfId="0" applyFont="1" applyAlignment="1">
      <alignment horizontal="center" vertical="center" wrapText="1" readingOrder="1"/>
    </xf>
    <xf numFmtId="0" fontId="7" fillId="109" borderId="18" xfId="2" applyFont="1" applyFill="1" applyBorder="1" applyAlignment="1">
      <alignment horizontal="center" vertical="center"/>
    </xf>
    <xf numFmtId="0" fontId="7" fillId="109" borderId="17" xfId="2" applyFont="1" applyFill="1" applyBorder="1" applyAlignment="1">
      <alignment horizontal="center" vertical="center"/>
    </xf>
    <xf numFmtId="0" fontId="7" fillId="0" borderId="0" xfId="2" applyFont="1" applyBorder="1" applyAlignment="1">
      <alignment horizontal="center" vertical="center"/>
    </xf>
  </cellXfs>
  <cellStyles count="51159">
    <cellStyle name="_x0002_" xfId="11"/>
    <cellStyle name="_x0006__x0012_" xfId="12"/>
    <cellStyle name="_x0006__x0012_ 2" xfId="13"/>
    <cellStyle name=" 䰀愀猀攀爀䨀攀琀 㠀　　　 䐀一 倀䌀䰀 㘀" xfId="14"/>
    <cellStyle name="_x0002_._x0011__x0002_._x001b__x0002_ _x0015_%_x0018__x0001_" xfId="15"/>
    <cellStyle name=";" xfId="16"/>
    <cellStyle name="?" xfId="17"/>
    <cellStyle name="_x0003_?#_x0004_" xfId="18"/>
    <cellStyle name="??&amp;O?&amp;H?_x0008__x000f__x0007_?_x0007__x0001__x0001_" xfId="19"/>
    <cellStyle name="??&amp;O?&amp;H?_x0008__x000f__x0007_?_x0007__x0001__x0001_ 2" xfId="20"/>
    <cellStyle name="??&amp;O?&amp;H?_x0008_??_x0007__x0001__x0001_" xfId="21"/>
    <cellStyle name="??&amp;O?&amp;H?_x0008_??_x0007__x0001__x0001_ 2" xfId="22"/>
    <cellStyle name="??&amp;O?&amp;H?_x0008_x_x000b_P_x000c__x0007__x0001__x0001_" xfId="23"/>
    <cellStyle name="???­ [0]_±??¸_¼????? (³?°? 83¾?) " xfId="24"/>
    <cellStyle name="_x0003_???_x0015__x0004_???&quot;_x0004_!_x0004_?_x000c__x0004_??_x000f__x000b__x0004__x001d__x0004__x001e__x0004_?_x0005__x0004__x000f_?_x0011__x0004__x000f_??_x0010__x0004_?????#_x0004_" xfId="25"/>
    <cellStyle name="_x0003_?_x0010__x0004_?????#_x0004_" xfId="26"/>
    <cellStyle name="_x0001_???????????L" xfId="27"/>
    <cellStyle name="???­_±??¸_¼????? (³?°? 83¾?) " xfId="28"/>
    <cellStyle name="???Ø_±¹Æ?_`96.9¿?Ø? " xfId="29"/>
    <cellStyle name="??[0]_H4DPG7RfezGCKgvTcNxjaUm2G" xfId="30"/>
    <cellStyle name="??_?.????" xfId="31"/>
    <cellStyle name="??欺傅?" xfId="32"/>
    <cellStyle name="?Ⅱ_x001b__x0005_@?" xfId="33"/>
    <cellStyle name="?Ⅱ_x001b__x0005_@? 2" xfId="34"/>
    <cellStyle name="?Þ¸¶ [0]_¼???°??¹(SMD) " xfId="35"/>
    <cellStyle name="?Þ¸¶_±??¸_¼????? (³?°? 83¾?) " xfId="36"/>
    <cellStyle name="?W?_laroux" xfId="37"/>
    <cellStyle name="?盒?_老老前??? " xfId="39"/>
    <cellStyle name="?霖_   " xfId="38"/>
    <cellStyle name="@" xfId="40"/>
    <cellStyle name="@_9월-12월" xfId="41"/>
    <cellStyle name="@_9월-12월_ PULL  LIST-1 (2007년)" xfId="42"/>
    <cellStyle name="@_9월-12월_1월-4월" xfId="43"/>
    <cellStyle name="@_9월-12월_1월-4월_ PULL  LIST-1 (2007년)" xfId="44"/>
    <cellStyle name="@_9월-12월_1월-4월_PULL  LIST-1 (2004년)" xfId="45"/>
    <cellStyle name="@_9월-12월_1월-4월_PULL  LIST-1 (2004년)_Book1" xfId="46"/>
    <cellStyle name="@_9월-12월_1월-4월_PULL  LIST-1 (2004년)_Book1_ PULL  LIST-1 (2007년)" xfId="47"/>
    <cellStyle name="@_9월-12월_1월-4월_PULL  LIST-1 (2004년)_Book1_PULL  LIST-1 (2005년)" xfId="48"/>
    <cellStyle name="@_9월-12월_1월-4월_PULL  LIST-1 (2004년)_Book1_PULL  LIST-1 (2005년)_PULL  LIST-1 (2005년)" xfId="49"/>
    <cellStyle name="@_9월-12월_1월-4월_PULL  LIST-1 (2004년)_Book1_PULL  LIST-1 (2005년)_PULL  LIST-1 (2005년)_ PULL  LIST-1 (2007년)" xfId="50"/>
    <cellStyle name="@_9월-12월_1월-4월_PULL  LIST-1 (2004년)_Book1_PULL  LIST-1 (2005년)_PULL  LIST-1 (2005년)_PULL  LIST-1 (2006년)" xfId="51"/>
    <cellStyle name="@_9월-12월_1월-4월_PULL  LIST-1 (2004년)_Book1_PULL  LIST-1 (2005년)_PULL  LIST-1 (2005년)_PULL  LIST-1 (2006년)_PULL  LIST-1 (2006년)" xfId="52"/>
    <cellStyle name="@_9월-12월_1월-4월_PULL  LIST-1 (2004년)_Book1_PULL  LIST-1 (2005년)_PULL  LIST-1 (2005년)_PULL  LIST-1 (2006년)_PULL  LIST-1 (2006년)_ PULL  LIST-1 (2007년)" xfId="53"/>
    <cellStyle name="@_9월-12월_1월-4월_PULL  LIST-1 (2004년)_Book1_PULL  LIST-1 (2005년)_PULL  LIST-1 (2006년)" xfId="54"/>
    <cellStyle name="@_9월-12월_1월-4월_PULL  LIST-1 (2004년)_Book1_PULL  LIST-1 (2005년)_PULL  LIST-1 (2006년)_ PULL  LIST-1 (2007년)" xfId="55"/>
    <cellStyle name="@_9월-12월_1월-4월_PULL  LIST-1 (2004년)_Book1_PULL  LIST-1 (2005년)_PULL  LIST-1 (2006년)_PULL  LIST-1 (2006년)" xfId="56"/>
    <cellStyle name="@_9월-12월_1월-4월_PULL  LIST-1 (2004년)_Book1_PULL  LIST-1 (2005년)_PULL  LIST-1 (2006년)_PULL  LIST-1 (2006년)_PULL  LIST-1 (2006년)" xfId="57"/>
    <cellStyle name="@_9월-12월_1월-4월_PULL  LIST-1 (2004년)_Book1_PULL  LIST-1 (2005년)_PULL  LIST-1 (2006년)_PULL  LIST-1 (2006년)_PULL  LIST-1 (2006년)_ PULL  LIST-1 (2007년)" xfId="58"/>
    <cellStyle name="@_9월-12월_1월-4월_PULL  LIST-1 (2004년)_Book1_PULL  LIST-1 (2005년)_원가인하9월30일" xfId="59"/>
    <cellStyle name="@_9월-12월_1월-4월_PULL  LIST-1 (2004년)_Book1_PULL  LIST-1 (2005년)_원가인하9월30일_ PULL  LIST-1 (2007년)" xfId="60"/>
    <cellStyle name="@_9월-12월_1월-4월_PULL  LIST-1 (2004년)_Book1_PULL  LIST-1 (2005년)_원가인하9월30일_PULL  LIST-1 (2006년)" xfId="61"/>
    <cellStyle name="@_9월-12월_1월-4월_PULL  LIST-1 (2004년)_Book1_PULL  LIST-1 (2005년)_원가인하9월30일_PULL  LIST-1 (2006년)_PULL  LIST-1 (2006년)" xfId="62"/>
    <cellStyle name="@_9월-12월_1월-4월_PULL  LIST-1 (2004년)_Book1_PULL  LIST-1 (2005년)_원가인하9월30일_PULL  LIST-1 (2006년)_PULL  LIST-1 (2006년)_ PULL  LIST-1 (2007년)" xfId="63"/>
    <cellStyle name="@_9월-12월_1월-4월_PULL  LIST-1 (2004년)_Book1_PULL  LIST-1 (2006년)" xfId="64"/>
    <cellStyle name="@_9월-12월_1월-4월_PULL  LIST-1 (2004년)_Book1_PULL  LIST-1 (2006년)_PULL  LIST-1 (2006년)" xfId="65"/>
    <cellStyle name="@_9월-12월_1월-4월_PULL  LIST-1 (2004년)_Book1_PULL  LIST-1 (2006년)_PULL  LIST-1 (2006년)_ PULL  LIST-1 (2007년)" xfId="66"/>
    <cellStyle name="@_9월-12월_1월-4월_PULL  LIST-1 (2004년)_PULL  LIST-1 (2004년)" xfId="67"/>
    <cellStyle name="@_9월-12월_1월-4월_PULL  LIST-1 (2004년)_PULL  LIST-1 (2004년)_ PULL  LIST-1 (2007년)" xfId="68"/>
    <cellStyle name="@_9월-12월_1월-4월_PULL  LIST-1 (2004년)_PULL  LIST-1 (2004년)_PULL  LIST-1 (2004년)" xfId="69"/>
    <cellStyle name="@_9월-12월_1월-4월_PULL  LIST-1 (2004년)_PULL  LIST-1 (2004년)_PULL  LIST-1 (2004년)_Book1" xfId="70"/>
    <cellStyle name="@_9월-12월_1월-4월_PULL  LIST-1 (2004년)_PULL  LIST-1 (2004년)_PULL  LIST-1 (2004년)_Book1_ PULL  LIST-1 (2007년)" xfId="71"/>
    <cellStyle name="@_9월-12월_1월-4월_PULL  LIST-1 (2004년)_PULL  LIST-1 (2004년)_PULL  LIST-1 (2004년)_Book1_PULL  LIST-1 (2005년)" xfId="72"/>
    <cellStyle name="@_9월-12월_1월-4월_PULL  LIST-1 (2004년)_PULL  LIST-1 (2004년)_PULL  LIST-1 (2004년)_Book1_PULL  LIST-1 (2005년)_PULL  LIST-1 (2005년)" xfId="73"/>
    <cellStyle name="@_9월-12월_1월-4월_PULL  LIST-1 (2004년)_PULL  LIST-1 (2004년)_PULL  LIST-1 (2004년)_Book1_PULL  LIST-1 (2005년)_PULL  LIST-1 (2005년)_ PULL  LIST-1 (2007년)" xfId="74"/>
    <cellStyle name="@_9월-12월_1월-4월_PULL  LIST-1 (2004년)_PULL  LIST-1 (2004년)_PULL  LIST-1 (2004년)_Book1_PULL  LIST-1 (2005년)_PULL  LIST-1 (2005년)_PULL  LIST-1 (2006년)" xfId="75"/>
    <cellStyle name="@_9월-12월_1월-4월_PULL  LIST-1 (2004년)_PULL  LIST-1 (2004년)_PULL  LIST-1 (2004년)_Book1_PULL  LIST-1 (2005년)_PULL  LIST-1 (2005년)_PULL  LIST-1 (2006년)_PULL  LIST-1 (2006년)" xfId="76"/>
    <cellStyle name="@_9월-12월_1월-4월_PULL  LIST-1 (2004년)_PULL  LIST-1 (2004년)_PULL  LIST-1 (2004년)_Book1_PULL  LIST-1 (2005년)_PULL  LIST-1 (2005년)_PULL  LIST-1 (2006년)_PULL  LIST-1 (2006년)_ PULL  LIST-1 (2007년)" xfId="77"/>
    <cellStyle name="@_9월-12월_1월-4월_PULL  LIST-1 (2004년)_PULL  LIST-1 (2004년)_PULL  LIST-1 (2004년)_Book1_PULL  LIST-1 (2005년)_PULL  LIST-1 (2006년)" xfId="78"/>
    <cellStyle name="@_9월-12월_1월-4월_PULL  LIST-1 (2004년)_PULL  LIST-1 (2004년)_PULL  LIST-1 (2004년)_Book1_PULL  LIST-1 (2005년)_PULL  LIST-1 (2006년)_ PULL  LIST-1 (2007년)" xfId="79"/>
    <cellStyle name="@_9월-12월_1월-4월_PULL  LIST-1 (2004년)_PULL  LIST-1 (2004년)_PULL  LIST-1 (2004년)_Book1_PULL  LIST-1 (2005년)_PULL  LIST-1 (2006년)_PULL  LIST-1 (2006년)" xfId="80"/>
    <cellStyle name="@_9월-12월_1월-4월_PULL  LIST-1 (2004년)_PULL  LIST-1 (2004년)_PULL  LIST-1 (2004년)_Book1_PULL  LIST-1 (2005년)_PULL  LIST-1 (2006년)_PULL  LIST-1 (2006년)_PULL  LIST-1 (2006년)" xfId="81"/>
    <cellStyle name="@_9월-12월_1월-4월_PULL  LIST-1 (2004년)_PULL  LIST-1 (2004년)_PULL  LIST-1 (2004년)_Book1_PULL  LIST-1 (2005년)_PULL  LIST-1 (2006년)_PULL  LIST-1 (2006년)_PULL  LIST-1 (2006년)_ PULL  LIST-1 (2007년)" xfId="82"/>
    <cellStyle name="@_9월-12월_1월-4월_PULL  LIST-1 (2004년)_PULL  LIST-1 (2004년)_PULL  LIST-1 (2004년)_Book1_PULL  LIST-1 (2005년)_원가인하9월30일" xfId="83"/>
    <cellStyle name="@_9월-12월_1월-4월_PULL  LIST-1 (2004년)_PULL  LIST-1 (2004년)_PULL  LIST-1 (2004년)_Book1_PULL  LIST-1 (2005년)_원가인하9월30일_ PULL  LIST-1 (2007년)" xfId="84"/>
    <cellStyle name="@_9월-12월_1월-4월_PULL  LIST-1 (2004년)_PULL  LIST-1 (2004년)_PULL  LIST-1 (2004년)_Book1_PULL  LIST-1 (2005년)_원가인하9월30일_PULL  LIST-1 (2006년)" xfId="85"/>
    <cellStyle name="@_9월-12월_1월-4월_PULL  LIST-1 (2004년)_PULL  LIST-1 (2004년)_PULL  LIST-1 (2004년)_Book1_PULL  LIST-1 (2005년)_원가인하9월30일_PULL  LIST-1 (2006년)_PULL  LIST-1 (2006년)" xfId="86"/>
    <cellStyle name="@_9월-12월_1월-4월_PULL  LIST-1 (2004년)_PULL  LIST-1 (2004년)_PULL  LIST-1 (2004년)_Book1_PULL  LIST-1 (2005년)_원가인하9월30일_PULL  LIST-1 (2006년)_PULL  LIST-1 (2006년)_ PULL  LIST-1 (2007년)" xfId="87"/>
    <cellStyle name="@_9월-12월_1월-4월_PULL  LIST-1 (2004년)_PULL  LIST-1 (2004년)_PULL  LIST-1 (2004년)_Book1_PULL  LIST-1 (2006년)" xfId="88"/>
    <cellStyle name="@_9월-12월_1월-4월_PULL  LIST-1 (2004년)_PULL  LIST-1 (2004년)_PULL  LIST-1 (2004년)_Book1_PULL  LIST-1 (2006년)_PULL  LIST-1 (2006년)" xfId="89"/>
    <cellStyle name="@_9월-12월_1월-4월_PULL  LIST-1 (2004년)_PULL  LIST-1 (2004년)_PULL  LIST-1 (2004년)_Book1_PULL  LIST-1 (2006년)_PULL  LIST-1 (2006년)_ PULL  LIST-1 (2007년)" xfId="90"/>
    <cellStyle name="@_9월-12월_1월-4월_PULL  LIST-1 (2004년)_PULL  LIST-1 (2004년)_PULL  LIST-1 (2004년)_PULL  LIST-1 (2005년)" xfId="91"/>
    <cellStyle name="@_9월-12월_1월-4월_PULL  LIST-1 (2004년)_PULL  LIST-1 (2004년)_PULL  LIST-1 (2004년)_PULL  LIST-1 (2005년)_ PULL  LIST-1 (2007년)" xfId="92"/>
    <cellStyle name="@_9월-12월_1월-4월_PULL  LIST-1 (2004년)_PULL  LIST-1 (2004년)_PULL  LIST-1 (2004년)_PULL  LIST-1 (2005년)_PULL  LIST-1 (2006년)" xfId="93"/>
    <cellStyle name="@_9월-12월_1월-4월_PULL  LIST-1 (2004년)_PULL  LIST-1 (2004년)_PULL  LIST-1 (2004년)_PULL  LIST-1 (2005년)_PULL  LIST-1 (2006년)_PULL  LIST-1 (2006년)" xfId="94"/>
    <cellStyle name="@_9월-12월_1월-4월_PULL  LIST-1 (2004년)_PULL  LIST-1 (2004년)_PULL  LIST-1 (2004년)_PULL  LIST-1 (2005년)_PULL  LIST-1 (2006년)_PULL  LIST-1 (2006년)_ PULL  LIST-1 (2007년)" xfId="95"/>
    <cellStyle name="@_9월-12월_1월-4월_PULL  LIST-1 (2004년)_PULL  LIST-1 (2004년)_PULL  LIST-1 (2004년)_PULL  LIST-1 (2006년)" xfId="96"/>
    <cellStyle name="@_9월-12월_1월-4월_PULL  LIST-1 (2004년)_PULL  LIST-1 (2004년)_PULL  LIST-1 (2004년)_PULL  LIST-1 (2006년)_ PULL  LIST-1 (2007년)" xfId="97"/>
    <cellStyle name="@_9월-12월_1월-4월_PULL  LIST-1 (2004년)_PULL  LIST-1 (2004년)_PULL  LIST-1 (2004년)_PULL  LIST-1 (2006년)_PULL  LIST-1 (2006년)" xfId="98"/>
    <cellStyle name="@_9월-12월_1월-4월_PULL  LIST-1 (2004년)_PULL  LIST-1 (2004년)_PULL  LIST-1 (2004년)_PULL  LIST-1 (2006년)_PULL  LIST-1 (2006년)_PULL  LIST-1 (2006년)" xfId="99"/>
    <cellStyle name="@_9월-12월_1월-4월_PULL  LIST-1 (2004년)_PULL  LIST-1 (2004년)_PULL  LIST-1 (2004년)_PULL  LIST-1 (2006년)_PULL  LIST-1 (2006년)_PULL  LIST-1 (2006년)_ PULL  LIST-1 (2007년)" xfId="100"/>
    <cellStyle name="@_9월-12월_1월-4월_PULL  LIST-1 (2004년)_PULL  LIST-1 (2004년)_PULL  LIST-1 (2004년)_원가인하9월30일" xfId="101"/>
    <cellStyle name="@_9월-12월_1월-4월_PULL  LIST-1 (2004년)_PULL  LIST-1 (2004년)_PULL  LIST-1 (2004년)_원가인하9월30일_ PULL  LIST-1 (2007년)" xfId="102"/>
    <cellStyle name="@_9월-12월_1월-4월_PULL  LIST-1 (2004년)_PULL  LIST-1 (2004년)_PULL  LIST-1 (2004년)_원가인하9월30일_PULL  LIST-1 (2006년)" xfId="103"/>
    <cellStyle name="@_9월-12월_1월-4월_PULL  LIST-1 (2004년)_PULL  LIST-1 (2004년)_PULL  LIST-1 (2004년)_원가인하9월30일_PULL  LIST-1 (2006년)_PULL  LIST-1 (2006년)" xfId="104"/>
    <cellStyle name="@_9월-12월_1월-4월_PULL  LIST-1 (2004년)_PULL  LIST-1 (2004년)_PULL  LIST-1 (2004년)_원가인하9월30일_PULL  LIST-1 (2006년)_PULL  LIST-1 (2006년)_ PULL  LIST-1 (2007년)" xfId="105"/>
    <cellStyle name="@_9월-12월_1월-4월_PULL  LIST-1 (2004년)_PULL  LIST-1 (2004년)_PULL  LIST-1 (2005년)" xfId="106"/>
    <cellStyle name="@_9월-12월_1월-4월_PULL  LIST-1 (2004년)_PULL  LIST-1 (2004년)_PULL  LIST-1 (2005년)_PULL  LIST-1 (2005년)" xfId="107"/>
    <cellStyle name="@_9월-12월_1월-4월_PULL  LIST-1 (2004년)_PULL  LIST-1 (2004년)_PULL  LIST-1 (2005년)_PULL  LIST-1 (2005년)_ PULL  LIST-1 (2007년)" xfId="108"/>
    <cellStyle name="@_9월-12월_1월-4월_PULL  LIST-1 (2004년)_PULL  LIST-1 (2004년)_PULL  LIST-1 (2005년)_PULL  LIST-1 (2005년)_PULL  LIST-1 (2006년)" xfId="109"/>
    <cellStyle name="@_9월-12월_1월-4월_PULL  LIST-1 (2004년)_PULL  LIST-1 (2004년)_PULL  LIST-1 (2005년)_PULL  LIST-1 (2005년)_PULL  LIST-1 (2006년)_PULL  LIST-1 (2006년)" xfId="110"/>
    <cellStyle name="@_9월-12월_1월-4월_PULL  LIST-1 (2004년)_PULL  LIST-1 (2004년)_PULL  LIST-1 (2005년)_PULL  LIST-1 (2005년)_PULL  LIST-1 (2006년)_PULL  LIST-1 (2006년)_ PULL  LIST-1 (2007년)" xfId="111"/>
    <cellStyle name="@_9월-12월_1월-4월_PULL  LIST-1 (2004년)_PULL  LIST-1 (2004년)_PULL  LIST-1 (2005년)_PULL  LIST-1 (2006년)" xfId="112"/>
    <cellStyle name="@_9월-12월_1월-4월_PULL  LIST-1 (2004년)_PULL  LIST-1 (2004년)_PULL  LIST-1 (2005년)_PULL  LIST-1 (2006년)_ PULL  LIST-1 (2007년)" xfId="113"/>
    <cellStyle name="@_9월-12월_1월-4월_PULL  LIST-1 (2004년)_PULL  LIST-1 (2004년)_PULL  LIST-1 (2005년)_PULL  LIST-1 (2006년)_PULL  LIST-1 (2006년)" xfId="114"/>
    <cellStyle name="@_9월-12월_1월-4월_PULL  LIST-1 (2004년)_PULL  LIST-1 (2004년)_PULL  LIST-1 (2005년)_PULL  LIST-1 (2006년)_PULL  LIST-1 (2006년)_PULL  LIST-1 (2006년)" xfId="115"/>
    <cellStyle name="@_9월-12월_1월-4월_PULL  LIST-1 (2004년)_PULL  LIST-1 (2004년)_PULL  LIST-1 (2005년)_PULL  LIST-1 (2006년)_PULL  LIST-1 (2006년)_PULL  LIST-1 (2006년)_ PULL  LIST-1 (2007년)" xfId="116"/>
    <cellStyle name="@_9월-12월_1월-4월_PULL  LIST-1 (2004년)_PULL  LIST-1 (2004년)_PULL  LIST-1 (2005년)_원가인하9월30일" xfId="117"/>
    <cellStyle name="@_9월-12월_1월-4월_PULL  LIST-1 (2004년)_PULL  LIST-1 (2004년)_PULL  LIST-1 (2005년)_원가인하9월30일_ PULL  LIST-1 (2007년)" xfId="118"/>
    <cellStyle name="@_9월-12월_1월-4월_PULL  LIST-1 (2004년)_PULL  LIST-1 (2004년)_PULL  LIST-1 (2005년)_원가인하9월30일_PULL  LIST-1 (2006년)" xfId="119"/>
    <cellStyle name="@_9월-12월_1월-4월_PULL  LIST-1 (2004년)_PULL  LIST-1 (2004년)_PULL  LIST-1 (2005년)_원가인하9월30일_PULL  LIST-1 (2006년)_PULL  LIST-1 (2006년)" xfId="120"/>
    <cellStyle name="@_9월-12월_1월-4월_PULL  LIST-1 (2004년)_PULL  LIST-1 (2004년)_PULL  LIST-1 (2005년)_원가인하9월30일_PULL  LIST-1 (2006년)_PULL  LIST-1 (2006년)_ PULL  LIST-1 (2007년)" xfId="121"/>
    <cellStyle name="@_9월-12월_1월-4월_PULL  LIST-1 (2004년)_PULL  LIST-1 (2004년)_PULL  LIST-1 (2006년)" xfId="122"/>
    <cellStyle name="@_9월-12월_1월-4월_PULL  LIST-1 (2004년)_PULL  LIST-1 (2004년)_PULL  LIST-1 (2006년)_PULL  LIST-1 (2006년)" xfId="123"/>
    <cellStyle name="@_9월-12월_1월-4월_PULL  LIST-1 (2004년)_PULL  LIST-1 (2004년)_PULL  LIST-1 (2006년)_PULL  LIST-1 (2006년)_ PULL  LIST-1 (2007년)" xfId="124"/>
    <cellStyle name="@_9월-12월_1월-4월_PULL  LIST-1 (2004년)_PULL  LIST-1 (2005년)" xfId="125"/>
    <cellStyle name="@_9월-12월_1월-4월_PULL  LIST-1 (2004년)_PULL  LIST-1 (2005년)_ PULL  LIST-1 (2007년)" xfId="126"/>
    <cellStyle name="@_9월-12월_1월-4월_PULL  LIST-1 (2004년)_PULL  LIST-1 (2005년)_PULL  LIST-1 (2006년)" xfId="127"/>
    <cellStyle name="@_9월-12월_1월-4월_PULL  LIST-1 (2004년)_PULL  LIST-1 (2005년)_PULL  LIST-1 (2006년)_PULL  LIST-1 (2006년)" xfId="128"/>
    <cellStyle name="@_9월-12월_1월-4월_PULL  LIST-1 (2004년)_PULL  LIST-1 (2005년)_PULL  LIST-1 (2006년)_PULL  LIST-1 (2006년)_ PULL  LIST-1 (2007년)" xfId="129"/>
    <cellStyle name="@_9월-12월_1월-4월_PULL  LIST-1 (2004년)_PULL  LIST-1 (2006년)" xfId="130"/>
    <cellStyle name="@_9월-12월_1월-4월_PULL  LIST-1 (2004년)_PULL  LIST-1 (2006년)_ PULL  LIST-1 (2007년)" xfId="131"/>
    <cellStyle name="@_9월-12월_1월-4월_PULL  LIST-1 (2004년)_PULL  LIST-1 (2006년)_PULL  LIST-1 (2006년)" xfId="132"/>
    <cellStyle name="@_9월-12월_1월-4월_PULL  LIST-1 (2004년)_PULL  LIST-1 (2006년)_PULL  LIST-1 (2006년)_PULL  LIST-1 (2006년)" xfId="133"/>
    <cellStyle name="@_9월-12월_1월-4월_PULL  LIST-1 (2004년)_PULL  LIST-1 (2006년)_PULL  LIST-1 (2006년)_PULL  LIST-1 (2006년)_ PULL  LIST-1 (2007년)" xfId="134"/>
    <cellStyle name="@_9월-12월_1월-4월_PULL  LIST-1 (2004년)_원가인하9월30일" xfId="135"/>
    <cellStyle name="@_9월-12월_1월-4월_PULL  LIST-1 (2004년)_원가인하9월30일_ PULL  LIST-1 (2007년)" xfId="136"/>
    <cellStyle name="@_9월-12월_1월-4월_PULL  LIST-1 (2004년)_원가인하9월30일_PULL  LIST-1 (2006년)" xfId="137"/>
    <cellStyle name="@_9월-12월_1월-4월_PULL  LIST-1 (2004년)_원가인하9월30일_PULL  LIST-1 (2006년)_PULL  LIST-1 (2006년)" xfId="138"/>
    <cellStyle name="@_9월-12월_1월-4월_PULL  LIST-1 (2004년)_원가인하9월30일_PULL  LIST-1 (2006년)_PULL  LIST-1 (2006년)_ PULL  LIST-1 (2007년)" xfId="139"/>
    <cellStyle name="@_9월-12월_1월-4월_PULL  LIST-1 (2005년)" xfId="140"/>
    <cellStyle name="@_9월-12월_1월-4월_PULL  LIST-1 (2005년)_PULL  LIST-1 (2005년)" xfId="141"/>
    <cellStyle name="@_9월-12월_1월-4월_PULL  LIST-1 (2005년)_PULL  LIST-1 (2005년)_ PULL  LIST-1 (2007년)" xfId="142"/>
    <cellStyle name="@_9월-12월_1월-4월_PULL  LIST-1 (2005년)_PULL  LIST-1 (2005년)_PULL  LIST-1 (2006년)" xfId="143"/>
    <cellStyle name="@_9월-12월_1월-4월_PULL  LIST-1 (2005년)_PULL  LIST-1 (2005년)_PULL  LIST-1 (2006년)_PULL  LIST-1 (2006년)" xfId="144"/>
    <cellStyle name="@_9월-12월_1월-4월_PULL  LIST-1 (2005년)_PULL  LIST-1 (2005년)_PULL  LIST-1 (2006년)_PULL  LIST-1 (2006년)_ PULL  LIST-1 (2007년)" xfId="145"/>
    <cellStyle name="@_9월-12월_1월-4월_PULL  LIST-1 (2005년)_PULL  LIST-1 (2006년)" xfId="146"/>
    <cellStyle name="@_9월-12월_1월-4월_PULL  LIST-1 (2005년)_PULL  LIST-1 (2006년)_ PULL  LIST-1 (2007년)" xfId="147"/>
    <cellStyle name="@_9월-12월_1월-4월_PULL  LIST-1 (2005년)_PULL  LIST-1 (2006년)_PULL  LIST-1 (2006년)" xfId="148"/>
    <cellStyle name="@_9월-12월_1월-4월_PULL  LIST-1 (2005년)_PULL  LIST-1 (2006년)_PULL  LIST-1 (2006년)_PULL  LIST-1 (2006년)" xfId="149"/>
    <cellStyle name="@_9월-12월_1월-4월_PULL  LIST-1 (2005년)_PULL  LIST-1 (2006년)_PULL  LIST-1 (2006년)_PULL  LIST-1 (2006년)_ PULL  LIST-1 (2007년)" xfId="150"/>
    <cellStyle name="@_9월-12월_1월-4월_PULL  LIST-1 (2005년)_원가인하9월30일" xfId="151"/>
    <cellStyle name="@_9월-12월_1월-4월_PULL  LIST-1 (2005년)_원가인하9월30일_ PULL  LIST-1 (2007년)" xfId="152"/>
    <cellStyle name="@_9월-12월_1월-4월_PULL  LIST-1 (2005년)_원가인하9월30일_PULL  LIST-1 (2006년)" xfId="153"/>
    <cellStyle name="@_9월-12월_1월-4월_PULL  LIST-1 (2005년)_원가인하9월30일_PULL  LIST-1 (2006년)_PULL  LIST-1 (2006년)" xfId="154"/>
    <cellStyle name="@_9월-12월_1월-4월_PULL  LIST-1 (2005년)_원가인하9월30일_PULL  LIST-1 (2006년)_PULL  LIST-1 (2006년)_ PULL  LIST-1 (2007년)" xfId="155"/>
    <cellStyle name="@_9월-12월_1월-4월_PULL  LIST-1 (2006년)" xfId="156"/>
    <cellStyle name="@_9월-12월_1월-4월_PULL  LIST-1 (2006년)_PULL  LIST-1 (2006년)" xfId="157"/>
    <cellStyle name="@_9월-12월_1월-4월_PULL  LIST-1 (2006년)_PULL  LIST-1 (2006년)_ PULL  LIST-1 (2007년)" xfId="158"/>
    <cellStyle name="@_9월-12월_9월-12월" xfId="159"/>
    <cellStyle name="@_9월-12월_9월-12월_ PULL  LIST-1 (2007년)" xfId="160"/>
    <cellStyle name="@_9월-12월_9월-12월_9월-12월" xfId="161"/>
    <cellStyle name="@_9월-12월_9월-12월_9월-12월_ PULL  LIST-1 (2007년)" xfId="162"/>
    <cellStyle name="@_9월-12월_9월-12월_9월-12월_1월-4월" xfId="163"/>
    <cellStyle name="@_9월-12월_9월-12월_9월-12월_1월-4월_ PULL  LIST-1 (2007년)" xfId="164"/>
    <cellStyle name="@_9월-12월_9월-12월_9월-12월_1월-4월_PULL  LIST-1 (2004년)" xfId="165"/>
    <cellStyle name="@_9월-12월_9월-12월_9월-12월_1월-4월_PULL  LIST-1 (2004년)_Book1" xfId="166"/>
    <cellStyle name="@_9월-12월_9월-12월_9월-12월_1월-4월_PULL  LIST-1 (2004년)_Book1_ PULL  LIST-1 (2007년)" xfId="167"/>
    <cellStyle name="@_9월-12월_9월-12월_9월-12월_1월-4월_PULL  LIST-1 (2004년)_Book1_PULL  LIST-1 (2005년)" xfId="168"/>
    <cellStyle name="@_9월-12월_9월-12월_9월-12월_1월-4월_PULL  LIST-1 (2004년)_Book1_PULL  LIST-1 (2005년)_PULL  LIST-1 (2005년)" xfId="169"/>
    <cellStyle name="@_9월-12월_9월-12월_9월-12월_1월-4월_PULL  LIST-1 (2004년)_Book1_PULL  LIST-1 (2005년)_PULL  LIST-1 (2005년)_ PULL  LIST-1 (2007년)" xfId="170"/>
    <cellStyle name="@_9월-12월_9월-12월_9월-12월_1월-4월_PULL  LIST-1 (2004년)_Book1_PULL  LIST-1 (2005년)_PULL  LIST-1 (2005년)_PULL  LIST-1 (2006년)" xfId="171"/>
    <cellStyle name="@_9월-12월_9월-12월_9월-12월_1월-4월_PULL  LIST-1 (2004년)_Book1_PULL  LIST-1 (2005년)_PULL  LIST-1 (2005년)_PULL  LIST-1 (2006년)_PULL  LIST-1 (2006년)" xfId="172"/>
    <cellStyle name="@_9월-12월_9월-12월_9월-12월_1월-4월_PULL  LIST-1 (2004년)_Book1_PULL  LIST-1 (2005년)_PULL  LIST-1 (2005년)_PULL  LIST-1 (2006년)_PULL  LIST-1 (2006년)_ PULL  LIST-1 (2007년)" xfId="173"/>
    <cellStyle name="@_9월-12월_9월-12월_9월-12월_1월-4월_PULL  LIST-1 (2004년)_Book1_PULL  LIST-1 (2005년)_PULL  LIST-1 (2006년)" xfId="174"/>
    <cellStyle name="@_9월-12월_9월-12월_9월-12월_1월-4월_PULL  LIST-1 (2004년)_Book1_PULL  LIST-1 (2005년)_PULL  LIST-1 (2006년)_ PULL  LIST-1 (2007년)" xfId="175"/>
    <cellStyle name="@_9월-12월_9월-12월_9월-12월_1월-4월_PULL  LIST-1 (2004년)_Book1_PULL  LIST-1 (2005년)_PULL  LIST-1 (2006년)_PULL  LIST-1 (2006년)" xfId="176"/>
    <cellStyle name="@_9월-12월_9월-12월_9월-12월_1월-4월_PULL  LIST-1 (2004년)_Book1_PULL  LIST-1 (2005년)_PULL  LIST-1 (2006년)_PULL  LIST-1 (2006년)_PULL  LIST-1 (2006년)" xfId="177"/>
    <cellStyle name="@_9월-12월_9월-12월_9월-12월_1월-4월_PULL  LIST-1 (2004년)_Book1_PULL  LIST-1 (2005년)_PULL  LIST-1 (2006년)_PULL  LIST-1 (2006년)_PULL  LIST-1 (2006년)_ PULL  LIST-1 (2007년)" xfId="178"/>
    <cellStyle name="@_9월-12월_9월-12월_9월-12월_1월-4월_PULL  LIST-1 (2004년)_Book1_PULL  LIST-1 (2005년)_원가인하9월30일" xfId="179"/>
    <cellStyle name="@_9월-12월_9월-12월_9월-12월_1월-4월_PULL  LIST-1 (2004년)_Book1_PULL  LIST-1 (2005년)_원가인하9월30일_ PULL  LIST-1 (2007년)" xfId="180"/>
    <cellStyle name="@_9월-12월_9월-12월_9월-12월_1월-4월_PULL  LIST-1 (2004년)_Book1_PULL  LIST-1 (2005년)_원가인하9월30일_PULL  LIST-1 (2006년)" xfId="181"/>
    <cellStyle name="@_9월-12월_9월-12월_9월-12월_1월-4월_PULL  LIST-1 (2004년)_Book1_PULL  LIST-1 (2005년)_원가인하9월30일_PULL  LIST-1 (2006년)_PULL  LIST-1 (2006년)" xfId="182"/>
    <cellStyle name="@_9월-12월_9월-12월_9월-12월_1월-4월_PULL  LIST-1 (2004년)_Book1_PULL  LIST-1 (2005년)_원가인하9월30일_PULL  LIST-1 (2006년)_PULL  LIST-1 (2006년)_ PULL  LIST-1 (2007년)" xfId="183"/>
    <cellStyle name="@_9월-12월_9월-12월_9월-12월_1월-4월_PULL  LIST-1 (2004년)_Book1_PULL  LIST-1 (2006년)" xfId="184"/>
    <cellStyle name="@_9월-12월_9월-12월_9월-12월_1월-4월_PULL  LIST-1 (2004년)_Book1_PULL  LIST-1 (2006년)_PULL  LIST-1 (2006년)" xfId="185"/>
    <cellStyle name="@_9월-12월_9월-12월_9월-12월_1월-4월_PULL  LIST-1 (2004년)_Book1_PULL  LIST-1 (2006년)_PULL  LIST-1 (2006년)_ PULL  LIST-1 (2007년)" xfId="186"/>
    <cellStyle name="@_9월-12월_9월-12월_9월-12월_1월-4월_PULL  LIST-1 (2004년)_PULL  LIST-1 (2004년)" xfId="187"/>
    <cellStyle name="@_9월-12월_9월-12월_9월-12월_1월-4월_PULL  LIST-1 (2004년)_PULL  LIST-1 (2004년)_ PULL  LIST-1 (2007년)" xfId="188"/>
    <cellStyle name="@_9월-12월_9월-12월_9월-12월_1월-4월_PULL  LIST-1 (2004년)_PULL  LIST-1 (2004년)_PULL  LIST-1 (2004년)" xfId="189"/>
    <cellStyle name="@_9월-12월_9월-12월_9월-12월_1월-4월_PULL  LIST-1 (2004년)_PULL  LIST-1 (2004년)_PULL  LIST-1 (2004년)_Book1" xfId="190"/>
    <cellStyle name="@_9월-12월_9월-12월_9월-12월_1월-4월_PULL  LIST-1 (2004년)_PULL  LIST-1 (2004년)_PULL  LIST-1 (2004년)_Book1_ PULL  LIST-1 (2007년)" xfId="191"/>
    <cellStyle name="@_9월-12월_9월-12월_9월-12월_1월-4월_PULL  LIST-1 (2004년)_PULL  LIST-1 (2004년)_PULL  LIST-1 (2004년)_Book1_PULL  LIST-1 (2005년)" xfId="192"/>
    <cellStyle name="@_9월-12월_9월-12월_9월-12월_1월-4월_PULL  LIST-1 (2004년)_PULL  LIST-1 (2004년)_PULL  LIST-1 (2004년)_Book1_PULL  LIST-1 (2005년)_PULL  LIST-1 (2005년)" xfId="193"/>
    <cellStyle name="@_9월-12월_9월-12월_9월-12월_1월-4월_PULL  LIST-1 (2004년)_PULL  LIST-1 (2004년)_PULL  LIST-1 (2004년)_Book1_PULL  LIST-1 (2005년)_PULL  LIST-1 (2005년)_ PULL  LIST-1 (2007년)" xfId="194"/>
    <cellStyle name="@_9월-12월_9월-12월_9월-12월_1월-4월_PULL  LIST-1 (2004년)_PULL  LIST-1 (2004년)_PULL  LIST-1 (2004년)_Book1_PULL  LIST-1 (2005년)_PULL  LIST-1 (2005년)_PULL  LIST-1 (2006년)" xfId="195"/>
    <cellStyle name="@_9월-12월_9월-12월_9월-12월_1월-4월_PULL  LIST-1 (2004년)_PULL  LIST-1 (2004년)_PULL  LIST-1 (2004년)_Book1_PULL  LIST-1 (2005년)_PULL  LIST-1 (2005년)_PULL  LIST-1 (2006년)_PULL  LIST-1 (2006년)" xfId="196"/>
    <cellStyle name="@_9월-12월_9월-12월_9월-12월_1월-4월_PULL  LIST-1 (2004년)_PULL  LIST-1 (2004년)_PULL  LIST-1 (2004년)_Book1_PULL  LIST-1 (2005년)_PULL  LIST-1 (2005년)_PULL  LIST-1 (2006년)_PULL  LIST-1 (2006년)_ PULL  LIST-1 (2007년)" xfId="197"/>
    <cellStyle name="@_9월-12월_9월-12월_9월-12월_1월-4월_PULL  LIST-1 (2004년)_PULL  LIST-1 (2004년)_PULL  LIST-1 (2004년)_Book1_PULL  LIST-1 (2005년)_PULL  LIST-1 (2006년)" xfId="198"/>
    <cellStyle name="@_9월-12월_9월-12월_9월-12월_1월-4월_PULL  LIST-1 (2004년)_PULL  LIST-1 (2004년)_PULL  LIST-1 (2004년)_Book1_PULL  LIST-1 (2005년)_PULL  LIST-1 (2006년)_ PULL  LIST-1 (2007년)" xfId="199"/>
    <cellStyle name="@_9월-12월_9월-12월_9월-12월_1월-4월_PULL  LIST-1 (2004년)_PULL  LIST-1 (2004년)_PULL  LIST-1 (2004년)_Book1_PULL  LIST-1 (2005년)_PULL  LIST-1 (2006년)_PULL  LIST-1 (2006년)" xfId="200"/>
    <cellStyle name="@_9월-12월_9월-12월_9월-12월_1월-4월_PULL  LIST-1 (2004년)_PULL  LIST-1 (2004년)_PULL  LIST-1 (2004년)_Book1_PULL  LIST-1 (2005년)_PULL  LIST-1 (2006년)_PULL  LIST-1 (2006년)_PULL  LIST-1 (2006년)" xfId="201"/>
    <cellStyle name="@_9월-12월_9월-12월_9월-12월_1월-4월_PULL  LIST-1 (2004년)_PULL  LIST-1 (2004년)_PULL  LIST-1 (2004년)_Book1_PULL  LIST-1 (2005년)_PULL  LIST-1 (2006년)_PULL  LIST-1 (2006년)_PULL  LIST-1 (2006년)_ PULL  LIST-1 (2007년)" xfId="202"/>
    <cellStyle name="@_9월-12월_9월-12월_9월-12월_1월-4월_PULL  LIST-1 (2004년)_PULL  LIST-1 (2004년)_PULL  LIST-1 (2004년)_Book1_PULL  LIST-1 (2005년)_원가인하9월30일" xfId="203"/>
    <cellStyle name="@_9월-12월_9월-12월_9월-12월_1월-4월_PULL  LIST-1 (2004년)_PULL  LIST-1 (2004년)_PULL  LIST-1 (2004년)_Book1_PULL  LIST-1 (2005년)_원가인하9월30일_ PULL  LIST-1 (2007년)" xfId="204"/>
    <cellStyle name="@_9월-12월_9월-12월_9월-12월_1월-4월_PULL  LIST-1 (2004년)_PULL  LIST-1 (2004년)_PULL  LIST-1 (2004년)_Book1_PULL  LIST-1 (2005년)_원가인하9월30일_PULL  LIST-1 (2006년)" xfId="205"/>
    <cellStyle name="@_9월-12월_9월-12월_9월-12월_1월-4월_PULL  LIST-1 (2004년)_PULL  LIST-1 (2004년)_PULL  LIST-1 (2004년)_Book1_PULL  LIST-1 (2005년)_원가인하9월30일_PULL  LIST-1 (2006년)_PULL  LIST-1 (2006년)" xfId="206"/>
    <cellStyle name="@_9월-12월_9월-12월_9월-12월_1월-4월_PULL  LIST-1 (2004년)_PULL  LIST-1 (2004년)_PULL  LIST-1 (2004년)_Book1_PULL  LIST-1 (2005년)_원가인하9월30일_PULL  LIST-1 (2006년)_PULL  LIST-1 (2006년)_ PULL  LIST-1 (2007년)" xfId="207"/>
    <cellStyle name="@_9월-12월_9월-12월_9월-12월_1월-4월_PULL  LIST-1 (2004년)_PULL  LIST-1 (2004년)_PULL  LIST-1 (2004년)_Book1_PULL  LIST-1 (2006년)" xfId="208"/>
    <cellStyle name="@_9월-12월_9월-12월_9월-12월_1월-4월_PULL  LIST-1 (2004년)_PULL  LIST-1 (2004년)_PULL  LIST-1 (2004년)_Book1_PULL  LIST-1 (2006년)_PULL  LIST-1 (2006년)" xfId="209"/>
    <cellStyle name="@_9월-12월_9월-12월_9월-12월_1월-4월_PULL  LIST-1 (2004년)_PULL  LIST-1 (2004년)_PULL  LIST-1 (2004년)_Book1_PULL  LIST-1 (2006년)_PULL  LIST-1 (2006년)_ PULL  LIST-1 (2007년)" xfId="210"/>
    <cellStyle name="@_9월-12월_9월-12월_9월-12월_1월-4월_PULL  LIST-1 (2004년)_PULL  LIST-1 (2004년)_PULL  LIST-1 (2004년)_PULL  LIST-1 (2005년)" xfId="211"/>
    <cellStyle name="@_9월-12월_9월-12월_9월-12월_1월-4월_PULL  LIST-1 (2004년)_PULL  LIST-1 (2004년)_PULL  LIST-1 (2004년)_PULL  LIST-1 (2005년)_ PULL  LIST-1 (2007년)" xfId="212"/>
    <cellStyle name="@_9월-12월_9월-12월_9월-12월_1월-4월_PULL  LIST-1 (2004년)_PULL  LIST-1 (2004년)_PULL  LIST-1 (2004년)_PULL  LIST-1 (2005년)_PULL  LIST-1 (2006년)" xfId="213"/>
    <cellStyle name="@_9월-12월_9월-12월_9월-12월_1월-4월_PULL  LIST-1 (2004년)_PULL  LIST-1 (2004년)_PULL  LIST-1 (2004년)_PULL  LIST-1 (2005년)_PULL  LIST-1 (2006년)_PULL  LIST-1 (2006년)" xfId="214"/>
    <cellStyle name="@_9월-12월_9월-12월_9월-12월_1월-4월_PULL  LIST-1 (2004년)_PULL  LIST-1 (2004년)_PULL  LIST-1 (2004년)_PULL  LIST-1 (2005년)_PULL  LIST-1 (2006년)_PULL  LIST-1 (2006년)_ PULL  LIST-1 (2007년)" xfId="215"/>
    <cellStyle name="@_9월-12월_9월-12월_9월-12월_1월-4월_PULL  LIST-1 (2004년)_PULL  LIST-1 (2004년)_PULL  LIST-1 (2004년)_PULL  LIST-1 (2006년)" xfId="216"/>
    <cellStyle name="@_9월-12월_9월-12월_9월-12월_1월-4월_PULL  LIST-1 (2004년)_PULL  LIST-1 (2004년)_PULL  LIST-1 (2004년)_PULL  LIST-1 (2006년)_ PULL  LIST-1 (2007년)" xfId="217"/>
    <cellStyle name="@_9월-12월_9월-12월_9월-12월_1월-4월_PULL  LIST-1 (2004년)_PULL  LIST-1 (2004년)_PULL  LIST-1 (2004년)_PULL  LIST-1 (2006년)_PULL  LIST-1 (2006년)" xfId="218"/>
    <cellStyle name="@_9월-12월_9월-12월_9월-12월_1월-4월_PULL  LIST-1 (2004년)_PULL  LIST-1 (2004년)_PULL  LIST-1 (2004년)_PULL  LIST-1 (2006년)_PULL  LIST-1 (2006년)_PULL  LIST-1 (2006년)" xfId="219"/>
    <cellStyle name="@_9월-12월_9월-12월_9월-12월_1월-4월_PULL  LIST-1 (2004년)_PULL  LIST-1 (2004년)_PULL  LIST-1 (2004년)_PULL  LIST-1 (2006년)_PULL  LIST-1 (2006년)_PULL  LIST-1 (2006년)_ PULL  LIST-1 (2007년)" xfId="220"/>
    <cellStyle name="@_9월-12월_9월-12월_9월-12월_1월-4월_PULL  LIST-1 (2004년)_PULL  LIST-1 (2004년)_PULL  LIST-1 (2004년)_원가인하9월30일" xfId="221"/>
    <cellStyle name="@_9월-12월_9월-12월_9월-12월_1월-4월_PULL  LIST-1 (2004년)_PULL  LIST-1 (2004년)_PULL  LIST-1 (2004년)_원가인하9월30일_ PULL  LIST-1 (2007년)" xfId="222"/>
    <cellStyle name="@_9월-12월_9월-12월_9월-12월_1월-4월_PULL  LIST-1 (2004년)_PULL  LIST-1 (2004년)_PULL  LIST-1 (2004년)_원가인하9월30일_PULL  LIST-1 (2006년)" xfId="223"/>
    <cellStyle name="@_9월-12월_9월-12월_9월-12월_1월-4월_PULL  LIST-1 (2004년)_PULL  LIST-1 (2004년)_PULL  LIST-1 (2004년)_원가인하9월30일_PULL  LIST-1 (2006년)_PULL  LIST-1 (2006년)" xfId="224"/>
    <cellStyle name="@_9월-12월_9월-12월_9월-12월_1월-4월_PULL  LIST-1 (2004년)_PULL  LIST-1 (2004년)_PULL  LIST-1 (2004년)_원가인하9월30일_PULL  LIST-1 (2006년)_PULL  LIST-1 (2006년)_ PULL  LIST-1 (2007년)" xfId="225"/>
    <cellStyle name="@_9월-12월_9월-12월_9월-12월_1월-4월_PULL  LIST-1 (2004년)_PULL  LIST-1 (2004년)_PULL  LIST-1 (2005년)" xfId="226"/>
    <cellStyle name="@_9월-12월_9월-12월_9월-12월_1월-4월_PULL  LIST-1 (2004년)_PULL  LIST-1 (2004년)_PULL  LIST-1 (2005년)_PULL  LIST-1 (2005년)" xfId="227"/>
    <cellStyle name="@_9월-12월_9월-12월_9월-12월_1월-4월_PULL  LIST-1 (2004년)_PULL  LIST-1 (2004년)_PULL  LIST-1 (2005년)_PULL  LIST-1 (2005년)_ PULL  LIST-1 (2007년)" xfId="228"/>
    <cellStyle name="@_9월-12월_9월-12월_9월-12월_1월-4월_PULL  LIST-1 (2004년)_PULL  LIST-1 (2004년)_PULL  LIST-1 (2005년)_PULL  LIST-1 (2005년)_PULL  LIST-1 (2006년)" xfId="229"/>
    <cellStyle name="@_9월-12월_9월-12월_9월-12월_1월-4월_PULL  LIST-1 (2004년)_PULL  LIST-1 (2004년)_PULL  LIST-1 (2005년)_PULL  LIST-1 (2005년)_PULL  LIST-1 (2006년)_PULL  LIST-1 (2006년)" xfId="230"/>
    <cellStyle name="@_9월-12월_9월-12월_9월-12월_1월-4월_PULL  LIST-1 (2004년)_PULL  LIST-1 (2004년)_PULL  LIST-1 (2005년)_PULL  LIST-1 (2005년)_PULL  LIST-1 (2006년)_PULL  LIST-1 (2006년)_ PULL  LIST-1 (2007년)" xfId="231"/>
    <cellStyle name="@_9월-12월_9월-12월_9월-12월_1월-4월_PULL  LIST-1 (2004년)_PULL  LIST-1 (2004년)_PULL  LIST-1 (2005년)_PULL  LIST-1 (2006년)" xfId="232"/>
    <cellStyle name="@_9월-12월_9월-12월_9월-12월_1월-4월_PULL  LIST-1 (2004년)_PULL  LIST-1 (2004년)_PULL  LIST-1 (2005년)_PULL  LIST-1 (2006년)_ PULL  LIST-1 (2007년)" xfId="233"/>
    <cellStyle name="@_9월-12월_9월-12월_9월-12월_1월-4월_PULL  LIST-1 (2004년)_PULL  LIST-1 (2004년)_PULL  LIST-1 (2005년)_PULL  LIST-1 (2006년)_PULL  LIST-1 (2006년)" xfId="234"/>
    <cellStyle name="@_9월-12월_9월-12월_9월-12월_1월-4월_PULL  LIST-1 (2004년)_PULL  LIST-1 (2004년)_PULL  LIST-1 (2005년)_PULL  LIST-1 (2006년)_PULL  LIST-1 (2006년)_PULL  LIST-1 (2006년)" xfId="235"/>
    <cellStyle name="@_9월-12월_9월-12월_9월-12월_1월-4월_PULL  LIST-1 (2004년)_PULL  LIST-1 (2004년)_PULL  LIST-1 (2005년)_PULL  LIST-1 (2006년)_PULL  LIST-1 (2006년)_PULL  LIST-1 (2006년)_ PULL  LIST-1 (2007년)" xfId="236"/>
    <cellStyle name="@_9월-12월_9월-12월_9월-12월_1월-4월_PULL  LIST-1 (2004년)_PULL  LIST-1 (2004년)_PULL  LIST-1 (2005년)_원가인하9월30일" xfId="237"/>
    <cellStyle name="@_9월-12월_9월-12월_9월-12월_1월-4월_PULL  LIST-1 (2004년)_PULL  LIST-1 (2004년)_PULL  LIST-1 (2005년)_원가인하9월30일_ PULL  LIST-1 (2007년)" xfId="238"/>
    <cellStyle name="@_9월-12월_9월-12월_9월-12월_1월-4월_PULL  LIST-1 (2004년)_PULL  LIST-1 (2004년)_PULL  LIST-1 (2005년)_원가인하9월30일_PULL  LIST-1 (2006년)" xfId="239"/>
    <cellStyle name="@_9월-12월_9월-12월_9월-12월_1월-4월_PULL  LIST-1 (2004년)_PULL  LIST-1 (2004년)_PULL  LIST-1 (2005년)_원가인하9월30일_PULL  LIST-1 (2006년)_PULL  LIST-1 (2006년)" xfId="240"/>
    <cellStyle name="@_9월-12월_9월-12월_9월-12월_1월-4월_PULL  LIST-1 (2004년)_PULL  LIST-1 (2004년)_PULL  LIST-1 (2005년)_원가인하9월30일_PULL  LIST-1 (2006년)_PULL  LIST-1 (2006년)_ PULL  LIST-1 (2007년)" xfId="241"/>
    <cellStyle name="@_9월-12월_9월-12월_9월-12월_1월-4월_PULL  LIST-1 (2004년)_PULL  LIST-1 (2004년)_PULL  LIST-1 (2006년)" xfId="242"/>
    <cellStyle name="@_9월-12월_9월-12월_9월-12월_1월-4월_PULL  LIST-1 (2004년)_PULL  LIST-1 (2004년)_PULL  LIST-1 (2006년)_PULL  LIST-1 (2006년)" xfId="243"/>
    <cellStyle name="@_9월-12월_9월-12월_9월-12월_1월-4월_PULL  LIST-1 (2004년)_PULL  LIST-1 (2004년)_PULL  LIST-1 (2006년)_PULL  LIST-1 (2006년)_ PULL  LIST-1 (2007년)" xfId="244"/>
    <cellStyle name="@_9월-12월_9월-12월_9월-12월_1월-4월_PULL  LIST-1 (2004년)_PULL  LIST-1 (2005년)" xfId="245"/>
    <cellStyle name="@_9월-12월_9월-12월_9월-12월_1월-4월_PULL  LIST-1 (2004년)_PULL  LIST-1 (2005년)_ PULL  LIST-1 (2007년)" xfId="246"/>
    <cellStyle name="@_9월-12월_9월-12월_9월-12월_1월-4월_PULL  LIST-1 (2004년)_PULL  LIST-1 (2005년)_PULL  LIST-1 (2006년)" xfId="247"/>
    <cellStyle name="@_9월-12월_9월-12월_9월-12월_1월-4월_PULL  LIST-1 (2004년)_PULL  LIST-1 (2005년)_PULL  LIST-1 (2006년)_PULL  LIST-1 (2006년)" xfId="248"/>
    <cellStyle name="@_9월-12월_9월-12월_9월-12월_1월-4월_PULL  LIST-1 (2004년)_PULL  LIST-1 (2005년)_PULL  LIST-1 (2006년)_PULL  LIST-1 (2006년)_ PULL  LIST-1 (2007년)" xfId="249"/>
    <cellStyle name="@_9월-12월_9월-12월_9월-12월_1월-4월_PULL  LIST-1 (2004년)_PULL  LIST-1 (2006년)" xfId="250"/>
    <cellStyle name="@_9월-12월_9월-12월_9월-12월_1월-4월_PULL  LIST-1 (2004년)_PULL  LIST-1 (2006년)_ PULL  LIST-1 (2007년)" xfId="251"/>
    <cellStyle name="@_9월-12월_9월-12월_9월-12월_1월-4월_PULL  LIST-1 (2004년)_PULL  LIST-1 (2006년)_PULL  LIST-1 (2006년)" xfId="252"/>
    <cellStyle name="@_9월-12월_9월-12월_9월-12월_1월-4월_PULL  LIST-1 (2004년)_PULL  LIST-1 (2006년)_PULL  LIST-1 (2006년)_PULL  LIST-1 (2006년)" xfId="253"/>
    <cellStyle name="@_9월-12월_9월-12월_9월-12월_1월-4월_PULL  LIST-1 (2004년)_PULL  LIST-1 (2006년)_PULL  LIST-1 (2006년)_PULL  LIST-1 (2006년)_ PULL  LIST-1 (2007년)" xfId="254"/>
    <cellStyle name="@_9월-12월_9월-12월_9월-12월_1월-4월_PULL  LIST-1 (2004년)_원가인하9월30일" xfId="255"/>
    <cellStyle name="@_9월-12월_9월-12월_9월-12월_1월-4월_PULL  LIST-1 (2004년)_원가인하9월30일_ PULL  LIST-1 (2007년)" xfId="256"/>
    <cellStyle name="@_9월-12월_9월-12월_9월-12월_1월-4월_PULL  LIST-1 (2004년)_원가인하9월30일_PULL  LIST-1 (2006년)" xfId="257"/>
    <cellStyle name="@_9월-12월_9월-12월_9월-12월_1월-4월_PULL  LIST-1 (2004년)_원가인하9월30일_PULL  LIST-1 (2006년)_PULL  LIST-1 (2006년)" xfId="258"/>
    <cellStyle name="@_9월-12월_9월-12월_9월-12월_1월-4월_PULL  LIST-1 (2004년)_원가인하9월30일_PULL  LIST-1 (2006년)_PULL  LIST-1 (2006년)_ PULL  LIST-1 (2007년)" xfId="259"/>
    <cellStyle name="@_9월-12월_9월-12월_9월-12월_1월-4월_PULL  LIST-1 (2005년)" xfId="260"/>
    <cellStyle name="@_9월-12월_9월-12월_9월-12월_1월-4월_PULL  LIST-1 (2005년)_PULL  LIST-1 (2005년)" xfId="261"/>
    <cellStyle name="@_9월-12월_9월-12월_9월-12월_1월-4월_PULL  LIST-1 (2005년)_PULL  LIST-1 (2005년)_ PULL  LIST-1 (2007년)" xfId="262"/>
    <cellStyle name="@_9월-12월_9월-12월_9월-12월_1월-4월_PULL  LIST-1 (2005년)_PULL  LIST-1 (2005년)_PULL  LIST-1 (2006년)" xfId="263"/>
    <cellStyle name="@_9월-12월_9월-12월_9월-12월_1월-4월_PULL  LIST-1 (2005년)_PULL  LIST-1 (2005년)_PULL  LIST-1 (2006년)_PULL  LIST-1 (2006년)" xfId="264"/>
    <cellStyle name="@_9월-12월_9월-12월_9월-12월_1월-4월_PULL  LIST-1 (2005년)_PULL  LIST-1 (2005년)_PULL  LIST-1 (2006년)_PULL  LIST-1 (2006년)_ PULL  LIST-1 (2007년)" xfId="265"/>
    <cellStyle name="@_9월-12월_9월-12월_9월-12월_1월-4월_PULL  LIST-1 (2005년)_PULL  LIST-1 (2006년)" xfId="266"/>
    <cellStyle name="@_9월-12월_9월-12월_9월-12월_1월-4월_PULL  LIST-1 (2005년)_PULL  LIST-1 (2006년)_ PULL  LIST-1 (2007년)" xfId="267"/>
    <cellStyle name="@_9월-12월_9월-12월_9월-12월_1월-4월_PULL  LIST-1 (2005년)_PULL  LIST-1 (2006년)_PULL  LIST-1 (2006년)" xfId="268"/>
    <cellStyle name="@_9월-12월_9월-12월_9월-12월_1월-4월_PULL  LIST-1 (2005년)_PULL  LIST-1 (2006년)_PULL  LIST-1 (2006년)_PULL  LIST-1 (2006년)" xfId="269"/>
    <cellStyle name="@_9월-12월_9월-12월_9월-12월_1월-4월_PULL  LIST-1 (2005년)_PULL  LIST-1 (2006년)_PULL  LIST-1 (2006년)_PULL  LIST-1 (2006년)_ PULL  LIST-1 (2007년)" xfId="270"/>
    <cellStyle name="@_9월-12월_9월-12월_9월-12월_1월-4월_PULL  LIST-1 (2005년)_원가인하9월30일" xfId="271"/>
    <cellStyle name="@_9월-12월_9월-12월_9월-12월_1월-4월_PULL  LIST-1 (2005년)_원가인하9월30일_ PULL  LIST-1 (2007년)" xfId="272"/>
    <cellStyle name="@_9월-12월_9월-12월_9월-12월_1월-4월_PULL  LIST-1 (2005년)_원가인하9월30일_PULL  LIST-1 (2006년)" xfId="273"/>
    <cellStyle name="@_9월-12월_9월-12월_9월-12월_1월-4월_PULL  LIST-1 (2005년)_원가인하9월30일_PULL  LIST-1 (2006년)_PULL  LIST-1 (2006년)" xfId="274"/>
    <cellStyle name="@_9월-12월_9월-12월_9월-12월_1월-4월_PULL  LIST-1 (2005년)_원가인하9월30일_PULL  LIST-1 (2006년)_PULL  LIST-1 (2006년)_ PULL  LIST-1 (2007년)" xfId="275"/>
    <cellStyle name="@_9월-12월_9월-12월_9월-12월_1월-4월_PULL  LIST-1 (2006년)" xfId="276"/>
    <cellStyle name="@_9월-12월_9월-12월_9월-12월_1월-4월_PULL  LIST-1 (2006년)_PULL  LIST-1 (2006년)" xfId="277"/>
    <cellStyle name="@_9월-12월_9월-12월_9월-12월_1월-4월_PULL  LIST-1 (2006년)_PULL  LIST-1 (2006년)_ PULL  LIST-1 (2007년)" xfId="278"/>
    <cellStyle name="@_9월-12월_9월-12월_9월-12월_9월-12월" xfId="279"/>
    <cellStyle name="@_9월-12월_9월-12월_9월-12월_9월-12월_ PULL  LIST-1 (2007년)" xfId="280"/>
    <cellStyle name="@_9월-12월_9월-12월_9월-12월_9월-12월_PULL  LIST-1 (2004년)" xfId="281"/>
    <cellStyle name="@_9월-12월_9월-12월_9월-12월_9월-12월_PULL  LIST-1 (2004년)_Book1" xfId="282"/>
    <cellStyle name="@_9월-12월_9월-12월_9월-12월_9월-12월_PULL  LIST-1 (2004년)_Book1_ PULL  LIST-1 (2007년)" xfId="283"/>
    <cellStyle name="@_9월-12월_9월-12월_9월-12월_9월-12월_PULL  LIST-1 (2004년)_Book1_PULL  LIST-1 (2005년)" xfId="284"/>
    <cellStyle name="@_9월-12월_9월-12월_9월-12월_9월-12월_PULL  LIST-1 (2004년)_Book1_PULL  LIST-1 (2005년)_PULL  LIST-1 (2005년)" xfId="285"/>
    <cellStyle name="@_9월-12월_9월-12월_9월-12월_9월-12월_PULL  LIST-1 (2004년)_Book1_PULL  LIST-1 (2005년)_PULL  LIST-1 (2005년)_ PULL  LIST-1 (2007년)" xfId="286"/>
    <cellStyle name="@_9월-12월_9월-12월_9월-12월_9월-12월_PULL  LIST-1 (2004년)_Book1_PULL  LIST-1 (2005년)_PULL  LIST-1 (2005년)_PULL  LIST-1 (2006년)" xfId="287"/>
    <cellStyle name="@_9월-12월_9월-12월_9월-12월_9월-12월_PULL  LIST-1 (2004년)_Book1_PULL  LIST-1 (2005년)_PULL  LIST-1 (2005년)_PULL  LIST-1 (2006년)_PULL  LIST-1 (2006년)" xfId="288"/>
    <cellStyle name="@_9월-12월_9월-12월_9월-12월_9월-12월_PULL  LIST-1 (2004년)_Book1_PULL  LIST-1 (2005년)_PULL  LIST-1 (2005년)_PULL  LIST-1 (2006년)_PULL  LIST-1 (2006년)_ PULL  LIST-1 (2007년)" xfId="289"/>
    <cellStyle name="@_9월-12월_9월-12월_9월-12월_9월-12월_PULL  LIST-1 (2004년)_Book1_PULL  LIST-1 (2005년)_PULL  LIST-1 (2006년)" xfId="290"/>
    <cellStyle name="@_9월-12월_9월-12월_9월-12월_9월-12월_PULL  LIST-1 (2004년)_Book1_PULL  LIST-1 (2005년)_PULL  LIST-1 (2006년)_ PULL  LIST-1 (2007년)" xfId="291"/>
    <cellStyle name="@_9월-12월_9월-12월_9월-12월_9월-12월_PULL  LIST-1 (2004년)_Book1_PULL  LIST-1 (2005년)_PULL  LIST-1 (2006년)_PULL  LIST-1 (2006년)" xfId="292"/>
    <cellStyle name="@_9월-12월_9월-12월_9월-12월_9월-12월_PULL  LIST-1 (2004년)_Book1_PULL  LIST-1 (2005년)_PULL  LIST-1 (2006년)_PULL  LIST-1 (2006년)_PULL  LIST-1 (2006년)" xfId="293"/>
    <cellStyle name="@_9월-12월_9월-12월_9월-12월_9월-12월_PULL  LIST-1 (2004년)_Book1_PULL  LIST-1 (2005년)_PULL  LIST-1 (2006년)_PULL  LIST-1 (2006년)_PULL  LIST-1 (2006년)_ PULL  LIST-1 (2007년)" xfId="294"/>
    <cellStyle name="@_9월-12월_9월-12월_9월-12월_9월-12월_PULL  LIST-1 (2004년)_Book1_PULL  LIST-1 (2005년)_원가인하9월30일" xfId="295"/>
    <cellStyle name="@_9월-12월_9월-12월_9월-12월_9월-12월_PULL  LIST-1 (2004년)_Book1_PULL  LIST-1 (2005년)_원가인하9월30일_ PULL  LIST-1 (2007년)" xfId="296"/>
    <cellStyle name="@_9월-12월_9월-12월_9월-12월_9월-12월_PULL  LIST-1 (2004년)_Book1_PULL  LIST-1 (2005년)_원가인하9월30일_PULL  LIST-1 (2006년)" xfId="297"/>
    <cellStyle name="@_9월-12월_9월-12월_9월-12월_9월-12월_PULL  LIST-1 (2004년)_Book1_PULL  LIST-1 (2005년)_원가인하9월30일_PULL  LIST-1 (2006년)_PULL  LIST-1 (2006년)" xfId="298"/>
    <cellStyle name="@_9월-12월_9월-12월_9월-12월_9월-12월_PULL  LIST-1 (2004년)_Book1_PULL  LIST-1 (2005년)_원가인하9월30일_PULL  LIST-1 (2006년)_PULL  LIST-1 (2006년)_ PULL  LIST-1 (2007년)" xfId="299"/>
    <cellStyle name="@_9월-12월_9월-12월_9월-12월_9월-12월_PULL  LIST-1 (2004년)_Book1_PULL  LIST-1 (2006년)" xfId="300"/>
    <cellStyle name="@_9월-12월_9월-12월_9월-12월_9월-12월_PULL  LIST-1 (2004년)_Book1_PULL  LIST-1 (2006년)_PULL  LIST-1 (2006년)" xfId="301"/>
    <cellStyle name="@_9월-12월_9월-12월_9월-12월_9월-12월_PULL  LIST-1 (2004년)_Book1_PULL  LIST-1 (2006년)_PULL  LIST-1 (2006년)_ PULL  LIST-1 (2007년)" xfId="302"/>
    <cellStyle name="@_9월-12월_9월-12월_9월-12월_9월-12월_PULL  LIST-1 (2004년)_PULL  LIST-1 (2004년)" xfId="303"/>
    <cellStyle name="@_9월-12월_9월-12월_9월-12월_9월-12월_PULL  LIST-1 (2004년)_PULL  LIST-1 (2004년)_ PULL  LIST-1 (2007년)" xfId="304"/>
    <cellStyle name="@_9월-12월_9월-12월_9월-12월_9월-12월_PULL  LIST-1 (2004년)_PULL  LIST-1 (2004년)_PULL  LIST-1 (2004년)" xfId="305"/>
    <cellStyle name="@_9월-12월_9월-12월_9월-12월_9월-12월_PULL  LIST-1 (2004년)_PULL  LIST-1 (2004년)_PULL  LIST-1 (2004년)_Book1" xfId="306"/>
    <cellStyle name="@_9월-12월_9월-12월_9월-12월_9월-12월_PULL  LIST-1 (2004년)_PULL  LIST-1 (2004년)_PULL  LIST-1 (2004년)_Book1_ PULL  LIST-1 (2007년)" xfId="307"/>
    <cellStyle name="@_9월-12월_9월-12월_9월-12월_9월-12월_PULL  LIST-1 (2004년)_PULL  LIST-1 (2004년)_PULL  LIST-1 (2004년)_Book1_PULL  LIST-1 (2005년)" xfId="308"/>
    <cellStyle name="@_9월-12월_9월-12월_9월-12월_9월-12월_PULL  LIST-1 (2004년)_PULL  LIST-1 (2004년)_PULL  LIST-1 (2004년)_Book1_PULL  LIST-1 (2005년)_PULL  LIST-1 (2005년)" xfId="309"/>
    <cellStyle name="@_9월-12월_9월-12월_9월-12월_9월-12월_PULL  LIST-1 (2004년)_PULL  LIST-1 (2004년)_PULL  LIST-1 (2004년)_Book1_PULL  LIST-1 (2005년)_PULL  LIST-1 (2005년)_ PULL  LIST-1 (2007년)" xfId="310"/>
    <cellStyle name="@_9월-12월_9월-12월_9월-12월_9월-12월_PULL  LIST-1 (2004년)_PULL  LIST-1 (2004년)_PULL  LIST-1 (2004년)_Book1_PULL  LIST-1 (2005년)_PULL  LIST-1 (2005년)_PULL  LIST-1 (2006년)" xfId="311"/>
    <cellStyle name="@_9월-12월_9월-12월_9월-12월_9월-12월_PULL  LIST-1 (2004년)_PULL  LIST-1 (2004년)_PULL  LIST-1 (2004년)_Book1_PULL  LIST-1 (2005년)_PULL  LIST-1 (2005년)_PULL  LIST-1 (2006년)_PULL  LIST-1 (2006년)" xfId="312"/>
    <cellStyle name="@_9월-12월_9월-12월_9월-12월_9월-12월_PULL  LIST-1 (2004년)_PULL  LIST-1 (2004년)_PULL  LIST-1 (2004년)_Book1_PULL  LIST-1 (2005년)_PULL  LIST-1 (2005년)_PULL  LIST-1 (2006년)_PULL  LIST-1 (2006년)_ PULL  LIST-1 (2007년)" xfId="313"/>
    <cellStyle name="@_9월-12월_9월-12월_9월-12월_9월-12월_PULL  LIST-1 (2004년)_PULL  LIST-1 (2004년)_PULL  LIST-1 (2004년)_Book1_PULL  LIST-1 (2005년)_PULL  LIST-1 (2006년)" xfId="314"/>
    <cellStyle name="@_9월-12월_9월-12월_9월-12월_9월-12월_PULL  LIST-1 (2004년)_PULL  LIST-1 (2004년)_PULL  LIST-1 (2004년)_Book1_PULL  LIST-1 (2005년)_PULL  LIST-1 (2006년)_ PULL  LIST-1 (2007년)" xfId="315"/>
    <cellStyle name="@_9월-12월_9월-12월_9월-12월_9월-12월_PULL  LIST-1 (2004년)_PULL  LIST-1 (2004년)_PULL  LIST-1 (2004년)_Book1_PULL  LIST-1 (2005년)_PULL  LIST-1 (2006년)_PULL  LIST-1 (2006년)" xfId="316"/>
    <cellStyle name="@_9월-12월_9월-12월_9월-12월_9월-12월_PULL  LIST-1 (2004년)_PULL  LIST-1 (2004년)_PULL  LIST-1 (2004년)_Book1_PULL  LIST-1 (2005년)_PULL  LIST-1 (2006년)_PULL  LIST-1 (2006년)_PULL  LIST-1 (2006년)" xfId="317"/>
    <cellStyle name="@_9월-12월_9월-12월_9월-12월_9월-12월_PULL  LIST-1 (2004년)_PULL  LIST-1 (2004년)_PULL  LIST-1 (2004년)_Book1_PULL  LIST-1 (2005년)_PULL  LIST-1 (2006년)_PULL  LIST-1 (2006년)_PULL  LIST-1 (2006년)_ PULL  LIST-1 (2007년)" xfId="318"/>
    <cellStyle name="@_9월-12월_9월-12월_9월-12월_9월-12월_PULL  LIST-1 (2004년)_PULL  LIST-1 (2004년)_PULL  LIST-1 (2004년)_Book1_PULL  LIST-1 (2005년)_원가인하9월30일" xfId="319"/>
    <cellStyle name="@_9월-12월_9월-12월_9월-12월_9월-12월_PULL  LIST-1 (2004년)_PULL  LIST-1 (2004년)_PULL  LIST-1 (2004년)_Book1_PULL  LIST-1 (2005년)_원가인하9월30일_ PULL  LIST-1 (2007년)" xfId="320"/>
    <cellStyle name="@_9월-12월_9월-12월_9월-12월_9월-12월_PULL  LIST-1 (2004년)_PULL  LIST-1 (2004년)_PULL  LIST-1 (2004년)_Book1_PULL  LIST-1 (2005년)_원가인하9월30일_PULL  LIST-1 (2006년)" xfId="321"/>
    <cellStyle name="@_9월-12월_9월-12월_9월-12월_9월-12월_PULL  LIST-1 (2004년)_PULL  LIST-1 (2004년)_PULL  LIST-1 (2004년)_Book1_PULL  LIST-1 (2005년)_원가인하9월30일_PULL  LIST-1 (2006년)_PULL  LIST-1 (2006년)" xfId="322"/>
    <cellStyle name="@_9월-12월_9월-12월_9월-12월_9월-12월_PULL  LIST-1 (2004년)_PULL  LIST-1 (2004년)_PULL  LIST-1 (2004년)_Book1_PULL  LIST-1 (2005년)_원가인하9월30일_PULL  LIST-1 (2006년)_PULL  LIST-1 (2006년)_ PULL  LIST-1 (2007년)" xfId="323"/>
    <cellStyle name="@_9월-12월_9월-12월_9월-12월_9월-12월_PULL  LIST-1 (2004년)_PULL  LIST-1 (2004년)_PULL  LIST-1 (2004년)_Book1_PULL  LIST-1 (2006년)" xfId="324"/>
    <cellStyle name="@_9월-12월_9월-12월_9월-12월_9월-12월_PULL  LIST-1 (2004년)_PULL  LIST-1 (2004년)_PULL  LIST-1 (2004년)_Book1_PULL  LIST-1 (2006년)_PULL  LIST-1 (2006년)" xfId="325"/>
    <cellStyle name="@_9월-12월_9월-12월_9월-12월_9월-12월_PULL  LIST-1 (2004년)_PULL  LIST-1 (2004년)_PULL  LIST-1 (2004년)_Book1_PULL  LIST-1 (2006년)_PULL  LIST-1 (2006년)_ PULL  LIST-1 (2007년)" xfId="326"/>
    <cellStyle name="@_9월-12월_9월-12월_9월-12월_9월-12월_PULL  LIST-1 (2004년)_PULL  LIST-1 (2004년)_PULL  LIST-1 (2004년)_PULL  LIST-1 (2005년)" xfId="327"/>
    <cellStyle name="@_9월-12월_9월-12월_9월-12월_9월-12월_PULL  LIST-1 (2004년)_PULL  LIST-1 (2004년)_PULL  LIST-1 (2004년)_PULL  LIST-1 (2005년)_ PULL  LIST-1 (2007년)" xfId="328"/>
    <cellStyle name="@_9월-12월_9월-12월_9월-12월_9월-12월_PULL  LIST-1 (2004년)_PULL  LIST-1 (2004년)_PULL  LIST-1 (2004년)_PULL  LIST-1 (2005년)_PULL  LIST-1 (2006년)" xfId="329"/>
    <cellStyle name="@_9월-12월_9월-12월_9월-12월_9월-12월_PULL  LIST-1 (2004년)_PULL  LIST-1 (2004년)_PULL  LIST-1 (2004년)_PULL  LIST-1 (2005년)_PULL  LIST-1 (2006년)_PULL  LIST-1 (2006년)" xfId="330"/>
    <cellStyle name="@_9월-12월_9월-12월_9월-12월_9월-12월_PULL  LIST-1 (2004년)_PULL  LIST-1 (2004년)_PULL  LIST-1 (2004년)_PULL  LIST-1 (2005년)_PULL  LIST-1 (2006년)_PULL  LIST-1 (2006년)_ PULL  LIST-1 (2007년)" xfId="331"/>
    <cellStyle name="@_9월-12월_9월-12월_9월-12월_9월-12월_PULL  LIST-1 (2004년)_PULL  LIST-1 (2004년)_PULL  LIST-1 (2004년)_PULL  LIST-1 (2006년)" xfId="332"/>
    <cellStyle name="@_9월-12월_9월-12월_9월-12월_9월-12월_PULL  LIST-1 (2004년)_PULL  LIST-1 (2004년)_PULL  LIST-1 (2004년)_PULL  LIST-1 (2006년)_ PULL  LIST-1 (2007년)" xfId="333"/>
    <cellStyle name="@_9월-12월_9월-12월_9월-12월_9월-12월_PULL  LIST-1 (2004년)_PULL  LIST-1 (2004년)_PULL  LIST-1 (2004년)_PULL  LIST-1 (2006년)_PULL  LIST-1 (2006년)" xfId="334"/>
    <cellStyle name="@_9월-12월_9월-12월_9월-12월_9월-12월_PULL  LIST-1 (2004년)_PULL  LIST-1 (2004년)_PULL  LIST-1 (2004년)_PULL  LIST-1 (2006년)_PULL  LIST-1 (2006년)_PULL  LIST-1 (2006년)" xfId="335"/>
    <cellStyle name="@_9월-12월_9월-12월_9월-12월_9월-12월_PULL  LIST-1 (2004년)_PULL  LIST-1 (2004년)_PULL  LIST-1 (2004년)_PULL  LIST-1 (2006년)_PULL  LIST-1 (2006년)_PULL  LIST-1 (2006년)_ PULL  LIST-1 (2007년)" xfId="336"/>
    <cellStyle name="@_9월-12월_9월-12월_9월-12월_9월-12월_PULL  LIST-1 (2004년)_PULL  LIST-1 (2004년)_PULL  LIST-1 (2004년)_원가인하9월30일" xfId="337"/>
    <cellStyle name="@_9월-12월_9월-12월_9월-12월_9월-12월_PULL  LIST-1 (2004년)_PULL  LIST-1 (2004년)_PULL  LIST-1 (2004년)_원가인하9월30일_ PULL  LIST-1 (2007년)" xfId="338"/>
    <cellStyle name="@_9월-12월_9월-12월_9월-12월_9월-12월_PULL  LIST-1 (2004년)_PULL  LIST-1 (2004년)_PULL  LIST-1 (2004년)_원가인하9월30일_PULL  LIST-1 (2006년)" xfId="339"/>
    <cellStyle name="@_9월-12월_9월-12월_9월-12월_9월-12월_PULL  LIST-1 (2004년)_PULL  LIST-1 (2004년)_PULL  LIST-1 (2004년)_원가인하9월30일_PULL  LIST-1 (2006년)_PULL  LIST-1 (2006년)" xfId="340"/>
    <cellStyle name="@_9월-12월_9월-12월_9월-12월_9월-12월_PULL  LIST-1 (2004년)_PULL  LIST-1 (2004년)_PULL  LIST-1 (2004년)_원가인하9월30일_PULL  LIST-1 (2006년)_PULL  LIST-1 (2006년)_ PULL  LIST-1 (2007년)" xfId="341"/>
    <cellStyle name="@_9월-12월_9월-12월_9월-12월_9월-12월_PULL  LIST-1 (2004년)_PULL  LIST-1 (2004년)_PULL  LIST-1 (2005년)" xfId="342"/>
    <cellStyle name="@_9월-12월_9월-12월_9월-12월_9월-12월_PULL  LIST-1 (2004년)_PULL  LIST-1 (2004년)_PULL  LIST-1 (2005년)_PULL  LIST-1 (2005년)" xfId="343"/>
    <cellStyle name="@_9월-12월_9월-12월_9월-12월_9월-12월_PULL  LIST-1 (2004년)_PULL  LIST-1 (2004년)_PULL  LIST-1 (2005년)_PULL  LIST-1 (2005년)_ PULL  LIST-1 (2007년)" xfId="344"/>
    <cellStyle name="@_9월-12월_9월-12월_9월-12월_9월-12월_PULL  LIST-1 (2004년)_PULL  LIST-1 (2004년)_PULL  LIST-1 (2005년)_PULL  LIST-1 (2005년)_PULL  LIST-1 (2006년)" xfId="345"/>
    <cellStyle name="@_9월-12월_9월-12월_9월-12월_9월-12월_PULL  LIST-1 (2004년)_PULL  LIST-1 (2004년)_PULL  LIST-1 (2005년)_PULL  LIST-1 (2005년)_PULL  LIST-1 (2006년)_PULL  LIST-1 (2006년)" xfId="346"/>
    <cellStyle name="@_9월-12월_9월-12월_9월-12월_9월-12월_PULL  LIST-1 (2004년)_PULL  LIST-1 (2004년)_PULL  LIST-1 (2005년)_PULL  LIST-1 (2005년)_PULL  LIST-1 (2006년)_PULL  LIST-1 (2006년)_ PULL  LIST-1 (2007년)" xfId="347"/>
    <cellStyle name="@_9월-12월_9월-12월_9월-12월_9월-12월_PULL  LIST-1 (2004년)_PULL  LIST-1 (2004년)_PULL  LIST-1 (2005년)_PULL  LIST-1 (2006년)" xfId="348"/>
    <cellStyle name="@_9월-12월_9월-12월_9월-12월_9월-12월_PULL  LIST-1 (2004년)_PULL  LIST-1 (2004년)_PULL  LIST-1 (2005년)_PULL  LIST-1 (2006년)_ PULL  LIST-1 (2007년)" xfId="349"/>
    <cellStyle name="@_9월-12월_9월-12월_9월-12월_9월-12월_PULL  LIST-1 (2004년)_PULL  LIST-1 (2004년)_PULL  LIST-1 (2005년)_PULL  LIST-1 (2006년)_PULL  LIST-1 (2006년)" xfId="350"/>
    <cellStyle name="@_9월-12월_9월-12월_9월-12월_9월-12월_PULL  LIST-1 (2004년)_PULL  LIST-1 (2004년)_PULL  LIST-1 (2005년)_PULL  LIST-1 (2006년)_PULL  LIST-1 (2006년)_PULL  LIST-1 (2006년)" xfId="351"/>
    <cellStyle name="@_9월-12월_9월-12월_9월-12월_9월-12월_PULL  LIST-1 (2004년)_PULL  LIST-1 (2004년)_PULL  LIST-1 (2005년)_PULL  LIST-1 (2006년)_PULL  LIST-1 (2006년)_PULL  LIST-1 (2006년)_ PULL  LIST-1 (2007년)" xfId="352"/>
    <cellStyle name="@_9월-12월_9월-12월_9월-12월_9월-12월_PULL  LIST-1 (2004년)_PULL  LIST-1 (2004년)_PULL  LIST-1 (2005년)_원가인하9월30일" xfId="353"/>
    <cellStyle name="@_9월-12월_9월-12월_9월-12월_9월-12월_PULL  LIST-1 (2004년)_PULL  LIST-1 (2004년)_PULL  LIST-1 (2005년)_원가인하9월30일_ PULL  LIST-1 (2007년)" xfId="354"/>
    <cellStyle name="@_9월-12월_9월-12월_9월-12월_9월-12월_PULL  LIST-1 (2004년)_PULL  LIST-1 (2004년)_PULL  LIST-1 (2005년)_원가인하9월30일_PULL  LIST-1 (2006년)" xfId="355"/>
    <cellStyle name="@_9월-12월_9월-12월_9월-12월_9월-12월_PULL  LIST-1 (2004년)_PULL  LIST-1 (2004년)_PULL  LIST-1 (2005년)_원가인하9월30일_PULL  LIST-1 (2006년)_PULL  LIST-1 (2006년)" xfId="356"/>
    <cellStyle name="@_9월-12월_9월-12월_9월-12월_9월-12월_PULL  LIST-1 (2004년)_PULL  LIST-1 (2004년)_PULL  LIST-1 (2005년)_원가인하9월30일_PULL  LIST-1 (2006년)_PULL  LIST-1 (2006년)_ PULL  LIST-1 (2007년)" xfId="357"/>
    <cellStyle name="@_9월-12월_9월-12월_9월-12월_9월-12월_PULL  LIST-1 (2004년)_PULL  LIST-1 (2004년)_PULL  LIST-1 (2006년)" xfId="358"/>
    <cellStyle name="@_9월-12월_9월-12월_9월-12월_9월-12월_PULL  LIST-1 (2004년)_PULL  LIST-1 (2004년)_PULL  LIST-1 (2006년)_PULL  LIST-1 (2006년)" xfId="359"/>
    <cellStyle name="@_9월-12월_9월-12월_9월-12월_9월-12월_PULL  LIST-1 (2004년)_PULL  LIST-1 (2004년)_PULL  LIST-1 (2006년)_PULL  LIST-1 (2006년)_ PULL  LIST-1 (2007년)" xfId="360"/>
    <cellStyle name="@_9월-12월_9월-12월_9월-12월_9월-12월_PULL  LIST-1 (2004년)_PULL  LIST-1 (2005년)" xfId="361"/>
    <cellStyle name="@_9월-12월_9월-12월_9월-12월_9월-12월_PULL  LIST-1 (2004년)_PULL  LIST-1 (2005년)_ PULL  LIST-1 (2007년)" xfId="362"/>
    <cellStyle name="@_9월-12월_9월-12월_9월-12월_9월-12월_PULL  LIST-1 (2004년)_PULL  LIST-1 (2005년)_PULL  LIST-1 (2006년)" xfId="363"/>
    <cellStyle name="@_9월-12월_9월-12월_9월-12월_9월-12월_PULL  LIST-1 (2004년)_PULL  LIST-1 (2005년)_PULL  LIST-1 (2006년)_PULL  LIST-1 (2006년)" xfId="364"/>
    <cellStyle name="@_9월-12월_9월-12월_9월-12월_9월-12월_PULL  LIST-1 (2004년)_PULL  LIST-1 (2005년)_PULL  LIST-1 (2006년)_PULL  LIST-1 (2006년)_ PULL  LIST-1 (2007년)" xfId="365"/>
    <cellStyle name="@_9월-12월_9월-12월_9월-12월_9월-12월_PULL  LIST-1 (2004년)_PULL  LIST-1 (2006년)" xfId="366"/>
    <cellStyle name="@_9월-12월_9월-12월_9월-12월_9월-12월_PULL  LIST-1 (2004년)_PULL  LIST-1 (2006년)_ PULL  LIST-1 (2007년)" xfId="367"/>
    <cellStyle name="@_9월-12월_9월-12월_9월-12월_9월-12월_PULL  LIST-1 (2004년)_PULL  LIST-1 (2006년)_PULL  LIST-1 (2006년)" xfId="368"/>
    <cellStyle name="@_9월-12월_9월-12월_9월-12월_9월-12월_PULL  LIST-1 (2004년)_PULL  LIST-1 (2006년)_PULL  LIST-1 (2006년)_PULL  LIST-1 (2006년)" xfId="369"/>
    <cellStyle name="@_9월-12월_9월-12월_9월-12월_9월-12월_PULL  LIST-1 (2004년)_PULL  LIST-1 (2006년)_PULL  LIST-1 (2006년)_PULL  LIST-1 (2006년)_ PULL  LIST-1 (2007년)" xfId="370"/>
    <cellStyle name="@_9월-12월_9월-12월_9월-12월_9월-12월_PULL  LIST-1 (2004년)_원가인하9월30일" xfId="371"/>
    <cellStyle name="@_9월-12월_9월-12월_9월-12월_9월-12월_PULL  LIST-1 (2004년)_원가인하9월30일_ PULL  LIST-1 (2007년)" xfId="372"/>
    <cellStyle name="@_9월-12월_9월-12월_9월-12월_9월-12월_PULL  LIST-1 (2004년)_원가인하9월30일_PULL  LIST-1 (2006년)" xfId="373"/>
    <cellStyle name="@_9월-12월_9월-12월_9월-12월_9월-12월_PULL  LIST-1 (2004년)_원가인하9월30일_PULL  LIST-1 (2006년)_PULL  LIST-1 (2006년)" xfId="374"/>
    <cellStyle name="@_9월-12월_9월-12월_9월-12월_9월-12월_PULL  LIST-1 (2004년)_원가인하9월30일_PULL  LIST-1 (2006년)_PULL  LIST-1 (2006년)_ PULL  LIST-1 (2007년)" xfId="375"/>
    <cellStyle name="@_9월-12월_9월-12월_9월-12월_9월-12월_PULL  LIST-1 (2005년)" xfId="376"/>
    <cellStyle name="@_9월-12월_9월-12월_9월-12월_9월-12월_PULL  LIST-1 (2005년)_PULL  LIST-1 (2005년)" xfId="377"/>
    <cellStyle name="@_9월-12월_9월-12월_9월-12월_9월-12월_PULL  LIST-1 (2005년)_PULL  LIST-1 (2005년)_ PULL  LIST-1 (2007년)" xfId="378"/>
    <cellStyle name="@_9월-12월_9월-12월_9월-12월_9월-12월_PULL  LIST-1 (2005년)_PULL  LIST-1 (2005년)_PULL  LIST-1 (2006년)" xfId="379"/>
    <cellStyle name="@_9월-12월_9월-12월_9월-12월_9월-12월_PULL  LIST-1 (2005년)_PULL  LIST-1 (2005년)_PULL  LIST-1 (2006년)_PULL  LIST-1 (2006년)" xfId="380"/>
    <cellStyle name="@_9월-12월_9월-12월_9월-12월_9월-12월_PULL  LIST-1 (2005년)_PULL  LIST-1 (2005년)_PULL  LIST-1 (2006년)_PULL  LIST-1 (2006년)_ PULL  LIST-1 (2007년)" xfId="381"/>
    <cellStyle name="@_9월-12월_9월-12월_9월-12월_9월-12월_PULL  LIST-1 (2005년)_PULL  LIST-1 (2006년)" xfId="382"/>
    <cellStyle name="@_9월-12월_9월-12월_9월-12월_9월-12월_PULL  LIST-1 (2005년)_PULL  LIST-1 (2006년)_ PULL  LIST-1 (2007년)" xfId="383"/>
    <cellStyle name="@_9월-12월_9월-12월_9월-12월_9월-12월_PULL  LIST-1 (2005년)_PULL  LIST-1 (2006년)_PULL  LIST-1 (2006년)" xfId="384"/>
    <cellStyle name="@_9월-12월_9월-12월_9월-12월_9월-12월_PULL  LIST-1 (2005년)_PULL  LIST-1 (2006년)_PULL  LIST-1 (2006년)_PULL  LIST-1 (2006년)" xfId="385"/>
    <cellStyle name="@_9월-12월_9월-12월_9월-12월_9월-12월_PULL  LIST-1 (2005년)_PULL  LIST-1 (2006년)_PULL  LIST-1 (2006년)_PULL  LIST-1 (2006년)_ PULL  LIST-1 (2007년)" xfId="386"/>
    <cellStyle name="@_9월-12월_9월-12월_9월-12월_9월-12월_PULL  LIST-1 (2005년)_원가인하9월30일" xfId="387"/>
    <cellStyle name="@_9월-12월_9월-12월_9월-12월_9월-12월_PULL  LIST-1 (2005년)_원가인하9월30일_ PULL  LIST-1 (2007년)" xfId="388"/>
    <cellStyle name="@_9월-12월_9월-12월_9월-12월_9월-12월_PULL  LIST-1 (2005년)_원가인하9월30일_PULL  LIST-1 (2006년)" xfId="389"/>
    <cellStyle name="@_9월-12월_9월-12월_9월-12월_9월-12월_PULL  LIST-1 (2005년)_원가인하9월30일_PULL  LIST-1 (2006년)_PULL  LIST-1 (2006년)" xfId="390"/>
    <cellStyle name="@_9월-12월_9월-12월_9월-12월_9월-12월_PULL  LIST-1 (2005년)_원가인하9월30일_PULL  LIST-1 (2006년)_PULL  LIST-1 (2006년)_ PULL  LIST-1 (2007년)" xfId="391"/>
    <cellStyle name="@_9월-12월_9월-12월_9월-12월_9월-12월_PULL  LIST-1 (2006년)" xfId="392"/>
    <cellStyle name="@_9월-12월_9월-12월_9월-12월_9월-12월_PULL  LIST-1 (2006년)_PULL  LIST-1 (2006년)" xfId="393"/>
    <cellStyle name="@_9월-12월_9월-12월_9월-12월_9월-12월_PULL  LIST-1 (2006년)_PULL  LIST-1 (2006년)_ PULL  LIST-1 (2007년)" xfId="394"/>
    <cellStyle name="@_9월-12월_9월-12월_9월-12월_PULL  LIST-1 (2004년)" xfId="395"/>
    <cellStyle name="@_9월-12월_9월-12월_9월-12월_PULL  LIST-1 (2004년)_Book1" xfId="396"/>
    <cellStyle name="@_9월-12월_9월-12월_9월-12월_PULL  LIST-1 (2004년)_Book1_ PULL  LIST-1 (2007년)" xfId="397"/>
    <cellStyle name="@_9월-12월_9월-12월_9월-12월_PULL  LIST-1 (2004년)_Book1_PULL  LIST-1 (2005년)" xfId="398"/>
    <cellStyle name="@_9월-12월_9월-12월_9월-12월_PULL  LIST-1 (2004년)_Book1_PULL  LIST-1 (2005년)_PULL  LIST-1 (2005년)" xfId="399"/>
    <cellStyle name="@_9월-12월_9월-12월_9월-12월_PULL  LIST-1 (2004년)_Book1_PULL  LIST-1 (2005년)_PULL  LIST-1 (2005년)_ PULL  LIST-1 (2007년)" xfId="400"/>
    <cellStyle name="@_9월-12월_9월-12월_9월-12월_PULL  LIST-1 (2004년)_Book1_PULL  LIST-1 (2005년)_PULL  LIST-1 (2005년)_PULL  LIST-1 (2006년)" xfId="401"/>
    <cellStyle name="@_9월-12월_9월-12월_9월-12월_PULL  LIST-1 (2004년)_Book1_PULL  LIST-1 (2005년)_PULL  LIST-1 (2005년)_PULL  LIST-1 (2006년)_PULL  LIST-1 (2006년)" xfId="402"/>
    <cellStyle name="@_9월-12월_9월-12월_9월-12월_PULL  LIST-1 (2004년)_Book1_PULL  LIST-1 (2005년)_PULL  LIST-1 (2005년)_PULL  LIST-1 (2006년)_PULL  LIST-1 (2006년)_ PULL  LIST-1 (2007년)" xfId="403"/>
    <cellStyle name="@_9월-12월_9월-12월_9월-12월_PULL  LIST-1 (2004년)_Book1_PULL  LIST-1 (2005년)_PULL  LIST-1 (2006년)" xfId="404"/>
    <cellStyle name="@_9월-12월_9월-12월_9월-12월_PULL  LIST-1 (2004년)_Book1_PULL  LIST-1 (2005년)_PULL  LIST-1 (2006년)_ PULL  LIST-1 (2007년)" xfId="405"/>
    <cellStyle name="@_9월-12월_9월-12월_9월-12월_PULL  LIST-1 (2004년)_Book1_PULL  LIST-1 (2005년)_PULL  LIST-1 (2006년)_PULL  LIST-1 (2006년)" xfId="406"/>
    <cellStyle name="@_9월-12월_9월-12월_9월-12월_PULL  LIST-1 (2004년)_Book1_PULL  LIST-1 (2005년)_PULL  LIST-1 (2006년)_PULL  LIST-1 (2006년)_PULL  LIST-1 (2006년)" xfId="407"/>
    <cellStyle name="@_9월-12월_9월-12월_9월-12월_PULL  LIST-1 (2004년)_Book1_PULL  LIST-1 (2005년)_PULL  LIST-1 (2006년)_PULL  LIST-1 (2006년)_PULL  LIST-1 (2006년)_ PULL  LIST-1 (2007년)" xfId="408"/>
    <cellStyle name="@_9월-12월_9월-12월_9월-12월_PULL  LIST-1 (2004년)_Book1_PULL  LIST-1 (2005년)_원가인하9월30일" xfId="409"/>
    <cellStyle name="@_9월-12월_9월-12월_9월-12월_PULL  LIST-1 (2004년)_Book1_PULL  LIST-1 (2005년)_원가인하9월30일_ PULL  LIST-1 (2007년)" xfId="410"/>
    <cellStyle name="@_9월-12월_9월-12월_9월-12월_PULL  LIST-1 (2004년)_Book1_PULL  LIST-1 (2005년)_원가인하9월30일_PULL  LIST-1 (2006년)" xfId="411"/>
    <cellStyle name="@_9월-12월_9월-12월_9월-12월_PULL  LIST-1 (2004년)_Book1_PULL  LIST-1 (2005년)_원가인하9월30일_PULL  LIST-1 (2006년)_PULL  LIST-1 (2006년)" xfId="412"/>
    <cellStyle name="@_9월-12월_9월-12월_9월-12월_PULL  LIST-1 (2004년)_Book1_PULL  LIST-1 (2005년)_원가인하9월30일_PULL  LIST-1 (2006년)_PULL  LIST-1 (2006년)_ PULL  LIST-1 (2007년)" xfId="413"/>
    <cellStyle name="@_9월-12월_9월-12월_9월-12월_PULL  LIST-1 (2004년)_Book1_PULL  LIST-1 (2006년)" xfId="414"/>
    <cellStyle name="@_9월-12월_9월-12월_9월-12월_PULL  LIST-1 (2004년)_Book1_PULL  LIST-1 (2006년)_PULL  LIST-1 (2006년)" xfId="415"/>
    <cellStyle name="@_9월-12월_9월-12월_9월-12월_PULL  LIST-1 (2004년)_Book1_PULL  LIST-1 (2006년)_PULL  LIST-1 (2006년)_ PULL  LIST-1 (2007년)" xfId="416"/>
    <cellStyle name="@_9월-12월_9월-12월_9월-12월_PULL  LIST-1 (2004년)_PULL  LIST-1 (2004년)" xfId="417"/>
    <cellStyle name="@_9월-12월_9월-12월_9월-12월_PULL  LIST-1 (2004년)_PULL  LIST-1 (2004년)_ PULL  LIST-1 (2007년)" xfId="418"/>
    <cellStyle name="@_9월-12월_9월-12월_9월-12월_PULL  LIST-1 (2004년)_PULL  LIST-1 (2004년)_PULL  LIST-1 (2004년)" xfId="419"/>
    <cellStyle name="@_9월-12월_9월-12월_9월-12월_PULL  LIST-1 (2004년)_PULL  LIST-1 (2004년)_PULL  LIST-1 (2004년)_Book1" xfId="420"/>
    <cellStyle name="@_9월-12월_9월-12월_9월-12월_PULL  LIST-1 (2004년)_PULL  LIST-1 (2004년)_PULL  LIST-1 (2004년)_Book1_ PULL  LIST-1 (2007년)" xfId="421"/>
    <cellStyle name="@_9월-12월_9월-12월_9월-12월_PULL  LIST-1 (2004년)_PULL  LIST-1 (2004년)_PULL  LIST-1 (2004년)_Book1_PULL  LIST-1 (2005년)" xfId="422"/>
    <cellStyle name="@_9월-12월_9월-12월_9월-12월_PULL  LIST-1 (2004년)_PULL  LIST-1 (2004년)_PULL  LIST-1 (2004년)_Book1_PULL  LIST-1 (2005년)_PULL  LIST-1 (2005년)" xfId="423"/>
    <cellStyle name="@_9월-12월_9월-12월_9월-12월_PULL  LIST-1 (2004년)_PULL  LIST-1 (2004년)_PULL  LIST-1 (2004년)_Book1_PULL  LIST-1 (2005년)_PULL  LIST-1 (2005년)_ PULL  LIST-1 (2007년)" xfId="424"/>
    <cellStyle name="@_9월-12월_9월-12월_9월-12월_PULL  LIST-1 (2004년)_PULL  LIST-1 (2004년)_PULL  LIST-1 (2004년)_Book1_PULL  LIST-1 (2005년)_PULL  LIST-1 (2005년)_PULL  LIST-1 (2006년)" xfId="425"/>
    <cellStyle name="@_9월-12월_9월-12월_9월-12월_PULL  LIST-1 (2004년)_PULL  LIST-1 (2004년)_PULL  LIST-1 (2004년)_Book1_PULL  LIST-1 (2005년)_PULL  LIST-1 (2005년)_PULL  LIST-1 (2006년)_PULL  LIST-1 (2006년)" xfId="426"/>
    <cellStyle name="@_9월-12월_9월-12월_9월-12월_PULL  LIST-1 (2004년)_PULL  LIST-1 (2004년)_PULL  LIST-1 (2004년)_Book1_PULL  LIST-1 (2005년)_PULL  LIST-1 (2005년)_PULL  LIST-1 (2006년)_PULL  LIST-1 (2006년)_ PULL  LIST-1 (2007년)" xfId="427"/>
    <cellStyle name="@_9월-12월_9월-12월_9월-12월_PULL  LIST-1 (2004년)_PULL  LIST-1 (2004년)_PULL  LIST-1 (2004년)_Book1_PULL  LIST-1 (2005년)_PULL  LIST-1 (2006년)" xfId="428"/>
    <cellStyle name="@_9월-12월_9월-12월_9월-12월_PULL  LIST-1 (2004년)_PULL  LIST-1 (2004년)_PULL  LIST-1 (2004년)_Book1_PULL  LIST-1 (2005년)_PULL  LIST-1 (2006년)_ PULL  LIST-1 (2007년)" xfId="429"/>
    <cellStyle name="@_9월-12월_9월-12월_9월-12월_PULL  LIST-1 (2004년)_PULL  LIST-1 (2004년)_PULL  LIST-1 (2004년)_Book1_PULL  LIST-1 (2005년)_PULL  LIST-1 (2006년)_PULL  LIST-1 (2006년)" xfId="430"/>
    <cellStyle name="@_9월-12월_9월-12월_9월-12월_PULL  LIST-1 (2004년)_PULL  LIST-1 (2004년)_PULL  LIST-1 (2004년)_Book1_PULL  LIST-1 (2005년)_PULL  LIST-1 (2006년)_PULL  LIST-1 (2006년)_PULL  LIST-1 (2006년)" xfId="431"/>
    <cellStyle name="@_9월-12월_9월-12월_9월-12월_PULL  LIST-1 (2004년)_PULL  LIST-1 (2004년)_PULL  LIST-1 (2004년)_Book1_PULL  LIST-1 (2005년)_PULL  LIST-1 (2006년)_PULL  LIST-1 (2006년)_PULL  LIST-1 (2006년)_ PULL  LIST-1 (2007년)" xfId="432"/>
    <cellStyle name="@_9월-12월_9월-12월_9월-12월_PULL  LIST-1 (2004년)_PULL  LIST-1 (2004년)_PULL  LIST-1 (2004년)_Book1_PULL  LIST-1 (2005년)_원가인하9월30일" xfId="433"/>
    <cellStyle name="@_9월-12월_9월-12월_9월-12월_PULL  LIST-1 (2004년)_PULL  LIST-1 (2004년)_PULL  LIST-1 (2004년)_Book1_PULL  LIST-1 (2005년)_원가인하9월30일_ PULL  LIST-1 (2007년)" xfId="434"/>
    <cellStyle name="@_9월-12월_9월-12월_9월-12월_PULL  LIST-1 (2004년)_PULL  LIST-1 (2004년)_PULL  LIST-1 (2004년)_Book1_PULL  LIST-1 (2005년)_원가인하9월30일_PULL  LIST-1 (2006년)" xfId="435"/>
    <cellStyle name="@_9월-12월_9월-12월_9월-12월_PULL  LIST-1 (2004년)_PULL  LIST-1 (2004년)_PULL  LIST-1 (2004년)_Book1_PULL  LIST-1 (2005년)_원가인하9월30일_PULL  LIST-1 (2006년)_PULL  LIST-1 (2006년)" xfId="436"/>
    <cellStyle name="@_9월-12월_9월-12월_9월-12월_PULL  LIST-1 (2004년)_PULL  LIST-1 (2004년)_PULL  LIST-1 (2004년)_Book1_PULL  LIST-1 (2005년)_원가인하9월30일_PULL  LIST-1 (2006년)_PULL  LIST-1 (2006년)_ PULL  LIST-1 (2007년)" xfId="437"/>
    <cellStyle name="@_9월-12월_9월-12월_9월-12월_PULL  LIST-1 (2004년)_PULL  LIST-1 (2004년)_PULL  LIST-1 (2004년)_Book1_PULL  LIST-1 (2006년)" xfId="438"/>
    <cellStyle name="@_9월-12월_9월-12월_9월-12월_PULL  LIST-1 (2004년)_PULL  LIST-1 (2004년)_PULL  LIST-1 (2004년)_Book1_PULL  LIST-1 (2006년)_PULL  LIST-1 (2006년)" xfId="439"/>
    <cellStyle name="@_9월-12월_9월-12월_9월-12월_PULL  LIST-1 (2004년)_PULL  LIST-1 (2004년)_PULL  LIST-1 (2004년)_Book1_PULL  LIST-1 (2006년)_PULL  LIST-1 (2006년)_ PULL  LIST-1 (2007년)" xfId="440"/>
    <cellStyle name="@_9월-12월_9월-12월_9월-12월_PULL  LIST-1 (2004년)_PULL  LIST-1 (2004년)_PULL  LIST-1 (2004년)_PULL  LIST-1 (2005년)" xfId="441"/>
    <cellStyle name="@_9월-12월_9월-12월_9월-12월_PULL  LIST-1 (2004년)_PULL  LIST-1 (2004년)_PULL  LIST-1 (2004년)_PULL  LIST-1 (2005년)_ PULL  LIST-1 (2007년)" xfId="442"/>
    <cellStyle name="@_9월-12월_9월-12월_9월-12월_PULL  LIST-1 (2004년)_PULL  LIST-1 (2004년)_PULL  LIST-1 (2004년)_PULL  LIST-1 (2005년)_PULL  LIST-1 (2006년)" xfId="443"/>
    <cellStyle name="@_9월-12월_9월-12월_9월-12월_PULL  LIST-1 (2004년)_PULL  LIST-1 (2004년)_PULL  LIST-1 (2004년)_PULL  LIST-1 (2005년)_PULL  LIST-1 (2006년)_PULL  LIST-1 (2006년)" xfId="444"/>
    <cellStyle name="@_9월-12월_9월-12월_9월-12월_PULL  LIST-1 (2004년)_PULL  LIST-1 (2004년)_PULL  LIST-1 (2004년)_PULL  LIST-1 (2005년)_PULL  LIST-1 (2006년)_PULL  LIST-1 (2006년)_ PULL  LIST-1 (2007년)" xfId="445"/>
    <cellStyle name="@_9월-12월_9월-12월_9월-12월_PULL  LIST-1 (2004년)_PULL  LIST-1 (2004년)_PULL  LIST-1 (2004년)_PULL  LIST-1 (2006년)" xfId="446"/>
    <cellStyle name="@_9월-12월_9월-12월_9월-12월_PULL  LIST-1 (2004년)_PULL  LIST-1 (2004년)_PULL  LIST-1 (2004년)_PULL  LIST-1 (2006년)_ PULL  LIST-1 (2007년)" xfId="447"/>
    <cellStyle name="@_9월-12월_9월-12월_9월-12월_PULL  LIST-1 (2004년)_PULL  LIST-1 (2004년)_PULL  LIST-1 (2004년)_PULL  LIST-1 (2006년)_PULL  LIST-1 (2006년)" xfId="448"/>
    <cellStyle name="@_9월-12월_9월-12월_9월-12월_PULL  LIST-1 (2004년)_PULL  LIST-1 (2004년)_PULL  LIST-1 (2004년)_PULL  LIST-1 (2006년)_PULL  LIST-1 (2006년)_PULL  LIST-1 (2006년)" xfId="449"/>
    <cellStyle name="@_9월-12월_9월-12월_9월-12월_PULL  LIST-1 (2004년)_PULL  LIST-1 (2004년)_PULL  LIST-1 (2004년)_PULL  LIST-1 (2006년)_PULL  LIST-1 (2006년)_PULL  LIST-1 (2006년)_ PULL  LIST-1 (2007년)" xfId="450"/>
    <cellStyle name="@_9월-12월_9월-12월_9월-12월_PULL  LIST-1 (2004년)_PULL  LIST-1 (2004년)_PULL  LIST-1 (2004년)_원가인하9월30일" xfId="451"/>
    <cellStyle name="@_9월-12월_9월-12월_9월-12월_PULL  LIST-1 (2004년)_PULL  LIST-1 (2004년)_PULL  LIST-1 (2004년)_원가인하9월30일_ PULL  LIST-1 (2007년)" xfId="452"/>
    <cellStyle name="@_9월-12월_9월-12월_9월-12월_PULL  LIST-1 (2004년)_PULL  LIST-1 (2004년)_PULL  LIST-1 (2004년)_원가인하9월30일_PULL  LIST-1 (2006년)" xfId="453"/>
    <cellStyle name="@_9월-12월_9월-12월_9월-12월_PULL  LIST-1 (2004년)_PULL  LIST-1 (2004년)_PULL  LIST-1 (2004년)_원가인하9월30일_PULL  LIST-1 (2006년)_PULL  LIST-1 (2006년)" xfId="454"/>
    <cellStyle name="@_9월-12월_9월-12월_9월-12월_PULL  LIST-1 (2004년)_PULL  LIST-1 (2004년)_PULL  LIST-1 (2004년)_원가인하9월30일_PULL  LIST-1 (2006년)_PULL  LIST-1 (2006년)_ PULL  LIST-1 (2007년)" xfId="455"/>
    <cellStyle name="@_9월-12월_9월-12월_9월-12월_PULL  LIST-1 (2004년)_PULL  LIST-1 (2004년)_PULL  LIST-1 (2005년)" xfId="456"/>
    <cellStyle name="@_9월-12월_9월-12월_9월-12월_PULL  LIST-1 (2004년)_PULL  LIST-1 (2004년)_PULL  LIST-1 (2005년)_PULL  LIST-1 (2005년)" xfId="457"/>
    <cellStyle name="@_9월-12월_9월-12월_9월-12월_PULL  LIST-1 (2004년)_PULL  LIST-1 (2004년)_PULL  LIST-1 (2005년)_PULL  LIST-1 (2005년)_ PULL  LIST-1 (2007년)" xfId="458"/>
    <cellStyle name="@_9월-12월_9월-12월_9월-12월_PULL  LIST-1 (2004년)_PULL  LIST-1 (2004년)_PULL  LIST-1 (2005년)_PULL  LIST-1 (2005년)_PULL  LIST-1 (2006년)" xfId="459"/>
    <cellStyle name="@_9월-12월_9월-12월_9월-12월_PULL  LIST-1 (2004년)_PULL  LIST-1 (2004년)_PULL  LIST-1 (2005년)_PULL  LIST-1 (2005년)_PULL  LIST-1 (2006년)_PULL  LIST-1 (2006년)" xfId="460"/>
    <cellStyle name="@_9월-12월_9월-12월_9월-12월_PULL  LIST-1 (2004년)_PULL  LIST-1 (2004년)_PULL  LIST-1 (2005년)_PULL  LIST-1 (2005년)_PULL  LIST-1 (2006년)_PULL  LIST-1 (2006년)_ PULL  LIST-1 (2007년)" xfId="461"/>
    <cellStyle name="@_9월-12월_9월-12월_9월-12월_PULL  LIST-1 (2004년)_PULL  LIST-1 (2004년)_PULL  LIST-1 (2005년)_PULL  LIST-1 (2006년)" xfId="462"/>
    <cellStyle name="@_9월-12월_9월-12월_9월-12월_PULL  LIST-1 (2004년)_PULL  LIST-1 (2004년)_PULL  LIST-1 (2005년)_PULL  LIST-1 (2006년)_ PULL  LIST-1 (2007년)" xfId="463"/>
    <cellStyle name="@_9월-12월_9월-12월_9월-12월_PULL  LIST-1 (2004년)_PULL  LIST-1 (2004년)_PULL  LIST-1 (2005년)_PULL  LIST-1 (2006년)_PULL  LIST-1 (2006년)" xfId="464"/>
    <cellStyle name="@_9월-12월_9월-12월_9월-12월_PULL  LIST-1 (2004년)_PULL  LIST-1 (2004년)_PULL  LIST-1 (2005년)_PULL  LIST-1 (2006년)_PULL  LIST-1 (2006년)_PULL  LIST-1 (2006년)" xfId="465"/>
    <cellStyle name="@_9월-12월_9월-12월_9월-12월_PULL  LIST-1 (2004년)_PULL  LIST-1 (2004년)_PULL  LIST-1 (2005년)_PULL  LIST-1 (2006년)_PULL  LIST-1 (2006년)_PULL  LIST-1 (2006년)_ PULL  LIST-1 (2007년)" xfId="466"/>
    <cellStyle name="@_9월-12월_9월-12월_9월-12월_PULL  LIST-1 (2004년)_PULL  LIST-1 (2004년)_PULL  LIST-1 (2005년)_원가인하9월30일" xfId="467"/>
    <cellStyle name="@_9월-12월_9월-12월_9월-12월_PULL  LIST-1 (2004년)_PULL  LIST-1 (2004년)_PULL  LIST-1 (2005년)_원가인하9월30일_ PULL  LIST-1 (2007년)" xfId="468"/>
    <cellStyle name="@_9월-12월_9월-12월_9월-12월_PULL  LIST-1 (2004년)_PULL  LIST-1 (2004년)_PULL  LIST-1 (2005년)_원가인하9월30일_PULL  LIST-1 (2006년)" xfId="469"/>
    <cellStyle name="@_9월-12월_9월-12월_9월-12월_PULL  LIST-1 (2004년)_PULL  LIST-1 (2004년)_PULL  LIST-1 (2005년)_원가인하9월30일_PULL  LIST-1 (2006년)_PULL  LIST-1 (2006년)" xfId="470"/>
    <cellStyle name="@_9월-12월_9월-12월_9월-12월_PULL  LIST-1 (2004년)_PULL  LIST-1 (2004년)_PULL  LIST-1 (2005년)_원가인하9월30일_PULL  LIST-1 (2006년)_PULL  LIST-1 (2006년)_ PULL  LIST-1 (2007년)" xfId="471"/>
    <cellStyle name="@_9월-12월_9월-12월_9월-12월_PULL  LIST-1 (2004년)_PULL  LIST-1 (2004년)_PULL  LIST-1 (2006년)" xfId="472"/>
    <cellStyle name="@_9월-12월_9월-12월_9월-12월_PULL  LIST-1 (2004년)_PULL  LIST-1 (2004년)_PULL  LIST-1 (2006년)_PULL  LIST-1 (2006년)" xfId="473"/>
    <cellStyle name="@_9월-12월_9월-12월_9월-12월_PULL  LIST-1 (2004년)_PULL  LIST-1 (2004년)_PULL  LIST-1 (2006년)_PULL  LIST-1 (2006년)_ PULL  LIST-1 (2007년)" xfId="474"/>
    <cellStyle name="@_9월-12월_9월-12월_9월-12월_PULL  LIST-1 (2004년)_PULL  LIST-1 (2005년)" xfId="475"/>
    <cellStyle name="@_9월-12월_9월-12월_9월-12월_PULL  LIST-1 (2004년)_PULL  LIST-1 (2005년)_ PULL  LIST-1 (2007년)" xfId="476"/>
    <cellStyle name="@_9월-12월_9월-12월_9월-12월_PULL  LIST-1 (2004년)_PULL  LIST-1 (2005년)_PULL  LIST-1 (2006년)" xfId="477"/>
    <cellStyle name="@_9월-12월_9월-12월_9월-12월_PULL  LIST-1 (2004년)_PULL  LIST-1 (2005년)_PULL  LIST-1 (2006년)_PULL  LIST-1 (2006년)" xfId="478"/>
    <cellStyle name="@_9월-12월_9월-12월_9월-12월_PULL  LIST-1 (2004년)_PULL  LIST-1 (2005년)_PULL  LIST-1 (2006년)_PULL  LIST-1 (2006년)_ PULL  LIST-1 (2007년)" xfId="479"/>
    <cellStyle name="@_9월-12월_9월-12월_9월-12월_PULL  LIST-1 (2004년)_PULL  LIST-1 (2006년)" xfId="480"/>
    <cellStyle name="@_9월-12월_9월-12월_9월-12월_PULL  LIST-1 (2004년)_PULL  LIST-1 (2006년)_ PULL  LIST-1 (2007년)" xfId="481"/>
    <cellStyle name="@_9월-12월_9월-12월_9월-12월_PULL  LIST-1 (2004년)_PULL  LIST-1 (2006년)_PULL  LIST-1 (2006년)" xfId="482"/>
    <cellStyle name="@_9월-12월_9월-12월_9월-12월_PULL  LIST-1 (2004년)_PULL  LIST-1 (2006년)_PULL  LIST-1 (2006년)_PULL  LIST-1 (2006년)" xfId="483"/>
    <cellStyle name="@_9월-12월_9월-12월_9월-12월_PULL  LIST-1 (2004년)_PULL  LIST-1 (2006년)_PULL  LIST-1 (2006년)_PULL  LIST-1 (2006년)_ PULL  LIST-1 (2007년)" xfId="484"/>
    <cellStyle name="@_9월-12월_9월-12월_9월-12월_PULL  LIST-1 (2004년)_원가인하9월30일" xfId="485"/>
    <cellStyle name="@_9월-12월_9월-12월_9월-12월_PULL  LIST-1 (2004년)_원가인하9월30일_ PULL  LIST-1 (2007년)" xfId="486"/>
    <cellStyle name="@_9월-12월_9월-12월_9월-12월_PULL  LIST-1 (2004년)_원가인하9월30일_PULL  LIST-1 (2006년)" xfId="487"/>
    <cellStyle name="@_9월-12월_9월-12월_9월-12월_PULL  LIST-1 (2004년)_원가인하9월30일_PULL  LIST-1 (2006년)_PULL  LIST-1 (2006년)" xfId="488"/>
    <cellStyle name="@_9월-12월_9월-12월_9월-12월_PULL  LIST-1 (2004년)_원가인하9월30일_PULL  LIST-1 (2006년)_PULL  LIST-1 (2006년)_ PULL  LIST-1 (2007년)" xfId="489"/>
    <cellStyle name="@_9월-12월_9월-12월_9월-12월_PULL  LIST-1 (2005년)" xfId="490"/>
    <cellStyle name="@_9월-12월_9월-12월_9월-12월_PULL  LIST-1 (2005년)_PULL  LIST-1 (2005년)" xfId="491"/>
    <cellStyle name="@_9월-12월_9월-12월_9월-12월_PULL  LIST-1 (2005년)_PULL  LIST-1 (2005년)_ PULL  LIST-1 (2007년)" xfId="492"/>
    <cellStyle name="@_9월-12월_9월-12월_9월-12월_PULL  LIST-1 (2005년)_PULL  LIST-1 (2005년)_PULL  LIST-1 (2006년)" xfId="493"/>
    <cellStyle name="@_9월-12월_9월-12월_9월-12월_PULL  LIST-1 (2005년)_PULL  LIST-1 (2005년)_PULL  LIST-1 (2006년)_PULL  LIST-1 (2006년)" xfId="494"/>
    <cellStyle name="@_9월-12월_9월-12월_9월-12월_PULL  LIST-1 (2005년)_PULL  LIST-1 (2005년)_PULL  LIST-1 (2006년)_PULL  LIST-1 (2006년)_ PULL  LIST-1 (2007년)" xfId="495"/>
    <cellStyle name="@_9월-12월_9월-12월_9월-12월_PULL  LIST-1 (2005년)_PULL  LIST-1 (2006년)" xfId="496"/>
    <cellStyle name="@_9월-12월_9월-12월_9월-12월_PULL  LIST-1 (2005년)_PULL  LIST-1 (2006년)_ PULL  LIST-1 (2007년)" xfId="497"/>
    <cellStyle name="@_9월-12월_9월-12월_9월-12월_PULL  LIST-1 (2005년)_PULL  LIST-1 (2006년)_PULL  LIST-1 (2006년)" xfId="498"/>
    <cellStyle name="@_9월-12월_9월-12월_9월-12월_PULL  LIST-1 (2005년)_PULL  LIST-1 (2006년)_PULL  LIST-1 (2006년)_PULL  LIST-1 (2006년)" xfId="499"/>
    <cellStyle name="@_9월-12월_9월-12월_9월-12월_PULL  LIST-1 (2005년)_PULL  LIST-1 (2006년)_PULL  LIST-1 (2006년)_PULL  LIST-1 (2006년)_ PULL  LIST-1 (2007년)" xfId="500"/>
    <cellStyle name="@_9월-12월_9월-12월_9월-12월_PULL  LIST-1 (2005년)_원가인하9월30일" xfId="501"/>
    <cellStyle name="@_9월-12월_9월-12월_9월-12월_PULL  LIST-1 (2005년)_원가인하9월30일_ PULL  LIST-1 (2007년)" xfId="502"/>
    <cellStyle name="@_9월-12월_9월-12월_9월-12월_PULL  LIST-1 (2005년)_원가인하9월30일_PULL  LIST-1 (2006년)" xfId="503"/>
    <cellStyle name="@_9월-12월_9월-12월_9월-12월_PULL  LIST-1 (2005년)_원가인하9월30일_PULL  LIST-1 (2006년)_PULL  LIST-1 (2006년)" xfId="504"/>
    <cellStyle name="@_9월-12월_9월-12월_9월-12월_PULL  LIST-1 (2005년)_원가인하9월30일_PULL  LIST-1 (2006년)_PULL  LIST-1 (2006년)_ PULL  LIST-1 (2007년)" xfId="505"/>
    <cellStyle name="@_9월-12월_9월-12월_9월-12월_PULL  LIST-1 (2006년)" xfId="506"/>
    <cellStyle name="@_9월-12월_9월-12월_9월-12월_PULL  LIST-1 (2006년)_PULL  LIST-1 (2006년)" xfId="507"/>
    <cellStyle name="@_9월-12월_9월-12월_9월-12월_PULL  LIST-1 (2006년)_PULL  LIST-1 (2006년)_ PULL  LIST-1 (2007년)" xfId="508"/>
    <cellStyle name="@_9월-12월_9월-12월_PULL  LIST-1 (2004년)" xfId="509"/>
    <cellStyle name="@_9월-12월_9월-12월_PULL  LIST-1 (2004년)_Book1" xfId="510"/>
    <cellStyle name="@_9월-12월_9월-12월_PULL  LIST-1 (2004년)_Book1_ PULL  LIST-1 (2007년)" xfId="511"/>
    <cellStyle name="@_9월-12월_9월-12월_PULL  LIST-1 (2004년)_Book1_PULL  LIST-1 (2005년)" xfId="512"/>
    <cellStyle name="@_9월-12월_9월-12월_PULL  LIST-1 (2004년)_Book1_PULL  LIST-1 (2005년)_PULL  LIST-1 (2005년)" xfId="513"/>
    <cellStyle name="@_9월-12월_9월-12월_PULL  LIST-1 (2004년)_Book1_PULL  LIST-1 (2005년)_PULL  LIST-1 (2005년)_ PULL  LIST-1 (2007년)" xfId="514"/>
    <cellStyle name="@_9월-12월_9월-12월_PULL  LIST-1 (2004년)_Book1_PULL  LIST-1 (2005년)_PULL  LIST-1 (2005년)_PULL  LIST-1 (2006년)" xfId="515"/>
    <cellStyle name="@_9월-12월_9월-12월_PULL  LIST-1 (2004년)_Book1_PULL  LIST-1 (2005년)_PULL  LIST-1 (2005년)_PULL  LIST-1 (2006년)_PULL  LIST-1 (2006년)" xfId="516"/>
    <cellStyle name="@_9월-12월_9월-12월_PULL  LIST-1 (2004년)_Book1_PULL  LIST-1 (2005년)_PULL  LIST-1 (2005년)_PULL  LIST-1 (2006년)_PULL  LIST-1 (2006년)_ PULL  LIST-1 (2007년)" xfId="517"/>
    <cellStyle name="@_9월-12월_9월-12월_PULL  LIST-1 (2004년)_Book1_PULL  LIST-1 (2005년)_PULL  LIST-1 (2006년)" xfId="518"/>
    <cellStyle name="@_9월-12월_9월-12월_PULL  LIST-1 (2004년)_Book1_PULL  LIST-1 (2005년)_PULL  LIST-1 (2006년)_ PULL  LIST-1 (2007년)" xfId="519"/>
    <cellStyle name="@_9월-12월_9월-12월_PULL  LIST-1 (2004년)_Book1_PULL  LIST-1 (2005년)_PULL  LIST-1 (2006년)_PULL  LIST-1 (2006년)" xfId="520"/>
    <cellStyle name="@_9월-12월_9월-12월_PULL  LIST-1 (2004년)_Book1_PULL  LIST-1 (2005년)_PULL  LIST-1 (2006년)_PULL  LIST-1 (2006년)_PULL  LIST-1 (2006년)" xfId="521"/>
    <cellStyle name="@_9월-12월_9월-12월_PULL  LIST-1 (2004년)_Book1_PULL  LIST-1 (2005년)_PULL  LIST-1 (2006년)_PULL  LIST-1 (2006년)_PULL  LIST-1 (2006년)_ PULL  LIST-1 (2007년)" xfId="522"/>
    <cellStyle name="@_9월-12월_9월-12월_PULL  LIST-1 (2004년)_Book1_PULL  LIST-1 (2005년)_원가인하9월30일" xfId="523"/>
    <cellStyle name="@_9월-12월_9월-12월_PULL  LIST-1 (2004년)_Book1_PULL  LIST-1 (2005년)_원가인하9월30일_ PULL  LIST-1 (2007년)" xfId="524"/>
    <cellStyle name="@_9월-12월_9월-12월_PULL  LIST-1 (2004년)_Book1_PULL  LIST-1 (2005년)_원가인하9월30일_PULL  LIST-1 (2006년)" xfId="525"/>
    <cellStyle name="@_9월-12월_9월-12월_PULL  LIST-1 (2004년)_Book1_PULL  LIST-1 (2005년)_원가인하9월30일_PULL  LIST-1 (2006년)_PULL  LIST-1 (2006년)" xfId="526"/>
    <cellStyle name="@_9월-12월_9월-12월_PULL  LIST-1 (2004년)_Book1_PULL  LIST-1 (2005년)_원가인하9월30일_PULL  LIST-1 (2006년)_PULL  LIST-1 (2006년)_ PULL  LIST-1 (2007년)" xfId="527"/>
    <cellStyle name="@_9월-12월_9월-12월_PULL  LIST-1 (2004년)_Book1_PULL  LIST-1 (2006년)" xfId="528"/>
    <cellStyle name="@_9월-12월_9월-12월_PULL  LIST-1 (2004년)_Book1_PULL  LIST-1 (2006년)_PULL  LIST-1 (2006년)" xfId="529"/>
    <cellStyle name="@_9월-12월_9월-12월_PULL  LIST-1 (2004년)_Book1_PULL  LIST-1 (2006년)_PULL  LIST-1 (2006년)_ PULL  LIST-1 (2007년)" xfId="530"/>
    <cellStyle name="@_9월-12월_9월-12월_PULL  LIST-1 (2004년)_PULL  LIST-1 (2004년)" xfId="531"/>
    <cellStyle name="@_9월-12월_9월-12월_PULL  LIST-1 (2004년)_PULL  LIST-1 (2004년)_ PULL  LIST-1 (2007년)" xfId="532"/>
    <cellStyle name="@_9월-12월_9월-12월_PULL  LIST-1 (2004년)_PULL  LIST-1 (2004년)_PULL  LIST-1 (2004년)" xfId="533"/>
    <cellStyle name="@_9월-12월_9월-12월_PULL  LIST-1 (2004년)_PULL  LIST-1 (2004년)_PULL  LIST-1 (2004년)_Book1" xfId="534"/>
    <cellStyle name="@_9월-12월_9월-12월_PULL  LIST-1 (2004년)_PULL  LIST-1 (2004년)_PULL  LIST-1 (2004년)_Book1_ PULL  LIST-1 (2007년)" xfId="535"/>
    <cellStyle name="@_9월-12월_9월-12월_PULL  LIST-1 (2004년)_PULL  LIST-1 (2004년)_PULL  LIST-1 (2004년)_Book1_PULL  LIST-1 (2005년)" xfId="536"/>
    <cellStyle name="@_9월-12월_9월-12월_PULL  LIST-1 (2004년)_PULL  LIST-1 (2004년)_PULL  LIST-1 (2004년)_Book1_PULL  LIST-1 (2005년)_PULL  LIST-1 (2005년)" xfId="537"/>
    <cellStyle name="@_9월-12월_9월-12월_PULL  LIST-1 (2004년)_PULL  LIST-1 (2004년)_PULL  LIST-1 (2004년)_Book1_PULL  LIST-1 (2005년)_PULL  LIST-1 (2005년)_ PULL  LIST-1 (2007년)" xfId="538"/>
    <cellStyle name="@_9월-12월_9월-12월_PULL  LIST-1 (2004년)_PULL  LIST-1 (2004년)_PULL  LIST-1 (2004년)_Book1_PULL  LIST-1 (2005년)_PULL  LIST-1 (2005년)_PULL  LIST-1 (2006년)" xfId="539"/>
    <cellStyle name="@_9월-12월_9월-12월_PULL  LIST-1 (2004년)_PULL  LIST-1 (2004년)_PULL  LIST-1 (2004년)_Book1_PULL  LIST-1 (2005년)_PULL  LIST-1 (2005년)_PULL  LIST-1 (2006년)_PULL  LIST-1 (2006년)" xfId="540"/>
    <cellStyle name="@_9월-12월_9월-12월_PULL  LIST-1 (2004년)_PULL  LIST-1 (2004년)_PULL  LIST-1 (2004년)_Book1_PULL  LIST-1 (2005년)_PULL  LIST-1 (2005년)_PULL  LIST-1 (2006년)_PULL  LIST-1 (2006년)_ PULL  LIST-1 (2007년)" xfId="541"/>
    <cellStyle name="@_9월-12월_9월-12월_PULL  LIST-1 (2004년)_PULL  LIST-1 (2004년)_PULL  LIST-1 (2004년)_Book1_PULL  LIST-1 (2005년)_PULL  LIST-1 (2006년)" xfId="542"/>
    <cellStyle name="@_9월-12월_9월-12월_PULL  LIST-1 (2004년)_PULL  LIST-1 (2004년)_PULL  LIST-1 (2004년)_Book1_PULL  LIST-1 (2005년)_PULL  LIST-1 (2006년)_ PULL  LIST-1 (2007년)" xfId="543"/>
    <cellStyle name="@_9월-12월_9월-12월_PULL  LIST-1 (2004년)_PULL  LIST-1 (2004년)_PULL  LIST-1 (2004년)_Book1_PULL  LIST-1 (2005년)_PULL  LIST-1 (2006년)_PULL  LIST-1 (2006년)" xfId="544"/>
    <cellStyle name="@_9월-12월_9월-12월_PULL  LIST-1 (2004년)_PULL  LIST-1 (2004년)_PULL  LIST-1 (2004년)_Book1_PULL  LIST-1 (2005년)_PULL  LIST-1 (2006년)_PULL  LIST-1 (2006년)_PULL  LIST-1 (2006년)" xfId="545"/>
    <cellStyle name="@_9월-12월_9월-12월_PULL  LIST-1 (2004년)_PULL  LIST-1 (2004년)_PULL  LIST-1 (2004년)_Book1_PULL  LIST-1 (2005년)_PULL  LIST-1 (2006년)_PULL  LIST-1 (2006년)_PULL  LIST-1 (2006년)_ PULL  LIST-1 (2007년)" xfId="546"/>
    <cellStyle name="@_9월-12월_9월-12월_PULL  LIST-1 (2004년)_PULL  LIST-1 (2004년)_PULL  LIST-1 (2004년)_Book1_PULL  LIST-1 (2005년)_원가인하9월30일" xfId="547"/>
    <cellStyle name="@_9월-12월_9월-12월_PULL  LIST-1 (2004년)_PULL  LIST-1 (2004년)_PULL  LIST-1 (2004년)_Book1_PULL  LIST-1 (2005년)_원가인하9월30일_ PULL  LIST-1 (2007년)" xfId="548"/>
    <cellStyle name="@_9월-12월_9월-12월_PULL  LIST-1 (2004년)_PULL  LIST-1 (2004년)_PULL  LIST-1 (2004년)_Book1_PULL  LIST-1 (2005년)_원가인하9월30일_PULL  LIST-1 (2006년)" xfId="549"/>
    <cellStyle name="@_9월-12월_9월-12월_PULL  LIST-1 (2004년)_PULL  LIST-1 (2004년)_PULL  LIST-1 (2004년)_Book1_PULL  LIST-1 (2005년)_원가인하9월30일_PULL  LIST-1 (2006년)_PULL  LIST-1 (2006년)" xfId="550"/>
    <cellStyle name="@_9월-12월_9월-12월_PULL  LIST-1 (2004년)_PULL  LIST-1 (2004년)_PULL  LIST-1 (2004년)_Book1_PULL  LIST-1 (2005년)_원가인하9월30일_PULL  LIST-1 (2006년)_PULL  LIST-1 (2006년)_ PULL  LIST-1 (2007년)" xfId="551"/>
    <cellStyle name="@_9월-12월_9월-12월_PULL  LIST-1 (2004년)_PULL  LIST-1 (2004년)_PULL  LIST-1 (2004년)_Book1_PULL  LIST-1 (2006년)" xfId="552"/>
    <cellStyle name="@_9월-12월_9월-12월_PULL  LIST-1 (2004년)_PULL  LIST-1 (2004년)_PULL  LIST-1 (2004년)_Book1_PULL  LIST-1 (2006년)_PULL  LIST-1 (2006년)" xfId="553"/>
    <cellStyle name="@_9월-12월_9월-12월_PULL  LIST-1 (2004년)_PULL  LIST-1 (2004년)_PULL  LIST-1 (2004년)_Book1_PULL  LIST-1 (2006년)_PULL  LIST-1 (2006년)_ PULL  LIST-1 (2007년)" xfId="554"/>
    <cellStyle name="@_9월-12월_9월-12월_PULL  LIST-1 (2004년)_PULL  LIST-1 (2004년)_PULL  LIST-1 (2004년)_PULL  LIST-1 (2005년)" xfId="555"/>
    <cellStyle name="@_9월-12월_9월-12월_PULL  LIST-1 (2004년)_PULL  LIST-1 (2004년)_PULL  LIST-1 (2004년)_PULL  LIST-1 (2005년)_ PULL  LIST-1 (2007년)" xfId="556"/>
    <cellStyle name="@_9월-12월_9월-12월_PULL  LIST-1 (2004년)_PULL  LIST-1 (2004년)_PULL  LIST-1 (2004년)_PULL  LIST-1 (2005년)_PULL  LIST-1 (2006년)" xfId="557"/>
    <cellStyle name="@_9월-12월_9월-12월_PULL  LIST-1 (2004년)_PULL  LIST-1 (2004년)_PULL  LIST-1 (2004년)_PULL  LIST-1 (2005년)_PULL  LIST-1 (2006년)_PULL  LIST-1 (2006년)" xfId="558"/>
    <cellStyle name="@_9월-12월_9월-12월_PULL  LIST-1 (2004년)_PULL  LIST-1 (2004년)_PULL  LIST-1 (2004년)_PULL  LIST-1 (2005년)_PULL  LIST-1 (2006년)_PULL  LIST-1 (2006년)_ PULL  LIST-1 (2007년)" xfId="559"/>
    <cellStyle name="@_9월-12월_9월-12월_PULL  LIST-1 (2004년)_PULL  LIST-1 (2004년)_PULL  LIST-1 (2004년)_PULL  LIST-1 (2006년)" xfId="560"/>
    <cellStyle name="@_9월-12월_9월-12월_PULL  LIST-1 (2004년)_PULL  LIST-1 (2004년)_PULL  LIST-1 (2004년)_PULL  LIST-1 (2006년)_ PULL  LIST-1 (2007년)" xfId="561"/>
    <cellStyle name="@_9월-12월_9월-12월_PULL  LIST-1 (2004년)_PULL  LIST-1 (2004년)_PULL  LIST-1 (2004년)_PULL  LIST-1 (2006년)_PULL  LIST-1 (2006년)" xfId="562"/>
    <cellStyle name="@_9월-12월_9월-12월_PULL  LIST-1 (2004년)_PULL  LIST-1 (2004년)_PULL  LIST-1 (2004년)_PULL  LIST-1 (2006년)_PULL  LIST-1 (2006년)_PULL  LIST-1 (2006년)" xfId="563"/>
    <cellStyle name="@_9월-12월_9월-12월_PULL  LIST-1 (2004년)_PULL  LIST-1 (2004년)_PULL  LIST-1 (2004년)_PULL  LIST-1 (2006년)_PULL  LIST-1 (2006년)_PULL  LIST-1 (2006년)_ PULL  LIST-1 (2007년)" xfId="564"/>
    <cellStyle name="@_9월-12월_9월-12월_PULL  LIST-1 (2004년)_PULL  LIST-1 (2004년)_PULL  LIST-1 (2004년)_원가인하9월30일" xfId="565"/>
    <cellStyle name="@_9월-12월_9월-12월_PULL  LIST-1 (2004년)_PULL  LIST-1 (2004년)_PULL  LIST-1 (2004년)_원가인하9월30일_ PULL  LIST-1 (2007년)" xfId="566"/>
    <cellStyle name="@_9월-12월_9월-12월_PULL  LIST-1 (2004년)_PULL  LIST-1 (2004년)_PULL  LIST-1 (2004년)_원가인하9월30일_PULL  LIST-1 (2006년)" xfId="567"/>
    <cellStyle name="@_9월-12월_9월-12월_PULL  LIST-1 (2004년)_PULL  LIST-1 (2004년)_PULL  LIST-1 (2004년)_원가인하9월30일_PULL  LIST-1 (2006년)_PULL  LIST-1 (2006년)" xfId="568"/>
    <cellStyle name="@_9월-12월_9월-12월_PULL  LIST-1 (2004년)_PULL  LIST-1 (2004년)_PULL  LIST-1 (2004년)_원가인하9월30일_PULL  LIST-1 (2006년)_PULL  LIST-1 (2006년)_ PULL  LIST-1 (2007년)" xfId="569"/>
    <cellStyle name="@_9월-12월_9월-12월_PULL  LIST-1 (2004년)_PULL  LIST-1 (2004년)_PULL  LIST-1 (2005년)" xfId="570"/>
    <cellStyle name="@_9월-12월_9월-12월_PULL  LIST-1 (2004년)_PULL  LIST-1 (2004년)_PULL  LIST-1 (2005년)_PULL  LIST-1 (2005년)" xfId="571"/>
    <cellStyle name="@_9월-12월_9월-12월_PULL  LIST-1 (2004년)_PULL  LIST-1 (2004년)_PULL  LIST-1 (2005년)_PULL  LIST-1 (2005년)_ PULL  LIST-1 (2007년)" xfId="572"/>
    <cellStyle name="@_9월-12월_9월-12월_PULL  LIST-1 (2004년)_PULL  LIST-1 (2004년)_PULL  LIST-1 (2005년)_PULL  LIST-1 (2005년)_PULL  LIST-1 (2006년)" xfId="573"/>
    <cellStyle name="@_9월-12월_9월-12월_PULL  LIST-1 (2004년)_PULL  LIST-1 (2004년)_PULL  LIST-1 (2005년)_PULL  LIST-1 (2005년)_PULL  LIST-1 (2006년)_PULL  LIST-1 (2006년)" xfId="574"/>
    <cellStyle name="@_9월-12월_9월-12월_PULL  LIST-1 (2004년)_PULL  LIST-1 (2004년)_PULL  LIST-1 (2005년)_PULL  LIST-1 (2005년)_PULL  LIST-1 (2006년)_PULL  LIST-1 (2006년)_ PULL  LIST-1 (2007년)" xfId="575"/>
    <cellStyle name="@_9월-12월_9월-12월_PULL  LIST-1 (2004년)_PULL  LIST-1 (2004년)_PULL  LIST-1 (2005년)_PULL  LIST-1 (2006년)" xfId="576"/>
    <cellStyle name="@_9월-12월_9월-12월_PULL  LIST-1 (2004년)_PULL  LIST-1 (2004년)_PULL  LIST-1 (2005년)_PULL  LIST-1 (2006년)_ PULL  LIST-1 (2007년)" xfId="577"/>
    <cellStyle name="@_9월-12월_9월-12월_PULL  LIST-1 (2004년)_PULL  LIST-1 (2004년)_PULL  LIST-1 (2005년)_PULL  LIST-1 (2006년)_PULL  LIST-1 (2006년)" xfId="578"/>
    <cellStyle name="@_9월-12월_9월-12월_PULL  LIST-1 (2004년)_PULL  LIST-1 (2004년)_PULL  LIST-1 (2005년)_PULL  LIST-1 (2006년)_PULL  LIST-1 (2006년)_PULL  LIST-1 (2006년)" xfId="579"/>
    <cellStyle name="@_9월-12월_9월-12월_PULL  LIST-1 (2004년)_PULL  LIST-1 (2004년)_PULL  LIST-1 (2005년)_PULL  LIST-1 (2006년)_PULL  LIST-1 (2006년)_PULL  LIST-1 (2006년)_ PULL  LIST-1 (2007년)" xfId="580"/>
    <cellStyle name="@_9월-12월_9월-12월_PULL  LIST-1 (2004년)_PULL  LIST-1 (2004년)_PULL  LIST-1 (2005년)_원가인하9월30일" xfId="581"/>
    <cellStyle name="@_9월-12월_9월-12월_PULL  LIST-1 (2004년)_PULL  LIST-1 (2004년)_PULL  LIST-1 (2005년)_원가인하9월30일_ PULL  LIST-1 (2007년)" xfId="582"/>
    <cellStyle name="@_9월-12월_9월-12월_PULL  LIST-1 (2004년)_PULL  LIST-1 (2004년)_PULL  LIST-1 (2005년)_원가인하9월30일_PULL  LIST-1 (2006년)" xfId="583"/>
    <cellStyle name="@_9월-12월_9월-12월_PULL  LIST-1 (2004년)_PULL  LIST-1 (2004년)_PULL  LIST-1 (2005년)_원가인하9월30일_PULL  LIST-1 (2006년)_PULL  LIST-1 (2006년)" xfId="584"/>
    <cellStyle name="@_9월-12월_9월-12월_PULL  LIST-1 (2004년)_PULL  LIST-1 (2004년)_PULL  LIST-1 (2005년)_원가인하9월30일_PULL  LIST-1 (2006년)_PULL  LIST-1 (2006년)_ PULL  LIST-1 (2007년)" xfId="585"/>
    <cellStyle name="@_9월-12월_9월-12월_PULL  LIST-1 (2004년)_PULL  LIST-1 (2004년)_PULL  LIST-1 (2006년)" xfId="586"/>
    <cellStyle name="@_9월-12월_9월-12월_PULL  LIST-1 (2004년)_PULL  LIST-1 (2004년)_PULL  LIST-1 (2006년)_PULL  LIST-1 (2006년)" xfId="587"/>
    <cellStyle name="@_9월-12월_9월-12월_PULL  LIST-1 (2004년)_PULL  LIST-1 (2004년)_PULL  LIST-1 (2006년)_PULL  LIST-1 (2006년)_ PULL  LIST-1 (2007년)" xfId="588"/>
    <cellStyle name="@_9월-12월_9월-12월_PULL  LIST-1 (2004년)_PULL  LIST-1 (2005년)" xfId="589"/>
    <cellStyle name="@_9월-12월_9월-12월_PULL  LIST-1 (2004년)_PULL  LIST-1 (2005년)_ PULL  LIST-1 (2007년)" xfId="590"/>
    <cellStyle name="@_9월-12월_9월-12월_PULL  LIST-1 (2004년)_PULL  LIST-1 (2005년)_PULL  LIST-1 (2006년)" xfId="591"/>
    <cellStyle name="@_9월-12월_9월-12월_PULL  LIST-1 (2004년)_PULL  LIST-1 (2005년)_PULL  LIST-1 (2006년)_PULL  LIST-1 (2006년)" xfId="592"/>
    <cellStyle name="@_9월-12월_9월-12월_PULL  LIST-1 (2004년)_PULL  LIST-1 (2005년)_PULL  LIST-1 (2006년)_PULL  LIST-1 (2006년)_ PULL  LIST-1 (2007년)" xfId="593"/>
    <cellStyle name="@_9월-12월_9월-12월_PULL  LIST-1 (2004년)_PULL  LIST-1 (2006년)" xfId="594"/>
    <cellStyle name="@_9월-12월_9월-12월_PULL  LIST-1 (2004년)_PULL  LIST-1 (2006년)_ PULL  LIST-1 (2007년)" xfId="595"/>
    <cellStyle name="@_9월-12월_9월-12월_PULL  LIST-1 (2004년)_PULL  LIST-1 (2006년)_PULL  LIST-1 (2006년)" xfId="596"/>
    <cellStyle name="@_9월-12월_9월-12월_PULL  LIST-1 (2004년)_PULL  LIST-1 (2006년)_PULL  LIST-1 (2006년)_PULL  LIST-1 (2006년)" xfId="597"/>
    <cellStyle name="@_9월-12월_9월-12월_PULL  LIST-1 (2004년)_PULL  LIST-1 (2006년)_PULL  LIST-1 (2006년)_PULL  LIST-1 (2006년)_ PULL  LIST-1 (2007년)" xfId="598"/>
    <cellStyle name="@_9월-12월_9월-12월_PULL  LIST-1 (2004년)_원가인하9월30일" xfId="599"/>
    <cellStyle name="@_9월-12월_9월-12월_PULL  LIST-1 (2004년)_원가인하9월30일_ PULL  LIST-1 (2007년)" xfId="600"/>
    <cellStyle name="@_9월-12월_9월-12월_PULL  LIST-1 (2004년)_원가인하9월30일_PULL  LIST-1 (2006년)" xfId="601"/>
    <cellStyle name="@_9월-12월_9월-12월_PULL  LIST-1 (2004년)_원가인하9월30일_PULL  LIST-1 (2006년)_PULL  LIST-1 (2006년)" xfId="602"/>
    <cellStyle name="@_9월-12월_9월-12월_PULL  LIST-1 (2004년)_원가인하9월30일_PULL  LIST-1 (2006년)_PULL  LIST-1 (2006년)_ PULL  LIST-1 (2007년)" xfId="603"/>
    <cellStyle name="@_9월-12월_9월-12월_PULL  LIST-1 (2005년)" xfId="604"/>
    <cellStyle name="@_9월-12월_9월-12월_PULL  LIST-1 (2005년)_PULL  LIST-1 (2005년)" xfId="605"/>
    <cellStyle name="@_9월-12월_9월-12월_PULL  LIST-1 (2005년)_PULL  LIST-1 (2005년)_ PULL  LIST-1 (2007년)" xfId="606"/>
    <cellStyle name="@_9월-12월_9월-12월_PULL  LIST-1 (2005년)_PULL  LIST-1 (2005년)_PULL  LIST-1 (2006년)" xfId="607"/>
    <cellStyle name="@_9월-12월_9월-12월_PULL  LIST-1 (2005년)_PULL  LIST-1 (2005년)_PULL  LIST-1 (2006년)_PULL  LIST-1 (2006년)" xfId="608"/>
    <cellStyle name="@_9월-12월_9월-12월_PULL  LIST-1 (2005년)_PULL  LIST-1 (2005년)_PULL  LIST-1 (2006년)_PULL  LIST-1 (2006년)_ PULL  LIST-1 (2007년)" xfId="609"/>
    <cellStyle name="@_9월-12월_9월-12월_PULL  LIST-1 (2005년)_PULL  LIST-1 (2006년)" xfId="610"/>
    <cellStyle name="@_9월-12월_9월-12월_PULL  LIST-1 (2005년)_PULL  LIST-1 (2006년)_ PULL  LIST-1 (2007년)" xfId="611"/>
    <cellStyle name="@_9월-12월_9월-12월_PULL  LIST-1 (2005년)_PULL  LIST-1 (2006년)_PULL  LIST-1 (2006년)" xfId="612"/>
    <cellStyle name="@_9월-12월_9월-12월_PULL  LIST-1 (2005년)_PULL  LIST-1 (2006년)_PULL  LIST-1 (2006년)_PULL  LIST-1 (2006년)" xfId="613"/>
    <cellStyle name="@_9월-12월_9월-12월_PULL  LIST-1 (2005년)_PULL  LIST-1 (2006년)_PULL  LIST-1 (2006년)_PULL  LIST-1 (2006년)_ PULL  LIST-1 (2007년)" xfId="614"/>
    <cellStyle name="@_9월-12월_9월-12월_PULL  LIST-1 (2005년)_원가인하9월30일" xfId="615"/>
    <cellStyle name="@_9월-12월_9월-12월_PULL  LIST-1 (2005년)_원가인하9월30일_ PULL  LIST-1 (2007년)" xfId="616"/>
    <cellStyle name="@_9월-12월_9월-12월_PULL  LIST-1 (2005년)_원가인하9월30일_PULL  LIST-1 (2006년)" xfId="617"/>
    <cellStyle name="@_9월-12월_9월-12월_PULL  LIST-1 (2005년)_원가인하9월30일_PULL  LIST-1 (2006년)_PULL  LIST-1 (2006년)" xfId="618"/>
    <cellStyle name="@_9월-12월_9월-12월_PULL  LIST-1 (2005년)_원가인하9월30일_PULL  LIST-1 (2006년)_PULL  LIST-1 (2006년)_ PULL  LIST-1 (2007년)" xfId="619"/>
    <cellStyle name="@_9월-12월_9월-12월_PULL  LIST-1 (2006년)" xfId="620"/>
    <cellStyle name="@_9월-12월_9월-12월_PULL  LIST-1 (2006년)_PULL  LIST-1 (2006년)" xfId="621"/>
    <cellStyle name="@_9월-12월_9월-12월_PULL  LIST-1 (2006년)_PULL  LIST-1 (2006년)_ PULL  LIST-1 (2007년)" xfId="622"/>
    <cellStyle name="@_9월-12월_PULL  LIST-1 (2004년)" xfId="623"/>
    <cellStyle name="@_9월-12월_PULL  LIST-1 (2004년)_Book1" xfId="624"/>
    <cellStyle name="@_9월-12월_PULL  LIST-1 (2004년)_Book1_ PULL  LIST-1 (2007년)" xfId="625"/>
    <cellStyle name="@_9월-12월_PULL  LIST-1 (2004년)_Book1_PULL  LIST-1 (2005년)" xfId="626"/>
    <cellStyle name="@_9월-12월_PULL  LIST-1 (2004년)_Book1_PULL  LIST-1 (2005년)_PULL  LIST-1 (2005년)" xfId="627"/>
    <cellStyle name="@_9월-12월_PULL  LIST-1 (2004년)_Book1_PULL  LIST-1 (2005년)_PULL  LIST-1 (2005년)_ PULL  LIST-1 (2007년)" xfId="628"/>
    <cellStyle name="@_9월-12월_PULL  LIST-1 (2004년)_Book1_PULL  LIST-1 (2005년)_PULL  LIST-1 (2005년)_PULL  LIST-1 (2006년)" xfId="629"/>
    <cellStyle name="@_9월-12월_PULL  LIST-1 (2004년)_Book1_PULL  LIST-1 (2005년)_PULL  LIST-1 (2005년)_PULL  LIST-1 (2006년)_PULL  LIST-1 (2006년)" xfId="630"/>
    <cellStyle name="@_9월-12월_PULL  LIST-1 (2004년)_Book1_PULL  LIST-1 (2005년)_PULL  LIST-1 (2005년)_PULL  LIST-1 (2006년)_PULL  LIST-1 (2006년)_ PULL  LIST-1 (2007년)" xfId="631"/>
    <cellStyle name="@_9월-12월_PULL  LIST-1 (2004년)_Book1_PULL  LIST-1 (2005년)_PULL  LIST-1 (2006년)" xfId="632"/>
    <cellStyle name="@_9월-12월_PULL  LIST-1 (2004년)_Book1_PULL  LIST-1 (2005년)_PULL  LIST-1 (2006년)_ PULL  LIST-1 (2007년)" xfId="633"/>
    <cellStyle name="@_9월-12월_PULL  LIST-1 (2004년)_Book1_PULL  LIST-1 (2005년)_PULL  LIST-1 (2006년)_PULL  LIST-1 (2006년)" xfId="634"/>
    <cellStyle name="@_9월-12월_PULL  LIST-1 (2004년)_Book1_PULL  LIST-1 (2005년)_PULL  LIST-1 (2006년)_PULL  LIST-1 (2006년)_PULL  LIST-1 (2006년)" xfId="635"/>
    <cellStyle name="@_9월-12월_PULL  LIST-1 (2004년)_Book1_PULL  LIST-1 (2005년)_PULL  LIST-1 (2006년)_PULL  LIST-1 (2006년)_PULL  LIST-1 (2006년)_ PULL  LIST-1 (2007년)" xfId="636"/>
    <cellStyle name="@_9월-12월_PULL  LIST-1 (2004년)_Book1_PULL  LIST-1 (2005년)_원가인하9월30일" xfId="637"/>
    <cellStyle name="@_9월-12월_PULL  LIST-1 (2004년)_Book1_PULL  LIST-1 (2005년)_원가인하9월30일_ PULL  LIST-1 (2007년)" xfId="638"/>
    <cellStyle name="@_9월-12월_PULL  LIST-1 (2004년)_Book1_PULL  LIST-1 (2005년)_원가인하9월30일_PULL  LIST-1 (2006년)" xfId="639"/>
    <cellStyle name="@_9월-12월_PULL  LIST-1 (2004년)_Book1_PULL  LIST-1 (2005년)_원가인하9월30일_PULL  LIST-1 (2006년)_PULL  LIST-1 (2006년)" xfId="640"/>
    <cellStyle name="@_9월-12월_PULL  LIST-1 (2004년)_Book1_PULL  LIST-1 (2005년)_원가인하9월30일_PULL  LIST-1 (2006년)_PULL  LIST-1 (2006년)_ PULL  LIST-1 (2007년)" xfId="641"/>
    <cellStyle name="@_9월-12월_PULL  LIST-1 (2004년)_Book1_PULL  LIST-1 (2006년)" xfId="642"/>
    <cellStyle name="@_9월-12월_PULL  LIST-1 (2004년)_Book1_PULL  LIST-1 (2006년)_PULL  LIST-1 (2006년)" xfId="643"/>
    <cellStyle name="@_9월-12월_PULL  LIST-1 (2004년)_Book1_PULL  LIST-1 (2006년)_PULL  LIST-1 (2006년)_ PULL  LIST-1 (2007년)" xfId="644"/>
    <cellStyle name="@_9월-12월_PULL  LIST-1 (2004년)_PULL  LIST-1 (2004년)" xfId="645"/>
    <cellStyle name="@_9월-12월_PULL  LIST-1 (2004년)_PULL  LIST-1 (2004년)_ PULL  LIST-1 (2007년)" xfId="646"/>
    <cellStyle name="@_9월-12월_PULL  LIST-1 (2004년)_PULL  LIST-1 (2004년)_PULL  LIST-1 (2004년)" xfId="647"/>
    <cellStyle name="@_9월-12월_PULL  LIST-1 (2004년)_PULL  LIST-1 (2004년)_PULL  LIST-1 (2004년)_Book1" xfId="648"/>
    <cellStyle name="@_9월-12월_PULL  LIST-1 (2004년)_PULL  LIST-1 (2004년)_PULL  LIST-1 (2004년)_Book1_ PULL  LIST-1 (2007년)" xfId="649"/>
    <cellStyle name="@_9월-12월_PULL  LIST-1 (2004년)_PULL  LIST-1 (2004년)_PULL  LIST-1 (2004년)_Book1_PULL  LIST-1 (2005년)" xfId="650"/>
    <cellStyle name="@_9월-12월_PULL  LIST-1 (2004년)_PULL  LIST-1 (2004년)_PULL  LIST-1 (2004년)_Book1_PULL  LIST-1 (2005년)_PULL  LIST-1 (2005년)" xfId="651"/>
    <cellStyle name="@_9월-12월_PULL  LIST-1 (2004년)_PULL  LIST-1 (2004년)_PULL  LIST-1 (2004년)_Book1_PULL  LIST-1 (2005년)_PULL  LIST-1 (2005년)_ PULL  LIST-1 (2007년)" xfId="652"/>
    <cellStyle name="@_9월-12월_PULL  LIST-1 (2004년)_PULL  LIST-1 (2004년)_PULL  LIST-1 (2004년)_Book1_PULL  LIST-1 (2005년)_PULL  LIST-1 (2005년)_PULL  LIST-1 (2006년)" xfId="653"/>
    <cellStyle name="@_9월-12월_PULL  LIST-1 (2004년)_PULL  LIST-1 (2004년)_PULL  LIST-1 (2004년)_Book1_PULL  LIST-1 (2005년)_PULL  LIST-1 (2005년)_PULL  LIST-1 (2006년)_PULL  LIST-1 (2006년)" xfId="654"/>
    <cellStyle name="@_9월-12월_PULL  LIST-1 (2004년)_PULL  LIST-1 (2004년)_PULL  LIST-1 (2004년)_Book1_PULL  LIST-1 (2005년)_PULL  LIST-1 (2005년)_PULL  LIST-1 (2006년)_PULL  LIST-1 (2006년)_ PULL  LIST-1 (2007년)" xfId="655"/>
    <cellStyle name="@_9월-12월_PULL  LIST-1 (2004년)_PULL  LIST-1 (2004년)_PULL  LIST-1 (2004년)_Book1_PULL  LIST-1 (2005년)_PULL  LIST-1 (2006년)" xfId="656"/>
    <cellStyle name="@_9월-12월_PULL  LIST-1 (2004년)_PULL  LIST-1 (2004년)_PULL  LIST-1 (2004년)_Book1_PULL  LIST-1 (2005년)_PULL  LIST-1 (2006년)_ PULL  LIST-1 (2007년)" xfId="657"/>
    <cellStyle name="@_9월-12월_PULL  LIST-1 (2004년)_PULL  LIST-1 (2004년)_PULL  LIST-1 (2004년)_Book1_PULL  LIST-1 (2005년)_PULL  LIST-1 (2006년)_PULL  LIST-1 (2006년)" xfId="658"/>
    <cellStyle name="@_9월-12월_PULL  LIST-1 (2004년)_PULL  LIST-1 (2004년)_PULL  LIST-1 (2004년)_Book1_PULL  LIST-1 (2005년)_PULL  LIST-1 (2006년)_PULL  LIST-1 (2006년)_PULL  LIST-1 (2006년)" xfId="659"/>
    <cellStyle name="@_9월-12월_PULL  LIST-1 (2004년)_PULL  LIST-1 (2004년)_PULL  LIST-1 (2004년)_Book1_PULL  LIST-1 (2005년)_PULL  LIST-1 (2006년)_PULL  LIST-1 (2006년)_PULL  LIST-1 (2006년)_ PULL  LIST-1 (2007년)" xfId="660"/>
    <cellStyle name="@_9월-12월_PULL  LIST-1 (2004년)_PULL  LIST-1 (2004년)_PULL  LIST-1 (2004년)_Book1_PULL  LIST-1 (2005년)_원가인하9월30일" xfId="661"/>
    <cellStyle name="@_9월-12월_PULL  LIST-1 (2004년)_PULL  LIST-1 (2004년)_PULL  LIST-1 (2004년)_Book1_PULL  LIST-1 (2005년)_원가인하9월30일_ PULL  LIST-1 (2007년)" xfId="662"/>
    <cellStyle name="@_9월-12월_PULL  LIST-1 (2004년)_PULL  LIST-1 (2004년)_PULL  LIST-1 (2004년)_Book1_PULL  LIST-1 (2005년)_원가인하9월30일_PULL  LIST-1 (2006년)" xfId="663"/>
    <cellStyle name="@_9월-12월_PULL  LIST-1 (2004년)_PULL  LIST-1 (2004년)_PULL  LIST-1 (2004년)_Book1_PULL  LIST-1 (2005년)_원가인하9월30일_PULL  LIST-1 (2006년)_PULL  LIST-1 (2006년)" xfId="664"/>
    <cellStyle name="@_9월-12월_PULL  LIST-1 (2004년)_PULL  LIST-1 (2004년)_PULL  LIST-1 (2004년)_Book1_PULL  LIST-1 (2005년)_원가인하9월30일_PULL  LIST-1 (2006년)_PULL  LIST-1 (2006년)_ PULL  LIST-1 (2007년)" xfId="665"/>
    <cellStyle name="@_9월-12월_PULL  LIST-1 (2004년)_PULL  LIST-1 (2004년)_PULL  LIST-1 (2004년)_Book1_PULL  LIST-1 (2006년)" xfId="666"/>
    <cellStyle name="@_9월-12월_PULL  LIST-1 (2004년)_PULL  LIST-1 (2004년)_PULL  LIST-1 (2004년)_Book1_PULL  LIST-1 (2006년)_PULL  LIST-1 (2006년)" xfId="667"/>
    <cellStyle name="@_9월-12월_PULL  LIST-1 (2004년)_PULL  LIST-1 (2004년)_PULL  LIST-1 (2004년)_Book1_PULL  LIST-1 (2006년)_PULL  LIST-1 (2006년)_ PULL  LIST-1 (2007년)" xfId="668"/>
    <cellStyle name="@_9월-12월_PULL  LIST-1 (2004년)_PULL  LIST-1 (2004년)_PULL  LIST-1 (2004년)_PULL  LIST-1 (2005년)" xfId="669"/>
    <cellStyle name="@_9월-12월_PULL  LIST-1 (2004년)_PULL  LIST-1 (2004년)_PULL  LIST-1 (2004년)_PULL  LIST-1 (2005년)_ PULL  LIST-1 (2007년)" xfId="670"/>
    <cellStyle name="@_9월-12월_PULL  LIST-1 (2004년)_PULL  LIST-1 (2004년)_PULL  LIST-1 (2004년)_PULL  LIST-1 (2005년)_PULL  LIST-1 (2006년)" xfId="671"/>
    <cellStyle name="@_9월-12월_PULL  LIST-1 (2004년)_PULL  LIST-1 (2004년)_PULL  LIST-1 (2004년)_PULL  LIST-1 (2005년)_PULL  LIST-1 (2006년)_PULL  LIST-1 (2006년)" xfId="672"/>
    <cellStyle name="@_9월-12월_PULL  LIST-1 (2004년)_PULL  LIST-1 (2004년)_PULL  LIST-1 (2004년)_PULL  LIST-1 (2005년)_PULL  LIST-1 (2006년)_PULL  LIST-1 (2006년)_ PULL  LIST-1 (2007년)" xfId="673"/>
    <cellStyle name="@_9월-12월_PULL  LIST-1 (2004년)_PULL  LIST-1 (2004년)_PULL  LIST-1 (2004년)_PULL  LIST-1 (2006년)" xfId="674"/>
    <cellStyle name="@_9월-12월_PULL  LIST-1 (2004년)_PULL  LIST-1 (2004년)_PULL  LIST-1 (2004년)_PULL  LIST-1 (2006년)_ PULL  LIST-1 (2007년)" xfId="675"/>
    <cellStyle name="@_9월-12월_PULL  LIST-1 (2004년)_PULL  LIST-1 (2004년)_PULL  LIST-1 (2004년)_PULL  LIST-1 (2006년)_PULL  LIST-1 (2006년)" xfId="676"/>
    <cellStyle name="@_9월-12월_PULL  LIST-1 (2004년)_PULL  LIST-1 (2004년)_PULL  LIST-1 (2004년)_PULL  LIST-1 (2006년)_PULL  LIST-1 (2006년)_PULL  LIST-1 (2006년)" xfId="677"/>
    <cellStyle name="@_9월-12월_PULL  LIST-1 (2004년)_PULL  LIST-1 (2004년)_PULL  LIST-1 (2004년)_PULL  LIST-1 (2006년)_PULL  LIST-1 (2006년)_PULL  LIST-1 (2006년)_ PULL  LIST-1 (2007년)" xfId="678"/>
    <cellStyle name="@_9월-12월_PULL  LIST-1 (2004년)_PULL  LIST-1 (2004년)_PULL  LIST-1 (2004년)_원가인하9월30일" xfId="679"/>
    <cellStyle name="@_9월-12월_PULL  LIST-1 (2004년)_PULL  LIST-1 (2004년)_PULL  LIST-1 (2004년)_원가인하9월30일_ PULL  LIST-1 (2007년)" xfId="680"/>
    <cellStyle name="@_9월-12월_PULL  LIST-1 (2004년)_PULL  LIST-1 (2004년)_PULL  LIST-1 (2004년)_원가인하9월30일_PULL  LIST-1 (2006년)" xfId="681"/>
    <cellStyle name="@_9월-12월_PULL  LIST-1 (2004년)_PULL  LIST-1 (2004년)_PULL  LIST-1 (2004년)_원가인하9월30일_PULL  LIST-1 (2006년)_PULL  LIST-1 (2006년)" xfId="682"/>
    <cellStyle name="@_9월-12월_PULL  LIST-1 (2004년)_PULL  LIST-1 (2004년)_PULL  LIST-1 (2004년)_원가인하9월30일_PULL  LIST-1 (2006년)_PULL  LIST-1 (2006년)_ PULL  LIST-1 (2007년)" xfId="683"/>
    <cellStyle name="@_9월-12월_PULL  LIST-1 (2004년)_PULL  LIST-1 (2004년)_PULL  LIST-1 (2005년)" xfId="684"/>
    <cellStyle name="@_9월-12월_PULL  LIST-1 (2004년)_PULL  LIST-1 (2004년)_PULL  LIST-1 (2005년)_PULL  LIST-1 (2005년)" xfId="685"/>
    <cellStyle name="@_9월-12월_PULL  LIST-1 (2004년)_PULL  LIST-1 (2004년)_PULL  LIST-1 (2005년)_PULL  LIST-1 (2005년)_ PULL  LIST-1 (2007년)" xfId="686"/>
    <cellStyle name="@_9월-12월_PULL  LIST-1 (2004년)_PULL  LIST-1 (2004년)_PULL  LIST-1 (2005년)_PULL  LIST-1 (2005년)_PULL  LIST-1 (2006년)" xfId="687"/>
    <cellStyle name="@_9월-12월_PULL  LIST-1 (2004년)_PULL  LIST-1 (2004년)_PULL  LIST-1 (2005년)_PULL  LIST-1 (2005년)_PULL  LIST-1 (2006년)_PULL  LIST-1 (2006년)" xfId="688"/>
    <cellStyle name="@_9월-12월_PULL  LIST-1 (2004년)_PULL  LIST-1 (2004년)_PULL  LIST-1 (2005년)_PULL  LIST-1 (2005년)_PULL  LIST-1 (2006년)_PULL  LIST-1 (2006년)_ PULL  LIST-1 (2007년)" xfId="689"/>
    <cellStyle name="@_9월-12월_PULL  LIST-1 (2004년)_PULL  LIST-1 (2004년)_PULL  LIST-1 (2005년)_PULL  LIST-1 (2006년)" xfId="690"/>
    <cellStyle name="@_9월-12월_PULL  LIST-1 (2004년)_PULL  LIST-1 (2004년)_PULL  LIST-1 (2005년)_PULL  LIST-1 (2006년)_ PULL  LIST-1 (2007년)" xfId="691"/>
    <cellStyle name="@_9월-12월_PULL  LIST-1 (2004년)_PULL  LIST-1 (2004년)_PULL  LIST-1 (2005년)_PULL  LIST-1 (2006년)_PULL  LIST-1 (2006년)" xfId="692"/>
    <cellStyle name="@_9월-12월_PULL  LIST-1 (2004년)_PULL  LIST-1 (2004년)_PULL  LIST-1 (2005년)_PULL  LIST-1 (2006년)_PULL  LIST-1 (2006년)_PULL  LIST-1 (2006년)" xfId="693"/>
    <cellStyle name="@_9월-12월_PULL  LIST-1 (2004년)_PULL  LIST-1 (2004년)_PULL  LIST-1 (2005년)_PULL  LIST-1 (2006년)_PULL  LIST-1 (2006년)_PULL  LIST-1 (2006년)_ PULL  LIST-1 (2007년)" xfId="694"/>
    <cellStyle name="@_9월-12월_PULL  LIST-1 (2004년)_PULL  LIST-1 (2004년)_PULL  LIST-1 (2005년)_원가인하9월30일" xfId="695"/>
    <cellStyle name="@_9월-12월_PULL  LIST-1 (2004년)_PULL  LIST-1 (2004년)_PULL  LIST-1 (2005년)_원가인하9월30일_ PULL  LIST-1 (2007년)" xfId="696"/>
    <cellStyle name="@_9월-12월_PULL  LIST-1 (2004년)_PULL  LIST-1 (2004년)_PULL  LIST-1 (2005년)_원가인하9월30일_PULL  LIST-1 (2006년)" xfId="697"/>
    <cellStyle name="@_9월-12월_PULL  LIST-1 (2004년)_PULL  LIST-1 (2004년)_PULL  LIST-1 (2005년)_원가인하9월30일_PULL  LIST-1 (2006년)_PULL  LIST-1 (2006년)" xfId="698"/>
    <cellStyle name="@_9월-12월_PULL  LIST-1 (2004년)_PULL  LIST-1 (2004년)_PULL  LIST-1 (2005년)_원가인하9월30일_PULL  LIST-1 (2006년)_PULL  LIST-1 (2006년)_ PULL  LIST-1 (2007년)" xfId="699"/>
    <cellStyle name="@_9월-12월_PULL  LIST-1 (2004년)_PULL  LIST-1 (2004년)_PULL  LIST-1 (2006년)" xfId="700"/>
    <cellStyle name="@_9월-12월_PULL  LIST-1 (2004년)_PULL  LIST-1 (2004년)_PULL  LIST-1 (2006년)_PULL  LIST-1 (2006년)" xfId="701"/>
    <cellStyle name="@_9월-12월_PULL  LIST-1 (2004년)_PULL  LIST-1 (2004년)_PULL  LIST-1 (2006년)_PULL  LIST-1 (2006년)_ PULL  LIST-1 (2007년)" xfId="702"/>
    <cellStyle name="@_9월-12월_PULL  LIST-1 (2004년)_PULL  LIST-1 (2005년)" xfId="703"/>
    <cellStyle name="@_9월-12월_PULL  LIST-1 (2004년)_PULL  LIST-1 (2005년)_ PULL  LIST-1 (2007년)" xfId="704"/>
    <cellStyle name="@_9월-12월_PULL  LIST-1 (2004년)_PULL  LIST-1 (2005년)_PULL  LIST-1 (2006년)" xfId="705"/>
    <cellStyle name="@_9월-12월_PULL  LIST-1 (2004년)_PULL  LIST-1 (2005년)_PULL  LIST-1 (2006년)_PULL  LIST-1 (2006년)" xfId="706"/>
    <cellStyle name="@_9월-12월_PULL  LIST-1 (2004년)_PULL  LIST-1 (2005년)_PULL  LIST-1 (2006년)_PULL  LIST-1 (2006년)_ PULL  LIST-1 (2007년)" xfId="707"/>
    <cellStyle name="@_9월-12월_PULL  LIST-1 (2004년)_PULL  LIST-1 (2006년)" xfId="708"/>
    <cellStyle name="@_9월-12월_PULL  LIST-1 (2004년)_PULL  LIST-1 (2006년)_ PULL  LIST-1 (2007년)" xfId="709"/>
    <cellStyle name="@_9월-12월_PULL  LIST-1 (2004년)_PULL  LIST-1 (2006년)_PULL  LIST-1 (2006년)" xfId="710"/>
    <cellStyle name="@_9월-12월_PULL  LIST-1 (2004년)_PULL  LIST-1 (2006년)_PULL  LIST-1 (2006년)_PULL  LIST-1 (2006년)" xfId="711"/>
    <cellStyle name="@_9월-12월_PULL  LIST-1 (2004년)_PULL  LIST-1 (2006년)_PULL  LIST-1 (2006년)_PULL  LIST-1 (2006년)_ PULL  LIST-1 (2007년)" xfId="712"/>
    <cellStyle name="@_9월-12월_PULL  LIST-1 (2004년)_원가인하9월30일" xfId="713"/>
    <cellStyle name="@_9월-12월_PULL  LIST-1 (2004년)_원가인하9월30일_ PULL  LIST-1 (2007년)" xfId="714"/>
    <cellStyle name="@_9월-12월_PULL  LIST-1 (2004년)_원가인하9월30일_PULL  LIST-1 (2006년)" xfId="715"/>
    <cellStyle name="@_9월-12월_PULL  LIST-1 (2004년)_원가인하9월30일_PULL  LIST-1 (2006년)_PULL  LIST-1 (2006년)" xfId="716"/>
    <cellStyle name="@_9월-12월_PULL  LIST-1 (2004년)_원가인하9월30일_PULL  LIST-1 (2006년)_PULL  LIST-1 (2006년)_ PULL  LIST-1 (2007년)" xfId="717"/>
    <cellStyle name="@_9월-12월_PULL  LIST-1 (2005년)" xfId="718"/>
    <cellStyle name="@_9월-12월_PULL  LIST-1 (2005년)_PULL  LIST-1 (2005년)" xfId="719"/>
    <cellStyle name="@_9월-12월_PULL  LIST-1 (2005년)_PULL  LIST-1 (2005년)_ PULL  LIST-1 (2007년)" xfId="720"/>
    <cellStyle name="@_9월-12월_PULL  LIST-1 (2005년)_PULL  LIST-1 (2005년)_PULL  LIST-1 (2006년)" xfId="721"/>
    <cellStyle name="@_9월-12월_PULL  LIST-1 (2005년)_PULL  LIST-1 (2005년)_PULL  LIST-1 (2006년)_PULL  LIST-1 (2006년)" xfId="722"/>
    <cellStyle name="@_9월-12월_PULL  LIST-1 (2005년)_PULL  LIST-1 (2005년)_PULL  LIST-1 (2006년)_PULL  LIST-1 (2006년)_ PULL  LIST-1 (2007년)" xfId="723"/>
    <cellStyle name="@_9월-12월_PULL  LIST-1 (2005년)_PULL  LIST-1 (2006년)" xfId="724"/>
    <cellStyle name="@_9월-12월_PULL  LIST-1 (2005년)_PULL  LIST-1 (2006년)_ PULL  LIST-1 (2007년)" xfId="725"/>
    <cellStyle name="@_9월-12월_PULL  LIST-1 (2005년)_PULL  LIST-1 (2006년)_PULL  LIST-1 (2006년)" xfId="726"/>
    <cellStyle name="@_9월-12월_PULL  LIST-1 (2005년)_PULL  LIST-1 (2006년)_PULL  LIST-1 (2006년)_PULL  LIST-1 (2006년)" xfId="727"/>
    <cellStyle name="@_9월-12월_PULL  LIST-1 (2005년)_PULL  LIST-1 (2006년)_PULL  LIST-1 (2006년)_PULL  LIST-1 (2006년)_ PULL  LIST-1 (2007년)" xfId="728"/>
    <cellStyle name="@_9월-12월_PULL  LIST-1 (2005년)_원가인하9월30일" xfId="729"/>
    <cellStyle name="@_9월-12월_PULL  LIST-1 (2005년)_원가인하9월30일_ PULL  LIST-1 (2007년)" xfId="730"/>
    <cellStyle name="@_9월-12월_PULL  LIST-1 (2005년)_원가인하9월30일_PULL  LIST-1 (2006년)" xfId="731"/>
    <cellStyle name="@_9월-12월_PULL  LIST-1 (2005년)_원가인하9월30일_PULL  LIST-1 (2006년)_PULL  LIST-1 (2006년)" xfId="732"/>
    <cellStyle name="@_9월-12월_PULL  LIST-1 (2005년)_원가인하9월30일_PULL  LIST-1 (2006년)_PULL  LIST-1 (2006년)_ PULL  LIST-1 (2007년)" xfId="733"/>
    <cellStyle name="@_9월-12월_PULL  LIST-1 (2006년)" xfId="734"/>
    <cellStyle name="@_9월-12월_PULL  LIST-1 (2006년)_PULL  LIST-1 (2006년)" xfId="735"/>
    <cellStyle name="@_9월-12월_PULL  LIST-1 (2006년)_PULL  LIST-1 (2006년)_ PULL  LIST-1 (2007년)" xfId="736"/>
    <cellStyle name="@_Book1" xfId="737"/>
    <cellStyle name="@_Book1_ PULL  LIST-1 (2007년)" xfId="738"/>
    <cellStyle name="@_Book1_PULL  LIST-1 (2005년)" xfId="739"/>
    <cellStyle name="@_Book1_PULL  LIST-1 (2005년)_PULL  LIST-1 (2005년)" xfId="740"/>
    <cellStyle name="@_Book1_PULL  LIST-1 (2005년)_PULL  LIST-1 (2005년)_ PULL  LIST-1 (2007년)" xfId="741"/>
    <cellStyle name="@_Book1_PULL  LIST-1 (2005년)_PULL  LIST-1 (2005년)_PULL  LIST-1 (2006년)" xfId="742"/>
    <cellStyle name="@_Book1_PULL  LIST-1 (2005년)_PULL  LIST-1 (2005년)_PULL  LIST-1 (2006년)_PULL  LIST-1 (2006년)" xfId="743"/>
    <cellStyle name="@_Book1_PULL  LIST-1 (2005년)_PULL  LIST-1 (2005년)_PULL  LIST-1 (2006년)_PULL  LIST-1 (2006년)_ PULL  LIST-1 (2007년)" xfId="744"/>
    <cellStyle name="@_Book1_PULL  LIST-1 (2005년)_PULL  LIST-1 (2006년)" xfId="745"/>
    <cellStyle name="@_Book1_PULL  LIST-1 (2005년)_PULL  LIST-1 (2006년)_ PULL  LIST-1 (2007년)" xfId="746"/>
    <cellStyle name="@_Book1_PULL  LIST-1 (2005년)_PULL  LIST-1 (2006년)_PULL  LIST-1 (2006년)" xfId="747"/>
    <cellStyle name="@_Book1_PULL  LIST-1 (2005년)_PULL  LIST-1 (2006년)_PULL  LIST-1 (2006년)_PULL  LIST-1 (2006년)" xfId="748"/>
    <cellStyle name="@_Book1_PULL  LIST-1 (2005년)_PULL  LIST-1 (2006년)_PULL  LIST-1 (2006년)_PULL  LIST-1 (2006년)_ PULL  LIST-1 (2007년)" xfId="749"/>
    <cellStyle name="@_Book1_PULL  LIST-1 (2005년)_원가인하9월30일" xfId="750"/>
    <cellStyle name="@_Book1_PULL  LIST-1 (2005년)_원가인하9월30일_ PULL  LIST-1 (2007년)" xfId="751"/>
    <cellStyle name="@_Book1_PULL  LIST-1 (2005년)_원가인하9월30일_ PULL  LIST-1 (2007년) 2" xfId="752"/>
    <cellStyle name="@_Book1_PULL  LIST-1 (2005년)_원가인하9월30일_ PULL  LIST-1 (2007년)_SM321  CON'V (전면우좌)견적서(070123)" xfId="753"/>
    <cellStyle name="@_Book1_PULL  LIST-1 (2005년)_원가인하9월30일_PULL  LIST-1 (2006년)" xfId="754"/>
    <cellStyle name="@_Book1_PULL  LIST-1 (2005년)_원가인하9월30일_PULL  LIST-1 (2006년)_PULL  LIST-1 (2006년)" xfId="755"/>
    <cellStyle name="@_Book1_PULL  LIST-1 (2005년)_원가인하9월30일_PULL  LIST-1 (2006년)_PULL  LIST-1 (2006년)_ PULL  LIST-1 (2007년)" xfId="756"/>
    <cellStyle name="@_Book1_PULL  LIST-1 (2006년)" xfId="757"/>
    <cellStyle name="@_Book1_PULL  LIST-1 (2006년)_PULL  LIST-1 (2006년)" xfId="758"/>
    <cellStyle name="@_Book1_PULL  LIST-1 (2006년)_PULL  LIST-1 (2006년)_ PULL  LIST-1 (2007년)" xfId="759"/>
    <cellStyle name="@_laroux" xfId="760"/>
    <cellStyle name="@_laroux_2" xfId="761"/>
    <cellStyle name="@_laroux_2_가속기 상세설계 품평회 자료_PM_060424" xfId="762"/>
    <cellStyle name="@_laroux_ACP-1~1_총괄표 " xfId="763"/>
    <cellStyle name="@_laroux_ACP-1~1_총괄표 _2.외주관리_가속기" xfId="764"/>
    <cellStyle name="@_laroux_ACP-1~1_총괄표 _외주관리_가속기" xfId="765"/>
    <cellStyle name="@_laroux_M-SAM_총괄표 " xfId="766"/>
    <cellStyle name="@_laroux_M-SAM_총괄표 _2.외주관리_가속기" xfId="767"/>
    <cellStyle name="@_laroux_M-SAM_총괄표 _외주관리_가속기" xfId="768"/>
    <cellStyle name="@_laroux_간접재료비(총투입)_총괄표 " xfId="769"/>
    <cellStyle name="@_laroux_간접재료비(총투입)_총괄표 _2.외주관리_가속기" xfId="770"/>
    <cellStyle name="@_laroux_간접재료비(총투입)_총괄표 _외주관리_가속기" xfId="771"/>
    <cellStyle name="@_laroux_간접재료비단가_'01년 양산(1차 업체제출가)_총괄표 " xfId="772"/>
    <cellStyle name="@_laroux_간접재료비단가_'01년 양산(1차 업체제출가)_총괄표 _2.외주관리_가속기" xfId="773"/>
    <cellStyle name="@_laroux_간접재료비단가_'01년 양산(1차 업체제출가)_총괄표 _외주관리_가속기" xfId="774"/>
    <cellStyle name="@_laroux_간접재료비단가_계약원가(제출)_총괄표 " xfId="775"/>
    <cellStyle name="@_laroux_간접재료비단가_계약원가(제출)_총괄표 _2.외주관리_가속기" xfId="776"/>
    <cellStyle name="@_laroux_간접재료비단가_계약원가(제출)_총괄표 _외주관리_가속기" xfId="777"/>
    <cellStyle name="@_laroux_간접재료비단가_변동(제출)_총괄표 " xfId="778"/>
    <cellStyle name="@_laroux_간접재료비단가_변동(제출)_총괄표 _2.외주관리_가속기" xfId="779"/>
    <cellStyle name="@_laroux_간접재료비단가_변동(제출)_총괄표 _외주관리_가속기" xfId="780"/>
    <cellStyle name="@_laroux_간접재료비단가_총괄표 " xfId="781"/>
    <cellStyle name="@_laroux_간접재료비단가_총괄표 _2.외주관리_가속기" xfId="782"/>
    <cellStyle name="@_laroux_간접재료비단가_총괄표 _외주관리_가속기" xfId="783"/>
    <cellStyle name="@_laroux_감가상각비_'01년 양산(1차 업체제출가)_총괄표 " xfId="784"/>
    <cellStyle name="@_laroux_감가상각비_'01년 양산(1차 업체제출가)_총괄표 _2.외주관리_가속기" xfId="785"/>
    <cellStyle name="@_laroux_감가상각비_'01년 양산(1차 업체제출가)_총괄표 _외주관리_가속기" xfId="786"/>
    <cellStyle name="@_laroux_감가상각비_계약원가(제출)_총괄표 " xfId="787"/>
    <cellStyle name="@_laroux_감가상각비_계약원가(제출)_총괄표 _2.외주관리_가속기" xfId="788"/>
    <cellStyle name="@_laroux_감가상각비_계약원가(제출)_총괄표 _외주관리_가속기" xfId="789"/>
    <cellStyle name="@_laroux_감가상각비_변동(제출)_총괄표 " xfId="790"/>
    <cellStyle name="@_laroux_감가상각비_변동(제출)_총괄표 _2.외주관리_가속기" xfId="791"/>
    <cellStyle name="@_laroux_감가상각비_변동(제출)_총괄표 _외주관리_가속기" xfId="792"/>
    <cellStyle name="@_laroux_감가상각비_총괄표 " xfId="793"/>
    <cellStyle name="@_laroux_감가상각비_총괄표 _2.외주관리_가속기" xfId="794"/>
    <cellStyle name="@_laroux_감가상각비_총괄표 _외주관리_가속기" xfId="795"/>
    <cellStyle name="@_laroux_갑지_총괄표 " xfId="796"/>
    <cellStyle name="@_laroux_갑지_총괄표 _2.외주관리_가속기" xfId="797"/>
    <cellStyle name="@_laroux_갑지_총괄표 _외주관리_가속기" xfId="798"/>
    <cellStyle name="@_laroux_갑지A_총괄표 " xfId="799"/>
    <cellStyle name="@_laroux_갑지A_총괄표 _2.외주관리_가속기" xfId="800"/>
    <cellStyle name="@_laroux_갑지A_총괄표 _외주관리_가속기" xfId="801"/>
    <cellStyle name="@_laroux_국내재료비_총괄표 " xfId="802"/>
    <cellStyle name="@_laroux_국내재료비_총괄표 _2.외주관리_가속기" xfId="803"/>
    <cellStyle name="@_laroux_국내재료비_총괄표 _외주관리_가속기" xfId="804"/>
    <cellStyle name="@_laroux_내열재 I_갑지_총괄표 " xfId="805"/>
    <cellStyle name="@_laroux_내열재 I_갑지_총괄표 _2.외주관리_가속기" xfId="806"/>
    <cellStyle name="@_laroux_내열재 I_갑지_총괄표 _외주관리_가속기" xfId="807"/>
    <cellStyle name="@_laroux_내열재 I_계약원가(제출)_총괄표 " xfId="808"/>
    <cellStyle name="@_laroux_내열재 I_계약원가(제출)_총괄표 _2.외주관리_가속기" xfId="809"/>
    <cellStyle name="@_laroux_내열재 I_계약원가(제출)_총괄표 _외주관리_가속기" xfId="810"/>
    <cellStyle name="@_laroux_내열재 I_내열재 I_갑지_총괄표 " xfId="811"/>
    <cellStyle name="@_laroux_내열재 I_내열재 I_갑지_총괄표 _2.외주관리_가속기" xfId="812"/>
    <cellStyle name="@_laroux_내열재 I_내열재 I_갑지_총괄표 _외주관리_가속기" xfId="813"/>
    <cellStyle name="@_laroux_내열재 I_내열재 I_계약원가(제출)_총괄표 " xfId="814"/>
    <cellStyle name="@_laroux_내열재 I_내열재 I_계약원가(제출)_총괄표 _2.외주관리_가속기" xfId="815"/>
    <cellStyle name="@_laroux_내열재 I_내열재 I_계약원가(제출)_총괄표 _외주관리_가속기" xfId="816"/>
    <cellStyle name="@_laroux_내열재 I_내열재 I_총괄표 " xfId="817"/>
    <cellStyle name="@_laroux_내열재 I_내열재 I_총괄표 _2.외주관리_가속기" xfId="818"/>
    <cellStyle name="@_laroux_내열재 I_내열재 I_총괄표 _외주관리_가속기" xfId="819"/>
    <cellStyle name="@_laroux_내열재 I_내열재 I_추산서_총괄표 " xfId="820"/>
    <cellStyle name="@_laroux_내열재 I_내열재 I_추산서_총괄표 _2.외주관리_가속기" xfId="821"/>
    <cellStyle name="@_laroux_내열재 I_내열재 I_추산서_총괄표 _외주관리_가속기" xfId="822"/>
    <cellStyle name="@_laroux_내열재 I_총괄표 " xfId="823"/>
    <cellStyle name="@_laroux_내열재 I_총괄표 _2.외주관리_가속기" xfId="824"/>
    <cellStyle name="@_laroux_내열재 I_총괄표 _외주관리_가속기" xfId="825"/>
    <cellStyle name="@_laroux_내열재 I_추산서_총괄표 " xfId="826"/>
    <cellStyle name="@_laroux_내열재 I_추산서_총괄표 _2.외주관리_가속기" xfId="827"/>
    <cellStyle name="@_laroux_내열재 I_추산서_총괄표 _외주관리_가속기" xfId="828"/>
    <cellStyle name="@_laroux_수입재료비_총괄표 " xfId="829"/>
    <cellStyle name="@_laroux_수입재료비_총괄표 _2.외주관리_가속기" xfId="830"/>
    <cellStyle name="@_laroux_수입재료비_총괄표 _외주관리_가속기" xfId="831"/>
    <cellStyle name="@_laroux_시제제작(제출)_총괄표 " xfId="832"/>
    <cellStyle name="@_laroux_시제제작(제출)_총괄표 _2.외주관리_가속기" xfId="833"/>
    <cellStyle name="@_laroux_시제제작(제출)_총괄표 _외주관리_가속기" xfId="834"/>
    <cellStyle name="@_laroux_외주가공비_총괄표 " xfId="835"/>
    <cellStyle name="@_laroux_외주가공비_총괄표 _2.외주관리_가속기" xfId="836"/>
    <cellStyle name="@_laroux_외주가공비_총괄표 _외주관리_가속기" xfId="837"/>
    <cellStyle name="@_laroux_원가(K)_'01년 양산(1차 결재)_총괄표 " xfId="838"/>
    <cellStyle name="@_laroux_원가(K)_'01년 양산(1차 결재)_총괄표 _2.외주관리_가속기" xfId="839"/>
    <cellStyle name="@_laroux_원가(K)_'01년 양산(1차 결재)_총괄표 _외주관리_가속기" xfId="840"/>
    <cellStyle name="@_laroux_원가(K)_'01년 양산(1차 업체제출가)_총괄표 " xfId="841"/>
    <cellStyle name="@_laroux_원가(K)_'01년 양산(1차 업체제출가)_총괄표 _2.외주관리_가속기" xfId="842"/>
    <cellStyle name="@_laroux_원가(K)_'01년 양산(1차 업체제출가)_총괄표 _외주관리_가속기" xfId="843"/>
    <cellStyle name="@_laroux_원가(K)_M-SAM_총괄표 " xfId="844"/>
    <cellStyle name="@_laroux_원가(K)_M-SAM_총괄표 _2.외주관리_가속기" xfId="845"/>
    <cellStyle name="@_laroux_원가(K)_M-SAM_총괄표 _외주관리_가속기" xfId="846"/>
    <cellStyle name="@_laroux_원가(K)_간접재료비-1_총괄표 " xfId="847"/>
    <cellStyle name="@_laroux_원가(K)_간접재료비-1_총괄표 _2.외주관리_가속기" xfId="848"/>
    <cellStyle name="@_laroux_원가(K)_간접재료비-1_총괄표 _외주관리_가속기" xfId="849"/>
    <cellStyle name="@_laroux_원가(K)_감가상각비_총괄표 " xfId="850"/>
    <cellStyle name="@_laroux_원가(K)_감가상각비_총괄표 _2.외주관리_가속기" xfId="851"/>
    <cellStyle name="@_laroux_원가(K)_감가상각비_총괄표 _외주관리_가속기" xfId="852"/>
    <cellStyle name="@_laroux_원가(K)_갑지_총괄표 " xfId="853"/>
    <cellStyle name="@_laroux_원가(K)_갑지_총괄표 _2.외주관리_가속기" xfId="854"/>
    <cellStyle name="@_laroux_원가(K)_갑지_총괄표 _외주관리_가속기" xfId="855"/>
    <cellStyle name="@_laroux_원가(K)_계약원가(제출)_총괄표 " xfId="856"/>
    <cellStyle name="@_laroux_원가(K)_계약원가(제출)_총괄표 _2.외주관리_가속기" xfId="857"/>
    <cellStyle name="@_laroux_원가(K)_계약원가(제출)_총괄표 _외주관리_가속기" xfId="858"/>
    <cellStyle name="@_laroux_원가(K)_국내재료비_총괄표 " xfId="859"/>
    <cellStyle name="@_laroux_원가(K)_국내재료비_총괄표 _2.외주관리_가속기" xfId="860"/>
    <cellStyle name="@_laroux_원가(K)_국내재료비_총괄표 _외주관리_가속기" xfId="861"/>
    <cellStyle name="@_laroux_원가(K)_내열재 I_갑지_총괄표 " xfId="862"/>
    <cellStyle name="@_laroux_원가(K)_내열재 I_갑지_총괄표 _2.외주관리_가속기" xfId="863"/>
    <cellStyle name="@_laroux_원가(K)_내열재 I_갑지_총괄표 _외주관리_가속기" xfId="864"/>
    <cellStyle name="@_laroux_원가(K)_내열재 I_계약원가(제출)_총괄표 " xfId="865"/>
    <cellStyle name="@_laroux_원가(K)_내열재 I_계약원가(제출)_총괄표 _2.외주관리_가속기" xfId="866"/>
    <cellStyle name="@_laroux_원가(K)_내열재 I_계약원가(제출)_총괄표 _외주관리_가속기" xfId="867"/>
    <cellStyle name="@_laroux_원가(K)_내열재 I_내열재 I_갑지_총괄표 " xfId="868"/>
    <cellStyle name="@_laroux_원가(K)_내열재 I_내열재 I_갑지_총괄표 _2.외주관리_가속기" xfId="869"/>
    <cellStyle name="@_laroux_원가(K)_내열재 I_내열재 I_갑지_총괄표 _외주관리_가속기" xfId="870"/>
    <cellStyle name="@_laroux_원가(K)_내열재 I_내열재 I_계약원가(제출)_총괄표 " xfId="871"/>
    <cellStyle name="@_laroux_원가(K)_내열재 I_내열재 I_계약원가(제출)_총괄표 _2.외주관리_가속기" xfId="872"/>
    <cellStyle name="@_laroux_원가(K)_내열재 I_내열재 I_계약원가(제출)_총괄표 _외주관리_가속기" xfId="873"/>
    <cellStyle name="@_laroux_원가(K)_내열재 I_내열재 I_총괄표 " xfId="874"/>
    <cellStyle name="@_laroux_원가(K)_내열재 I_내열재 I_총괄표 _2.외주관리_가속기" xfId="875"/>
    <cellStyle name="@_laroux_원가(K)_내열재 I_내열재 I_총괄표 _외주관리_가속기" xfId="876"/>
    <cellStyle name="@_laroux_원가(K)_내열재 I_내열재 I_추산서_총괄표 " xfId="877"/>
    <cellStyle name="@_laroux_원가(K)_내열재 I_내열재 I_추산서_총괄표 _2.외주관리_가속기" xfId="878"/>
    <cellStyle name="@_laroux_원가(K)_내열재 I_내열재 I_추산서_총괄표 _외주관리_가속기" xfId="879"/>
    <cellStyle name="@_laroux_원가(K)_내열재 I_총괄표 " xfId="880"/>
    <cellStyle name="@_laroux_원가(K)_내열재 I_총괄표 _2.외주관리_가속기" xfId="881"/>
    <cellStyle name="@_laroux_원가(K)_내열재 I_총괄표 _외주관리_가속기" xfId="882"/>
    <cellStyle name="@_laroux_원가(K)_내열재 I_추산서_총괄표 " xfId="883"/>
    <cellStyle name="@_laroux_원가(K)_내열재 I_추산서_총괄표 _2.외주관리_가속기" xfId="884"/>
    <cellStyle name="@_laroux_원가(K)_내열재 I_추산서_총괄표 _외주관리_가속기" xfId="885"/>
    <cellStyle name="@_laroux_원가(K)_변동(제출)_총괄표 " xfId="886"/>
    <cellStyle name="@_laroux_원가(K)_변동(제출)_총괄표 _2.외주관리_가속기" xfId="887"/>
    <cellStyle name="@_laroux_원가(K)_변동(제출)_총괄표 _외주관리_가속기" xfId="888"/>
    <cellStyle name="@_laroux_원가(K)_수입재료비_총괄표 " xfId="889"/>
    <cellStyle name="@_laroux_원가(K)_수입재료비_총괄표 _2.외주관리_가속기" xfId="890"/>
    <cellStyle name="@_laroux_원가(K)_수입재료비_총괄표 _외주관리_가속기" xfId="891"/>
    <cellStyle name="@_laroux_원가(K)_직접노무비_총괄표 " xfId="892"/>
    <cellStyle name="@_laroux_원가(K)_직접노무비_총괄표 _2.외주관리_가속기" xfId="893"/>
    <cellStyle name="@_laroux_원가(K)_직접노무비_총괄표 _외주관리_가속기" xfId="894"/>
    <cellStyle name="@_laroux_원가(K)_총괄표 " xfId="895"/>
    <cellStyle name="@_laroux_원가(K)_총괄표 _2.외주관리_가속기" xfId="896"/>
    <cellStyle name="@_laroux_원가(K)_총괄표 _외주관리_가속기" xfId="897"/>
    <cellStyle name="@_laroux_원가(K)_추산서_총괄표 " xfId="898"/>
    <cellStyle name="@_laroux_원가(K)_추산서_총괄표 _2.외주관리_가속기" xfId="899"/>
    <cellStyle name="@_laroux_원가(K)_추산서_총괄표 _외주관리_가속기" xfId="900"/>
    <cellStyle name="@_laroux_원가(K)_함대함발사대시제_총괄표 " xfId="901"/>
    <cellStyle name="@_laroux_원가(K)_함대함발사대시제_총괄표 _2.외주관리_가속기" xfId="902"/>
    <cellStyle name="@_laroux_원가(K)_함대함발사대시제_총괄표 _외주관리_가속기" xfId="903"/>
    <cellStyle name="@_laroux_원가(LCC)2_'01년 양산(1차 결재)_총괄표 " xfId="904"/>
    <cellStyle name="@_laroux_원가(LCC)2_'01년 양산(1차 결재)_총괄표 _2.외주관리_가속기" xfId="905"/>
    <cellStyle name="@_laroux_원가(LCC)2_'01년 양산(1차 결재)_총괄표 _외주관리_가속기" xfId="906"/>
    <cellStyle name="@_laroux_원가(LCC)2_'01년 양산(1차 업체제출가)_총괄표 " xfId="907"/>
    <cellStyle name="@_laroux_원가(LCC)2_'01년 양산(1차 업체제출가)_총괄표 _2.외주관리_가속기" xfId="908"/>
    <cellStyle name="@_laroux_원가(LCC)2_'01년 양산(1차 업체제출가)_총괄표 _외주관리_가속기" xfId="909"/>
    <cellStyle name="@_laroux_원가(LCC)2_M-SAM_총괄표 " xfId="910"/>
    <cellStyle name="@_laroux_원가(LCC)2_M-SAM_총괄표 _2.외주관리_가속기" xfId="911"/>
    <cellStyle name="@_laroux_원가(LCC)2_M-SAM_총괄표 _외주관리_가속기" xfId="912"/>
    <cellStyle name="@_laroux_원가(LCC)2_간접재료비-1_총괄표 " xfId="913"/>
    <cellStyle name="@_laroux_원가(LCC)2_간접재료비-1_총괄표 _2.외주관리_가속기" xfId="914"/>
    <cellStyle name="@_laroux_원가(LCC)2_간접재료비-1_총괄표 _외주관리_가속기" xfId="915"/>
    <cellStyle name="@_laroux_원가(LCC)2_감가상각비_총괄표 " xfId="916"/>
    <cellStyle name="@_laroux_원가(LCC)2_감가상각비_총괄표 _2.외주관리_가속기" xfId="917"/>
    <cellStyle name="@_laroux_원가(LCC)2_감가상각비_총괄표 _외주관리_가속기" xfId="918"/>
    <cellStyle name="@_laroux_원가(LCC)2_갑지_총괄표 " xfId="919"/>
    <cellStyle name="@_laroux_원가(LCC)2_갑지_총괄표 _2.외주관리_가속기" xfId="920"/>
    <cellStyle name="@_laroux_원가(LCC)2_갑지_총괄표 _외주관리_가속기" xfId="921"/>
    <cellStyle name="@_laroux_원가(LCC)2_계약원가(제출)_총괄표 " xfId="922"/>
    <cellStyle name="@_laroux_원가(LCC)2_계약원가(제출)_총괄표 _2.외주관리_가속기" xfId="923"/>
    <cellStyle name="@_laroux_원가(LCC)2_계약원가(제출)_총괄표 _외주관리_가속기" xfId="924"/>
    <cellStyle name="@_laroux_원가(LCC)2_국내재료비_총괄표 " xfId="925"/>
    <cellStyle name="@_laroux_원가(LCC)2_국내재료비_총괄표 _2.외주관리_가속기" xfId="926"/>
    <cellStyle name="@_laroux_원가(LCC)2_국내재료비_총괄표 _외주관리_가속기" xfId="927"/>
    <cellStyle name="@_laroux_원가(LCC)2_내열재 I_갑지_총괄표 " xfId="928"/>
    <cellStyle name="@_laroux_원가(LCC)2_내열재 I_갑지_총괄표 _2.외주관리_가속기" xfId="929"/>
    <cellStyle name="@_laroux_원가(LCC)2_내열재 I_갑지_총괄표 _외주관리_가속기" xfId="930"/>
    <cellStyle name="@_laroux_원가(LCC)2_내열재 I_계약원가(제출)_총괄표 " xfId="931"/>
    <cellStyle name="@_laroux_원가(LCC)2_내열재 I_계약원가(제출)_총괄표 _2.외주관리_가속기" xfId="932"/>
    <cellStyle name="@_laroux_원가(LCC)2_내열재 I_계약원가(제출)_총괄표 _외주관리_가속기" xfId="933"/>
    <cellStyle name="@_laroux_원가(LCC)2_내열재 I_내열재 I_갑지_총괄표 " xfId="934"/>
    <cellStyle name="@_laroux_원가(LCC)2_내열재 I_내열재 I_갑지_총괄표 _2.외주관리_가속기" xfId="935"/>
    <cellStyle name="@_laroux_원가(LCC)2_내열재 I_내열재 I_갑지_총괄표 _외주관리_가속기" xfId="936"/>
    <cellStyle name="@_laroux_원가(LCC)2_내열재 I_내열재 I_계약원가(제출)_총괄표 " xfId="937"/>
    <cellStyle name="@_laroux_원가(LCC)2_내열재 I_내열재 I_계약원가(제출)_총괄표 _2.외주관리_가속기" xfId="938"/>
    <cellStyle name="@_laroux_원가(LCC)2_내열재 I_내열재 I_계약원가(제출)_총괄표 _외주관리_가속기" xfId="939"/>
    <cellStyle name="@_laroux_원가(LCC)2_내열재 I_내열재 I_총괄표 " xfId="940"/>
    <cellStyle name="@_laroux_원가(LCC)2_내열재 I_내열재 I_총괄표 _2.외주관리_가속기" xfId="941"/>
    <cellStyle name="@_laroux_원가(LCC)2_내열재 I_내열재 I_총괄표 _외주관리_가속기" xfId="942"/>
    <cellStyle name="@_laroux_원가(LCC)2_내열재 I_내열재 I_추산서_총괄표 " xfId="943"/>
    <cellStyle name="@_laroux_원가(LCC)2_내열재 I_내열재 I_추산서_총괄표 _2.외주관리_가속기" xfId="944"/>
    <cellStyle name="@_laroux_원가(LCC)2_내열재 I_내열재 I_추산서_총괄표 _외주관리_가속기" xfId="945"/>
    <cellStyle name="@_laroux_원가(LCC)2_내열재 I_총괄표 " xfId="946"/>
    <cellStyle name="@_laroux_원가(LCC)2_내열재 I_총괄표 _2.외주관리_가속기" xfId="947"/>
    <cellStyle name="@_laroux_원가(LCC)2_내열재 I_총괄표 _외주관리_가속기" xfId="948"/>
    <cellStyle name="@_laroux_원가(LCC)2_내열재 I_추산서_총괄표 " xfId="949"/>
    <cellStyle name="@_laroux_원가(LCC)2_내열재 I_추산서_총괄표 _2.외주관리_가속기" xfId="950"/>
    <cellStyle name="@_laroux_원가(LCC)2_내열재 I_추산서_총괄표 _외주관리_가속기" xfId="951"/>
    <cellStyle name="@_laroux_원가(LCC)2_변동(제출)_총괄표 " xfId="952"/>
    <cellStyle name="@_laroux_원가(LCC)2_변동(제출)_총괄표 _2.외주관리_가속기" xfId="953"/>
    <cellStyle name="@_laroux_원가(LCC)2_변동(제출)_총괄표 _외주관리_가속기" xfId="954"/>
    <cellStyle name="@_laroux_원가(LCC)2_수입재료비_총괄표 " xfId="955"/>
    <cellStyle name="@_laroux_원가(LCC)2_수입재료비_총괄표 _2.외주관리_가속기" xfId="956"/>
    <cellStyle name="@_laroux_원가(LCC)2_수입재료비_총괄표 _외주관리_가속기" xfId="957"/>
    <cellStyle name="@_laroux_원가(LCC)2_직접노무비_총괄표 " xfId="958"/>
    <cellStyle name="@_laroux_원가(LCC)2_직접노무비_총괄표 _2.외주관리_가속기" xfId="959"/>
    <cellStyle name="@_laroux_원가(LCC)2_직접노무비_총괄표 _외주관리_가속기" xfId="960"/>
    <cellStyle name="@_laroux_원가(LCC)2_총괄표 " xfId="961"/>
    <cellStyle name="@_laroux_원가(LCC)2_총괄표 _2.외주관리_가속기" xfId="962"/>
    <cellStyle name="@_laroux_원가(LCC)2_총괄표 _외주관리_가속기" xfId="963"/>
    <cellStyle name="@_laroux_원가(LCC)2_추산서_총괄표 " xfId="964"/>
    <cellStyle name="@_laroux_원가(LCC)2_추산서_총괄표 _2.외주관리_가속기" xfId="965"/>
    <cellStyle name="@_laroux_원가(LCC)2_추산서_총괄표 _외주관리_가속기" xfId="966"/>
    <cellStyle name="@_laroux_원가(LCC)2_함대함발사대시제_총괄표 " xfId="967"/>
    <cellStyle name="@_laroux_원가(LCC)2_함대함발사대시제_총괄표 _2.외주관리_가속기" xfId="968"/>
    <cellStyle name="@_laroux_원가(LCC)2_함대함발사대시제_총괄표 _외주관리_가속기" xfId="969"/>
    <cellStyle name="@_laroux_제트베인" xfId="970"/>
    <cellStyle name="@_laroux_제트베인_1" xfId="971"/>
    <cellStyle name="@_laroux_제트베인_1_#23,24윈터키트수정" xfId="972"/>
    <cellStyle name="@_laroux_제트베인_1_#23,24윈터키트수정_2.외주관리_가속기" xfId="973"/>
    <cellStyle name="@_laroux_제트베인_1_#23,24윈터키트수정_외주관리_가속기" xfId="974"/>
    <cellStyle name="@_laroux_제트베인_1_2.외주관리_가속기" xfId="975"/>
    <cellStyle name="@_laroux_제트베인_1_3-1.복합재 보강패널시편 외 2종제작" xfId="976"/>
    <cellStyle name="@_laroux_제트베인_1_3-1.복합재 보강패널시편 외 2종제작_#23,24윈터키트수정" xfId="977"/>
    <cellStyle name="@_laroux_제트베인_1_3-1.복합재 보강패널시편 외 2종제작_#23,24윈터키트수정_2.외주관리_가속기" xfId="978"/>
    <cellStyle name="@_laroux_제트베인_1_3-1.복합재 보강패널시편 외 2종제작_#23,24윈터키트수정_외주관리_가속기" xfId="979"/>
    <cellStyle name="@_laroux_제트베인_1_3-1.복합재 보강패널시편 외 2종제작_2.외주관리_가속기" xfId="980"/>
    <cellStyle name="@_laroux_제트베인_1_3-1.복합재 보강패널시편 외 2종제작_M-SAM노즐내열재(방산물자)" xfId="981"/>
    <cellStyle name="@_laroux_제트베인_1_3-1.복합재 보강패널시편 외 2종제작_M-SAM노즐내열재(방산물자)_2.외주관리_가속기" xfId="982"/>
    <cellStyle name="@_laroux_제트베인_1_3-1.복합재 보강패널시편 외 2종제작_M-SAM노즐내열재(방산물자)_산출갑지모음" xfId="983"/>
    <cellStyle name="@_laroux_제트베인_1_3-1.복합재 보강패널시편 외 2종제작_M-SAM노즐내열재(방산물자)_산출갑지모음_2.외주관리_가속기" xfId="984"/>
    <cellStyle name="@_laroux_제트베인_1_3-1.복합재 보강패널시편 외 2종제작_M-SAM노즐내열재(방산물자)_산출갑지모음_외주관리_가속기" xfId="985"/>
    <cellStyle name="@_laroux_제트베인_1_3-1.복합재 보강패널시편 외 2종제작_M-SAM노즐내열재(방산물자)_외주관리_가속기" xfId="986"/>
    <cellStyle name="@_laroux_제트베인_1_3-1.복합재 보강패널시편 외 2종제작_PKX 탐색레이더 샘플6종" xfId="987"/>
    <cellStyle name="@_laroux_제트베인_1_3-1.복합재 보강패널시편 외 2종제작_PKX 탐색레이더 샘플6종_2.외주관리_가속기" xfId="988"/>
    <cellStyle name="@_laroux_제트베인_1_3-1.복합재 보강패널시편 외 2종제작_PKX 탐색레이더 샘플6종_외주관리_가속기" xfId="989"/>
    <cellStyle name="@_laroux_제트베인_1_3-1.복합재 보강패널시편 외 2종제작_UAV 동체구조물 조립체" xfId="990"/>
    <cellStyle name="@_laroux_제트베인_1_3-1.복합재 보강패널시편 외 2종제작_UAV 동체구조물 조립체_2.외주관리_가속기" xfId="991"/>
    <cellStyle name="@_laroux_제트베인_1_3-1.복합재 보강패널시편 외 2종제작_UAV 동체구조물 조립체_외주관리_가속기" xfId="992"/>
    <cellStyle name="@_laroux_제트베인_1_3-1.복합재 보강패널시편 외 2종제작_UAV 동체구조물 조립체외14종" xfId="993"/>
    <cellStyle name="@_laroux_제트베인_1_3-1.복합재 보강패널시편 외 2종제작_UAV 동체구조물 조립체외14종_2.외주관리_가속기" xfId="994"/>
    <cellStyle name="@_laroux_제트베인_1_3-1.복합재 보강패널시편 외 2종제작_UAV 동체구조물 조립체외14종_외주관리_가속기" xfId="995"/>
    <cellStyle name="@_laroux_제트베인_1_3-1.복합재 보강패널시편 외 2종제작_산출갑지모음" xfId="996"/>
    <cellStyle name="@_laroux_제트베인_1_3-1.복합재 보강패널시편 외 2종제작_산출갑지모음_2.외주관리_가속기" xfId="997"/>
    <cellStyle name="@_laroux_제트베인_1_3-1.복합재 보강패널시편 외 2종제작_산출갑지모음_외주관리_가속기" xfId="998"/>
    <cellStyle name="@_laroux_제트베인_1_3-1.복합재 보강패널시편 외 2종제작_외주관리_가속기" xfId="999"/>
    <cellStyle name="@_laroux_제트베인_1_3-1.복합재 보강패널시편 외 2종제작_콘구조물시편 2종" xfId="1000"/>
    <cellStyle name="@_laroux_제트베인_1_3-1.복합재 보강패널시편 외 2종제작_콘구조물시편 2종_2.외주관리_가속기" xfId="1001"/>
    <cellStyle name="@_laroux_제트베인_1_3-1.복합재 보강패널시편 외 2종제작_콘구조물시편 2종_외주관리_가속기" xfId="1002"/>
    <cellStyle name="@_laroux_제트베인_1_M-SAM노즐내열재(방산물자)" xfId="1003"/>
    <cellStyle name="@_laroux_제트베인_1_M-SAM노즐내열재(방산물자)_2.외주관리_가속기" xfId="1004"/>
    <cellStyle name="@_laroux_제트베인_1_M-SAM노즐내열재(방산물자)_산출갑지모음" xfId="1005"/>
    <cellStyle name="@_laroux_제트베인_1_M-SAM노즐내열재(방산물자)_산출갑지모음_2.외주관리_가속기" xfId="1006"/>
    <cellStyle name="@_laroux_제트베인_1_M-SAM노즐내열재(방산물자)_산출갑지모음_외주관리_가속기" xfId="1007"/>
    <cellStyle name="@_laroux_제트베인_1_M-SAM노즐내열재(방산물자)_외주관리_가속기" xfId="1008"/>
    <cellStyle name="@_laroux_제트베인_1_PKX 탐색레이더 샘플6종" xfId="1009"/>
    <cellStyle name="@_laroux_제트베인_1_PKX 탐색레이더 샘플6종_2.외주관리_가속기" xfId="1010"/>
    <cellStyle name="@_laroux_제트베인_1_PKX 탐색레이더 샘플6종_외주관리_가속기" xfId="1011"/>
    <cellStyle name="@_laroux_제트베인_1_UAV 동체구조물 조립체" xfId="1012"/>
    <cellStyle name="@_laroux_제트베인_1_UAV 동체구조물 조립체_2.외주관리_가속기" xfId="1013"/>
    <cellStyle name="@_laroux_제트베인_1_UAV 동체구조물 조립체_외주관리_가속기" xfId="1014"/>
    <cellStyle name="@_laroux_제트베인_1_UAV 동체구조물 조립체외14종" xfId="1015"/>
    <cellStyle name="@_laroux_제트베인_1_UAV 동체구조물 조립체외14종_2.외주관리_가속기" xfId="1016"/>
    <cellStyle name="@_laroux_제트베인_1_UAV 동체구조물 조립체외14종_외주관리_가속기" xfId="1017"/>
    <cellStyle name="@_laroux_제트베인_1_복합적층장갑 부분구조 시편" xfId="1018"/>
    <cellStyle name="@_laroux_제트베인_1_복합적층장갑 부분구조 시편_#23,24윈터키트수정" xfId="1019"/>
    <cellStyle name="@_laroux_제트베인_1_복합적층장갑 부분구조 시편_#23,24윈터키트수정_2.외주관리_가속기" xfId="1020"/>
    <cellStyle name="@_laroux_제트베인_1_복합적층장갑 부분구조 시편_#23,24윈터키트수정_외주관리_가속기" xfId="1021"/>
    <cellStyle name="@_laroux_제트베인_1_복합적층장갑 부분구조 시편_2.외주관리_가속기" xfId="1022"/>
    <cellStyle name="@_laroux_제트베인_1_복합적층장갑 부분구조 시편_PKX 탐색레이더 샘플6종" xfId="1023"/>
    <cellStyle name="@_laroux_제트베인_1_복합적층장갑 부분구조 시편_PKX 탐색레이더 샘플6종_2.외주관리_가속기" xfId="1024"/>
    <cellStyle name="@_laroux_제트베인_1_복합적층장갑 부분구조 시편_PKX 탐색레이더 샘플6종_외주관리_가속기" xfId="1025"/>
    <cellStyle name="@_laroux_제트베인_1_복합적층장갑 부분구조 시편_UAV 동체구조물 조립체" xfId="1026"/>
    <cellStyle name="@_laroux_제트베인_1_복합적층장갑 부분구조 시편_UAV 동체구조물 조립체_2.외주관리_가속기" xfId="1027"/>
    <cellStyle name="@_laroux_제트베인_1_복합적층장갑 부분구조 시편_UAV 동체구조물 조립체_외주관리_가속기" xfId="1028"/>
    <cellStyle name="@_laroux_제트베인_1_복합적층장갑 부분구조 시편_UAV 동체구조물 조립체외14종" xfId="1029"/>
    <cellStyle name="@_laroux_제트베인_1_복합적층장갑 부분구조 시편_UAV 동체구조물 조립체외14종_2.외주관리_가속기" xfId="1030"/>
    <cellStyle name="@_laroux_제트베인_1_복합적층장갑 부분구조 시편_UAV 동체구조물 조립체외14종_외주관리_가속기" xfId="1031"/>
    <cellStyle name="@_laroux_제트베인_1_복합적층장갑 부분구조 시편_외주관리_가속기" xfId="1032"/>
    <cellStyle name="@_laroux_제트베인_1_복합적층장갑 부분구조 시편_콘구조물시편 2종" xfId="1033"/>
    <cellStyle name="@_laroux_제트베인_1_복합적층장갑 부분구조 시편_콘구조물시편 2종_2.외주관리_가속기" xfId="1034"/>
    <cellStyle name="@_laroux_제트베인_1_복합적층장갑 부분구조 시편_콘구조물시편 2종_외주관리_가속기" xfId="1035"/>
    <cellStyle name="@_laroux_제트베인_1_산출갑지모음" xfId="1036"/>
    <cellStyle name="@_laroux_제트베인_1_산출갑지모음_2.외주관리_가속기" xfId="1037"/>
    <cellStyle name="@_laroux_제트베인_1_산출갑지모음_외주관리_가속기" xfId="1038"/>
    <cellStyle name="@_laroux_제트베인_1_외주관리_가속기" xfId="1039"/>
    <cellStyle name="@_laroux_제트베인_1_총괄표(양식)" xfId="1040"/>
    <cellStyle name="@_laroux_제트베인_1_총괄표(양식)_2.외주관리_가속기" xfId="1041"/>
    <cellStyle name="@_laroux_제트베인_1_총괄표(양식)_외주관리_가속기" xfId="1042"/>
    <cellStyle name="@_laroux_제트베인_1_총괄표(양식)_총괄표(양식)" xfId="1043"/>
    <cellStyle name="@_laroux_제트베인_1_총괄표(양식)_총괄표(양식)_2.외주관리_가속기" xfId="1044"/>
    <cellStyle name="@_laroux_제트베인_1_총괄표(양식)_총괄표(양식)_외주관리_가속기" xfId="1045"/>
    <cellStyle name="@_laroux_제트베인_1_총괄표(양식)_총괄표(양식)_총괄표_협력(uav)" xfId="1046"/>
    <cellStyle name="@_laroux_제트베인_1_총괄표(양식)_총괄표(양식)_총괄표_협력(uav)_2.외주관리_가속기" xfId="1047"/>
    <cellStyle name="@_laroux_제트베인_1_총괄표(양식)_총괄표(양식)_총괄표_협력(uav)_외주관리_가속기" xfId="1048"/>
    <cellStyle name="@_laroux_제트베인_1_총괄표(양식)_총괄표_협력(uav)" xfId="1049"/>
    <cellStyle name="@_laroux_제트베인_1_총괄표(양식)_총괄표_협력(uav)_2.외주관리_가속기" xfId="1050"/>
    <cellStyle name="@_laroux_제트베인_1_총괄표(양식)_총괄표_협력(uav)_외주관리_가속기" xfId="1051"/>
    <cellStyle name="@_laroux_제트베인_1_총괄표_협력(uav)" xfId="1052"/>
    <cellStyle name="@_laroux_제트베인_1_총괄표_협력(uav)_2.외주관리_가속기" xfId="1053"/>
    <cellStyle name="@_laroux_제트베인_1_총괄표_협력(uav)_외주관리_가속기" xfId="1054"/>
    <cellStyle name="@_laroux_제트베인_1_콘구조물시편 2종" xfId="1055"/>
    <cellStyle name="@_laroux_제트베인_1_콘구조물시편 2종_2.외주관리_가속기" xfId="1056"/>
    <cellStyle name="@_laroux_제트베인_1_콘구조물시편 2종_외주관리_가속기" xfId="1057"/>
    <cellStyle name="@_laroux_직접노무비_총괄표 " xfId="1058"/>
    <cellStyle name="@_laroux_직접노무비_총괄표 _2.외주관리_가속기" xfId="1059"/>
    <cellStyle name="@_laroux_직접노무비_총괄표 _외주관리_가속기" xfId="1060"/>
    <cellStyle name="@_laroux_총괄표 " xfId="1061"/>
    <cellStyle name="@_laroux_총괄표 _2.외주관리_가속기" xfId="1062"/>
    <cellStyle name="@_laroux_총괄표 _외주관리_가속기" xfId="1063"/>
    <cellStyle name="@_laroux_추산서_총괄표 " xfId="1064"/>
    <cellStyle name="@_laroux_추산서_총괄표 _2.외주관리_가속기" xfId="1065"/>
    <cellStyle name="@_laroux_추산서_총괄표 _외주관리_가속기" xfId="1066"/>
    <cellStyle name="@_laroux_함대함발사대시제_총괄표 " xfId="1067"/>
    <cellStyle name="@_laroux_함대함발사대시제_총괄표 _2.외주관리_가속기" xfId="1068"/>
    <cellStyle name="@_laroux_함대함발사대시제_총괄표 _외주관리_가속기" xfId="1069"/>
    <cellStyle name="@_laroux_함함원가_총괄표 " xfId="1070"/>
    <cellStyle name="@_laroux_함함원가_총괄표 _2.외주관리_가속기" xfId="1071"/>
    <cellStyle name="@_laroux_함함원가_총괄표 _외주관리_가속기" xfId="1072"/>
    <cellStyle name="@_PULL  LIST-1 (2004년)" xfId="1073"/>
    <cellStyle name="@_PULL  LIST-1 (2004년)_ PULL  LIST-1 (2007년)" xfId="1074"/>
    <cellStyle name="@_PULL  LIST-1 (2004년)_PULL  LIST-1 (2004년)" xfId="1075"/>
    <cellStyle name="@_PULL  LIST-1 (2004년)_PULL  LIST-1 (2004년)_Book1" xfId="1076"/>
    <cellStyle name="@_PULL  LIST-1 (2004년)_PULL  LIST-1 (2004년)_Book1_ PULL  LIST-1 (2007년)" xfId="1077"/>
    <cellStyle name="@_PULL  LIST-1 (2004년)_PULL  LIST-1 (2004년)_Book1_PULL  LIST-1 (2005년)" xfId="1078"/>
    <cellStyle name="@_PULL  LIST-1 (2004년)_PULL  LIST-1 (2004년)_Book1_PULL  LIST-1 (2005년)_PULL  LIST-1 (2005년)" xfId="1079"/>
    <cellStyle name="@_PULL  LIST-1 (2004년)_PULL  LIST-1 (2004년)_Book1_PULL  LIST-1 (2005년)_PULL  LIST-1 (2005년)_ PULL  LIST-1 (2007년)" xfId="1080"/>
    <cellStyle name="@_PULL  LIST-1 (2004년)_PULL  LIST-1 (2004년)_Book1_PULL  LIST-1 (2005년)_PULL  LIST-1 (2005년)_PULL  LIST-1 (2006년)" xfId="1081"/>
    <cellStyle name="@_PULL  LIST-1 (2004년)_PULL  LIST-1 (2004년)_Book1_PULL  LIST-1 (2005년)_PULL  LIST-1 (2005년)_PULL  LIST-1 (2006년)_PULL  LIST-1 (2006년)" xfId="1082"/>
    <cellStyle name="@_PULL  LIST-1 (2004년)_PULL  LIST-1 (2004년)_Book1_PULL  LIST-1 (2005년)_PULL  LIST-1 (2005년)_PULL  LIST-1 (2006년)_PULL  LIST-1 (2006년)_ PULL  LIST-1 (2007년)" xfId="1083"/>
    <cellStyle name="@_PULL  LIST-1 (2004년)_PULL  LIST-1 (2004년)_Book1_PULL  LIST-1 (2005년)_PULL  LIST-1 (2006년)" xfId="1084"/>
    <cellStyle name="@_PULL  LIST-1 (2004년)_PULL  LIST-1 (2004년)_Book1_PULL  LIST-1 (2005년)_PULL  LIST-1 (2006년)_ PULL  LIST-1 (2007년)" xfId="1085"/>
    <cellStyle name="@_PULL  LIST-1 (2004년)_PULL  LIST-1 (2004년)_Book1_PULL  LIST-1 (2005년)_PULL  LIST-1 (2006년)_PULL  LIST-1 (2006년)" xfId="1086"/>
    <cellStyle name="@_PULL  LIST-1 (2004년)_PULL  LIST-1 (2004년)_Book1_PULL  LIST-1 (2005년)_PULL  LIST-1 (2006년)_PULL  LIST-1 (2006년)_PULL  LIST-1 (2006년)" xfId="1087"/>
    <cellStyle name="@_PULL  LIST-1 (2004년)_PULL  LIST-1 (2004년)_Book1_PULL  LIST-1 (2005년)_PULL  LIST-1 (2006년)_PULL  LIST-1 (2006년)_PULL  LIST-1 (2006년)_ PULL  LIST-1 (2007년)" xfId="1088"/>
    <cellStyle name="@_PULL  LIST-1 (2004년)_PULL  LIST-1 (2004년)_Book1_PULL  LIST-1 (2005년)_원가인하9월30일" xfId="1089"/>
    <cellStyle name="@_PULL  LIST-1 (2004년)_PULL  LIST-1 (2004년)_Book1_PULL  LIST-1 (2005년)_원가인하9월30일_ PULL  LIST-1 (2007년)" xfId="1090"/>
    <cellStyle name="@_PULL  LIST-1 (2004년)_PULL  LIST-1 (2004년)_Book1_PULL  LIST-1 (2005년)_원가인하9월30일_PULL  LIST-1 (2006년)" xfId="1091"/>
    <cellStyle name="@_PULL  LIST-1 (2004년)_PULL  LIST-1 (2004년)_Book1_PULL  LIST-1 (2005년)_원가인하9월30일_PULL  LIST-1 (2006년)_PULL  LIST-1 (2006년)" xfId="1092"/>
    <cellStyle name="@_PULL  LIST-1 (2004년)_PULL  LIST-1 (2004년)_Book1_PULL  LIST-1 (2005년)_원가인하9월30일_PULL  LIST-1 (2006년)_PULL  LIST-1 (2006년)_ PULL  LIST-1 (2007년)" xfId="1093"/>
    <cellStyle name="@_PULL  LIST-1 (2004년)_PULL  LIST-1 (2004년)_Book1_PULL  LIST-1 (2006년)" xfId="1094"/>
    <cellStyle name="@_PULL  LIST-1 (2004년)_PULL  LIST-1 (2004년)_Book1_PULL  LIST-1 (2006년)_PULL  LIST-1 (2006년)" xfId="1095"/>
    <cellStyle name="@_PULL  LIST-1 (2004년)_PULL  LIST-1 (2004년)_Book1_PULL  LIST-1 (2006년)_PULL  LIST-1 (2006년)_ PULL  LIST-1 (2007년)" xfId="1096"/>
    <cellStyle name="@_PULL  LIST-1 (2004년)_PULL  LIST-1 (2004년)_PULL  LIST-1 (2005년)" xfId="1097"/>
    <cellStyle name="@_PULL  LIST-1 (2004년)_PULL  LIST-1 (2004년)_PULL  LIST-1 (2005년)_ PULL  LIST-1 (2007년)" xfId="1098"/>
    <cellStyle name="@_PULL  LIST-1 (2004년)_PULL  LIST-1 (2004년)_PULL  LIST-1 (2005년)_PULL  LIST-1 (2006년)" xfId="1099"/>
    <cellStyle name="@_PULL  LIST-1 (2004년)_PULL  LIST-1 (2004년)_PULL  LIST-1 (2005년)_PULL  LIST-1 (2006년)_PULL  LIST-1 (2006년)" xfId="1100"/>
    <cellStyle name="@_PULL  LIST-1 (2004년)_PULL  LIST-1 (2004년)_PULL  LIST-1 (2005년)_PULL  LIST-1 (2006년)_PULL  LIST-1 (2006년)_ PULL  LIST-1 (2007년)" xfId="1101"/>
    <cellStyle name="@_PULL  LIST-1 (2004년)_PULL  LIST-1 (2004년)_PULL  LIST-1 (2006년)" xfId="1102"/>
    <cellStyle name="@_PULL  LIST-1 (2004년)_PULL  LIST-1 (2004년)_PULL  LIST-1 (2006년)_ PULL  LIST-1 (2007년)" xfId="1103"/>
    <cellStyle name="@_PULL  LIST-1 (2004년)_PULL  LIST-1 (2004년)_PULL  LIST-1 (2006년)_PULL  LIST-1 (2006년)" xfId="1104"/>
    <cellStyle name="@_PULL  LIST-1 (2004년)_PULL  LIST-1 (2004년)_PULL  LIST-1 (2006년)_PULL  LIST-1 (2006년)_PULL  LIST-1 (2006년)" xfId="1105"/>
    <cellStyle name="@_PULL  LIST-1 (2004년)_PULL  LIST-1 (2004년)_PULL  LIST-1 (2006년)_PULL  LIST-1 (2006년)_PULL  LIST-1 (2006년)_ PULL  LIST-1 (2007년)" xfId="1106"/>
    <cellStyle name="@_PULL  LIST-1 (2004년)_PULL  LIST-1 (2004년)_원가인하9월30일" xfId="1107"/>
    <cellStyle name="@_PULL  LIST-1 (2004년)_PULL  LIST-1 (2004년)_원가인하9월30일_ PULL  LIST-1 (2007년)" xfId="1108"/>
    <cellStyle name="@_PULL  LIST-1 (2004년)_PULL  LIST-1 (2004년)_원가인하9월30일_PULL  LIST-1 (2006년)" xfId="1109"/>
    <cellStyle name="@_PULL  LIST-1 (2004년)_PULL  LIST-1 (2004년)_원가인하9월30일_PULL  LIST-1 (2006년)_PULL  LIST-1 (2006년)" xfId="1110"/>
    <cellStyle name="@_PULL  LIST-1 (2004년)_PULL  LIST-1 (2004년)_원가인하9월30일_PULL  LIST-1 (2006년)_PULL  LIST-1 (2006년)_ PULL  LIST-1 (2007년)" xfId="1111"/>
    <cellStyle name="@_PULL  LIST-1 (2004년)_PULL  LIST-1 (2005년)" xfId="1112"/>
    <cellStyle name="@_PULL  LIST-1 (2004년)_PULL  LIST-1 (2005년)_PULL  LIST-1 (2005년)" xfId="1113"/>
    <cellStyle name="@_PULL  LIST-1 (2004년)_PULL  LIST-1 (2005년)_PULL  LIST-1 (2005년)_ PULL  LIST-1 (2007년)" xfId="1114"/>
    <cellStyle name="@_PULL  LIST-1 (2004년)_PULL  LIST-1 (2005년)_PULL  LIST-1 (2005년)_PULL  LIST-1 (2006년)" xfId="1115"/>
    <cellStyle name="@_PULL  LIST-1 (2004년)_PULL  LIST-1 (2005년)_PULL  LIST-1 (2005년)_PULL  LIST-1 (2006년)_PULL  LIST-1 (2006년)" xfId="1116"/>
    <cellStyle name="@_PULL  LIST-1 (2004년)_PULL  LIST-1 (2005년)_PULL  LIST-1 (2005년)_PULL  LIST-1 (2006년)_PULL  LIST-1 (2006년)_ PULL  LIST-1 (2007년)" xfId="1117"/>
    <cellStyle name="@_PULL  LIST-1 (2004년)_PULL  LIST-1 (2005년)_PULL  LIST-1 (2006년)" xfId="1118"/>
    <cellStyle name="@_PULL  LIST-1 (2004년)_PULL  LIST-1 (2005년)_PULL  LIST-1 (2006년)_ PULL  LIST-1 (2007년)" xfId="1119"/>
    <cellStyle name="@_PULL  LIST-1 (2004년)_PULL  LIST-1 (2005년)_PULL  LIST-1 (2006년)_PULL  LIST-1 (2006년)" xfId="1120"/>
    <cellStyle name="@_PULL  LIST-1 (2004년)_PULL  LIST-1 (2005년)_PULL  LIST-1 (2006년)_PULL  LIST-1 (2006년)_PULL  LIST-1 (2006년)" xfId="1121"/>
    <cellStyle name="@_PULL  LIST-1 (2004년)_PULL  LIST-1 (2005년)_PULL  LIST-1 (2006년)_PULL  LIST-1 (2006년)_PULL  LIST-1 (2006년)_ PULL  LIST-1 (2007년)" xfId="1122"/>
    <cellStyle name="@_PULL  LIST-1 (2004년)_PULL  LIST-1 (2005년)_원가인하9월30일" xfId="1123"/>
    <cellStyle name="@_PULL  LIST-1 (2004년)_PULL  LIST-1 (2005년)_원가인하9월30일_ PULL  LIST-1 (2007년)" xfId="1124"/>
    <cellStyle name="@_PULL  LIST-1 (2004년)_PULL  LIST-1 (2005년)_원가인하9월30일_PULL  LIST-1 (2006년)" xfId="1125"/>
    <cellStyle name="@_PULL  LIST-1 (2004년)_PULL  LIST-1 (2005년)_원가인하9월30일_PULL  LIST-1 (2006년)_PULL  LIST-1 (2006년)" xfId="1126"/>
    <cellStyle name="@_PULL  LIST-1 (2004년)_PULL  LIST-1 (2005년)_원가인하9월30일_PULL  LIST-1 (2006년)_PULL  LIST-1 (2006년)_ PULL  LIST-1 (2007년)" xfId="1127"/>
    <cellStyle name="@_PULL  LIST-1 (2004년)_PULL  LIST-1 (2006년)" xfId="1128"/>
    <cellStyle name="@_PULL  LIST-1 (2004년)_PULL  LIST-1 (2006년)_PULL  LIST-1 (2006년)" xfId="1129"/>
    <cellStyle name="@_PULL  LIST-1 (2004년)_PULL  LIST-1 (2006년)_PULL  LIST-1 (2006년)_ PULL  LIST-1 (2007년)" xfId="1130"/>
    <cellStyle name="@_PULL  LIST-1 (2005년)" xfId="1131"/>
    <cellStyle name="@_PULL  LIST-1 (2005년)_ PULL  LIST-1 (2007년)" xfId="1132"/>
    <cellStyle name="@_PULL  LIST-1 (2005년)_PULL  LIST-1 (2006년)" xfId="1133"/>
    <cellStyle name="@_PULL  LIST-1 (2005년)_PULL  LIST-1 (2006년)_PULL  LIST-1 (2006년)" xfId="1134"/>
    <cellStyle name="@_PULL  LIST-1 (2005년)_PULL  LIST-1 (2006년)_PULL  LIST-1 (2006년)_ PULL  LIST-1 (2007년)" xfId="1135"/>
    <cellStyle name="@_PULL  LIST-1 (2006년)" xfId="1136"/>
    <cellStyle name="@_PULL  LIST-1 (2006년)_ PULL  LIST-1 (2007년)" xfId="1137"/>
    <cellStyle name="@_PULL  LIST-1 (2006년)_PULL  LIST-1 (2006년)" xfId="1138"/>
    <cellStyle name="@_PULL  LIST-1 (2006년)_PULL  LIST-1 (2006년)_PULL  LIST-1 (2006년)" xfId="1139"/>
    <cellStyle name="@_PULL  LIST-1 (2006년)_PULL  LIST-1 (2006년)_PULL  LIST-1 (2006년)_ PULL  LIST-1 (2007년)" xfId="1140"/>
    <cellStyle name="@_SM1_PL_(견적)" xfId="1141"/>
    <cellStyle name="@_SM1_PL_(견적)_ PULL  LIST-1 (2007년)" xfId="1142"/>
    <cellStyle name="@_SM1_PL_(견적)_PULL  LIST-1 (2004년)" xfId="1143"/>
    <cellStyle name="@_SM1_PL_(견적)_PULL  LIST-1 (2004년)_Book1" xfId="1144"/>
    <cellStyle name="@_SM1_PL_(견적)_PULL  LIST-1 (2004년)_Book1_ PULL  LIST-1 (2007년)" xfId="1145"/>
    <cellStyle name="@_SM1_PL_(견적)_PULL  LIST-1 (2004년)_Book1_PULL  LIST-1 (2005년)" xfId="1146"/>
    <cellStyle name="@_SM1_PL_(견적)_PULL  LIST-1 (2004년)_Book1_PULL  LIST-1 (2005년)_PULL  LIST-1 (2005년)" xfId="1147"/>
    <cellStyle name="@_SM1_PL_(견적)_PULL  LIST-1 (2004년)_Book1_PULL  LIST-1 (2005년)_PULL  LIST-1 (2005년)_ PULL  LIST-1 (2007년)" xfId="1148"/>
    <cellStyle name="@_SM1_PL_(견적)_PULL  LIST-1 (2004년)_Book1_PULL  LIST-1 (2005년)_PULL  LIST-1 (2005년)_PULL  LIST-1 (2006년)" xfId="1149"/>
    <cellStyle name="@_SM1_PL_(견적)_PULL  LIST-1 (2004년)_Book1_PULL  LIST-1 (2005년)_PULL  LIST-1 (2005년)_PULL  LIST-1 (2006년)_PULL  LIST-1 (2006년)" xfId="1150"/>
    <cellStyle name="@_SM1_PL_(견적)_PULL  LIST-1 (2004년)_Book1_PULL  LIST-1 (2005년)_PULL  LIST-1 (2005년)_PULL  LIST-1 (2006년)_PULL  LIST-1 (2006년)_ PULL  LIST-1 (2007년)" xfId="1151"/>
    <cellStyle name="@_SM1_PL_(견적)_PULL  LIST-1 (2004년)_Book1_PULL  LIST-1 (2005년)_PULL  LIST-1 (2006년)" xfId="1152"/>
    <cellStyle name="@_SM1_PL_(견적)_PULL  LIST-1 (2004년)_Book1_PULL  LIST-1 (2005년)_PULL  LIST-1 (2006년)_ PULL  LIST-1 (2007년)" xfId="1153"/>
    <cellStyle name="@_SM1_PL_(견적)_PULL  LIST-1 (2004년)_Book1_PULL  LIST-1 (2005년)_PULL  LIST-1 (2006년)_PULL  LIST-1 (2006년)" xfId="1154"/>
    <cellStyle name="@_SM1_PL_(견적)_PULL  LIST-1 (2004년)_Book1_PULL  LIST-1 (2005년)_PULL  LIST-1 (2006년)_PULL  LIST-1 (2006년)_PULL  LIST-1 (2006년)" xfId="1155"/>
    <cellStyle name="@_SM1_PL_(견적)_PULL  LIST-1 (2004년)_Book1_PULL  LIST-1 (2005년)_PULL  LIST-1 (2006년)_PULL  LIST-1 (2006년)_PULL  LIST-1 (2006년)_ PULL  LIST-1 (2007년)" xfId="1156"/>
    <cellStyle name="@_SM1_PL_(견적)_PULL  LIST-1 (2004년)_Book1_PULL  LIST-1 (2005년)_원가인하9월30일" xfId="1157"/>
    <cellStyle name="@_SM1_PL_(견적)_PULL  LIST-1 (2004년)_Book1_PULL  LIST-1 (2005년)_원가인하9월30일_ PULL  LIST-1 (2007년)" xfId="1158"/>
    <cellStyle name="@_SM1_PL_(견적)_PULL  LIST-1 (2004년)_Book1_PULL  LIST-1 (2005년)_원가인하9월30일_PULL  LIST-1 (2006년)" xfId="1159"/>
    <cellStyle name="@_SM1_PL_(견적)_PULL  LIST-1 (2004년)_Book1_PULL  LIST-1 (2005년)_원가인하9월30일_PULL  LIST-1 (2006년)_PULL  LIST-1 (2006년)" xfId="1160"/>
    <cellStyle name="@_SM1_PL_(견적)_PULL  LIST-1 (2004년)_Book1_PULL  LIST-1 (2005년)_원가인하9월30일_PULL  LIST-1 (2006년)_PULL  LIST-1 (2006년)_ PULL  LIST-1 (2007년)" xfId="1161"/>
    <cellStyle name="@_SM1_PL_(견적)_PULL  LIST-1 (2004년)_Book1_PULL  LIST-1 (2006년)" xfId="1162"/>
    <cellStyle name="@_SM1_PL_(견적)_PULL  LIST-1 (2004년)_Book1_PULL  LIST-1 (2006년)_PULL  LIST-1 (2006년)" xfId="1163"/>
    <cellStyle name="@_SM1_PL_(견적)_PULL  LIST-1 (2004년)_Book1_PULL  LIST-1 (2006년)_PULL  LIST-1 (2006년)_ PULL  LIST-1 (2007년)" xfId="1164"/>
    <cellStyle name="@_SM1_PL_(견적)_PULL  LIST-1 (2004년)_PULL  LIST-1 (2004년)" xfId="1165"/>
    <cellStyle name="@_SM1_PL_(견적)_PULL  LIST-1 (2004년)_PULL  LIST-1 (2004년)_ PULL  LIST-1 (2007년)" xfId="1166"/>
    <cellStyle name="@_SM1_PL_(견적)_PULL  LIST-1 (2004년)_PULL  LIST-1 (2004년)_PULL  LIST-1 (2004년)" xfId="1167"/>
    <cellStyle name="@_SM1_PL_(견적)_PULL  LIST-1 (2004년)_PULL  LIST-1 (2004년)_PULL  LIST-1 (2004년)_Book1" xfId="1168"/>
    <cellStyle name="@_SM1_PL_(견적)_PULL  LIST-1 (2004년)_PULL  LIST-1 (2004년)_PULL  LIST-1 (2004년)_Book1_ PULL  LIST-1 (2007년)" xfId="1169"/>
    <cellStyle name="@_SM1_PL_(견적)_PULL  LIST-1 (2004년)_PULL  LIST-1 (2004년)_PULL  LIST-1 (2004년)_Book1_PULL  LIST-1 (2005년)" xfId="1170"/>
    <cellStyle name="@_SM1_PL_(견적)_PULL  LIST-1 (2004년)_PULL  LIST-1 (2004년)_PULL  LIST-1 (2004년)_Book1_PULL  LIST-1 (2005년)_PULL  LIST-1 (2005년)" xfId="1171"/>
    <cellStyle name="@_SM1_PL_(견적)_PULL  LIST-1 (2004년)_PULL  LIST-1 (2004년)_PULL  LIST-1 (2004년)_Book1_PULL  LIST-1 (2005년)_PULL  LIST-1 (2005년)_ PULL  LIST-1 (2007년)" xfId="1172"/>
    <cellStyle name="@_SM1_PL_(견적)_PULL  LIST-1 (2004년)_PULL  LIST-1 (2004년)_PULL  LIST-1 (2004년)_Book1_PULL  LIST-1 (2005년)_PULL  LIST-1 (2005년)_PULL  LIST-1 (2006년)" xfId="1173"/>
    <cellStyle name="@_SM1_PL_(견적)_PULL  LIST-1 (2004년)_PULL  LIST-1 (2004년)_PULL  LIST-1 (2004년)_Book1_PULL  LIST-1 (2005년)_PULL  LIST-1 (2005년)_PULL  LIST-1 (2006년)_PULL  LIST-1 (2006년)" xfId="1174"/>
    <cellStyle name="@_SM1_PL_(견적)_PULL  LIST-1 (2004년)_PULL  LIST-1 (2004년)_PULL  LIST-1 (2004년)_Book1_PULL  LIST-1 (2005년)_PULL  LIST-1 (2005년)_PULL  LIST-1 (2006년)_PULL  LIST-1 (2006년)_ PULL  LIST-1 (2007년)" xfId="1175"/>
    <cellStyle name="@_SM1_PL_(견적)_PULL  LIST-1 (2004년)_PULL  LIST-1 (2004년)_PULL  LIST-1 (2004년)_Book1_PULL  LIST-1 (2005년)_PULL  LIST-1 (2006년)" xfId="1176"/>
    <cellStyle name="@_SM1_PL_(견적)_PULL  LIST-1 (2004년)_PULL  LIST-1 (2004년)_PULL  LIST-1 (2004년)_Book1_PULL  LIST-1 (2005년)_PULL  LIST-1 (2006년)_ PULL  LIST-1 (2007년)" xfId="1177"/>
    <cellStyle name="@_SM1_PL_(견적)_PULL  LIST-1 (2004년)_PULL  LIST-1 (2004년)_PULL  LIST-1 (2004년)_Book1_PULL  LIST-1 (2005년)_PULL  LIST-1 (2006년)_PULL  LIST-1 (2006년)" xfId="1178"/>
    <cellStyle name="@_SM1_PL_(견적)_PULL  LIST-1 (2004년)_PULL  LIST-1 (2004년)_PULL  LIST-1 (2004년)_Book1_PULL  LIST-1 (2005년)_PULL  LIST-1 (2006년)_PULL  LIST-1 (2006년)_PULL  LIST-1 (2006년)" xfId="1179"/>
    <cellStyle name="@_SM1_PL_(견적)_PULL  LIST-1 (2004년)_PULL  LIST-1 (2004년)_PULL  LIST-1 (2004년)_Book1_PULL  LIST-1 (2005년)_PULL  LIST-1 (2006년)_PULL  LIST-1 (2006년)_PULL  LIST-1 (2006년)_ PULL  LIST-1 (2007년)" xfId="1180"/>
    <cellStyle name="@_SM1_PL_(견적)_PULL  LIST-1 (2004년)_PULL  LIST-1 (2004년)_PULL  LIST-1 (2004년)_Book1_PULL  LIST-1 (2005년)_원가인하9월30일" xfId="1181"/>
    <cellStyle name="@_SM1_PL_(견적)_PULL  LIST-1 (2004년)_PULL  LIST-1 (2004년)_PULL  LIST-1 (2004년)_Book1_PULL  LIST-1 (2005년)_원가인하9월30일_ PULL  LIST-1 (2007년)" xfId="1182"/>
    <cellStyle name="@_SM1_PL_(견적)_PULL  LIST-1 (2004년)_PULL  LIST-1 (2004년)_PULL  LIST-1 (2004년)_Book1_PULL  LIST-1 (2005년)_원가인하9월30일_PULL  LIST-1 (2006년)" xfId="1183"/>
    <cellStyle name="@_SM1_PL_(견적)_PULL  LIST-1 (2004년)_PULL  LIST-1 (2004년)_PULL  LIST-1 (2004년)_Book1_PULL  LIST-1 (2005년)_원가인하9월30일_PULL  LIST-1 (2006년)_PULL  LIST-1 (2006년)" xfId="1184"/>
    <cellStyle name="@_SM1_PL_(견적)_PULL  LIST-1 (2004년)_PULL  LIST-1 (2004년)_PULL  LIST-1 (2004년)_Book1_PULL  LIST-1 (2005년)_원가인하9월30일_PULL  LIST-1 (2006년)_PULL  LIST-1 (2006년)_ PULL  LIST-1 (2007년)" xfId="1185"/>
    <cellStyle name="@_SM1_PL_(견적)_PULL  LIST-1 (2004년)_PULL  LIST-1 (2004년)_PULL  LIST-1 (2004년)_Book1_PULL  LIST-1 (2006년)" xfId="1186"/>
    <cellStyle name="@_SM1_PL_(견적)_PULL  LIST-1 (2004년)_PULL  LIST-1 (2004년)_PULL  LIST-1 (2004년)_Book1_PULL  LIST-1 (2006년)_PULL  LIST-1 (2006년)" xfId="1187"/>
    <cellStyle name="@_SM1_PL_(견적)_PULL  LIST-1 (2004년)_PULL  LIST-1 (2004년)_PULL  LIST-1 (2004년)_Book1_PULL  LIST-1 (2006년)_PULL  LIST-1 (2006년)_ PULL  LIST-1 (2007년)" xfId="1188"/>
    <cellStyle name="@_SM1_PL_(견적)_PULL  LIST-1 (2004년)_PULL  LIST-1 (2004년)_PULL  LIST-1 (2004년)_PULL  LIST-1 (2005년)" xfId="1189"/>
    <cellStyle name="@_SM1_PL_(견적)_PULL  LIST-1 (2004년)_PULL  LIST-1 (2004년)_PULL  LIST-1 (2004년)_PULL  LIST-1 (2005년)_ PULL  LIST-1 (2007년)" xfId="1190"/>
    <cellStyle name="@_SM1_PL_(견적)_PULL  LIST-1 (2004년)_PULL  LIST-1 (2004년)_PULL  LIST-1 (2004년)_PULL  LIST-1 (2005년)_PULL  LIST-1 (2006년)" xfId="1191"/>
    <cellStyle name="@_SM1_PL_(견적)_PULL  LIST-1 (2004년)_PULL  LIST-1 (2004년)_PULL  LIST-1 (2004년)_PULL  LIST-1 (2005년)_PULL  LIST-1 (2006년)_PULL  LIST-1 (2006년)" xfId="1192"/>
    <cellStyle name="@_SM1_PL_(견적)_PULL  LIST-1 (2004년)_PULL  LIST-1 (2004년)_PULL  LIST-1 (2004년)_PULL  LIST-1 (2005년)_PULL  LIST-1 (2006년)_PULL  LIST-1 (2006년)_ PULL  LIST-1 (2007년)" xfId="1193"/>
    <cellStyle name="@_SM1_PL_(견적)_PULL  LIST-1 (2004년)_PULL  LIST-1 (2004년)_PULL  LIST-1 (2004년)_PULL  LIST-1 (2006년)" xfId="1194"/>
    <cellStyle name="@_SM1_PL_(견적)_PULL  LIST-1 (2004년)_PULL  LIST-1 (2004년)_PULL  LIST-1 (2004년)_PULL  LIST-1 (2006년)_ PULL  LIST-1 (2007년)" xfId="1195"/>
    <cellStyle name="@_SM1_PL_(견적)_PULL  LIST-1 (2004년)_PULL  LIST-1 (2004년)_PULL  LIST-1 (2004년)_PULL  LIST-1 (2006년)_PULL  LIST-1 (2006년)" xfId="1196"/>
    <cellStyle name="@_SM1_PL_(견적)_PULL  LIST-1 (2004년)_PULL  LIST-1 (2004년)_PULL  LIST-1 (2004년)_PULL  LIST-1 (2006년)_PULL  LIST-1 (2006년)_PULL  LIST-1 (2006년)" xfId="1197"/>
    <cellStyle name="@_SM1_PL_(견적)_PULL  LIST-1 (2004년)_PULL  LIST-1 (2004년)_PULL  LIST-1 (2004년)_PULL  LIST-1 (2006년)_PULL  LIST-1 (2006년)_PULL  LIST-1 (2006년)_ PULL  LIST-1 (2007년)" xfId="1198"/>
    <cellStyle name="@_SM1_PL_(견적)_PULL  LIST-1 (2004년)_PULL  LIST-1 (2004년)_PULL  LIST-1 (2004년)_원가인하9월30일" xfId="1199"/>
    <cellStyle name="@_SM1_PL_(견적)_PULL  LIST-1 (2004년)_PULL  LIST-1 (2004년)_PULL  LIST-1 (2004년)_원가인하9월30일_ PULL  LIST-1 (2007년)" xfId="1200"/>
    <cellStyle name="@_SM1_PL_(견적)_PULL  LIST-1 (2004년)_PULL  LIST-1 (2004년)_PULL  LIST-1 (2004년)_원가인하9월30일_PULL  LIST-1 (2006년)" xfId="1201"/>
    <cellStyle name="@_SM1_PL_(견적)_PULL  LIST-1 (2004년)_PULL  LIST-1 (2004년)_PULL  LIST-1 (2004년)_원가인하9월30일_PULL  LIST-1 (2006년)_PULL  LIST-1 (2006년)" xfId="1202"/>
    <cellStyle name="@_SM1_PL_(견적)_PULL  LIST-1 (2004년)_PULL  LIST-1 (2004년)_PULL  LIST-1 (2004년)_원가인하9월30일_PULL  LIST-1 (2006년)_PULL  LIST-1 (2006년)_ PULL  LIST-1 (2007년)" xfId="1203"/>
    <cellStyle name="@_SM1_PL_(견적)_PULL  LIST-1 (2004년)_PULL  LIST-1 (2004년)_PULL  LIST-1 (2005년)" xfId="1204"/>
    <cellStyle name="@_SM1_PL_(견적)_PULL  LIST-1 (2004년)_PULL  LIST-1 (2004년)_PULL  LIST-1 (2005년)_PULL  LIST-1 (2005년)" xfId="1205"/>
    <cellStyle name="@_SM1_PL_(견적)_PULL  LIST-1 (2004년)_PULL  LIST-1 (2004년)_PULL  LIST-1 (2005년)_PULL  LIST-1 (2005년)_ PULL  LIST-1 (2007년)" xfId="1206"/>
    <cellStyle name="@_SM1_PL_(견적)_PULL  LIST-1 (2004년)_PULL  LIST-1 (2004년)_PULL  LIST-1 (2005년)_PULL  LIST-1 (2005년)_PULL  LIST-1 (2006년)" xfId="1207"/>
    <cellStyle name="@_SM1_PL_(견적)_PULL  LIST-1 (2004년)_PULL  LIST-1 (2004년)_PULL  LIST-1 (2005년)_PULL  LIST-1 (2005년)_PULL  LIST-1 (2006년)_PULL  LIST-1 (2006년)" xfId="1208"/>
    <cellStyle name="@_SM1_PL_(견적)_PULL  LIST-1 (2004년)_PULL  LIST-1 (2004년)_PULL  LIST-1 (2005년)_PULL  LIST-1 (2005년)_PULL  LIST-1 (2006년)_PULL  LIST-1 (2006년)_ PULL  LIST-1 (2007년)" xfId="1209"/>
    <cellStyle name="@_SM1_PL_(견적)_PULL  LIST-1 (2004년)_PULL  LIST-1 (2004년)_PULL  LIST-1 (2005년)_PULL  LIST-1 (2006년)" xfId="1210"/>
    <cellStyle name="@_SM1_PL_(견적)_PULL  LIST-1 (2004년)_PULL  LIST-1 (2004년)_PULL  LIST-1 (2005년)_PULL  LIST-1 (2006년)_ PULL  LIST-1 (2007년)" xfId="1211"/>
    <cellStyle name="@_SM1_PL_(견적)_PULL  LIST-1 (2004년)_PULL  LIST-1 (2004년)_PULL  LIST-1 (2005년)_PULL  LIST-1 (2006년)_PULL  LIST-1 (2006년)" xfId="1212"/>
    <cellStyle name="@_SM1_PL_(견적)_PULL  LIST-1 (2004년)_PULL  LIST-1 (2004년)_PULL  LIST-1 (2005년)_PULL  LIST-1 (2006년)_PULL  LIST-1 (2006년)_PULL  LIST-1 (2006년)" xfId="1213"/>
    <cellStyle name="@_SM1_PL_(견적)_PULL  LIST-1 (2004년)_PULL  LIST-1 (2004년)_PULL  LIST-1 (2005년)_PULL  LIST-1 (2006년)_PULL  LIST-1 (2006년)_PULL  LIST-1 (2006년)_ PULL  LIST-1 (2007년)" xfId="1214"/>
    <cellStyle name="@_SM1_PL_(견적)_PULL  LIST-1 (2004년)_PULL  LIST-1 (2004년)_PULL  LIST-1 (2005년)_원가인하9월30일" xfId="1215"/>
    <cellStyle name="@_SM1_PL_(견적)_PULL  LIST-1 (2004년)_PULL  LIST-1 (2004년)_PULL  LIST-1 (2005년)_원가인하9월30일_ PULL  LIST-1 (2007년)" xfId="1216"/>
    <cellStyle name="@_SM1_PL_(견적)_PULL  LIST-1 (2004년)_PULL  LIST-1 (2004년)_PULL  LIST-1 (2005년)_원가인하9월30일_PULL  LIST-1 (2006년)" xfId="1217"/>
    <cellStyle name="@_SM1_PL_(견적)_PULL  LIST-1 (2004년)_PULL  LIST-1 (2004년)_PULL  LIST-1 (2005년)_원가인하9월30일_PULL  LIST-1 (2006년)_PULL  LIST-1 (2006년)" xfId="1218"/>
    <cellStyle name="@_SM1_PL_(견적)_PULL  LIST-1 (2004년)_PULL  LIST-1 (2004년)_PULL  LIST-1 (2005년)_원가인하9월30일_PULL  LIST-1 (2006년)_PULL  LIST-1 (2006년)_ PULL  LIST-1 (2007년)" xfId="1219"/>
    <cellStyle name="@_SM1_PL_(견적)_PULL  LIST-1 (2004년)_PULL  LIST-1 (2004년)_PULL  LIST-1 (2006년)" xfId="1220"/>
    <cellStyle name="@_SM1_PL_(견적)_PULL  LIST-1 (2004년)_PULL  LIST-1 (2004년)_PULL  LIST-1 (2006년)_PULL  LIST-1 (2006년)" xfId="1221"/>
    <cellStyle name="@_SM1_PL_(견적)_PULL  LIST-1 (2004년)_PULL  LIST-1 (2004년)_PULL  LIST-1 (2006년)_PULL  LIST-1 (2006년)_ PULL  LIST-1 (2007년)" xfId="1222"/>
    <cellStyle name="@_SM1_PL_(견적)_PULL  LIST-1 (2004년)_PULL  LIST-1 (2005년)" xfId="1223"/>
    <cellStyle name="@_SM1_PL_(견적)_PULL  LIST-1 (2004년)_PULL  LIST-1 (2005년)_ PULL  LIST-1 (2007년)" xfId="1224"/>
    <cellStyle name="@_SM1_PL_(견적)_PULL  LIST-1 (2004년)_PULL  LIST-1 (2005년)_PULL  LIST-1 (2006년)" xfId="1225"/>
    <cellStyle name="@_SM1_PL_(견적)_PULL  LIST-1 (2004년)_PULL  LIST-1 (2005년)_PULL  LIST-1 (2006년)_PULL  LIST-1 (2006년)" xfId="1226"/>
    <cellStyle name="@_SM1_PL_(견적)_PULL  LIST-1 (2004년)_PULL  LIST-1 (2005년)_PULL  LIST-1 (2006년)_PULL  LIST-1 (2006년)_ PULL  LIST-1 (2007년)" xfId="1227"/>
    <cellStyle name="@_SM1_PL_(견적)_PULL  LIST-1 (2004년)_PULL  LIST-1 (2006년)" xfId="1228"/>
    <cellStyle name="@_SM1_PL_(견적)_PULL  LIST-1 (2004년)_PULL  LIST-1 (2006년)_ PULL  LIST-1 (2007년)" xfId="1229"/>
    <cellStyle name="@_SM1_PL_(견적)_PULL  LIST-1 (2004년)_PULL  LIST-1 (2006년)_PULL  LIST-1 (2006년)" xfId="1230"/>
    <cellStyle name="@_SM1_PL_(견적)_PULL  LIST-1 (2004년)_PULL  LIST-1 (2006년)_PULL  LIST-1 (2006년)_PULL  LIST-1 (2006년)" xfId="1231"/>
    <cellStyle name="@_SM1_PL_(견적)_PULL  LIST-1 (2004년)_PULL  LIST-1 (2006년)_PULL  LIST-1 (2006년)_PULL  LIST-1 (2006년)_ PULL  LIST-1 (2007년)" xfId="1232"/>
    <cellStyle name="@_SM1_PL_(견적)_PULL  LIST-1 (2004년)_원가인하9월30일" xfId="1233"/>
    <cellStyle name="@_SM1_PL_(견적)_PULL  LIST-1 (2004년)_원가인하9월30일_ PULL  LIST-1 (2007년)" xfId="1234"/>
    <cellStyle name="@_SM1_PL_(견적)_PULL  LIST-1 (2004년)_원가인하9월30일_PULL  LIST-1 (2006년)" xfId="1235"/>
    <cellStyle name="@_SM1_PL_(견적)_PULL  LIST-1 (2004년)_원가인하9월30일_PULL  LIST-1 (2006년)_PULL  LIST-1 (2006년)" xfId="1236"/>
    <cellStyle name="@_SM1_PL_(견적)_PULL  LIST-1 (2004년)_원가인하9월30일_PULL  LIST-1 (2006년)_PULL  LIST-1 (2006년)_ PULL  LIST-1 (2007년)" xfId="1237"/>
    <cellStyle name="@_SM1_PL_(견적)_PULL  LIST-1 (2005년)" xfId="1238"/>
    <cellStyle name="@_SM1_PL_(견적)_PULL  LIST-1 (2005년)_PULL  LIST-1 (2005년)" xfId="1239"/>
    <cellStyle name="@_SM1_PL_(견적)_PULL  LIST-1 (2005년)_PULL  LIST-1 (2005년)_ PULL  LIST-1 (2007년)" xfId="1240"/>
    <cellStyle name="@_SM1_PL_(견적)_PULL  LIST-1 (2005년)_PULL  LIST-1 (2005년)_PULL  LIST-1 (2006년)" xfId="1241"/>
    <cellStyle name="@_SM1_PL_(견적)_PULL  LIST-1 (2005년)_PULL  LIST-1 (2005년)_PULL  LIST-1 (2006년)_PULL  LIST-1 (2006년)" xfId="1242"/>
    <cellStyle name="@_SM1_PL_(견적)_PULL  LIST-1 (2005년)_PULL  LIST-1 (2005년)_PULL  LIST-1 (2006년)_PULL  LIST-1 (2006년)_ PULL  LIST-1 (2007년)" xfId="1243"/>
    <cellStyle name="@_SM1_PL_(견적)_PULL  LIST-1 (2005년)_PULL  LIST-1 (2006년)" xfId="1244"/>
    <cellStyle name="@_SM1_PL_(견적)_PULL  LIST-1 (2005년)_PULL  LIST-1 (2006년)_ PULL  LIST-1 (2007년)" xfId="1245"/>
    <cellStyle name="@_SM1_PL_(견적)_PULL  LIST-1 (2005년)_PULL  LIST-1 (2006년)_PULL  LIST-1 (2006년)" xfId="1246"/>
    <cellStyle name="@_SM1_PL_(견적)_PULL  LIST-1 (2005년)_PULL  LIST-1 (2006년)_PULL  LIST-1 (2006년)_PULL  LIST-1 (2006년)" xfId="1247"/>
    <cellStyle name="@_SM1_PL_(견적)_PULL  LIST-1 (2005년)_PULL  LIST-1 (2006년)_PULL  LIST-1 (2006년)_PULL  LIST-1 (2006년)_ PULL  LIST-1 (2007년)" xfId="1248"/>
    <cellStyle name="@_SM1_PL_(견적)_PULL  LIST-1 (2005년)_원가인하9월30일" xfId="1249"/>
    <cellStyle name="@_SM1_PL_(견적)_PULL  LIST-1 (2005년)_원가인하9월30일_ PULL  LIST-1 (2007년)" xfId="1250"/>
    <cellStyle name="@_SM1_PL_(견적)_PULL  LIST-1 (2005년)_원가인하9월30일_PULL  LIST-1 (2006년)" xfId="1251"/>
    <cellStyle name="@_SM1_PL_(견적)_PULL  LIST-1 (2005년)_원가인하9월30일_PULL  LIST-1 (2006년)_PULL  LIST-1 (2006년)" xfId="1252"/>
    <cellStyle name="@_SM1_PL_(견적)_PULL  LIST-1 (2005년)_원가인하9월30일_PULL  LIST-1 (2006년)_PULL  LIST-1 (2006년)_ PULL  LIST-1 (2007년)" xfId="1253"/>
    <cellStyle name="@_SM1_PL_(견적)_PULL  LIST-1 (2006년)" xfId="1254"/>
    <cellStyle name="@_SM1_PL_(견적)_PULL  LIST-1 (2006년)_PULL  LIST-1 (2006년)" xfId="1255"/>
    <cellStyle name="@_SM1_PL_(견적)_PULL  LIST-1 (2006년)_PULL  LIST-1 (2006년)_ PULL  LIST-1 (2007년)" xfId="1256"/>
    <cellStyle name="@_원가인하9월30일" xfId="1257"/>
    <cellStyle name="@_원가인하9월30일_ PULL  LIST-1 (2007년)" xfId="1258"/>
    <cellStyle name="@_원가인하9월30일_PULL  LIST-1 (2006년)" xfId="1259"/>
    <cellStyle name="@_원가인하9월30일_PULL  LIST-1 (2006년)_PULL  LIST-1 (2006년)" xfId="1260"/>
    <cellStyle name="@_원가인하9월30일_PULL  LIST-1 (2006년)_PULL  LIST-1 (2006년)_ PULL  LIST-1 (2007년)" xfId="1261"/>
    <cellStyle name="_01년도HILS케이블" xfId="1262"/>
    <cellStyle name="_01년도연탄계약자료2" xfId="1263"/>
    <cellStyle name="_01년도유도계약자료" xfId="1264"/>
    <cellStyle name="_01년도핑어계약자료2" xfId="1265"/>
    <cellStyle name="_03_평가계획" xfId="1266"/>
    <cellStyle name="_05년 4_x005f_x005F_x005f_x007E_5월 SQ평가일정 카렌다 (050328)-초안" xfId="1267"/>
    <cellStyle name="_05년 4_x005f_x005F_x005f_x007E_5월 SQ평가일정 카렌다 (050328)-초안 2" xfId="1268"/>
    <cellStyle name="_10월결산K" xfId="1269"/>
    <cellStyle name="_2002년도 평가보고-기안-0314" xfId="1270"/>
    <cellStyle name="_2002년도 평가보고-기안-0314 2" xfId="1271"/>
    <cellStyle name="_2003년상반기 SQ-MARK 종합보고-0709" xfId="1272"/>
    <cellStyle name="_2003년상반기 SQ-MARK 종합보고-0709 2" xfId="1273"/>
    <cellStyle name="_4월 RXC SS" xfId="1274"/>
    <cellStyle name="_5. 재료비(국내자재비) " xfId="1275"/>
    <cellStyle name="_EC1" xfId="1276"/>
    <cellStyle name="_EC1_1" xfId="1277"/>
    <cellStyle name="_EC1_2" xfId="1278"/>
    <cellStyle name="_EC1_3" xfId="1279"/>
    <cellStyle name="_EC1_4" xfId="1280"/>
    <cellStyle name="_EC1_5" xfId="1281"/>
    <cellStyle name="_lbsouy`6_622k1" xfId="1282"/>
    <cellStyle name="_PDBJKR5506A(미래기전 공정감사 보고서)" xfId="1283"/>
    <cellStyle name="_PDBJKR5506A(미래기전 공정감사 보고서) 2" xfId="1284"/>
    <cellStyle name="_PDKHSF5530A(2005년 공정감사 일정 통보건)" xfId="1285"/>
    <cellStyle name="_PDKHSF5530A(2005년 공정감사 일정 통보건) 2" xfId="1286"/>
    <cellStyle name="_PDKKJR5510A(영진정공 공정감사 보고서)" xfId="1287"/>
    <cellStyle name="_PDKKJR5510A(영진정공 공정감사 보고서) 2" xfId="1288"/>
    <cellStyle name="_PRG 리프스프링이음1213(1)" xfId="1289"/>
    <cellStyle name="_PRG 리프스프링이음1213(1) 2" xfId="1290"/>
    <cellStyle name="_Q WBS" xfId="1291"/>
    <cellStyle name="_Q WS 평가계획_080429" xfId="1292"/>
    <cellStyle name="_SMP400S 평가 계획서(080415)" xfId="1293"/>
    <cellStyle name="_SQ인증대상업체(용접 05.4~8)" xfId="1294"/>
    <cellStyle name="_SQ인증대상업체(용접 05.4~8) 2" xfId="1295"/>
    <cellStyle name="_STW BALANCE(20091111)" xfId="1296"/>
    <cellStyle name="_WBS" xfId="1297"/>
    <cellStyle name="_WBS_0622" xfId="1298"/>
    <cellStyle name="_WBS_2Gantry" xfId="1299"/>
    <cellStyle name="_WS 평가계획(Q)_080410" xfId="1300"/>
    <cellStyle name="_WS 평가계획(Q)_080429" xfId="1301"/>
    <cellStyle name="_YU" xfId="1302"/>
    <cellStyle name="_YU 2" xfId="1303"/>
    <cellStyle name="_가속기 상세설계 품평회 자료_PM_060424" xfId="1304"/>
    <cellStyle name="_가속기 체계시제 실행_매출계획_060317" xfId="1305"/>
    <cellStyle name="_가속기엔진 호기별 제작_시험 일정_060327" xfId="1306"/>
    <cellStyle name="_갑모음(ILS) (2)" xfId="1307"/>
    <cellStyle name="_갑지2" xfId="1308"/>
    <cellStyle name="_개발원가추산서(011110계약기초자료)" xfId="1309"/>
    <cellStyle name="_개발원가추산서(011110계약기초자료-전자)" xfId="1310"/>
    <cellStyle name="_개발원가추산서(011126계약기초자료-전자기계통합)" xfId="1311"/>
    <cellStyle name="_개발원가추산서(샘플-계약자료용)" xfId="1312"/>
    <cellStyle name="_개선사례(칭다오시그마)" xfId="1313"/>
    <cellStyle name="_개선사례(칭다오시그마) 2" xfId="1314"/>
    <cellStyle name="_공정감사(신풍011129)" xfId="1315"/>
    <cellStyle name="_공정감사(신풍011129) 2" xfId="1316"/>
    <cellStyle name="_공정감사보고서(종합)" xfId="1317"/>
    <cellStyle name="_공정감사보고서(종합) 2" xfId="1318"/>
    <cellStyle name="_공정감사보고서_화승R&amp;A_041216" xfId="1319"/>
    <cellStyle name="_공정감사보고서_화승R&amp;A_041216 2" xfId="1320"/>
    <cellStyle name="_과제관리_6시그마 융합(가속기)_060619" xfId="1321"/>
    <cellStyle name="_국내개발센서보드레벨" xfId="1322"/>
    <cellStyle name="_국내개발센서보드레벨_GCUBD별pl2" xfId="1323"/>
    <cellStyle name="_국내개발센서보드레벨_데이터베이스구축" xfId="1324"/>
    <cellStyle name="_금형평가 추가확인사항(050621)" xfId="1325"/>
    <cellStyle name="_금형평가 추가확인사항(050621) 2" xfId="1326"/>
    <cellStyle name="_기안" xfId="1327"/>
    <cellStyle name="_기안_1" xfId="1328"/>
    <cellStyle name="_기안_2" xfId="1329"/>
    <cellStyle name="_기안_2_03연구소율" xfId="1330"/>
    <cellStyle name="_기안_2_03연구소율(용역)" xfId="1331"/>
    <cellStyle name="_기안_2_백상어시뮬레이터추산서0128" xfId="1332"/>
    <cellStyle name="_기안_2_백상어시뮬레이터추산서0129" xfId="1333"/>
    <cellStyle name="_기안_2_수정원가계산양식" xfId="1334"/>
    <cellStyle name="_기안_2_수정원가현황" xfId="1335"/>
    <cellStyle name="_기안_2_함대함 마이크로파 탐색기" xfId="1336"/>
    <cellStyle name="_기안_2_함대함유도탄종합점검장비2차 DT보완외시제 원가추산서2" xfId="1337"/>
    <cellStyle name="_기안_3" xfId="1338"/>
    <cellStyle name="_기안_4" xfId="1339"/>
    <cellStyle name="_기존센서보드레벨" xfId="1340"/>
    <cellStyle name="_기존센서보드레벨_GCUBD별pl2" xfId="1341"/>
    <cellStyle name="_기존센서보드레벨_국내개발센서보드레벨" xfId="1342"/>
    <cellStyle name="_기존센서보드레벨_데이터베이스구축" xfId="1343"/>
    <cellStyle name="_담당자" xfId="1345"/>
    <cellStyle name="_백상어시뮬레이터추산서0128-1안" xfId="1346"/>
    <cellStyle name="_본사송부(WSS020409)" xfId="1347"/>
    <cellStyle name="_본사송부(WSS030127)" xfId="1348"/>
    <cellStyle name="_상각비율" xfId="1349"/>
    <cellStyle name="_수정경비율1120" xfId="1350"/>
    <cellStyle name="_시제원가추산(추정)" xfId="1351"/>
    <cellStyle name="_원가절감PL_김보미_071031" xfId="1352"/>
    <cellStyle name="_원가추산서(0318조정제출)" xfId="1353"/>
    <cellStyle name="_일정" xfId="1354"/>
    <cellStyle name="_주단조 경고미실시(050120)" xfId="1355"/>
    <cellStyle name="_주단조 경고미실시(050120) 2" xfId="1356"/>
    <cellStyle name="_주단조 정기평가결과(050118)" xfId="1357"/>
    <cellStyle name="_주단조 정기평가결과(050118) 2" xfId="1358"/>
    <cellStyle name="_주단조 정기평가품의(20040830)" xfId="1359"/>
    <cellStyle name="_주단조 정기평가품의(20040830) 2" xfId="1360"/>
    <cellStyle name="_주단조 평가완료및 미실시업체(050118)" xfId="1361"/>
    <cellStyle name="_주단조 평가완료및 미실시업체(050118) 2" xfId="1362"/>
    <cellStyle name="_청상어체계개발원가추산1" xfId="1363"/>
    <cellStyle name="_특별평가요청서" xfId="1364"/>
    <cellStyle name="_특별평가요청서 2" xfId="1365"/>
    <cellStyle name="_품질보증계획_가속기_0603_v1.0_060413" xfId="1366"/>
    <cellStyle name="_함대함ILS_노무공수" xfId="1367"/>
    <cellStyle name="_納期回答 090520_41184" xfId="1344"/>
    <cellStyle name="`MCvt/ASP" xfId="1368"/>
    <cellStyle name="`NACSP1.YMM0_x0001_ဠ" xfId="1369"/>
    <cellStyle name="¡ERIiU¡ERE?¡ERER ¡ERE?A¡ERE¡ERIA CIAI¡ER￠R¡¿￠RERU¡ERE¡ER¨I¡ⓒ¡ERIiA¡ER￠R¡¿I" xfId="1370"/>
    <cellStyle name="’E‰Y [0.00]_laroux" xfId="1371"/>
    <cellStyle name="’E‰Y_laroux" xfId="1372"/>
    <cellStyle name="￠R¡×Ioe¡ER￠R¡¿¡ER¨I¡ⓒ¡ER￠R¡¿¡EREA￠R¡×I¡ERA_AIAIC￠RER￠R¡×¡ERAuCoE￠R¡×I¡ERA " xfId="1373"/>
    <cellStyle name="¤@?e_TEST-1 " xfId="1374"/>
    <cellStyle name="©öe¨¬¨¢A©÷_AIAIC¡ÆAuCoE©÷ " xfId="1375"/>
    <cellStyle name="°iA¤Aa·A1_10¿u2WA¸ºI " xfId="1376"/>
    <cellStyle name="°iA¤Aa·A2_10¿u2WA¸ºI " xfId="1377"/>
    <cellStyle name="0뾍R_x0005_?뾍b_x0005_" xfId="1378"/>
    <cellStyle name="0뾍R_x0005_?뾍b_x0005_ 2" xfId="1379"/>
    <cellStyle name="1" xfId="1380"/>
    <cellStyle name="1 2" xfId="1381"/>
    <cellStyle name="1 3" xfId="1382"/>
    <cellStyle name="1_J7053785A" xfId="1383"/>
    <cellStyle name="1_J7153399A" xfId="1384"/>
    <cellStyle name="1_J7153400A" xfId="1385"/>
    <cellStyle name="10" xfId="1386"/>
    <cellStyle name="100" xfId="1387"/>
    <cellStyle name="100 2" xfId="1388"/>
    <cellStyle name="100 2 2" xfId="1389"/>
    <cellStyle name="100 3" xfId="1390"/>
    <cellStyle name="100 3 2" xfId="1391"/>
    <cellStyle name="100 4" xfId="1392"/>
    <cellStyle name="100 4 2" xfId="1393"/>
    <cellStyle name="100 5" xfId="1394"/>
    <cellStyle name="100 5 2" xfId="1395"/>
    <cellStyle name="100 6" xfId="1396"/>
    <cellStyle name="100 6 2" xfId="1397"/>
    <cellStyle name="100 7" xfId="1398"/>
    <cellStyle name="100 7 2" xfId="1399"/>
    <cellStyle name="100 8" xfId="1400"/>
    <cellStyle name="100 8 2" xfId="1401"/>
    <cellStyle name="100 9" xfId="1402"/>
    <cellStyle name="100 9 2" xfId="1403"/>
    <cellStyle name="120" xfId="1404"/>
    <cellStyle name="120 2" xfId="1405"/>
    <cellStyle name="120 2 2" xfId="1406"/>
    <cellStyle name="120 3" xfId="1407"/>
    <cellStyle name="120 3 2" xfId="1408"/>
    <cellStyle name="120 4" xfId="1409"/>
    <cellStyle name="120 4 2" xfId="1410"/>
    <cellStyle name="120 5" xfId="1411"/>
    <cellStyle name="120 5 2" xfId="1412"/>
    <cellStyle name="120 6" xfId="1413"/>
    <cellStyle name="120 6 2" xfId="1414"/>
    <cellStyle name="120 7" xfId="1415"/>
    <cellStyle name="120 7 2" xfId="1416"/>
    <cellStyle name="120 8" xfId="1417"/>
    <cellStyle name="120 8 2" xfId="1418"/>
    <cellStyle name="120 9" xfId="1419"/>
    <cellStyle name="120 9 2" xfId="1420"/>
    <cellStyle name="¹eºÐA²_±aA¸" xfId="1421"/>
    <cellStyle name="¹éºÐÀ²_ÀÏÀÏÇ°ÁúÇöÈ² " xfId="1422"/>
    <cellStyle name="20% - Accent1 2" xfId="1424"/>
    <cellStyle name="20% - Accent1 2 2" xfId="1425"/>
    <cellStyle name="20% - Accent1 3" xfId="1426"/>
    <cellStyle name="20% - Accent1 3 2" xfId="1427"/>
    <cellStyle name="20% - Accent1 3 2 2" xfId="1428"/>
    <cellStyle name="20% - Accent1 4" xfId="1429"/>
    <cellStyle name="20% - Accent1 5" xfId="1423"/>
    <cellStyle name="20% - Accent2 2" xfId="1431"/>
    <cellStyle name="20% - Accent2 2 2" xfId="1432"/>
    <cellStyle name="20% - Accent2 3" xfId="1433"/>
    <cellStyle name="20% - Accent2 3 2" xfId="1434"/>
    <cellStyle name="20% - Accent2 3 2 2" xfId="1435"/>
    <cellStyle name="20% - Accent2 4" xfId="1436"/>
    <cellStyle name="20% - Accent2 5" xfId="1430"/>
    <cellStyle name="20% - Accent3 2" xfId="1438"/>
    <cellStyle name="20% - Accent3 2 2" xfId="1439"/>
    <cellStyle name="20% - Accent3 3" xfId="1440"/>
    <cellStyle name="20% - Accent3 3 2" xfId="1441"/>
    <cellStyle name="20% - Accent3 3 2 2" xfId="1442"/>
    <cellStyle name="20% - Accent3 4" xfId="1443"/>
    <cellStyle name="20% - Accent3 5" xfId="1437"/>
    <cellStyle name="20% - Accent4 2" xfId="1445"/>
    <cellStyle name="20% - Accent4 2 2" xfId="1446"/>
    <cellStyle name="20% - Accent4 3" xfId="1447"/>
    <cellStyle name="20% - Accent4 3 2" xfId="1448"/>
    <cellStyle name="20% - Accent4 3 2 2" xfId="1449"/>
    <cellStyle name="20% - Accent4 4" xfId="1450"/>
    <cellStyle name="20% - Accent4 5" xfId="1444"/>
    <cellStyle name="20% - Accent5 2" xfId="1452"/>
    <cellStyle name="20% - Accent5 2 2" xfId="1453"/>
    <cellStyle name="20% - Accent5 3" xfId="1454"/>
    <cellStyle name="20% - Accent5 3 2" xfId="1455"/>
    <cellStyle name="20% - Accent5 3 2 2" xfId="1456"/>
    <cellStyle name="20% - Accent5 4" xfId="1457"/>
    <cellStyle name="20% - Accent5 5" xfId="1451"/>
    <cellStyle name="20% - Accent6 2" xfId="1459"/>
    <cellStyle name="20% - Accent6 2 2" xfId="1460"/>
    <cellStyle name="20% - Accent6 3" xfId="1461"/>
    <cellStyle name="20% - Accent6 3 2" xfId="1462"/>
    <cellStyle name="20% - Accent6 3 2 2" xfId="1463"/>
    <cellStyle name="20% - Accent6 4" xfId="1464"/>
    <cellStyle name="20% - Accent6 5" xfId="1458"/>
    <cellStyle name="20% - 강조색1 10" xfId="1465"/>
    <cellStyle name="20% - 강조색1 10 2" xfId="1466"/>
    <cellStyle name="20% - 강조색1 10 2 2" xfId="1467"/>
    <cellStyle name="20% - 강조색1 10 2 2 2" xfId="1468"/>
    <cellStyle name="20% - 강조색1 10 2 2 2 2" xfId="1469"/>
    <cellStyle name="20% - 강조색1 10 2 2 2 3" xfId="1470"/>
    <cellStyle name="20% - 강조색1 10 2 2 3" xfId="1471"/>
    <cellStyle name="20% - 강조색1 10 2 2 4" xfId="1472"/>
    <cellStyle name="20% - 강조색1 10 2 3" xfId="1473"/>
    <cellStyle name="20% - 강조색1 10 2 3 2" xfId="1474"/>
    <cellStyle name="20% - 강조색1 10 2 3 3" xfId="1475"/>
    <cellStyle name="20% - 강조색1 10 2 4" xfId="1476"/>
    <cellStyle name="20% - 강조색1 10 2 5" xfId="1477"/>
    <cellStyle name="20% - 강조색1 10 3" xfId="1478"/>
    <cellStyle name="20% - 강조색1 10 3 2" xfId="1479"/>
    <cellStyle name="20% - 강조색1 10 3 2 2" xfId="1480"/>
    <cellStyle name="20% - 강조색1 10 3 2 2 2" xfId="1481"/>
    <cellStyle name="20% - 강조색1 10 3 2 2 3" xfId="1482"/>
    <cellStyle name="20% - 강조색1 10 3 2 3" xfId="1483"/>
    <cellStyle name="20% - 강조색1 10 3 2 4" xfId="1484"/>
    <cellStyle name="20% - 강조색1 10 3 3" xfId="1485"/>
    <cellStyle name="20% - 강조색1 10 3 3 2" xfId="1486"/>
    <cellStyle name="20% - 강조색1 10 3 3 3" xfId="1487"/>
    <cellStyle name="20% - 강조색1 10 3 4" xfId="1488"/>
    <cellStyle name="20% - 강조색1 10 3 5" xfId="1489"/>
    <cellStyle name="20% - 강조색1 10 4" xfId="1490"/>
    <cellStyle name="20% - 강조색1 10 4 2" xfId="1491"/>
    <cellStyle name="20% - 강조색1 10 4 2 2" xfId="1492"/>
    <cellStyle name="20% - 강조색1 10 4 2 3" xfId="1493"/>
    <cellStyle name="20% - 강조색1 10 4 3" xfId="1494"/>
    <cellStyle name="20% - 강조색1 10 4 4" xfId="1495"/>
    <cellStyle name="20% - 강조색1 10 5" xfId="1496"/>
    <cellStyle name="20% - 강조색1 10 5 2" xfId="1497"/>
    <cellStyle name="20% - 강조색1 10 5 3" xfId="1498"/>
    <cellStyle name="20% - 강조색1 10 6" xfId="1499"/>
    <cellStyle name="20% - 강조색1 10 7" xfId="1500"/>
    <cellStyle name="20% - 강조색1 11" xfId="1501"/>
    <cellStyle name="20% - 강조색1 11 2" xfId="1502"/>
    <cellStyle name="20% - 강조색1 11 2 2" xfId="1503"/>
    <cellStyle name="20% - 강조색1 11 2 2 2" xfId="1504"/>
    <cellStyle name="20% - 강조색1 11 2 2 3" xfId="1505"/>
    <cellStyle name="20% - 강조색1 11 2 3" xfId="1506"/>
    <cellStyle name="20% - 강조색1 11 2 4" xfId="1507"/>
    <cellStyle name="20% - 강조색1 11 3" xfId="1508"/>
    <cellStyle name="20% - 강조색1 11 3 2" xfId="1509"/>
    <cellStyle name="20% - 강조색1 11 3 3" xfId="1510"/>
    <cellStyle name="20% - 강조색1 11 4" xfId="1511"/>
    <cellStyle name="20% - 강조색1 11 5" xfId="1512"/>
    <cellStyle name="20% - 강조색1 12" xfId="1513"/>
    <cellStyle name="20% - 강조색1 12 2" xfId="1514"/>
    <cellStyle name="20% - 강조색1 12 2 2" xfId="1515"/>
    <cellStyle name="20% - 강조색1 12 2 2 2" xfId="1516"/>
    <cellStyle name="20% - 강조색1 12 2 2 3" xfId="1517"/>
    <cellStyle name="20% - 강조색1 12 2 3" xfId="1518"/>
    <cellStyle name="20% - 강조색1 12 2 4" xfId="1519"/>
    <cellStyle name="20% - 강조색1 12 3" xfId="1520"/>
    <cellStyle name="20% - 강조색1 12 3 2" xfId="1521"/>
    <cellStyle name="20% - 강조색1 12 3 3" xfId="1522"/>
    <cellStyle name="20% - 강조색1 12 4" xfId="1523"/>
    <cellStyle name="20% - 강조색1 12 5" xfId="1524"/>
    <cellStyle name="20% - 강조색1 13" xfId="1525"/>
    <cellStyle name="20% - 강조색1 13 2" xfId="1526"/>
    <cellStyle name="20% - 강조색1 13 2 2" xfId="1527"/>
    <cellStyle name="20% - 강조색1 13 2 3" xfId="1528"/>
    <cellStyle name="20% - 강조색1 13 3" xfId="1529"/>
    <cellStyle name="20% - 강조색1 13 4" xfId="1530"/>
    <cellStyle name="20% - 강조색1 14" xfId="1531"/>
    <cellStyle name="20% - 강조색1 14 2" xfId="1532"/>
    <cellStyle name="20% - 강조색1 14 2 2" xfId="1533"/>
    <cellStyle name="20% - 강조색1 14 2 3" xfId="1534"/>
    <cellStyle name="20% - 강조색1 14 3" xfId="1535"/>
    <cellStyle name="20% - 강조색1 14 4" xfId="1536"/>
    <cellStyle name="20% - 강조색1 15" xfId="1537"/>
    <cellStyle name="20% - 강조색1 15 2" xfId="1538"/>
    <cellStyle name="20% - 강조색1 15 3" xfId="1539"/>
    <cellStyle name="20% - 강조색1 16" xfId="1540"/>
    <cellStyle name="20% - 강조색1 16 2" xfId="1541"/>
    <cellStyle name="20% - 강조색1 16 3" xfId="1542"/>
    <cellStyle name="20% - 강조색1 16 4" xfId="1543"/>
    <cellStyle name="20% - 강조색1 17" xfId="1544"/>
    <cellStyle name="20% - 강조색1 17 2" xfId="1545"/>
    <cellStyle name="20% - 강조색1 17 3" xfId="1546"/>
    <cellStyle name="20% - 강조색1 18" xfId="1547"/>
    <cellStyle name="20% - 강조색1 18 2" xfId="1548"/>
    <cellStyle name="20% - 강조색1 18 3" xfId="1549"/>
    <cellStyle name="20% - 강조색1 19" xfId="1550"/>
    <cellStyle name="20% - 강조색1 19 2" xfId="1551"/>
    <cellStyle name="20% - 강조색1 19 3" xfId="1552"/>
    <cellStyle name="20% - 강조색1 2" xfId="1553"/>
    <cellStyle name="20% - 강조색1 2 2" xfId="1554"/>
    <cellStyle name="20% - 강조색1 2 2 2" xfId="1555"/>
    <cellStyle name="20% - 강조색1 2 2 2 2" xfId="1556"/>
    <cellStyle name="20% - 강조색1 2 2 3" xfId="1557"/>
    <cellStyle name="20% - 강조색1 2 3" xfId="1558"/>
    <cellStyle name="20% - 강조색1 2 3 2" xfId="1559"/>
    <cellStyle name="20% - 강조색1 2 3 2 2" xfId="1560"/>
    <cellStyle name="20% - 강조색1 2 3 3" xfId="1561"/>
    <cellStyle name="20% - 강조색1 2 4" xfId="1562"/>
    <cellStyle name="20% - 강조색1 2 4 2" xfId="1563"/>
    <cellStyle name="20% - 강조색1 2 5" xfId="1564"/>
    <cellStyle name="20% - 강조색1 2 6" xfId="1565"/>
    <cellStyle name="20% - 강조색1 20" xfId="1566"/>
    <cellStyle name="20% - 강조색1 20 2" xfId="1567"/>
    <cellStyle name="20% - 강조색1 20 3" xfId="1568"/>
    <cellStyle name="20% - 강조색1 21" xfId="1569"/>
    <cellStyle name="20% - 강조색1 21 2" xfId="1570"/>
    <cellStyle name="20% - 강조색1 21 3" xfId="1571"/>
    <cellStyle name="20% - 강조색1 22" xfId="1572"/>
    <cellStyle name="20% - 강조색1 22 2" xfId="1573"/>
    <cellStyle name="20% - 강조색1 22 3" xfId="1574"/>
    <cellStyle name="20% - 강조색1 23" xfId="1575"/>
    <cellStyle name="20% - 강조색1 23 2" xfId="1576"/>
    <cellStyle name="20% - 강조색1 23 3" xfId="1577"/>
    <cellStyle name="20% - 강조색1 24" xfId="1578"/>
    <cellStyle name="20% - 강조색1 24 2" xfId="1579"/>
    <cellStyle name="20% - 강조색1 25" xfId="1580"/>
    <cellStyle name="20% - 강조색1 25 2" xfId="1581"/>
    <cellStyle name="20% - 강조색1 26" xfId="1582"/>
    <cellStyle name="20% - 강조색1 26 2" xfId="1583"/>
    <cellStyle name="20% - 강조색1 27" xfId="1584"/>
    <cellStyle name="20% - 강조색1 27 2" xfId="1585"/>
    <cellStyle name="20% - 강조색1 28" xfId="1586"/>
    <cellStyle name="20% - 강조색1 28 2" xfId="1587"/>
    <cellStyle name="20% - 강조색1 29" xfId="1588"/>
    <cellStyle name="20% - 강조색1 29 2" xfId="1589"/>
    <cellStyle name="20% - 강조색1 3" xfId="1590"/>
    <cellStyle name="20% - 강조색1 3 10" xfId="1591"/>
    <cellStyle name="20% - 강조색1 3 10 2" xfId="1592"/>
    <cellStyle name="20% - 강조색1 3 10 2 2" xfId="1593"/>
    <cellStyle name="20% - 강조색1 3 10 2 3" xfId="1594"/>
    <cellStyle name="20% - 강조색1 3 10 3" xfId="1595"/>
    <cellStyle name="20% - 강조색1 3 10 4" xfId="1596"/>
    <cellStyle name="20% - 강조색1 3 11" xfId="1597"/>
    <cellStyle name="20% - 강조색1 3 11 2" xfId="1598"/>
    <cellStyle name="20% - 강조색1 3 11 3" xfId="1599"/>
    <cellStyle name="20% - 강조색1 3 12" xfId="1600"/>
    <cellStyle name="20% - 강조색1 3 13" xfId="1601"/>
    <cellStyle name="20% - 강조색1 3 14" xfId="1602"/>
    <cellStyle name="20% - 강조색1 3 15" xfId="1603"/>
    <cellStyle name="20% - 강조색1 3 2" xfId="1604"/>
    <cellStyle name="20% - 강조색1 3 2 10" xfId="1605"/>
    <cellStyle name="20% - 강조색1 3 2 11" xfId="1606"/>
    <cellStyle name="20% - 강조색1 3 2 12" xfId="1607"/>
    <cellStyle name="20% - 강조색1 3 2 2" xfId="1608"/>
    <cellStyle name="20% - 강조색1 3 2 2 2" xfId="1609"/>
    <cellStyle name="20% - 강조색1 3 2 2 2 2" xfId="1610"/>
    <cellStyle name="20% - 강조색1 3 2 2 2 2 2" xfId="1611"/>
    <cellStyle name="20% - 강조색1 3 2 2 2 2 2 2" xfId="1612"/>
    <cellStyle name="20% - 강조색1 3 2 2 2 2 2 3" xfId="1613"/>
    <cellStyle name="20% - 강조색1 3 2 2 2 2 3" xfId="1614"/>
    <cellStyle name="20% - 강조색1 3 2 2 2 2 4" xfId="1615"/>
    <cellStyle name="20% - 강조색1 3 2 2 2 3" xfId="1616"/>
    <cellStyle name="20% - 강조색1 3 2 2 2 3 2" xfId="1617"/>
    <cellStyle name="20% - 강조색1 3 2 2 2 3 3" xfId="1618"/>
    <cellStyle name="20% - 강조색1 3 2 2 2 4" xfId="1619"/>
    <cellStyle name="20% - 강조색1 3 2 2 2 5" xfId="1620"/>
    <cellStyle name="20% - 강조색1 3 2 2 3" xfId="1621"/>
    <cellStyle name="20% - 강조색1 3 2 2 3 2" xfId="1622"/>
    <cellStyle name="20% - 강조색1 3 2 2 3 2 2" xfId="1623"/>
    <cellStyle name="20% - 강조색1 3 2 2 3 2 2 2" xfId="1624"/>
    <cellStyle name="20% - 강조색1 3 2 2 3 2 2 3" xfId="1625"/>
    <cellStyle name="20% - 강조색1 3 2 2 3 2 3" xfId="1626"/>
    <cellStyle name="20% - 강조색1 3 2 2 3 2 4" xfId="1627"/>
    <cellStyle name="20% - 강조색1 3 2 2 3 3" xfId="1628"/>
    <cellStyle name="20% - 강조색1 3 2 2 3 3 2" xfId="1629"/>
    <cellStyle name="20% - 강조색1 3 2 2 3 3 3" xfId="1630"/>
    <cellStyle name="20% - 강조색1 3 2 2 3 4" xfId="1631"/>
    <cellStyle name="20% - 강조색1 3 2 2 3 5" xfId="1632"/>
    <cellStyle name="20% - 강조색1 3 2 2 4" xfId="1633"/>
    <cellStyle name="20% - 강조색1 3 2 2 4 2" xfId="1634"/>
    <cellStyle name="20% - 강조색1 3 2 2 4 2 2" xfId="1635"/>
    <cellStyle name="20% - 강조색1 3 2 2 4 2 3" xfId="1636"/>
    <cellStyle name="20% - 강조색1 3 2 2 4 3" xfId="1637"/>
    <cellStyle name="20% - 강조색1 3 2 2 4 4" xfId="1638"/>
    <cellStyle name="20% - 강조색1 3 2 2 5" xfId="1639"/>
    <cellStyle name="20% - 강조색1 3 2 2 5 2" xfId="1640"/>
    <cellStyle name="20% - 강조색1 3 2 2 5 3" xfId="1641"/>
    <cellStyle name="20% - 강조색1 3 2 2 6" xfId="1642"/>
    <cellStyle name="20% - 강조색1 3 2 2 7" xfId="1643"/>
    <cellStyle name="20% - 강조색1 3 2 2 8" xfId="1644"/>
    <cellStyle name="20% - 강조색1 3 2 2 9" xfId="1645"/>
    <cellStyle name="20% - 강조색1 3 2 3" xfId="1646"/>
    <cellStyle name="20% - 강조색1 3 2 3 2" xfId="1647"/>
    <cellStyle name="20% - 강조색1 3 2 3 2 2" xfId="1648"/>
    <cellStyle name="20% - 강조색1 3 2 3 2 2 2" xfId="1649"/>
    <cellStyle name="20% - 강조색1 3 2 3 2 2 2 2" xfId="1650"/>
    <cellStyle name="20% - 강조색1 3 2 3 2 2 2 3" xfId="1651"/>
    <cellStyle name="20% - 강조색1 3 2 3 2 2 3" xfId="1652"/>
    <cellStyle name="20% - 강조색1 3 2 3 2 2 4" xfId="1653"/>
    <cellStyle name="20% - 강조색1 3 2 3 2 3" xfId="1654"/>
    <cellStyle name="20% - 강조색1 3 2 3 2 3 2" xfId="1655"/>
    <cellStyle name="20% - 강조색1 3 2 3 2 3 3" xfId="1656"/>
    <cellStyle name="20% - 강조색1 3 2 3 2 4" xfId="1657"/>
    <cellStyle name="20% - 강조색1 3 2 3 2 5" xfId="1658"/>
    <cellStyle name="20% - 강조색1 3 2 3 3" xfId="1659"/>
    <cellStyle name="20% - 강조색1 3 2 3 3 2" xfId="1660"/>
    <cellStyle name="20% - 강조색1 3 2 3 3 2 2" xfId="1661"/>
    <cellStyle name="20% - 강조색1 3 2 3 3 2 2 2" xfId="1662"/>
    <cellStyle name="20% - 강조색1 3 2 3 3 2 2 3" xfId="1663"/>
    <cellStyle name="20% - 강조색1 3 2 3 3 2 3" xfId="1664"/>
    <cellStyle name="20% - 강조색1 3 2 3 3 2 4" xfId="1665"/>
    <cellStyle name="20% - 강조색1 3 2 3 3 3" xfId="1666"/>
    <cellStyle name="20% - 강조색1 3 2 3 3 3 2" xfId="1667"/>
    <cellStyle name="20% - 강조색1 3 2 3 3 3 3" xfId="1668"/>
    <cellStyle name="20% - 강조색1 3 2 3 3 4" xfId="1669"/>
    <cellStyle name="20% - 강조색1 3 2 3 3 5" xfId="1670"/>
    <cellStyle name="20% - 강조색1 3 2 3 4" xfId="1671"/>
    <cellStyle name="20% - 강조색1 3 2 3 4 2" xfId="1672"/>
    <cellStyle name="20% - 강조색1 3 2 3 4 2 2" xfId="1673"/>
    <cellStyle name="20% - 강조색1 3 2 3 4 2 3" xfId="1674"/>
    <cellStyle name="20% - 강조색1 3 2 3 4 3" xfId="1675"/>
    <cellStyle name="20% - 강조색1 3 2 3 4 4" xfId="1676"/>
    <cellStyle name="20% - 강조색1 3 2 3 5" xfId="1677"/>
    <cellStyle name="20% - 강조색1 3 2 3 5 2" xfId="1678"/>
    <cellStyle name="20% - 강조색1 3 2 3 5 3" xfId="1679"/>
    <cellStyle name="20% - 강조색1 3 2 3 6" xfId="1680"/>
    <cellStyle name="20% - 강조색1 3 2 3 7" xfId="1681"/>
    <cellStyle name="20% - 강조색1 3 2 4" xfId="1682"/>
    <cellStyle name="20% - 강조색1 3 2 4 2" xfId="1683"/>
    <cellStyle name="20% - 강조색1 3 2 4 2 2" xfId="1684"/>
    <cellStyle name="20% - 강조색1 3 2 4 2 2 2" xfId="1685"/>
    <cellStyle name="20% - 강조색1 3 2 4 2 2 3" xfId="1686"/>
    <cellStyle name="20% - 강조색1 3 2 4 2 3" xfId="1687"/>
    <cellStyle name="20% - 강조색1 3 2 4 2 4" xfId="1688"/>
    <cellStyle name="20% - 강조색1 3 2 4 3" xfId="1689"/>
    <cellStyle name="20% - 강조색1 3 2 4 3 2" xfId="1690"/>
    <cellStyle name="20% - 강조색1 3 2 4 3 3" xfId="1691"/>
    <cellStyle name="20% - 강조색1 3 2 4 4" xfId="1692"/>
    <cellStyle name="20% - 강조색1 3 2 4 5" xfId="1693"/>
    <cellStyle name="20% - 강조색1 3 2 5" xfId="1694"/>
    <cellStyle name="20% - 강조색1 3 2 5 2" xfId="1695"/>
    <cellStyle name="20% - 강조색1 3 2 5 2 2" xfId="1696"/>
    <cellStyle name="20% - 강조색1 3 2 5 2 2 2" xfId="1697"/>
    <cellStyle name="20% - 강조색1 3 2 5 2 2 3" xfId="1698"/>
    <cellStyle name="20% - 강조색1 3 2 5 2 3" xfId="1699"/>
    <cellStyle name="20% - 강조색1 3 2 5 2 4" xfId="1700"/>
    <cellStyle name="20% - 강조색1 3 2 5 3" xfId="1701"/>
    <cellStyle name="20% - 강조색1 3 2 5 3 2" xfId="1702"/>
    <cellStyle name="20% - 강조색1 3 2 5 3 3" xfId="1703"/>
    <cellStyle name="20% - 강조색1 3 2 5 4" xfId="1704"/>
    <cellStyle name="20% - 강조색1 3 2 5 5" xfId="1705"/>
    <cellStyle name="20% - 강조색1 3 2 6" xfId="1706"/>
    <cellStyle name="20% - 강조색1 3 2 6 2" xfId="1707"/>
    <cellStyle name="20% - 강조색1 3 2 6 2 2" xfId="1708"/>
    <cellStyle name="20% - 강조색1 3 2 6 2 2 2" xfId="1709"/>
    <cellStyle name="20% - 강조색1 3 2 6 2 2 3" xfId="1710"/>
    <cellStyle name="20% - 강조색1 3 2 6 2 3" xfId="1711"/>
    <cellStyle name="20% - 강조색1 3 2 6 2 4" xfId="1712"/>
    <cellStyle name="20% - 강조색1 3 2 6 3" xfId="1713"/>
    <cellStyle name="20% - 강조색1 3 2 6 3 2" xfId="1714"/>
    <cellStyle name="20% - 강조색1 3 2 6 3 3" xfId="1715"/>
    <cellStyle name="20% - 강조색1 3 2 6 4" xfId="1716"/>
    <cellStyle name="20% - 강조색1 3 2 6 5" xfId="1717"/>
    <cellStyle name="20% - 강조색1 3 2 7" xfId="1718"/>
    <cellStyle name="20% - 강조색1 3 2 7 2" xfId="1719"/>
    <cellStyle name="20% - 강조색1 3 2 7 2 2" xfId="1720"/>
    <cellStyle name="20% - 강조색1 3 2 7 2 3" xfId="1721"/>
    <cellStyle name="20% - 강조색1 3 2 7 3" xfId="1722"/>
    <cellStyle name="20% - 강조색1 3 2 7 4" xfId="1723"/>
    <cellStyle name="20% - 강조색1 3 2 8" xfId="1724"/>
    <cellStyle name="20% - 강조색1 3 2 8 2" xfId="1725"/>
    <cellStyle name="20% - 강조색1 3 2 8 3" xfId="1726"/>
    <cellStyle name="20% - 강조색1 3 2 9" xfId="1727"/>
    <cellStyle name="20% - 강조색1 3 3" xfId="1728"/>
    <cellStyle name="20% - 강조색1 3 3 10" xfId="1729"/>
    <cellStyle name="20% - 강조색1 3 3 11" xfId="1730"/>
    <cellStyle name="20% - 강조색1 3 3 12" xfId="1731"/>
    <cellStyle name="20% - 강조색1 3 3 2" xfId="1732"/>
    <cellStyle name="20% - 강조색1 3 3 2 2" xfId="1733"/>
    <cellStyle name="20% - 강조색1 3 3 2 2 2" xfId="1734"/>
    <cellStyle name="20% - 강조색1 3 3 2 2 2 2" xfId="1735"/>
    <cellStyle name="20% - 강조색1 3 3 2 2 2 2 2" xfId="1736"/>
    <cellStyle name="20% - 강조색1 3 3 2 2 2 2 3" xfId="1737"/>
    <cellStyle name="20% - 강조색1 3 3 2 2 2 3" xfId="1738"/>
    <cellStyle name="20% - 강조색1 3 3 2 2 2 4" xfId="1739"/>
    <cellStyle name="20% - 강조색1 3 3 2 2 3" xfId="1740"/>
    <cellStyle name="20% - 강조색1 3 3 2 2 3 2" xfId="1741"/>
    <cellStyle name="20% - 강조색1 3 3 2 2 3 3" xfId="1742"/>
    <cellStyle name="20% - 강조색1 3 3 2 2 4" xfId="1743"/>
    <cellStyle name="20% - 강조색1 3 3 2 2 5" xfId="1744"/>
    <cellStyle name="20% - 강조색1 3 3 2 3" xfId="1745"/>
    <cellStyle name="20% - 강조색1 3 3 2 3 2" xfId="1746"/>
    <cellStyle name="20% - 강조색1 3 3 2 3 2 2" xfId="1747"/>
    <cellStyle name="20% - 강조색1 3 3 2 3 2 2 2" xfId="1748"/>
    <cellStyle name="20% - 강조색1 3 3 2 3 2 2 3" xfId="1749"/>
    <cellStyle name="20% - 강조색1 3 3 2 3 2 3" xfId="1750"/>
    <cellStyle name="20% - 강조색1 3 3 2 3 2 4" xfId="1751"/>
    <cellStyle name="20% - 강조색1 3 3 2 3 3" xfId="1752"/>
    <cellStyle name="20% - 강조색1 3 3 2 3 3 2" xfId="1753"/>
    <cellStyle name="20% - 강조색1 3 3 2 3 3 3" xfId="1754"/>
    <cellStyle name="20% - 강조색1 3 3 2 3 4" xfId="1755"/>
    <cellStyle name="20% - 강조색1 3 3 2 3 5" xfId="1756"/>
    <cellStyle name="20% - 강조색1 3 3 2 4" xfId="1757"/>
    <cellStyle name="20% - 강조색1 3 3 2 4 2" xfId="1758"/>
    <cellStyle name="20% - 강조색1 3 3 2 4 2 2" xfId="1759"/>
    <cellStyle name="20% - 강조색1 3 3 2 4 2 3" xfId="1760"/>
    <cellStyle name="20% - 강조색1 3 3 2 4 3" xfId="1761"/>
    <cellStyle name="20% - 강조색1 3 3 2 4 4" xfId="1762"/>
    <cellStyle name="20% - 강조색1 3 3 2 5" xfId="1763"/>
    <cellStyle name="20% - 강조색1 3 3 2 5 2" xfId="1764"/>
    <cellStyle name="20% - 강조색1 3 3 2 5 3" xfId="1765"/>
    <cellStyle name="20% - 강조색1 3 3 2 6" xfId="1766"/>
    <cellStyle name="20% - 강조색1 3 3 2 7" xfId="1767"/>
    <cellStyle name="20% - 강조색1 3 3 2 8" xfId="1768"/>
    <cellStyle name="20% - 강조색1 3 3 2 9" xfId="1769"/>
    <cellStyle name="20% - 강조색1 3 3 3" xfId="1770"/>
    <cellStyle name="20% - 강조색1 3 3 3 2" xfId="1771"/>
    <cellStyle name="20% - 강조색1 3 3 3 2 2" xfId="1772"/>
    <cellStyle name="20% - 강조색1 3 3 3 2 2 2" xfId="1773"/>
    <cellStyle name="20% - 강조색1 3 3 3 2 2 2 2" xfId="1774"/>
    <cellStyle name="20% - 강조색1 3 3 3 2 2 2 3" xfId="1775"/>
    <cellStyle name="20% - 강조색1 3 3 3 2 2 3" xfId="1776"/>
    <cellStyle name="20% - 강조색1 3 3 3 2 2 4" xfId="1777"/>
    <cellStyle name="20% - 강조색1 3 3 3 2 3" xfId="1778"/>
    <cellStyle name="20% - 강조색1 3 3 3 2 3 2" xfId="1779"/>
    <cellStyle name="20% - 강조색1 3 3 3 2 3 3" xfId="1780"/>
    <cellStyle name="20% - 강조색1 3 3 3 2 4" xfId="1781"/>
    <cellStyle name="20% - 강조색1 3 3 3 2 5" xfId="1782"/>
    <cellStyle name="20% - 강조색1 3 3 3 3" xfId="1783"/>
    <cellStyle name="20% - 강조색1 3 3 3 3 2" xfId="1784"/>
    <cellStyle name="20% - 강조색1 3 3 3 3 2 2" xfId="1785"/>
    <cellStyle name="20% - 강조색1 3 3 3 3 2 2 2" xfId="1786"/>
    <cellStyle name="20% - 강조색1 3 3 3 3 2 2 3" xfId="1787"/>
    <cellStyle name="20% - 강조색1 3 3 3 3 2 3" xfId="1788"/>
    <cellStyle name="20% - 강조색1 3 3 3 3 2 4" xfId="1789"/>
    <cellStyle name="20% - 강조색1 3 3 3 3 3" xfId="1790"/>
    <cellStyle name="20% - 강조색1 3 3 3 3 3 2" xfId="1791"/>
    <cellStyle name="20% - 강조색1 3 3 3 3 3 3" xfId="1792"/>
    <cellStyle name="20% - 강조색1 3 3 3 3 4" xfId="1793"/>
    <cellStyle name="20% - 강조색1 3 3 3 3 5" xfId="1794"/>
    <cellStyle name="20% - 강조색1 3 3 3 4" xfId="1795"/>
    <cellStyle name="20% - 강조색1 3 3 3 4 2" xfId="1796"/>
    <cellStyle name="20% - 강조색1 3 3 3 4 2 2" xfId="1797"/>
    <cellStyle name="20% - 강조색1 3 3 3 4 2 3" xfId="1798"/>
    <cellStyle name="20% - 강조색1 3 3 3 4 3" xfId="1799"/>
    <cellStyle name="20% - 강조색1 3 3 3 4 4" xfId="1800"/>
    <cellStyle name="20% - 강조색1 3 3 3 5" xfId="1801"/>
    <cellStyle name="20% - 강조색1 3 3 3 5 2" xfId="1802"/>
    <cellStyle name="20% - 강조색1 3 3 3 5 3" xfId="1803"/>
    <cellStyle name="20% - 강조색1 3 3 3 6" xfId="1804"/>
    <cellStyle name="20% - 강조색1 3 3 3 7" xfId="1805"/>
    <cellStyle name="20% - 강조색1 3 3 4" xfId="1806"/>
    <cellStyle name="20% - 강조색1 3 3 4 2" xfId="1807"/>
    <cellStyle name="20% - 강조색1 3 3 4 2 2" xfId="1808"/>
    <cellStyle name="20% - 강조색1 3 3 4 2 2 2" xfId="1809"/>
    <cellStyle name="20% - 강조색1 3 3 4 2 2 3" xfId="1810"/>
    <cellStyle name="20% - 강조색1 3 3 4 2 3" xfId="1811"/>
    <cellStyle name="20% - 강조색1 3 3 4 2 4" xfId="1812"/>
    <cellStyle name="20% - 강조색1 3 3 4 3" xfId="1813"/>
    <cellStyle name="20% - 강조색1 3 3 4 3 2" xfId="1814"/>
    <cellStyle name="20% - 강조색1 3 3 4 3 3" xfId="1815"/>
    <cellStyle name="20% - 강조색1 3 3 4 4" xfId="1816"/>
    <cellStyle name="20% - 강조색1 3 3 4 5" xfId="1817"/>
    <cellStyle name="20% - 강조색1 3 3 5" xfId="1818"/>
    <cellStyle name="20% - 강조색1 3 3 5 2" xfId="1819"/>
    <cellStyle name="20% - 강조색1 3 3 5 2 2" xfId="1820"/>
    <cellStyle name="20% - 강조색1 3 3 5 2 2 2" xfId="1821"/>
    <cellStyle name="20% - 강조색1 3 3 5 2 2 3" xfId="1822"/>
    <cellStyle name="20% - 강조색1 3 3 5 2 3" xfId="1823"/>
    <cellStyle name="20% - 강조색1 3 3 5 2 4" xfId="1824"/>
    <cellStyle name="20% - 강조색1 3 3 5 3" xfId="1825"/>
    <cellStyle name="20% - 강조색1 3 3 5 3 2" xfId="1826"/>
    <cellStyle name="20% - 강조색1 3 3 5 3 3" xfId="1827"/>
    <cellStyle name="20% - 강조색1 3 3 5 4" xfId="1828"/>
    <cellStyle name="20% - 강조색1 3 3 5 5" xfId="1829"/>
    <cellStyle name="20% - 강조색1 3 3 6" xfId="1830"/>
    <cellStyle name="20% - 강조색1 3 3 6 2" xfId="1831"/>
    <cellStyle name="20% - 강조색1 3 3 6 2 2" xfId="1832"/>
    <cellStyle name="20% - 강조색1 3 3 6 2 2 2" xfId="1833"/>
    <cellStyle name="20% - 강조색1 3 3 6 2 2 3" xfId="1834"/>
    <cellStyle name="20% - 강조색1 3 3 6 2 3" xfId="1835"/>
    <cellStyle name="20% - 강조색1 3 3 6 2 4" xfId="1836"/>
    <cellStyle name="20% - 강조색1 3 3 6 3" xfId="1837"/>
    <cellStyle name="20% - 강조색1 3 3 6 3 2" xfId="1838"/>
    <cellStyle name="20% - 강조색1 3 3 6 3 3" xfId="1839"/>
    <cellStyle name="20% - 강조색1 3 3 6 4" xfId="1840"/>
    <cellStyle name="20% - 강조색1 3 3 6 5" xfId="1841"/>
    <cellStyle name="20% - 강조색1 3 3 7" xfId="1842"/>
    <cellStyle name="20% - 강조색1 3 3 7 2" xfId="1843"/>
    <cellStyle name="20% - 강조색1 3 3 7 2 2" xfId="1844"/>
    <cellStyle name="20% - 강조색1 3 3 7 2 3" xfId="1845"/>
    <cellStyle name="20% - 강조색1 3 3 7 3" xfId="1846"/>
    <cellStyle name="20% - 강조색1 3 3 7 4" xfId="1847"/>
    <cellStyle name="20% - 강조색1 3 3 8" xfId="1848"/>
    <cellStyle name="20% - 강조색1 3 3 8 2" xfId="1849"/>
    <cellStyle name="20% - 강조색1 3 3 8 3" xfId="1850"/>
    <cellStyle name="20% - 강조색1 3 3 9" xfId="1851"/>
    <cellStyle name="20% - 강조색1 3 4" xfId="1852"/>
    <cellStyle name="20% - 강조색1 3 4 10" xfId="1853"/>
    <cellStyle name="20% - 강조색1 3 4 11" xfId="1854"/>
    <cellStyle name="20% - 강조색1 3 4 12" xfId="1855"/>
    <cellStyle name="20% - 강조색1 3 4 2" xfId="1856"/>
    <cellStyle name="20% - 강조색1 3 4 2 2" xfId="1857"/>
    <cellStyle name="20% - 강조색1 3 4 2 2 2" xfId="1858"/>
    <cellStyle name="20% - 강조색1 3 4 2 2 2 2" xfId="1859"/>
    <cellStyle name="20% - 강조색1 3 4 2 2 2 2 2" xfId="1860"/>
    <cellStyle name="20% - 강조색1 3 4 2 2 2 2 3" xfId="1861"/>
    <cellStyle name="20% - 강조색1 3 4 2 2 2 3" xfId="1862"/>
    <cellStyle name="20% - 강조색1 3 4 2 2 2 4" xfId="1863"/>
    <cellStyle name="20% - 강조색1 3 4 2 2 3" xfId="1864"/>
    <cellStyle name="20% - 강조색1 3 4 2 2 3 2" xfId="1865"/>
    <cellStyle name="20% - 강조색1 3 4 2 2 3 3" xfId="1866"/>
    <cellStyle name="20% - 강조색1 3 4 2 2 4" xfId="1867"/>
    <cellStyle name="20% - 강조색1 3 4 2 2 5" xfId="1868"/>
    <cellStyle name="20% - 강조색1 3 4 2 3" xfId="1869"/>
    <cellStyle name="20% - 강조색1 3 4 2 3 2" xfId="1870"/>
    <cellStyle name="20% - 강조색1 3 4 2 3 2 2" xfId="1871"/>
    <cellStyle name="20% - 강조색1 3 4 2 3 2 2 2" xfId="1872"/>
    <cellStyle name="20% - 강조색1 3 4 2 3 2 2 3" xfId="1873"/>
    <cellStyle name="20% - 강조색1 3 4 2 3 2 3" xfId="1874"/>
    <cellStyle name="20% - 강조색1 3 4 2 3 2 4" xfId="1875"/>
    <cellStyle name="20% - 강조색1 3 4 2 3 3" xfId="1876"/>
    <cellStyle name="20% - 강조색1 3 4 2 3 3 2" xfId="1877"/>
    <cellStyle name="20% - 강조색1 3 4 2 3 3 3" xfId="1878"/>
    <cellStyle name="20% - 강조색1 3 4 2 3 4" xfId="1879"/>
    <cellStyle name="20% - 강조색1 3 4 2 3 5" xfId="1880"/>
    <cellStyle name="20% - 강조색1 3 4 2 4" xfId="1881"/>
    <cellStyle name="20% - 강조색1 3 4 2 4 2" xfId="1882"/>
    <cellStyle name="20% - 강조색1 3 4 2 4 2 2" xfId="1883"/>
    <cellStyle name="20% - 강조색1 3 4 2 4 2 3" xfId="1884"/>
    <cellStyle name="20% - 강조색1 3 4 2 4 3" xfId="1885"/>
    <cellStyle name="20% - 강조색1 3 4 2 4 4" xfId="1886"/>
    <cellStyle name="20% - 강조색1 3 4 2 5" xfId="1887"/>
    <cellStyle name="20% - 강조색1 3 4 2 5 2" xfId="1888"/>
    <cellStyle name="20% - 강조색1 3 4 2 5 3" xfId="1889"/>
    <cellStyle name="20% - 강조색1 3 4 2 6" xfId="1890"/>
    <cellStyle name="20% - 강조색1 3 4 2 7" xfId="1891"/>
    <cellStyle name="20% - 강조색1 3 4 3" xfId="1892"/>
    <cellStyle name="20% - 강조색1 3 4 3 2" xfId="1893"/>
    <cellStyle name="20% - 강조색1 3 4 3 2 2" xfId="1894"/>
    <cellStyle name="20% - 강조색1 3 4 3 2 2 2" xfId="1895"/>
    <cellStyle name="20% - 강조색1 3 4 3 2 2 2 2" xfId="1896"/>
    <cellStyle name="20% - 강조색1 3 4 3 2 2 2 3" xfId="1897"/>
    <cellStyle name="20% - 강조색1 3 4 3 2 2 3" xfId="1898"/>
    <cellStyle name="20% - 강조색1 3 4 3 2 2 4" xfId="1899"/>
    <cellStyle name="20% - 강조색1 3 4 3 2 3" xfId="1900"/>
    <cellStyle name="20% - 강조색1 3 4 3 2 3 2" xfId="1901"/>
    <cellStyle name="20% - 강조색1 3 4 3 2 3 3" xfId="1902"/>
    <cellStyle name="20% - 강조색1 3 4 3 2 4" xfId="1903"/>
    <cellStyle name="20% - 강조색1 3 4 3 2 5" xfId="1904"/>
    <cellStyle name="20% - 강조색1 3 4 3 3" xfId="1905"/>
    <cellStyle name="20% - 강조색1 3 4 3 3 2" xfId="1906"/>
    <cellStyle name="20% - 강조색1 3 4 3 3 2 2" xfId="1907"/>
    <cellStyle name="20% - 강조색1 3 4 3 3 2 2 2" xfId="1908"/>
    <cellStyle name="20% - 강조색1 3 4 3 3 2 2 3" xfId="1909"/>
    <cellStyle name="20% - 강조색1 3 4 3 3 2 3" xfId="1910"/>
    <cellStyle name="20% - 강조색1 3 4 3 3 2 4" xfId="1911"/>
    <cellStyle name="20% - 강조색1 3 4 3 3 3" xfId="1912"/>
    <cellStyle name="20% - 강조색1 3 4 3 3 3 2" xfId="1913"/>
    <cellStyle name="20% - 강조색1 3 4 3 3 3 3" xfId="1914"/>
    <cellStyle name="20% - 강조색1 3 4 3 3 4" xfId="1915"/>
    <cellStyle name="20% - 강조색1 3 4 3 3 5" xfId="1916"/>
    <cellStyle name="20% - 강조색1 3 4 3 4" xfId="1917"/>
    <cellStyle name="20% - 강조색1 3 4 3 4 2" xfId="1918"/>
    <cellStyle name="20% - 강조색1 3 4 3 4 2 2" xfId="1919"/>
    <cellStyle name="20% - 강조색1 3 4 3 4 2 3" xfId="1920"/>
    <cellStyle name="20% - 강조색1 3 4 3 4 3" xfId="1921"/>
    <cellStyle name="20% - 강조색1 3 4 3 4 4" xfId="1922"/>
    <cellStyle name="20% - 강조색1 3 4 3 5" xfId="1923"/>
    <cellStyle name="20% - 강조색1 3 4 3 5 2" xfId="1924"/>
    <cellStyle name="20% - 강조색1 3 4 3 5 3" xfId="1925"/>
    <cellStyle name="20% - 강조색1 3 4 3 6" xfId="1926"/>
    <cellStyle name="20% - 강조색1 3 4 3 7" xfId="1927"/>
    <cellStyle name="20% - 강조색1 3 4 4" xfId="1928"/>
    <cellStyle name="20% - 강조색1 3 4 4 2" xfId="1929"/>
    <cellStyle name="20% - 강조색1 3 4 4 2 2" xfId="1930"/>
    <cellStyle name="20% - 강조색1 3 4 4 2 2 2" xfId="1931"/>
    <cellStyle name="20% - 강조색1 3 4 4 2 2 3" xfId="1932"/>
    <cellStyle name="20% - 강조색1 3 4 4 2 3" xfId="1933"/>
    <cellStyle name="20% - 강조색1 3 4 4 2 4" xfId="1934"/>
    <cellStyle name="20% - 강조색1 3 4 4 3" xfId="1935"/>
    <cellStyle name="20% - 강조색1 3 4 4 3 2" xfId="1936"/>
    <cellStyle name="20% - 강조색1 3 4 4 3 3" xfId="1937"/>
    <cellStyle name="20% - 강조색1 3 4 4 4" xfId="1938"/>
    <cellStyle name="20% - 강조색1 3 4 4 5" xfId="1939"/>
    <cellStyle name="20% - 강조색1 3 4 5" xfId="1940"/>
    <cellStyle name="20% - 강조색1 3 4 5 2" xfId="1941"/>
    <cellStyle name="20% - 강조색1 3 4 5 2 2" xfId="1942"/>
    <cellStyle name="20% - 강조색1 3 4 5 2 2 2" xfId="1943"/>
    <cellStyle name="20% - 강조색1 3 4 5 2 2 3" xfId="1944"/>
    <cellStyle name="20% - 강조색1 3 4 5 2 3" xfId="1945"/>
    <cellStyle name="20% - 강조색1 3 4 5 2 4" xfId="1946"/>
    <cellStyle name="20% - 강조색1 3 4 5 3" xfId="1947"/>
    <cellStyle name="20% - 강조색1 3 4 5 3 2" xfId="1948"/>
    <cellStyle name="20% - 강조색1 3 4 5 3 3" xfId="1949"/>
    <cellStyle name="20% - 강조색1 3 4 5 4" xfId="1950"/>
    <cellStyle name="20% - 강조색1 3 4 5 5" xfId="1951"/>
    <cellStyle name="20% - 강조색1 3 4 6" xfId="1952"/>
    <cellStyle name="20% - 강조색1 3 4 6 2" xfId="1953"/>
    <cellStyle name="20% - 강조색1 3 4 6 2 2" xfId="1954"/>
    <cellStyle name="20% - 강조색1 3 4 6 2 2 2" xfId="1955"/>
    <cellStyle name="20% - 강조색1 3 4 6 2 2 3" xfId="1956"/>
    <cellStyle name="20% - 강조색1 3 4 6 2 3" xfId="1957"/>
    <cellStyle name="20% - 강조색1 3 4 6 2 4" xfId="1958"/>
    <cellStyle name="20% - 강조색1 3 4 6 3" xfId="1959"/>
    <cellStyle name="20% - 강조색1 3 4 6 3 2" xfId="1960"/>
    <cellStyle name="20% - 강조색1 3 4 6 3 3" xfId="1961"/>
    <cellStyle name="20% - 강조색1 3 4 6 4" xfId="1962"/>
    <cellStyle name="20% - 강조색1 3 4 6 5" xfId="1963"/>
    <cellStyle name="20% - 강조색1 3 4 7" xfId="1964"/>
    <cellStyle name="20% - 강조색1 3 4 7 2" xfId="1965"/>
    <cellStyle name="20% - 강조색1 3 4 7 2 2" xfId="1966"/>
    <cellStyle name="20% - 강조색1 3 4 7 2 3" xfId="1967"/>
    <cellStyle name="20% - 강조색1 3 4 7 3" xfId="1968"/>
    <cellStyle name="20% - 강조색1 3 4 7 4" xfId="1969"/>
    <cellStyle name="20% - 강조색1 3 4 8" xfId="1970"/>
    <cellStyle name="20% - 강조색1 3 4 8 2" xfId="1971"/>
    <cellStyle name="20% - 강조색1 3 4 8 3" xfId="1972"/>
    <cellStyle name="20% - 강조색1 3 4 9" xfId="1973"/>
    <cellStyle name="20% - 강조색1 3 5" xfId="1974"/>
    <cellStyle name="20% - 강조색1 3 5 2" xfId="1975"/>
    <cellStyle name="20% - 강조색1 3 5 2 2" xfId="1976"/>
    <cellStyle name="20% - 강조색1 3 5 2 2 2" xfId="1977"/>
    <cellStyle name="20% - 강조색1 3 5 2 2 2 2" xfId="1978"/>
    <cellStyle name="20% - 강조색1 3 5 2 2 2 3" xfId="1979"/>
    <cellStyle name="20% - 강조색1 3 5 2 2 3" xfId="1980"/>
    <cellStyle name="20% - 강조색1 3 5 2 2 4" xfId="1981"/>
    <cellStyle name="20% - 강조색1 3 5 2 3" xfId="1982"/>
    <cellStyle name="20% - 강조색1 3 5 2 3 2" xfId="1983"/>
    <cellStyle name="20% - 강조색1 3 5 2 3 3" xfId="1984"/>
    <cellStyle name="20% - 강조색1 3 5 2 4" xfId="1985"/>
    <cellStyle name="20% - 강조색1 3 5 2 5" xfId="1986"/>
    <cellStyle name="20% - 강조색1 3 5 3" xfId="1987"/>
    <cellStyle name="20% - 강조색1 3 5 3 2" xfId="1988"/>
    <cellStyle name="20% - 강조색1 3 5 3 2 2" xfId="1989"/>
    <cellStyle name="20% - 강조색1 3 5 3 2 2 2" xfId="1990"/>
    <cellStyle name="20% - 강조색1 3 5 3 2 2 3" xfId="1991"/>
    <cellStyle name="20% - 강조색1 3 5 3 2 3" xfId="1992"/>
    <cellStyle name="20% - 강조색1 3 5 3 2 4" xfId="1993"/>
    <cellStyle name="20% - 강조색1 3 5 3 3" xfId="1994"/>
    <cellStyle name="20% - 강조색1 3 5 3 3 2" xfId="1995"/>
    <cellStyle name="20% - 강조색1 3 5 3 3 3" xfId="1996"/>
    <cellStyle name="20% - 강조색1 3 5 3 4" xfId="1997"/>
    <cellStyle name="20% - 강조색1 3 5 3 5" xfId="1998"/>
    <cellStyle name="20% - 강조색1 3 5 4" xfId="1999"/>
    <cellStyle name="20% - 강조색1 3 5 4 2" xfId="2000"/>
    <cellStyle name="20% - 강조색1 3 5 4 2 2" xfId="2001"/>
    <cellStyle name="20% - 강조색1 3 5 4 2 3" xfId="2002"/>
    <cellStyle name="20% - 강조색1 3 5 4 3" xfId="2003"/>
    <cellStyle name="20% - 강조색1 3 5 4 4" xfId="2004"/>
    <cellStyle name="20% - 강조색1 3 5 5" xfId="2005"/>
    <cellStyle name="20% - 강조색1 3 5 5 2" xfId="2006"/>
    <cellStyle name="20% - 강조색1 3 5 5 3" xfId="2007"/>
    <cellStyle name="20% - 강조색1 3 5 6" xfId="2008"/>
    <cellStyle name="20% - 강조색1 3 5 7" xfId="2009"/>
    <cellStyle name="20% - 강조색1 3 5 8" xfId="2010"/>
    <cellStyle name="20% - 강조색1 3 6" xfId="2011"/>
    <cellStyle name="20% - 강조색1 3 6 2" xfId="2012"/>
    <cellStyle name="20% - 강조색1 3 6 2 2" xfId="2013"/>
    <cellStyle name="20% - 강조색1 3 6 2 2 2" xfId="2014"/>
    <cellStyle name="20% - 강조색1 3 6 2 2 2 2" xfId="2015"/>
    <cellStyle name="20% - 강조색1 3 6 2 2 2 3" xfId="2016"/>
    <cellStyle name="20% - 강조색1 3 6 2 2 3" xfId="2017"/>
    <cellStyle name="20% - 강조색1 3 6 2 2 4" xfId="2018"/>
    <cellStyle name="20% - 강조색1 3 6 2 3" xfId="2019"/>
    <cellStyle name="20% - 강조색1 3 6 2 3 2" xfId="2020"/>
    <cellStyle name="20% - 강조색1 3 6 2 3 3" xfId="2021"/>
    <cellStyle name="20% - 강조색1 3 6 2 4" xfId="2022"/>
    <cellStyle name="20% - 강조색1 3 6 2 5" xfId="2023"/>
    <cellStyle name="20% - 강조색1 3 6 3" xfId="2024"/>
    <cellStyle name="20% - 강조색1 3 6 3 2" xfId="2025"/>
    <cellStyle name="20% - 강조색1 3 6 3 2 2" xfId="2026"/>
    <cellStyle name="20% - 강조색1 3 6 3 2 2 2" xfId="2027"/>
    <cellStyle name="20% - 강조색1 3 6 3 2 2 3" xfId="2028"/>
    <cellStyle name="20% - 강조색1 3 6 3 2 3" xfId="2029"/>
    <cellStyle name="20% - 강조색1 3 6 3 2 4" xfId="2030"/>
    <cellStyle name="20% - 강조색1 3 6 3 3" xfId="2031"/>
    <cellStyle name="20% - 강조색1 3 6 3 3 2" xfId="2032"/>
    <cellStyle name="20% - 강조색1 3 6 3 3 3" xfId="2033"/>
    <cellStyle name="20% - 강조색1 3 6 3 4" xfId="2034"/>
    <cellStyle name="20% - 강조색1 3 6 3 5" xfId="2035"/>
    <cellStyle name="20% - 강조색1 3 6 4" xfId="2036"/>
    <cellStyle name="20% - 강조색1 3 6 4 2" xfId="2037"/>
    <cellStyle name="20% - 강조색1 3 6 4 2 2" xfId="2038"/>
    <cellStyle name="20% - 강조색1 3 6 4 2 3" xfId="2039"/>
    <cellStyle name="20% - 강조색1 3 6 4 3" xfId="2040"/>
    <cellStyle name="20% - 강조색1 3 6 4 4" xfId="2041"/>
    <cellStyle name="20% - 강조색1 3 6 5" xfId="2042"/>
    <cellStyle name="20% - 강조색1 3 6 5 2" xfId="2043"/>
    <cellStyle name="20% - 강조색1 3 6 5 3" xfId="2044"/>
    <cellStyle name="20% - 강조색1 3 6 6" xfId="2045"/>
    <cellStyle name="20% - 강조색1 3 6 7" xfId="2046"/>
    <cellStyle name="20% - 강조색1 3 7" xfId="2047"/>
    <cellStyle name="20% - 강조색1 3 7 2" xfId="2048"/>
    <cellStyle name="20% - 강조색1 3 7 2 2" xfId="2049"/>
    <cellStyle name="20% - 강조색1 3 7 2 2 2" xfId="2050"/>
    <cellStyle name="20% - 강조색1 3 7 2 2 3" xfId="2051"/>
    <cellStyle name="20% - 강조색1 3 7 2 3" xfId="2052"/>
    <cellStyle name="20% - 강조색1 3 7 2 4" xfId="2053"/>
    <cellStyle name="20% - 강조색1 3 7 3" xfId="2054"/>
    <cellStyle name="20% - 강조색1 3 7 3 2" xfId="2055"/>
    <cellStyle name="20% - 강조색1 3 7 3 3" xfId="2056"/>
    <cellStyle name="20% - 강조색1 3 7 4" xfId="2057"/>
    <cellStyle name="20% - 강조색1 3 7 5" xfId="2058"/>
    <cellStyle name="20% - 강조색1 3 8" xfId="2059"/>
    <cellStyle name="20% - 강조색1 3 8 2" xfId="2060"/>
    <cellStyle name="20% - 강조색1 3 8 2 2" xfId="2061"/>
    <cellStyle name="20% - 강조색1 3 8 2 2 2" xfId="2062"/>
    <cellStyle name="20% - 강조색1 3 8 2 2 3" xfId="2063"/>
    <cellStyle name="20% - 강조색1 3 8 2 3" xfId="2064"/>
    <cellStyle name="20% - 강조색1 3 8 2 4" xfId="2065"/>
    <cellStyle name="20% - 강조색1 3 8 3" xfId="2066"/>
    <cellStyle name="20% - 강조색1 3 8 3 2" xfId="2067"/>
    <cellStyle name="20% - 강조색1 3 8 3 3" xfId="2068"/>
    <cellStyle name="20% - 강조색1 3 8 4" xfId="2069"/>
    <cellStyle name="20% - 강조색1 3 8 5" xfId="2070"/>
    <cellStyle name="20% - 강조색1 3 9" xfId="2071"/>
    <cellStyle name="20% - 강조색1 3 9 2" xfId="2072"/>
    <cellStyle name="20% - 강조색1 3 9 2 2" xfId="2073"/>
    <cellStyle name="20% - 강조색1 3 9 2 2 2" xfId="2074"/>
    <cellStyle name="20% - 강조색1 3 9 2 2 3" xfId="2075"/>
    <cellStyle name="20% - 강조색1 3 9 2 3" xfId="2076"/>
    <cellStyle name="20% - 강조색1 3 9 2 4" xfId="2077"/>
    <cellStyle name="20% - 강조색1 3 9 3" xfId="2078"/>
    <cellStyle name="20% - 강조색1 3 9 3 2" xfId="2079"/>
    <cellStyle name="20% - 강조색1 3 9 3 3" xfId="2080"/>
    <cellStyle name="20% - 강조색1 3 9 4" xfId="2081"/>
    <cellStyle name="20% - 강조색1 3 9 5" xfId="2082"/>
    <cellStyle name="20% - 강조색1 30" xfId="2083"/>
    <cellStyle name="20% - 강조색1 30 2" xfId="2084"/>
    <cellStyle name="20% - 강조색1 31" xfId="2085"/>
    <cellStyle name="20% - 강조색1 31 2" xfId="2086"/>
    <cellStyle name="20% - 강조색1 32" xfId="2087"/>
    <cellStyle name="20% - 강조색1 32 2" xfId="2088"/>
    <cellStyle name="20% - 강조색1 33" xfId="2089"/>
    <cellStyle name="20% - 강조색1 33 2" xfId="2090"/>
    <cellStyle name="20% - 강조색1 34" xfId="2091"/>
    <cellStyle name="20% - 강조색1 34 2" xfId="2092"/>
    <cellStyle name="20% - 강조색1 35" xfId="2093"/>
    <cellStyle name="20% - 강조색1 36" xfId="2094"/>
    <cellStyle name="20% - 강조색1 37" xfId="2095"/>
    <cellStyle name="20% - 강조색1 38" xfId="2096"/>
    <cellStyle name="20% - 강조색1 39" xfId="2097"/>
    <cellStyle name="20% - 강조색1 4" xfId="2098"/>
    <cellStyle name="20% - 강조색1 4 10" xfId="2099"/>
    <cellStyle name="20% - 강조색1 4 10 2" xfId="2100"/>
    <cellStyle name="20% - 강조색1 4 10 2 2" xfId="2101"/>
    <cellStyle name="20% - 강조색1 4 10 2 3" xfId="2102"/>
    <cellStyle name="20% - 강조색1 4 10 3" xfId="2103"/>
    <cellStyle name="20% - 강조색1 4 10 4" xfId="2104"/>
    <cellStyle name="20% - 강조색1 4 11" xfId="2105"/>
    <cellStyle name="20% - 강조색1 4 11 2" xfId="2106"/>
    <cellStyle name="20% - 강조색1 4 11 3" xfId="2107"/>
    <cellStyle name="20% - 강조색1 4 12" xfId="2108"/>
    <cellStyle name="20% - 강조색1 4 13" xfId="2109"/>
    <cellStyle name="20% - 강조색1 4 14" xfId="2110"/>
    <cellStyle name="20% - 강조색1 4 2" xfId="2111"/>
    <cellStyle name="20% - 강조색1 4 2 10" xfId="2112"/>
    <cellStyle name="20% - 강조색1 4 2 2" xfId="2113"/>
    <cellStyle name="20% - 강조색1 4 2 2 2" xfId="2114"/>
    <cellStyle name="20% - 강조색1 4 2 2 2 2" xfId="2115"/>
    <cellStyle name="20% - 강조색1 4 2 2 2 2 2" xfId="2116"/>
    <cellStyle name="20% - 강조색1 4 2 2 2 2 2 2" xfId="2117"/>
    <cellStyle name="20% - 강조색1 4 2 2 2 2 2 3" xfId="2118"/>
    <cellStyle name="20% - 강조색1 4 2 2 2 2 3" xfId="2119"/>
    <cellStyle name="20% - 강조색1 4 2 2 2 2 4" xfId="2120"/>
    <cellStyle name="20% - 강조색1 4 2 2 2 3" xfId="2121"/>
    <cellStyle name="20% - 강조색1 4 2 2 2 3 2" xfId="2122"/>
    <cellStyle name="20% - 강조색1 4 2 2 2 3 3" xfId="2123"/>
    <cellStyle name="20% - 강조색1 4 2 2 2 4" xfId="2124"/>
    <cellStyle name="20% - 강조색1 4 2 2 2 5" xfId="2125"/>
    <cellStyle name="20% - 강조색1 4 2 2 3" xfId="2126"/>
    <cellStyle name="20% - 강조색1 4 2 2 3 2" xfId="2127"/>
    <cellStyle name="20% - 강조색1 4 2 2 3 2 2" xfId="2128"/>
    <cellStyle name="20% - 강조색1 4 2 2 3 2 2 2" xfId="2129"/>
    <cellStyle name="20% - 강조색1 4 2 2 3 2 2 3" xfId="2130"/>
    <cellStyle name="20% - 강조색1 4 2 2 3 2 3" xfId="2131"/>
    <cellStyle name="20% - 강조색1 4 2 2 3 2 4" xfId="2132"/>
    <cellStyle name="20% - 강조색1 4 2 2 3 3" xfId="2133"/>
    <cellStyle name="20% - 강조색1 4 2 2 3 3 2" xfId="2134"/>
    <cellStyle name="20% - 강조색1 4 2 2 3 3 3" xfId="2135"/>
    <cellStyle name="20% - 강조색1 4 2 2 3 4" xfId="2136"/>
    <cellStyle name="20% - 강조색1 4 2 2 3 5" xfId="2137"/>
    <cellStyle name="20% - 강조색1 4 2 2 4" xfId="2138"/>
    <cellStyle name="20% - 강조색1 4 2 2 4 2" xfId="2139"/>
    <cellStyle name="20% - 강조색1 4 2 2 4 2 2" xfId="2140"/>
    <cellStyle name="20% - 강조색1 4 2 2 4 2 3" xfId="2141"/>
    <cellStyle name="20% - 강조색1 4 2 2 4 3" xfId="2142"/>
    <cellStyle name="20% - 강조색1 4 2 2 4 4" xfId="2143"/>
    <cellStyle name="20% - 강조색1 4 2 2 5" xfId="2144"/>
    <cellStyle name="20% - 강조색1 4 2 2 5 2" xfId="2145"/>
    <cellStyle name="20% - 강조색1 4 2 2 5 3" xfId="2146"/>
    <cellStyle name="20% - 강조색1 4 2 2 6" xfId="2147"/>
    <cellStyle name="20% - 강조색1 4 2 2 7" xfId="2148"/>
    <cellStyle name="20% - 강조색1 4 2 3" xfId="2149"/>
    <cellStyle name="20% - 강조색1 4 2 3 2" xfId="2150"/>
    <cellStyle name="20% - 강조색1 4 2 3 2 2" xfId="2151"/>
    <cellStyle name="20% - 강조색1 4 2 3 2 2 2" xfId="2152"/>
    <cellStyle name="20% - 강조색1 4 2 3 2 2 2 2" xfId="2153"/>
    <cellStyle name="20% - 강조색1 4 2 3 2 2 2 3" xfId="2154"/>
    <cellStyle name="20% - 강조색1 4 2 3 2 2 3" xfId="2155"/>
    <cellStyle name="20% - 강조색1 4 2 3 2 2 4" xfId="2156"/>
    <cellStyle name="20% - 강조색1 4 2 3 2 3" xfId="2157"/>
    <cellStyle name="20% - 강조색1 4 2 3 2 3 2" xfId="2158"/>
    <cellStyle name="20% - 강조색1 4 2 3 2 3 3" xfId="2159"/>
    <cellStyle name="20% - 강조색1 4 2 3 2 4" xfId="2160"/>
    <cellStyle name="20% - 강조색1 4 2 3 2 5" xfId="2161"/>
    <cellStyle name="20% - 강조색1 4 2 3 3" xfId="2162"/>
    <cellStyle name="20% - 강조색1 4 2 3 3 2" xfId="2163"/>
    <cellStyle name="20% - 강조색1 4 2 3 3 2 2" xfId="2164"/>
    <cellStyle name="20% - 강조색1 4 2 3 3 2 2 2" xfId="2165"/>
    <cellStyle name="20% - 강조색1 4 2 3 3 2 2 3" xfId="2166"/>
    <cellStyle name="20% - 강조색1 4 2 3 3 2 3" xfId="2167"/>
    <cellStyle name="20% - 강조색1 4 2 3 3 2 4" xfId="2168"/>
    <cellStyle name="20% - 강조색1 4 2 3 3 3" xfId="2169"/>
    <cellStyle name="20% - 강조색1 4 2 3 3 3 2" xfId="2170"/>
    <cellStyle name="20% - 강조색1 4 2 3 3 3 3" xfId="2171"/>
    <cellStyle name="20% - 강조색1 4 2 3 3 4" xfId="2172"/>
    <cellStyle name="20% - 강조색1 4 2 3 3 5" xfId="2173"/>
    <cellStyle name="20% - 강조색1 4 2 3 4" xfId="2174"/>
    <cellStyle name="20% - 강조색1 4 2 3 4 2" xfId="2175"/>
    <cellStyle name="20% - 강조색1 4 2 3 4 2 2" xfId="2176"/>
    <cellStyle name="20% - 강조색1 4 2 3 4 2 3" xfId="2177"/>
    <cellStyle name="20% - 강조색1 4 2 3 4 3" xfId="2178"/>
    <cellStyle name="20% - 강조색1 4 2 3 4 4" xfId="2179"/>
    <cellStyle name="20% - 강조색1 4 2 3 5" xfId="2180"/>
    <cellStyle name="20% - 강조색1 4 2 3 5 2" xfId="2181"/>
    <cellStyle name="20% - 강조색1 4 2 3 5 3" xfId="2182"/>
    <cellStyle name="20% - 강조색1 4 2 3 6" xfId="2183"/>
    <cellStyle name="20% - 강조색1 4 2 3 7" xfId="2184"/>
    <cellStyle name="20% - 강조색1 4 2 4" xfId="2185"/>
    <cellStyle name="20% - 강조색1 4 2 4 2" xfId="2186"/>
    <cellStyle name="20% - 강조색1 4 2 4 2 2" xfId="2187"/>
    <cellStyle name="20% - 강조색1 4 2 4 2 2 2" xfId="2188"/>
    <cellStyle name="20% - 강조색1 4 2 4 2 2 3" xfId="2189"/>
    <cellStyle name="20% - 강조색1 4 2 4 2 3" xfId="2190"/>
    <cellStyle name="20% - 강조색1 4 2 4 2 4" xfId="2191"/>
    <cellStyle name="20% - 강조색1 4 2 4 3" xfId="2192"/>
    <cellStyle name="20% - 강조색1 4 2 4 3 2" xfId="2193"/>
    <cellStyle name="20% - 강조색1 4 2 4 3 3" xfId="2194"/>
    <cellStyle name="20% - 강조색1 4 2 4 4" xfId="2195"/>
    <cellStyle name="20% - 강조색1 4 2 4 5" xfId="2196"/>
    <cellStyle name="20% - 강조색1 4 2 5" xfId="2197"/>
    <cellStyle name="20% - 강조색1 4 2 5 2" xfId="2198"/>
    <cellStyle name="20% - 강조색1 4 2 5 2 2" xfId="2199"/>
    <cellStyle name="20% - 강조색1 4 2 5 2 2 2" xfId="2200"/>
    <cellStyle name="20% - 강조색1 4 2 5 2 2 3" xfId="2201"/>
    <cellStyle name="20% - 강조색1 4 2 5 2 3" xfId="2202"/>
    <cellStyle name="20% - 강조색1 4 2 5 2 4" xfId="2203"/>
    <cellStyle name="20% - 강조색1 4 2 5 3" xfId="2204"/>
    <cellStyle name="20% - 강조색1 4 2 5 3 2" xfId="2205"/>
    <cellStyle name="20% - 강조색1 4 2 5 3 3" xfId="2206"/>
    <cellStyle name="20% - 강조색1 4 2 5 4" xfId="2207"/>
    <cellStyle name="20% - 강조색1 4 2 5 5" xfId="2208"/>
    <cellStyle name="20% - 강조색1 4 2 6" xfId="2209"/>
    <cellStyle name="20% - 강조색1 4 2 6 2" xfId="2210"/>
    <cellStyle name="20% - 강조색1 4 2 6 2 2" xfId="2211"/>
    <cellStyle name="20% - 강조색1 4 2 6 2 2 2" xfId="2212"/>
    <cellStyle name="20% - 강조색1 4 2 6 2 2 3" xfId="2213"/>
    <cellStyle name="20% - 강조색1 4 2 6 2 3" xfId="2214"/>
    <cellStyle name="20% - 강조색1 4 2 6 2 4" xfId="2215"/>
    <cellStyle name="20% - 강조색1 4 2 6 3" xfId="2216"/>
    <cellStyle name="20% - 강조색1 4 2 6 3 2" xfId="2217"/>
    <cellStyle name="20% - 강조색1 4 2 6 3 3" xfId="2218"/>
    <cellStyle name="20% - 강조색1 4 2 6 4" xfId="2219"/>
    <cellStyle name="20% - 강조색1 4 2 6 5" xfId="2220"/>
    <cellStyle name="20% - 강조색1 4 2 7" xfId="2221"/>
    <cellStyle name="20% - 강조색1 4 2 7 2" xfId="2222"/>
    <cellStyle name="20% - 강조색1 4 2 7 2 2" xfId="2223"/>
    <cellStyle name="20% - 강조색1 4 2 7 2 3" xfId="2224"/>
    <cellStyle name="20% - 강조색1 4 2 7 3" xfId="2225"/>
    <cellStyle name="20% - 강조색1 4 2 7 4" xfId="2226"/>
    <cellStyle name="20% - 강조색1 4 2 8" xfId="2227"/>
    <cellStyle name="20% - 강조색1 4 2 8 2" xfId="2228"/>
    <cellStyle name="20% - 강조색1 4 2 8 3" xfId="2229"/>
    <cellStyle name="20% - 강조색1 4 2 9" xfId="2230"/>
    <cellStyle name="20% - 강조색1 4 3" xfId="2231"/>
    <cellStyle name="20% - 강조색1 4 3 10" xfId="2232"/>
    <cellStyle name="20% - 강조색1 4 3 2" xfId="2233"/>
    <cellStyle name="20% - 강조색1 4 3 2 2" xfId="2234"/>
    <cellStyle name="20% - 강조색1 4 3 2 2 2" xfId="2235"/>
    <cellStyle name="20% - 강조색1 4 3 2 2 2 2" xfId="2236"/>
    <cellStyle name="20% - 강조색1 4 3 2 2 2 2 2" xfId="2237"/>
    <cellStyle name="20% - 강조색1 4 3 2 2 2 2 3" xfId="2238"/>
    <cellStyle name="20% - 강조색1 4 3 2 2 2 3" xfId="2239"/>
    <cellStyle name="20% - 강조색1 4 3 2 2 2 4" xfId="2240"/>
    <cellStyle name="20% - 강조색1 4 3 2 2 3" xfId="2241"/>
    <cellStyle name="20% - 강조색1 4 3 2 2 3 2" xfId="2242"/>
    <cellStyle name="20% - 강조색1 4 3 2 2 3 3" xfId="2243"/>
    <cellStyle name="20% - 강조색1 4 3 2 2 4" xfId="2244"/>
    <cellStyle name="20% - 강조색1 4 3 2 2 5" xfId="2245"/>
    <cellStyle name="20% - 강조색1 4 3 2 3" xfId="2246"/>
    <cellStyle name="20% - 강조색1 4 3 2 3 2" xfId="2247"/>
    <cellStyle name="20% - 강조색1 4 3 2 3 2 2" xfId="2248"/>
    <cellStyle name="20% - 강조색1 4 3 2 3 2 2 2" xfId="2249"/>
    <cellStyle name="20% - 강조색1 4 3 2 3 2 2 3" xfId="2250"/>
    <cellStyle name="20% - 강조색1 4 3 2 3 2 3" xfId="2251"/>
    <cellStyle name="20% - 강조색1 4 3 2 3 2 4" xfId="2252"/>
    <cellStyle name="20% - 강조색1 4 3 2 3 3" xfId="2253"/>
    <cellStyle name="20% - 강조색1 4 3 2 3 3 2" xfId="2254"/>
    <cellStyle name="20% - 강조색1 4 3 2 3 3 3" xfId="2255"/>
    <cellStyle name="20% - 강조색1 4 3 2 3 4" xfId="2256"/>
    <cellStyle name="20% - 강조색1 4 3 2 3 5" xfId="2257"/>
    <cellStyle name="20% - 강조색1 4 3 2 4" xfId="2258"/>
    <cellStyle name="20% - 강조색1 4 3 2 4 2" xfId="2259"/>
    <cellStyle name="20% - 강조색1 4 3 2 4 2 2" xfId="2260"/>
    <cellStyle name="20% - 강조색1 4 3 2 4 2 3" xfId="2261"/>
    <cellStyle name="20% - 강조색1 4 3 2 4 3" xfId="2262"/>
    <cellStyle name="20% - 강조색1 4 3 2 4 4" xfId="2263"/>
    <cellStyle name="20% - 강조색1 4 3 2 5" xfId="2264"/>
    <cellStyle name="20% - 강조색1 4 3 2 5 2" xfId="2265"/>
    <cellStyle name="20% - 강조색1 4 3 2 5 3" xfId="2266"/>
    <cellStyle name="20% - 강조색1 4 3 2 6" xfId="2267"/>
    <cellStyle name="20% - 강조색1 4 3 2 7" xfId="2268"/>
    <cellStyle name="20% - 강조색1 4 3 3" xfId="2269"/>
    <cellStyle name="20% - 강조색1 4 3 3 2" xfId="2270"/>
    <cellStyle name="20% - 강조색1 4 3 3 2 2" xfId="2271"/>
    <cellStyle name="20% - 강조색1 4 3 3 2 2 2" xfId="2272"/>
    <cellStyle name="20% - 강조색1 4 3 3 2 2 2 2" xfId="2273"/>
    <cellStyle name="20% - 강조색1 4 3 3 2 2 2 3" xfId="2274"/>
    <cellStyle name="20% - 강조색1 4 3 3 2 2 3" xfId="2275"/>
    <cellStyle name="20% - 강조색1 4 3 3 2 2 4" xfId="2276"/>
    <cellStyle name="20% - 강조색1 4 3 3 2 3" xfId="2277"/>
    <cellStyle name="20% - 강조색1 4 3 3 2 3 2" xfId="2278"/>
    <cellStyle name="20% - 강조색1 4 3 3 2 3 3" xfId="2279"/>
    <cellStyle name="20% - 강조색1 4 3 3 2 4" xfId="2280"/>
    <cellStyle name="20% - 강조색1 4 3 3 2 5" xfId="2281"/>
    <cellStyle name="20% - 강조색1 4 3 3 3" xfId="2282"/>
    <cellStyle name="20% - 강조색1 4 3 3 3 2" xfId="2283"/>
    <cellStyle name="20% - 강조색1 4 3 3 3 2 2" xfId="2284"/>
    <cellStyle name="20% - 강조색1 4 3 3 3 2 2 2" xfId="2285"/>
    <cellStyle name="20% - 강조색1 4 3 3 3 2 2 3" xfId="2286"/>
    <cellStyle name="20% - 강조색1 4 3 3 3 2 3" xfId="2287"/>
    <cellStyle name="20% - 강조색1 4 3 3 3 2 4" xfId="2288"/>
    <cellStyle name="20% - 강조색1 4 3 3 3 3" xfId="2289"/>
    <cellStyle name="20% - 강조색1 4 3 3 3 3 2" xfId="2290"/>
    <cellStyle name="20% - 강조색1 4 3 3 3 3 3" xfId="2291"/>
    <cellStyle name="20% - 강조색1 4 3 3 3 4" xfId="2292"/>
    <cellStyle name="20% - 강조색1 4 3 3 3 5" xfId="2293"/>
    <cellStyle name="20% - 강조색1 4 3 3 4" xfId="2294"/>
    <cellStyle name="20% - 강조색1 4 3 3 4 2" xfId="2295"/>
    <cellStyle name="20% - 강조색1 4 3 3 4 2 2" xfId="2296"/>
    <cellStyle name="20% - 강조색1 4 3 3 4 2 3" xfId="2297"/>
    <cellStyle name="20% - 강조색1 4 3 3 4 3" xfId="2298"/>
    <cellStyle name="20% - 강조색1 4 3 3 4 4" xfId="2299"/>
    <cellStyle name="20% - 강조색1 4 3 3 5" xfId="2300"/>
    <cellStyle name="20% - 강조색1 4 3 3 5 2" xfId="2301"/>
    <cellStyle name="20% - 강조색1 4 3 3 5 3" xfId="2302"/>
    <cellStyle name="20% - 강조색1 4 3 3 6" xfId="2303"/>
    <cellStyle name="20% - 강조색1 4 3 3 7" xfId="2304"/>
    <cellStyle name="20% - 강조색1 4 3 4" xfId="2305"/>
    <cellStyle name="20% - 강조색1 4 3 4 2" xfId="2306"/>
    <cellStyle name="20% - 강조색1 4 3 4 2 2" xfId="2307"/>
    <cellStyle name="20% - 강조색1 4 3 4 2 2 2" xfId="2308"/>
    <cellStyle name="20% - 강조색1 4 3 4 2 2 3" xfId="2309"/>
    <cellStyle name="20% - 강조색1 4 3 4 2 3" xfId="2310"/>
    <cellStyle name="20% - 강조색1 4 3 4 2 4" xfId="2311"/>
    <cellStyle name="20% - 강조색1 4 3 4 3" xfId="2312"/>
    <cellStyle name="20% - 강조색1 4 3 4 3 2" xfId="2313"/>
    <cellStyle name="20% - 강조색1 4 3 4 3 3" xfId="2314"/>
    <cellStyle name="20% - 강조색1 4 3 4 4" xfId="2315"/>
    <cellStyle name="20% - 강조색1 4 3 4 5" xfId="2316"/>
    <cellStyle name="20% - 강조색1 4 3 5" xfId="2317"/>
    <cellStyle name="20% - 강조색1 4 3 5 2" xfId="2318"/>
    <cellStyle name="20% - 강조색1 4 3 5 2 2" xfId="2319"/>
    <cellStyle name="20% - 강조색1 4 3 5 2 2 2" xfId="2320"/>
    <cellStyle name="20% - 강조색1 4 3 5 2 2 3" xfId="2321"/>
    <cellStyle name="20% - 강조색1 4 3 5 2 3" xfId="2322"/>
    <cellStyle name="20% - 강조색1 4 3 5 2 4" xfId="2323"/>
    <cellStyle name="20% - 강조색1 4 3 5 3" xfId="2324"/>
    <cellStyle name="20% - 강조색1 4 3 5 3 2" xfId="2325"/>
    <cellStyle name="20% - 강조색1 4 3 5 3 3" xfId="2326"/>
    <cellStyle name="20% - 강조색1 4 3 5 4" xfId="2327"/>
    <cellStyle name="20% - 강조색1 4 3 5 5" xfId="2328"/>
    <cellStyle name="20% - 강조색1 4 3 6" xfId="2329"/>
    <cellStyle name="20% - 강조색1 4 3 6 2" xfId="2330"/>
    <cellStyle name="20% - 강조색1 4 3 6 2 2" xfId="2331"/>
    <cellStyle name="20% - 강조색1 4 3 6 2 2 2" xfId="2332"/>
    <cellStyle name="20% - 강조색1 4 3 6 2 2 3" xfId="2333"/>
    <cellStyle name="20% - 강조색1 4 3 6 2 3" xfId="2334"/>
    <cellStyle name="20% - 강조색1 4 3 6 2 4" xfId="2335"/>
    <cellStyle name="20% - 강조색1 4 3 6 3" xfId="2336"/>
    <cellStyle name="20% - 강조색1 4 3 6 3 2" xfId="2337"/>
    <cellStyle name="20% - 강조색1 4 3 6 3 3" xfId="2338"/>
    <cellStyle name="20% - 강조색1 4 3 6 4" xfId="2339"/>
    <cellStyle name="20% - 강조색1 4 3 6 5" xfId="2340"/>
    <cellStyle name="20% - 강조색1 4 3 7" xfId="2341"/>
    <cellStyle name="20% - 강조색1 4 3 7 2" xfId="2342"/>
    <cellStyle name="20% - 강조색1 4 3 7 2 2" xfId="2343"/>
    <cellStyle name="20% - 강조색1 4 3 7 2 3" xfId="2344"/>
    <cellStyle name="20% - 강조색1 4 3 7 3" xfId="2345"/>
    <cellStyle name="20% - 강조색1 4 3 7 4" xfId="2346"/>
    <cellStyle name="20% - 강조색1 4 3 8" xfId="2347"/>
    <cellStyle name="20% - 강조색1 4 3 8 2" xfId="2348"/>
    <cellStyle name="20% - 강조색1 4 3 8 3" xfId="2349"/>
    <cellStyle name="20% - 강조색1 4 3 9" xfId="2350"/>
    <cellStyle name="20% - 강조색1 4 4" xfId="2351"/>
    <cellStyle name="20% - 강조색1 4 4 10" xfId="2352"/>
    <cellStyle name="20% - 강조색1 4 4 2" xfId="2353"/>
    <cellStyle name="20% - 강조색1 4 4 2 2" xfId="2354"/>
    <cellStyle name="20% - 강조색1 4 4 2 2 2" xfId="2355"/>
    <cellStyle name="20% - 강조색1 4 4 2 2 2 2" xfId="2356"/>
    <cellStyle name="20% - 강조색1 4 4 2 2 2 2 2" xfId="2357"/>
    <cellStyle name="20% - 강조색1 4 4 2 2 2 2 3" xfId="2358"/>
    <cellStyle name="20% - 강조색1 4 4 2 2 2 3" xfId="2359"/>
    <cellStyle name="20% - 강조색1 4 4 2 2 2 4" xfId="2360"/>
    <cellStyle name="20% - 강조색1 4 4 2 2 3" xfId="2361"/>
    <cellStyle name="20% - 강조색1 4 4 2 2 3 2" xfId="2362"/>
    <cellStyle name="20% - 강조색1 4 4 2 2 3 3" xfId="2363"/>
    <cellStyle name="20% - 강조색1 4 4 2 2 4" xfId="2364"/>
    <cellStyle name="20% - 강조색1 4 4 2 2 5" xfId="2365"/>
    <cellStyle name="20% - 강조색1 4 4 2 3" xfId="2366"/>
    <cellStyle name="20% - 강조색1 4 4 2 3 2" xfId="2367"/>
    <cellStyle name="20% - 강조색1 4 4 2 3 2 2" xfId="2368"/>
    <cellStyle name="20% - 강조색1 4 4 2 3 2 2 2" xfId="2369"/>
    <cellStyle name="20% - 강조색1 4 4 2 3 2 2 3" xfId="2370"/>
    <cellStyle name="20% - 강조색1 4 4 2 3 2 3" xfId="2371"/>
    <cellStyle name="20% - 강조색1 4 4 2 3 2 4" xfId="2372"/>
    <cellStyle name="20% - 강조색1 4 4 2 3 3" xfId="2373"/>
    <cellStyle name="20% - 강조색1 4 4 2 3 3 2" xfId="2374"/>
    <cellStyle name="20% - 강조색1 4 4 2 3 3 3" xfId="2375"/>
    <cellStyle name="20% - 강조색1 4 4 2 3 4" xfId="2376"/>
    <cellStyle name="20% - 강조색1 4 4 2 3 5" xfId="2377"/>
    <cellStyle name="20% - 강조색1 4 4 2 4" xfId="2378"/>
    <cellStyle name="20% - 강조색1 4 4 2 4 2" xfId="2379"/>
    <cellStyle name="20% - 강조색1 4 4 2 4 2 2" xfId="2380"/>
    <cellStyle name="20% - 강조색1 4 4 2 4 2 3" xfId="2381"/>
    <cellStyle name="20% - 강조색1 4 4 2 4 3" xfId="2382"/>
    <cellStyle name="20% - 강조색1 4 4 2 4 4" xfId="2383"/>
    <cellStyle name="20% - 강조색1 4 4 2 5" xfId="2384"/>
    <cellStyle name="20% - 강조색1 4 4 2 5 2" xfId="2385"/>
    <cellStyle name="20% - 강조색1 4 4 2 5 3" xfId="2386"/>
    <cellStyle name="20% - 강조색1 4 4 2 6" xfId="2387"/>
    <cellStyle name="20% - 강조색1 4 4 2 7" xfId="2388"/>
    <cellStyle name="20% - 강조색1 4 4 3" xfId="2389"/>
    <cellStyle name="20% - 강조색1 4 4 3 2" xfId="2390"/>
    <cellStyle name="20% - 강조색1 4 4 3 2 2" xfId="2391"/>
    <cellStyle name="20% - 강조색1 4 4 3 2 2 2" xfId="2392"/>
    <cellStyle name="20% - 강조색1 4 4 3 2 2 2 2" xfId="2393"/>
    <cellStyle name="20% - 강조색1 4 4 3 2 2 2 3" xfId="2394"/>
    <cellStyle name="20% - 강조색1 4 4 3 2 2 3" xfId="2395"/>
    <cellStyle name="20% - 강조색1 4 4 3 2 2 4" xfId="2396"/>
    <cellStyle name="20% - 강조색1 4 4 3 2 3" xfId="2397"/>
    <cellStyle name="20% - 강조색1 4 4 3 2 3 2" xfId="2398"/>
    <cellStyle name="20% - 강조색1 4 4 3 2 3 3" xfId="2399"/>
    <cellStyle name="20% - 강조색1 4 4 3 2 4" xfId="2400"/>
    <cellStyle name="20% - 강조색1 4 4 3 2 5" xfId="2401"/>
    <cellStyle name="20% - 강조색1 4 4 3 3" xfId="2402"/>
    <cellStyle name="20% - 강조색1 4 4 3 3 2" xfId="2403"/>
    <cellStyle name="20% - 강조색1 4 4 3 3 2 2" xfId="2404"/>
    <cellStyle name="20% - 강조색1 4 4 3 3 2 2 2" xfId="2405"/>
    <cellStyle name="20% - 강조색1 4 4 3 3 2 2 3" xfId="2406"/>
    <cellStyle name="20% - 강조색1 4 4 3 3 2 3" xfId="2407"/>
    <cellStyle name="20% - 강조색1 4 4 3 3 2 4" xfId="2408"/>
    <cellStyle name="20% - 강조색1 4 4 3 3 3" xfId="2409"/>
    <cellStyle name="20% - 강조색1 4 4 3 3 3 2" xfId="2410"/>
    <cellStyle name="20% - 강조색1 4 4 3 3 3 3" xfId="2411"/>
    <cellStyle name="20% - 강조색1 4 4 3 3 4" xfId="2412"/>
    <cellStyle name="20% - 강조색1 4 4 3 3 5" xfId="2413"/>
    <cellStyle name="20% - 강조색1 4 4 3 4" xfId="2414"/>
    <cellStyle name="20% - 강조색1 4 4 3 4 2" xfId="2415"/>
    <cellStyle name="20% - 강조색1 4 4 3 4 2 2" xfId="2416"/>
    <cellStyle name="20% - 강조색1 4 4 3 4 2 3" xfId="2417"/>
    <cellStyle name="20% - 강조색1 4 4 3 4 3" xfId="2418"/>
    <cellStyle name="20% - 강조색1 4 4 3 4 4" xfId="2419"/>
    <cellStyle name="20% - 강조색1 4 4 3 5" xfId="2420"/>
    <cellStyle name="20% - 강조색1 4 4 3 5 2" xfId="2421"/>
    <cellStyle name="20% - 강조색1 4 4 3 5 3" xfId="2422"/>
    <cellStyle name="20% - 강조색1 4 4 3 6" xfId="2423"/>
    <cellStyle name="20% - 강조색1 4 4 3 7" xfId="2424"/>
    <cellStyle name="20% - 강조색1 4 4 4" xfId="2425"/>
    <cellStyle name="20% - 강조색1 4 4 4 2" xfId="2426"/>
    <cellStyle name="20% - 강조색1 4 4 4 2 2" xfId="2427"/>
    <cellStyle name="20% - 강조색1 4 4 4 2 2 2" xfId="2428"/>
    <cellStyle name="20% - 강조색1 4 4 4 2 2 3" xfId="2429"/>
    <cellStyle name="20% - 강조색1 4 4 4 2 3" xfId="2430"/>
    <cellStyle name="20% - 강조색1 4 4 4 2 4" xfId="2431"/>
    <cellStyle name="20% - 강조색1 4 4 4 3" xfId="2432"/>
    <cellStyle name="20% - 강조색1 4 4 4 3 2" xfId="2433"/>
    <cellStyle name="20% - 강조색1 4 4 4 3 3" xfId="2434"/>
    <cellStyle name="20% - 강조색1 4 4 4 4" xfId="2435"/>
    <cellStyle name="20% - 강조색1 4 4 4 5" xfId="2436"/>
    <cellStyle name="20% - 강조색1 4 4 5" xfId="2437"/>
    <cellStyle name="20% - 강조색1 4 4 5 2" xfId="2438"/>
    <cellStyle name="20% - 강조색1 4 4 5 2 2" xfId="2439"/>
    <cellStyle name="20% - 강조색1 4 4 5 2 2 2" xfId="2440"/>
    <cellStyle name="20% - 강조색1 4 4 5 2 2 3" xfId="2441"/>
    <cellStyle name="20% - 강조색1 4 4 5 2 3" xfId="2442"/>
    <cellStyle name="20% - 강조색1 4 4 5 2 4" xfId="2443"/>
    <cellStyle name="20% - 강조색1 4 4 5 3" xfId="2444"/>
    <cellStyle name="20% - 강조색1 4 4 5 3 2" xfId="2445"/>
    <cellStyle name="20% - 강조색1 4 4 5 3 3" xfId="2446"/>
    <cellStyle name="20% - 강조색1 4 4 5 4" xfId="2447"/>
    <cellStyle name="20% - 강조색1 4 4 5 5" xfId="2448"/>
    <cellStyle name="20% - 강조색1 4 4 6" xfId="2449"/>
    <cellStyle name="20% - 강조색1 4 4 6 2" xfId="2450"/>
    <cellStyle name="20% - 강조색1 4 4 6 2 2" xfId="2451"/>
    <cellStyle name="20% - 강조색1 4 4 6 2 2 2" xfId="2452"/>
    <cellStyle name="20% - 강조색1 4 4 6 2 2 3" xfId="2453"/>
    <cellStyle name="20% - 강조색1 4 4 6 2 3" xfId="2454"/>
    <cellStyle name="20% - 강조색1 4 4 6 2 4" xfId="2455"/>
    <cellStyle name="20% - 강조색1 4 4 6 3" xfId="2456"/>
    <cellStyle name="20% - 강조색1 4 4 6 3 2" xfId="2457"/>
    <cellStyle name="20% - 강조색1 4 4 6 3 3" xfId="2458"/>
    <cellStyle name="20% - 강조색1 4 4 6 4" xfId="2459"/>
    <cellStyle name="20% - 강조색1 4 4 6 5" xfId="2460"/>
    <cellStyle name="20% - 강조색1 4 4 7" xfId="2461"/>
    <cellStyle name="20% - 강조색1 4 4 7 2" xfId="2462"/>
    <cellStyle name="20% - 강조색1 4 4 7 2 2" xfId="2463"/>
    <cellStyle name="20% - 강조색1 4 4 7 2 3" xfId="2464"/>
    <cellStyle name="20% - 강조색1 4 4 7 3" xfId="2465"/>
    <cellStyle name="20% - 강조색1 4 4 7 4" xfId="2466"/>
    <cellStyle name="20% - 강조색1 4 4 8" xfId="2467"/>
    <cellStyle name="20% - 강조색1 4 4 8 2" xfId="2468"/>
    <cellStyle name="20% - 강조색1 4 4 8 3" xfId="2469"/>
    <cellStyle name="20% - 강조색1 4 4 9" xfId="2470"/>
    <cellStyle name="20% - 강조색1 4 5" xfId="2471"/>
    <cellStyle name="20% - 강조색1 4 5 2" xfId="2472"/>
    <cellStyle name="20% - 강조색1 4 5 2 2" xfId="2473"/>
    <cellStyle name="20% - 강조색1 4 5 2 2 2" xfId="2474"/>
    <cellStyle name="20% - 강조색1 4 5 2 2 2 2" xfId="2475"/>
    <cellStyle name="20% - 강조색1 4 5 2 2 2 3" xfId="2476"/>
    <cellStyle name="20% - 강조색1 4 5 2 2 3" xfId="2477"/>
    <cellStyle name="20% - 강조색1 4 5 2 2 4" xfId="2478"/>
    <cellStyle name="20% - 강조색1 4 5 2 3" xfId="2479"/>
    <cellStyle name="20% - 강조색1 4 5 2 3 2" xfId="2480"/>
    <cellStyle name="20% - 강조색1 4 5 2 3 3" xfId="2481"/>
    <cellStyle name="20% - 강조색1 4 5 2 4" xfId="2482"/>
    <cellStyle name="20% - 강조색1 4 5 2 5" xfId="2483"/>
    <cellStyle name="20% - 강조색1 4 5 3" xfId="2484"/>
    <cellStyle name="20% - 강조색1 4 5 3 2" xfId="2485"/>
    <cellStyle name="20% - 강조색1 4 5 3 2 2" xfId="2486"/>
    <cellStyle name="20% - 강조색1 4 5 3 2 2 2" xfId="2487"/>
    <cellStyle name="20% - 강조색1 4 5 3 2 2 3" xfId="2488"/>
    <cellStyle name="20% - 강조색1 4 5 3 2 3" xfId="2489"/>
    <cellStyle name="20% - 강조색1 4 5 3 2 4" xfId="2490"/>
    <cellStyle name="20% - 강조색1 4 5 3 3" xfId="2491"/>
    <cellStyle name="20% - 강조색1 4 5 3 3 2" xfId="2492"/>
    <cellStyle name="20% - 강조색1 4 5 3 3 3" xfId="2493"/>
    <cellStyle name="20% - 강조색1 4 5 3 4" xfId="2494"/>
    <cellStyle name="20% - 강조색1 4 5 3 5" xfId="2495"/>
    <cellStyle name="20% - 강조색1 4 5 4" xfId="2496"/>
    <cellStyle name="20% - 강조색1 4 5 4 2" xfId="2497"/>
    <cellStyle name="20% - 강조색1 4 5 4 2 2" xfId="2498"/>
    <cellStyle name="20% - 강조색1 4 5 4 2 3" xfId="2499"/>
    <cellStyle name="20% - 강조색1 4 5 4 3" xfId="2500"/>
    <cellStyle name="20% - 강조색1 4 5 4 4" xfId="2501"/>
    <cellStyle name="20% - 강조색1 4 5 5" xfId="2502"/>
    <cellStyle name="20% - 강조색1 4 5 5 2" xfId="2503"/>
    <cellStyle name="20% - 강조색1 4 5 5 3" xfId="2504"/>
    <cellStyle name="20% - 강조색1 4 5 6" xfId="2505"/>
    <cellStyle name="20% - 강조색1 4 5 7" xfId="2506"/>
    <cellStyle name="20% - 강조색1 4 6" xfId="2507"/>
    <cellStyle name="20% - 강조색1 4 6 2" xfId="2508"/>
    <cellStyle name="20% - 강조색1 4 6 2 2" xfId="2509"/>
    <cellStyle name="20% - 강조색1 4 6 2 2 2" xfId="2510"/>
    <cellStyle name="20% - 강조색1 4 6 2 2 2 2" xfId="2511"/>
    <cellStyle name="20% - 강조색1 4 6 2 2 2 3" xfId="2512"/>
    <cellStyle name="20% - 강조색1 4 6 2 2 3" xfId="2513"/>
    <cellStyle name="20% - 강조색1 4 6 2 2 4" xfId="2514"/>
    <cellStyle name="20% - 강조색1 4 6 2 3" xfId="2515"/>
    <cellStyle name="20% - 강조색1 4 6 2 3 2" xfId="2516"/>
    <cellStyle name="20% - 강조색1 4 6 2 3 3" xfId="2517"/>
    <cellStyle name="20% - 강조색1 4 6 2 4" xfId="2518"/>
    <cellStyle name="20% - 강조색1 4 6 2 5" xfId="2519"/>
    <cellStyle name="20% - 강조색1 4 6 3" xfId="2520"/>
    <cellStyle name="20% - 강조색1 4 6 3 2" xfId="2521"/>
    <cellStyle name="20% - 강조색1 4 6 3 2 2" xfId="2522"/>
    <cellStyle name="20% - 강조색1 4 6 3 2 2 2" xfId="2523"/>
    <cellStyle name="20% - 강조색1 4 6 3 2 2 3" xfId="2524"/>
    <cellStyle name="20% - 강조색1 4 6 3 2 3" xfId="2525"/>
    <cellStyle name="20% - 강조색1 4 6 3 2 4" xfId="2526"/>
    <cellStyle name="20% - 강조색1 4 6 3 3" xfId="2527"/>
    <cellStyle name="20% - 강조색1 4 6 3 3 2" xfId="2528"/>
    <cellStyle name="20% - 강조색1 4 6 3 3 3" xfId="2529"/>
    <cellStyle name="20% - 강조색1 4 6 3 4" xfId="2530"/>
    <cellStyle name="20% - 강조색1 4 6 3 5" xfId="2531"/>
    <cellStyle name="20% - 강조색1 4 6 4" xfId="2532"/>
    <cellStyle name="20% - 강조색1 4 6 4 2" xfId="2533"/>
    <cellStyle name="20% - 강조색1 4 6 4 2 2" xfId="2534"/>
    <cellStyle name="20% - 강조색1 4 6 4 2 3" xfId="2535"/>
    <cellStyle name="20% - 강조색1 4 6 4 3" xfId="2536"/>
    <cellStyle name="20% - 강조색1 4 6 4 4" xfId="2537"/>
    <cellStyle name="20% - 강조색1 4 6 5" xfId="2538"/>
    <cellStyle name="20% - 강조색1 4 6 5 2" xfId="2539"/>
    <cellStyle name="20% - 강조색1 4 6 5 3" xfId="2540"/>
    <cellStyle name="20% - 강조색1 4 6 6" xfId="2541"/>
    <cellStyle name="20% - 강조색1 4 6 7" xfId="2542"/>
    <cellStyle name="20% - 강조색1 4 7" xfId="2543"/>
    <cellStyle name="20% - 강조색1 4 7 2" xfId="2544"/>
    <cellStyle name="20% - 강조색1 4 7 2 2" xfId="2545"/>
    <cellStyle name="20% - 강조색1 4 7 2 2 2" xfId="2546"/>
    <cellStyle name="20% - 강조색1 4 7 2 2 3" xfId="2547"/>
    <cellStyle name="20% - 강조색1 4 7 2 3" xfId="2548"/>
    <cellStyle name="20% - 강조색1 4 7 2 4" xfId="2549"/>
    <cellStyle name="20% - 강조색1 4 7 3" xfId="2550"/>
    <cellStyle name="20% - 강조색1 4 7 3 2" xfId="2551"/>
    <cellStyle name="20% - 강조색1 4 7 3 3" xfId="2552"/>
    <cellStyle name="20% - 강조색1 4 7 4" xfId="2553"/>
    <cellStyle name="20% - 강조색1 4 7 5" xfId="2554"/>
    <cellStyle name="20% - 강조색1 4 8" xfId="2555"/>
    <cellStyle name="20% - 강조색1 4 8 2" xfId="2556"/>
    <cellStyle name="20% - 강조색1 4 8 2 2" xfId="2557"/>
    <cellStyle name="20% - 강조색1 4 8 2 2 2" xfId="2558"/>
    <cellStyle name="20% - 강조색1 4 8 2 2 3" xfId="2559"/>
    <cellStyle name="20% - 강조색1 4 8 2 3" xfId="2560"/>
    <cellStyle name="20% - 강조색1 4 8 2 4" xfId="2561"/>
    <cellStyle name="20% - 강조색1 4 8 3" xfId="2562"/>
    <cellStyle name="20% - 강조색1 4 8 3 2" xfId="2563"/>
    <cellStyle name="20% - 강조색1 4 8 3 3" xfId="2564"/>
    <cellStyle name="20% - 강조색1 4 8 4" xfId="2565"/>
    <cellStyle name="20% - 강조색1 4 8 5" xfId="2566"/>
    <cellStyle name="20% - 강조색1 4 9" xfId="2567"/>
    <cellStyle name="20% - 강조색1 4 9 2" xfId="2568"/>
    <cellStyle name="20% - 강조색1 4 9 2 2" xfId="2569"/>
    <cellStyle name="20% - 강조색1 4 9 2 2 2" xfId="2570"/>
    <cellStyle name="20% - 강조색1 4 9 2 2 3" xfId="2571"/>
    <cellStyle name="20% - 강조색1 4 9 2 3" xfId="2572"/>
    <cellStyle name="20% - 강조색1 4 9 2 4" xfId="2573"/>
    <cellStyle name="20% - 강조색1 4 9 3" xfId="2574"/>
    <cellStyle name="20% - 강조색1 4 9 3 2" xfId="2575"/>
    <cellStyle name="20% - 강조색1 4 9 3 3" xfId="2576"/>
    <cellStyle name="20% - 강조색1 4 9 4" xfId="2577"/>
    <cellStyle name="20% - 강조색1 4 9 5" xfId="2578"/>
    <cellStyle name="20% - 강조색1 40" xfId="2579"/>
    <cellStyle name="20% - 강조색1 41" xfId="2580"/>
    <cellStyle name="20% - 강조색1 42" xfId="2581"/>
    <cellStyle name="20% - 강조색1 43" xfId="2582"/>
    <cellStyle name="20% - 강조색1 44" xfId="2583"/>
    <cellStyle name="20% - 강조색1 45" xfId="2584"/>
    <cellStyle name="20% - 강조색1 46" xfId="2585"/>
    <cellStyle name="20% - 강조색1 47" xfId="2586"/>
    <cellStyle name="20% - 강조색1 48" xfId="2587"/>
    <cellStyle name="20% - 강조색1 49" xfId="2588"/>
    <cellStyle name="20% - 강조색1 5" xfId="2589"/>
    <cellStyle name="20% - 강조색1 5 10" xfId="2590"/>
    <cellStyle name="20% - 강조색1 5 11" xfId="2591"/>
    <cellStyle name="20% - 강조색1 5 2" xfId="2592"/>
    <cellStyle name="20% - 강조색1 5 2 2" xfId="2593"/>
    <cellStyle name="20% - 강조색1 5 2 2 2" xfId="2594"/>
    <cellStyle name="20% - 강조색1 5 2 2 2 2" xfId="2595"/>
    <cellStyle name="20% - 강조색1 5 2 2 2 2 2" xfId="2596"/>
    <cellStyle name="20% - 강조색1 5 2 2 2 2 3" xfId="2597"/>
    <cellStyle name="20% - 강조색1 5 2 2 2 3" xfId="2598"/>
    <cellStyle name="20% - 강조색1 5 2 2 2 4" xfId="2599"/>
    <cellStyle name="20% - 강조색1 5 2 2 3" xfId="2600"/>
    <cellStyle name="20% - 강조색1 5 2 2 3 2" xfId="2601"/>
    <cellStyle name="20% - 강조색1 5 2 2 3 3" xfId="2602"/>
    <cellStyle name="20% - 강조색1 5 2 2 4" xfId="2603"/>
    <cellStyle name="20% - 강조색1 5 2 2 5" xfId="2604"/>
    <cellStyle name="20% - 강조색1 5 2 3" xfId="2605"/>
    <cellStyle name="20% - 강조색1 5 2 3 2" xfId="2606"/>
    <cellStyle name="20% - 강조색1 5 2 3 2 2" xfId="2607"/>
    <cellStyle name="20% - 강조색1 5 2 3 2 2 2" xfId="2608"/>
    <cellStyle name="20% - 강조색1 5 2 3 2 2 3" xfId="2609"/>
    <cellStyle name="20% - 강조색1 5 2 3 2 3" xfId="2610"/>
    <cellStyle name="20% - 강조색1 5 2 3 2 4" xfId="2611"/>
    <cellStyle name="20% - 강조색1 5 2 3 3" xfId="2612"/>
    <cellStyle name="20% - 강조색1 5 2 3 3 2" xfId="2613"/>
    <cellStyle name="20% - 강조색1 5 2 3 3 3" xfId="2614"/>
    <cellStyle name="20% - 강조색1 5 2 3 4" xfId="2615"/>
    <cellStyle name="20% - 강조색1 5 2 3 5" xfId="2616"/>
    <cellStyle name="20% - 강조색1 5 2 4" xfId="2617"/>
    <cellStyle name="20% - 강조색1 5 2 4 2" xfId="2618"/>
    <cellStyle name="20% - 강조색1 5 2 4 2 2" xfId="2619"/>
    <cellStyle name="20% - 강조색1 5 2 4 2 3" xfId="2620"/>
    <cellStyle name="20% - 강조색1 5 2 4 3" xfId="2621"/>
    <cellStyle name="20% - 강조색1 5 2 4 4" xfId="2622"/>
    <cellStyle name="20% - 강조색1 5 2 5" xfId="2623"/>
    <cellStyle name="20% - 강조색1 5 2 5 2" xfId="2624"/>
    <cellStyle name="20% - 강조색1 5 2 5 3" xfId="2625"/>
    <cellStyle name="20% - 강조색1 5 2 6" xfId="2626"/>
    <cellStyle name="20% - 강조색1 5 2 7" xfId="2627"/>
    <cellStyle name="20% - 강조색1 5 3" xfId="2628"/>
    <cellStyle name="20% - 강조색1 5 3 2" xfId="2629"/>
    <cellStyle name="20% - 강조색1 5 3 2 2" xfId="2630"/>
    <cellStyle name="20% - 강조색1 5 3 2 2 2" xfId="2631"/>
    <cellStyle name="20% - 강조색1 5 3 2 2 2 2" xfId="2632"/>
    <cellStyle name="20% - 강조색1 5 3 2 2 2 3" xfId="2633"/>
    <cellStyle name="20% - 강조색1 5 3 2 2 3" xfId="2634"/>
    <cellStyle name="20% - 강조색1 5 3 2 2 4" xfId="2635"/>
    <cellStyle name="20% - 강조색1 5 3 2 3" xfId="2636"/>
    <cellStyle name="20% - 강조색1 5 3 2 3 2" xfId="2637"/>
    <cellStyle name="20% - 강조색1 5 3 2 3 3" xfId="2638"/>
    <cellStyle name="20% - 강조색1 5 3 2 4" xfId="2639"/>
    <cellStyle name="20% - 강조색1 5 3 2 5" xfId="2640"/>
    <cellStyle name="20% - 강조색1 5 3 3" xfId="2641"/>
    <cellStyle name="20% - 강조색1 5 3 3 2" xfId="2642"/>
    <cellStyle name="20% - 강조색1 5 3 3 2 2" xfId="2643"/>
    <cellStyle name="20% - 강조색1 5 3 3 2 2 2" xfId="2644"/>
    <cellStyle name="20% - 강조색1 5 3 3 2 2 3" xfId="2645"/>
    <cellStyle name="20% - 강조색1 5 3 3 2 3" xfId="2646"/>
    <cellStyle name="20% - 강조색1 5 3 3 2 4" xfId="2647"/>
    <cellStyle name="20% - 강조색1 5 3 3 3" xfId="2648"/>
    <cellStyle name="20% - 강조색1 5 3 3 3 2" xfId="2649"/>
    <cellStyle name="20% - 강조색1 5 3 3 3 3" xfId="2650"/>
    <cellStyle name="20% - 강조색1 5 3 3 4" xfId="2651"/>
    <cellStyle name="20% - 강조색1 5 3 3 5" xfId="2652"/>
    <cellStyle name="20% - 강조색1 5 3 4" xfId="2653"/>
    <cellStyle name="20% - 강조색1 5 3 4 2" xfId="2654"/>
    <cellStyle name="20% - 강조색1 5 3 4 2 2" xfId="2655"/>
    <cellStyle name="20% - 강조색1 5 3 4 2 3" xfId="2656"/>
    <cellStyle name="20% - 강조색1 5 3 4 3" xfId="2657"/>
    <cellStyle name="20% - 강조색1 5 3 4 4" xfId="2658"/>
    <cellStyle name="20% - 강조색1 5 3 5" xfId="2659"/>
    <cellStyle name="20% - 강조색1 5 3 5 2" xfId="2660"/>
    <cellStyle name="20% - 강조색1 5 3 5 3" xfId="2661"/>
    <cellStyle name="20% - 강조색1 5 3 6" xfId="2662"/>
    <cellStyle name="20% - 강조색1 5 3 7" xfId="2663"/>
    <cellStyle name="20% - 강조색1 5 4" xfId="2664"/>
    <cellStyle name="20% - 강조색1 5 4 2" xfId="2665"/>
    <cellStyle name="20% - 강조색1 5 4 2 2" xfId="2666"/>
    <cellStyle name="20% - 강조색1 5 4 2 2 2" xfId="2667"/>
    <cellStyle name="20% - 강조색1 5 4 2 2 3" xfId="2668"/>
    <cellStyle name="20% - 강조색1 5 4 2 3" xfId="2669"/>
    <cellStyle name="20% - 강조색1 5 4 2 4" xfId="2670"/>
    <cellStyle name="20% - 강조색1 5 4 3" xfId="2671"/>
    <cellStyle name="20% - 강조색1 5 4 3 2" xfId="2672"/>
    <cellStyle name="20% - 강조색1 5 4 3 3" xfId="2673"/>
    <cellStyle name="20% - 강조색1 5 4 4" xfId="2674"/>
    <cellStyle name="20% - 강조색1 5 4 5" xfId="2675"/>
    <cellStyle name="20% - 강조색1 5 5" xfId="2676"/>
    <cellStyle name="20% - 강조색1 5 5 2" xfId="2677"/>
    <cellStyle name="20% - 강조색1 5 5 2 2" xfId="2678"/>
    <cellStyle name="20% - 강조색1 5 5 2 2 2" xfId="2679"/>
    <cellStyle name="20% - 강조색1 5 5 2 2 3" xfId="2680"/>
    <cellStyle name="20% - 강조색1 5 5 2 3" xfId="2681"/>
    <cellStyle name="20% - 강조색1 5 5 2 4" xfId="2682"/>
    <cellStyle name="20% - 강조색1 5 5 3" xfId="2683"/>
    <cellStyle name="20% - 강조색1 5 5 3 2" xfId="2684"/>
    <cellStyle name="20% - 강조색1 5 5 3 3" xfId="2685"/>
    <cellStyle name="20% - 강조색1 5 5 4" xfId="2686"/>
    <cellStyle name="20% - 강조색1 5 5 5" xfId="2687"/>
    <cellStyle name="20% - 강조색1 5 6" xfId="2688"/>
    <cellStyle name="20% - 강조색1 5 6 2" xfId="2689"/>
    <cellStyle name="20% - 강조색1 5 6 2 2" xfId="2690"/>
    <cellStyle name="20% - 강조색1 5 6 2 2 2" xfId="2691"/>
    <cellStyle name="20% - 강조색1 5 6 2 2 3" xfId="2692"/>
    <cellStyle name="20% - 강조색1 5 6 2 3" xfId="2693"/>
    <cellStyle name="20% - 강조색1 5 6 2 4" xfId="2694"/>
    <cellStyle name="20% - 강조색1 5 6 3" xfId="2695"/>
    <cellStyle name="20% - 강조색1 5 6 3 2" xfId="2696"/>
    <cellStyle name="20% - 강조색1 5 6 3 3" xfId="2697"/>
    <cellStyle name="20% - 강조색1 5 6 4" xfId="2698"/>
    <cellStyle name="20% - 강조색1 5 6 5" xfId="2699"/>
    <cellStyle name="20% - 강조색1 5 7" xfId="2700"/>
    <cellStyle name="20% - 강조색1 5 7 2" xfId="2701"/>
    <cellStyle name="20% - 강조색1 5 7 2 2" xfId="2702"/>
    <cellStyle name="20% - 강조색1 5 7 2 3" xfId="2703"/>
    <cellStyle name="20% - 강조색1 5 7 3" xfId="2704"/>
    <cellStyle name="20% - 강조색1 5 7 4" xfId="2705"/>
    <cellStyle name="20% - 강조색1 5 8" xfId="2706"/>
    <cellStyle name="20% - 강조색1 5 8 2" xfId="2707"/>
    <cellStyle name="20% - 강조색1 5 8 3" xfId="2708"/>
    <cellStyle name="20% - 강조색1 5 9" xfId="2709"/>
    <cellStyle name="20% - 강조색1 50" xfId="2710"/>
    <cellStyle name="20% - 강조색1 51" xfId="2711"/>
    <cellStyle name="20% - 강조색1 52" xfId="2712"/>
    <cellStyle name="20% - 강조색1 53" xfId="2713"/>
    <cellStyle name="20% - 강조색1 54" xfId="2714"/>
    <cellStyle name="20% - 강조색1 55" xfId="2715"/>
    <cellStyle name="20% - 강조색1 56" xfId="2716"/>
    <cellStyle name="20% - 강조색1 57" xfId="2717"/>
    <cellStyle name="20% - 강조색1 58" xfId="2718"/>
    <cellStyle name="20% - 강조색1 59" xfId="2719"/>
    <cellStyle name="20% - 강조색1 6" xfId="2720"/>
    <cellStyle name="20% - 강조색1 6 10" xfId="2721"/>
    <cellStyle name="20% - 강조색1 6 2" xfId="2722"/>
    <cellStyle name="20% - 강조색1 6 2 2" xfId="2723"/>
    <cellStyle name="20% - 강조색1 6 2 2 2" xfId="2724"/>
    <cellStyle name="20% - 강조색1 6 2 2 2 2" xfId="2725"/>
    <cellStyle name="20% - 강조색1 6 2 2 2 2 2" xfId="2726"/>
    <cellStyle name="20% - 강조색1 6 2 2 2 2 3" xfId="2727"/>
    <cellStyle name="20% - 강조색1 6 2 2 2 3" xfId="2728"/>
    <cellStyle name="20% - 강조색1 6 2 2 2 4" xfId="2729"/>
    <cellStyle name="20% - 강조색1 6 2 2 3" xfId="2730"/>
    <cellStyle name="20% - 강조색1 6 2 2 3 2" xfId="2731"/>
    <cellStyle name="20% - 강조색1 6 2 2 3 3" xfId="2732"/>
    <cellStyle name="20% - 강조색1 6 2 2 4" xfId="2733"/>
    <cellStyle name="20% - 강조색1 6 2 2 5" xfId="2734"/>
    <cellStyle name="20% - 강조색1 6 2 3" xfId="2735"/>
    <cellStyle name="20% - 강조색1 6 2 3 2" xfId="2736"/>
    <cellStyle name="20% - 강조색1 6 2 3 2 2" xfId="2737"/>
    <cellStyle name="20% - 강조색1 6 2 3 2 2 2" xfId="2738"/>
    <cellStyle name="20% - 강조색1 6 2 3 2 2 3" xfId="2739"/>
    <cellStyle name="20% - 강조색1 6 2 3 2 3" xfId="2740"/>
    <cellStyle name="20% - 강조색1 6 2 3 2 4" xfId="2741"/>
    <cellStyle name="20% - 강조색1 6 2 3 3" xfId="2742"/>
    <cellStyle name="20% - 강조색1 6 2 3 3 2" xfId="2743"/>
    <cellStyle name="20% - 강조색1 6 2 3 3 3" xfId="2744"/>
    <cellStyle name="20% - 강조색1 6 2 3 4" xfId="2745"/>
    <cellStyle name="20% - 강조색1 6 2 3 5" xfId="2746"/>
    <cellStyle name="20% - 강조색1 6 2 4" xfId="2747"/>
    <cellStyle name="20% - 강조색1 6 2 4 2" xfId="2748"/>
    <cellStyle name="20% - 강조색1 6 2 4 2 2" xfId="2749"/>
    <cellStyle name="20% - 강조색1 6 2 4 2 3" xfId="2750"/>
    <cellStyle name="20% - 강조색1 6 2 4 3" xfId="2751"/>
    <cellStyle name="20% - 강조색1 6 2 4 4" xfId="2752"/>
    <cellStyle name="20% - 강조색1 6 2 5" xfId="2753"/>
    <cellStyle name="20% - 강조색1 6 2 5 2" xfId="2754"/>
    <cellStyle name="20% - 강조색1 6 2 5 3" xfId="2755"/>
    <cellStyle name="20% - 강조색1 6 2 6" xfId="2756"/>
    <cellStyle name="20% - 강조색1 6 2 7" xfId="2757"/>
    <cellStyle name="20% - 강조색1 6 3" xfId="2758"/>
    <cellStyle name="20% - 강조색1 6 3 2" xfId="2759"/>
    <cellStyle name="20% - 강조색1 6 3 2 2" xfId="2760"/>
    <cellStyle name="20% - 강조색1 6 3 2 2 2" xfId="2761"/>
    <cellStyle name="20% - 강조색1 6 3 2 2 2 2" xfId="2762"/>
    <cellStyle name="20% - 강조색1 6 3 2 2 2 3" xfId="2763"/>
    <cellStyle name="20% - 강조색1 6 3 2 2 3" xfId="2764"/>
    <cellStyle name="20% - 강조색1 6 3 2 2 4" xfId="2765"/>
    <cellStyle name="20% - 강조색1 6 3 2 3" xfId="2766"/>
    <cellStyle name="20% - 강조색1 6 3 2 3 2" xfId="2767"/>
    <cellStyle name="20% - 강조색1 6 3 2 3 3" xfId="2768"/>
    <cellStyle name="20% - 강조색1 6 3 2 4" xfId="2769"/>
    <cellStyle name="20% - 강조색1 6 3 2 5" xfId="2770"/>
    <cellStyle name="20% - 강조색1 6 3 3" xfId="2771"/>
    <cellStyle name="20% - 강조색1 6 3 3 2" xfId="2772"/>
    <cellStyle name="20% - 강조색1 6 3 3 2 2" xfId="2773"/>
    <cellStyle name="20% - 강조색1 6 3 3 2 2 2" xfId="2774"/>
    <cellStyle name="20% - 강조색1 6 3 3 2 2 3" xfId="2775"/>
    <cellStyle name="20% - 강조색1 6 3 3 2 3" xfId="2776"/>
    <cellStyle name="20% - 강조색1 6 3 3 2 4" xfId="2777"/>
    <cellStyle name="20% - 강조색1 6 3 3 3" xfId="2778"/>
    <cellStyle name="20% - 강조색1 6 3 3 3 2" xfId="2779"/>
    <cellStyle name="20% - 강조색1 6 3 3 3 3" xfId="2780"/>
    <cellStyle name="20% - 강조색1 6 3 3 4" xfId="2781"/>
    <cellStyle name="20% - 강조색1 6 3 3 5" xfId="2782"/>
    <cellStyle name="20% - 강조색1 6 3 4" xfId="2783"/>
    <cellStyle name="20% - 강조색1 6 3 4 2" xfId="2784"/>
    <cellStyle name="20% - 강조색1 6 3 4 2 2" xfId="2785"/>
    <cellStyle name="20% - 강조색1 6 3 4 2 3" xfId="2786"/>
    <cellStyle name="20% - 강조색1 6 3 4 3" xfId="2787"/>
    <cellStyle name="20% - 강조색1 6 3 4 4" xfId="2788"/>
    <cellStyle name="20% - 강조색1 6 3 5" xfId="2789"/>
    <cellStyle name="20% - 강조색1 6 3 5 2" xfId="2790"/>
    <cellStyle name="20% - 강조색1 6 3 5 3" xfId="2791"/>
    <cellStyle name="20% - 강조색1 6 3 6" xfId="2792"/>
    <cellStyle name="20% - 강조색1 6 3 7" xfId="2793"/>
    <cellStyle name="20% - 강조색1 6 4" xfId="2794"/>
    <cellStyle name="20% - 강조색1 6 4 2" xfId="2795"/>
    <cellStyle name="20% - 강조색1 6 4 2 2" xfId="2796"/>
    <cellStyle name="20% - 강조색1 6 4 2 2 2" xfId="2797"/>
    <cellStyle name="20% - 강조색1 6 4 2 2 3" xfId="2798"/>
    <cellStyle name="20% - 강조색1 6 4 2 3" xfId="2799"/>
    <cellStyle name="20% - 강조색1 6 4 2 4" xfId="2800"/>
    <cellStyle name="20% - 강조색1 6 4 3" xfId="2801"/>
    <cellStyle name="20% - 강조색1 6 4 3 2" xfId="2802"/>
    <cellStyle name="20% - 강조색1 6 4 3 3" xfId="2803"/>
    <cellStyle name="20% - 강조색1 6 4 4" xfId="2804"/>
    <cellStyle name="20% - 강조색1 6 4 5" xfId="2805"/>
    <cellStyle name="20% - 강조색1 6 5" xfId="2806"/>
    <cellStyle name="20% - 강조색1 6 5 2" xfId="2807"/>
    <cellStyle name="20% - 강조색1 6 5 2 2" xfId="2808"/>
    <cellStyle name="20% - 강조색1 6 5 2 2 2" xfId="2809"/>
    <cellStyle name="20% - 강조색1 6 5 2 2 3" xfId="2810"/>
    <cellStyle name="20% - 강조색1 6 5 2 3" xfId="2811"/>
    <cellStyle name="20% - 강조색1 6 5 2 4" xfId="2812"/>
    <cellStyle name="20% - 강조색1 6 5 3" xfId="2813"/>
    <cellStyle name="20% - 강조색1 6 5 3 2" xfId="2814"/>
    <cellStyle name="20% - 강조색1 6 5 3 3" xfId="2815"/>
    <cellStyle name="20% - 강조색1 6 5 4" xfId="2816"/>
    <cellStyle name="20% - 강조색1 6 5 5" xfId="2817"/>
    <cellStyle name="20% - 강조색1 6 6" xfId="2818"/>
    <cellStyle name="20% - 강조색1 6 6 2" xfId="2819"/>
    <cellStyle name="20% - 강조색1 6 6 2 2" xfId="2820"/>
    <cellStyle name="20% - 강조색1 6 6 2 2 2" xfId="2821"/>
    <cellStyle name="20% - 강조색1 6 6 2 2 3" xfId="2822"/>
    <cellStyle name="20% - 강조색1 6 6 2 3" xfId="2823"/>
    <cellStyle name="20% - 강조색1 6 6 2 4" xfId="2824"/>
    <cellStyle name="20% - 강조색1 6 6 3" xfId="2825"/>
    <cellStyle name="20% - 강조색1 6 6 3 2" xfId="2826"/>
    <cellStyle name="20% - 강조색1 6 6 3 3" xfId="2827"/>
    <cellStyle name="20% - 강조색1 6 6 4" xfId="2828"/>
    <cellStyle name="20% - 강조색1 6 6 5" xfId="2829"/>
    <cellStyle name="20% - 강조색1 6 7" xfId="2830"/>
    <cellStyle name="20% - 강조색1 6 7 2" xfId="2831"/>
    <cellStyle name="20% - 강조색1 6 7 2 2" xfId="2832"/>
    <cellStyle name="20% - 강조색1 6 7 2 3" xfId="2833"/>
    <cellStyle name="20% - 강조색1 6 7 3" xfId="2834"/>
    <cellStyle name="20% - 강조색1 6 7 4" xfId="2835"/>
    <cellStyle name="20% - 강조색1 6 8" xfId="2836"/>
    <cellStyle name="20% - 강조색1 6 8 2" xfId="2837"/>
    <cellStyle name="20% - 강조색1 6 8 3" xfId="2838"/>
    <cellStyle name="20% - 강조색1 6 9" xfId="2839"/>
    <cellStyle name="20% - 강조색1 60" xfId="2840"/>
    <cellStyle name="20% - 강조색1 61" xfId="2841"/>
    <cellStyle name="20% - 강조색1 62" xfId="2842"/>
    <cellStyle name="20% - 강조색1 63" xfId="2843"/>
    <cellStyle name="20% - 강조색1 64" xfId="2844"/>
    <cellStyle name="20% - 강조색1 65" xfId="2845"/>
    <cellStyle name="20% - 강조색1 66" xfId="2846"/>
    <cellStyle name="20% - 강조색1 67" xfId="2847"/>
    <cellStyle name="20% - 강조색1 68" xfId="2848"/>
    <cellStyle name="20% - 강조색1 69" xfId="2849"/>
    <cellStyle name="20% - 강조색1 7" xfId="2850"/>
    <cellStyle name="20% - 강조색1 7 10" xfId="2851"/>
    <cellStyle name="20% - 강조색1 7 2" xfId="2852"/>
    <cellStyle name="20% - 강조색1 7 2 2" xfId="2853"/>
    <cellStyle name="20% - 강조색1 7 2 2 2" xfId="2854"/>
    <cellStyle name="20% - 강조색1 7 2 2 2 2" xfId="2855"/>
    <cellStyle name="20% - 강조색1 7 2 2 2 2 2" xfId="2856"/>
    <cellStyle name="20% - 강조색1 7 2 2 2 2 3" xfId="2857"/>
    <cellStyle name="20% - 강조색1 7 2 2 2 3" xfId="2858"/>
    <cellStyle name="20% - 강조색1 7 2 2 2 4" xfId="2859"/>
    <cellStyle name="20% - 강조색1 7 2 2 3" xfId="2860"/>
    <cellStyle name="20% - 강조색1 7 2 2 3 2" xfId="2861"/>
    <cellStyle name="20% - 강조색1 7 2 2 3 3" xfId="2862"/>
    <cellStyle name="20% - 강조색1 7 2 2 4" xfId="2863"/>
    <cellStyle name="20% - 강조색1 7 2 2 5" xfId="2864"/>
    <cellStyle name="20% - 강조색1 7 2 3" xfId="2865"/>
    <cellStyle name="20% - 강조색1 7 2 3 2" xfId="2866"/>
    <cellStyle name="20% - 강조색1 7 2 3 2 2" xfId="2867"/>
    <cellStyle name="20% - 강조색1 7 2 3 2 2 2" xfId="2868"/>
    <cellStyle name="20% - 강조색1 7 2 3 2 2 3" xfId="2869"/>
    <cellStyle name="20% - 강조색1 7 2 3 2 3" xfId="2870"/>
    <cellStyle name="20% - 강조색1 7 2 3 2 4" xfId="2871"/>
    <cellStyle name="20% - 강조색1 7 2 3 3" xfId="2872"/>
    <cellStyle name="20% - 강조색1 7 2 3 3 2" xfId="2873"/>
    <cellStyle name="20% - 강조색1 7 2 3 3 3" xfId="2874"/>
    <cellStyle name="20% - 강조색1 7 2 3 4" xfId="2875"/>
    <cellStyle name="20% - 강조색1 7 2 3 5" xfId="2876"/>
    <cellStyle name="20% - 강조색1 7 2 4" xfId="2877"/>
    <cellStyle name="20% - 강조색1 7 2 4 2" xfId="2878"/>
    <cellStyle name="20% - 강조색1 7 2 4 2 2" xfId="2879"/>
    <cellStyle name="20% - 강조색1 7 2 4 2 3" xfId="2880"/>
    <cellStyle name="20% - 강조색1 7 2 4 3" xfId="2881"/>
    <cellStyle name="20% - 강조색1 7 2 4 4" xfId="2882"/>
    <cellStyle name="20% - 강조색1 7 2 5" xfId="2883"/>
    <cellStyle name="20% - 강조색1 7 2 5 2" xfId="2884"/>
    <cellStyle name="20% - 강조색1 7 2 5 3" xfId="2885"/>
    <cellStyle name="20% - 강조색1 7 2 6" xfId="2886"/>
    <cellStyle name="20% - 강조색1 7 2 7" xfId="2887"/>
    <cellStyle name="20% - 강조색1 7 3" xfId="2888"/>
    <cellStyle name="20% - 강조색1 7 3 2" xfId="2889"/>
    <cellStyle name="20% - 강조색1 7 3 2 2" xfId="2890"/>
    <cellStyle name="20% - 강조색1 7 3 2 2 2" xfId="2891"/>
    <cellStyle name="20% - 강조색1 7 3 2 2 2 2" xfId="2892"/>
    <cellStyle name="20% - 강조색1 7 3 2 2 2 3" xfId="2893"/>
    <cellStyle name="20% - 강조색1 7 3 2 2 3" xfId="2894"/>
    <cellStyle name="20% - 강조색1 7 3 2 2 4" xfId="2895"/>
    <cellStyle name="20% - 강조색1 7 3 2 3" xfId="2896"/>
    <cellStyle name="20% - 강조색1 7 3 2 3 2" xfId="2897"/>
    <cellStyle name="20% - 강조색1 7 3 2 3 3" xfId="2898"/>
    <cellStyle name="20% - 강조색1 7 3 2 4" xfId="2899"/>
    <cellStyle name="20% - 강조색1 7 3 2 5" xfId="2900"/>
    <cellStyle name="20% - 강조색1 7 3 3" xfId="2901"/>
    <cellStyle name="20% - 강조색1 7 3 3 2" xfId="2902"/>
    <cellStyle name="20% - 강조색1 7 3 3 2 2" xfId="2903"/>
    <cellStyle name="20% - 강조색1 7 3 3 2 2 2" xfId="2904"/>
    <cellStyle name="20% - 강조색1 7 3 3 2 2 3" xfId="2905"/>
    <cellStyle name="20% - 강조색1 7 3 3 2 3" xfId="2906"/>
    <cellStyle name="20% - 강조색1 7 3 3 2 4" xfId="2907"/>
    <cellStyle name="20% - 강조색1 7 3 3 3" xfId="2908"/>
    <cellStyle name="20% - 강조색1 7 3 3 3 2" xfId="2909"/>
    <cellStyle name="20% - 강조색1 7 3 3 3 3" xfId="2910"/>
    <cellStyle name="20% - 강조색1 7 3 3 4" xfId="2911"/>
    <cellStyle name="20% - 강조색1 7 3 3 5" xfId="2912"/>
    <cellStyle name="20% - 강조색1 7 3 4" xfId="2913"/>
    <cellStyle name="20% - 강조색1 7 3 4 2" xfId="2914"/>
    <cellStyle name="20% - 강조색1 7 3 4 2 2" xfId="2915"/>
    <cellStyle name="20% - 강조색1 7 3 4 2 3" xfId="2916"/>
    <cellStyle name="20% - 강조색1 7 3 4 3" xfId="2917"/>
    <cellStyle name="20% - 강조색1 7 3 4 4" xfId="2918"/>
    <cellStyle name="20% - 강조색1 7 3 5" xfId="2919"/>
    <cellStyle name="20% - 강조색1 7 3 5 2" xfId="2920"/>
    <cellStyle name="20% - 강조색1 7 3 5 3" xfId="2921"/>
    <cellStyle name="20% - 강조색1 7 3 6" xfId="2922"/>
    <cellStyle name="20% - 강조색1 7 3 7" xfId="2923"/>
    <cellStyle name="20% - 강조색1 7 4" xfId="2924"/>
    <cellStyle name="20% - 강조색1 7 4 2" xfId="2925"/>
    <cellStyle name="20% - 강조색1 7 4 2 2" xfId="2926"/>
    <cellStyle name="20% - 강조색1 7 4 2 2 2" xfId="2927"/>
    <cellStyle name="20% - 강조색1 7 4 2 2 3" xfId="2928"/>
    <cellStyle name="20% - 강조색1 7 4 2 3" xfId="2929"/>
    <cellStyle name="20% - 강조색1 7 4 2 4" xfId="2930"/>
    <cellStyle name="20% - 강조색1 7 4 3" xfId="2931"/>
    <cellStyle name="20% - 강조색1 7 4 3 2" xfId="2932"/>
    <cellStyle name="20% - 강조색1 7 4 3 3" xfId="2933"/>
    <cellStyle name="20% - 강조색1 7 4 4" xfId="2934"/>
    <cellStyle name="20% - 강조색1 7 4 5" xfId="2935"/>
    <cellStyle name="20% - 강조색1 7 5" xfId="2936"/>
    <cellStyle name="20% - 강조색1 7 5 2" xfId="2937"/>
    <cellStyle name="20% - 강조색1 7 5 2 2" xfId="2938"/>
    <cellStyle name="20% - 강조색1 7 5 2 2 2" xfId="2939"/>
    <cellStyle name="20% - 강조색1 7 5 2 2 3" xfId="2940"/>
    <cellStyle name="20% - 강조색1 7 5 2 3" xfId="2941"/>
    <cellStyle name="20% - 강조색1 7 5 2 4" xfId="2942"/>
    <cellStyle name="20% - 강조색1 7 5 3" xfId="2943"/>
    <cellStyle name="20% - 강조색1 7 5 3 2" xfId="2944"/>
    <cellStyle name="20% - 강조색1 7 5 3 3" xfId="2945"/>
    <cellStyle name="20% - 강조색1 7 5 4" xfId="2946"/>
    <cellStyle name="20% - 강조색1 7 5 5" xfId="2947"/>
    <cellStyle name="20% - 강조색1 7 6" xfId="2948"/>
    <cellStyle name="20% - 강조색1 7 6 2" xfId="2949"/>
    <cellStyle name="20% - 강조색1 7 6 2 2" xfId="2950"/>
    <cellStyle name="20% - 강조색1 7 6 2 2 2" xfId="2951"/>
    <cellStyle name="20% - 강조색1 7 6 2 2 3" xfId="2952"/>
    <cellStyle name="20% - 강조색1 7 6 2 3" xfId="2953"/>
    <cellStyle name="20% - 강조색1 7 6 2 4" xfId="2954"/>
    <cellStyle name="20% - 강조색1 7 6 3" xfId="2955"/>
    <cellStyle name="20% - 강조색1 7 6 3 2" xfId="2956"/>
    <cellStyle name="20% - 강조색1 7 6 3 3" xfId="2957"/>
    <cellStyle name="20% - 강조색1 7 6 4" xfId="2958"/>
    <cellStyle name="20% - 강조색1 7 6 5" xfId="2959"/>
    <cellStyle name="20% - 강조색1 7 7" xfId="2960"/>
    <cellStyle name="20% - 강조색1 7 7 2" xfId="2961"/>
    <cellStyle name="20% - 강조색1 7 7 2 2" xfId="2962"/>
    <cellStyle name="20% - 강조색1 7 7 2 3" xfId="2963"/>
    <cellStyle name="20% - 강조색1 7 7 3" xfId="2964"/>
    <cellStyle name="20% - 강조색1 7 7 4" xfId="2965"/>
    <cellStyle name="20% - 강조색1 7 8" xfId="2966"/>
    <cellStyle name="20% - 강조색1 7 8 2" xfId="2967"/>
    <cellStyle name="20% - 강조색1 7 8 3" xfId="2968"/>
    <cellStyle name="20% - 강조색1 7 9" xfId="2969"/>
    <cellStyle name="20% - 강조색1 8" xfId="2970"/>
    <cellStyle name="20% - 강조색1 8 2" xfId="2971"/>
    <cellStyle name="20% - 강조색1 8 2 2" xfId="2972"/>
    <cellStyle name="20% - 강조색1 8 2 2 2" xfId="2973"/>
    <cellStyle name="20% - 강조색1 8 2 2 2 2" xfId="2974"/>
    <cellStyle name="20% - 강조색1 8 2 2 2 3" xfId="2975"/>
    <cellStyle name="20% - 강조색1 8 2 2 3" xfId="2976"/>
    <cellStyle name="20% - 강조색1 8 2 2 4" xfId="2977"/>
    <cellStyle name="20% - 강조색1 8 2 3" xfId="2978"/>
    <cellStyle name="20% - 강조색1 8 2 3 2" xfId="2979"/>
    <cellStyle name="20% - 강조색1 8 2 3 3" xfId="2980"/>
    <cellStyle name="20% - 강조색1 8 2 4" xfId="2981"/>
    <cellStyle name="20% - 강조색1 8 2 5" xfId="2982"/>
    <cellStyle name="20% - 강조색1 8 3" xfId="2983"/>
    <cellStyle name="20% - 강조색1 8 3 2" xfId="2984"/>
    <cellStyle name="20% - 강조색1 8 3 2 2" xfId="2985"/>
    <cellStyle name="20% - 강조색1 8 3 2 2 2" xfId="2986"/>
    <cellStyle name="20% - 강조색1 8 3 2 2 3" xfId="2987"/>
    <cellStyle name="20% - 강조색1 8 3 2 3" xfId="2988"/>
    <cellStyle name="20% - 강조색1 8 3 2 4" xfId="2989"/>
    <cellStyle name="20% - 강조색1 8 3 3" xfId="2990"/>
    <cellStyle name="20% - 강조색1 8 3 3 2" xfId="2991"/>
    <cellStyle name="20% - 강조색1 8 3 3 3" xfId="2992"/>
    <cellStyle name="20% - 강조색1 8 3 4" xfId="2993"/>
    <cellStyle name="20% - 강조색1 8 3 5" xfId="2994"/>
    <cellStyle name="20% - 강조색1 8 4" xfId="2995"/>
    <cellStyle name="20% - 강조색1 8 4 2" xfId="2996"/>
    <cellStyle name="20% - 강조색1 8 4 2 2" xfId="2997"/>
    <cellStyle name="20% - 강조색1 8 4 2 3" xfId="2998"/>
    <cellStyle name="20% - 강조색1 8 4 3" xfId="2999"/>
    <cellStyle name="20% - 강조색1 8 4 4" xfId="3000"/>
    <cellStyle name="20% - 강조색1 8 5" xfId="3001"/>
    <cellStyle name="20% - 강조색1 8 5 2" xfId="3002"/>
    <cellStyle name="20% - 강조색1 8 5 3" xfId="3003"/>
    <cellStyle name="20% - 강조색1 8 6" xfId="3004"/>
    <cellStyle name="20% - 강조색1 8 7" xfId="3005"/>
    <cellStyle name="20% - 강조색1 9" xfId="3006"/>
    <cellStyle name="20% - 강조색1 9 2" xfId="3007"/>
    <cellStyle name="20% - 강조색1 9 2 2" xfId="3008"/>
    <cellStyle name="20% - 강조색1 9 2 2 2" xfId="3009"/>
    <cellStyle name="20% - 강조색1 9 2 2 2 2" xfId="3010"/>
    <cellStyle name="20% - 강조색1 9 2 2 2 3" xfId="3011"/>
    <cellStyle name="20% - 강조색1 9 2 2 3" xfId="3012"/>
    <cellStyle name="20% - 강조색1 9 2 2 4" xfId="3013"/>
    <cellStyle name="20% - 강조색1 9 2 3" xfId="3014"/>
    <cellStyle name="20% - 강조색1 9 2 3 2" xfId="3015"/>
    <cellStyle name="20% - 강조색1 9 2 3 3" xfId="3016"/>
    <cellStyle name="20% - 강조색1 9 2 4" xfId="3017"/>
    <cellStyle name="20% - 강조색1 9 2 5" xfId="3018"/>
    <cellStyle name="20% - 강조색1 9 3" xfId="3019"/>
    <cellStyle name="20% - 강조색1 9 3 2" xfId="3020"/>
    <cellStyle name="20% - 강조색1 9 3 2 2" xfId="3021"/>
    <cellStyle name="20% - 강조색1 9 3 2 2 2" xfId="3022"/>
    <cellStyle name="20% - 강조색1 9 3 2 2 3" xfId="3023"/>
    <cellStyle name="20% - 강조색1 9 3 2 3" xfId="3024"/>
    <cellStyle name="20% - 강조색1 9 3 2 4" xfId="3025"/>
    <cellStyle name="20% - 강조색1 9 3 3" xfId="3026"/>
    <cellStyle name="20% - 강조색1 9 3 3 2" xfId="3027"/>
    <cellStyle name="20% - 강조색1 9 3 3 3" xfId="3028"/>
    <cellStyle name="20% - 강조색1 9 3 4" xfId="3029"/>
    <cellStyle name="20% - 강조색1 9 3 5" xfId="3030"/>
    <cellStyle name="20% - 강조색1 9 4" xfId="3031"/>
    <cellStyle name="20% - 강조색1 9 4 2" xfId="3032"/>
    <cellStyle name="20% - 강조색1 9 4 2 2" xfId="3033"/>
    <cellStyle name="20% - 강조색1 9 4 2 3" xfId="3034"/>
    <cellStyle name="20% - 강조색1 9 4 3" xfId="3035"/>
    <cellStyle name="20% - 강조색1 9 4 4" xfId="3036"/>
    <cellStyle name="20% - 강조색1 9 5" xfId="3037"/>
    <cellStyle name="20% - 강조색1 9 5 2" xfId="3038"/>
    <cellStyle name="20% - 강조색1 9 5 3" xfId="3039"/>
    <cellStyle name="20% - 강조색1 9 6" xfId="3040"/>
    <cellStyle name="20% - 강조색1 9 7" xfId="3041"/>
    <cellStyle name="20% - 강조색2 10" xfId="3042"/>
    <cellStyle name="20% - 강조색2 10 2" xfId="3043"/>
    <cellStyle name="20% - 강조색2 10 2 2" xfId="3044"/>
    <cellStyle name="20% - 강조색2 10 2 2 2" xfId="3045"/>
    <cellStyle name="20% - 강조색2 10 2 2 2 2" xfId="3046"/>
    <cellStyle name="20% - 강조색2 10 2 2 2 3" xfId="3047"/>
    <cellStyle name="20% - 강조색2 10 2 2 3" xfId="3048"/>
    <cellStyle name="20% - 강조색2 10 2 2 4" xfId="3049"/>
    <cellStyle name="20% - 강조색2 10 2 3" xfId="3050"/>
    <cellStyle name="20% - 강조색2 10 2 3 2" xfId="3051"/>
    <cellStyle name="20% - 강조색2 10 2 3 3" xfId="3052"/>
    <cellStyle name="20% - 강조색2 10 2 4" xfId="3053"/>
    <cellStyle name="20% - 강조색2 10 2 5" xfId="3054"/>
    <cellStyle name="20% - 강조색2 10 3" xfId="3055"/>
    <cellStyle name="20% - 강조색2 10 3 2" xfId="3056"/>
    <cellStyle name="20% - 강조색2 10 3 2 2" xfId="3057"/>
    <cellStyle name="20% - 강조색2 10 3 2 2 2" xfId="3058"/>
    <cellStyle name="20% - 강조색2 10 3 2 2 3" xfId="3059"/>
    <cellStyle name="20% - 강조색2 10 3 2 3" xfId="3060"/>
    <cellStyle name="20% - 강조색2 10 3 2 4" xfId="3061"/>
    <cellStyle name="20% - 강조색2 10 3 3" xfId="3062"/>
    <cellStyle name="20% - 강조색2 10 3 3 2" xfId="3063"/>
    <cellStyle name="20% - 강조색2 10 3 3 3" xfId="3064"/>
    <cellStyle name="20% - 강조색2 10 3 4" xfId="3065"/>
    <cellStyle name="20% - 강조색2 10 3 5" xfId="3066"/>
    <cellStyle name="20% - 강조색2 10 4" xfId="3067"/>
    <cellStyle name="20% - 강조색2 10 4 2" xfId="3068"/>
    <cellStyle name="20% - 강조색2 10 4 2 2" xfId="3069"/>
    <cellStyle name="20% - 강조색2 10 4 2 3" xfId="3070"/>
    <cellStyle name="20% - 강조색2 10 4 3" xfId="3071"/>
    <cellStyle name="20% - 강조색2 10 4 4" xfId="3072"/>
    <cellStyle name="20% - 강조색2 10 5" xfId="3073"/>
    <cellStyle name="20% - 강조색2 10 5 2" xfId="3074"/>
    <cellStyle name="20% - 강조색2 10 5 3" xfId="3075"/>
    <cellStyle name="20% - 강조색2 10 6" xfId="3076"/>
    <cellStyle name="20% - 강조색2 10 7" xfId="3077"/>
    <cellStyle name="20% - 강조색2 11" xfId="3078"/>
    <cellStyle name="20% - 강조색2 11 2" xfId="3079"/>
    <cellStyle name="20% - 강조색2 11 2 2" xfId="3080"/>
    <cellStyle name="20% - 강조색2 11 2 2 2" xfId="3081"/>
    <cellStyle name="20% - 강조색2 11 2 2 3" xfId="3082"/>
    <cellStyle name="20% - 강조색2 11 2 3" xfId="3083"/>
    <cellStyle name="20% - 강조색2 11 2 4" xfId="3084"/>
    <cellStyle name="20% - 강조색2 11 3" xfId="3085"/>
    <cellStyle name="20% - 강조색2 11 3 2" xfId="3086"/>
    <cellStyle name="20% - 강조색2 11 3 3" xfId="3087"/>
    <cellStyle name="20% - 강조색2 11 4" xfId="3088"/>
    <cellStyle name="20% - 강조색2 11 5" xfId="3089"/>
    <cellStyle name="20% - 강조색2 12" xfId="3090"/>
    <cellStyle name="20% - 강조색2 12 2" xfId="3091"/>
    <cellStyle name="20% - 강조색2 12 2 2" xfId="3092"/>
    <cellStyle name="20% - 강조색2 12 2 2 2" xfId="3093"/>
    <cellStyle name="20% - 강조색2 12 2 2 3" xfId="3094"/>
    <cellStyle name="20% - 강조색2 12 2 3" xfId="3095"/>
    <cellStyle name="20% - 강조색2 12 2 4" xfId="3096"/>
    <cellStyle name="20% - 강조색2 12 3" xfId="3097"/>
    <cellStyle name="20% - 강조색2 12 3 2" xfId="3098"/>
    <cellStyle name="20% - 강조색2 12 3 3" xfId="3099"/>
    <cellStyle name="20% - 강조색2 12 4" xfId="3100"/>
    <cellStyle name="20% - 강조색2 12 5" xfId="3101"/>
    <cellStyle name="20% - 강조색2 13" xfId="3102"/>
    <cellStyle name="20% - 강조색2 13 2" xfId="3103"/>
    <cellStyle name="20% - 강조색2 13 2 2" xfId="3104"/>
    <cellStyle name="20% - 강조색2 13 2 3" xfId="3105"/>
    <cellStyle name="20% - 강조색2 13 3" xfId="3106"/>
    <cellStyle name="20% - 강조색2 13 4" xfId="3107"/>
    <cellStyle name="20% - 강조색2 14" xfId="3108"/>
    <cellStyle name="20% - 강조색2 14 2" xfId="3109"/>
    <cellStyle name="20% - 강조색2 14 2 2" xfId="3110"/>
    <cellStyle name="20% - 강조색2 14 2 3" xfId="3111"/>
    <cellStyle name="20% - 강조색2 14 3" xfId="3112"/>
    <cellStyle name="20% - 강조색2 14 4" xfId="3113"/>
    <cellStyle name="20% - 강조색2 15" xfId="3114"/>
    <cellStyle name="20% - 강조색2 15 2" xfId="3115"/>
    <cellStyle name="20% - 강조색2 15 3" xfId="3116"/>
    <cellStyle name="20% - 강조색2 16" xfId="3117"/>
    <cellStyle name="20% - 강조색2 16 2" xfId="3118"/>
    <cellStyle name="20% - 강조색2 16 3" xfId="3119"/>
    <cellStyle name="20% - 강조색2 16 4" xfId="3120"/>
    <cellStyle name="20% - 강조색2 17" xfId="3121"/>
    <cellStyle name="20% - 강조색2 17 2" xfId="3122"/>
    <cellStyle name="20% - 강조색2 17 3" xfId="3123"/>
    <cellStyle name="20% - 강조색2 18" xfId="3124"/>
    <cellStyle name="20% - 강조색2 18 2" xfId="3125"/>
    <cellStyle name="20% - 강조색2 18 3" xfId="3126"/>
    <cellStyle name="20% - 강조색2 19" xfId="3127"/>
    <cellStyle name="20% - 강조색2 19 2" xfId="3128"/>
    <cellStyle name="20% - 강조색2 19 3" xfId="3129"/>
    <cellStyle name="20% - 강조색2 2" xfId="3130"/>
    <cellStyle name="20% - 강조색2 2 2" xfId="3131"/>
    <cellStyle name="20% - 강조색2 2 2 2" xfId="3132"/>
    <cellStyle name="20% - 강조색2 2 2 2 2" xfId="3133"/>
    <cellStyle name="20% - 강조색2 2 2 3" xfId="3134"/>
    <cellStyle name="20% - 강조색2 2 3" xfId="3135"/>
    <cellStyle name="20% - 강조색2 2 3 2" xfId="3136"/>
    <cellStyle name="20% - 강조색2 2 3 2 2" xfId="3137"/>
    <cellStyle name="20% - 강조색2 2 3 3" xfId="3138"/>
    <cellStyle name="20% - 강조색2 2 4" xfId="3139"/>
    <cellStyle name="20% - 강조색2 2 4 2" xfId="3140"/>
    <cellStyle name="20% - 강조색2 2 5" xfId="3141"/>
    <cellStyle name="20% - 강조색2 2 6" xfId="3142"/>
    <cellStyle name="20% - 강조색2 20" xfId="3143"/>
    <cellStyle name="20% - 강조색2 20 2" xfId="3144"/>
    <cellStyle name="20% - 강조색2 20 3" xfId="3145"/>
    <cellStyle name="20% - 강조색2 21" xfId="3146"/>
    <cellStyle name="20% - 강조색2 21 2" xfId="3147"/>
    <cellStyle name="20% - 강조색2 21 3" xfId="3148"/>
    <cellStyle name="20% - 강조색2 22" xfId="3149"/>
    <cellStyle name="20% - 강조색2 22 2" xfId="3150"/>
    <cellStyle name="20% - 강조색2 22 3" xfId="3151"/>
    <cellStyle name="20% - 강조색2 23" xfId="3152"/>
    <cellStyle name="20% - 강조색2 23 2" xfId="3153"/>
    <cellStyle name="20% - 강조색2 23 3" xfId="3154"/>
    <cellStyle name="20% - 강조색2 24" xfId="3155"/>
    <cellStyle name="20% - 강조색2 24 2" xfId="3156"/>
    <cellStyle name="20% - 강조색2 25" xfId="3157"/>
    <cellStyle name="20% - 강조색2 25 2" xfId="3158"/>
    <cellStyle name="20% - 강조색2 26" xfId="3159"/>
    <cellStyle name="20% - 강조색2 26 2" xfId="3160"/>
    <cellStyle name="20% - 강조색2 27" xfId="3161"/>
    <cellStyle name="20% - 강조색2 27 2" xfId="3162"/>
    <cellStyle name="20% - 강조색2 28" xfId="3163"/>
    <cellStyle name="20% - 강조색2 28 2" xfId="3164"/>
    <cellStyle name="20% - 강조색2 29" xfId="3165"/>
    <cellStyle name="20% - 강조색2 29 2" xfId="3166"/>
    <cellStyle name="20% - 강조색2 3" xfId="3167"/>
    <cellStyle name="20% - 강조색2 3 10" xfId="3168"/>
    <cellStyle name="20% - 강조색2 3 10 2" xfId="3169"/>
    <cellStyle name="20% - 강조색2 3 10 2 2" xfId="3170"/>
    <cellStyle name="20% - 강조색2 3 10 2 3" xfId="3171"/>
    <cellStyle name="20% - 강조색2 3 10 3" xfId="3172"/>
    <cellStyle name="20% - 강조색2 3 10 4" xfId="3173"/>
    <cellStyle name="20% - 강조색2 3 11" xfId="3174"/>
    <cellStyle name="20% - 강조색2 3 11 2" xfId="3175"/>
    <cellStyle name="20% - 강조색2 3 11 3" xfId="3176"/>
    <cellStyle name="20% - 강조색2 3 12" xfId="3177"/>
    <cellStyle name="20% - 강조색2 3 13" xfId="3178"/>
    <cellStyle name="20% - 강조색2 3 14" xfId="3179"/>
    <cellStyle name="20% - 강조색2 3 15" xfId="3180"/>
    <cellStyle name="20% - 강조색2 3 2" xfId="3181"/>
    <cellStyle name="20% - 강조색2 3 2 10" xfId="3182"/>
    <cellStyle name="20% - 강조색2 3 2 11" xfId="3183"/>
    <cellStyle name="20% - 강조색2 3 2 12" xfId="3184"/>
    <cellStyle name="20% - 강조색2 3 2 2" xfId="3185"/>
    <cellStyle name="20% - 강조색2 3 2 2 2" xfId="3186"/>
    <cellStyle name="20% - 강조색2 3 2 2 2 2" xfId="3187"/>
    <cellStyle name="20% - 강조색2 3 2 2 2 2 2" xfId="3188"/>
    <cellStyle name="20% - 강조색2 3 2 2 2 2 2 2" xfId="3189"/>
    <cellStyle name="20% - 강조색2 3 2 2 2 2 2 3" xfId="3190"/>
    <cellStyle name="20% - 강조색2 3 2 2 2 2 3" xfId="3191"/>
    <cellStyle name="20% - 강조색2 3 2 2 2 2 4" xfId="3192"/>
    <cellStyle name="20% - 강조색2 3 2 2 2 3" xfId="3193"/>
    <cellStyle name="20% - 강조색2 3 2 2 2 3 2" xfId="3194"/>
    <cellStyle name="20% - 강조색2 3 2 2 2 3 3" xfId="3195"/>
    <cellStyle name="20% - 강조색2 3 2 2 2 4" xfId="3196"/>
    <cellStyle name="20% - 강조색2 3 2 2 2 5" xfId="3197"/>
    <cellStyle name="20% - 강조색2 3 2 2 3" xfId="3198"/>
    <cellStyle name="20% - 강조색2 3 2 2 3 2" xfId="3199"/>
    <cellStyle name="20% - 강조색2 3 2 2 3 2 2" xfId="3200"/>
    <cellStyle name="20% - 강조색2 3 2 2 3 2 2 2" xfId="3201"/>
    <cellStyle name="20% - 강조색2 3 2 2 3 2 2 3" xfId="3202"/>
    <cellStyle name="20% - 강조색2 3 2 2 3 2 3" xfId="3203"/>
    <cellStyle name="20% - 강조색2 3 2 2 3 2 4" xfId="3204"/>
    <cellStyle name="20% - 강조색2 3 2 2 3 3" xfId="3205"/>
    <cellStyle name="20% - 강조색2 3 2 2 3 3 2" xfId="3206"/>
    <cellStyle name="20% - 강조색2 3 2 2 3 3 3" xfId="3207"/>
    <cellStyle name="20% - 강조색2 3 2 2 3 4" xfId="3208"/>
    <cellStyle name="20% - 강조색2 3 2 2 3 5" xfId="3209"/>
    <cellStyle name="20% - 강조색2 3 2 2 4" xfId="3210"/>
    <cellStyle name="20% - 강조색2 3 2 2 4 2" xfId="3211"/>
    <cellStyle name="20% - 강조색2 3 2 2 4 2 2" xfId="3212"/>
    <cellStyle name="20% - 강조색2 3 2 2 4 2 3" xfId="3213"/>
    <cellStyle name="20% - 강조색2 3 2 2 4 3" xfId="3214"/>
    <cellStyle name="20% - 강조색2 3 2 2 4 4" xfId="3215"/>
    <cellStyle name="20% - 강조색2 3 2 2 5" xfId="3216"/>
    <cellStyle name="20% - 강조색2 3 2 2 5 2" xfId="3217"/>
    <cellStyle name="20% - 강조색2 3 2 2 5 3" xfId="3218"/>
    <cellStyle name="20% - 강조색2 3 2 2 6" xfId="3219"/>
    <cellStyle name="20% - 강조색2 3 2 2 7" xfId="3220"/>
    <cellStyle name="20% - 강조색2 3 2 2 8" xfId="3221"/>
    <cellStyle name="20% - 강조색2 3 2 2 9" xfId="3222"/>
    <cellStyle name="20% - 강조색2 3 2 3" xfId="3223"/>
    <cellStyle name="20% - 강조색2 3 2 3 2" xfId="3224"/>
    <cellStyle name="20% - 강조색2 3 2 3 2 2" xfId="3225"/>
    <cellStyle name="20% - 강조색2 3 2 3 2 2 2" xfId="3226"/>
    <cellStyle name="20% - 강조색2 3 2 3 2 2 2 2" xfId="3227"/>
    <cellStyle name="20% - 강조색2 3 2 3 2 2 2 3" xfId="3228"/>
    <cellStyle name="20% - 강조색2 3 2 3 2 2 3" xfId="3229"/>
    <cellStyle name="20% - 강조색2 3 2 3 2 2 4" xfId="3230"/>
    <cellStyle name="20% - 강조색2 3 2 3 2 3" xfId="3231"/>
    <cellStyle name="20% - 강조색2 3 2 3 2 3 2" xfId="3232"/>
    <cellStyle name="20% - 강조색2 3 2 3 2 3 3" xfId="3233"/>
    <cellStyle name="20% - 강조색2 3 2 3 2 4" xfId="3234"/>
    <cellStyle name="20% - 강조색2 3 2 3 2 5" xfId="3235"/>
    <cellStyle name="20% - 강조색2 3 2 3 3" xfId="3236"/>
    <cellStyle name="20% - 강조색2 3 2 3 3 2" xfId="3237"/>
    <cellStyle name="20% - 강조색2 3 2 3 3 2 2" xfId="3238"/>
    <cellStyle name="20% - 강조색2 3 2 3 3 2 2 2" xfId="3239"/>
    <cellStyle name="20% - 강조색2 3 2 3 3 2 2 3" xfId="3240"/>
    <cellStyle name="20% - 강조색2 3 2 3 3 2 3" xfId="3241"/>
    <cellStyle name="20% - 강조색2 3 2 3 3 2 4" xfId="3242"/>
    <cellStyle name="20% - 강조색2 3 2 3 3 3" xfId="3243"/>
    <cellStyle name="20% - 강조색2 3 2 3 3 3 2" xfId="3244"/>
    <cellStyle name="20% - 강조색2 3 2 3 3 3 3" xfId="3245"/>
    <cellStyle name="20% - 강조색2 3 2 3 3 4" xfId="3246"/>
    <cellStyle name="20% - 강조색2 3 2 3 3 5" xfId="3247"/>
    <cellStyle name="20% - 강조색2 3 2 3 4" xfId="3248"/>
    <cellStyle name="20% - 강조색2 3 2 3 4 2" xfId="3249"/>
    <cellStyle name="20% - 강조색2 3 2 3 4 2 2" xfId="3250"/>
    <cellStyle name="20% - 강조색2 3 2 3 4 2 3" xfId="3251"/>
    <cellStyle name="20% - 강조색2 3 2 3 4 3" xfId="3252"/>
    <cellStyle name="20% - 강조색2 3 2 3 4 4" xfId="3253"/>
    <cellStyle name="20% - 강조색2 3 2 3 5" xfId="3254"/>
    <cellStyle name="20% - 강조색2 3 2 3 5 2" xfId="3255"/>
    <cellStyle name="20% - 강조색2 3 2 3 5 3" xfId="3256"/>
    <cellStyle name="20% - 강조색2 3 2 3 6" xfId="3257"/>
    <cellStyle name="20% - 강조색2 3 2 3 7" xfId="3258"/>
    <cellStyle name="20% - 강조색2 3 2 4" xfId="3259"/>
    <cellStyle name="20% - 강조색2 3 2 4 2" xfId="3260"/>
    <cellStyle name="20% - 강조색2 3 2 4 2 2" xfId="3261"/>
    <cellStyle name="20% - 강조색2 3 2 4 2 2 2" xfId="3262"/>
    <cellStyle name="20% - 강조색2 3 2 4 2 2 3" xfId="3263"/>
    <cellStyle name="20% - 강조색2 3 2 4 2 3" xfId="3264"/>
    <cellStyle name="20% - 강조색2 3 2 4 2 4" xfId="3265"/>
    <cellStyle name="20% - 강조색2 3 2 4 3" xfId="3266"/>
    <cellStyle name="20% - 강조색2 3 2 4 3 2" xfId="3267"/>
    <cellStyle name="20% - 강조색2 3 2 4 3 3" xfId="3268"/>
    <cellStyle name="20% - 강조색2 3 2 4 4" xfId="3269"/>
    <cellStyle name="20% - 강조색2 3 2 4 5" xfId="3270"/>
    <cellStyle name="20% - 강조색2 3 2 5" xfId="3271"/>
    <cellStyle name="20% - 강조색2 3 2 5 2" xfId="3272"/>
    <cellStyle name="20% - 강조색2 3 2 5 2 2" xfId="3273"/>
    <cellStyle name="20% - 강조색2 3 2 5 2 2 2" xfId="3274"/>
    <cellStyle name="20% - 강조색2 3 2 5 2 2 3" xfId="3275"/>
    <cellStyle name="20% - 강조색2 3 2 5 2 3" xfId="3276"/>
    <cellStyle name="20% - 강조색2 3 2 5 2 4" xfId="3277"/>
    <cellStyle name="20% - 강조색2 3 2 5 3" xfId="3278"/>
    <cellStyle name="20% - 강조색2 3 2 5 3 2" xfId="3279"/>
    <cellStyle name="20% - 강조색2 3 2 5 3 3" xfId="3280"/>
    <cellStyle name="20% - 강조색2 3 2 5 4" xfId="3281"/>
    <cellStyle name="20% - 강조색2 3 2 5 5" xfId="3282"/>
    <cellStyle name="20% - 강조색2 3 2 6" xfId="3283"/>
    <cellStyle name="20% - 강조색2 3 2 6 2" xfId="3284"/>
    <cellStyle name="20% - 강조색2 3 2 6 2 2" xfId="3285"/>
    <cellStyle name="20% - 강조색2 3 2 6 2 2 2" xfId="3286"/>
    <cellStyle name="20% - 강조색2 3 2 6 2 2 3" xfId="3287"/>
    <cellStyle name="20% - 강조색2 3 2 6 2 3" xfId="3288"/>
    <cellStyle name="20% - 강조색2 3 2 6 2 4" xfId="3289"/>
    <cellStyle name="20% - 강조색2 3 2 6 3" xfId="3290"/>
    <cellStyle name="20% - 강조색2 3 2 6 3 2" xfId="3291"/>
    <cellStyle name="20% - 강조색2 3 2 6 3 3" xfId="3292"/>
    <cellStyle name="20% - 강조색2 3 2 6 4" xfId="3293"/>
    <cellStyle name="20% - 강조색2 3 2 6 5" xfId="3294"/>
    <cellStyle name="20% - 강조색2 3 2 7" xfId="3295"/>
    <cellStyle name="20% - 강조색2 3 2 7 2" xfId="3296"/>
    <cellStyle name="20% - 강조색2 3 2 7 2 2" xfId="3297"/>
    <cellStyle name="20% - 강조색2 3 2 7 2 3" xfId="3298"/>
    <cellStyle name="20% - 강조색2 3 2 7 3" xfId="3299"/>
    <cellStyle name="20% - 강조색2 3 2 7 4" xfId="3300"/>
    <cellStyle name="20% - 강조색2 3 2 8" xfId="3301"/>
    <cellStyle name="20% - 강조색2 3 2 8 2" xfId="3302"/>
    <cellStyle name="20% - 강조색2 3 2 8 3" xfId="3303"/>
    <cellStyle name="20% - 강조색2 3 2 9" xfId="3304"/>
    <cellStyle name="20% - 강조색2 3 3" xfId="3305"/>
    <cellStyle name="20% - 강조색2 3 3 10" xfId="3306"/>
    <cellStyle name="20% - 강조색2 3 3 11" xfId="3307"/>
    <cellStyle name="20% - 강조색2 3 3 12" xfId="3308"/>
    <cellStyle name="20% - 강조색2 3 3 2" xfId="3309"/>
    <cellStyle name="20% - 강조색2 3 3 2 2" xfId="3310"/>
    <cellStyle name="20% - 강조색2 3 3 2 2 2" xfId="3311"/>
    <cellStyle name="20% - 강조색2 3 3 2 2 2 2" xfId="3312"/>
    <cellStyle name="20% - 강조색2 3 3 2 2 2 2 2" xfId="3313"/>
    <cellStyle name="20% - 강조색2 3 3 2 2 2 2 3" xfId="3314"/>
    <cellStyle name="20% - 강조색2 3 3 2 2 2 3" xfId="3315"/>
    <cellStyle name="20% - 강조색2 3 3 2 2 2 4" xfId="3316"/>
    <cellStyle name="20% - 강조색2 3 3 2 2 3" xfId="3317"/>
    <cellStyle name="20% - 강조색2 3 3 2 2 3 2" xfId="3318"/>
    <cellStyle name="20% - 강조색2 3 3 2 2 3 3" xfId="3319"/>
    <cellStyle name="20% - 강조색2 3 3 2 2 4" xfId="3320"/>
    <cellStyle name="20% - 강조색2 3 3 2 2 5" xfId="3321"/>
    <cellStyle name="20% - 강조색2 3 3 2 3" xfId="3322"/>
    <cellStyle name="20% - 강조색2 3 3 2 3 2" xfId="3323"/>
    <cellStyle name="20% - 강조색2 3 3 2 3 2 2" xfId="3324"/>
    <cellStyle name="20% - 강조색2 3 3 2 3 2 2 2" xfId="3325"/>
    <cellStyle name="20% - 강조색2 3 3 2 3 2 2 3" xfId="3326"/>
    <cellStyle name="20% - 강조색2 3 3 2 3 2 3" xfId="3327"/>
    <cellStyle name="20% - 강조색2 3 3 2 3 2 4" xfId="3328"/>
    <cellStyle name="20% - 강조색2 3 3 2 3 3" xfId="3329"/>
    <cellStyle name="20% - 강조색2 3 3 2 3 3 2" xfId="3330"/>
    <cellStyle name="20% - 강조색2 3 3 2 3 3 3" xfId="3331"/>
    <cellStyle name="20% - 강조색2 3 3 2 3 4" xfId="3332"/>
    <cellStyle name="20% - 강조색2 3 3 2 3 5" xfId="3333"/>
    <cellStyle name="20% - 강조색2 3 3 2 4" xfId="3334"/>
    <cellStyle name="20% - 강조색2 3 3 2 4 2" xfId="3335"/>
    <cellStyle name="20% - 강조색2 3 3 2 4 2 2" xfId="3336"/>
    <cellStyle name="20% - 강조색2 3 3 2 4 2 3" xfId="3337"/>
    <cellStyle name="20% - 강조색2 3 3 2 4 3" xfId="3338"/>
    <cellStyle name="20% - 강조색2 3 3 2 4 4" xfId="3339"/>
    <cellStyle name="20% - 강조색2 3 3 2 5" xfId="3340"/>
    <cellStyle name="20% - 강조색2 3 3 2 5 2" xfId="3341"/>
    <cellStyle name="20% - 강조색2 3 3 2 5 3" xfId="3342"/>
    <cellStyle name="20% - 강조색2 3 3 2 6" xfId="3343"/>
    <cellStyle name="20% - 강조색2 3 3 2 7" xfId="3344"/>
    <cellStyle name="20% - 강조색2 3 3 2 8" xfId="3345"/>
    <cellStyle name="20% - 강조색2 3 3 2 9" xfId="3346"/>
    <cellStyle name="20% - 강조색2 3 3 3" xfId="3347"/>
    <cellStyle name="20% - 강조색2 3 3 3 2" xfId="3348"/>
    <cellStyle name="20% - 강조색2 3 3 3 2 2" xfId="3349"/>
    <cellStyle name="20% - 강조색2 3 3 3 2 2 2" xfId="3350"/>
    <cellStyle name="20% - 강조색2 3 3 3 2 2 2 2" xfId="3351"/>
    <cellStyle name="20% - 강조색2 3 3 3 2 2 2 3" xfId="3352"/>
    <cellStyle name="20% - 강조색2 3 3 3 2 2 3" xfId="3353"/>
    <cellStyle name="20% - 강조색2 3 3 3 2 2 4" xfId="3354"/>
    <cellStyle name="20% - 강조색2 3 3 3 2 3" xfId="3355"/>
    <cellStyle name="20% - 강조색2 3 3 3 2 3 2" xfId="3356"/>
    <cellStyle name="20% - 강조색2 3 3 3 2 3 3" xfId="3357"/>
    <cellStyle name="20% - 강조색2 3 3 3 2 4" xfId="3358"/>
    <cellStyle name="20% - 강조색2 3 3 3 2 5" xfId="3359"/>
    <cellStyle name="20% - 강조색2 3 3 3 3" xfId="3360"/>
    <cellStyle name="20% - 강조색2 3 3 3 3 2" xfId="3361"/>
    <cellStyle name="20% - 강조색2 3 3 3 3 2 2" xfId="3362"/>
    <cellStyle name="20% - 강조색2 3 3 3 3 2 2 2" xfId="3363"/>
    <cellStyle name="20% - 강조색2 3 3 3 3 2 2 3" xfId="3364"/>
    <cellStyle name="20% - 강조색2 3 3 3 3 2 3" xfId="3365"/>
    <cellStyle name="20% - 강조색2 3 3 3 3 2 4" xfId="3366"/>
    <cellStyle name="20% - 강조색2 3 3 3 3 3" xfId="3367"/>
    <cellStyle name="20% - 강조색2 3 3 3 3 3 2" xfId="3368"/>
    <cellStyle name="20% - 강조색2 3 3 3 3 3 3" xfId="3369"/>
    <cellStyle name="20% - 강조색2 3 3 3 3 4" xfId="3370"/>
    <cellStyle name="20% - 강조색2 3 3 3 3 5" xfId="3371"/>
    <cellStyle name="20% - 강조색2 3 3 3 4" xfId="3372"/>
    <cellStyle name="20% - 강조색2 3 3 3 4 2" xfId="3373"/>
    <cellStyle name="20% - 강조색2 3 3 3 4 2 2" xfId="3374"/>
    <cellStyle name="20% - 강조색2 3 3 3 4 2 3" xfId="3375"/>
    <cellStyle name="20% - 강조색2 3 3 3 4 3" xfId="3376"/>
    <cellStyle name="20% - 강조색2 3 3 3 4 4" xfId="3377"/>
    <cellStyle name="20% - 강조색2 3 3 3 5" xfId="3378"/>
    <cellStyle name="20% - 강조색2 3 3 3 5 2" xfId="3379"/>
    <cellStyle name="20% - 강조색2 3 3 3 5 3" xfId="3380"/>
    <cellStyle name="20% - 강조색2 3 3 3 6" xfId="3381"/>
    <cellStyle name="20% - 강조색2 3 3 3 7" xfId="3382"/>
    <cellStyle name="20% - 강조색2 3 3 4" xfId="3383"/>
    <cellStyle name="20% - 강조색2 3 3 4 2" xfId="3384"/>
    <cellStyle name="20% - 강조색2 3 3 4 2 2" xfId="3385"/>
    <cellStyle name="20% - 강조색2 3 3 4 2 2 2" xfId="3386"/>
    <cellStyle name="20% - 강조색2 3 3 4 2 2 3" xfId="3387"/>
    <cellStyle name="20% - 강조색2 3 3 4 2 3" xfId="3388"/>
    <cellStyle name="20% - 강조색2 3 3 4 2 4" xfId="3389"/>
    <cellStyle name="20% - 강조색2 3 3 4 3" xfId="3390"/>
    <cellStyle name="20% - 강조색2 3 3 4 3 2" xfId="3391"/>
    <cellStyle name="20% - 강조색2 3 3 4 3 3" xfId="3392"/>
    <cellStyle name="20% - 강조색2 3 3 4 4" xfId="3393"/>
    <cellStyle name="20% - 강조색2 3 3 4 5" xfId="3394"/>
    <cellStyle name="20% - 강조색2 3 3 5" xfId="3395"/>
    <cellStyle name="20% - 강조색2 3 3 5 2" xfId="3396"/>
    <cellStyle name="20% - 강조색2 3 3 5 2 2" xfId="3397"/>
    <cellStyle name="20% - 강조색2 3 3 5 2 2 2" xfId="3398"/>
    <cellStyle name="20% - 강조색2 3 3 5 2 2 3" xfId="3399"/>
    <cellStyle name="20% - 강조색2 3 3 5 2 3" xfId="3400"/>
    <cellStyle name="20% - 강조색2 3 3 5 2 4" xfId="3401"/>
    <cellStyle name="20% - 강조색2 3 3 5 3" xfId="3402"/>
    <cellStyle name="20% - 강조색2 3 3 5 3 2" xfId="3403"/>
    <cellStyle name="20% - 강조색2 3 3 5 3 3" xfId="3404"/>
    <cellStyle name="20% - 강조색2 3 3 5 4" xfId="3405"/>
    <cellStyle name="20% - 강조색2 3 3 5 5" xfId="3406"/>
    <cellStyle name="20% - 강조색2 3 3 6" xfId="3407"/>
    <cellStyle name="20% - 강조색2 3 3 6 2" xfId="3408"/>
    <cellStyle name="20% - 강조색2 3 3 6 2 2" xfId="3409"/>
    <cellStyle name="20% - 강조색2 3 3 6 2 2 2" xfId="3410"/>
    <cellStyle name="20% - 강조색2 3 3 6 2 2 3" xfId="3411"/>
    <cellStyle name="20% - 강조색2 3 3 6 2 3" xfId="3412"/>
    <cellStyle name="20% - 강조색2 3 3 6 2 4" xfId="3413"/>
    <cellStyle name="20% - 강조색2 3 3 6 3" xfId="3414"/>
    <cellStyle name="20% - 강조색2 3 3 6 3 2" xfId="3415"/>
    <cellStyle name="20% - 강조색2 3 3 6 3 3" xfId="3416"/>
    <cellStyle name="20% - 강조색2 3 3 6 4" xfId="3417"/>
    <cellStyle name="20% - 강조색2 3 3 6 5" xfId="3418"/>
    <cellStyle name="20% - 강조색2 3 3 7" xfId="3419"/>
    <cellStyle name="20% - 강조색2 3 3 7 2" xfId="3420"/>
    <cellStyle name="20% - 강조색2 3 3 7 2 2" xfId="3421"/>
    <cellStyle name="20% - 강조색2 3 3 7 2 3" xfId="3422"/>
    <cellStyle name="20% - 강조색2 3 3 7 3" xfId="3423"/>
    <cellStyle name="20% - 강조색2 3 3 7 4" xfId="3424"/>
    <cellStyle name="20% - 강조색2 3 3 8" xfId="3425"/>
    <cellStyle name="20% - 강조색2 3 3 8 2" xfId="3426"/>
    <cellStyle name="20% - 강조색2 3 3 8 3" xfId="3427"/>
    <cellStyle name="20% - 강조색2 3 3 9" xfId="3428"/>
    <cellStyle name="20% - 강조색2 3 4" xfId="3429"/>
    <cellStyle name="20% - 강조색2 3 4 10" xfId="3430"/>
    <cellStyle name="20% - 강조색2 3 4 11" xfId="3431"/>
    <cellStyle name="20% - 강조색2 3 4 12" xfId="3432"/>
    <cellStyle name="20% - 강조색2 3 4 2" xfId="3433"/>
    <cellStyle name="20% - 강조색2 3 4 2 2" xfId="3434"/>
    <cellStyle name="20% - 강조색2 3 4 2 2 2" xfId="3435"/>
    <cellStyle name="20% - 강조색2 3 4 2 2 2 2" xfId="3436"/>
    <cellStyle name="20% - 강조색2 3 4 2 2 2 2 2" xfId="3437"/>
    <cellStyle name="20% - 강조색2 3 4 2 2 2 2 3" xfId="3438"/>
    <cellStyle name="20% - 강조색2 3 4 2 2 2 3" xfId="3439"/>
    <cellStyle name="20% - 강조색2 3 4 2 2 2 4" xfId="3440"/>
    <cellStyle name="20% - 강조색2 3 4 2 2 3" xfId="3441"/>
    <cellStyle name="20% - 강조색2 3 4 2 2 3 2" xfId="3442"/>
    <cellStyle name="20% - 강조색2 3 4 2 2 3 3" xfId="3443"/>
    <cellStyle name="20% - 강조색2 3 4 2 2 4" xfId="3444"/>
    <cellStyle name="20% - 강조색2 3 4 2 2 5" xfId="3445"/>
    <cellStyle name="20% - 강조색2 3 4 2 3" xfId="3446"/>
    <cellStyle name="20% - 강조색2 3 4 2 3 2" xfId="3447"/>
    <cellStyle name="20% - 강조색2 3 4 2 3 2 2" xfId="3448"/>
    <cellStyle name="20% - 강조색2 3 4 2 3 2 2 2" xfId="3449"/>
    <cellStyle name="20% - 강조색2 3 4 2 3 2 2 3" xfId="3450"/>
    <cellStyle name="20% - 강조색2 3 4 2 3 2 3" xfId="3451"/>
    <cellStyle name="20% - 강조색2 3 4 2 3 2 4" xfId="3452"/>
    <cellStyle name="20% - 강조색2 3 4 2 3 3" xfId="3453"/>
    <cellStyle name="20% - 강조색2 3 4 2 3 3 2" xfId="3454"/>
    <cellStyle name="20% - 강조색2 3 4 2 3 3 3" xfId="3455"/>
    <cellStyle name="20% - 강조색2 3 4 2 3 4" xfId="3456"/>
    <cellStyle name="20% - 강조색2 3 4 2 3 5" xfId="3457"/>
    <cellStyle name="20% - 강조색2 3 4 2 4" xfId="3458"/>
    <cellStyle name="20% - 강조색2 3 4 2 4 2" xfId="3459"/>
    <cellStyle name="20% - 강조색2 3 4 2 4 2 2" xfId="3460"/>
    <cellStyle name="20% - 강조색2 3 4 2 4 2 3" xfId="3461"/>
    <cellStyle name="20% - 강조색2 3 4 2 4 3" xfId="3462"/>
    <cellStyle name="20% - 강조색2 3 4 2 4 4" xfId="3463"/>
    <cellStyle name="20% - 강조색2 3 4 2 5" xfId="3464"/>
    <cellStyle name="20% - 강조색2 3 4 2 5 2" xfId="3465"/>
    <cellStyle name="20% - 강조색2 3 4 2 5 3" xfId="3466"/>
    <cellStyle name="20% - 강조색2 3 4 2 6" xfId="3467"/>
    <cellStyle name="20% - 강조색2 3 4 2 7" xfId="3468"/>
    <cellStyle name="20% - 강조색2 3 4 3" xfId="3469"/>
    <cellStyle name="20% - 강조색2 3 4 3 2" xfId="3470"/>
    <cellStyle name="20% - 강조색2 3 4 3 2 2" xfId="3471"/>
    <cellStyle name="20% - 강조색2 3 4 3 2 2 2" xfId="3472"/>
    <cellStyle name="20% - 강조색2 3 4 3 2 2 2 2" xfId="3473"/>
    <cellStyle name="20% - 강조색2 3 4 3 2 2 2 3" xfId="3474"/>
    <cellStyle name="20% - 강조색2 3 4 3 2 2 3" xfId="3475"/>
    <cellStyle name="20% - 강조색2 3 4 3 2 2 4" xfId="3476"/>
    <cellStyle name="20% - 강조색2 3 4 3 2 3" xfId="3477"/>
    <cellStyle name="20% - 강조색2 3 4 3 2 3 2" xfId="3478"/>
    <cellStyle name="20% - 강조색2 3 4 3 2 3 3" xfId="3479"/>
    <cellStyle name="20% - 강조색2 3 4 3 2 4" xfId="3480"/>
    <cellStyle name="20% - 강조색2 3 4 3 2 5" xfId="3481"/>
    <cellStyle name="20% - 강조색2 3 4 3 3" xfId="3482"/>
    <cellStyle name="20% - 강조색2 3 4 3 3 2" xfId="3483"/>
    <cellStyle name="20% - 강조색2 3 4 3 3 2 2" xfId="3484"/>
    <cellStyle name="20% - 강조색2 3 4 3 3 2 2 2" xfId="3485"/>
    <cellStyle name="20% - 강조색2 3 4 3 3 2 2 3" xfId="3486"/>
    <cellStyle name="20% - 강조색2 3 4 3 3 2 3" xfId="3487"/>
    <cellStyle name="20% - 강조색2 3 4 3 3 2 4" xfId="3488"/>
    <cellStyle name="20% - 강조색2 3 4 3 3 3" xfId="3489"/>
    <cellStyle name="20% - 강조색2 3 4 3 3 3 2" xfId="3490"/>
    <cellStyle name="20% - 강조색2 3 4 3 3 3 3" xfId="3491"/>
    <cellStyle name="20% - 강조색2 3 4 3 3 4" xfId="3492"/>
    <cellStyle name="20% - 강조색2 3 4 3 3 5" xfId="3493"/>
    <cellStyle name="20% - 강조색2 3 4 3 4" xfId="3494"/>
    <cellStyle name="20% - 강조색2 3 4 3 4 2" xfId="3495"/>
    <cellStyle name="20% - 강조색2 3 4 3 4 2 2" xfId="3496"/>
    <cellStyle name="20% - 강조색2 3 4 3 4 2 3" xfId="3497"/>
    <cellStyle name="20% - 강조색2 3 4 3 4 3" xfId="3498"/>
    <cellStyle name="20% - 강조색2 3 4 3 4 4" xfId="3499"/>
    <cellStyle name="20% - 강조색2 3 4 3 5" xfId="3500"/>
    <cellStyle name="20% - 강조색2 3 4 3 5 2" xfId="3501"/>
    <cellStyle name="20% - 강조색2 3 4 3 5 3" xfId="3502"/>
    <cellStyle name="20% - 강조색2 3 4 3 6" xfId="3503"/>
    <cellStyle name="20% - 강조색2 3 4 3 7" xfId="3504"/>
    <cellStyle name="20% - 강조색2 3 4 4" xfId="3505"/>
    <cellStyle name="20% - 강조색2 3 4 4 2" xfId="3506"/>
    <cellStyle name="20% - 강조색2 3 4 4 2 2" xfId="3507"/>
    <cellStyle name="20% - 강조색2 3 4 4 2 2 2" xfId="3508"/>
    <cellStyle name="20% - 강조색2 3 4 4 2 2 3" xfId="3509"/>
    <cellStyle name="20% - 강조색2 3 4 4 2 3" xfId="3510"/>
    <cellStyle name="20% - 강조색2 3 4 4 2 4" xfId="3511"/>
    <cellStyle name="20% - 강조색2 3 4 4 3" xfId="3512"/>
    <cellStyle name="20% - 강조색2 3 4 4 3 2" xfId="3513"/>
    <cellStyle name="20% - 강조색2 3 4 4 3 3" xfId="3514"/>
    <cellStyle name="20% - 강조색2 3 4 4 4" xfId="3515"/>
    <cellStyle name="20% - 강조색2 3 4 4 5" xfId="3516"/>
    <cellStyle name="20% - 강조색2 3 4 5" xfId="3517"/>
    <cellStyle name="20% - 강조색2 3 4 5 2" xfId="3518"/>
    <cellStyle name="20% - 강조색2 3 4 5 2 2" xfId="3519"/>
    <cellStyle name="20% - 강조색2 3 4 5 2 2 2" xfId="3520"/>
    <cellStyle name="20% - 강조색2 3 4 5 2 2 3" xfId="3521"/>
    <cellStyle name="20% - 강조색2 3 4 5 2 3" xfId="3522"/>
    <cellStyle name="20% - 강조색2 3 4 5 2 4" xfId="3523"/>
    <cellStyle name="20% - 강조색2 3 4 5 3" xfId="3524"/>
    <cellStyle name="20% - 강조색2 3 4 5 3 2" xfId="3525"/>
    <cellStyle name="20% - 강조색2 3 4 5 3 3" xfId="3526"/>
    <cellStyle name="20% - 강조색2 3 4 5 4" xfId="3527"/>
    <cellStyle name="20% - 강조색2 3 4 5 5" xfId="3528"/>
    <cellStyle name="20% - 강조색2 3 4 6" xfId="3529"/>
    <cellStyle name="20% - 강조색2 3 4 6 2" xfId="3530"/>
    <cellStyle name="20% - 강조색2 3 4 6 2 2" xfId="3531"/>
    <cellStyle name="20% - 강조색2 3 4 6 2 2 2" xfId="3532"/>
    <cellStyle name="20% - 강조색2 3 4 6 2 2 3" xfId="3533"/>
    <cellStyle name="20% - 강조색2 3 4 6 2 3" xfId="3534"/>
    <cellStyle name="20% - 강조색2 3 4 6 2 4" xfId="3535"/>
    <cellStyle name="20% - 강조색2 3 4 6 3" xfId="3536"/>
    <cellStyle name="20% - 강조색2 3 4 6 3 2" xfId="3537"/>
    <cellStyle name="20% - 강조색2 3 4 6 3 3" xfId="3538"/>
    <cellStyle name="20% - 강조색2 3 4 6 4" xfId="3539"/>
    <cellStyle name="20% - 강조색2 3 4 6 5" xfId="3540"/>
    <cellStyle name="20% - 강조색2 3 4 7" xfId="3541"/>
    <cellStyle name="20% - 강조색2 3 4 7 2" xfId="3542"/>
    <cellStyle name="20% - 강조색2 3 4 7 2 2" xfId="3543"/>
    <cellStyle name="20% - 강조색2 3 4 7 2 3" xfId="3544"/>
    <cellStyle name="20% - 강조색2 3 4 7 3" xfId="3545"/>
    <cellStyle name="20% - 강조색2 3 4 7 4" xfId="3546"/>
    <cellStyle name="20% - 강조색2 3 4 8" xfId="3547"/>
    <cellStyle name="20% - 강조색2 3 4 8 2" xfId="3548"/>
    <cellStyle name="20% - 강조색2 3 4 8 3" xfId="3549"/>
    <cellStyle name="20% - 강조색2 3 4 9" xfId="3550"/>
    <cellStyle name="20% - 강조색2 3 5" xfId="3551"/>
    <cellStyle name="20% - 강조색2 3 5 2" xfId="3552"/>
    <cellStyle name="20% - 강조색2 3 5 2 2" xfId="3553"/>
    <cellStyle name="20% - 강조색2 3 5 2 2 2" xfId="3554"/>
    <cellStyle name="20% - 강조색2 3 5 2 2 2 2" xfId="3555"/>
    <cellStyle name="20% - 강조색2 3 5 2 2 2 3" xfId="3556"/>
    <cellStyle name="20% - 강조색2 3 5 2 2 3" xfId="3557"/>
    <cellStyle name="20% - 강조색2 3 5 2 2 4" xfId="3558"/>
    <cellStyle name="20% - 강조색2 3 5 2 3" xfId="3559"/>
    <cellStyle name="20% - 강조색2 3 5 2 3 2" xfId="3560"/>
    <cellStyle name="20% - 강조색2 3 5 2 3 3" xfId="3561"/>
    <cellStyle name="20% - 강조색2 3 5 2 4" xfId="3562"/>
    <cellStyle name="20% - 강조색2 3 5 2 5" xfId="3563"/>
    <cellStyle name="20% - 강조색2 3 5 3" xfId="3564"/>
    <cellStyle name="20% - 강조색2 3 5 3 2" xfId="3565"/>
    <cellStyle name="20% - 강조색2 3 5 3 2 2" xfId="3566"/>
    <cellStyle name="20% - 강조색2 3 5 3 2 2 2" xfId="3567"/>
    <cellStyle name="20% - 강조색2 3 5 3 2 2 3" xfId="3568"/>
    <cellStyle name="20% - 강조색2 3 5 3 2 3" xfId="3569"/>
    <cellStyle name="20% - 강조색2 3 5 3 2 4" xfId="3570"/>
    <cellStyle name="20% - 강조색2 3 5 3 3" xfId="3571"/>
    <cellStyle name="20% - 강조색2 3 5 3 3 2" xfId="3572"/>
    <cellStyle name="20% - 강조색2 3 5 3 3 3" xfId="3573"/>
    <cellStyle name="20% - 강조색2 3 5 3 4" xfId="3574"/>
    <cellStyle name="20% - 강조색2 3 5 3 5" xfId="3575"/>
    <cellStyle name="20% - 강조색2 3 5 4" xfId="3576"/>
    <cellStyle name="20% - 강조색2 3 5 4 2" xfId="3577"/>
    <cellStyle name="20% - 강조색2 3 5 4 2 2" xfId="3578"/>
    <cellStyle name="20% - 강조색2 3 5 4 2 3" xfId="3579"/>
    <cellStyle name="20% - 강조색2 3 5 4 3" xfId="3580"/>
    <cellStyle name="20% - 강조색2 3 5 4 4" xfId="3581"/>
    <cellStyle name="20% - 강조색2 3 5 5" xfId="3582"/>
    <cellStyle name="20% - 강조색2 3 5 5 2" xfId="3583"/>
    <cellStyle name="20% - 강조색2 3 5 5 3" xfId="3584"/>
    <cellStyle name="20% - 강조색2 3 5 6" xfId="3585"/>
    <cellStyle name="20% - 강조색2 3 5 7" xfId="3586"/>
    <cellStyle name="20% - 강조색2 3 5 8" xfId="3587"/>
    <cellStyle name="20% - 강조색2 3 6" xfId="3588"/>
    <cellStyle name="20% - 강조색2 3 6 2" xfId="3589"/>
    <cellStyle name="20% - 강조색2 3 6 2 2" xfId="3590"/>
    <cellStyle name="20% - 강조색2 3 6 2 2 2" xfId="3591"/>
    <cellStyle name="20% - 강조색2 3 6 2 2 2 2" xfId="3592"/>
    <cellStyle name="20% - 강조색2 3 6 2 2 2 3" xfId="3593"/>
    <cellStyle name="20% - 강조색2 3 6 2 2 3" xfId="3594"/>
    <cellStyle name="20% - 강조색2 3 6 2 2 4" xfId="3595"/>
    <cellStyle name="20% - 강조색2 3 6 2 3" xfId="3596"/>
    <cellStyle name="20% - 강조색2 3 6 2 3 2" xfId="3597"/>
    <cellStyle name="20% - 강조색2 3 6 2 3 3" xfId="3598"/>
    <cellStyle name="20% - 강조색2 3 6 2 4" xfId="3599"/>
    <cellStyle name="20% - 강조색2 3 6 2 5" xfId="3600"/>
    <cellStyle name="20% - 강조색2 3 6 3" xfId="3601"/>
    <cellStyle name="20% - 강조색2 3 6 3 2" xfId="3602"/>
    <cellStyle name="20% - 강조색2 3 6 3 2 2" xfId="3603"/>
    <cellStyle name="20% - 강조색2 3 6 3 2 2 2" xfId="3604"/>
    <cellStyle name="20% - 강조색2 3 6 3 2 2 3" xfId="3605"/>
    <cellStyle name="20% - 강조색2 3 6 3 2 3" xfId="3606"/>
    <cellStyle name="20% - 강조색2 3 6 3 2 4" xfId="3607"/>
    <cellStyle name="20% - 강조색2 3 6 3 3" xfId="3608"/>
    <cellStyle name="20% - 강조색2 3 6 3 3 2" xfId="3609"/>
    <cellStyle name="20% - 강조색2 3 6 3 3 3" xfId="3610"/>
    <cellStyle name="20% - 강조색2 3 6 3 4" xfId="3611"/>
    <cellStyle name="20% - 강조색2 3 6 3 5" xfId="3612"/>
    <cellStyle name="20% - 강조색2 3 6 4" xfId="3613"/>
    <cellStyle name="20% - 강조색2 3 6 4 2" xfId="3614"/>
    <cellStyle name="20% - 강조색2 3 6 4 2 2" xfId="3615"/>
    <cellStyle name="20% - 강조색2 3 6 4 2 3" xfId="3616"/>
    <cellStyle name="20% - 강조색2 3 6 4 3" xfId="3617"/>
    <cellStyle name="20% - 강조색2 3 6 4 4" xfId="3618"/>
    <cellStyle name="20% - 강조색2 3 6 5" xfId="3619"/>
    <cellStyle name="20% - 강조색2 3 6 5 2" xfId="3620"/>
    <cellStyle name="20% - 강조색2 3 6 5 3" xfId="3621"/>
    <cellStyle name="20% - 강조색2 3 6 6" xfId="3622"/>
    <cellStyle name="20% - 강조색2 3 6 7" xfId="3623"/>
    <cellStyle name="20% - 강조색2 3 7" xfId="3624"/>
    <cellStyle name="20% - 강조색2 3 7 2" xfId="3625"/>
    <cellStyle name="20% - 강조색2 3 7 2 2" xfId="3626"/>
    <cellStyle name="20% - 강조색2 3 7 2 2 2" xfId="3627"/>
    <cellStyle name="20% - 강조색2 3 7 2 2 3" xfId="3628"/>
    <cellStyle name="20% - 강조색2 3 7 2 3" xfId="3629"/>
    <cellStyle name="20% - 강조색2 3 7 2 4" xfId="3630"/>
    <cellStyle name="20% - 강조색2 3 7 3" xfId="3631"/>
    <cellStyle name="20% - 강조색2 3 7 3 2" xfId="3632"/>
    <cellStyle name="20% - 강조색2 3 7 3 3" xfId="3633"/>
    <cellStyle name="20% - 강조색2 3 7 4" xfId="3634"/>
    <cellStyle name="20% - 강조색2 3 7 5" xfId="3635"/>
    <cellStyle name="20% - 강조색2 3 8" xfId="3636"/>
    <cellStyle name="20% - 강조색2 3 8 2" xfId="3637"/>
    <cellStyle name="20% - 강조색2 3 8 2 2" xfId="3638"/>
    <cellStyle name="20% - 강조색2 3 8 2 2 2" xfId="3639"/>
    <cellStyle name="20% - 강조색2 3 8 2 2 3" xfId="3640"/>
    <cellStyle name="20% - 강조색2 3 8 2 3" xfId="3641"/>
    <cellStyle name="20% - 강조색2 3 8 2 4" xfId="3642"/>
    <cellStyle name="20% - 강조색2 3 8 3" xfId="3643"/>
    <cellStyle name="20% - 강조색2 3 8 3 2" xfId="3644"/>
    <cellStyle name="20% - 강조색2 3 8 3 3" xfId="3645"/>
    <cellStyle name="20% - 강조색2 3 8 4" xfId="3646"/>
    <cellStyle name="20% - 강조색2 3 8 5" xfId="3647"/>
    <cellStyle name="20% - 강조색2 3 9" xfId="3648"/>
    <cellStyle name="20% - 강조색2 3 9 2" xfId="3649"/>
    <cellStyle name="20% - 강조색2 3 9 2 2" xfId="3650"/>
    <cellStyle name="20% - 강조색2 3 9 2 2 2" xfId="3651"/>
    <cellStyle name="20% - 강조색2 3 9 2 2 3" xfId="3652"/>
    <cellStyle name="20% - 강조색2 3 9 2 3" xfId="3653"/>
    <cellStyle name="20% - 강조색2 3 9 2 4" xfId="3654"/>
    <cellStyle name="20% - 강조색2 3 9 3" xfId="3655"/>
    <cellStyle name="20% - 강조색2 3 9 3 2" xfId="3656"/>
    <cellStyle name="20% - 강조색2 3 9 3 3" xfId="3657"/>
    <cellStyle name="20% - 강조색2 3 9 4" xfId="3658"/>
    <cellStyle name="20% - 강조색2 3 9 5" xfId="3659"/>
    <cellStyle name="20% - 강조색2 30" xfId="3660"/>
    <cellStyle name="20% - 강조색2 30 2" xfId="3661"/>
    <cellStyle name="20% - 강조색2 31" xfId="3662"/>
    <cellStyle name="20% - 강조색2 31 2" xfId="3663"/>
    <cellStyle name="20% - 강조색2 32" xfId="3664"/>
    <cellStyle name="20% - 강조색2 32 2" xfId="3665"/>
    <cellStyle name="20% - 강조색2 33" xfId="3666"/>
    <cellStyle name="20% - 강조색2 33 2" xfId="3667"/>
    <cellStyle name="20% - 강조색2 34" xfId="3668"/>
    <cellStyle name="20% - 강조색2 34 2" xfId="3669"/>
    <cellStyle name="20% - 강조색2 35" xfId="3670"/>
    <cellStyle name="20% - 강조색2 36" xfId="3671"/>
    <cellStyle name="20% - 강조색2 37" xfId="3672"/>
    <cellStyle name="20% - 강조색2 38" xfId="3673"/>
    <cellStyle name="20% - 강조색2 39" xfId="3674"/>
    <cellStyle name="20% - 강조색2 4" xfId="3675"/>
    <cellStyle name="20% - 강조색2 4 10" xfId="3676"/>
    <cellStyle name="20% - 강조색2 4 10 2" xfId="3677"/>
    <cellStyle name="20% - 강조색2 4 10 2 2" xfId="3678"/>
    <cellStyle name="20% - 강조색2 4 10 2 3" xfId="3679"/>
    <cellStyle name="20% - 강조색2 4 10 3" xfId="3680"/>
    <cellStyle name="20% - 강조색2 4 10 4" xfId="3681"/>
    <cellStyle name="20% - 강조색2 4 11" xfId="3682"/>
    <cellStyle name="20% - 강조색2 4 11 2" xfId="3683"/>
    <cellStyle name="20% - 강조색2 4 11 3" xfId="3684"/>
    <cellStyle name="20% - 강조색2 4 12" xfId="3685"/>
    <cellStyle name="20% - 강조색2 4 13" xfId="3686"/>
    <cellStyle name="20% - 강조색2 4 14" xfId="3687"/>
    <cellStyle name="20% - 강조색2 4 2" xfId="3688"/>
    <cellStyle name="20% - 강조색2 4 2 10" xfId="3689"/>
    <cellStyle name="20% - 강조색2 4 2 2" xfId="3690"/>
    <cellStyle name="20% - 강조색2 4 2 2 2" xfId="3691"/>
    <cellStyle name="20% - 강조색2 4 2 2 2 2" xfId="3692"/>
    <cellStyle name="20% - 강조색2 4 2 2 2 2 2" xfId="3693"/>
    <cellStyle name="20% - 강조색2 4 2 2 2 2 2 2" xfId="3694"/>
    <cellStyle name="20% - 강조색2 4 2 2 2 2 2 3" xfId="3695"/>
    <cellStyle name="20% - 강조색2 4 2 2 2 2 3" xfId="3696"/>
    <cellStyle name="20% - 강조색2 4 2 2 2 2 4" xfId="3697"/>
    <cellStyle name="20% - 강조색2 4 2 2 2 3" xfId="3698"/>
    <cellStyle name="20% - 강조색2 4 2 2 2 3 2" xfId="3699"/>
    <cellStyle name="20% - 강조색2 4 2 2 2 3 3" xfId="3700"/>
    <cellStyle name="20% - 강조색2 4 2 2 2 4" xfId="3701"/>
    <cellStyle name="20% - 강조색2 4 2 2 2 5" xfId="3702"/>
    <cellStyle name="20% - 강조색2 4 2 2 3" xfId="3703"/>
    <cellStyle name="20% - 강조색2 4 2 2 3 2" xfId="3704"/>
    <cellStyle name="20% - 강조색2 4 2 2 3 2 2" xfId="3705"/>
    <cellStyle name="20% - 강조색2 4 2 2 3 2 2 2" xfId="3706"/>
    <cellStyle name="20% - 강조색2 4 2 2 3 2 2 3" xfId="3707"/>
    <cellStyle name="20% - 강조색2 4 2 2 3 2 3" xfId="3708"/>
    <cellStyle name="20% - 강조색2 4 2 2 3 2 4" xfId="3709"/>
    <cellStyle name="20% - 강조색2 4 2 2 3 3" xfId="3710"/>
    <cellStyle name="20% - 강조색2 4 2 2 3 3 2" xfId="3711"/>
    <cellStyle name="20% - 강조색2 4 2 2 3 3 3" xfId="3712"/>
    <cellStyle name="20% - 강조색2 4 2 2 3 4" xfId="3713"/>
    <cellStyle name="20% - 강조색2 4 2 2 3 5" xfId="3714"/>
    <cellStyle name="20% - 강조색2 4 2 2 4" xfId="3715"/>
    <cellStyle name="20% - 강조색2 4 2 2 4 2" xfId="3716"/>
    <cellStyle name="20% - 강조색2 4 2 2 4 2 2" xfId="3717"/>
    <cellStyle name="20% - 강조색2 4 2 2 4 2 3" xfId="3718"/>
    <cellStyle name="20% - 강조색2 4 2 2 4 3" xfId="3719"/>
    <cellStyle name="20% - 강조색2 4 2 2 4 4" xfId="3720"/>
    <cellStyle name="20% - 강조색2 4 2 2 5" xfId="3721"/>
    <cellStyle name="20% - 강조색2 4 2 2 5 2" xfId="3722"/>
    <cellStyle name="20% - 강조색2 4 2 2 5 3" xfId="3723"/>
    <cellStyle name="20% - 강조색2 4 2 2 6" xfId="3724"/>
    <cellStyle name="20% - 강조색2 4 2 2 7" xfId="3725"/>
    <cellStyle name="20% - 강조색2 4 2 3" xfId="3726"/>
    <cellStyle name="20% - 강조색2 4 2 3 2" xfId="3727"/>
    <cellStyle name="20% - 강조색2 4 2 3 2 2" xfId="3728"/>
    <cellStyle name="20% - 강조색2 4 2 3 2 2 2" xfId="3729"/>
    <cellStyle name="20% - 강조색2 4 2 3 2 2 2 2" xfId="3730"/>
    <cellStyle name="20% - 강조색2 4 2 3 2 2 2 3" xfId="3731"/>
    <cellStyle name="20% - 강조색2 4 2 3 2 2 3" xfId="3732"/>
    <cellStyle name="20% - 강조색2 4 2 3 2 2 4" xfId="3733"/>
    <cellStyle name="20% - 강조색2 4 2 3 2 3" xfId="3734"/>
    <cellStyle name="20% - 강조색2 4 2 3 2 3 2" xfId="3735"/>
    <cellStyle name="20% - 강조색2 4 2 3 2 3 3" xfId="3736"/>
    <cellStyle name="20% - 강조색2 4 2 3 2 4" xfId="3737"/>
    <cellStyle name="20% - 강조색2 4 2 3 2 5" xfId="3738"/>
    <cellStyle name="20% - 강조색2 4 2 3 3" xfId="3739"/>
    <cellStyle name="20% - 강조색2 4 2 3 3 2" xfId="3740"/>
    <cellStyle name="20% - 강조색2 4 2 3 3 2 2" xfId="3741"/>
    <cellStyle name="20% - 강조색2 4 2 3 3 2 2 2" xfId="3742"/>
    <cellStyle name="20% - 강조색2 4 2 3 3 2 2 3" xfId="3743"/>
    <cellStyle name="20% - 강조색2 4 2 3 3 2 3" xfId="3744"/>
    <cellStyle name="20% - 강조색2 4 2 3 3 2 4" xfId="3745"/>
    <cellStyle name="20% - 강조색2 4 2 3 3 3" xfId="3746"/>
    <cellStyle name="20% - 강조색2 4 2 3 3 3 2" xfId="3747"/>
    <cellStyle name="20% - 강조색2 4 2 3 3 3 3" xfId="3748"/>
    <cellStyle name="20% - 강조색2 4 2 3 3 4" xfId="3749"/>
    <cellStyle name="20% - 강조색2 4 2 3 3 5" xfId="3750"/>
    <cellStyle name="20% - 강조색2 4 2 3 4" xfId="3751"/>
    <cellStyle name="20% - 강조색2 4 2 3 4 2" xfId="3752"/>
    <cellStyle name="20% - 강조색2 4 2 3 4 2 2" xfId="3753"/>
    <cellStyle name="20% - 강조색2 4 2 3 4 2 3" xfId="3754"/>
    <cellStyle name="20% - 강조색2 4 2 3 4 3" xfId="3755"/>
    <cellStyle name="20% - 강조색2 4 2 3 4 4" xfId="3756"/>
    <cellStyle name="20% - 강조색2 4 2 3 5" xfId="3757"/>
    <cellStyle name="20% - 강조색2 4 2 3 5 2" xfId="3758"/>
    <cellStyle name="20% - 강조색2 4 2 3 5 3" xfId="3759"/>
    <cellStyle name="20% - 강조색2 4 2 3 6" xfId="3760"/>
    <cellStyle name="20% - 강조색2 4 2 3 7" xfId="3761"/>
    <cellStyle name="20% - 강조색2 4 2 4" xfId="3762"/>
    <cellStyle name="20% - 강조색2 4 2 4 2" xfId="3763"/>
    <cellStyle name="20% - 강조색2 4 2 4 2 2" xfId="3764"/>
    <cellStyle name="20% - 강조색2 4 2 4 2 2 2" xfId="3765"/>
    <cellStyle name="20% - 강조색2 4 2 4 2 2 3" xfId="3766"/>
    <cellStyle name="20% - 강조색2 4 2 4 2 3" xfId="3767"/>
    <cellStyle name="20% - 강조색2 4 2 4 2 4" xfId="3768"/>
    <cellStyle name="20% - 강조색2 4 2 4 3" xfId="3769"/>
    <cellStyle name="20% - 강조색2 4 2 4 3 2" xfId="3770"/>
    <cellStyle name="20% - 강조색2 4 2 4 3 3" xfId="3771"/>
    <cellStyle name="20% - 강조색2 4 2 4 4" xfId="3772"/>
    <cellStyle name="20% - 강조색2 4 2 4 5" xfId="3773"/>
    <cellStyle name="20% - 강조색2 4 2 5" xfId="3774"/>
    <cellStyle name="20% - 강조색2 4 2 5 2" xfId="3775"/>
    <cellStyle name="20% - 강조색2 4 2 5 2 2" xfId="3776"/>
    <cellStyle name="20% - 강조색2 4 2 5 2 2 2" xfId="3777"/>
    <cellStyle name="20% - 강조색2 4 2 5 2 2 3" xfId="3778"/>
    <cellStyle name="20% - 강조색2 4 2 5 2 3" xfId="3779"/>
    <cellStyle name="20% - 강조색2 4 2 5 2 4" xfId="3780"/>
    <cellStyle name="20% - 강조색2 4 2 5 3" xfId="3781"/>
    <cellStyle name="20% - 강조색2 4 2 5 3 2" xfId="3782"/>
    <cellStyle name="20% - 강조색2 4 2 5 3 3" xfId="3783"/>
    <cellStyle name="20% - 강조색2 4 2 5 4" xfId="3784"/>
    <cellStyle name="20% - 강조색2 4 2 5 5" xfId="3785"/>
    <cellStyle name="20% - 강조색2 4 2 6" xfId="3786"/>
    <cellStyle name="20% - 강조색2 4 2 6 2" xfId="3787"/>
    <cellStyle name="20% - 강조색2 4 2 6 2 2" xfId="3788"/>
    <cellStyle name="20% - 강조색2 4 2 6 2 2 2" xfId="3789"/>
    <cellStyle name="20% - 강조색2 4 2 6 2 2 3" xfId="3790"/>
    <cellStyle name="20% - 강조색2 4 2 6 2 3" xfId="3791"/>
    <cellStyle name="20% - 강조색2 4 2 6 2 4" xfId="3792"/>
    <cellStyle name="20% - 강조색2 4 2 6 3" xfId="3793"/>
    <cellStyle name="20% - 강조색2 4 2 6 3 2" xfId="3794"/>
    <cellStyle name="20% - 강조색2 4 2 6 3 3" xfId="3795"/>
    <cellStyle name="20% - 강조색2 4 2 6 4" xfId="3796"/>
    <cellStyle name="20% - 강조색2 4 2 6 5" xfId="3797"/>
    <cellStyle name="20% - 강조색2 4 2 7" xfId="3798"/>
    <cellStyle name="20% - 강조색2 4 2 7 2" xfId="3799"/>
    <cellStyle name="20% - 강조색2 4 2 7 2 2" xfId="3800"/>
    <cellStyle name="20% - 강조색2 4 2 7 2 3" xfId="3801"/>
    <cellStyle name="20% - 강조색2 4 2 7 3" xfId="3802"/>
    <cellStyle name="20% - 강조색2 4 2 7 4" xfId="3803"/>
    <cellStyle name="20% - 강조색2 4 2 8" xfId="3804"/>
    <cellStyle name="20% - 강조색2 4 2 8 2" xfId="3805"/>
    <cellStyle name="20% - 강조색2 4 2 8 3" xfId="3806"/>
    <cellStyle name="20% - 강조색2 4 2 9" xfId="3807"/>
    <cellStyle name="20% - 강조색2 4 3" xfId="3808"/>
    <cellStyle name="20% - 강조색2 4 3 10" xfId="3809"/>
    <cellStyle name="20% - 강조색2 4 3 2" xfId="3810"/>
    <cellStyle name="20% - 강조색2 4 3 2 2" xfId="3811"/>
    <cellStyle name="20% - 강조색2 4 3 2 2 2" xfId="3812"/>
    <cellStyle name="20% - 강조색2 4 3 2 2 2 2" xfId="3813"/>
    <cellStyle name="20% - 강조색2 4 3 2 2 2 2 2" xfId="3814"/>
    <cellStyle name="20% - 강조색2 4 3 2 2 2 2 3" xfId="3815"/>
    <cellStyle name="20% - 강조색2 4 3 2 2 2 3" xfId="3816"/>
    <cellStyle name="20% - 강조색2 4 3 2 2 2 4" xfId="3817"/>
    <cellStyle name="20% - 강조색2 4 3 2 2 3" xfId="3818"/>
    <cellStyle name="20% - 강조색2 4 3 2 2 3 2" xfId="3819"/>
    <cellStyle name="20% - 강조색2 4 3 2 2 3 3" xfId="3820"/>
    <cellStyle name="20% - 강조색2 4 3 2 2 4" xfId="3821"/>
    <cellStyle name="20% - 강조색2 4 3 2 2 5" xfId="3822"/>
    <cellStyle name="20% - 강조색2 4 3 2 3" xfId="3823"/>
    <cellStyle name="20% - 강조색2 4 3 2 3 2" xfId="3824"/>
    <cellStyle name="20% - 강조색2 4 3 2 3 2 2" xfId="3825"/>
    <cellStyle name="20% - 강조색2 4 3 2 3 2 2 2" xfId="3826"/>
    <cellStyle name="20% - 강조색2 4 3 2 3 2 2 3" xfId="3827"/>
    <cellStyle name="20% - 강조색2 4 3 2 3 2 3" xfId="3828"/>
    <cellStyle name="20% - 강조색2 4 3 2 3 2 4" xfId="3829"/>
    <cellStyle name="20% - 강조색2 4 3 2 3 3" xfId="3830"/>
    <cellStyle name="20% - 강조색2 4 3 2 3 3 2" xfId="3831"/>
    <cellStyle name="20% - 강조색2 4 3 2 3 3 3" xfId="3832"/>
    <cellStyle name="20% - 강조색2 4 3 2 3 4" xfId="3833"/>
    <cellStyle name="20% - 강조색2 4 3 2 3 5" xfId="3834"/>
    <cellStyle name="20% - 강조색2 4 3 2 4" xfId="3835"/>
    <cellStyle name="20% - 강조색2 4 3 2 4 2" xfId="3836"/>
    <cellStyle name="20% - 강조색2 4 3 2 4 2 2" xfId="3837"/>
    <cellStyle name="20% - 강조색2 4 3 2 4 2 3" xfId="3838"/>
    <cellStyle name="20% - 강조색2 4 3 2 4 3" xfId="3839"/>
    <cellStyle name="20% - 강조색2 4 3 2 4 4" xfId="3840"/>
    <cellStyle name="20% - 강조색2 4 3 2 5" xfId="3841"/>
    <cellStyle name="20% - 강조색2 4 3 2 5 2" xfId="3842"/>
    <cellStyle name="20% - 강조색2 4 3 2 5 3" xfId="3843"/>
    <cellStyle name="20% - 강조색2 4 3 2 6" xfId="3844"/>
    <cellStyle name="20% - 강조색2 4 3 2 7" xfId="3845"/>
    <cellStyle name="20% - 강조색2 4 3 3" xfId="3846"/>
    <cellStyle name="20% - 강조색2 4 3 3 2" xfId="3847"/>
    <cellStyle name="20% - 강조색2 4 3 3 2 2" xfId="3848"/>
    <cellStyle name="20% - 강조색2 4 3 3 2 2 2" xfId="3849"/>
    <cellStyle name="20% - 강조색2 4 3 3 2 2 2 2" xfId="3850"/>
    <cellStyle name="20% - 강조색2 4 3 3 2 2 2 3" xfId="3851"/>
    <cellStyle name="20% - 강조색2 4 3 3 2 2 3" xfId="3852"/>
    <cellStyle name="20% - 강조색2 4 3 3 2 2 4" xfId="3853"/>
    <cellStyle name="20% - 강조색2 4 3 3 2 3" xfId="3854"/>
    <cellStyle name="20% - 강조색2 4 3 3 2 3 2" xfId="3855"/>
    <cellStyle name="20% - 강조색2 4 3 3 2 3 3" xfId="3856"/>
    <cellStyle name="20% - 강조색2 4 3 3 2 4" xfId="3857"/>
    <cellStyle name="20% - 강조색2 4 3 3 2 5" xfId="3858"/>
    <cellStyle name="20% - 강조색2 4 3 3 3" xfId="3859"/>
    <cellStyle name="20% - 강조색2 4 3 3 3 2" xfId="3860"/>
    <cellStyle name="20% - 강조색2 4 3 3 3 2 2" xfId="3861"/>
    <cellStyle name="20% - 강조색2 4 3 3 3 2 2 2" xfId="3862"/>
    <cellStyle name="20% - 강조색2 4 3 3 3 2 2 3" xfId="3863"/>
    <cellStyle name="20% - 강조색2 4 3 3 3 2 3" xfId="3864"/>
    <cellStyle name="20% - 강조색2 4 3 3 3 2 4" xfId="3865"/>
    <cellStyle name="20% - 강조색2 4 3 3 3 3" xfId="3866"/>
    <cellStyle name="20% - 강조색2 4 3 3 3 3 2" xfId="3867"/>
    <cellStyle name="20% - 강조색2 4 3 3 3 3 3" xfId="3868"/>
    <cellStyle name="20% - 강조색2 4 3 3 3 4" xfId="3869"/>
    <cellStyle name="20% - 강조색2 4 3 3 3 5" xfId="3870"/>
    <cellStyle name="20% - 강조색2 4 3 3 4" xfId="3871"/>
    <cellStyle name="20% - 강조색2 4 3 3 4 2" xfId="3872"/>
    <cellStyle name="20% - 강조색2 4 3 3 4 2 2" xfId="3873"/>
    <cellStyle name="20% - 강조색2 4 3 3 4 2 3" xfId="3874"/>
    <cellStyle name="20% - 강조색2 4 3 3 4 3" xfId="3875"/>
    <cellStyle name="20% - 강조색2 4 3 3 4 4" xfId="3876"/>
    <cellStyle name="20% - 강조색2 4 3 3 5" xfId="3877"/>
    <cellStyle name="20% - 강조색2 4 3 3 5 2" xfId="3878"/>
    <cellStyle name="20% - 강조색2 4 3 3 5 3" xfId="3879"/>
    <cellStyle name="20% - 강조색2 4 3 3 6" xfId="3880"/>
    <cellStyle name="20% - 강조색2 4 3 3 7" xfId="3881"/>
    <cellStyle name="20% - 강조색2 4 3 4" xfId="3882"/>
    <cellStyle name="20% - 강조색2 4 3 4 2" xfId="3883"/>
    <cellStyle name="20% - 강조색2 4 3 4 2 2" xfId="3884"/>
    <cellStyle name="20% - 강조색2 4 3 4 2 2 2" xfId="3885"/>
    <cellStyle name="20% - 강조색2 4 3 4 2 2 3" xfId="3886"/>
    <cellStyle name="20% - 강조색2 4 3 4 2 3" xfId="3887"/>
    <cellStyle name="20% - 강조색2 4 3 4 2 4" xfId="3888"/>
    <cellStyle name="20% - 강조색2 4 3 4 3" xfId="3889"/>
    <cellStyle name="20% - 강조색2 4 3 4 3 2" xfId="3890"/>
    <cellStyle name="20% - 강조색2 4 3 4 3 3" xfId="3891"/>
    <cellStyle name="20% - 강조색2 4 3 4 4" xfId="3892"/>
    <cellStyle name="20% - 강조색2 4 3 4 5" xfId="3893"/>
    <cellStyle name="20% - 강조색2 4 3 5" xfId="3894"/>
    <cellStyle name="20% - 강조색2 4 3 5 2" xfId="3895"/>
    <cellStyle name="20% - 강조색2 4 3 5 2 2" xfId="3896"/>
    <cellStyle name="20% - 강조색2 4 3 5 2 2 2" xfId="3897"/>
    <cellStyle name="20% - 강조색2 4 3 5 2 2 3" xfId="3898"/>
    <cellStyle name="20% - 강조색2 4 3 5 2 3" xfId="3899"/>
    <cellStyle name="20% - 강조색2 4 3 5 2 4" xfId="3900"/>
    <cellStyle name="20% - 강조색2 4 3 5 3" xfId="3901"/>
    <cellStyle name="20% - 강조색2 4 3 5 3 2" xfId="3902"/>
    <cellStyle name="20% - 강조색2 4 3 5 3 3" xfId="3903"/>
    <cellStyle name="20% - 강조색2 4 3 5 4" xfId="3904"/>
    <cellStyle name="20% - 강조색2 4 3 5 5" xfId="3905"/>
    <cellStyle name="20% - 강조색2 4 3 6" xfId="3906"/>
    <cellStyle name="20% - 강조색2 4 3 6 2" xfId="3907"/>
    <cellStyle name="20% - 강조색2 4 3 6 2 2" xfId="3908"/>
    <cellStyle name="20% - 강조색2 4 3 6 2 2 2" xfId="3909"/>
    <cellStyle name="20% - 강조색2 4 3 6 2 2 3" xfId="3910"/>
    <cellStyle name="20% - 강조색2 4 3 6 2 3" xfId="3911"/>
    <cellStyle name="20% - 강조색2 4 3 6 2 4" xfId="3912"/>
    <cellStyle name="20% - 강조색2 4 3 6 3" xfId="3913"/>
    <cellStyle name="20% - 강조색2 4 3 6 3 2" xfId="3914"/>
    <cellStyle name="20% - 강조색2 4 3 6 3 3" xfId="3915"/>
    <cellStyle name="20% - 강조색2 4 3 6 4" xfId="3916"/>
    <cellStyle name="20% - 강조색2 4 3 6 5" xfId="3917"/>
    <cellStyle name="20% - 강조색2 4 3 7" xfId="3918"/>
    <cellStyle name="20% - 강조색2 4 3 7 2" xfId="3919"/>
    <cellStyle name="20% - 강조색2 4 3 7 2 2" xfId="3920"/>
    <cellStyle name="20% - 강조색2 4 3 7 2 3" xfId="3921"/>
    <cellStyle name="20% - 강조색2 4 3 7 3" xfId="3922"/>
    <cellStyle name="20% - 강조색2 4 3 7 4" xfId="3923"/>
    <cellStyle name="20% - 강조색2 4 3 8" xfId="3924"/>
    <cellStyle name="20% - 강조색2 4 3 8 2" xfId="3925"/>
    <cellStyle name="20% - 강조색2 4 3 8 3" xfId="3926"/>
    <cellStyle name="20% - 강조색2 4 3 9" xfId="3927"/>
    <cellStyle name="20% - 강조색2 4 4" xfId="3928"/>
    <cellStyle name="20% - 강조색2 4 4 10" xfId="3929"/>
    <cellStyle name="20% - 강조색2 4 4 2" xfId="3930"/>
    <cellStyle name="20% - 강조색2 4 4 2 2" xfId="3931"/>
    <cellStyle name="20% - 강조색2 4 4 2 2 2" xfId="3932"/>
    <cellStyle name="20% - 강조색2 4 4 2 2 2 2" xfId="3933"/>
    <cellStyle name="20% - 강조색2 4 4 2 2 2 2 2" xfId="3934"/>
    <cellStyle name="20% - 강조색2 4 4 2 2 2 2 3" xfId="3935"/>
    <cellStyle name="20% - 강조색2 4 4 2 2 2 3" xfId="3936"/>
    <cellStyle name="20% - 강조색2 4 4 2 2 2 4" xfId="3937"/>
    <cellStyle name="20% - 강조색2 4 4 2 2 3" xfId="3938"/>
    <cellStyle name="20% - 강조색2 4 4 2 2 3 2" xfId="3939"/>
    <cellStyle name="20% - 강조색2 4 4 2 2 3 3" xfId="3940"/>
    <cellStyle name="20% - 강조색2 4 4 2 2 4" xfId="3941"/>
    <cellStyle name="20% - 강조색2 4 4 2 2 5" xfId="3942"/>
    <cellStyle name="20% - 강조색2 4 4 2 3" xfId="3943"/>
    <cellStyle name="20% - 강조색2 4 4 2 3 2" xfId="3944"/>
    <cellStyle name="20% - 강조색2 4 4 2 3 2 2" xfId="3945"/>
    <cellStyle name="20% - 강조색2 4 4 2 3 2 2 2" xfId="3946"/>
    <cellStyle name="20% - 강조색2 4 4 2 3 2 2 3" xfId="3947"/>
    <cellStyle name="20% - 강조색2 4 4 2 3 2 3" xfId="3948"/>
    <cellStyle name="20% - 강조색2 4 4 2 3 2 4" xfId="3949"/>
    <cellStyle name="20% - 강조색2 4 4 2 3 3" xfId="3950"/>
    <cellStyle name="20% - 강조색2 4 4 2 3 3 2" xfId="3951"/>
    <cellStyle name="20% - 강조색2 4 4 2 3 3 3" xfId="3952"/>
    <cellStyle name="20% - 강조색2 4 4 2 3 4" xfId="3953"/>
    <cellStyle name="20% - 강조색2 4 4 2 3 5" xfId="3954"/>
    <cellStyle name="20% - 강조색2 4 4 2 4" xfId="3955"/>
    <cellStyle name="20% - 강조색2 4 4 2 4 2" xfId="3956"/>
    <cellStyle name="20% - 강조색2 4 4 2 4 2 2" xfId="3957"/>
    <cellStyle name="20% - 강조색2 4 4 2 4 2 3" xfId="3958"/>
    <cellStyle name="20% - 강조색2 4 4 2 4 3" xfId="3959"/>
    <cellStyle name="20% - 강조색2 4 4 2 4 4" xfId="3960"/>
    <cellStyle name="20% - 강조색2 4 4 2 5" xfId="3961"/>
    <cellStyle name="20% - 강조색2 4 4 2 5 2" xfId="3962"/>
    <cellStyle name="20% - 강조색2 4 4 2 5 3" xfId="3963"/>
    <cellStyle name="20% - 강조색2 4 4 2 6" xfId="3964"/>
    <cellStyle name="20% - 강조색2 4 4 2 7" xfId="3965"/>
    <cellStyle name="20% - 강조색2 4 4 3" xfId="3966"/>
    <cellStyle name="20% - 강조색2 4 4 3 2" xfId="3967"/>
    <cellStyle name="20% - 강조색2 4 4 3 2 2" xfId="3968"/>
    <cellStyle name="20% - 강조색2 4 4 3 2 2 2" xfId="3969"/>
    <cellStyle name="20% - 강조색2 4 4 3 2 2 2 2" xfId="3970"/>
    <cellStyle name="20% - 강조색2 4 4 3 2 2 2 3" xfId="3971"/>
    <cellStyle name="20% - 강조색2 4 4 3 2 2 3" xfId="3972"/>
    <cellStyle name="20% - 강조색2 4 4 3 2 2 4" xfId="3973"/>
    <cellStyle name="20% - 강조색2 4 4 3 2 3" xfId="3974"/>
    <cellStyle name="20% - 강조색2 4 4 3 2 3 2" xfId="3975"/>
    <cellStyle name="20% - 강조색2 4 4 3 2 3 3" xfId="3976"/>
    <cellStyle name="20% - 강조색2 4 4 3 2 4" xfId="3977"/>
    <cellStyle name="20% - 강조색2 4 4 3 2 5" xfId="3978"/>
    <cellStyle name="20% - 강조색2 4 4 3 3" xfId="3979"/>
    <cellStyle name="20% - 강조색2 4 4 3 3 2" xfId="3980"/>
    <cellStyle name="20% - 강조색2 4 4 3 3 2 2" xfId="3981"/>
    <cellStyle name="20% - 강조색2 4 4 3 3 2 2 2" xfId="3982"/>
    <cellStyle name="20% - 강조색2 4 4 3 3 2 2 3" xfId="3983"/>
    <cellStyle name="20% - 강조색2 4 4 3 3 2 3" xfId="3984"/>
    <cellStyle name="20% - 강조색2 4 4 3 3 2 4" xfId="3985"/>
    <cellStyle name="20% - 강조색2 4 4 3 3 3" xfId="3986"/>
    <cellStyle name="20% - 강조색2 4 4 3 3 3 2" xfId="3987"/>
    <cellStyle name="20% - 강조색2 4 4 3 3 3 3" xfId="3988"/>
    <cellStyle name="20% - 강조색2 4 4 3 3 4" xfId="3989"/>
    <cellStyle name="20% - 강조색2 4 4 3 3 5" xfId="3990"/>
    <cellStyle name="20% - 강조색2 4 4 3 4" xfId="3991"/>
    <cellStyle name="20% - 강조색2 4 4 3 4 2" xfId="3992"/>
    <cellStyle name="20% - 강조색2 4 4 3 4 2 2" xfId="3993"/>
    <cellStyle name="20% - 강조색2 4 4 3 4 2 3" xfId="3994"/>
    <cellStyle name="20% - 강조색2 4 4 3 4 3" xfId="3995"/>
    <cellStyle name="20% - 강조색2 4 4 3 4 4" xfId="3996"/>
    <cellStyle name="20% - 강조색2 4 4 3 5" xfId="3997"/>
    <cellStyle name="20% - 강조색2 4 4 3 5 2" xfId="3998"/>
    <cellStyle name="20% - 강조색2 4 4 3 5 3" xfId="3999"/>
    <cellStyle name="20% - 강조색2 4 4 3 6" xfId="4000"/>
    <cellStyle name="20% - 강조색2 4 4 3 7" xfId="4001"/>
    <cellStyle name="20% - 강조색2 4 4 4" xfId="4002"/>
    <cellStyle name="20% - 강조색2 4 4 4 2" xfId="4003"/>
    <cellStyle name="20% - 강조색2 4 4 4 2 2" xfId="4004"/>
    <cellStyle name="20% - 강조색2 4 4 4 2 2 2" xfId="4005"/>
    <cellStyle name="20% - 강조색2 4 4 4 2 2 3" xfId="4006"/>
    <cellStyle name="20% - 강조색2 4 4 4 2 3" xfId="4007"/>
    <cellStyle name="20% - 강조색2 4 4 4 2 4" xfId="4008"/>
    <cellStyle name="20% - 강조색2 4 4 4 3" xfId="4009"/>
    <cellStyle name="20% - 강조색2 4 4 4 3 2" xfId="4010"/>
    <cellStyle name="20% - 강조색2 4 4 4 3 3" xfId="4011"/>
    <cellStyle name="20% - 강조색2 4 4 4 4" xfId="4012"/>
    <cellStyle name="20% - 강조색2 4 4 4 5" xfId="4013"/>
    <cellStyle name="20% - 강조색2 4 4 5" xfId="4014"/>
    <cellStyle name="20% - 강조색2 4 4 5 2" xfId="4015"/>
    <cellStyle name="20% - 강조색2 4 4 5 2 2" xfId="4016"/>
    <cellStyle name="20% - 강조색2 4 4 5 2 2 2" xfId="4017"/>
    <cellStyle name="20% - 강조색2 4 4 5 2 2 3" xfId="4018"/>
    <cellStyle name="20% - 강조색2 4 4 5 2 3" xfId="4019"/>
    <cellStyle name="20% - 강조색2 4 4 5 2 4" xfId="4020"/>
    <cellStyle name="20% - 강조색2 4 4 5 3" xfId="4021"/>
    <cellStyle name="20% - 강조색2 4 4 5 3 2" xfId="4022"/>
    <cellStyle name="20% - 강조색2 4 4 5 3 3" xfId="4023"/>
    <cellStyle name="20% - 강조색2 4 4 5 4" xfId="4024"/>
    <cellStyle name="20% - 강조색2 4 4 5 5" xfId="4025"/>
    <cellStyle name="20% - 강조색2 4 4 6" xfId="4026"/>
    <cellStyle name="20% - 강조색2 4 4 6 2" xfId="4027"/>
    <cellStyle name="20% - 강조색2 4 4 6 2 2" xfId="4028"/>
    <cellStyle name="20% - 강조색2 4 4 6 2 2 2" xfId="4029"/>
    <cellStyle name="20% - 강조색2 4 4 6 2 2 3" xfId="4030"/>
    <cellStyle name="20% - 강조색2 4 4 6 2 3" xfId="4031"/>
    <cellStyle name="20% - 강조색2 4 4 6 2 4" xfId="4032"/>
    <cellStyle name="20% - 강조색2 4 4 6 3" xfId="4033"/>
    <cellStyle name="20% - 강조색2 4 4 6 3 2" xfId="4034"/>
    <cellStyle name="20% - 강조색2 4 4 6 3 3" xfId="4035"/>
    <cellStyle name="20% - 강조색2 4 4 6 4" xfId="4036"/>
    <cellStyle name="20% - 강조색2 4 4 6 5" xfId="4037"/>
    <cellStyle name="20% - 강조색2 4 4 7" xfId="4038"/>
    <cellStyle name="20% - 강조색2 4 4 7 2" xfId="4039"/>
    <cellStyle name="20% - 강조색2 4 4 7 2 2" xfId="4040"/>
    <cellStyle name="20% - 강조색2 4 4 7 2 3" xfId="4041"/>
    <cellStyle name="20% - 강조색2 4 4 7 3" xfId="4042"/>
    <cellStyle name="20% - 강조색2 4 4 7 4" xfId="4043"/>
    <cellStyle name="20% - 강조색2 4 4 8" xfId="4044"/>
    <cellStyle name="20% - 강조색2 4 4 8 2" xfId="4045"/>
    <cellStyle name="20% - 강조색2 4 4 8 3" xfId="4046"/>
    <cellStyle name="20% - 강조색2 4 4 9" xfId="4047"/>
    <cellStyle name="20% - 강조색2 4 5" xfId="4048"/>
    <cellStyle name="20% - 강조색2 4 5 2" xfId="4049"/>
    <cellStyle name="20% - 강조색2 4 5 2 2" xfId="4050"/>
    <cellStyle name="20% - 강조색2 4 5 2 2 2" xfId="4051"/>
    <cellStyle name="20% - 강조색2 4 5 2 2 2 2" xfId="4052"/>
    <cellStyle name="20% - 강조색2 4 5 2 2 2 3" xfId="4053"/>
    <cellStyle name="20% - 강조색2 4 5 2 2 3" xfId="4054"/>
    <cellStyle name="20% - 강조색2 4 5 2 2 4" xfId="4055"/>
    <cellStyle name="20% - 강조색2 4 5 2 3" xfId="4056"/>
    <cellStyle name="20% - 강조색2 4 5 2 3 2" xfId="4057"/>
    <cellStyle name="20% - 강조색2 4 5 2 3 3" xfId="4058"/>
    <cellStyle name="20% - 강조색2 4 5 2 4" xfId="4059"/>
    <cellStyle name="20% - 강조색2 4 5 2 5" xfId="4060"/>
    <cellStyle name="20% - 강조색2 4 5 3" xfId="4061"/>
    <cellStyle name="20% - 강조색2 4 5 3 2" xfId="4062"/>
    <cellStyle name="20% - 강조색2 4 5 3 2 2" xfId="4063"/>
    <cellStyle name="20% - 강조색2 4 5 3 2 2 2" xfId="4064"/>
    <cellStyle name="20% - 강조색2 4 5 3 2 2 3" xfId="4065"/>
    <cellStyle name="20% - 강조색2 4 5 3 2 3" xfId="4066"/>
    <cellStyle name="20% - 강조색2 4 5 3 2 4" xfId="4067"/>
    <cellStyle name="20% - 강조색2 4 5 3 3" xfId="4068"/>
    <cellStyle name="20% - 강조색2 4 5 3 3 2" xfId="4069"/>
    <cellStyle name="20% - 강조색2 4 5 3 3 3" xfId="4070"/>
    <cellStyle name="20% - 강조색2 4 5 3 4" xfId="4071"/>
    <cellStyle name="20% - 강조색2 4 5 3 5" xfId="4072"/>
    <cellStyle name="20% - 강조색2 4 5 4" xfId="4073"/>
    <cellStyle name="20% - 강조색2 4 5 4 2" xfId="4074"/>
    <cellStyle name="20% - 강조색2 4 5 4 2 2" xfId="4075"/>
    <cellStyle name="20% - 강조색2 4 5 4 2 3" xfId="4076"/>
    <cellStyle name="20% - 강조색2 4 5 4 3" xfId="4077"/>
    <cellStyle name="20% - 강조색2 4 5 4 4" xfId="4078"/>
    <cellStyle name="20% - 강조색2 4 5 5" xfId="4079"/>
    <cellStyle name="20% - 강조색2 4 5 5 2" xfId="4080"/>
    <cellStyle name="20% - 강조색2 4 5 5 3" xfId="4081"/>
    <cellStyle name="20% - 강조색2 4 5 6" xfId="4082"/>
    <cellStyle name="20% - 강조색2 4 5 7" xfId="4083"/>
    <cellStyle name="20% - 강조색2 4 6" xfId="4084"/>
    <cellStyle name="20% - 강조색2 4 6 2" xfId="4085"/>
    <cellStyle name="20% - 강조색2 4 6 2 2" xfId="4086"/>
    <cellStyle name="20% - 강조색2 4 6 2 2 2" xfId="4087"/>
    <cellStyle name="20% - 강조색2 4 6 2 2 2 2" xfId="4088"/>
    <cellStyle name="20% - 강조색2 4 6 2 2 2 3" xfId="4089"/>
    <cellStyle name="20% - 강조색2 4 6 2 2 3" xfId="4090"/>
    <cellStyle name="20% - 강조색2 4 6 2 2 4" xfId="4091"/>
    <cellStyle name="20% - 강조색2 4 6 2 3" xfId="4092"/>
    <cellStyle name="20% - 강조색2 4 6 2 3 2" xfId="4093"/>
    <cellStyle name="20% - 강조색2 4 6 2 3 3" xfId="4094"/>
    <cellStyle name="20% - 강조색2 4 6 2 4" xfId="4095"/>
    <cellStyle name="20% - 강조색2 4 6 2 5" xfId="4096"/>
    <cellStyle name="20% - 강조색2 4 6 3" xfId="4097"/>
    <cellStyle name="20% - 강조색2 4 6 3 2" xfId="4098"/>
    <cellStyle name="20% - 강조색2 4 6 3 2 2" xfId="4099"/>
    <cellStyle name="20% - 강조색2 4 6 3 2 2 2" xfId="4100"/>
    <cellStyle name="20% - 강조색2 4 6 3 2 2 3" xfId="4101"/>
    <cellStyle name="20% - 강조색2 4 6 3 2 3" xfId="4102"/>
    <cellStyle name="20% - 강조색2 4 6 3 2 4" xfId="4103"/>
    <cellStyle name="20% - 강조색2 4 6 3 3" xfId="4104"/>
    <cellStyle name="20% - 강조색2 4 6 3 3 2" xfId="4105"/>
    <cellStyle name="20% - 강조색2 4 6 3 3 3" xfId="4106"/>
    <cellStyle name="20% - 강조색2 4 6 3 4" xfId="4107"/>
    <cellStyle name="20% - 강조색2 4 6 3 5" xfId="4108"/>
    <cellStyle name="20% - 강조색2 4 6 4" xfId="4109"/>
    <cellStyle name="20% - 강조색2 4 6 4 2" xfId="4110"/>
    <cellStyle name="20% - 강조색2 4 6 4 2 2" xfId="4111"/>
    <cellStyle name="20% - 강조색2 4 6 4 2 3" xfId="4112"/>
    <cellStyle name="20% - 강조색2 4 6 4 3" xfId="4113"/>
    <cellStyle name="20% - 강조색2 4 6 4 4" xfId="4114"/>
    <cellStyle name="20% - 강조색2 4 6 5" xfId="4115"/>
    <cellStyle name="20% - 강조색2 4 6 5 2" xfId="4116"/>
    <cellStyle name="20% - 강조색2 4 6 5 3" xfId="4117"/>
    <cellStyle name="20% - 강조색2 4 6 6" xfId="4118"/>
    <cellStyle name="20% - 강조색2 4 6 7" xfId="4119"/>
    <cellStyle name="20% - 강조색2 4 7" xfId="4120"/>
    <cellStyle name="20% - 강조색2 4 7 2" xfId="4121"/>
    <cellStyle name="20% - 강조색2 4 7 2 2" xfId="4122"/>
    <cellStyle name="20% - 강조색2 4 7 2 2 2" xfId="4123"/>
    <cellStyle name="20% - 강조색2 4 7 2 2 3" xfId="4124"/>
    <cellStyle name="20% - 강조색2 4 7 2 3" xfId="4125"/>
    <cellStyle name="20% - 강조색2 4 7 2 4" xfId="4126"/>
    <cellStyle name="20% - 강조색2 4 7 3" xfId="4127"/>
    <cellStyle name="20% - 강조색2 4 7 3 2" xfId="4128"/>
    <cellStyle name="20% - 강조색2 4 7 3 3" xfId="4129"/>
    <cellStyle name="20% - 강조색2 4 7 4" xfId="4130"/>
    <cellStyle name="20% - 강조색2 4 7 5" xfId="4131"/>
    <cellStyle name="20% - 강조색2 4 8" xfId="4132"/>
    <cellStyle name="20% - 강조색2 4 8 2" xfId="4133"/>
    <cellStyle name="20% - 강조색2 4 8 2 2" xfId="4134"/>
    <cellStyle name="20% - 강조색2 4 8 2 2 2" xfId="4135"/>
    <cellStyle name="20% - 강조색2 4 8 2 2 3" xfId="4136"/>
    <cellStyle name="20% - 강조색2 4 8 2 3" xfId="4137"/>
    <cellStyle name="20% - 강조색2 4 8 2 4" xfId="4138"/>
    <cellStyle name="20% - 강조색2 4 8 3" xfId="4139"/>
    <cellStyle name="20% - 강조색2 4 8 3 2" xfId="4140"/>
    <cellStyle name="20% - 강조색2 4 8 3 3" xfId="4141"/>
    <cellStyle name="20% - 강조색2 4 8 4" xfId="4142"/>
    <cellStyle name="20% - 강조색2 4 8 5" xfId="4143"/>
    <cellStyle name="20% - 강조색2 4 9" xfId="4144"/>
    <cellStyle name="20% - 강조색2 4 9 2" xfId="4145"/>
    <cellStyle name="20% - 강조색2 4 9 2 2" xfId="4146"/>
    <cellStyle name="20% - 강조색2 4 9 2 2 2" xfId="4147"/>
    <cellStyle name="20% - 강조색2 4 9 2 2 3" xfId="4148"/>
    <cellStyle name="20% - 강조색2 4 9 2 3" xfId="4149"/>
    <cellStyle name="20% - 강조색2 4 9 2 4" xfId="4150"/>
    <cellStyle name="20% - 강조색2 4 9 3" xfId="4151"/>
    <cellStyle name="20% - 강조색2 4 9 3 2" xfId="4152"/>
    <cellStyle name="20% - 강조색2 4 9 3 3" xfId="4153"/>
    <cellStyle name="20% - 강조색2 4 9 4" xfId="4154"/>
    <cellStyle name="20% - 강조색2 4 9 5" xfId="4155"/>
    <cellStyle name="20% - 강조색2 40" xfId="4156"/>
    <cellStyle name="20% - 강조색2 41" xfId="4157"/>
    <cellStyle name="20% - 강조색2 42" xfId="4158"/>
    <cellStyle name="20% - 강조색2 43" xfId="4159"/>
    <cellStyle name="20% - 강조색2 44" xfId="4160"/>
    <cellStyle name="20% - 강조색2 45" xfId="4161"/>
    <cellStyle name="20% - 강조색2 46" xfId="4162"/>
    <cellStyle name="20% - 강조색2 47" xfId="4163"/>
    <cellStyle name="20% - 강조색2 48" xfId="4164"/>
    <cellStyle name="20% - 강조색2 49" xfId="4165"/>
    <cellStyle name="20% - 강조색2 5" xfId="4166"/>
    <cellStyle name="20% - 강조색2 5 10" xfId="4167"/>
    <cellStyle name="20% - 강조색2 5 11" xfId="4168"/>
    <cellStyle name="20% - 강조색2 5 2" xfId="4169"/>
    <cellStyle name="20% - 강조색2 5 2 2" xfId="4170"/>
    <cellStyle name="20% - 강조색2 5 2 2 2" xfId="4171"/>
    <cellStyle name="20% - 강조색2 5 2 2 2 2" xfId="4172"/>
    <cellStyle name="20% - 강조색2 5 2 2 2 2 2" xfId="4173"/>
    <cellStyle name="20% - 강조색2 5 2 2 2 2 3" xfId="4174"/>
    <cellStyle name="20% - 강조색2 5 2 2 2 3" xfId="4175"/>
    <cellStyle name="20% - 강조색2 5 2 2 2 4" xfId="4176"/>
    <cellStyle name="20% - 강조색2 5 2 2 3" xfId="4177"/>
    <cellStyle name="20% - 강조색2 5 2 2 3 2" xfId="4178"/>
    <cellStyle name="20% - 강조색2 5 2 2 3 3" xfId="4179"/>
    <cellStyle name="20% - 강조색2 5 2 2 4" xfId="4180"/>
    <cellStyle name="20% - 강조색2 5 2 2 5" xfId="4181"/>
    <cellStyle name="20% - 강조색2 5 2 3" xfId="4182"/>
    <cellStyle name="20% - 강조색2 5 2 3 2" xfId="4183"/>
    <cellStyle name="20% - 강조색2 5 2 3 2 2" xfId="4184"/>
    <cellStyle name="20% - 강조색2 5 2 3 2 2 2" xfId="4185"/>
    <cellStyle name="20% - 강조색2 5 2 3 2 2 3" xfId="4186"/>
    <cellStyle name="20% - 강조색2 5 2 3 2 3" xfId="4187"/>
    <cellStyle name="20% - 강조색2 5 2 3 2 4" xfId="4188"/>
    <cellStyle name="20% - 강조색2 5 2 3 3" xfId="4189"/>
    <cellStyle name="20% - 강조색2 5 2 3 3 2" xfId="4190"/>
    <cellStyle name="20% - 강조색2 5 2 3 3 3" xfId="4191"/>
    <cellStyle name="20% - 강조색2 5 2 3 4" xfId="4192"/>
    <cellStyle name="20% - 강조색2 5 2 3 5" xfId="4193"/>
    <cellStyle name="20% - 강조색2 5 2 4" xfId="4194"/>
    <cellStyle name="20% - 강조색2 5 2 4 2" xfId="4195"/>
    <cellStyle name="20% - 강조색2 5 2 4 2 2" xfId="4196"/>
    <cellStyle name="20% - 강조색2 5 2 4 2 3" xfId="4197"/>
    <cellStyle name="20% - 강조색2 5 2 4 3" xfId="4198"/>
    <cellStyle name="20% - 강조색2 5 2 4 4" xfId="4199"/>
    <cellStyle name="20% - 강조색2 5 2 5" xfId="4200"/>
    <cellStyle name="20% - 강조색2 5 2 5 2" xfId="4201"/>
    <cellStyle name="20% - 강조색2 5 2 5 3" xfId="4202"/>
    <cellStyle name="20% - 강조색2 5 2 6" xfId="4203"/>
    <cellStyle name="20% - 강조색2 5 2 7" xfId="4204"/>
    <cellStyle name="20% - 강조색2 5 3" xfId="4205"/>
    <cellStyle name="20% - 강조색2 5 3 2" xfId="4206"/>
    <cellStyle name="20% - 강조색2 5 3 2 2" xfId="4207"/>
    <cellStyle name="20% - 강조색2 5 3 2 2 2" xfId="4208"/>
    <cellStyle name="20% - 강조색2 5 3 2 2 2 2" xfId="4209"/>
    <cellStyle name="20% - 강조색2 5 3 2 2 2 3" xfId="4210"/>
    <cellStyle name="20% - 강조색2 5 3 2 2 3" xfId="4211"/>
    <cellStyle name="20% - 강조색2 5 3 2 2 4" xfId="4212"/>
    <cellStyle name="20% - 강조색2 5 3 2 3" xfId="4213"/>
    <cellStyle name="20% - 강조색2 5 3 2 3 2" xfId="4214"/>
    <cellStyle name="20% - 강조색2 5 3 2 3 3" xfId="4215"/>
    <cellStyle name="20% - 강조색2 5 3 2 4" xfId="4216"/>
    <cellStyle name="20% - 강조색2 5 3 2 5" xfId="4217"/>
    <cellStyle name="20% - 강조색2 5 3 3" xfId="4218"/>
    <cellStyle name="20% - 강조색2 5 3 3 2" xfId="4219"/>
    <cellStyle name="20% - 강조색2 5 3 3 2 2" xfId="4220"/>
    <cellStyle name="20% - 강조색2 5 3 3 2 2 2" xfId="4221"/>
    <cellStyle name="20% - 강조색2 5 3 3 2 2 3" xfId="4222"/>
    <cellStyle name="20% - 강조색2 5 3 3 2 3" xfId="4223"/>
    <cellStyle name="20% - 강조색2 5 3 3 2 4" xfId="4224"/>
    <cellStyle name="20% - 강조색2 5 3 3 3" xfId="4225"/>
    <cellStyle name="20% - 강조색2 5 3 3 3 2" xfId="4226"/>
    <cellStyle name="20% - 강조색2 5 3 3 3 3" xfId="4227"/>
    <cellStyle name="20% - 강조색2 5 3 3 4" xfId="4228"/>
    <cellStyle name="20% - 강조색2 5 3 3 5" xfId="4229"/>
    <cellStyle name="20% - 강조색2 5 3 4" xfId="4230"/>
    <cellStyle name="20% - 강조색2 5 3 4 2" xfId="4231"/>
    <cellStyle name="20% - 강조색2 5 3 4 2 2" xfId="4232"/>
    <cellStyle name="20% - 강조색2 5 3 4 2 3" xfId="4233"/>
    <cellStyle name="20% - 강조색2 5 3 4 3" xfId="4234"/>
    <cellStyle name="20% - 강조색2 5 3 4 4" xfId="4235"/>
    <cellStyle name="20% - 강조색2 5 3 5" xfId="4236"/>
    <cellStyle name="20% - 강조색2 5 3 5 2" xfId="4237"/>
    <cellStyle name="20% - 강조색2 5 3 5 3" xfId="4238"/>
    <cellStyle name="20% - 강조색2 5 3 6" xfId="4239"/>
    <cellStyle name="20% - 강조색2 5 3 7" xfId="4240"/>
    <cellStyle name="20% - 강조색2 5 4" xfId="4241"/>
    <cellStyle name="20% - 강조색2 5 4 2" xfId="4242"/>
    <cellStyle name="20% - 강조색2 5 4 2 2" xfId="4243"/>
    <cellStyle name="20% - 강조색2 5 4 2 2 2" xfId="4244"/>
    <cellStyle name="20% - 강조색2 5 4 2 2 3" xfId="4245"/>
    <cellStyle name="20% - 강조색2 5 4 2 3" xfId="4246"/>
    <cellStyle name="20% - 강조색2 5 4 2 4" xfId="4247"/>
    <cellStyle name="20% - 강조색2 5 4 3" xfId="4248"/>
    <cellStyle name="20% - 강조색2 5 4 3 2" xfId="4249"/>
    <cellStyle name="20% - 강조색2 5 4 3 3" xfId="4250"/>
    <cellStyle name="20% - 강조색2 5 4 4" xfId="4251"/>
    <cellStyle name="20% - 강조색2 5 4 5" xfId="4252"/>
    <cellStyle name="20% - 강조색2 5 5" xfId="4253"/>
    <cellStyle name="20% - 강조색2 5 5 2" xfId="4254"/>
    <cellStyle name="20% - 강조색2 5 5 2 2" xfId="4255"/>
    <cellStyle name="20% - 강조색2 5 5 2 2 2" xfId="4256"/>
    <cellStyle name="20% - 강조색2 5 5 2 2 3" xfId="4257"/>
    <cellStyle name="20% - 강조색2 5 5 2 3" xfId="4258"/>
    <cellStyle name="20% - 강조색2 5 5 2 4" xfId="4259"/>
    <cellStyle name="20% - 강조색2 5 5 3" xfId="4260"/>
    <cellStyle name="20% - 강조색2 5 5 3 2" xfId="4261"/>
    <cellStyle name="20% - 강조색2 5 5 3 3" xfId="4262"/>
    <cellStyle name="20% - 강조색2 5 5 4" xfId="4263"/>
    <cellStyle name="20% - 강조색2 5 5 5" xfId="4264"/>
    <cellStyle name="20% - 강조색2 5 6" xfId="4265"/>
    <cellStyle name="20% - 강조색2 5 6 2" xfId="4266"/>
    <cellStyle name="20% - 강조색2 5 6 2 2" xfId="4267"/>
    <cellStyle name="20% - 강조색2 5 6 2 2 2" xfId="4268"/>
    <cellStyle name="20% - 강조색2 5 6 2 2 3" xfId="4269"/>
    <cellStyle name="20% - 강조색2 5 6 2 3" xfId="4270"/>
    <cellStyle name="20% - 강조색2 5 6 2 4" xfId="4271"/>
    <cellStyle name="20% - 강조색2 5 6 3" xfId="4272"/>
    <cellStyle name="20% - 강조색2 5 6 3 2" xfId="4273"/>
    <cellStyle name="20% - 강조색2 5 6 3 3" xfId="4274"/>
    <cellStyle name="20% - 강조색2 5 6 4" xfId="4275"/>
    <cellStyle name="20% - 강조색2 5 6 5" xfId="4276"/>
    <cellStyle name="20% - 강조색2 5 7" xfId="4277"/>
    <cellStyle name="20% - 강조색2 5 7 2" xfId="4278"/>
    <cellStyle name="20% - 강조색2 5 7 2 2" xfId="4279"/>
    <cellStyle name="20% - 강조색2 5 7 2 3" xfId="4280"/>
    <cellStyle name="20% - 강조색2 5 7 3" xfId="4281"/>
    <cellStyle name="20% - 강조색2 5 7 4" xfId="4282"/>
    <cellStyle name="20% - 강조색2 5 8" xfId="4283"/>
    <cellStyle name="20% - 강조색2 5 8 2" xfId="4284"/>
    <cellStyle name="20% - 강조색2 5 8 3" xfId="4285"/>
    <cellStyle name="20% - 강조색2 5 9" xfId="4286"/>
    <cellStyle name="20% - 강조색2 50" xfId="4287"/>
    <cellStyle name="20% - 강조색2 51" xfId="4288"/>
    <cellStyle name="20% - 강조색2 52" xfId="4289"/>
    <cellStyle name="20% - 강조색2 53" xfId="4290"/>
    <cellStyle name="20% - 강조색2 54" xfId="4291"/>
    <cellStyle name="20% - 강조색2 55" xfId="4292"/>
    <cellStyle name="20% - 강조색2 56" xfId="4293"/>
    <cellStyle name="20% - 강조색2 57" xfId="4294"/>
    <cellStyle name="20% - 강조색2 58" xfId="4295"/>
    <cellStyle name="20% - 강조색2 59" xfId="4296"/>
    <cellStyle name="20% - 강조색2 6" xfId="4297"/>
    <cellStyle name="20% - 강조색2 6 10" xfId="4298"/>
    <cellStyle name="20% - 강조색2 6 2" xfId="4299"/>
    <cellStyle name="20% - 강조색2 6 2 2" xfId="4300"/>
    <cellStyle name="20% - 강조색2 6 2 2 2" xfId="4301"/>
    <cellStyle name="20% - 강조색2 6 2 2 2 2" xfId="4302"/>
    <cellStyle name="20% - 강조색2 6 2 2 2 2 2" xfId="4303"/>
    <cellStyle name="20% - 강조색2 6 2 2 2 2 3" xfId="4304"/>
    <cellStyle name="20% - 강조색2 6 2 2 2 3" xfId="4305"/>
    <cellStyle name="20% - 강조색2 6 2 2 2 4" xfId="4306"/>
    <cellStyle name="20% - 강조색2 6 2 2 3" xfId="4307"/>
    <cellStyle name="20% - 강조색2 6 2 2 3 2" xfId="4308"/>
    <cellStyle name="20% - 강조색2 6 2 2 3 3" xfId="4309"/>
    <cellStyle name="20% - 강조색2 6 2 2 4" xfId="4310"/>
    <cellStyle name="20% - 강조색2 6 2 2 5" xfId="4311"/>
    <cellStyle name="20% - 강조색2 6 2 3" xfId="4312"/>
    <cellStyle name="20% - 강조색2 6 2 3 2" xfId="4313"/>
    <cellStyle name="20% - 강조색2 6 2 3 2 2" xfId="4314"/>
    <cellStyle name="20% - 강조색2 6 2 3 2 2 2" xfId="4315"/>
    <cellStyle name="20% - 강조색2 6 2 3 2 2 3" xfId="4316"/>
    <cellStyle name="20% - 강조색2 6 2 3 2 3" xfId="4317"/>
    <cellStyle name="20% - 강조색2 6 2 3 2 4" xfId="4318"/>
    <cellStyle name="20% - 강조색2 6 2 3 3" xfId="4319"/>
    <cellStyle name="20% - 강조색2 6 2 3 3 2" xfId="4320"/>
    <cellStyle name="20% - 강조색2 6 2 3 3 3" xfId="4321"/>
    <cellStyle name="20% - 강조색2 6 2 3 4" xfId="4322"/>
    <cellStyle name="20% - 강조색2 6 2 3 5" xfId="4323"/>
    <cellStyle name="20% - 강조색2 6 2 4" xfId="4324"/>
    <cellStyle name="20% - 강조색2 6 2 4 2" xfId="4325"/>
    <cellStyle name="20% - 강조색2 6 2 4 2 2" xfId="4326"/>
    <cellStyle name="20% - 강조색2 6 2 4 2 3" xfId="4327"/>
    <cellStyle name="20% - 강조색2 6 2 4 3" xfId="4328"/>
    <cellStyle name="20% - 강조색2 6 2 4 4" xfId="4329"/>
    <cellStyle name="20% - 강조색2 6 2 5" xfId="4330"/>
    <cellStyle name="20% - 강조색2 6 2 5 2" xfId="4331"/>
    <cellStyle name="20% - 강조색2 6 2 5 3" xfId="4332"/>
    <cellStyle name="20% - 강조색2 6 2 6" xfId="4333"/>
    <cellStyle name="20% - 강조색2 6 2 7" xfId="4334"/>
    <cellStyle name="20% - 강조색2 6 3" xfId="4335"/>
    <cellStyle name="20% - 강조색2 6 3 2" xfId="4336"/>
    <cellStyle name="20% - 강조색2 6 3 2 2" xfId="4337"/>
    <cellStyle name="20% - 강조색2 6 3 2 2 2" xfId="4338"/>
    <cellStyle name="20% - 강조색2 6 3 2 2 2 2" xfId="4339"/>
    <cellStyle name="20% - 강조색2 6 3 2 2 2 3" xfId="4340"/>
    <cellStyle name="20% - 강조색2 6 3 2 2 3" xfId="4341"/>
    <cellStyle name="20% - 강조색2 6 3 2 2 4" xfId="4342"/>
    <cellStyle name="20% - 강조색2 6 3 2 3" xfId="4343"/>
    <cellStyle name="20% - 강조색2 6 3 2 3 2" xfId="4344"/>
    <cellStyle name="20% - 강조색2 6 3 2 3 3" xfId="4345"/>
    <cellStyle name="20% - 강조색2 6 3 2 4" xfId="4346"/>
    <cellStyle name="20% - 강조색2 6 3 2 5" xfId="4347"/>
    <cellStyle name="20% - 강조색2 6 3 3" xfId="4348"/>
    <cellStyle name="20% - 강조색2 6 3 3 2" xfId="4349"/>
    <cellStyle name="20% - 강조색2 6 3 3 2 2" xfId="4350"/>
    <cellStyle name="20% - 강조색2 6 3 3 2 2 2" xfId="4351"/>
    <cellStyle name="20% - 강조색2 6 3 3 2 2 3" xfId="4352"/>
    <cellStyle name="20% - 강조색2 6 3 3 2 3" xfId="4353"/>
    <cellStyle name="20% - 강조색2 6 3 3 2 4" xfId="4354"/>
    <cellStyle name="20% - 강조색2 6 3 3 3" xfId="4355"/>
    <cellStyle name="20% - 강조색2 6 3 3 3 2" xfId="4356"/>
    <cellStyle name="20% - 강조색2 6 3 3 3 3" xfId="4357"/>
    <cellStyle name="20% - 강조색2 6 3 3 4" xfId="4358"/>
    <cellStyle name="20% - 강조색2 6 3 3 5" xfId="4359"/>
    <cellStyle name="20% - 강조색2 6 3 4" xfId="4360"/>
    <cellStyle name="20% - 강조색2 6 3 4 2" xfId="4361"/>
    <cellStyle name="20% - 강조색2 6 3 4 2 2" xfId="4362"/>
    <cellStyle name="20% - 강조색2 6 3 4 2 3" xfId="4363"/>
    <cellStyle name="20% - 강조색2 6 3 4 3" xfId="4364"/>
    <cellStyle name="20% - 강조색2 6 3 4 4" xfId="4365"/>
    <cellStyle name="20% - 강조색2 6 3 5" xfId="4366"/>
    <cellStyle name="20% - 강조색2 6 3 5 2" xfId="4367"/>
    <cellStyle name="20% - 강조색2 6 3 5 3" xfId="4368"/>
    <cellStyle name="20% - 강조색2 6 3 6" xfId="4369"/>
    <cellStyle name="20% - 강조색2 6 3 7" xfId="4370"/>
    <cellStyle name="20% - 강조색2 6 4" xfId="4371"/>
    <cellStyle name="20% - 강조색2 6 4 2" xfId="4372"/>
    <cellStyle name="20% - 강조색2 6 4 2 2" xfId="4373"/>
    <cellStyle name="20% - 강조색2 6 4 2 2 2" xfId="4374"/>
    <cellStyle name="20% - 강조색2 6 4 2 2 3" xfId="4375"/>
    <cellStyle name="20% - 강조색2 6 4 2 3" xfId="4376"/>
    <cellStyle name="20% - 강조색2 6 4 2 4" xfId="4377"/>
    <cellStyle name="20% - 강조색2 6 4 3" xfId="4378"/>
    <cellStyle name="20% - 강조색2 6 4 3 2" xfId="4379"/>
    <cellStyle name="20% - 강조색2 6 4 3 3" xfId="4380"/>
    <cellStyle name="20% - 강조색2 6 4 4" xfId="4381"/>
    <cellStyle name="20% - 강조색2 6 4 5" xfId="4382"/>
    <cellStyle name="20% - 강조색2 6 5" xfId="4383"/>
    <cellStyle name="20% - 강조색2 6 5 2" xfId="4384"/>
    <cellStyle name="20% - 강조색2 6 5 2 2" xfId="4385"/>
    <cellStyle name="20% - 강조색2 6 5 2 2 2" xfId="4386"/>
    <cellStyle name="20% - 강조색2 6 5 2 2 3" xfId="4387"/>
    <cellStyle name="20% - 강조색2 6 5 2 3" xfId="4388"/>
    <cellStyle name="20% - 강조색2 6 5 2 4" xfId="4389"/>
    <cellStyle name="20% - 강조색2 6 5 3" xfId="4390"/>
    <cellStyle name="20% - 강조색2 6 5 3 2" xfId="4391"/>
    <cellStyle name="20% - 강조색2 6 5 3 3" xfId="4392"/>
    <cellStyle name="20% - 강조색2 6 5 4" xfId="4393"/>
    <cellStyle name="20% - 강조색2 6 5 5" xfId="4394"/>
    <cellStyle name="20% - 강조색2 6 6" xfId="4395"/>
    <cellStyle name="20% - 강조색2 6 6 2" xfId="4396"/>
    <cellStyle name="20% - 강조색2 6 6 2 2" xfId="4397"/>
    <cellStyle name="20% - 강조색2 6 6 2 2 2" xfId="4398"/>
    <cellStyle name="20% - 강조색2 6 6 2 2 3" xfId="4399"/>
    <cellStyle name="20% - 강조색2 6 6 2 3" xfId="4400"/>
    <cellStyle name="20% - 강조색2 6 6 2 4" xfId="4401"/>
    <cellStyle name="20% - 강조색2 6 6 3" xfId="4402"/>
    <cellStyle name="20% - 강조색2 6 6 3 2" xfId="4403"/>
    <cellStyle name="20% - 강조색2 6 6 3 3" xfId="4404"/>
    <cellStyle name="20% - 강조색2 6 6 4" xfId="4405"/>
    <cellStyle name="20% - 강조색2 6 6 5" xfId="4406"/>
    <cellStyle name="20% - 강조색2 6 7" xfId="4407"/>
    <cellStyle name="20% - 강조색2 6 7 2" xfId="4408"/>
    <cellStyle name="20% - 강조색2 6 7 2 2" xfId="4409"/>
    <cellStyle name="20% - 강조색2 6 7 2 3" xfId="4410"/>
    <cellStyle name="20% - 강조색2 6 7 3" xfId="4411"/>
    <cellStyle name="20% - 강조색2 6 7 4" xfId="4412"/>
    <cellStyle name="20% - 강조색2 6 8" xfId="4413"/>
    <cellStyle name="20% - 강조색2 6 8 2" xfId="4414"/>
    <cellStyle name="20% - 강조색2 6 8 3" xfId="4415"/>
    <cellStyle name="20% - 강조색2 6 9" xfId="4416"/>
    <cellStyle name="20% - 강조색2 60" xfId="4417"/>
    <cellStyle name="20% - 강조색2 61" xfId="4418"/>
    <cellStyle name="20% - 강조색2 62" xfId="4419"/>
    <cellStyle name="20% - 강조색2 63" xfId="4420"/>
    <cellStyle name="20% - 강조색2 64" xfId="4421"/>
    <cellStyle name="20% - 강조색2 65" xfId="4422"/>
    <cellStyle name="20% - 강조색2 66" xfId="4423"/>
    <cellStyle name="20% - 강조색2 67" xfId="4424"/>
    <cellStyle name="20% - 강조색2 68" xfId="4425"/>
    <cellStyle name="20% - 강조색2 69" xfId="4426"/>
    <cellStyle name="20% - 강조색2 7" xfId="4427"/>
    <cellStyle name="20% - 강조색2 7 10" xfId="4428"/>
    <cellStyle name="20% - 강조색2 7 2" xfId="4429"/>
    <cellStyle name="20% - 강조색2 7 2 2" xfId="4430"/>
    <cellStyle name="20% - 강조색2 7 2 2 2" xfId="4431"/>
    <cellStyle name="20% - 강조색2 7 2 2 2 2" xfId="4432"/>
    <cellStyle name="20% - 강조색2 7 2 2 2 2 2" xfId="4433"/>
    <cellStyle name="20% - 강조색2 7 2 2 2 2 3" xfId="4434"/>
    <cellStyle name="20% - 강조색2 7 2 2 2 3" xfId="4435"/>
    <cellStyle name="20% - 강조색2 7 2 2 2 4" xfId="4436"/>
    <cellStyle name="20% - 강조색2 7 2 2 3" xfId="4437"/>
    <cellStyle name="20% - 강조색2 7 2 2 3 2" xfId="4438"/>
    <cellStyle name="20% - 강조색2 7 2 2 3 3" xfId="4439"/>
    <cellStyle name="20% - 강조색2 7 2 2 4" xfId="4440"/>
    <cellStyle name="20% - 강조색2 7 2 2 5" xfId="4441"/>
    <cellStyle name="20% - 강조색2 7 2 3" xfId="4442"/>
    <cellStyle name="20% - 강조색2 7 2 3 2" xfId="4443"/>
    <cellStyle name="20% - 강조색2 7 2 3 2 2" xfId="4444"/>
    <cellStyle name="20% - 강조색2 7 2 3 2 2 2" xfId="4445"/>
    <cellStyle name="20% - 강조색2 7 2 3 2 2 3" xfId="4446"/>
    <cellStyle name="20% - 강조색2 7 2 3 2 3" xfId="4447"/>
    <cellStyle name="20% - 강조색2 7 2 3 2 4" xfId="4448"/>
    <cellStyle name="20% - 강조색2 7 2 3 3" xfId="4449"/>
    <cellStyle name="20% - 강조색2 7 2 3 3 2" xfId="4450"/>
    <cellStyle name="20% - 강조색2 7 2 3 3 3" xfId="4451"/>
    <cellStyle name="20% - 강조색2 7 2 3 4" xfId="4452"/>
    <cellStyle name="20% - 강조색2 7 2 3 5" xfId="4453"/>
    <cellStyle name="20% - 강조색2 7 2 4" xfId="4454"/>
    <cellStyle name="20% - 강조색2 7 2 4 2" xfId="4455"/>
    <cellStyle name="20% - 강조색2 7 2 4 2 2" xfId="4456"/>
    <cellStyle name="20% - 강조색2 7 2 4 2 3" xfId="4457"/>
    <cellStyle name="20% - 강조색2 7 2 4 3" xfId="4458"/>
    <cellStyle name="20% - 강조색2 7 2 4 4" xfId="4459"/>
    <cellStyle name="20% - 강조색2 7 2 5" xfId="4460"/>
    <cellStyle name="20% - 강조색2 7 2 5 2" xfId="4461"/>
    <cellStyle name="20% - 강조색2 7 2 5 3" xfId="4462"/>
    <cellStyle name="20% - 강조색2 7 2 6" xfId="4463"/>
    <cellStyle name="20% - 강조색2 7 2 7" xfId="4464"/>
    <cellStyle name="20% - 강조색2 7 3" xfId="4465"/>
    <cellStyle name="20% - 강조색2 7 3 2" xfId="4466"/>
    <cellStyle name="20% - 강조색2 7 3 2 2" xfId="4467"/>
    <cellStyle name="20% - 강조색2 7 3 2 2 2" xfId="4468"/>
    <cellStyle name="20% - 강조색2 7 3 2 2 2 2" xfId="4469"/>
    <cellStyle name="20% - 강조색2 7 3 2 2 2 3" xfId="4470"/>
    <cellStyle name="20% - 강조색2 7 3 2 2 3" xfId="4471"/>
    <cellStyle name="20% - 강조색2 7 3 2 2 4" xfId="4472"/>
    <cellStyle name="20% - 강조색2 7 3 2 3" xfId="4473"/>
    <cellStyle name="20% - 강조색2 7 3 2 3 2" xfId="4474"/>
    <cellStyle name="20% - 강조색2 7 3 2 3 3" xfId="4475"/>
    <cellStyle name="20% - 강조색2 7 3 2 4" xfId="4476"/>
    <cellStyle name="20% - 강조색2 7 3 2 5" xfId="4477"/>
    <cellStyle name="20% - 강조색2 7 3 3" xfId="4478"/>
    <cellStyle name="20% - 강조색2 7 3 3 2" xfId="4479"/>
    <cellStyle name="20% - 강조색2 7 3 3 2 2" xfId="4480"/>
    <cellStyle name="20% - 강조색2 7 3 3 2 2 2" xfId="4481"/>
    <cellStyle name="20% - 강조색2 7 3 3 2 2 3" xfId="4482"/>
    <cellStyle name="20% - 강조색2 7 3 3 2 3" xfId="4483"/>
    <cellStyle name="20% - 강조색2 7 3 3 2 4" xfId="4484"/>
    <cellStyle name="20% - 강조색2 7 3 3 3" xfId="4485"/>
    <cellStyle name="20% - 강조색2 7 3 3 3 2" xfId="4486"/>
    <cellStyle name="20% - 강조색2 7 3 3 3 3" xfId="4487"/>
    <cellStyle name="20% - 강조색2 7 3 3 4" xfId="4488"/>
    <cellStyle name="20% - 강조색2 7 3 3 5" xfId="4489"/>
    <cellStyle name="20% - 강조색2 7 3 4" xfId="4490"/>
    <cellStyle name="20% - 강조색2 7 3 4 2" xfId="4491"/>
    <cellStyle name="20% - 강조색2 7 3 4 2 2" xfId="4492"/>
    <cellStyle name="20% - 강조색2 7 3 4 2 3" xfId="4493"/>
    <cellStyle name="20% - 강조색2 7 3 4 3" xfId="4494"/>
    <cellStyle name="20% - 강조색2 7 3 4 4" xfId="4495"/>
    <cellStyle name="20% - 강조색2 7 3 5" xfId="4496"/>
    <cellStyle name="20% - 강조색2 7 3 5 2" xfId="4497"/>
    <cellStyle name="20% - 강조색2 7 3 5 3" xfId="4498"/>
    <cellStyle name="20% - 강조색2 7 3 6" xfId="4499"/>
    <cellStyle name="20% - 강조색2 7 3 7" xfId="4500"/>
    <cellStyle name="20% - 강조색2 7 4" xfId="4501"/>
    <cellStyle name="20% - 강조색2 7 4 2" xfId="4502"/>
    <cellStyle name="20% - 강조색2 7 4 2 2" xfId="4503"/>
    <cellStyle name="20% - 강조색2 7 4 2 2 2" xfId="4504"/>
    <cellStyle name="20% - 강조색2 7 4 2 2 3" xfId="4505"/>
    <cellStyle name="20% - 강조색2 7 4 2 3" xfId="4506"/>
    <cellStyle name="20% - 강조색2 7 4 2 4" xfId="4507"/>
    <cellStyle name="20% - 강조색2 7 4 3" xfId="4508"/>
    <cellStyle name="20% - 강조색2 7 4 3 2" xfId="4509"/>
    <cellStyle name="20% - 강조색2 7 4 3 3" xfId="4510"/>
    <cellStyle name="20% - 강조색2 7 4 4" xfId="4511"/>
    <cellStyle name="20% - 강조색2 7 4 5" xfId="4512"/>
    <cellStyle name="20% - 강조색2 7 5" xfId="4513"/>
    <cellStyle name="20% - 강조색2 7 5 2" xfId="4514"/>
    <cellStyle name="20% - 강조색2 7 5 2 2" xfId="4515"/>
    <cellStyle name="20% - 강조색2 7 5 2 2 2" xfId="4516"/>
    <cellStyle name="20% - 강조색2 7 5 2 2 3" xfId="4517"/>
    <cellStyle name="20% - 강조색2 7 5 2 3" xfId="4518"/>
    <cellStyle name="20% - 강조색2 7 5 2 4" xfId="4519"/>
    <cellStyle name="20% - 강조색2 7 5 3" xfId="4520"/>
    <cellStyle name="20% - 강조색2 7 5 3 2" xfId="4521"/>
    <cellStyle name="20% - 강조색2 7 5 3 3" xfId="4522"/>
    <cellStyle name="20% - 강조색2 7 5 4" xfId="4523"/>
    <cellStyle name="20% - 강조색2 7 5 5" xfId="4524"/>
    <cellStyle name="20% - 강조색2 7 6" xfId="4525"/>
    <cellStyle name="20% - 강조색2 7 6 2" xfId="4526"/>
    <cellStyle name="20% - 강조색2 7 6 2 2" xfId="4527"/>
    <cellStyle name="20% - 강조색2 7 6 2 2 2" xfId="4528"/>
    <cellStyle name="20% - 강조색2 7 6 2 2 3" xfId="4529"/>
    <cellStyle name="20% - 강조색2 7 6 2 3" xfId="4530"/>
    <cellStyle name="20% - 강조색2 7 6 2 4" xfId="4531"/>
    <cellStyle name="20% - 강조색2 7 6 3" xfId="4532"/>
    <cellStyle name="20% - 강조색2 7 6 3 2" xfId="4533"/>
    <cellStyle name="20% - 강조색2 7 6 3 3" xfId="4534"/>
    <cellStyle name="20% - 강조색2 7 6 4" xfId="4535"/>
    <cellStyle name="20% - 강조색2 7 6 5" xfId="4536"/>
    <cellStyle name="20% - 강조색2 7 7" xfId="4537"/>
    <cellStyle name="20% - 강조색2 7 7 2" xfId="4538"/>
    <cellStyle name="20% - 강조색2 7 7 2 2" xfId="4539"/>
    <cellStyle name="20% - 강조색2 7 7 2 3" xfId="4540"/>
    <cellStyle name="20% - 강조색2 7 7 3" xfId="4541"/>
    <cellStyle name="20% - 강조색2 7 7 4" xfId="4542"/>
    <cellStyle name="20% - 강조색2 7 8" xfId="4543"/>
    <cellStyle name="20% - 강조색2 7 8 2" xfId="4544"/>
    <cellStyle name="20% - 강조색2 7 8 3" xfId="4545"/>
    <cellStyle name="20% - 강조색2 7 9" xfId="4546"/>
    <cellStyle name="20% - 강조색2 8" xfId="4547"/>
    <cellStyle name="20% - 강조색2 8 2" xfId="4548"/>
    <cellStyle name="20% - 강조색2 8 2 2" xfId="4549"/>
    <cellStyle name="20% - 강조색2 8 2 2 2" xfId="4550"/>
    <cellStyle name="20% - 강조색2 8 2 2 2 2" xfId="4551"/>
    <cellStyle name="20% - 강조색2 8 2 2 2 3" xfId="4552"/>
    <cellStyle name="20% - 강조색2 8 2 2 3" xfId="4553"/>
    <cellStyle name="20% - 강조색2 8 2 2 4" xfId="4554"/>
    <cellStyle name="20% - 강조색2 8 2 3" xfId="4555"/>
    <cellStyle name="20% - 강조색2 8 2 3 2" xfId="4556"/>
    <cellStyle name="20% - 강조색2 8 2 3 3" xfId="4557"/>
    <cellStyle name="20% - 강조색2 8 2 4" xfId="4558"/>
    <cellStyle name="20% - 강조색2 8 2 5" xfId="4559"/>
    <cellStyle name="20% - 강조색2 8 3" xfId="4560"/>
    <cellStyle name="20% - 강조색2 8 3 2" xfId="4561"/>
    <cellStyle name="20% - 강조색2 8 3 2 2" xfId="4562"/>
    <cellStyle name="20% - 강조색2 8 3 2 2 2" xfId="4563"/>
    <cellStyle name="20% - 강조색2 8 3 2 2 3" xfId="4564"/>
    <cellStyle name="20% - 강조색2 8 3 2 3" xfId="4565"/>
    <cellStyle name="20% - 강조색2 8 3 2 4" xfId="4566"/>
    <cellStyle name="20% - 강조색2 8 3 3" xfId="4567"/>
    <cellStyle name="20% - 강조색2 8 3 3 2" xfId="4568"/>
    <cellStyle name="20% - 강조색2 8 3 3 3" xfId="4569"/>
    <cellStyle name="20% - 강조색2 8 3 4" xfId="4570"/>
    <cellStyle name="20% - 강조색2 8 3 5" xfId="4571"/>
    <cellStyle name="20% - 강조색2 8 4" xfId="4572"/>
    <cellStyle name="20% - 강조색2 8 4 2" xfId="4573"/>
    <cellStyle name="20% - 강조색2 8 4 2 2" xfId="4574"/>
    <cellStyle name="20% - 강조색2 8 4 2 3" xfId="4575"/>
    <cellStyle name="20% - 강조색2 8 4 3" xfId="4576"/>
    <cellStyle name="20% - 강조색2 8 4 4" xfId="4577"/>
    <cellStyle name="20% - 강조색2 8 5" xfId="4578"/>
    <cellStyle name="20% - 강조색2 8 5 2" xfId="4579"/>
    <cellStyle name="20% - 강조색2 8 5 3" xfId="4580"/>
    <cellStyle name="20% - 강조색2 8 6" xfId="4581"/>
    <cellStyle name="20% - 강조색2 8 7" xfId="4582"/>
    <cellStyle name="20% - 강조색2 9" xfId="4583"/>
    <cellStyle name="20% - 강조색2 9 2" xfId="4584"/>
    <cellStyle name="20% - 강조색2 9 2 2" xfId="4585"/>
    <cellStyle name="20% - 강조색2 9 2 2 2" xfId="4586"/>
    <cellStyle name="20% - 강조색2 9 2 2 2 2" xfId="4587"/>
    <cellStyle name="20% - 강조색2 9 2 2 2 3" xfId="4588"/>
    <cellStyle name="20% - 강조색2 9 2 2 3" xfId="4589"/>
    <cellStyle name="20% - 강조색2 9 2 2 4" xfId="4590"/>
    <cellStyle name="20% - 강조색2 9 2 3" xfId="4591"/>
    <cellStyle name="20% - 강조색2 9 2 3 2" xfId="4592"/>
    <cellStyle name="20% - 강조색2 9 2 3 3" xfId="4593"/>
    <cellStyle name="20% - 강조색2 9 2 4" xfId="4594"/>
    <cellStyle name="20% - 강조색2 9 2 5" xfId="4595"/>
    <cellStyle name="20% - 강조색2 9 3" xfId="4596"/>
    <cellStyle name="20% - 강조색2 9 3 2" xfId="4597"/>
    <cellStyle name="20% - 강조색2 9 3 2 2" xfId="4598"/>
    <cellStyle name="20% - 강조색2 9 3 2 2 2" xfId="4599"/>
    <cellStyle name="20% - 강조색2 9 3 2 2 3" xfId="4600"/>
    <cellStyle name="20% - 강조색2 9 3 2 3" xfId="4601"/>
    <cellStyle name="20% - 강조색2 9 3 2 4" xfId="4602"/>
    <cellStyle name="20% - 강조색2 9 3 3" xfId="4603"/>
    <cellStyle name="20% - 강조색2 9 3 3 2" xfId="4604"/>
    <cellStyle name="20% - 강조색2 9 3 3 3" xfId="4605"/>
    <cellStyle name="20% - 강조색2 9 3 4" xfId="4606"/>
    <cellStyle name="20% - 강조색2 9 3 5" xfId="4607"/>
    <cellStyle name="20% - 강조색2 9 4" xfId="4608"/>
    <cellStyle name="20% - 강조색2 9 4 2" xfId="4609"/>
    <cellStyle name="20% - 강조색2 9 4 2 2" xfId="4610"/>
    <cellStyle name="20% - 강조색2 9 4 2 3" xfId="4611"/>
    <cellStyle name="20% - 강조색2 9 4 3" xfId="4612"/>
    <cellStyle name="20% - 강조색2 9 4 4" xfId="4613"/>
    <cellStyle name="20% - 강조색2 9 5" xfId="4614"/>
    <cellStyle name="20% - 강조색2 9 5 2" xfId="4615"/>
    <cellStyle name="20% - 강조색2 9 5 3" xfId="4616"/>
    <cellStyle name="20% - 강조색2 9 6" xfId="4617"/>
    <cellStyle name="20% - 강조색2 9 7" xfId="4618"/>
    <cellStyle name="20% - 강조색3 10" xfId="4619"/>
    <cellStyle name="20% - 강조색3 10 2" xfId="4620"/>
    <cellStyle name="20% - 강조색3 10 2 2" xfId="4621"/>
    <cellStyle name="20% - 강조색3 10 2 2 2" xfId="4622"/>
    <cellStyle name="20% - 강조색3 10 2 2 2 2" xfId="4623"/>
    <cellStyle name="20% - 강조색3 10 2 2 2 3" xfId="4624"/>
    <cellStyle name="20% - 강조색3 10 2 2 3" xfId="4625"/>
    <cellStyle name="20% - 강조색3 10 2 2 4" xfId="4626"/>
    <cellStyle name="20% - 강조색3 10 2 3" xfId="4627"/>
    <cellStyle name="20% - 강조색3 10 2 3 2" xfId="4628"/>
    <cellStyle name="20% - 강조색3 10 2 3 3" xfId="4629"/>
    <cellStyle name="20% - 강조색3 10 2 4" xfId="4630"/>
    <cellStyle name="20% - 강조색3 10 2 5" xfId="4631"/>
    <cellStyle name="20% - 강조색3 10 3" xfId="4632"/>
    <cellStyle name="20% - 강조색3 10 3 2" xfId="4633"/>
    <cellStyle name="20% - 강조색3 10 3 2 2" xfId="4634"/>
    <cellStyle name="20% - 강조색3 10 3 2 2 2" xfId="4635"/>
    <cellStyle name="20% - 강조색3 10 3 2 2 3" xfId="4636"/>
    <cellStyle name="20% - 강조색3 10 3 2 3" xfId="4637"/>
    <cellStyle name="20% - 강조색3 10 3 2 4" xfId="4638"/>
    <cellStyle name="20% - 강조색3 10 3 3" xfId="4639"/>
    <cellStyle name="20% - 강조색3 10 3 3 2" xfId="4640"/>
    <cellStyle name="20% - 강조색3 10 3 3 3" xfId="4641"/>
    <cellStyle name="20% - 강조색3 10 3 4" xfId="4642"/>
    <cellStyle name="20% - 강조색3 10 3 5" xfId="4643"/>
    <cellStyle name="20% - 강조색3 10 4" xfId="4644"/>
    <cellStyle name="20% - 강조색3 10 4 2" xfId="4645"/>
    <cellStyle name="20% - 강조색3 10 4 2 2" xfId="4646"/>
    <cellStyle name="20% - 강조색3 10 4 2 3" xfId="4647"/>
    <cellStyle name="20% - 강조색3 10 4 3" xfId="4648"/>
    <cellStyle name="20% - 강조색3 10 4 4" xfId="4649"/>
    <cellStyle name="20% - 강조색3 10 5" xfId="4650"/>
    <cellStyle name="20% - 강조색3 10 5 2" xfId="4651"/>
    <cellStyle name="20% - 강조색3 10 5 3" xfId="4652"/>
    <cellStyle name="20% - 강조색3 10 6" xfId="4653"/>
    <cellStyle name="20% - 강조색3 10 7" xfId="4654"/>
    <cellStyle name="20% - 강조색3 11" xfId="4655"/>
    <cellStyle name="20% - 강조색3 11 2" xfId="4656"/>
    <cellStyle name="20% - 강조색3 11 2 2" xfId="4657"/>
    <cellStyle name="20% - 강조색3 11 2 2 2" xfId="4658"/>
    <cellStyle name="20% - 강조색3 11 2 2 3" xfId="4659"/>
    <cellStyle name="20% - 강조색3 11 2 3" xfId="4660"/>
    <cellStyle name="20% - 강조색3 11 2 4" xfId="4661"/>
    <cellStyle name="20% - 강조색3 11 3" xfId="4662"/>
    <cellStyle name="20% - 강조색3 11 3 2" xfId="4663"/>
    <cellStyle name="20% - 강조색3 11 3 3" xfId="4664"/>
    <cellStyle name="20% - 강조색3 11 4" xfId="4665"/>
    <cellStyle name="20% - 강조색3 11 5" xfId="4666"/>
    <cellStyle name="20% - 강조색3 12" xfId="4667"/>
    <cellStyle name="20% - 강조색3 12 2" xfId="4668"/>
    <cellStyle name="20% - 강조색3 12 2 2" xfId="4669"/>
    <cellStyle name="20% - 강조색3 12 2 2 2" xfId="4670"/>
    <cellStyle name="20% - 강조색3 12 2 2 3" xfId="4671"/>
    <cellStyle name="20% - 강조색3 12 2 3" xfId="4672"/>
    <cellStyle name="20% - 강조색3 12 2 4" xfId="4673"/>
    <cellStyle name="20% - 강조색3 12 3" xfId="4674"/>
    <cellStyle name="20% - 강조색3 12 3 2" xfId="4675"/>
    <cellStyle name="20% - 강조색3 12 3 3" xfId="4676"/>
    <cellStyle name="20% - 강조색3 12 4" xfId="4677"/>
    <cellStyle name="20% - 강조색3 12 5" xfId="4678"/>
    <cellStyle name="20% - 강조색3 13" xfId="4679"/>
    <cellStyle name="20% - 강조색3 13 2" xfId="4680"/>
    <cellStyle name="20% - 강조색3 13 2 2" xfId="4681"/>
    <cellStyle name="20% - 강조색3 13 2 3" xfId="4682"/>
    <cellStyle name="20% - 강조색3 13 3" xfId="4683"/>
    <cellStyle name="20% - 강조색3 13 4" xfId="4684"/>
    <cellStyle name="20% - 강조색3 14" xfId="4685"/>
    <cellStyle name="20% - 강조색3 14 2" xfId="4686"/>
    <cellStyle name="20% - 강조색3 14 2 2" xfId="4687"/>
    <cellStyle name="20% - 강조색3 14 2 3" xfId="4688"/>
    <cellStyle name="20% - 강조색3 14 3" xfId="4689"/>
    <cellStyle name="20% - 강조색3 14 4" xfId="4690"/>
    <cellStyle name="20% - 강조색3 15" xfId="4691"/>
    <cellStyle name="20% - 강조색3 15 2" xfId="4692"/>
    <cellStyle name="20% - 강조색3 15 3" xfId="4693"/>
    <cellStyle name="20% - 강조색3 16" xfId="4694"/>
    <cellStyle name="20% - 강조색3 16 2" xfId="4695"/>
    <cellStyle name="20% - 강조색3 16 3" xfId="4696"/>
    <cellStyle name="20% - 강조색3 16 4" xfId="4697"/>
    <cellStyle name="20% - 강조색3 17" xfId="4698"/>
    <cellStyle name="20% - 강조색3 17 2" xfId="4699"/>
    <cellStyle name="20% - 강조색3 17 3" xfId="4700"/>
    <cellStyle name="20% - 강조색3 18" xfId="4701"/>
    <cellStyle name="20% - 강조색3 18 2" xfId="4702"/>
    <cellStyle name="20% - 강조색3 18 3" xfId="4703"/>
    <cellStyle name="20% - 강조색3 19" xfId="4704"/>
    <cellStyle name="20% - 강조색3 19 2" xfId="4705"/>
    <cellStyle name="20% - 강조색3 19 3" xfId="4706"/>
    <cellStyle name="20% - 강조색3 2" xfId="4707"/>
    <cellStyle name="20% - 강조색3 2 2" xfId="4708"/>
    <cellStyle name="20% - 강조색3 2 2 2" xfId="4709"/>
    <cellStyle name="20% - 강조색3 2 2 2 2" xfId="4710"/>
    <cellStyle name="20% - 강조색3 2 2 3" xfId="4711"/>
    <cellStyle name="20% - 강조색3 2 3" xfId="4712"/>
    <cellStyle name="20% - 강조색3 2 3 2" xfId="4713"/>
    <cellStyle name="20% - 강조색3 2 3 2 2" xfId="4714"/>
    <cellStyle name="20% - 강조색3 2 3 3" xfId="4715"/>
    <cellStyle name="20% - 강조색3 2 4" xfId="4716"/>
    <cellStyle name="20% - 강조색3 2 4 2" xfId="4717"/>
    <cellStyle name="20% - 강조색3 2 5" xfId="4718"/>
    <cellStyle name="20% - 강조색3 2 6" xfId="4719"/>
    <cellStyle name="20% - 강조색3 20" xfId="4720"/>
    <cellStyle name="20% - 강조색3 20 2" xfId="4721"/>
    <cellStyle name="20% - 강조색3 20 3" xfId="4722"/>
    <cellStyle name="20% - 강조색3 21" xfId="4723"/>
    <cellStyle name="20% - 강조색3 21 2" xfId="4724"/>
    <cellStyle name="20% - 강조색3 21 3" xfId="4725"/>
    <cellStyle name="20% - 강조색3 22" xfId="4726"/>
    <cellStyle name="20% - 강조색3 22 2" xfId="4727"/>
    <cellStyle name="20% - 강조색3 22 3" xfId="4728"/>
    <cellStyle name="20% - 강조색3 23" xfId="4729"/>
    <cellStyle name="20% - 강조색3 23 2" xfId="4730"/>
    <cellStyle name="20% - 강조색3 23 3" xfId="4731"/>
    <cellStyle name="20% - 강조색3 24" xfId="4732"/>
    <cellStyle name="20% - 강조색3 24 2" xfId="4733"/>
    <cellStyle name="20% - 강조색3 25" xfId="4734"/>
    <cellStyle name="20% - 강조색3 25 2" xfId="4735"/>
    <cellStyle name="20% - 강조색3 26" xfId="4736"/>
    <cellStyle name="20% - 강조색3 26 2" xfId="4737"/>
    <cellStyle name="20% - 강조색3 27" xfId="4738"/>
    <cellStyle name="20% - 강조색3 27 2" xfId="4739"/>
    <cellStyle name="20% - 강조색3 28" xfId="4740"/>
    <cellStyle name="20% - 강조색3 28 2" xfId="4741"/>
    <cellStyle name="20% - 강조색3 29" xfId="4742"/>
    <cellStyle name="20% - 강조색3 29 2" xfId="4743"/>
    <cellStyle name="20% - 강조색3 3" xfId="4744"/>
    <cellStyle name="20% - 강조색3 3 10" xfId="4745"/>
    <cellStyle name="20% - 강조색3 3 10 2" xfId="4746"/>
    <cellStyle name="20% - 강조색3 3 10 2 2" xfId="4747"/>
    <cellStyle name="20% - 강조색3 3 10 2 3" xfId="4748"/>
    <cellStyle name="20% - 강조색3 3 10 3" xfId="4749"/>
    <cellStyle name="20% - 강조색3 3 10 4" xfId="4750"/>
    <cellStyle name="20% - 강조색3 3 11" xfId="4751"/>
    <cellStyle name="20% - 강조색3 3 11 2" xfId="4752"/>
    <cellStyle name="20% - 강조색3 3 11 3" xfId="4753"/>
    <cellStyle name="20% - 강조색3 3 12" xfId="4754"/>
    <cellStyle name="20% - 강조색3 3 13" xfId="4755"/>
    <cellStyle name="20% - 강조색3 3 14" xfId="4756"/>
    <cellStyle name="20% - 강조색3 3 15" xfId="4757"/>
    <cellStyle name="20% - 강조색3 3 2" xfId="4758"/>
    <cellStyle name="20% - 강조색3 3 2 10" xfId="4759"/>
    <cellStyle name="20% - 강조색3 3 2 11" xfId="4760"/>
    <cellStyle name="20% - 강조색3 3 2 12" xfId="4761"/>
    <cellStyle name="20% - 강조색3 3 2 2" xfId="4762"/>
    <cellStyle name="20% - 강조색3 3 2 2 2" xfId="4763"/>
    <cellStyle name="20% - 강조색3 3 2 2 2 2" xfId="4764"/>
    <cellStyle name="20% - 강조색3 3 2 2 2 2 2" xfId="4765"/>
    <cellStyle name="20% - 강조색3 3 2 2 2 2 2 2" xfId="4766"/>
    <cellStyle name="20% - 강조색3 3 2 2 2 2 2 3" xfId="4767"/>
    <cellStyle name="20% - 강조색3 3 2 2 2 2 3" xfId="4768"/>
    <cellStyle name="20% - 강조색3 3 2 2 2 2 4" xfId="4769"/>
    <cellStyle name="20% - 강조색3 3 2 2 2 3" xfId="4770"/>
    <cellStyle name="20% - 강조색3 3 2 2 2 3 2" xfId="4771"/>
    <cellStyle name="20% - 강조색3 3 2 2 2 3 3" xfId="4772"/>
    <cellStyle name="20% - 강조색3 3 2 2 2 4" xfId="4773"/>
    <cellStyle name="20% - 강조색3 3 2 2 2 5" xfId="4774"/>
    <cellStyle name="20% - 강조색3 3 2 2 3" xfId="4775"/>
    <cellStyle name="20% - 강조색3 3 2 2 3 2" xfId="4776"/>
    <cellStyle name="20% - 강조색3 3 2 2 3 2 2" xfId="4777"/>
    <cellStyle name="20% - 강조색3 3 2 2 3 2 2 2" xfId="4778"/>
    <cellStyle name="20% - 강조색3 3 2 2 3 2 2 3" xfId="4779"/>
    <cellStyle name="20% - 강조색3 3 2 2 3 2 3" xfId="4780"/>
    <cellStyle name="20% - 강조색3 3 2 2 3 2 4" xfId="4781"/>
    <cellStyle name="20% - 강조색3 3 2 2 3 3" xfId="4782"/>
    <cellStyle name="20% - 강조색3 3 2 2 3 3 2" xfId="4783"/>
    <cellStyle name="20% - 강조색3 3 2 2 3 3 3" xfId="4784"/>
    <cellStyle name="20% - 강조색3 3 2 2 3 4" xfId="4785"/>
    <cellStyle name="20% - 강조색3 3 2 2 3 5" xfId="4786"/>
    <cellStyle name="20% - 강조색3 3 2 2 4" xfId="4787"/>
    <cellStyle name="20% - 강조색3 3 2 2 4 2" xfId="4788"/>
    <cellStyle name="20% - 강조색3 3 2 2 4 2 2" xfId="4789"/>
    <cellStyle name="20% - 강조색3 3 2 2 4 2 3" xfId="4790"/>
    <cellStyle name="20% - 강조색3 3 2 2 4 3" xfId="4791"/>
    <cellStyle name="20% - 강조색3 3 2 2 4 4" xfId="4792"/>
    <cellStyle name="20% - 강조색3 3 2 2 5" xfId="4793"/>
    <cellStyle name="20% - 강조색3 3 2 2 5 2" xfId="4794"/>
    <cellStyle name="20% - 강조색3 3 2 2 5 3" xfId="4795"/>
    <cellStyle name="20% - 강조색3 3 2 2 6" xfId="4796"/>
    <cellStyle name="20% - 강조색3 3 2 2 7" xfId="4797"/>
    <cellStyle name="20% - 강조색3 3 2 2 8" xfId="4798"/>
    <cellStyle name="20% - 강조색3 3 2 2 9" xfId="4799"/>
    <cellStyle name="20% - 강조색3 3 2 3" xfId="4800"/>
    <cellStyle name="20% - 강조색3 3 2 3 2" xfId="4801"/>
    <cellStyle name="20% - 강조색3 3 2 3 2 2" xfId="4802"/>
    <cellStyle name="20% - 강조색3 3 2 3 2 2 2" xfId="4803"/>
    <cellStyle name="20% - 강조색3 3 2 3 2 2 2 2" xfId="4804"/>
    <cellStyle name="20% - 강조색3 3 2 3 2 2 2 3" xfId="4805"/>
    <cellStyle name="20% - 강조색3 3 2 3 2 2 3" xfId="4806"/>
    <cellStyle name="20% - 강조색3 3 2 3 2 2 4" xfId="4807"/>
    <cellStyle name="20% - 강조색3 3 2 3 2 3" xfId="4808"/>
    <cellStyle name="20% - 강조색3 3 2 3 2 3 2" xfId="4809"/>
    <cellStyle name="20% - 강조색3 3 2 3 2 3 3" xfId="4810"/>
    <cellStyle name="20% - 강조색3 3 2 3 2 4" xfId="4811"/>
    <cellStyle name="20% - 강조색3 3 2 3 2 5" xfId="4812"/>
    <cellStyle name="20% - 강조색3 3 2 3 3" xfId="4813"/>
    <cellStyle name="20% - 강조색3 3 2 3 3 2" xfId="4814"/>
    <cellStyle name="20% - 강조색3 3 2 3 3 2 2" xfId="4815"/>
    <cellStyle name="20% - 강조색3 3 2 3 3 2 2 2" xfId="4816"/>
    <cellStyle name="20% - 강조색3 3 2 3 3 2 2 3" xfId="4817"/>
    <cellStyle name="20% - 강조색3 3 2 3 3 2 3" xfId="4818"/>
    <cellStyle name="20% - 강조색3 3 2 3 3 2 4" xfId="4819"/>
    <cellStyle name="20% - 강조색3 3 2 3 3 3" xfId="4820"/>
    <cellStyle name="20% - 강조색3 3 2 3 3 3 2" xfId="4821"/>
    <cellStyle name="20% - 강조색3 3 2 3 3 3 3" xfId="4822"/>
    <cellStyle name="20% - 강조색3 3 2 3 3 4" xfId="4823"/>
    <cellStyle name="20% - 강조색3 3 2 3 3 5" xfId="4824"/>
    <cellStyle name="20% - 강조색3 3 2 3 4" xfId="4825"/>
    <cellStyle name="20% - 강조색3 3 2 3 4 2" xfId="4826"/>
    <cellStyle name="20% - 강조색3 3 2 3 4 2 2" xfId="4827"/>
    <cellStyle name="20% - 강조색3 3 2 3 4 2 3" xfId="4828"/>
    <cellStyle name="20% - 강조색3 3 2 3 4 3" xfId="4829"/>
    <cellStyle name="20% - 강조색3 3 2 3 4 4" xfId="4830"/>
    <cellStyle name="20% - 강조색3 3 2 3 5" xfId="4831"/>
    <cellStyle name="20% - 강조색3 3 2 3 5 2" xfId="4832"/>
    <cellStyle name="20% - 강조색3 3 2 3 5 3" xfId="4833"/>
    <cellStyle name="20% - 강조색3 3 2 3 6" xfId="4834"/>
    <cellStyle name="20% - 강조색3 3 2 3 7" xfId="4835"/>
    <cellStyle name="20% - 강조색3 3 2 4" xfId="4836"/>
    <cellStyle name="20% - 강조색3 3 2 4 2" xfId="4837"/>
    <cellStyle name="20% - 강조색3 3 2 4 2 2" xfId="4838"/>
    <cellStyle name="20% - 강조색3 3 2 4 2 2 2" xfId="4839"/>
    <cellStyle name="20% - 강조색3 3 2 4 2 2 3" xfId="4840"/>
    <cellStyle name="20% - 강조색3 3 2 4 2 3" xfId="4841"/>
    <cellStyle name="20% - 강조색3 3 2 4 2 4" xfId="4842"/>
    <cellStyle name="20% - 강조색3 3 2 4 3" xfId="4843"/>
    <cellStyle name="20% - 강조색3 3 2 4 3 2" xfId="4844"/>
    <cellStyle name="20% - 강조색3 3 2 4 3 3" xfId="4845"/>
    <cellStyle name="20% - 강조색3 3 2 4 4" xfId="4846"/>
    <cellStyle name="20% - 강조색3 3 2 4 5" xfId="4847"/>
    <cellStyle name="20% - 강조색3 3 2 5" xfId="4848"/>
    <cellStyle name="20% - 강조색3 3 2 5 2" xfId="4849"/>
    <cellStyle name="20% - 강조색3 3 2 5 2 2" xfId="4850"/>
    <cellStyle name="20% - 강조색3 3 2 5 2 2 2" xfId="4851"/>
    <cellStyle name="20% - 강조색3 3 2 5 2 2 3" xfId="4852"/>
    <cellStyle name="20% - 강조색3 3 2 5 2 3" xfId="4853"/>
    <cellStyle name="20% - 강조색3 3 2 5 2 4" xfId="4854"/>
    <cellStyle name="20% - 강조색3 3 2 5 3" xfId="4855"/>
    <cellStyle name="20% - 강조색3 3 2 5 3 2" xfId="4856"/>
    <cellStyle name="20% - 강조색3 3 2 5 3 3" xfId="4857"/>
    <cellStyle name="20% - 강조색3 3 2 5 4" xfId="4858"/>
    <cellStyle name="20% - 강조색3 3 2 5 5" xfId="4859"/>
    <cellStyle name="20% - 강조색3 3 2 6" xfId="4860"/>
    <cellStyle name="20% - 강조색3 3 2 6 2" xfId="4861"/>
    <cellStyle name="20% - 강조색3 3 2 6 2 2" xfId="4862"/>
    <cellStyle name="20% - 강조색3 3 2 6 2 2 2" xfId="4863"/>
    <cellStyle name="20% - 강조색3 3 2 6 2 2 3" xfId="4864"/>
    <cellStyle name="20% - 강조색3 3 2 6 2 3" xfId="4865"/>
    <cellStyle name="20% - 강조색3 3 2 6 2 4" xfId="4866"/>
    <cellStyle name="20% - 강조색3 3 2 6 3" xfId="4867"/>
    <cellStyle name="20% - 강조색3 3 2 6 3 2" xfId="4868"/>
    <cellStyle name="20% - 강조색3 3 2 6 3 3" xfId="4869"/>
    <cellStyle name="20% - 강조색3 3 2 6 4" xfId="4870"/>
    <cellStyle name="20% - 강조색3 3 2 6 5" xfId="4871"/>
    <cellStyle name="20% - 강조색3 3 2 7" xfId="4872"/>
    <cellStyle name="20% - 강조색3 3 2 7 2" xfId="4873"/>
    <cellStyle name="20% - 강조색3 3 2 7 2 2" xfId="4874"/>
    <cellStyle name="20% - 강조색3 3 2 7 2 3" xfId="4875"/>
    <cellStyle name="20% - 강조색3 3 2 7 3" xfId="4876"/>
    <cellStyle name="20% - 강조색3 3 2 7 4" xfId="4877"/>
    <cellStyle name="20% - 강조색3 3 2 8" xfId="4878"/>
    <cellStyle name="20% - 강조색3 3 2 8 2" xfId="4879"/>
    <cellStyle name="20% - 강조색3 3 2 8 3" xfId="4880"/>
    <cellStyle name="20% - 강조색3 3 2 9" xfId="4881"/>
    <cellStyle name="20% - 강조색3 3 3" xfId="4882"/>
    <cellStyle name="20% - 강조색3 3 3 10" xfId="4883"/>
    <cellStyle name="20% - 강조색3 3 3 11" xfId="4884"/>
    <cellStyle name="20% - 강조색3 3 3 12" xfId="4885"/>
    <cellStyle name="20% - 강조색3 3 3 2" xfId="4886"/>
    <cellStyle name="20% - 강조색3 3 3 2 2" xfId="4887"/>
    <cellStyle name="20% - 강조색3 3 3 2 2 2" xfId="4888"/>
    <cellStyle name="20% - 강조색3 3 3 2 2 2 2" xfId="4889"/>
    <cellStyle name="20% - 강조색3 3 3 2 2 2 2 2" xfId="4890"/>
    <cellStyle name="20% - 강조색3 3 3 2 2 2 2 3" xfId="4891"/>
    <cellStyle name="20% - 강조색3 3 3 2 2 2 3" xfId="4892"/>
    <cellStyle name="20% - 강조색3 3 3 2 2 2 4" xfId="4893"/>
    <cellStyle name="20% - 강조색3 3 3 2 2 3" xfId="4894"/>
    <cellStyle name="20% - 강조색3 3 3 2 2 3 2" xfId="4895"/>
    <cellStyle name="20% - 강조색3 3 3 2 2 3 3" xfId="4896"/>
    <cellStyle name="20% - 강조색3 3 3 2 2 4" xfId="4897"/>
    <cellStyle name="20% - 강조색3 3 3 2 2 5" xfId="4898"/>
    <cellStyle name="20% - 강조색3 3 3 2 3" xfId="4899"/>
    <cellStyle name="20% - 강조색3 3 3 2 3 2" xfId="4900"/>
    <cellStyle name="20% - 강조색3 3 3 2 3 2 2" xfId="4901"/>
    <cellStyle name="20% - 강조색3 3 3 2 3 2 2 2" xfId="4902"/>
    <cellStyle name="20% - 강조색3 3 3 2 3 2 2 3" xfId="4903"/>
    <cellStyle name="20% - 강조색3 3 3 2 3 2 3" xfId="4904"/>
    <cellStyle name="20% - 강조색3 3 3 2 3 2 4" xfId="4905"/>
    <cellStyle name="20% - 강조색3 3 3 2 3 3" xfId="4906"/>
    <cellStyle name="20% - 강조색3 3 3 2 3 3 2" xfId="4907"/>
    <cellStyle name="20% - 강조색3 3 3 2 3 3 3" xfId="4908"/>
    <cellStyle name="20% - 강조색3 3 3 2 3 4" xfId="4909"/>
    <cellStyle name="20% - 강조색3 3 3 2 3 5" xfId="4910"/>
    <cellStyle name="20% - 강조색3 3 3 2 4" xfId="4911"/>
    <cellStyle name="20% - 강조색3 3 3 2 4 2" xfId="4912"/>
    <cellStyle name="20% - 강조색3 3 3 2 4 2 2" xfId="4913"/>
    <cellStyle name="20% - 강조색3 3 3 2 4 2 3" xfId="4914"/>
    <cellStyle name="20% - 강조색3 3 3 2 4 3" xfId="4915"/>
    <cellStyle name="20% - 강조색3 3 3 2 4 4" xfId="4916"/>
    <cellStyle name="20% - 강조색3 3 3 2 5" xfId="4917"/>
    <cellStyle name="20% - 강조색3 3 3 2 5 2" xfId="4918"/>
    <cellStyle name="20% - 강조색3 3 3 2 5 3" xfId="4919"/>
    <cellStyle name="20% - 강조색3 3 3 2 6" xfId="4920"/>
    <cellStyle name="20% - 강조색3 3 3 2 7" xfId="4921"/>
    <cellStyle name="20% - 강조색3 3 3 2 8" xfId="4922"/>
    <cellStyle name="20% - 강조색3 3 3 2 9" xfId="4923"/>
    <cellStyle name="20% - 강조색3 3 3 3" xfId="4924"/>
    <cellStyle name="20% - 강조색3 3 3 3 2" xfId="4925"/>
    <cellStyle name="20% - 강조색3 3 3 3 2 2" xfId="4926"/>
    <cellStyle name="20% - 강조색3 3 3 3 2 2 2" xfId="4927"/>
    <cellStyle name="20% - 강조색3 3 3 3 2 2 2 2" xfId="4928"/>
    <cellStyle name="20% - 강조색3 3 3 3 2 2 2 3" xfId="4929"/>
    <cellStyle name="20% - 강조색3 3 3 3 2 2 3" xfId="4930"/>
    <cellStyle name="20% - 강조색3 3 3 3 2 2 4" xfId="4931"/>
    <cellStyle name="20% - 강조색3 3 3 3 2 3" xfId="4932"/>
    <cellStyle name="20% - 강조색3 3 3 3 2 3 2" xfId="4933"/>
    <cellStyle name="20% - 강조색3 3 3 3 2 3 3" xfId="4934"/>
    <cellStyle name="20% - 강조색3 3 3 3 2 4" xfId="4935"/>
    <cellStyle name="20% - 강조색3 3 3 3 2 5" xfId="4936"/>
    <cellStyle name="20% - 강조색3 3 3 3 3" xfId="4937"/>
    <cellStyle name="20% - 강조색3 3 3 3 3 2" xfId="4938"/>
    <cellStyle name="20% - 강조색3 3 3 3 3 2 2" xfId="4939"/>
    <cellStyle name="20% - 강조색3 3 3 3 3 2 2 2" xfId="4940"/>
    <cellStyle name="20% - 강조색3 3 3 3 3 2 2 3" xfId="4941"/>
    <cellStyle name="20% - 강조색3 3 3 3 3 2 3" xfId="4942"/>
    <cellStyle name="20% - 강조색3 3 3 3 3 2 4" xfId="4943"/>
    <cellStyle name="20% - 강조색3 3 3 3 3 3" xfId="4944"/>
    <cellStyle name="20% - 강조색3 3 3 3 3 3 2" xfId="4945"/>
    <cellStyle name="20% - 강조색3 3 3 3 3 3 3" xfId="4946"/>
    <cellStyle name="20% - 강조색3 3 3 3 3 4" xfId="4947"/>
    <cellStyle name="20% - 강조색3 3 3 3 3 5" xfId="4948"/>
    <cellStyle name="20% - 강조색3 3 3 3 4" xfId="4949"/>
    <cellStyle name="20% - 강조색3 3 3 3 4 2" xfId="4950"/>
    <cellStyle name="20% - 강조색3 3 3 3 4 2 2" xfId="4951"/>
    <cellStyle name="20% - 강조색3 3 3 3 4 2 3" xfId="4952"/>
    <cellStyle name="20% - 강조색3 3 3 3 4 3" xfId="4953"/>
    <cellStyle name="20% - 강조색3 3 3 3 4 4" xfId="4954"/>
    <cellStyle name="20% - 강조색3 3 3 3 5" xfId="4955"/>
    <cellStyle name="20% - 강조색3 3 3 3 5 2" xfId="4956"/>
    <cellStyle name="20% - 강조색3 3 3 3 5 3" xfId="4957"/>
    <cellStyle name="20% - 강조색3 3 3 3 6" xfId="4958"/>
    <cellStyle name="20% - 강조색3 3 3 3 7" xfId="4959"/>
    <cellStyle name="20% - 강조색3 3 3 4" xfId="4960"/>
    <cellStyle name="20% - 강조색3 3 3 4 2" xfId="4961"/>
    <cellStyle name="20% - 강조색3 3 3 4 2 2" xfId="4962"/>
    <cellStyle name="20% - 강조색3 3 3 4 2 2 2" xfId="4963"/>
    <cellStyle name="20% - 강조색3 3 3 4 2 2 3" xfId="4964"/>
    <cellStyle name="20% - 강조색3 3 3 4 2 3" xfId="4965"/>
    <cellStyle name="20% - 강조색3 3 3 4 2 4" xfId="4966"/>
    <cellStyle name="20% - 강조색3 3 3 4 3" xfId="4967"/>
    <cellStyle name="20% - 강조색3 3 3 4 3 2" xfId="4968"/>
    <cellStyle name="20% - 강조색3 3 3 4 3 3" xfId="4969"/>
    <cellStyle name="20% - 강조색3 3 3 4 4" xfId="4970"/>
    <cellStyle name="20% - 강조색3 3 3 4 5" xfId="4971"/>
    <cellStyle name="20% - 강조색3 3 3 5" xfId="4972"/>
    <cellStyle name="20% - 강조색3 3 3 5 2" xfId="4973"/>
    <cellStyle name="20% - 강조색3 3 3 5 2 2" xfId="4974"/>
    <cellStyle name="20% - 강조색3 3 3 5 2 2 2" xfId="4975"/>
    <cellStyle name="20% - 강조색3 3 3 5 2 2 3" xfId="4976"/>
    <cellStyle name="20% - 강조색3 3 3 5 2 3" xfId="4977"/>
    <cellStyle name="20% - 강조색3 3 3 5 2 4" xfId="4978"/>
    <cellStyle name="20% - 강조색3 3 3 5 3" xfId="4979"/>
    <cellStyle name="20% - 강조색3 3 3 5 3 2" xfId="4980"/>
    <cellStyle name="20% - 강조색3 3 3 5 3 3" xfId="4981"/>
    <cellStyle name="20% - 강조색3 3 3 5 4" xfId="4982"/>
    <cellStyle name="20% - 강조색3 3 3 5 5" xfId="4983"/>
    <cellStyle name="20% - 강조색3 3 3 6" xfId="4984"/>
    <cellStyle name="20% - 강조색3 3 3 6 2" xfId="4985"/>
    <cellStyle name="20% - 강조색3 3 3 6 2 2" xfId="4986"/>
    <cellStyle name="20% - 강조색3 3 3 6 2 2 2" xfId="4987"/>
    <cellStyle name="20% - 강조색3 3 3 6 2 2 3" xfId="4988"/>
    <cellStyle name="20% - 강조색3 3 3 6 2 3" xfId="4989"/>
    <cellStyle name="20% - 강조색3 3 3 6 2 4" xfId="4990"/>
    <cellStyle name="20% - 강조색3 3 3 6 3" xfId="4991"/>
    <cellStyle name="20% - 강조색3 3 3 6 3 2" xfId="4992"/>
    <cellStyle name="20% - 강조색3 3 3 6 3 3" xfId="4993"/>
    <cellStyle name="20% - 강조색3 3 3 6 4" xfId="4994"/>
    <cellStyle name="20% - 강조색3 3 3 6 5" xfId="4995"/>
    <cellStyle name="20% - 강조색3 3 3 7" xfId="4996"/>
    <cellStyle name="20% - 강조색3 3 3 7 2" xfId="4997"/>
    <cellStyle name="20% - 강조색3 3 3 7 2 2" xfId="4998"/>
    <cellStyle name="20% - 강조색3 3 3 7 2 3" xfId="4999"/>
    <cellStyle name="20% - 강조색3 3 3 7 3" xfId="5000"/>
    <cellStyle name="20% - 강조색3 3 3 7 4" xfId="5001"/>
    <cellStyle name="20% - 강조색3 3 3 8" xfId="5002"/>
    <cellStyle name="20% - 강조색3 3 3 8 2" xfId="5003"/>
    <cellStyle name="20% - 강조색3 3 3 8 3" xfId="5004"/>
    <cellStyle name="20% - 강조색3 3 3 9" xfId="5005"/>
    <cellStyle name="20% - 강조색3 3 4" xfId="5006"/>
    <cellStyle name="20% - 강조색3 3 4 10" xfId="5007"/>
    <cellStyle name="20% - 강조색3 3 4 11" xfId="5008"/>
    <cellStyle name="20% - 강조색3 3 4 12" xfId="5009"/>
    <cellStyle name="20% - 강조색3 3 4 2" xfId="5010"/>
    <cellStyle name="20% - 강조색3 3 4 2 2" xfId="5011"/>
    <cellStyle name="20% - 강조색3 3 4 2 2 2" xfId="5012"/>
    <cellStyle name="20% - 강조색3 3 4 2 2 2 2" xfId="5013"/>
    <cellStyle name="20% - 강조색3 3 4 2 2 2 2 2" xfId="5014"/>
    <cellStyle name="20% - 강조색3 3 4 2 2 2 2 3" xfId="5015"/>
    <cellStyle name="20% - 강조색3 3 4 2 2 2 3" xfId="5016"/>
    <cellStyle name="20% - 강조색3 3 4 2 2 2 4" xfId="5017"/>
    <cellStyle name="20% - 강조색3 3 4 2 2 3" xfId="5018"/>
    <cellStyle name="20% - 강조색3 3 4 2 2 3 2" xfId="5019"/>
    <cellStyle name="20% - 강조색3 3 4 2 2 3 3" xfId="5020"/>
    <cellStyle name="20% - 강조색3 3 4 2 2 4" xfId="5021"/>
    <cellStyle name="20% - 강조색3 3 4 2 2 5" xfId="5022"/>
    <cellStyle name="20% - 강조색3 3 4 2 3" xfId="5023"/>
    <cellStyle name="20% - 강조색3 3 4 2 3 2" xfId="5024"/>
    <cellStyle name="20% - 강조색3 3 4 2 3 2 2" xfId="5025"/>
    <cellStyle name="20% - 강조색3 3 4 2 3 2 2 2" xfId="5026"/>
    <cellStyle name="20% - 강조색3 3 4 2 3 2 2 3" xfId="5027"/>
    <cellStyle name="20% - 강조색3 3 4 2 3 2 3" xfId="5028"/>
    <cellStyle name="20% - 강조색3 3 4 2 3 2 4" xfId="5029"/>
    <cellStyle name="20% - 강조색3 3 4 2 3 3" xfId="5030"/>
    <cellStyle name="20% - 강조색3 3 4 2 3 3 2" xfId="5031"/>
    <cellStyle name="20% - 강조색3 3 4 2 3 3 3" xfId="5032"/>
    <cellStyle name="20% - 강조색3 3 4 2 3 4" xfId="5033"/>
    <cellStyle name="20% - 강조색3 3 4 2 3 5" xfId="5034"/>
    <cellStyle name="20% - 강조색3 3 4 2 4" xfId="5035"/>
    <cellStyle name="20% - 강조색3 3 4 2 4 2" xfId="5036"/>
    <cellStyle name="20% - 강조색3 3 4 2 4 2 2" xfId="5037"/>
    <cellStyle name="20% - 강조색3 3 4 2 4 2 3" xfId="5038"/>
    <cellStyle name="20% - 강조색3 3 4 2 4 3" xfId="5039"/>
    <cellStyle name="20% - 강조색3 3 4 2 4 4" xfId="5040"/>
    <cellStyle name="20% - 강조색3 3 4 2 5" xfId="5041"/>
    <cellStyle name="20% - 강조색3 3 4 2 5 2" xfId="5042"/>
    <cellStyle name="20% - 강조색3 3 4 2 5 3" xfId="5043"/>
    <cellStyle name="20% - 강조색3 3 4 2 6" xfId="5044"/>
    <cellStyle name="20% - 강조색3 3 4 2 7" xfId="5045"/>
    <cellStyle name="20% - 강조색3 3 4 3" xfId="5046"/>
    <cellStyle name="20% - 강조색3 3 4 3 2" xfId="5047"/>
    <cellStyle name="20% - 강조색3 3 4 3 2 2" xfId="5048"/>
    <cellStyle name="20% - 강조색3 3 4 3 2 2 2" xfId="5049"/>
    <cellStyle name="20% - 강조색3 3 4 3 2 2 2 2" xfId="5050"/>
    <cellStyle name="20% - 강조색3 3 4 3 2 2 2 3" xfId="5051"/>
    <cellStyle name="20% - 강조색3 3 4 3 2 2 3" xfId="5052"/>
    <cellStyle name="20% - 강조색3 3 4 3 2 2 4" xfId="5053"/>
    <cellStyle name="20% - 강조색3 3 4 3 2 3" xfId="5054"/>
    <cellStyle name="20% - 강조색3 3 4 3 2 3 2" xfId="5055"/>
    <cellStyle name="20% - 강조색3 3 4 3 2 3 3" xfId="5056"/>
    <cellStyle name="20% - 강조색3 3 4 3 2 4" xfId="5057"/>
    <cellStyle name="20% - 강조색3 3 4 3 2 5" xfId="5058"/>
    <cellStyle name="20% - 강조색3 3 4 3 3" xfId="5059"/>
    <cellStyle name="20% - 강조색3 3 4 3 3 2" xfId="5060"/>
    <cellStyle name="20% - 강조색3 3 4 3 3 2 2" xfId="5061"/>
    <cellStyle name="20% - 강조색3 3 4 3 3 2 2 2" xfId="5062"/>
    <cellStyle name="20% - 강조색3 3 4 3 3 2 2 3" xfId="5063"/>
    <cellStyle name="20% - 강조색3 3 4 3 3 2 3" xfId="5064"/>
    <cellStyle name="20% - 강조색3 3 4 3 3 2 4" xfId="5065"/>
    <cellStyle name="20% - 강조색3 3 4 3 3 3" xfId="5066"/>
    <cellStyle name="20% - 강조색3 3 4 3 3 3 2" xfId="5067"/>
    <cellStyle name="20% - 강조색3 3 4 3 3 3 3" xfId="5068"/>
    <cellStyle name="20% - 강조색3 3 4 3 3 4" xfId="5069"/>
    <cellStyle name="20% - 강조색3 3 4 3 3 5" xfId="5070"/>
    <cellStyle name="20% - 강조색3 3 4 3 4" xfId="5071"/>
    <cellStyle name="20% - 강조색3 3 4 3 4 2" xfId="5072"/>
    <cellStyle name="20% - 강조색3 3 4 3 4 2 2" xfId="5073"/>
    <cellStyle name="20% - 강조색3 3 4 3 4 2 3" xfId="5074"/>
    <cellStyle name="20% - 강조색3 3 4 3 4 3" xfId="5075"/>
    <cellStyle name="20% - 강조색3 3 4 3 4 4" xfId="5076"/>
    <cellStyle name="20% - 강조색3 3 4 3 5" xfId="5077"/>
    <cellStyle name="20% - 강조색3 3 4 3 5 2" xfId="5078"/>
    <cellStyle name="20% - 강조색3 3 4 3 5 3" xfId="5079"/>
    <cellStyle name="20% - 강조색3 3 4 3 6" xfId="5080"/>
    <cellStyle name="20% - 강조색3 3 4 3 7" xfId="5081"/>
    <cellStyle name="20% - 강조색3 3 4 4" xfId="5082"/>
    <cellStyle name="20% - 강조색3 3 4 4 2" xfId="5083"/>
    <cellStyle name="20% - 강조색3 3 4 4 2 2" xfId="5084"/>
    <cellStyle name="20% - 강조색3 3 4 4 2 2 2" xfId="5085"/>
    <cellStyle name="20% - 강조색3 3 4 4 2 2 3" xfId="5086"/>
    <cellStyle name="20% - 강조색3 3 4 4 2 3" xfId="5087"/>
    <cellStyle name="20% - 강조색3 3 4 4 2 4" xfId="5088"/>
    <cellStyle name="20% - 강조색3 3 4 4 3" xfId="5089"/>
    <cellStyle name="20% - 강조색3 3 4 4 3 2" xfId="5090"/>
    <cellStyle name="20% - 강조색3 3 4 4 3 3" xfId="5091"/>
    <cellStyle name="20% - 강조색3 3 4 4 4" xfId="5092"/>
    <cellStyle name="20% - 강조색3 3 4 4 5" xfId="5093"/>
    <cellStyle name="20% - 강조색3 3 4 5" xfId="5094"/>
    <cellStyle name="20% - 강조색3 3 4 5 2" xfId="5095"/>
    <cellStyle name="20% - 강조색3 3 4 5 2 2" xfId="5096"/>
    <cellStyle name="20% - 강조색3 3 4 5 2 2 2" xfId="5097"/>
    <cellStyle name="20% - 강조색3 3 4 5 2 2 3" xfId="5098"/>
    <cellStyle name="20% - 강조색3 3 4 5 2 3" xfId="5099"/>
    <cellStyle name="20% - 강조색3 3 4 5 2 4" xfId="5100"/>
    <cellStyle name="20% - 강조색3 3 4 5 3" xfId="5101"/>
    <cellStyle name="20% - 강조색3 3 4 5 3 2" xfId="5102"/>
    <cellStyle name="20% - 강조색3 3 4 5 3 3" xfId="5103"/>
    <cellStyle name="20% - 강조색3 3 4 5 4" xfId="5104"/>
    <cellStyle name="20% - 강조색3 3 4 5 5" xfId="5105"/>
    <cellStyle name="20% - 강조색3 3 4 6" xfId="5106"/>
    <cellStyle name="20% - 강조색3 3 4 6 2" xfId="5107"/>
    <cellStyle name="20% - 강조색3 3 4 6 2 2" xfId="5108"/>
    <cellStyle name="20% - 강조색3 3 4 6 2 2 2" xfId="5109"/>
    <cellStyle name="20% - 강조색3 3 4 6 2 2 3" xfId="5110"/>
    <cellStyle name="20% - 강조색3 3 4 6 2 3" xfId="5111"/>
    <cellStyle name="20% - 강조색3 3 4 6 2 4" xfId="5112"/>
    <cellStyle name="20% - 강조색3 3 4 6 3" xfId="5113"/>
    <cellStyle name="20% - 강조색3 3 4 6 3 2" xfId="5114"/>
    <cellStyle name="20% - 강조색3 3 4 6 3 3" xfId="5115"/>
    <cellStyle name="20% - 강조색3 3 4 6 4" xfId="5116"/>
    <cellStyle name="20% - 강조색3 3 4 6 5" xfId="5117"/>
    <cellStyle name="20% - 강조색3 3 4 7" xfId="5118"/>
    <cellStyle name="20% - 강조색3 3 4 7 2" xfId="5119"/>
    <cellStyle name="20% - 강조색3 3 4 7 2 2" xfId="5120"/>
    <cellStyle name="20% - 강조색3 3 4 7 2 3" xfId="5121"/>
    <cellStyle name="20% - 강조색3 3 4 7 3" xfId="5122"/>
    <cellStyle name="20% - 강조색3 3 4 7 4" xfId="5123"/>
    <cellStyle name="20% - 강조색3 3 4 8" xfId="5124"/>
    <cellStyle name="20% - 강조색3 3 4 8 2" xfId="5125"/>
    <cellStyle name="20% - 강조색3 3 4 8 3" xfId="5126"/>
    <cellStyle name="20% - 강조색3 3 4 9" xfId="5127"/>
    <cellStyle name="20% - 강조색3 3 5" xfId="5128"/>
    <cellStyle name="20% - 강조색3 3 5 2" xfId="5129"/>
    <cellStyle name="20% - 강조색3 3 5 2 2" xfId="5130"/>
    <cellStyle name="20% - 강조색3 3 5 2 2 2" xfId="5131"/>
    <cellStyle name="20% - 강조색3 3 5 2 2 2 2" xfId="5132"/>
    <cellStyle name="20% - 강조색3 3 5 2 2 2 3" xfId="5133"/>
    <cellStyle name="20% - 강조색3 3 5 2 2 3" xfId="5134"/>
    <cellStyle name="20% - 강조색3 3 5 2 2 4" xfId="5135"/>
    <cellStyle name="20% - 강조색3 3 5 2 3" xfId="5136"/>
    <cellStyle name="20% - 강조색3 3 5 2 3 2" xfId="5137"/>
    <cellStyle name="20% - 강조색3 3 5 2 3 3" xfId="5138"/>
    <cellStyle name="20% - 강조색3 3 5 2 4" xfId="5139"/>
    <cellStyle name="20% - 강조색3 3 5 2 5" xfId="5140"/>
    <cellStyle name="20% - 강조색3 3 5 3" xfId="5141"/>
    <cellStyle name="20% - 강조색3 3 5 3 2" xfId="5142"/>
    <cellStyle name="20% - 강조색3 3 5 3 2 2" xfId="5143"/>
    <cellStyle name="20% - 강조색3 3 5 3 2 2 2" xfId="5144"/>
    <cellStyle name="20% - 강조색3 3 5 3 2 2 3" xfId="5145"/>
    <cellStyle name="20% - 강조색3 3 5 3 2 3" xfId="5146"/>
    <cellStyle name="20% - 강조색3 3 5 3 2 4" xfId="5147"/>
    <cellStyle name="20% - 강조색3 3 5 3 3" xfId="5148"/>
    <cellStyle name="20% - 강조색3 3 5 3 3 2" xfId="5149"/>
    <cellStyle name="20% - 강조색3 3 5 3 3 3" xfId="5150"/>
    <cellStyle name="20% - 강조색3 3 5 3 4" xfId="5151"/>
    <cellStyle name="20% - 강조색3 3 5 3 5" xfId="5152"/>
    <cellStyle name="20% - 강조색3 3 5 4" xfId="5153"/>
    <cellStyle name="20% - 강조색3 3 5 4 2" xfId="5154"/>
    <cellStyle name="20% - 강조색3 3 5 4 2 2" xfId="5155"/>
    <cellStyle name="20% - 강조색3 3 5 4 2 3" xfId="5156"/>
    <cellStyle name="20% - 강조색3 3 5 4 3" xfId="5157"/>
    <cellStyle name="20% - 강조색3 3 5 4 4" xfId="5158"/>
    <cellStyle name="20% - 강조색3 3 5 5" xfId="5159"/>
    <cellStyle name="20% - 강조색3 3 5 5 2" xfId="5160"/>
    <cellStyle name="20% - 강조색3 3 5 5 3" xfId="5161"/>
    <cellStyle name="20% - 강조색3 3 5 6" xfId="5162"/>
    <cellStyle name="20% - 강조색3 3 5 7" xfId="5163"/>
    <cellStyle name="20% - 강조색3 3 5 8" xfId="5164"/>
    <cellStyle name="20% - 강조색3 3 6" xfId="5165"/>
    <cellStyle name="20% - 강조색3 3 6 2" xfId="5166"/>
    <cellStyle name="20% - 강조색3 3 6 2 2" xfId="5167"/>
    <cellStyle name="20% - 강조색3 3 6 2 2 2" xfId="5168"/>
    <cellStyle name="20% - 강조색3 3 6 2 2 2 2" xfId="5169"/>
    <cellStyle name="20% - 강조색3 3 6 2 2 2 3" xfId="5170"/>
    <cellStyle name="20% - 강조색3 3 6 2 2 3" xfId="5171"/>
    <cellStyle name="20% - 강조색3 3 6 2 2 4" xfId="5172"/>
    <cellStyle name="20% - 강조색3 3 6 2 3" xfId="5173"/>
    <cellStyle name="20% - 강조색3 3 6 2 3 2" xfId="5174"/>
    <cellStyle name="20% - 강조색3 3 6 2 3 3" xfId="5175"/>
    <cellStyle name="20% - 강조색3 3 6 2 4" xfId="5176"/>
    <cellStyle name="20% - 강조색3 3 6 2 5" xfId="5177"/>
    <cellStyle name="20% - 강조색3 3 6 3" xfId="5178"/>
    <cellStyle name="20% - 강조색3 3 6 3 2" xfId="5179"/>
    <cellStyle name="20% - 강조색3 3 6 3 2 2" xfId="5180"/>
    <cellStyle name="20% - 강조색3 3 6 3 2 2 2" xfId="5181"/>
    <cellStyle name="20% - 강조색3 3 6 3 2 2 3" xfId="5182"/>
    <cellStyle name="20% - 강조색3 3 6 3 2 3" xfId="5183"/>
    <cellStyle name="20% - 강조색3 3 6 3 2 4" xfId="5184"/>
    <cellStyle name="20% - 강조색3 3 6 3 3" xfId="5185"/>
    <cellStyle name="20% - 강조색3 3 6 3 3 2" xfId="5186"/>
    <cellStyle name="20% - 강조색3 3 6 3 3 3" xfId="5187"/>
    <cellStyle name="20% - 강조색3 3 6 3 4" xfId="5188"/>
    <cellStyle name="20% - 강조색3 3 6 3 5" xfId="5189"/>
    <cellStyle name="20% - 강조색3 3 6 4" xfId="5190"/>
    <cellStyle name="20% - 강조색3 3 6 4 2" xfId="5191"/>
    <cellStyle name="20% - 강조색3 3 6 4 2 2" xfId="5192"/>
    <cellStyle name="20% - 강조색3 3 6 4 2 3" xfId="5193"/>
    <cellStyle name="20% - 강조색3 3 6 4 3" xfId="5194"/>
    <cellStyle name="20% - 강조색3 3 6 4 4" xfId="5195"/>
    <cellStyle name="20% - 강조색3 3 6 5" xfId="5196"/>
    <cellStyle name="20% - 강조색3 3 6 5 2" xfId="5197"/>
    <cellStyle name="20% - 강조색3 3 6 5 3" xfId="5198"/>
    <cellStyle name="20% - 강조색3 3 6 6" xfId="5199"/>
    <cellStyle name="20% - 강조색3 3 6 7" xfId="5200"/>
    <cellStyle name="20% - 강조색3 3 7" xfId="5201"/>
    <cellStyle name="20% - 강조색3 3 7 2" xfId="5202"/>
    <cellStyle name="20% - 강조색3 3 7 2 2" xfId="5203"/>
    <cellStyle name="20% - 강조색3 3 7 2 2 2" xfId="5204"/>
    <cellStyle name="20% - 강조색3 3 7 2 2 3" xfId="5205"/>
    <cellStyle name="20% - 강조색3 3 7 2 3" xfId="5206"/>
    <cellStyle name="20% - 강조색3 3 7 2 4" xfId="5207"/>
    <cellStyle name="20% - 강조색3 3 7 3" xfId="5208"/>
    <cellStyle name="20% - 강조색3 3 7 3 2" xfId="5209"/>
    <cellStyle name="20% - 강조색3 3 7 3 3" xfId="5210"/>
    <cellStyle name="20% - 강조색3 3 7 4" xfId="5211"/>
    <cellStyle name="20% - 강조색3 3 7 5" xfId="5212"/>
    <cellStyle name="20% - 강조색3 3 8" xfId="5213"/>
    <cellStyle name="20% - 강조색3 3 8 2" xfId="5214"/>
    <cellStyle name="20% - 강조색3 3 8 2 2" xfId="5215"/>
    <cellStyle name="20% - 강조색3 3 8 2 2 2" xfId="5216"/>
    <cellStyle name="20% - 강조색3 3 8 2 2 3" xfId="5217"/>
    <cellStyle name="20% - 강조색3 3 8 2 3" xfId="5218"/>
    <cellStyle name="20% - 강조색3 3 8 2 4" xfId="5219"/>
    <cellStyle name="20% - 강조색3 3 8 3" xfId="5220"/>
    <cellStyle name="20% - 강조색3 3 8 3 2" xfId="5221"/>
    <cellStyle name="20% - 강조색3 3 8 3 3" xfId="5222"/>
    <cellStyle name="20% - 강조색3 3 8 4" xfId="5223"/>
    <cellStyle name="20% - 강조색3 3 8 5" xfId="5224"/>
    <cellStyle name="20% - 강조색3 3 9" xfId="5225"/>
    <cellStyle name="20% - 강조색3 3 9 2" xfId="5226"/>
    <cellStyle name="20% - 강조색3 3 9 2 2" xfId="5227"/>
    <cellStyle name="20% - 강조색3 3 9 2 2 2" xfId="5228"/>
    <cellStyle name="20% - 강조색3 3 9 2 2 3" xfId="5229"/>
    <cellStyle name="20% - 강조색3 3 9 2 3" xfId="5230"/>
    <cellStyle name="20% - 강조색3 3 9 2 4" xfId="5231"/>
    <cellStyle name="20% - 강조색3 3 9 3" xfId="5232"/>
    <cellStyle name="20% - 강조색3 3 9 3 2" xfId="5233"/>
    <cellStyle name="20% - 강조색3 3 9 3 3" xfId="5234"/>
    <cellStyle name="20% - 강조색3 3 9 4" xfId="5235"/>
    <cellStyle name="20% - 강조색3 3 9 5" xfId="5236"/>
    <cellStyle name="20% - 강조색3 30" xfId="5237"/>
    <cellStyle name="20% - 강조색3 30 2" xfId="5238"/>
    <cellStyle name="20% - 강조색3 31" xfId="5239"/>
    <cellStyle name="20% - 강조색3 31 2" xfId="5240"/>
    <cellStyle name="20% - 강조색3 32" xfId="5241"/>
    <cellStyle name="20% - 강조색3 32 2" xfId="5242"/>
    <cellStyle name="20% - 강조색3 33" xfId="5243"/>
    <cellStyle name="20% - 강조색3 33 2" xfId="5244"/>
    <cellStyle name="20% - 강조색3 34" xfId="5245"/>
    <cellStyle name="20% - 강조색3 34 2" xfId="5246"/>
    <cellStyle name="20% - 강조색3 35" xfId="5247"/>
    <cellStyle name="20% - 강조색3 36" xfId="5248"/>
    <cellStyle name="20% - 강조색3 37" xfId="5249"/>
    <cellStyle name="20% - 강조색3 38" xfId="5250"/>
    <cellStyle name="20% - 강조색3 39" xfId="5251"/>
    <cellStyle name="20% - 강조색3 4" xfId="5252"/>
    <cellStyle name="20% - 강조색3 4 10" xfId="5253"/>
    <cellStyle name="20% - 강조색3 4 10 2" xfId="5254"/>
    <cellStyle name="20% - 강조색3 4 10 2 2" xfId="5255"/>
    <cellStyle name="20% - 강조색3 4 10 2 3" xfId="5256"/>
    <cellStyle name="20% - 강조색3 4 10 3" xfId="5257"/>
    <cellStyle name="20% - 강조색3 4 10 4" xfId="5258"/>
    <cellStyle name="20% - 강조색3 4 11" xfId="5259"/>
    <cellStyle name="20% - 강조색3 4 11 2" xfId="5260"/>
    <cellStyle name="20% - 강조색3 4 11 3" xfId="5261"/>
    <cellStyle name="20% - 강조색3 4 12" xfId="5262"/>
    <cellStyle name="20% - 강조색3 4 13" xfId="5263"/>
    <cellStyle name="20% - 강조색3 4 14" xfId="5264"/>
    <cellStyle name="20% - 강조색3 4 2" xfId="5265"/>
    <cellStyle name="20% - 강조색3 4 2 10" xfId="5266"/>
    <cellStyle name="20% - 강조색3 4 2 2" xfId="5267"/>
    <cellStyle name="20% - 강조색3 4 2 2 2" xfId="5268"/>
    <cellStyle name="20% - 강조색3 4 2 2 2 2" xfId="5269"/>
    <cellStyle name="20% - 강조색3 4 2 2 2 2 2" xfId="5270"/>
    <cellStyle name="20% - 강조색3 4 2 2 2 2 2 2" xfId="5271"/>
    <cellStyle name="20% - 강조색3 4 2 2 2 2 2 3" xfId="5272"/>
    <cellStyle name="20% - 강조색3 4 2 2 2 2 3" xfId="5273"/>
    <cellStyle name="20% - 강조색3 4 2 2 2 2 4" xfId="5274"/>
    <cellStyle name="20% - 강조색3 4 2 2 2 3" xfId="5275"/>
    <cellStyle name="20% - 강조색3 4 2 2 2 3 2" xfId="5276"/>
    <cellStyle name="20% - 강조색3 4 2 2 2 3 3" xfId="5277"/>
    <cellStyle name="20% - 강조색3 4 2 2 2 4" xfId="5278"/>
    <cellStyle name="20% - 강조색3 4 2 2 2 5" xfId="5279"/>
    <cellStyle name="20% - 강조색3 4 2 2 3" xfId="5280"/>
    <cellStyle name="20% - 강조색3 4 2 2 3 2" xfId="5281"/>
    <cellStyle name="20% - 강조색3 4 2 2 3 2 2" xfId="5282"/>
    <cellStyle name="20% - 강조색3 4 2 2 3 2 2 2" xfId="5283"/>
    <cellStyle name="20% - 강조색3 4 2 2 3 2 2 3" xfId="5284"/>
    <cellStyle name="20% - 강조색3 4 2 2 3 2 3" xfId="5285"/>
    <cellStyle name="20% - 강조색3 4 2 2 3 2 4" xfId="5286"/>
    <cellStyle name="20% - 강조색3 4 2 2 3 3" xfId="5287"/>
    <cellStyle name="20% - 강조색3 4 2 2 3 3 2" xfId="5288"/>
    <cellStyle name="20% - 강조색3 4 2 2 3 3 3" xfId="5289"/>
    <cellStyle name="20% - 강조색3 4 2 2 3 4" xfId="5290"/>
    <cellStyle name="20% - 강조색3 4 2 2 3 5" xfId="5291"/>
    <cellStyle name="20% - 강조색3 4 2 2 4" xfId="5292"/>
    <cellStyle name="20% - 강조색3 4 2 2 4 2" xfId="5293"/>
    <cellStyle name="20% - 강조색3 4 2 2 4 2 2" xfId="5294"/>
    <cellStyle name="20% - 강조색3 4 2 2 4 2 3" xfId="5295"/>
    <cellStyle name="20% - 강조색3 4 2 2 4 3" xfId="5296"/>
    <cellStyle name="20% - 강조색3 4 2 2 4 4" xfId="5297"/>
    <cellStyle name="20% - 강조색3 4 2 2 5" xfId="5298"/>
    <cellStyle name="20% - 강조색3 4 2 2 5 2" xfId="5299"/>
    <cellStyle name="20% - 강조색3 4 2 2 5 3" xfId="5300"/>
    <cellStyle name="20% - 강조색3 4 2 2 6" xfId="5301"/>
    <cellStyle name="20% - 강조색3 4 2 2 7" xfId="5302"/>
    <cellStyle name="20% - 강조색3 4 2 3" xfId="5303"/>
    <cellStyle name="20% - 강조색3 4 2 3 2" xfId="5304"/>
    <cellStyle name="20% - 강조색3 4 2 3 2 2" xfId="5305"/>
    <cellStyle name="20% - 강조색3 4 2 3 2 2 2" xfId="5306"/>
    <cellStyle name="20% - 강조색3 4 2 3 2 2 2 2" xfId="5307"/>
    <cellStyle name="20% - 강조색3 4 2 3 2 2 2 3" xfId="5308"/>
    <cellStyle name="20% - 강조색3 4 2 3 2 2 3" xfId="5309"/>
    <cellStyle name="20% - 강조색3 4 2 3 2 2 4" xfId="5310"/>
    <cellStyle name="20% - 강조색3 4 2 3 2 3" xfId="5311"/>
    <cellStyle name="20% - 강조색3 4 2 3 2 3 2" xfId="5312"/>
    <cellStyle name="20% - 강조색3 4 2 3 2 3 3" xfId="5313"/>
    <cellStyle name="20% - 강조색3 4 2 3 2 4" xfId="5314"/>
    <cellStyle name="20% - 강조색3 4 2 3 2 5" xfId="5315"/>
    <cellStyle name="20% - 강조색3 4 2 3 3" xfId="5316"/>
    <cellStyle name="20% - 강조색3 4 2 3 3 2" xfId="5317"/>
    <cellStyle name="20% - 강조색3 4 2 3 3 2 2" xfId="5318"/>
    <cellStyle name="20% - 강조색3 4 2 3 3 2 2 2" xfId="5319"/>
    <cellStyle name="20% - 강조색3 4 2 3 3 2 2 3" xfId="5320"/>
    <cellStyle name="20% - 강조색3 4 2 3 3 2 3" xfId="5321"/>
    <cellStyle name="20% - 강조색3 4 2 3 3 2 4" xfId="5322"/>
    <cellStyle name="20% - 강조색3 4 2 3 3 3" xfId="5323"/>
    <cellStyle name="20% - 강조색3 4 2 3 3 3 2" xfId="5324"/>
    <cellStyle name="20% - 강조색3 4 2 3 3 3 3" xfId="5325"/>
    <cellStyle name="20% - 강조색3 4 2 3 3 4" xfId="5326"/>
    <cellStyle name="20% - 강조색3 4 2 3 3 5" xfId="5327"/>
    <cellStyle name="20% - 강조색3 4 2 3 4" xfId="5328"/>
    <cellStyle name="20% - 강조색3 4 2 3 4 2" xfId="5329"/>
    <cellStyle name="20% - 강조색3 4 2 3 4 2 2" xfId="5330"/>
    <cellStyle name="20% - 강조색3 4 2 3 4 2 3" xfId="5331"/>
    <cellStyle name="20% - 강조색3 4 2 3 4 3" xfId="5332"/>
    <cellStyle name="20% - 강조색3 4 2 3 4 4" xfId="5333"/>
    <cellStyle name="20% - 강조색3 4 2 3 5" xfId="5334"/>
    <cellStyle name="20% - 강조색3 4 2 3 5 2" xfId="5335"/>
    <cellStyle name="20% - 강조색3 4 2 3 5 3" xfId="5336"/>
    <cellStyle name="20% - 강조색3 4 2 3 6" xfId="5337"/>
    <cellStyle name="20% - 강조색3 4 2 3 7" xfId="5338"/>
    <cellStyle name="20% - 강조색3 4 2 4" xfId="5339"/>
    <cellStyle name="20% - 강조색3 4 2 4 2" xfId="5340"/>
    <cellStyle name="20% - 강조색3 4 2 4 2 2" xfId="5341"/>
    <cellStyle name="20% - 강조색3 4 2 4 2 2 2" xfId="5342"/>
    <cellStyle name="20% - 강조색3 4 2 4 2 2 3" xfId="5343"/>
    <cellStyle name="20% - 강조색3 4 2 4 2 3" xfId="5344"/>
    <cellStyle name="20% - 강조색3 4 2 4 2 4" xfId="5345"/>
    <cellStyle name="20% - 강조색3 4 2 4 3" xfId="5346"/>
    <cellStyle name="20% - 강조색3 4 2 4 3 2" xfId="5347"/>
    <cellStyle name="20% - 강조색3 4 2 4 3 3" xfId="5348"/>
    <cellStyle name="20% - 강조색3 4 2 4 4" xfId="5349"/>
    <cellStyle name="20% - 강조색3 4 2 4 5" xfId="5350"/>
    <cellStyle name="20% - 강조색3 4 2 5" xfId="5351"/>
    <cellStyle name="20% - 강조색3 4 2 5 2" xfId="5352"/>
    <cellStyle name="20% - 강조색3 4 2 5 2 2" xfId="5353"/>
    <cellStyle name="20% - 강조색3 4 2 5 2 2 2" xfId="5354"/>
    <cellStyle name="20% - 강조색3 4 2 5 2 2 3" xfId="5355"/>
    <cellStyle name="20% - 강조색3 4 2 5 2 3" xfId="5356"/>
    <cellStyle name="20% - 강조색3 4 2 5 2 4" xfId="5357"/>
    <cellStyle name="20% - 강조색3 4 2 5 3" xfId="5358"/>
    <cellStyle name="20% - 강조색3 4 2 5 3 2" xfId="5359"/>
    <cellStyle name="20% - 강조색3 4 2 5 3 3" xfId="5360"/>
    <cellStyle name="20% - 강조색3 4 2 5 4" xfId="5361"/>
    <cellStyle name="20% - 강조색3 4 2 5 5" xfId="5362"/>
    <cellStyle name="20% - 강조색3 4 2 6" xfId="5363"/>
    <cellStyle name="20% - 강조색3 4 2 6 2" xfId="5364"/>
    <cellStyle name="20% - 강조색3 4 2 6 2 2" xfId="5365"/>
    <cellStyle name="20% - 강조색3 4 2 6 2 2 2" xfId="5366"/>
    <cellStyle name="20% - 강조색3 4 2 6 2 2 3" xfId="5367"/>
    <cellStyle name="20% - 강조색3 4 2 6 2 3" xfId="5368"/>
    <cellStyle name="20% - 강조색3 4 2 6 2 4" xfId="5369"/>
    <cellStyle name="20% - 강조색3 4 2 6 3" xfId="5370"/>
    <cellStyle name="20% - 강조색3 4 2 6 3 2" xfId="5371"/>
    <cellStyle name="20% - 강조색3 4 2 6 3 3" xfId="5372"/>
    <cellStyle name="20% - 강조색3 4 2 6 4" xfId="5373"/>
    <cellStyle name="20% - 강조색3 4 2 6 5" xfId="5374"/>
    <cellStyle name="20% - 강조색3 4 2 7" xfId="5375"/>
    <cellStyle name="20% - 강조색3 4 2 7 2" xfId="5376"/>
    <cellStyle name="20% - 강조색3 4 2 7 2 2" xfId="5377"/>
    <cellStyle name="20% - 강조색3 4 2 7 2 3" xfId="5378"/>
    <cellStyle name="20% - 강조색3 4 2 7 3" xfId="5379"/>
    <cellStyle name="20% - 강조색3 4 2 7 4" xfId="5380"/>
    <cellStyle name="20% - 강조색3 4 2 8" xfId="5381"/>
    <cellStyle name="20% - 강조색3 4 2 8 2" xfId="5382"/>
    <cellStyle name="20% - 강조색3 4 2 8 3" xfId="5383"/>
    <cellStyle name="20% - 강조색3 4 2 9" xfId="5384"/>
    <cellStyle name="20% - 강조색3 4 3" xfId="5385"/>
    <cellStyle name="20% - 강조색3 4 3 10" xfId="5386"/>
    <cellStyle name="20% - 강조색3 4 3 2" xfId="5387"/>
    <cellStyle name="20% - 강조색3 4 3 2 2" xfId="5388"/>
    <cellStyle name="20% - 강조색3 4 3 2 2 2" xfId="5389"/>
    <cellStyle name="20% - 강조색3 4 3 2 2 2 2" xfId="5390"/>
    <cellStyle name="20% - 강조색3 4 3 2 2 2 2 2" xfId="5391"/>
    <cellStyle name="20% - 강조색3 4 3 2 2 2 2 3" xfId="5392"/>
    <cellStyle name="20% - 강조색3 4 3 2 2 2 3" xfId="5393"/>
    <cellStyle name="20% - 강조색3 4 3 2 2 2 4" xfId="5394"/>
    <cellStyle name="20% - 강조색3 4 3 2 2 3" xfId="5395"/>
    <cellStyle name="20% - 강조색3 4 3 2 2 3 2" xfId="5396"/>
    <cellStyle name="20% - 강조색3 4 3 2 2 3 3" xfId="5397"/>
    <cellStyle name="20% - 강조색3 4 3 2 2 4" xfId="5398"/>
    <cellStyle name="20% - 강조색3 4 3 2 2 5" xfId="5399"/>
    <cellStyle name="20% - 강조색3 4 3 2 3" xfId="5400"/>
    <cellStyle name="20% - 강조색3 4 3 2 3 2" xfId="5401"/>
    <cellStyle name="20% - 강조색3 4 3 2 3 2 2" xfId="5402"/>
    <cellStyle name="20% - 강조색3 4 3 2 3 2 2 2" xfId="5403"/>
    <cellStyle name="20% - 강조색3 4 3 2 3 2 2 3" xfId="5404"/>
    <cellStyle name="20% - 강조색3 4 3 2 3 2 3" xfId="5405"/>
    <cellStyle name="20% - 강조색3 4 3 2 3 2 4" xfId="5406"/>
    <cellStyle name="20% - 강조색3 4 3 2 3 3" xfId="5407"/>
    <cellStyle name="20% - 강조색3 4 3 2 3 3 2" xfId="5408"/>
    <cellStyle name="20% - 강조색3 4 3 2 3 3 3" xfId="5409"/>
    <cellStyle name="20% - 강조색3 4 3 2 3 4" xfId="5410"/>
    <cellStyle name="20% - 강조색3 4 3 2 3 5" xfId="5411"/>
    <cellStyle name="20% - 강조색3 4 3 2 4" xfId="5412"/>
    <cellStyle name="20% - 강조색3 4 3 2 4 2" xfId="5413"/>
    <cellStyle name="20% - 강조색3 4 3 2 4 2 2" xfId="5414"/>
    <cellStyle name="20% - 강조색3 4 3 2 4 2 3" xfId="5415"/>
    <cellStyle name="20% - 강조색3 4 3 2 4 3" xfId="5416"/>
    <cellStyle name="20% - 강조색3 4 3 2 4 4" xfId="5417"/>
    <cellStyle name="20% - 강조색3 4 3 2 5" xfId="5418"/>
    <cellStyle name="20% - 강조색3 4 3 2 5 2" xfId="5419"/>
    <cellStyle name="20% - 강조색3 4 3 2 5 3" xfId="5420"/>
    <cellStyle name="20% - 강조색3 4 3 2 6" xfId="5421"/>
    <cellStyle name="20% - 강조색3 4 3 2 7" xfId="5422"/>
    <cellStyle name="20% - 강조색3 4 3 3" xfId="5423"/>
    <cellStyle name="20% - 강조색3 4 3 3 2" xfId="5424"/>
    <cellStyle name="20% - 강조색3 4 3 3 2 2" xfId="5425"/>
    <cellStyle name="20% - 강조색3 4 3 3 2 2 2" xfId="5426"/>
    <cellStyle name="20% - 강조색3 4 3 3 2 2 2 2" xfId="5427"/>
    <cellStyle name="20% - 강조색3 4 3 3 2 2 2 3" xfId="5428"/>
    <cellStyle name="20% - 강조색3 4 3 3 2 2 3" xfId="5429"/>
    <cellStyle name="20% - 강조색3 4 3 3 2 2 4" xfId="5430"/>
    <cellStyle name="20% - 강조색3 4 3 3 2 3" xfId="5431"/>
    <cellStyle name="20% - 강조색3 4 3 3 2 3 2" xfId="5432"/>
    <cellStyle name="20% - 강조색3 4 3 3 2 3 3" xfId="5433"/>
    <cellStyle name="20% - 강조색3 4 3 3 2 4" xfId="5434"/>
    <cellStyle name="20% - 강조색3 4 3 3 2 5" xfId="5435"/>
    <cellStyle name="20% - 강조색3 4 3 3 3" xfId="5436"/>
    <cellStyle name="20% - 강조색3 4 3 3 3 2" xfId="5437"/>
    <cellStyle name="20% - 강조색3 4 3 3 3 2 2" xfId="5438"/>
    <cellStyle name="20% - 강조색3 4 3 3 3 2 2 2" xfId="5439"/>
    <cellStyle name="20% - 강조색3 4 3 3 3 2 2 3" xfId="5440"/>
    <cellStyle name="20% - 강조색3 4 3 3 3 2 3" xfId="5441"/>
    <cellStyle name="20% - 강조색3 4 3 3 3 2 4" xfId="5442"/>
    <cellStyle name="20% - 강조색3 4 3 3 3 3" xfId="5443"/>
    <cellStyle name="20% - 강조색3 4 3 3 3 3 2" xfId="5444"/>
    <cellStyle name="20% - 강조색3 4 3 3 3 3 3" xfId="5445"/>
    <cellStyle name="20% - 강조색3 4 3 3 3 4" xfId="5446"/>
    <cellStyle name="20% - 강조색3 4 3 3 3 5" xfId="5447"/>
    <cellStyle name="20% - 강조색3 4 3 3 4" xfId="5448"/>
    <cellStyle name="20% - 강조색3 4 3 3 4 2" xfId="5449"/>
    <cellStyle name="20% - 강조색3 4 3 3 4 2 2" xfId="5450"/>
    <cellStyle name="20% - 강조색3 4 3 3 4 2 3" xfId="5451"/>
    <cellStyle name="20% - 강조색3 4 3 3 4 3" xfId="5452"/>
    <cellStyle name="20% - 강조색3 4 3 3 4 4" xfId="5453"/>
    <cellStyle name="20% - 강조색3 4 3 3 5" xfId="5454"/>
    <cellStyle name="20% - 강조색3 4 3 3 5 2" xfId="5455"/>
    <cellStyle name="20% - 강조색3 4 3 3 5 3" xfId="5456"/>
    <cellStyle name="20% - 강조색3 4 3 3 6" xfId="5457"/>
    <cellStyle name="20% - 강조색3 4 3 3 7" xfId="5458"/>
    <cellStyle name="20% - 강조색3 4 3 4" xfId="5459"/>
    <cellStyle name="20% - 강조색3 4 3 4 2" xfId="5460"/>
    <cellStyle name="20% - 강조색3 4 3 4 2 2" xfId="5461"/>
    <cellStyle name="20% - 강조색3 4 3 4 2 2 2" xfId="5462"/>
    <cellStyle name="20% - 강조색3 4 3 4 2 2 3" xfId="5463"/>
    <cellStyle name="20% - 강조색3 4 3 4 2 3" xfId="5464"/>
    <cellStyle name="20% - 강조색3 4 3 4 2 4" xfId="5465"/>
    <cellStyle name="20% - 강조색3 4 3 4 3" xfId="5466"/>
    <cellStyle name="20% - 강조색3 4 3 4 3 2" xfId="5467"/>
    <cellStyle name="20% - 강조색3 4 3 4 3 3" xfId="5468"/>
    <cellStyle name="20% - 강조색3 4 3 4 4" xfId="5469"/>
    <cellStyle name="20% - 강조색3 4 3 4 5" xfId="5470"/>
    <cellStyle name="20% - 강조색3 4 3 5" xfId="5471"/>
    <cellStyle name="20% - 강조색3 4 3 5 2" xfId="5472"/>
    <cellStyle name="20% - 강조색3 4 3 5 2 2" xfId="5473"/>
    <cellStyle name="20% - 강조색3 4 3 5 2 2 2" xfId="5474"/>
    <cellStyle name="20% - 강조색3 4 3 5 2 2 3" xfId="5475"/>
    <cellStyle name="20% - 강조색3 4 3 5 2 3" xfId="5476"/>
    <cellStyle name="20% - 강조색3 4 3 5 2 4" xfId="5477"/>
    <cellStyle name="20% - 강조색3 4 3 5 3" xfId="5478"/>
    <cellStyle name="20% - 강조색3 4 3 5 3 2" xfId="5479"/>
    <cellStyle name="20% - 강조색3 4 3 5 3 3" xfId="5480"/>
    <cellStyle name="20% - 강조색3 4 3 5 4" xfId="5481"/>
    <cellStyle name="20% - 강조색3 4 3 5 5" xfId="5482"/>
    <cellStyle name="20% - 강조색3 4 3 6" xfId="5483"/>
    <cellStyle name="20% - 강조색3 4 3 6 2" xfId="5484"/>
    <cellStyle name="20% - 강조색3 4 3 6 2 2" xfId="5485"/>
    <cellStyle name="20% - 강조색3 4 3 6 2 2 2" xfId="5486"/>
    <cellStyle name="20% - 강조색3 4 3 6 2 2 3" xfId="5487"/>
    <cellStyle name="20% - 강조색3 4 3 6 2 3" xfId="5488"/>
    <cellStyle name="20% - 강조색3 4 3 6 2 4" xfId="5489"/>
    <cellStyle name="20% - 강조색3 4 3 6 3" xfId="5490"/>
    <cellStyle name="20% - 강조색3 4 3 6 3 2" xfId="5491"/>
    <cellStyle name="20% - 강조색3 4 3 6 3 3" xfId="5492"/>
    <cellStyle name="20% - 강조색3 4 3 6 4" xfId="5493"/>
    <cellStyle name="20% - 강조색3 4 3 6 5" xfId="5494"/>
    <cellStyle name="20% - 강조색3 4 3 7" xfId="5495"/>
    <cellStyle name="20% - 강조색3 4 3 7 2" xfId="5496"/>
    <cellStyle name="20% - 강조색3 4 3 7 2 2" xfId="5497"/>
    <cellStyle name="20% - 강조색3 4 3 7 2 3" xfId="5498"/>
    <cellStyle name="20% - 강조색3 4 3 7 3" xfId="5499"/>
    <cellStyle name="20% - 강조색3 4 3 7 4" xfId="5500"/>
    <cellStyle name="20% - 강조색3 4 3 8" xfId="5501"/>
    <cellStyle name="20% - 강조색3 4 3 8 2" xfId="5502"/>
    <cellStyle name="20% - 강조색3 4 3 8 3" xfId="5503"/>
    <cellStyle name="20% - 강조색3 4 3 9" xfId="5504"/>
    <cellStyle name="20% - 강조색3 4 4" xfId="5505"/>
    <cellStyle name="20% - 강조색3 4 4 10" xfId="5506"/>
    <cellStyle name="20% - 강조색3 4 4 2" xfId="5507"/>
    <cellStyle name="20% - 강조색3 4 4 2 2" xfId="5508"/>
    <cellStyle name="20% - 강조색3 4 4 2 2 2" xfId="5509"/>
    <cellStyle name="20% - 강조색3 4 4 2 2 2 2" xfId="5510"/>
    <cellStyle name="20% - 강조색3 4 4 2 2 2 2 2" xfId="5511"/>
    <cellStyle name="20% - 강조색3 4 4 2 2 2 2 3" xfId="5512"/>
    <cellStyle name="20% - 강조색3 4 4 2 2 2 3" xfId="5513"/>
    <cellStyle name="20% - 강조색3 4 4 2 2 2 4" xfId="5514"/>
    <cellStyle name="20% - 강조색3 4 4 2 2 3" xfId="5515"/>
    <cellStyle name="20% - 강조색3 4 4 2 2 3 2" xfId="5516"/>
    <cellStyle name="20% - 강조색3 4 4 2 2 3 3" xfId="5517"/>
    <cellStyle name="20% - 강조색3 4 4 2 2 4" xfId="5518"/>
    <cellStyle name="20% - 강조색3 4 4 2 2 5" xfId="5519"/>
    <cellStyle name="20% - 강조색3 4 4 2 3" xfId="5520"/>
    <cellStyle name="20% - 강조색3 4 4 2 3 2" xfId="5521"/>
    <cellStyle name="20% - 강조색3 4 4 2 3 2 2" xfId="5522"/>
    <cellStyle name="20% - 강조색3 4 4 2 3 2 2 2" xfId="5523"/>
    <cellStyle name="20% - 강조색3 4 4 2 3 2 2 3" xfId="5524"/>
    <cellStyle name="20% - 강조색3 4 4 2 3 2 3" xfId="5525"/>
    <cellStyle name="20% - 강조색3 4 4 2 3 2 4" xfId="5526"/>
    <cellStyle name="20% - 강조색3 4 4 2 3 3" xfId="5527"/>
    <cellStyle name="20% - 강조색3 4 4 2 3 3 2" xfId="5528"/>
    <cellStyle name="20% - 강조색3 4 4 2 3 3 3" xfId="5529"/>
    <cellStyle name="20% - 강조색3 4 4 2 3 4" xfId="5530"/>
    <cellStyle name="20% - 강조색3 4 4 2 3 5" xfId="5531"/>
    <cellStyle name="20% - 강조색3 4 4 2 4" xfId="5532"/>
    <cellStyle name="20% - 강조색3 4 4 2 4 2" xfId="5533"/>
    <cellStyle name="20% - 강조색3 4 4 2 4 2 2" xfId="5534"/>
    <cellStyle name="20% - 강조색3 4 4 2 4 2 3" xfId="5535"/>
    <cellStyle name="20% - 강조색3 4 4 2 4 3" xfId="5536"/>
    <cellStyle name="20% - 강조색3 4 4 2 4 4" xfId="5537"/>
    <cellStyle name="20% - 강조색3 4 4 2 5" xfId="5538"/>
    <cellStyle name="20% - 강조색3 4 4 2 5 2" xfId="5539"/>
    <cellStyle name="20% - 강조색3 4 4 2 5 3" xfId="5540"/>
    <cellStyle name="20% - 강조색3 4 4 2 6" xfId="5541"/>
    <cellStyle name="20% - 강조색3 4 4 2 7" xfId="5542"/>
    <cellStyle name="20% - 강조색3 4 4 3" xfId="5543"/>
    <cellStyle name="20% - 강조색3 4 4 3 2" xfId="5544"/>
    <cellStyle name="20% - 강조색3 4 4 3 2 2" xfId="5545"/>
    <cellStyle name="20% - 강조색3 4 4 3 2 2 2" xfId="5546"/>
    <cellStyle name="20% - 강조색3 4 4 3 2 2 2 2" xfId="5547"/>
    <cellStyle name="20% - 강조색3 4 4 3 2 2 2 3" xfId="5548"/>
    <cellStyle name="20% - 강조색3 4 4 3 2 2 3" xfId="5549"/>
    <cellStyle name="20% - 강조색3 4 4 3 2 2 4" xfId="5550"/>
    <cellStyle name="20% - 강조색3 4 4 3 2 3" xfId="5551"/>
    <cellStyle name="20% - 강조색3 4 4 3 2 3 2" xfId="5552"/>
    <cellStyle name="20% - 강조색3 4 4 3 2 3 3" xfId="5553"/>
    <cellStyle name="20% - 강조색3 4 4 3 2 4" xfId="5554"/>
    <cellStyle name="20% - 강조색3 4 4 3 2 5" xfId="5555"/>
    <cellStyle name="20% - 강조색3 4 4 3 3" xfId="5556"/>
    <cellStyle name="20% - 강조색3 4 4 3 3 2" xfId="5557"/>
    <cellStyle name="20% - 강조색3 4 4 3 3 2 2" xfId="5558"/>
    <cellStyle name="20% - 강조색3 4 4 3 3 2 2 2" xfId="5559"/>
    <cellStyle name="20% - 강조색3 4 4 3 3 2 2 3" xfId="5560"/>
    <cellStyle name="20% - 강조색3 4 4 3 3 2 3" xfId="5561"/>
    <cellStyle name="20% - 강조색3 4 4 3 3 2 4" xfId="5562"/>
    <cellStyle name="20% - 강조색3 4 4 3 3 3" xfId="5563"/>
    <cellStyle name="20% - 강조색3 4 4 3 3 3 2" xfId="5564"/>
    <cellStyle name="20% - 강조색3 4 4 3 3 3 3" xfId="5565"/>
    <cellStyle name="20% - 강조색3 4 4 3 3 4" xfId="5566"/>
    <cellStyle name="20% - 강조색3 4 4 3 3 5" xfId="5567"/>
    <cellStyle name="20% - 강조색3 4 4 3 4" xfId="5568"/>
    <cellStyle name="20% - 강조색3 4 4 3 4 2" xfId="5569"/>
    <cellStyle name="20% - 강조색3 4 4 3 4 2 2" xfId="5570"/>
    <cellStyle name="20% - 강조색3 4 4 3 4 2 3" xfId="5571"/>
    <cellStyle name="20% - 강조색3 4 4 3 4 3" xfId="5572"/>
    <cellStyle name="20% - 강조색3 4 4 3 4 4" xfId="5573"/>
    <cellStyle name="20% - 강조색3 4 4 3 5" xfId="5574"/>
    <cellStyle name="20% - 강조색3 4 4 3 5 2" xfId="5575"/>
    <cellStyle name="20% - 강조색3 4 4 3 5 3" xfId="5576"/>
    <cellStyle name="20% - 강조색3 4 4 3 6" xfId="5577"/>
    <cellStyle name="20% - 강조색3 4 4 3 7" xfId="5578"/>
    <cellStyle name="20% - 강조색3 4 4 4" xfId="5579"/>
    <cellStyle name="20% - 강조색3 4 4 4 2" xfId="5580"/>
    <cellStyle name="20% - 강조색3 4 4 4 2 2" xfId="5581"/>
    <cellStyle name="20% - 강조색3 4 4 4 2 2 2" xfId="5582"/>
    <cellStyle name="20% - 강조색3 4 4 4 2 2 3" xfId="5583"/>
    <cellStyle name="20% - 강조색3 4 4 4 2 3" xfId="5584"/>
    <cellStyle name="20% - 강조색3 4 4 4 2 4" xfId="5585"/>
    <cellStyle name="20% - 강조색3 4 4 4 3" xfId="5586"/>
    <cellStyle name="20% - 강조색3 4 4 4 3 2" xfId="5587"/>
    <cellStyle name="20% - 강조색3 4 4 4 3 3" xfId="5588"/>
    <cellStyle name="20% - 강조색3 4 4 4 4" xfId="5589"/>
    <cellStyle name="20% - 강조색3 4 4 4 5" xfId="5590"/>
    <cellStyle name="20% - 강조색3 4 4 5" xfId="5591"/>
    <cellStyle name="20% - 강조색3 4 4 5 2" xfId="5592"/>
    <cellStyle name="20% - 강조색3 4 4 5 2 2" xfId="5593"/>
    <cellStyle name="20% - 강조색3 4 4 5 2 2 2" xfId="5594"/>
    <cellStyle name="20% - 강조색3 4 4 5 2 2 3" xfId="5595"/>
    <cellStyle name="20% - 강조색3 4 4 5 2 3" xfId="5596"/>
    <cellStyle name="20% - 강조색3 4 4 5 2 4" xfId="5597"/>
    <cellStyle name="20% - 강조색3 4 4 5 3" xfId="5598"/>
    <cellStyle name="20% - 강조색3 4 4 5 3 2" xfId="5599"/>
    <cellStyle name="20% - 강조색3 4 4 5 3 3" xfId="5600"/>
    <cellStyle name="20% - 강조색3 4 4 5 4" xfId="5601"/>
    <cellStyle name="20% - 강조색3 4 4 5 5" xfId="5602"/>
    <cellStyle name="20% - 강조색3 4 4 6" xfId="5603"/>
    <cellStyle name="20% - 강조색3 4 4 6 2" xfId="5604"/>
    <cellStyle name="20% - 강조색3 4 4 6 2 2" xfId="5605"/>
    <cellStyle name="20% - 강조색3 4 4 6 2 2 2" xfId="5606"/>
    <cellStyle name="20% - 강조색3 4 4 6 2 2 3" xfId="5607"/>
    <cellStyle name="20% - 강조색3 4 4 6 2 3" xfId="5608"/>
    <cellStyle name="20% - 강조색3 4 4 6 2 4" xfId="5609"/>
    <cellStyle name="20% - 강조색3 4 4 6 3" xfId="5610"/>
    <cellStyle name="20% - 강조색3 4 4 6 3 2" xfId="5611"/>
    <cellStyle name="20% - 강조색3 4 4 6 3 3" xfId="5612"/>
    <cellStyle name="20% - 강조색3 4 4 6 4" xfId="5613"/>
    <cellStyle name="20% - 강조색3 4 4 6 5" xfId="5614"/>
    <cellStyle name="20% - 강조색3 4 4 7" xfId="5615"/>
    <cellStyle name="20% - 강조색3 4 4 7 2" xfId="5616"/>
    <cellStyle name="20% - 강조색3 4 4 7 2 2" xfId="5617"/>
    <cellStyle name="20% - 강조색3 4 4 7 2 3" xfId="5618"/>
    <cellStyle name="20% - 강조색3 4 4 7 3" xfId="5619"/>
    <cellStyle name="20% - 강조색3 4 4 7 4" xfId="5620"/>
    <cellStyle name="20% - 강조색3 4 4 8" xfId="5621"/>
    <cellStyle name="20% - 강조색3 4 4 8 2" xfId="5622"/>
    <cellStyle name="20% - 강조색3 4 4 8 3" xfId="5623"/>
    <cellStyle name="20% - 강조색3 4 4 9" xfId="5624"/>
    <cellStyle name="20% - 강조색3 4 5" xfId="5625"/>
    <cellStyle name="20% - 강조색3 4 5 2" xfId="5626"/>
    <cellStyle name="20% - 강조색3 4 5 2 2" xfId="5627"/>
    <cellStyle name="20% - 강조색3 4 5 2 2 2" xfId="5628"/>
    <cellStyle name="20% - 강조색3 4 5 2 2 2 2" xfId="5629"/>
    <cellStyle name="20% - 강조색3 4 5 2 2 2 3" xfId="5630"/>
    <cellStyle name="20% - 강조색3 4 5 2 2 3" xfId="5631"/>
    <cellStyle name="20% - 강조색3 4 5 2 2 4" xfId="5632"/>
    <cellStyle name="20% - 강조색3 4 5 2 3" xfId="5633"/>
    <cellStyle name="20% - 강조색3 4 5 2 3 2" xfId="5634"/>
    <cellStyle name="20% - 강조색3 4 5 2 3 3" xfId="5635"/>
    <cellStyle name="20% - 강조색3 4 5 2 4" xfId="5636"/>
    <cellStyle name="20% - 강조색3 4 5 2 5" xfId="5637"/>
    <cellStyle name="20% - 강조색3 4 5 3" xfId="5638"/>
    <cellStyle name="20% - 강조색3 4 5 3 2" xfId="5639"/>
    <cellStyle name="20% - 강조색3 4 5 3 2 2" xfId="5640"/>
    <cellStyle name="20% - 강조색3 4 5 3 2 2 2" xfId="5641"/>
    <cellStyle name="20% - 강조색3 4 5 3 2 2 3" xfId="5642"/>
    <cellStyle name="20% - 강조색3 4 5 3 2 3" xfId="5643"/>
    <cellStyle name="20% - 강조색3 4 5 3 2 4" xfId="5644"/>
    <cellStyle name="20% - 강조색3 4 5 3 3" xfId="5645"/>
    <cellStyle name="20% - 강조색3 4 5 3 3 2" xfId="5646"/>
    <cellStyle name="20% - 강조색3 4 5 3 3 3" xfId="5647"/>
    <cellStyle name="20% - 강조색3 4 5 3 4" xfId="5648"/>
    <cellStyle name="20% - 강조색3 4 5 3 5" xfId="5649"/>
    <cellStyle name="20% - 강조색3 4 5 4" xfId="5650"/>
    <cellStyle name="20% - 강조색3 4 5 4 2" xfId="5651"/>
    <cellStyle name="20% - 강조색3 4 5 4 2 2" xfId="5652"/>
    <cellStyle name="20% - 강조색3 4 5 4 2 3" xfId="5653"/>
    <cellStyle name="20% - 강조색3 4 5 4 3" xfId="5654"/>
    <cellStyle name="20% - 강조색3 4 5 4 4" xfId="5655"/>
    <cellStyle name="20% - 강조색3 4 5 5" xfId="5656"/>
    <cellStyle name="20% - 강조색3 4 5 5 2" xfId="5657"/>
    <cellStyle name="20% - 강조색3 4 5 5 3" xfId="5658"/>
    <cellStyle name="20% - 강조색3 4 5 6" xfId="5659"/>
    <cellStyle name="20% - 강조색3 4 5 7" xfId="5660"/>
    <cellStyle name="20% - 강조색3 4 6" xfId="5661"/>
    <cellStyle name="20% - 강조색3 4 6 2" xfId="5662"/>
    <cellStyle name="20% - 강조색3 4 6 2 2" xfId="5663"/>
    <cellStyle name="20% - 강조색3 4 6 2 2 2" xfId="5664"/>
    <cellStyle name="20% - 강조색3 4 6 2 2 2 2" xfId="5665"/>
    <cellStyle name="20% - 강조색3 4 6 2 2 2 3" xfId="5666"/>
    <cellStyle name="20% - 강조색3 4 6 2 2 3" xfId="5667"/>
    <cellStyle name="20% - 강조색3 4 6 2 2 4" xfId="5668"/>
    <cellStyle name="20% - 강조색3 4 6 2 3" xfId="5669"/>
    <cellStyle name="20% - 강조색3 4 6 2 3 2" xfId="5670"/>
    <cellStyle name="20% - 강조색3 4 6 2 3 3" xfId="5671"/>
    <cellStyle name="20% - 강조색3 4 6 2 4" xfId="5672"/>
    <cellStyle name="20% - 강조색3 4 6 2 5" xfId="5673"/>
    <cellStyle name="20% - 강조색3 4 6 3" xfId="5674"/>
    <cellStyle name="20% - 강조색3 4 6 3 2" xfId="5675"/>
    <cellStyle name="20% - 강조색3 4 6 3 2 2" xfId="5676"/>
    <cellStyle name="20% - 강조색3 4 6 3 2 2 2" xfId="5677"/>
    <cellStyle name="20% - 강조색3 4 6 3 2 2 3" xfId="5678"/>
    <cellStyle name="20% - 강조색3 4 6 3 2 3" xfId="5679"/>
    <cellStyle name="20% - 강조색3 4 6 3 2 4" xfId="5680"/>
    <cellStyle name="20% - 강조색3 4 6 3 3" xfId="5681"/>
    <cellStyle name="20% - 강조색3 4 6 3 3 2" xfId="5682"/>
    <cellStyle name="20% - 강조색3 4 6 3 3 3" xfId="5683"/>
    <cellStyle name="20% - 강조색3 4 6 3 4" xfId="5684"/>
    <cellStyle name="20% - 강조색3 4 6 3 5" xfId="5685"/>
    <cellStyle name="20% - 강조색3 4 6 4" xfId="5686"/>
    <cellStyle name="20% - 강조색3 4 6 4 2" xfId="5687"/>
    <cellStyle name="20% - 강조색3 4 6 4 2 2" xfId="5688"/>
    <cellStyle name="20% - 강조색3 4 6 4 2 3" xfId="5689"/>
    <cellStyle name="20% - 강조색3 4 6 4 3" xfId="5690"/>
    <cellStyle name="20% - 강조색3 4 6 4 4" xfId="5691"/>
    <cellStyle name="20% - 강조색3 4 6 5" xfId="5692"/>
    <cellStyle name="20% - 강조색3 4 6 5 2" xfId="5693"/>
    <cellStyle name="20% - 강조색3 4 6 5 3" xfId="5694"/>
    <cellStyle name="20% - 강조색3 4 6 6" xfId="5695"/>
    <cellStyle name="20% - 강조색3 4 6 7" xfId="5696"/>
    <cellStyle name="20% - 강조색3 4 7" xfId="5697"/>
    <cellStyle name="20% - 강조색3 4 7 2" xfId="5698"/>
    <cellStyle name="20% - 강조색3 4 7 2 2" xfId="5699"/>
    <cellStyle name="20% - 강조색3 4 7 2 2 2" xfId="5700"/>
    <cellStyle name="20% - 강조색3 4 7 2 2 3" xfId="5701"/>
    <cellStyle name="20% - 강조색3 4 7 2 3" xfId="5702"/>
    <cellStyle name="20% - 강조색3 4 7 2 4" xfId="5703"/>
    <cellStyle name="20% - 강조색3 4 7 3" xfId="5704"/>
    <cellStyle name="20% - 강조색3 4 7 3 2" xfId="5705"/>
    <cellStyle name="20% - 강조색3 4 7 3 3" xfId="5706"/>
    <cellStyle name="20% - 강조색3 4 7 4" xfId="5707"/>
    <cellStyle name="20% - 강조색3 4 7 5" xfId="5708"/>
    <cellStyle name="20% - 강조색3 4 8" xfId="5709"/>
    <cellStyle name="20% - 강조색3 4 8 2" xfId="5710"/>
    <cellStyle name="20% - 강조색3 4 8 2 2" xfId="5711"/>
    <cellStyle name="20% - 강조색3 4 8 2 2 2" xfId="5712"/>
    <cellStyle name="20% - 강조색3 4 8 2 2 3" xfId="5713"/>
    <cellStyle name="20% - 강조색3 4 8 2 3" xfId="5714"/>
    <cellStyle name="20% - 강조색3 4 8 2 4" xfId="5715"/>
    <cellStyle name="20% - 강조색3 4 8 3" xfId="5716"/>
    <cellStyle name="20% - 강조색3 4 8 3 2" xfId="5717"/>
    <cellStyle name="20% - 강조색3 4 8 3 3" xfId="5718"/>
    <cellStyle name="20% - 강조색3 4 8 4" xfId="5719"/>
    <cellStyle name="20% - 강조색3 4 8 5" xfId="5720"/>
    <cellStyle name="20% - 강조색3 4 9" xfId="5721"/>
    <cellStyle name="20% - 강조색3 4 9 2" xfId="5722"/>
    <cellStyle name="20% - 강조색3 4 9 2 2" xfId="5723"/>
    <cellStyle name="20% - 강조색3 4 9 2 2 2" xfId="5724"/>
    <cellStyle name="20% - 강조색3 4 9 2 2 3" xfId="5725"/>
    <cellStyle name="20% - 강조색3 4 9 2 3" xfId="5726"/>
    <cellStyle name="20% - 강조색3 4 9 2 4" xfId="5727"/>
    <cellStyle name="20% - 강조색3 4 9 3" xfId="5728"/>
    <cellStyle name="20% - 강조색3 4 9 3 2" xfId="5729"/>
    <cellStyle name="20% - 강조색3 4 9 3 3" xfId="5730"/>
    <cellStyle name="20% - 강조색3 4 9 4" xfId="5731"/>
    <cellStyle name="20% - 강조색3 4 9 5" xfId="5732"/>
    <cellStyle name="20% - 강조색3 40" xfId="5733"/>
    <cellStyle name="20% - 강조색3 41" xfId="5734"/>
    <cellStyle name="20% - 강조색3 42" xfId="5735"/>
    <cellStyle name="20% - 강조색3 43" xfId="5736"/>
    <cellStyle name="20% - 강조색3 44" xfId="5737"/>
    <cellStyle name="20% - 강조색3 45" xfId="5738"/>
    <cellStyle name="20% - 강조색3 46" xfId="5739"/>
    <cellStyle name="20% - 강조색3 47" xfId="5740"/>
    <cellStyle name="20% - 강조색3 48" xfId="5741"/>
    <cellStyle name="20% - 강조색3 49" xfId="5742"/>
    <cellStyle name="20% - 강조색3 5" xfId="5743"/>
    <cellStyle name="20% - 강조색3 5 10" xfId="5744"/>
    <cellStyle name="20% - 강조색3 5 11" xfId="5745"/>
    <cellStyle name="20% - 강조색3 5 2" xfId="5746"/>
    <cellStyle name="20% - 강조색3 5 2 2" xfId="5747"/>
    <cellStyle name="20% - 강조색3 5 2 2 2" xfId="5748"/>
    <cellStyle name="20% - 강조색3 5 2 2 2 2" xfId="5749"/>
    <cellStyle name="20% - 강조색3 5 2 2 2 2 2" xfId="5750"/>
    <cellStyle name="20% - 강조색3 5 2 2 2 2 3" xfId="5751"/>
    <cellStyle name="20% - 강조색3 5 2 2 2 3" xfId="5752"/>
    <cellStyle name="20% - 강조색3 5 2 2 2 4" xfId="5753"/>
    <cellStyle name="20% - 강조색3 5 2 2 3" xfId="5754"/>
    <cellStyle name="20% - 강조색3 5 2 2 3 2" xfId="5755"/>
    <cellStyle name="20% - 강조색3 5 2 2 3 3" xfId="5756"/>
    <cellStyle name="20% - 강조색3 5 2 2 4" xfId="5757"/>
    <cellStyle name="20% - 강조색3 5 2 2 5" xfId="5758"/>
    <cellStyle name="20% - 강조색3 5 2 3" xfId="5759"/>
    <cellStyle name="20% - 강조색3 5 2 3 2" xfId="5760"/>
    <cellStyle name="20% - 강조색3 5 2 3 2 2" xfId="5761"/>
    <cellStyle name="20% - 강조색3 5 2 3 2 2 2" xfId="5762"/>
    <cellStyle name="20% - 강조색3 5 2 3 2 2 3" xfId="5763"/>
    <cellStyle name="20% - 강조색3 5 2 3 2 3" xfId="5764"/>
    <cellStyle name="20% - 강조색3 5 2 3 2 4" xfId="5765"/>
    <cellStyle name="20% - 강조색3 5 2 3 3" xfId="5766"/>
    <cellStyle name="20% - 강조색3 5 2 3 3 2" xfId="5767"/>
    <cellStyle name="20% - 강조색3 5 2 3 3 3" xfId="5768"/>
    <cellStyle name="20% - 강조색3 5 2 3 4" xfId="5769"/>
    <cellStyle name="20% - 강조색3 5 2 3 5" xfId="5770"/>
    <cellStyle name="20% - 강조색3 5 2 4" xfId="5771"/>
    <cellStyle name="20% - 강조색3 5 2 4 2" xfId="5772"/>
    <cellStyle name="20% - 강조색3 5 2 4 2 2" xfId="5773"/>
    <cellStyle name="20% - 강조색3 5 2 4 2 3" xfId="5774"/>
    <cellStyle name="20% - 강조색3 5 2 4 3" xfId="5775"/>
    <cellStyle name="20% - 강조색3 5 2 4 4" xfId="5776"/>
    <cellStyle name="20% - 강조색3 5 2 5" xfId="5777"/>
    <cellStyle name="20% - 강조색3 5 2 5 2" xfId="5778"/>
    <cellStyle name="20% - 강조색3 5 2 5 3" xfId="5779"/>
    <cellStyle name="20% - 강조색3 5 2 6" xfId="5780"/>
    <cellStyle name="20% - 강조색3 5 2 7" xfId="5781"/>
    <cellStyle name="20% - 강조색3 5 3" xfId="5782"/>
    <cellStyle name="20% - 강조색3 5 3 2" xfId="5783"/>
    <cellStyle name="20% - 강조색3 5 3 2 2" xfId="5784"/>
    <cellStyle name="20% - 강조색3 5 3 2 2 2" xfId="5785"/>
    <cellStyle name="20% - 강조색3 5 3 2 2 2 2" xfId="5786"/>
    <cellStyle name="20% - 강조색3 5 3 2 2 2 3" xfId="5787"/>
    <cellStyle name="20% - 강조색3 5 3 2 2 3" xfId="5788"/>
    <cellStyle name="20% - 강조색3 5 3 2 2 4" xfId="5789"/>
    <cellStyle name="20% - 강조색3 5 3 2 3" xfId="5790"/>
    <cellStyle name="20% - 강조색3 5 3 2 3 2" xfId="5791"/>
    <cellStyle name="20% - 강조색3 5 3 2 3 3" xfId="5792"/>
    <cellStyle name="20% - 강조색3 5 3 2 4" xfId="5793"/>
    <cellStyle name="20% - 강조색3 5 3 2 5" xfId="5794"/>
    <cellStyle name="20% - 강조색3 5 3 3" xfId="5795"/>
    <cellStyle name="20% - 강조색3 5 3 3 2" xfId="5796"/>
    <cellStyle name="20% - 강조색3 5 3 3 2 2" xfId="5797"/>
    <cellStyle name="20% - 강조색3 5 3 3 2 2 2" xfId="5798"/>
    <cellStyle name="20% - 강조색3 5 3 3 2 2 3" xfId="5799"/>
    <cellStyle name="20% - 강조색3 5 3 3 2 3" xfId="5800"/>
    <cellStyle name="20% - 강조색3 5 3 3 2 4" xfId="5801"/>
    <cellStyle name="20% - 강조색3 5 3 3 3" xfId="5802"/>
    <cellStyle name="20% - 강조색3 5 3 3 3 2" xfId="5803"/>
    <cellStyle name="20% - 강조색3 5 3 3 3 3" xfId="5804"/>
    <cellStyle name="20% - 강조색3 5 3 3 4" xfId="5805"/>
    <cellStyle name="20% - 강조색3 5 3 3 5" xfId="5806"/>
    <cellStyle name="20% - 강조색3 5 3 4" xfId="5807"/>
    <cellStyle name="20% - 강조색3 5 3 4 2" xfId="5808"/>
    <cellStyle name="20% - 강조색3 5 3 4 2 2" xfId="5809"/>
    <cellStyle name="20% - 강조색3 5 3 4 2 3" xfId="5810"/>
    <cellStyle name="20% - 강조색3 5 3 4 3" xfId="5811"/>
    <cellStyle name="20% - 강조색3 5 3 4 4" xfId="5812"/>
    <cellStyle name="20% - 강조색3 5 3 5" xfId="5813"/>
    <cellStyle name="20% - 강조색3 5 3 5 2" xfId="5814"/>
    <cellStyle name="20% - 강조색3 5 3 5 3" xfId="5815"/>
    <cellStyle name="20% - 강조색3 5 3 6" xfId="5816"/>
    <cellStyle name="20% - 강조색3 5 3 7" xfId="5817"/>
    <cellStyle name="20% - 강조색3 5 4" xfId="5818"/>
    <cellStyle name="20% - 강조색3 5 4 2" xfId="5819"/>
    <cellStyle name="20% - 강조색3 5 4 2 2" xfId="5820"/>
    <cellStyle name="20% - 강조색3 5 4 2 2 2" xfId="5821"/>
    <cellStyle name="20% - 강조색3 5 4 2 2 3" xfId="5822"/>
    <cellStyle name="20% - 강조색3 5 4 2 3" xfId="5823"/>
    <cellStyle name="20% - 강조색3 5 4 2 4" xfId="5824"/>
    <cellStyle name="20% - 강조색3 5 4 3" xfId="5825"/>
    <cellStyle name="20% - 강조색3 5 4 3 2" xfId="5826"/>
    <cellStyle name="20% - 강조색3 5 4 3 3" xfId="5827"/>
    <cellStyle name="20% - 강조색3 5 4 4" xfId="5828"/>
    <cellStyle name="20% - 강조색3 5 4 5" xfId="5829"/>
    <cellStyle name="20% - 강조색3 5 5" xfId="5830"/>
    <cellStyle name="20% - 강조색3 5 5 2" xfId="5831"/>
    <cellStyle name="20% - 강조색3 5 5 2 2" xfId="5832"/>
    <cellStyle name="20% - 강조색3 5 5 2 2 2" xfId="5833"/>
    <cellStyle name="20% - 강조색3 5 5 2 2 3" xfId="5834"/>
    <cellStyle name="20% - 강조색3 5 5 2 3" xfId="5835"/>
    <cellStyle name="20% - 강조색3 5 5 2 4" xfId="5836"/>
    <cellStyle name="20% - 강조색3 5 5 3" xfId="5837"/>
    <cellStyle name="20% - 강조색3 5 5 3 2" xfId="5838"/>
    <cellStyle name="20% - 강조색3 5 5 3 3" xfId="5839"/>
    <cellStyle name="20% - 강조색3 5 5 4" xfId="5840"/>
    <cellStyle name="20% - 강조색3 5 5 5" xfId="5841"/>
    <cellStyle name="20% - 강조색3 5 6" xfId="5842"/>
    <cellStyle name="20% - 강조색3 5 6 2" xfId="5843"/>
    <cellStyle name="20% - 강조색3 5 6 2 2" xfId="5844"/>
    <cellStyle name="20% - 강조색3 5 6 2 2 2" xfId="5845"/>
    <cellStyle name="20% - 강조색3 5 6 2 2 3" xfId="5846"/>
    <cellStyle name="20% - 강조색3 5 6 2 3" xfId="5847"/>
    <cellStyle name="20% - 강조색3 5 6 2 4" xfId="5848"/>
    <cellStyle name="20% - 강조색3 5 6 3" xfId="5849"/>
    <cellStyle name="20% - 강조색3 5 6 3 2" xfId="5850"/>
    <cellStyle name="20% - 강조색3 5 6 3 3" xfId="5851"/>
    <cellStyle name="20% - 강조색3 5 6 4" xfId="5852"/>
    <cellStyle name="20% - 강조색3 5 6 5" xfId="5853"/>
    <cellStyle name="20% - 강조색3 5 7" xfId="5854"/>
    <cellStyle name="20% - 강조색3 5 7 2" xfId="5855"/>
    <cellStyle name="20% - 강조색3 5 7 2 2" xfId="5856"/>
    <cellStyle name="20% - 강조색3 5 7 2 3" xfId="5857"/>
    <cellStyle name="20% - 강조색3 5 7 3" xfId="5858"/>
    <cellStyle name="20% - 강조색3 5 7 4" xfId="5859"/>
    <cellStyle name="20% - 강조색3 5 8" xfId="5860"/>
    <cellStyle name="20% - 강조색3 5 8 2" xfId="5861"/>
    <cellStyle name="20% - 강조색3 5 8 3" xfId="5862"/>
    <cellStyle name="20% - 강조색3 5 9" xfId="5863"/>
    <cellStyle name="20% - 강조색3 50" xfId="5864"/>
    <cellStyle name="20% - 강조색3 51" xfId="5865"/>
    <cellStyle name="20% - 강조색3 52" xfId="5866"/>
    <cellStyle name="20% - 강조색3 53" xfId="5867"/>
    <cellStyle name="20% - 강조색3 54" xfId="5868"/>
    <cellStyle name="20% - 강조색3 55" xfId="5869"/>
    <cellStyle name="20% - 강조색3 56" xfId="5870"/>
    <cellStyle name="20% - 강조색3 57" xfId="5871"/>
    <cellStyle name="20% - 강조색3 58" xfId="5872"/>
    <cellStyle name="20% - 강조색3 59" xfId="5873"/>
    <cellStyle name="20% - 강조색3 6" xfId="5874"/>
    <cellStyle name="20% - 강조색3 6 10" xfId="5875"/>
    <cellStyle name="20% - 강조색3 6 2" xfId="5876"/>
    <cellStyle name="20% - 강조색3 6 2 2" xfId="5877"/>
    <cellStyle name="20% - 강조색3 6 2 2 2" xfId="5878"/>
    <cellStyle name="20% - 강조색3 6 2 2 2 2" xfId="5879"/>
    <cellStyle name="20% - 강조색3 6 2 2 2 2 2" xfId="5880"/>
    <cellStyle name="20% - 강조색3 6 2 2 2 2 3" xfId="5881"/>
    <cellStyle name="20% - 강조색3 6 2 2 2 3" xfId="5882"/>
    <cellStyle name="20% - 강조색3 6 2 2 2 4" xfId="5883"/>
    <cellStyle name="20% - 강조색3 6 2 2 3" xfId="5884"/>
    <cellStyle name="20% - 강조색3 6 2 2 3 2" xfId="5885"/>
    <cellStyle name="20% - 강조색3 6 2 2 3 3" xfId="5886"/>
    <cellStyle name="20% - 강조색3 6 2 2 4" xfId="5887"/>
    <cellStyle name="20% - 강조색3 6 2 2 5" xfId="5888"/>
    <cellStyle name="20% - 강조색3 6 2 3" xfId="5889"/>
    <cellStyle name="20% - 강조색3 6 2 3 2" xfId="5890"/>
    <cellStyle name="20% - 강조색3 6 2 3 2 2" xfId="5891"/>
    <cellStyle name="20% - 강조색3 6 2 3 2 2 2" xfId="5892"/>
    <cellStyle name="20% - 강조색3 6 2 3 2 2 3" xfId="5893"/>
    <cellStyle name="20% - 강조색3 6 2 3 2 3" xfId="5894"/>
    <cellStyle name="20% - 강조색3 6 2 3 2 4" xfId="5895"/>
    <cellStyle name="20% - 강조색3 6 2 3 3" xfId="5896"/>
    <cellStyle name="20% - 강조색3 6 2 3 3 2" xfId="5897"/>
    <cellStyle name="20% - 강조색3 6 2 3 3 3" xfId="5898"/>
    <cellStyle name="20% - 강조색3 6 2 3 4" xfId="5899"/>
    <cellStyle name="20% - 강조색3 6 2 3 5" xfId="5900"/>
    <cellStyle name="20% - 강조색3 6 2 4" xfId="5901"/>
    <cellStyle name="20% - 강조색3 6 2 4 2" xfId="5902"/>
    <cellStyle name="20% - 강조색3 6 2 4 2 2" xfId="5903"/>
    <cellStyle name="20% - 강조색3 6 2 4 2 3" xfId="5904"/>
    <cellStyle name="20% - 강조색3 6 2 4 3" xfId="5905"/>
    <cellStyle name="20% - 강조색3 6 2 4 4" xfId="5906"/>
    <cellStyle name="20% - 강조색3 6 2 5" xfId="5907"/>
    <cellStyle name="20% - 강조색3 6 2 5 2" xfId="5908"/>
    <cellStyle name="20% - 강조색3 6 2 5 3" xfId="5909"/>
    <cellStyle name="20% - 강조색3 6 2 6" xfId="5910"/>
    <cellStyle name="20% - 강조색3 6 2 7" xfId="5911"/>
    <cellStyle name="20% - 강조색3 6 3" xfId="5912"/>
    <cellStyle name="20% - 강조색3 6 3 2" xfId="5913"/>
    <cellStyle name="20% - 강조색3 6 3 2 2" xfId="5914"/>
    <cellStyle name="20% - 강조색3 6 3 2 2 2" xfId="5915"/>
    <cellStyle name="20% - 강조색3 6 3 2 2 2 2" xfId="5916"/>
    <cellStyle name="20% - 강조색3 6 3 2 2 2 3" xfId="5917"/>
    <cellStyle name="20% - 강조색3 6 3 2 2 3" xfId="5918"/>
    <cellStyle name="20% - 강조색3 6 3 2 2 4" xfId="5919"/>
    <cellStyle name="20% - 강조색3 6 3 2 3" xfId="5920"/>
    <cellStyle name="20% - 강조색3 6 3 2 3 2" xfId="5921"/>
    <cellStyle name="20% - 강조색3 6 3 2 3 3" xfId="5922"/>
    <cellStyle name="20% - 강조색3 6 3 2 4" xfId="5923"/>
    <cellStyle name="20% - 강조색3 6 3 2 5" xfId="5924"/>
    <cellStyle name="20% - 강조색3 6 3 3" xfId="5925"/>
    <cellStyle name="20% - 강조색3 6 3 3 2" xfId="5926"/>
    <cellStyle name="20% - 강조색3 6 3 3 2 2" xfId="5927"/>
    <cellStyle name="20% - 강조색3 6 3 3 2 2 2" xfId="5928"/>
    <cellStyle name="20% - 강조색3 6 3 3 2 2 3" xfId="5929"/>
    <cellStyle name="20% - 강조색3 6 3 3 2 3" xfId="5930"/>
    <cellStyle name="20% - 강조색3 6 3 3 2 4" xfId="5931"/>
    <cellStyle name="20% - 강조색3 6 3 3 3" xfId="5932"/>
    <cellStyle name="20% - 강조색3 6 3 3 3 2" xfId="5933"/>
    <cellStyle name="20% - 강조색3 6 3 3 3 3" xfId="5934"/>
    <cellStyle name="20% - 강조색3 6 3 3 4" xfId="5935"/>
    <cellStyle name="20% - 강조색3 6 3 3 5" xfId="5936"/>
    <cellStyle name="20% - 강조색3 6 3 4" xfId="5937"/>
    <cellStyle name="20% - 강조색3 6 3 4 2" xfId="5938"/>
    <cellStyle name="20% - 강조색3 6 3 4 2 2" xfId="5939"/>
    <cellStyle name="20% - 강조색3 6 3 4 2 3" xfId="5940"/>
    <cellStyle name="20% - 강조색3 6 3 4 3" xfId="5941"/>
    <cellStyle name="20% - 강조색3 6 3 4 4" xfId="5942"/>
    <cellStyle name="20% - 강조색3 6 3 5" xfId="5943"/>
    <cellStyle name="20% - 강조색3 6 3 5 2" xfId="5944"/>
    <cellStyle name="20% - 강조색3 6 3 5 3" xfId="5945"/>
    <cellStyle name="20% - 강조색3 6 3 6" xfId="5946"/>
    <cellStyle name="20% - 강조색3 6 3 7" xfId="5947"/>
    <cellStyle name="20% - 강조색3 6 4" xfId="5948"/>
    <cellStyle name="20% - 강조색3 6 4 2" xfId="5949"/>
    <cellStyle name="20% - 강조색3 6 4 2 2" xfId="5950"/>
    <cellStyle name="20% - 강조색3 6 4 2 2 2" xfId="5951"/>
    <cellStyle name="20% - 강조색3 6 4 2 2 3" xfId="5952"/>
    <cellStyle name="20% - 강조색3 6 4 2 3" xfId="5953"/>
    <cellStyle name="20% - 강조색3 6 4 2 4" xfId="5954"/>
    <cellStyle name="20% - 강조색3 6 4 3" xfId="5955"/>
    <cellStyle name="20% - 강조색3 6 4 3 2" xfId="5956"/>
    <cellStyle name="20% - 강조색3 6 4 3 3" xfId="5957"/>
    <cellStyle name="20% - 강조색3 6 4 4" xfId="5958"/>
    <cellStyle name="20% - 강조색3 6 4 5" xfId="5959"/>
    <cellStyle name="20% - 강조색3 6 5" xfId="5960"/>
    <cellStyle name="20% - 강조색3 6 5 2" xfId="5961"/>
    <cellStyle name="20% - 강조색3 6 5 2 2" xfId="5962"/>
    <cellStyle name="20% - 강조색3 6 5 2 2 2" xfId="5963"/>
    <cellStyle name="20% - 강조색3 6 5 2 2 3" xfId="5964"/>
    <cellStyle name="20% - 강조색3 6 5 2 3" xfId="5965"/>
    <cellStyle name="20% - 강조색3 6 5 2 4" xfId="5966"/>
    <cellStyle name="20% - 강조색3 6 5 3" xfId="5967"/>
    <cellStyle name="20% - 강조색3 6 5 3 2" xfId="5968"/>
    <cellStyle name="20% - 강조색3 6 5 3 3" xfId="5969"/>
    <cellStyle name="20% - 강조색3 6 5 4" xfId="5970"/>
    <cellStyle name="20% - 강조색3 6 5 5" xfId="5971"/>
    <cellStyle name="20% - 강조색3 6 6" xfId="5972"/>
    <cellStyle name="20% - 강조색3 6 6 2" xfId="5973"/>
    <cellStyle name="20% - 강조색3 6 6 2 2" xfId="5974"/>
    <cellStyle name="20% - 강조색3 6 6 2 2 2" xfId="5975"/>
    <cellStyle name="20% - 강조색3 6 6 2 2 3" xfId="5976"/>
    <cellStyle name="20% - 강조색3 6 6 2 3" xfId="5977"/>
    <cellStyle name="20% - 강조색3 6 6 2 4" xfId="5978"/>
    <cellStyle name="20% - 강조색3 6 6 3" xfId="5979"/>
    <cellStyle name="20% - 강조색3 6 6 3 2" xfId="5980"/>
    <cellStyle name="20% - 강조색3 6 6 3 3" xfId="5981"/>
    <cellStyle name="20% - 강조색3 6 6 4" xfId="5982"/>
    <cellStyle name="20% - 강조색3 6 6 5" xfId="5983"/>
    <cellStyle name="20% - 강조색3 6 7" xfId="5984"/>
    <cellStyle name="20% - 강조색3 6 7 2" xfId="5985"/>
    <cellStyle name="20% - 강조색3 6 7 2 2" xfId="5986"/>
    <cellStyle name="20% - 강조색3 6 7 2 3" xfId="5987"/>
    <cellStyle name="20% - 강조색3 6 7 3" xfId="5988"/>
    <cellStyle name="20% - 강조색3 6 7 4" xfId="5989"/>
    <cellStyle name="20% - 강조색3 6 8" xfId="5990"/>
    <cellStyle name="20% - 강조색3 6 8 2" xfId="5991"/>
    <cellStyle name="20% - 강조색3 6 8 3" xfId="5992"/>
    <cellStyle name="20% - 강조색3 6 9" xfId="5993"/>
    <cellStyle name="20% - 강조색3 60" xfId="5994"/>
    <cellStyle name="20% - 강조색3 61" xfId="5995"/>
    <cellStyle name="20% - 강조색3 62" xfId="5996"/>
    <cellStyle name="20% - 강조색3 63" xfId="5997"/>
    <cellStyle name="20% - 강조색3 64" xfId="5998"/>
    <cellStyle name="20% - 강조색3 65" xfId="5999"/>
    <cellStyle name="20% - 강조색3 66" xfId="6000"/>
    <cellStyle name="20% - 강조색3 67" xfId="6001"/>
    <cellStyle name="20% - 강조색3 68" xfId="6002"/>
    <cellStyle name="20% - 강조색3 69" xfId="6003"/>
    <cellStyle name="20% - 강조색3 7" xfId="6004"/>
    <cellStyle name="20% - 강조색3 7 10" xfId="6005"/>
    <cellStyle name="20% - 강조색3 7 2" xfId="6006"/>
    <cellStyle name="20% - 강조색3 7 2 2" xfId="6007"/>
    <cellStyle name="20% - 강조색3 7 2 2 2" xfId="6008"/>
    <cellStyle name="20% - 강조색3 7 2 2 2 2" xfId="6009"/>
    <cellStyle name="20% - 강조색3 7 2 2 2 2 2" xfId="6010"/>
    <cellStyle name="20% - 강조색3 7 2 2 2 2 3" xfId="6011"/>
    <cellStyle name="20% - 강조색3 7 2 2 2 3" xfId="6012"/>
    <cellStyle name="20% - 강조색3 7 2 2 2 4" xfId="6013"/>
    <cellStyle name="20% - 강조색3 7 2 2 3" xfId="6014"/>
    <cellStyle name="20% - 강조색3 7 2 2 3 2" xfId="6015"/>
    <cellStyle name="20% - 강조색3 7 2 2 3 3" xfId="6016"/>
    <cellStyle name="20% - 강조색3 7 2 2 4" xfId="6017"/>
    <cellStyle name="20% - 강조색3 7 2 2 5" xfId="6018"/>
    <cellStyle name="20% - 강조색3 7 2 3" xfId="6019"/>
    <cellStyle name="20% - 강조색3 7 2 3 2" xfId="6020"/>
    <cellStyle name="20% - 강조색3 7 2 3 2 2" xfId="6021"/>
    <cellStyle name="20% - 강조색3 7 2 3 2 2 2" xfId="6022"/>
    <cellStyle name="20% - 강조색3 7 2 3 2 2 3" xfId="6023"/>
    <cellStyle name="20% - 강조색3 7 2 3 2 3" xfId="6024"/>
    <cellStyle name="20% - 강조색3 7 2 3 2 4" xfId="6025"/>
    <cellStyle name="20% - 강조색3 7 2 3 3" xfId="6026"/>
    <cellStyle name="20% - 강조색3 7 2 3 3 2" xfId="6027"/>
    <cellStyle name="20% - 강조색3 7 2 3 3 3" xfId="6028"/>
    <cellStyle name="20% - 강조색3 7 2 3 4" xfId="6029"/>
    <cellStyle name="20% - 강조색3 7 2 3 5" xfId="6030"/>
    <cellStyle name="20% - 강조색3 7 2 4" xfId="6031"/>
    <cellStyle name="20% - 강조색3 7 2 4 2" xfId="6032"/>
    <cellStyle name="20% - 강조색3 7 2 4 2 2" xfId="6033"/>
    <cellStyle name="20% - 강조색3 7 2 4 2 3" xfId="6034"/>
    <cellStyle name="20% - 강조색3 7 2 4 3" xfId="6035"/>
    <cellStyle name="20% - 강조색3 7 2 4 4" xfId="6036"/>
    <cellStyle name="20% - 강조색3 7 2 5" xfId="6037"/>
    <cellStyle name="20% - 강조색3 7 2 5 2" xfId="6038"/>
    <cellStyle name="20% - 강조색3 7 2 5 3" xfId="6039"/>
    <cellStyle name="20% - 강조색3 7 2 6" xfId="6040"/>
    <cellStyle name="20% - 강조색3 7 2 7" xfId="6041"/>
    <cellStyle name="20% - 강조색3 7 3" xfId="6042"/>
    <cellStyle name="20% - 강조색3 7 3 2" xfId="6043"/>
    <cellStyle name="20% - 강조색3 7 3 2 2" xfId="6044"/>
    <cellStyle name="20% - 강조색3 7 3 2 2 2" xfId="6045"/>
    <cellStyle name="20% - 강조색3 7 3 2 2 2 2" xfId="6046"/>
    <cellStyle name="20% - 강조색3 7 3 2 2 2 3" xfId="6047"/>
    <cellStyle name="20% - 강조색3 7 3 2 2 3" xfId="6048"/>
    <cellStyle name="20% - 강조색3 7 3 2 2 4" xfId="6049"/>
    <cellStyle name="20% - 강조색3 7 3 2 3" xfId="6050"/>
    <cellStyle name="20% - 강조색3 7 3 2 3 2" xfId="6051"/>
    <cellStyle name="20% - 강조색3 7 3 2 3 3" xfId="6052"/>
    <cellStyle name="20% - 강조색3 7 3 2 4" xfId="6053"/>
    <cellStyle name="20% - 강조색3 7 3 2 5" xfId="6054"/>
    <cellStyle name="20% - 강조색3 7 3 3" xfId="6055"/>
    <cellStyle name="20% - 강조색3 7 3 3 2" xfId="6056"/>
    <cellStyle name="20% - 강조색3 7 3 3 2 2" xfId="6057"/>
    <cellStyle name="20% - 강조색3 7 3 3 2 2 2" xfId="6058"/>
    <cellStyle name="20% - 강조색3 7 3 3 2 2 3" xfId="6059"/>
    <cellStyle name="20% - 강조색3 7 3 3 2 3" xfId="6060"/>
    <cellStyle name="20% - 강조색3 7 3 3 2 4" xfId="6061"/>
    <cellStyle name="20% - 강조색3 7 3 3 3" xfId="6062"/>
    <cellStyle name="20% - 강조색3 7 3 3 3 2" xfId="6063"/>
    <cellStyle name="20% - 강조색3 7 3 3 3 3" xfId="6064"/>
    <cellStyle name="20% - 강조색3 7 3 3 4" xfId="6065"/>
    <cellStyle name="20% - 강조색3 7 3 3 5" xfId="6066"/>
    <cellStyle name="20% - 강조색3 7 3 4" xfId="6067"/>
    <cellStyle name="20% - 강조색3 7 3 4 2" xfId="6068"/>
    <cellStyle name="20% - 강조색3 7 3 4 2 2" xfId="6069"/>
    <cellStyle name="20% - 강조색3 7 3 4 2 3" xfId="6070"/>
    <cellStyle name="20% - 강조색3 7 3 4 3" xfId="6071"/>
    <cellStyle name="20% - 강조색3 7 3 4 4" xfId="6072"/>
    <cellStyle name="20% - 강조색3 7 3 5" xfId="6073"/>
    <cellStyle name="20% - 강조색3 7 3 5 2" xfId="6074"/>
    <cellStyle name="20% - 강조색3 7 3 5 3" xfId="6075"/>
    <cellStyle name="20% - 강조색3 7 3 6" xfId="6076"/>
    <cellStyle name="20% - 강조색3 7 3 7" xfId="6077"/>
    <cellStyle name="20% - 강조색3 7 4" xfId="6078"/>
    <cellStyle name="20% - 강조색3 7 4 2" xfId="6079"/>
    <cellStyle name="20% - 강조색3 7 4 2 2" xfId="6080"/>
    <cellStyle name="20% - 강조색3 7 4 2 2 2" xfId="6081"/>
    <cellStyle name="20% - 강조색3 7 4 2 2 3" xfId="6082"/>
    <cellStyle name="20% - 강조색3 7 4 2 3" xfId="6083"/>
    <cellStyle name="20% - 강조색3 7 4 2 4" xfId="6084"/>
    <cellStyle name="20% - 강조색3 7 4 3" xfId="6085"/>
    <cellStyle name="20% - 강조색3 7 4 3 2" xfId="6086"/>
    <cellStyle name="20% - 강조색3 7 4 3 3" xfId="6087"/>
    <cellStyle name="20% - 강조색3 7 4 4" xfId="6088"/>
    <cellStyle name="20% - 강조색3 7 4 5" xfId="6089"/>
    <cellStyle name="20% - 강조색3 7 5" xfId="6090"/>
    <cellStyle name="20% - 강조색3 7 5 2" xfId="6091"/>
    <cellStyle name="20% - 강조색3 7 5 2 2" xfId="6092"/>
    <cellStyle name="20% - 강조색3 7 5 2 2 2" xfId="6093"/>
    <cellStyle name="20% - 강조색3 7 5 2 2 3" xfId="6094"/>
    <cellStyle name="20% - 강조색3 7 5 2 3" xfId="6095"/>
    <cellStyle name="20% - 강조색3 7 5 2 4" xfId="6096"/>
    <cellStyle name="20% - 강조색3 7 5 3" xfId="6097"/>
    <cellStyle name="20% - 강조색3 7 5 3 2" xfId="6098"/>
    <cellStyle name="20% - 강조색3 7 5 3 3" xfId="6099"/>
    <cellStyle name="20% - 강조색3 7 5 4" xfId="6100"/>
    <cellStyle name="20% - 강조색3 7 5 5" xfId="6101"/>
    <cellStyle name="20% - 강조색3 7 6" xfId="6102"/>
    <cellStyle name="20% - 강조색3 7 6 2" xfId="6103"/>
    <cellStyle name="20% - 강조색3 7 6 2 2" xfId="6104"/>
    <cellStyle name="20% - 강조색3 7 6 2 2 2" xfId="6105"/>
    <cellStyle name="20% - 강조색3 7 6 2 2 3" xfId="6106"/>
    <cellStyle name="20% - 강조색3 7 6 2 3" xfId="6107"/>
    <cellStyle name="20% - 강조색3 7 6 2 4" xfId="6108"/>
    <cellStyle name="20% - 강조색3 7 6 3" xfId="6109"/>
    <cellStyle name="20% - 강조색3 7 6 3 2" xfId="6110"/>
    <cellStyle name="20% - 강조색3 7 6 3 3" xfId="6111"/>
    <cellStyle name="20% - 강조색3 7 6 4" xfId="6112"/>
    <cellStyle name="20% - 강조색3 7 6 5" xfId="6113"/>
    <cellStyle name="20% - 강조색3 7 7" xfId="6114"/>
    <cellStyle name="20% - 강조색3 7 7 2" xfId="6115"/>
    <cellStyle name="20% - 강조색3 7 7 2 2" xfId="6116"/>
    <cellStyle name="20% - 강조색3 7 7 2 3" xfId="6117"/>
    <cellStyle name="20% - 강조색3 7 7 3" xfId="6118"/>
    <cellStyle name="20% - 강조색3 7 7 4" xfId="6119"/>
    <cellStyle name="20% - 강조색3 7 8" xfId="6120"/>
    <cellStyle name="20% - 강조색3 7 8 2" xfId="6121"/>
    <cellStyle name="20% - 강조색3 7 8 3" xfId="6122"/>
    <cellStyle name="20% - 강조색3 7 9" xfId="6123"/>
    <cellStyle name="20% - 강조색3 8" xfId="6124"/>
    <cellStyle name="20% - 강조색3 8 2" xfId="6125"/>
    <cellStyle name="20% - 강조색3 8 2 2" xfId="6126"/>
    <cellStyle name="20% - 강조색3 8 2 2 2" xfId="6127"/>
    <cellStyle name="20% - 강조색3 8 2 2 2 2" xfId="6128"/>
    <cellStyle name="20% - 강조색3 8 2 2 2 3" xfId="6129"/>
    <cellStyle name="20% - 강조색3 8 2 2 3" xfId="6130"/>
    <cellStyle name="20% - 강조색3 8 2 2 4" xfId="6131"/>
    <cellStyle name="20% - 강조색3 8 2 3" xfId="6132"/>
    <cellStyle name="20% - 강조색3 8 2 3 2" xfId="6133"/>
    <cellStyle name="20% - 강조색3 8 2 3 3" xfId="6134"/>
    <cellStyle name="20% - 강조색3 8 2 4" xfId="6135"/>
    <cellStyle name="20% - 강조색3 8 2 5" xfId="6136"/>
    <cellStyle name="20% - 강조색3 8 3" xfId="6137"/>
    <cellStyle name="20% - 강조색3 8 3 2" xfId="6138"/>
    <cellStyle name="20% - 강조색3 8 3 2 2" xfId="6139"/>
    <cellStyle name="20% - 강조색3 8 3 2 2 2" xfId="6140"/>
    <cellStyle name="20% - 강조색3 8 3 2 2 3" xfId="6141"/>
    <cellStyle name="20% - 강조색3 8 3 2 3" xfId="6142"/>
    <cellStyle name="20% - 강조색3 8 3 2 4" xfId="6143"/>
    <cellStyle name="20% - 강조색3 8 3 3" xfId="6144"/>
    <cellStyle name="20% - 강조색3 8 3 3 2" xfId="6145"/>
    <cellStyle name="20% - 강조색3 8 3 3 3" xfId="6146"/>
    <cellStyle name="20% - 강조색3 8 3 4" xfId="6147"/>
    <cellStyle name="20% - 강조색3 8 3 5" xfId="6148"/>
    <cellStyle name="20% - 강조색3 8 4" xfId="6149"/>
    <cellStyle name="20% - 강조색3 8 4 2" xfId="6150"/>
    <cellStyle name="20% - 강조색3 8 4 2 2" xfId="6151"/>
    <cellStyle name="20% - 강조색3 8 4 2 3" xfId="6152"/>
    <cellStyle name="20% - 강조색3 8 4 3" xfId="6153"/>
    <cellStyle name="20% - 강조색3 8 4 4" xfId="6154"/>
    <cellStyle name="20% - 강조색3 8 5" xfId="6155"/>
    <cellStyle name="20% - 강조색3 8 5 2" xfId="6156"/>
    <cellStyle name="20% - 강조색3 8 5 3" xfId="6157"/>
    <cellStyle name="20% - 강조색3 8 6" xfId="6158"/>
    <cellStyle name="20% - 강조색3 8 7" xfId="6159"/>
    <cellStyle name="20% - 강조색3 9" xfId="6160"/>
    <cellStyle name="20% - 강조색3 9 2" xfId="6161"/>
    <cellStyle name="20% - 강조색3 9 2 2" xfId="6162"/>
    <cellStyle name="20% - 강조색3 9 2 2 2" xfId="6163"/>
    <cellStyle name="20% - 강조색3 9 2 2 2 2" xfId="6164"/>
    <cellStyle name="20% - 강조색3 9 2 2 2 3" xfId="6165"/>
    <cellStyle name="20% - 강조색3 9 2 2 3" xfId="6166"/>
    <cellStyle name="20% - 강조색3 9 2 2 4" xfId="6167"/>
    <cellStyle name="20% - 강조색3 9 2 3" xfId="6168"/>
    <cellStyle name="20% - 강조색3 9 2 3 2" xfId="6169"/>
    <cellStyle name="20% - 강조색3 9 2 3 3" xfId="6170"/>
    <cellStyle name="20% - 강조색3 9 2 4" xfId="6171"/>
    <cellStyle name="20% - 강조색3 9 2 5" xfId="6172"/>
    <cellStyle name="20% - 강조색3 9 3" xfId="6173"/>
    <cellStyle name="20% - 강조색3 9 3 2" xfId="6174"/>
    <cellStyle name="20% - 강조색3 9 3 2 2" xfId="6175"/>
    <cellStyle name="20% - 강조색3 9 3 2 2 2" xfId="6176"/>
    <cellStyle name="20% - 강조색3 9 3 2 2 3" xfId="6177"/>
    <cellStyle name="20% - 강조색3 9 3 2 3" xfId="6178"/>
    <cellStyle name="20% - 강조색3 9 3 2 4" xfId="6179"/>
    <cellStyle name="20% - 강조색3 9 3 3" xfId="6180"/>
    <cellStyle name="20% - 강조색3 9 3 3 2" xfId="6181"/>
    <cellStyle name="20% - 강조색3 9 3 3 3" xfId="6182"/>
    <cellStyle name="20% - 강조색3 9 3 4" xfId="6183"/>
    <cellStyle name="20% - 강조색3 9 3 5" xfId="6184"/>
    <cellStyle name="20% - 강조색3 9 4" xfId="6185"/>
    <cellStyle name="20% - 강조색3 9 4 2" xfId="6186"/>
    <cellStyle name="20% - 강조색3 9 4 2 2" xfId="6187"/>
    <cellStyle name="20% - 강조색3 9 4 2 3" xfId="6188"/>
    <cellStyle name="20% - 강조색3 9 4 3" xfId="6189"/>
    <cellStyle name="20% - 강조색3 9 4 4" xfId="6190"/>
    <cellStyle name="20% - 강조색3 9 5" xfId="6191"/>
    <cellStyle name="20% - 강조색3 9 5 2" xfId="6192"/>
    <cellStyle name="20% - 강조색3 9 5 3" xfId="6193"/>
    <cellStyle name="20% - 강조색3 9 6" xfId="6194"/>
    <cellStyle name="20% - 강조색3 9 7" xfId="6195"/>
    <cellStyle name="20% - 강조색4 10" xfId="6196"/>
    <cellStyle name="20% - 강조색4 10 2" xfId="6197"/>
    <cellStyle name="20% - 강조색4 10 2 2" xfId="6198"/>
    <cellStyle name="20% - 강조색4 10 2 2 2" xfId="6199"/>
    <cellStyle name="20% - 강조색4 10 2 2 2 2" xfId="6200"/>
    <cellStyle name="20% - 강조색4 10 2 2 2 3" xfId="6201"/>
    <cellStyle name="20% - 강조색4 10 2 2 3" xfId="6202"/>
    <cellStyle name="20% - 강조색4 10 2 2 4" xfId="6203"/>
    <cellStyle name="20% - 강조색4 10 2 3" xfId="6204"/>
    <cellStyle name="20% - 강조색4 10 2 3 2" xfId="6205"/>
    <cellStyle name="20% - 강조색4 10 2 3 3" xfId="6206"/>
    <cellStyle name="20% - 강조색4 10 2 4" xfId="6207"/>
    <cellStyle name="20% - 강조색4 10 2 5" xfId="6208"/>
    <cellStyle name="20% - 강조색4 10 3" xfId="6209"/>
    <cellStyle name="20% - 강조색4 10 3 2" xfId="6210"/>
    <cellStyle name="20% - 강조색4 10 3 2 2" xfId="6211"/>
    <cellStyle name="20% - 강조색4 10 3 2 2 2" xfId="6212"/>
    <cellStyle name="20% - 강조색4 10 3 2 2 3" xfId="6213"/>
    <cellStyle name="20% - 강조색4 10 3 2 3" xfId="6214"/>
    <cellStyle name="20% - 강조색4 10 3 2 4" xfId="6215"/>
    <cellStyle name="20% - 강조색4 10 3 3" xfId="6216"/>
    <cellStyle name="20% - 강조색4 10 3 3 2" xfId="6217"/>
    <cellStyle name="20% - 강조색4 10 3 3 3" xfId="6218"/>
    <cellStyle name="20% - 강조색4 10 3 4" xfId="6219"/>
    <cellStyle name="20% - 강조색4 10 3 5" xfId="6220"/>
    <cellStyle name="20% - 강조색4 10 4" xfId="6221"/>
    <cellStyle name="20% - 강조색4 10 4 2" xfId="6222"/>
    <cellStyle name="20% - 강조색4 10 4 2 2" xfId="6223"/>
    <cellStyle name="20% - 강조색4 10 4 2 3" xfId="6224"/>
    <cellStyle name="20% - 강조색4 10 4 3" xfId="6225"/>
    <cellStyle name="20% - 강조색4 10 4 4" xfId="6226"/>
    <cellStyle name="20% - 강조색4 10 5" xfId="6227"/>
    <cellStyle name="20% - 강조색4 10 5 2" xfId="6228"/>
    <cellStyle name="20% - 강조색4 10 5 3" xfId="6229"/>
    <cellStyle name="20% - 강조색4 10 6" xfId="6230"/>
    <cellStyle name="20% - 강조색4 10 7" xfId="6231"/>
    <cellStyle name="20% - 강조색4 11" xfId="6232"/>
    <cellStyle name="20% - 강조색4 11 2" xfId="6233"/>
    <cellStyle name="20% - 강조색4 11 2 2" xfId="6234"/>
    <cellStyle name="20% - 강조색4 11 2 2 2" xfId="6235"/>
    <cellStyle name="20% - 강조색4 11 2 2 3" xfId="6236"/>
    <cellStyle name="20% - 강조색4 11 2 3" xfId="6237"/>
    <cellStyle name="20% - 강조색4 11 2 4" xfId="6238"/>
    <cellStyle name="20% - 강조색4 11 3" xfId="6239"/>
    <cellStyle name="20% - 강조색4 11 3 2" xfId="6240"/>
    <cellStyle name="20% - 강조색4 11 3 3" xfId="6241"/>
    <cellStyle name="20% - 강조색4 11 4" xfId="6242"/>
    <cellStyle name="20% - 강조색4 11 5" xfId="6243"/>
    <cellStyle name="20% - 강조색4 12" xfId="6244"/>
    <cellStyle name="20% - 강조색4 12 2" xfId="6245"/>
    <cellStyle name="20% - 강조색4 12 2 2" xfId="6246"/>
    <cellStyle name="20% - 강조색4 12 2 2 2" xfId="6247"/>
    <cellStyle name="20% - 강조색4 12 2 2 3" xfId="6248"/>
    <cellStyle name="20% - 강조색4 12 2 3" xfId="6249"/>
    <cellStyle name="20% - 강조색4 12 2 4" xfId="6250"/>
    <cellStyle name="20% - 강조색4 12 3" xfId="6251"/>
    <cellStyle name="20% - 강조색4 12 3 2" xfId="6252"/>
    <cellStyle name="20% - 강조색4 12 3 3" xfId="6253"/>
    <cellStyle name="20% - 강조색4 12 4" xfId="6254"/>
    <cellStyle name="20% - 강조색4 12 5" xfId="6255"/>
    <cellStyle name="20% - 강조색4 13" xfId="6256"/>
    <cellStyle name="20% - 강조색4 13 2" xfId="6257"/>
    <cellStyle name="20% - 강조색4 13 2 2" xfId="6258"/>
    <cellStyle name="20% - 강조색4 13 2 3" xfId="6259"/>
    <cellStyle name="20% - 강조색4 13 3" xfId="6260"/>
    <cellStyle name="20% - 강조색4 13 4" xfId="6261"/>
    <cellStyle name="20% - 강조색4 14" xfId="6262"/>
    <cellStyle name="20% - 강조색4 14 2" xfId="6263"/>
    <cellStyle name="20% - 강조색4 14 2 2" xfId="6264"/>
    <cellStyle name="20% - 강조색4 14 2 3" xfId="6265"/>
    <cellStyle name="20% - 강조색4 14 3" xfId="6266"/>
    <cellStyle name="20% - 강조색4 14 4" xfId="6267"/>
    <cellStyle name="20% - 강조색4 15" xfId="6268"/>
    <cellStyle name="20% - 강조색4 15 2" xfId="6269"/>
    <cellStyle name="20% - 강조색4 15 3" xfId="6270"/>
    <cellStyle name="20% - 강조색4 16" xfId="6271"/>
    <cellStyle name="20% - 강조색4 16 2" xfId="6272"/>
    <cellStyle name="20% - 강조색4 16 3" xfId="6273"/>
    <cellStyle name="20% - 강조색4 16 4" xfId="6274"/>
    <cellStyle name="20% - 강조색4 17" xfId="6275"/>
    <cellStyle name="20% - 강조색4 17 2" xfId="6276"/>
    <cellStyle name="20% - 강조색4 17 3" xfId="6277"/>
    <cellStyle name="20% - 강조색4 18" xfId="6278"/>
    <cellStyle name="20% - 강조색4 18 2" xfId="6279"/>
    <cellStyle name="20% - 강조색4 18 3" xfId="6280"/>
    <cellStyle name="20% - 강조색4 19" xfId="6281"/>
    <cellStyle name="20% - 강조색4 19 2" xfId="6282"/>
    <cellStyle name="20% - 강조색4 19 3" xfId="6283"/>
    <cellStyle name="20% - 강조색4 2" xfId="6284"/>
    <cellStyle name="20% - 강조색4 2 2" xfId="6285"/>
    <cellStyle name="20% - 강조색4 2 2 2" xfId="6286"/>
    <cellStyle name="20% - 강조색4 2 2 2 2" xfId="6287"/>
    <cellStyle name="20% - 강조색4 2 2 3" xfId="6288"/>
    <cellStyle name="20% - 강조색4 2 3" xfId="6289"/>
    <cellStyle name="20% - 강조색4 2 3 2" xfId="6290"/>
    <cellStyle name="20% - 강조색4 2 3 2 2" xfId="6291"/>
    <cellStyle name="20% - 강조색4 2 3 3" xfId="6292"/>
    <cellStyle name="20% - 강조색4 2 4" xfId="6293"/>
    <cellStyle name="20% - 강조색4 2 4 2" xfId="6294"/>
    <cellStyle name="20% - 강조색4 2 5" xfId="6295"/>
    <cellStyle name="20% - 강조색4 2 6" xfId="6296"/>
    <cellStyle name="20% - 강조색4 20" xfId="6297"/>
    <cellStyle name="20% - 강조색4 20 2" xfId="6298"/>
    <cellStyle name="20% - 강조색4 20 3" xfId="6299"/>
    <cellStyle name="20% - 강조색4 21" xfId="6300"/>
    <cellStyle name="20% - 강조색4 21 2" xfId="6301"/>
    <cellStyle name="20% - 강조색4 21 3" xfId="6302"/>
    <cellStyle name="20% - 강조색4 22" xfId="6303"/>
    <cellStyle name="20% - 강조색4 22 2" xfId="6304"/>
    <cellStyle name="20% - 강조색4 22 3" xfId="6305"/>
    <cellStyle name="20% - 강조색4 23" xfId="6306"/>
    <cellStyle name="20% - 강조색4 23 2" xfId="6307"/>
    <cellStyle name="20% - 강조색4 23 3" xfId="6308"/>
    <cellStyle name="20% - 강조색4 24" xfId="6309"/>
    <cellStyle name="20% - 강조색4 24 2" xfId="6310"/>
    <cellStyle name="20% - 강조색4 25" xfId="6311"/>
    <cellStyle name="20% - 강조색4 25 2" xfId="6312"/>
    <cellStyle name="20% - 강조색4 26" xfId="6313"/>
    <cellStyle name="20% - 강조색4 26 2" xfId="6314"/>
    <cellStyle name="20% - 강조색4 27" xfId="6315"/>
    <cellStyle name="20% - 강조색4 27 2" xfId="6316"/>
    <cellStyle name="20% - 강조색4 28" xfId="6317"/>
    <cellStyle name="20% - 강조색4 28 2" xfId="6318"/>
    <cellStyle name="20% - 강조색4 29" xfId="6319"/>
    <cellStyle name="20% - 강조색4 29 2" xfId="6320"/>
    <cellStyle name="20% - 강조색4 3" xfId="6321"/>
    <cellStyle name="20% - 강조색4 3 10" xfId="6322"/>
    <cellStyle name="20% - 강조색4 3 10 2" xfId="6323"/>
    <cellStyle name="20% - 강조색4 3 10 2 2" xfId="6324"/>
    <cellStyle name="20% - 강조색4 3 10 2 3" xfId="6325"/>
    <cellStyle name="20% - 강조색4 3 10 3" xfId="6326"/>
    <cellStyle name="20% - 강조색4 3 10 4" xfId="6327"/>
    <cellStyle name="20% - 강조색4 3 11" xfId="6328"/>
    <cellStyle name="20% - 강조색4 3 11 2" xfId="6329"/>
    <cellStyle name="20% - 강조색4 3 11 3" xfId="6330"/>
    <cellStyle name="20% - 강조색4 3 12" xfId="6331"/>
    <cellStyle name="20% - 강조색4 3 13" xfId="6332"/>
    <cellStyle name="20% - 강조색4 3 14" xfId="6333"/>
    <cellStyle name="20% - 강조색4 3 15" xfId="6334"/>
    <cellStyle name="20% - 강조색4 3 2" xfId="6335"/>
    <cellStyle name="20% - 강조색4 3 2 10" xfId="6336"/>
    <cellStyle name="20% - 강조색4 3 2 11" xfId="6337"/>
    <cellStyle name="20% - 강조색4 3 2 12" xfId="6338"/>
    <cellStyle name="20% - 강조색4 3 2 2" xfId="6339"/>
    <cellStyle name="20% - 강조색4 3 2 2 2" xfId="6340"/>
    <cellStyle name="20% - 강조색4 3 2 2 2 2" xfId="6341"/>
    <cellStyle name="20% - 강조색4 3 2 2 2 2 2" xfId="6342"/>
    <cellStyle name="20% - 강조색4 3 2 2 2 2 2 2" xfId="6343"/>
    <cellStyle name="20% - 강조색4 3 2 2 2 2 2 3" xfId="6344"/>
    <cellStyle name="20% - 강조색4 3 2 2 2 2 3" xfId="6345"/>
    <cellStyle name="20% - 강조색4 3 2 2 2 2 4" xfId="6346"/>
    <cellStyle name="20% - 강조색4 3 2 2 2 3" xfId="6347"/>
    <cellStyle name="20% - 강조색4 3 2 2 2 3 2" xfId="6348"/>
    <cellStyle name="20% - 강조색4 3 2 2 2 3 3" xfId="6349"/>
    <cellStyle name="20% - 강조색4 3 2 2 2 4" xfId="6350"/>
    <cellStyle name="20% - 강조색4 3 2 2 2 5" xfId="6351"/>
    <cellStyle name="20% - 강조색4 3 2 2 3" xfId="6352"/>
    <cellStyle name="20% - 강조색4 3 2 2 3 2" xfId="6353"/>
    <cellStyle name="20% - 강조색4 3 2 2 3 2 2" xfId="6354"/>
    <cellStyle name="20% - 강조색4 3 2 2 3 2 2 2" xfId="6355"/>
    <cellStyle name="20% - 강조색4 3 2 2 3 2 2 3" xfId="6356"/>
    <cellStyle name="20% - 강조색4 3 2 2 3 2 3" xfId="6357"/>
    <cellStyle name="20% - 강조색4 3 2 2 3 2 4" xfId="6358"/>
    <cellStyle name="20% - 강조색4 3 2 2 3 3" xfId="6359"/>
    <cellStyle name="20% - 강조색4 3 2 2 3 3 2" xfId="6360"/>
    <cellStyle name="20% - 강조색4 3 2 2 3 3 3" xfId="6361"/>
    <cellStyle name="20% - 강조색4 3 2 2 3 4" xfId="6362"/>
    <cellStyle name="20% - 강조색4 3 2 2 3 5" xfId="6363"/>
    <cellStyle name="20% - 강조색4 3 2 2 4" xfId="6364"/>
    <cellStyle name="20% - 강조색4 3 2 2 4 2" xfId="6365"/>
    <cellStyle name="20% - 강조색4 3 2 2 4 2 2" xfId="6366"/>
    <cellStyle name="20% - 강조색4 3 2 2 4 2 3" xfId="6367"/>
    <cellStyle name="20% - 강조색4 3 2 2 4 3" xfId="6368"/>
    <cellStyle name="20% - 강조색4 3 2 2 4 4" xfId="6369"/>
    <cellStyle name="20% - 강조색4 3 2 2 5" xfId="6370"/>
    <cellStyle name="20% - 강조색4 3 2 2 5 2" xfId="6371"/>
    <cellStyle name="20% - 강조색4 3 2 2 5 3" xfId="6372"/>
    <cellStyle name="20% - 강조색4 3 2 2 6" xfId="6373"/>
    <cellStyle name="20% - 강조색4 3 2 2 7" xfId="6374"/>
    <cellStyle name="20% - 강조색4 3 2 2 8" xfId="6375"/>
    <cellStyle name="20% - 강조색4 3 2 2 9" xfId="6376"/>
    <cellStyle name="20% - 강조색4 3 2 3" xfId="6377"/>
    <cellStyle name="20% - 강조색4 3 2 3 2" xfId="6378"/>
    <cellStyle name="20% - 강조색4 3 2 3 2 2" xfId="6379"/>
    <cellStyle name="20% - 강조색4 3 2 3 2 2 2" xfId="6380"/>
    <cellStyle name="20% - 강조색4 3 2 3 2 2 2 2" xfId="6381"/>
    <cellStyle name="20% - 강조색4 3 2 3 2 2 2 3" xfId="6382"/>
    <cellStyle name="20% - 강조색4 3 2 3 2 2 3" xfId="6383"/>
    <cellStyle name="20% - 강조색4 3 2 3 2 2 4" xfId="6384"/>
    <cellStyle name="20% - 강조색4 3 2 3 2 3" xfId="6385"/>
    <cellStyle name="20% - 강조색4 3 2 3 2 3 2" xfId="6386"/>
    <cellStyle name="20% - 강조색4 3 2 3 2 3 3" xfId="6387"/>
    <cellStyle name="20% - 강조색4 3 2 3 2 4" xfId="6388"/>
    <cellStyle name="20% - 강조색4 3 2 3 2 5" xfId="6389"/>
    <cellStyle name="20% - 강조색4 3 2 3 3" xfId="6390"/>
    <cellStyle name="20% - 강조색4 3 2 3 3 2" xfId="6391"/>
    <cellStyle name="20% - 강조색4 3 2 3 3 2 2" xfId="6392"/>
    <cellStyle name="20% - 강조색4 3 2 3 3 2 2 2" xfId="6393"/>
    <cellStyle name="20% - 강조색4 3 2 3 3 2 2 3" xfId="6394"/>
    <cellStyle name="20% - 강조색4 3 2 3 3 2 3" xfId="6395"/>
    <cellStyle name="20% - 강조색4 3 2 3 3 2 4" xfId="6396"/>
    <cellStyle name="20% - 강조색4 3 2 3 3 3" xfId="6397"/>
    <cellStyle name="20% - 강조색4 3 2 3 3 3 2" xfId="6398"/>
    <cellStyle name="20% - 강조색4 3 2 3 3 3 3" xfId="6399"/>
    <cellStyle name="20% - 강조색4 3 2 3 3 4" xfId="6400"/>
    <cellStyle name="20% - 강조색4 3 2 3 3 5" xfId="6401"/>
    <cellStyle name="20% - 강조색4 3 2 3 4" xfId="6402"/>
    <cellStyle name="20% - 강조색4 3 2 3 4 2" xfId="6403"/>
    <cellStyle name="20% - 강조색4 3 2 3 4 2 2" xfId="6404"/>
    <cellStyle name="20% - 강조색4 3 2 3 4 2 3" xfId="6405"/>
    <cellStyle name="20% - 강조색4 3 2 3 4 3" xfId="6406"/>
    <cellStyle name="20% - 강조색4 3 2 3 4 4" xfId="6407"/>
    <cellStyle name="20% - 강조색4 3 2 3 5" xfId="6408"/>
    <cellStyle name="20% - 강조색4 3 2 3 5 2" xfId="6409"/>
    <cellStyle name="20% - 강조색4 3 2 3 5 3" xfId="6410"/>
    <cellStyle name="20% - 강조색4 3 2 3 6" xfId="6411"/>
    <cellStyle name="20% - 강조색4 3 2 3 7" xfId="6412"/>
    <cellStyle name="20% - 강조색4 3 2 4" xfId="6413"/>
    <cellStyle name="20% - 강조색4 3 2 4 2" xfId="6414"/>
    <cellStyle name="20% - 강조색4 3 2 4 2 2" xfId="6415"/>
    <cellStyle name="20% - 강조색4 3 2 4 2 2 2" xfId="6416"/>
    <cellStyle name="20% - 강조색4 3 2 4 2 2 3" xfId="6417"/>
    <cellStyle name="20% - 강조색4 3 2 4 2 3" xfId="6418"/>
    <cellStyle name="20% - 강조색4 3 2 4 2 4" xfId="6419"/>
    <cellStyle name="20% - 강조색4 3 2 4 3" xfId="6420"/>
    <cellStyle name="20% - 강조색4 3 2 4 3 2" xfId="6421"/>
    <cellStyle name="20% - 강조색4 3 2 4 3 3" xfId="6422"/>
    <cellStyle name="20% - 강조색4 3 2 4 4" xfId="6423"/>
    <cellStyle name="20% - 강조색4 3 2 4 5" xfId="6424"/>
    <cellStyle name="20% - 강조색4 3 2 5" xfId="6425"/>
    <cellStyle name="20% - 강조색4 3 2 5 2" xfId="6426"/>
    <cellStyle name="20% - 강조색4 3 2 5 2 2" xfId="6427"/>
    <cellStyle name="20% - 강조색4 3 2 5 2 2 2" xfId="6428"/>
    <cellStyle name="20% - 강조색4 3 2 5 2 2 3" xfId="6429"/>
    <cellStyle name="20% - 강조색4 3 2 5 2 3" xfId="6430"/>
    <cellStyle name="20% - 강조색4 3 2 5 2 4" xfId="6431"/>
    <cellStyle name="20% - 강조색4 3 2 5 3" xfId="6432"/>
    <cellStyle name="20% - 강조색4 3 2 5 3 2" xfId="6433"/>
    <cellStyle name="20% - 강조색4 3 2 5 3 3" xfId="6434"/>
    <cellStyle name="20% - 강조색4 3 2 5 4" xfId="6435"/>
    <cellStyle name="20% - 강조색4 3 2 5 5" xfId="6436"/>
    <cellStyle name="20% - 강조색4 3 2 6" xfId="6437"/>
    <cellStyle name="20% - 강조색4 3 2 6 2" xfId="6438"/>
    <cellStyle name="20% - 강조색4 3 2 6 2 2" xfId="6439"/>
    <cellStyle name="20% - 강조색4 3 2 6 2 2 2" xfId="6440"/>
    <cellStyle name="20% - 강조색4 3 2 6 2 2 3" xfId="6441"/>
    <cellStyle name="20% - 강조색4 3 2 6 2 3" xfId="6442"/>
    <cellStyle name="20% - 강조색4 3 2 6 2 4" xfId="6443"/>
    <cellStyle name="20% - 강조색4 3 2 6 3" xfId="6444"/>
    <cellStyle name="20% - 강조색4 3 2 6 3 2" xfId="6445"/>
    <cellStyle name="20% - 강조색4 3 2 6 3 3" xfId="6446"/>
    <cellStyle name="20% - 강조색4 3 2 6 4" xfId="6447"/>
    <cellStyle name="20% - 강조색4 3 2 6 5" xfId="6448"/>
    <cellStyle name="20% - 강조색4 3 2 7" xfId="6449"/>
    <cellStyle name="20% - 강조색4 3 2 7 2" xfId="6450"/>
    <cellStyle name="20% - 강조색4 3 2 7 2 2" xfId="6451"/>
    <cellStyle name="20% - 강조색4 3 2 7 2 3" xfId="6452"/>
    <cellStyle name="20% - 강조색4 3 2 7 3" xfId="6453"/>
    <cellStyle name="20% - 강조색4 3 2 7 4" xfId="6454"/>
    <cellStyle name="20% - 강조색4 3 2 8" xfId="6455"/>
    <cellStyle name="20% - 강조색4 3 2 8 2" xfId="6456"/>
    <cellStyle name="20% - 강조색4 3 2 8 3" xfId="6457"/>
    <cellStyle name="20% - 강조색4 3 2 9" xfId="6458"/>
    <cellStyle name="20% - 강조색4 3 3" xfId="6459"/>
    <cellStyle name="20% - 강조색4 3 3 10" xfId="6460"/>
    <cellStyle name="20% - 강조색4 3 3 11" xfId="6461"/>
    <cellStyle name="20% - 강조색4 3 3 12" xfId="6462"/>
    <cellStyle name="20% - 강조색4 3 3 2" xfId="6463"/>
    <cellStyle name="20% - 강조색4 3 3 2 2" xfId="6464"/>
    <cellStyle name="20% - 강조색4 3 3 2 2 2" xfId="6465"/>
    <cellStyle name="20% - 강조색4 3 3 2 2 2 2" xfId="6466"/>
    <cellStyle name="20% - 강조색4 3 3 2 2 2 2 2" xfId="6467"/>
    <cellStyle name="20% - 강조색4 3 3 2 2 2 2 3" xfId="6468"/>
    <cellStyle name="20% - 강조색4 3 3 2 2 2 3" xfId="6469"/>
    <cellStyle name="20% - 강조색4 3 3 2 2 2 4" xfId="6470"/>
    <cellStyle name="20% - 강조색4 3 3 2 2 3" xfId="6471"/>
    <cellStyle name="20% - 강조색4 3 3 2 2 3 2" xfId="6472"/>
    <cellStyle name="20% - 강조색4 3 3 2 2 3 3" xfId="6473"/>
    <cellStyle name="20% - 강조색4 3 3 2 2 4" xfId="6474"/>
    <cellStyle name="20% - 강조색4 3 3 2 2 5" xfId="6475"/>
    <cellStyle name="20% - 강조색4 3 3 2 3" xfId="6476"/>
    <cellStyle name="20% - 강조색4 3 3 2 3 2" xfId="6477"/>
    <cellStyle name="20% - 강조색4 3 3 2 3 2 2" xfId="6478"/>
    <cellStyle name="20% - 강조색4 3 3 2 3 2 2 2" xfId="6479"/>
    <cellStyle name="20% - 강조색4 3 3 2 3 2 2 3" xfId="6480"/>
    <cellStyle name="20% - 강조색4 3 3 2 3 2 3" xfId="6481"/>
    <cellStyle name="20% - 강조색4 3 3 2 3 2 4" xfId="6482"/>
    <cellStyle name="20% - 강조색4 3 3 2 3 3" xfId="6483"/>
    <cellStyle name="20% - 강조색4 3 3 2 3 3 2" xfId="6484"/>
    <cellStyle name="20% - 강조색4 3 3 2 3 3 3" xfId="6485"/>
    <cellStyle name="20% - 강조색4 3 3 2 3 4" xfId="6486"/>
    <cellStyle name="20% - 강조색4 3 3 2 3 5" xfId="6487"/>
    <cellStyle name="20% - 강조색4 3 3 2 4" xfId="6488"/>
    <cellStyle name="20% - 강조색4 3 3 2 4 2" xfId="6489"/>
    <cellStyle name="20% - 강조색4 3 3 2 4 2 2" xfId="6490"/>
    <cellStyle name="20% - 강조색4 3 3 2 4 2 3" xfId="6491"/>
    <cellStyle name="20% - 강조색4 3 3 2 4 3" xfId="6492"/>
    <cellStyle name="20% - 강조색4 3 3 2 4 4" xfId="6493"/>
    <cellStyle name="20% - 강조색4 3 3 2 5" xfId="6494"/>
    <cellStyle name="20% - 강조색4 3 3 2 5 2" xfId="6495"/>
    <cellStyle name="20% - 강조색4 3 3 2 5 3" xfId="6496"/>
    <cellStyle name="20% - 강조색4 3 3 2 6" xfId="6497"/>
    <cellStyle name="20% - 강조색4 3 3 2 7" xfId="6498"/>
    <cellStyle name="20% - 강조색4 3 3 2 8" xfId="6499"/>
    <cellStyle name="20% - 강조색4 3 3 2 9" xfId="6500"/>
    <cellStyle name="20% - 강조색4 3 3 3" xfId="6501"/>
    <cellStyle name="20% - 강조색4 3 3 3 2" xfId="6502"/>
    <cellStyle name="20% - 강조색4 3 3 3 2 2" xfId="6503"/>
    <cellStyle name="20% - 강조색4 3 3 3 2 2 2" xfId="6504"/>
    <cellStyle name="20% - 강조색4 3 3 3 2 2 2 2" xfId="6505"/>
    <cellStyle name="20% - 강조색4 3 3 3 2 2 2 3" xfId="6506"/>
    <cellStyle name="20% - 강조색4 3 3 3 2 2 3" xfId="6507"/>
    <cellStyle name="20% - 강조색4 3 3 3 2 2 4" xfId="6508"/>
    <cellStyle name="20% - 강조색4 3 3 3 2 3" xfId="6509"/>
    <cellStyle name="20% - 강조색4 3 3 3 2 3 2" xfId="6510"/>
    <cellStyle name="20% - 강조색4 3 3 3 2 3 3" xfId="6511"/>
    <cellStyle name="20% - 강조색4 3 3 3 2 4" xfId="6512"/>
    <cellStyle name="20% - 강조색4 3 3 3 2 5" xfId="6513"/>
    <cellStyle name="20% - 강조색4 3 3 3 3" xfId="6514"/>
    <cellStyle name="20% - 강조색4 3 3 3 3 2" xfId="6515"/>
    <cellStyle name="20% - 강조색4 3 3 3 3 2 2" xfId="6516"/>
    <cellStyle name="20% - 강조색4 3 3 3 3 2 2 2" xfId="6517"/>
    <cellStyle name="20% - 강조색4 3 3 3 3 2 2 3" xfId="6518"/>
    <cellStyle name="20% - 강조색4 3 3 3 3 2 3" xfId="6519"/>
    <cellStyle name="20% - 강조색4 3 3 3 3 2 4" xfId="6520"/>
    <cellStyle name="20% - 강조색4 3 3 3 3 3" xfId="6521"/>
    <cellStyle name="20% - 강조색4 3 3 3 3 3 2" xfId="6522"/>
    <cellStyle name="20% - 강조색4 3 3 3 3 3 3" xfId="6523"/>
    <cellStyle name="20% - 강조색4 3 3 3 3 4" xfId="6524"/>
    <cellStyle name="20% - 강조색4 3 3 3 3 5" xfId="6525"/>
    <cellStyle name="20% - 강조색4 3 3 3 4" xfId="6526"/>
    <cellStyle name="20% - 강조색4 3 3 3 4 2" xfId="6527"/>
    <cellStyle name="20% - 강조색4 3 3 3 4 2 2" xfId="6528"/>
    <cellStyle name="20% - 강조색4 3 3 3 4 2 3" xfId="6529"/>
    <cellStyle name="20% - 강조색4 3 3 3 4 3" xfId="6530"/>
    <cellStyle name="20% - 강조색4 3 3 3 4 4" xfId="6531"/>
    <cellStyle name="20% - 강조색4 3 3 3 5" xfId="6532"/>
    <cellStyle name="20% - 강조색4 3 3 3 5 2" xfId="6533"/>
    <cellStyle name="20% - 강조색4 3 3 3 5 3" xfId="6534"/>
    <cellStyle name="20% - 강조색4 3 3 3 6" xfId="6535"/>
    <cellStyle name="20% - 강조색4 3 3 3 7" xfId="6536"/>
    <cellStyle name="20% - 강조색4 3 3 4" xfId="6537"/>
    <cellStyle name="20% - 강조색4 3 3 4 2" xfId="6538"/>
    <cellStyle name="20% - 강조색4 3 3 4 2 2" xfId="6539"/>
    <cellStyle name="20% - 강조색4 3 3 4 2 2 2" xfId="6540"/>
    <cellStyle name="20% - 강조색4 3 3 4 2 2 3" xfId="6541"/>
    <cellStyle name="20% - 강조색4 3 3 4 2 3" xfId="6542"/>
    <cellStyle name="20% - 강조색4 3 3 4 2 4" xfId="6543"/>
    <cellStyle name="20% - 강조색4 3 3 4 3" xfId="6544"/>
    <cellStyle name="20% - 강조색4 3 3 4 3 2" xfId="6545"/>
    <cellStyle name="20% - 강조색4 3 3 4 3 3" xfId="6546"/>
    <cellStyle name="20% - 강조색4 3 3 4 4" xfId="6547"/>
    <cellStyle name="20% - 강조색4 3 3 4 5" xfId="6548"/>
    <cellStyle name="20% - 강조색4 3 3 5" xfId="6549"/>
    <cellStyle name="20% - 강조색4 3 3 5 2" xfId="6550"/>
    <cellStyle name="20% - 강조색4 3 3 5 2 2" xfId="6551"/>
    <cellStyle name="20% - 강조색4 3 3 5 2 2 2" xfId="6552"/>
    <cellStyle name="20% - 강조색4 3 3 5 2 2 3" xfId="6553"/>
    <cellStyle name="20% - 강조색4 3 3 5 2 3" xfId="6554"/>
    <cellStyle name="20% - 강조색4 3 3 5 2 4" xfId="6555"/>
    <cellStyle name="20% - 강조색4 3 3 5 3" xfId="6556"/>
    <cellStyle name="20% - 강조색4 3 3 5 3 2" xfId="6557"/>
    <cellStyle name="20% - 강조색4 3 3 5 3 3" xfId="6558"/>
    <cellStyle name="20% - 강조색4 3 3 5 4" xfId="6559"/>
    <cellStyle name="20% - 강조색4 3 3 5 5" xfId="6560"/>
    <cellStyle name="20% - 강조색4 3 3 6" xfId="6561"/>
    <cellStyle name="20% - 강조색4 3 3 6 2" xfId="6562"/>
    <cellStyle name="20% - 강조색4 3 3 6 2 2" xfId="6563"/>
    <cellStyle name="20% - 강조색4 3 3 6 2 2 2" xfId="6564"/>
    <cellStyle name="20% - 강조색4 3 3 6 2 2 3" xfId="6565"/>
    <cellStyle name="20% - 강조색4 3 3 6 2 3" xfId="6566"/>
    <cellStyle name="20% - 강조색4 3 3 6 2 4" xfId="6567"/>
    <cellStyle name="20% - 강조색4 3 3 6 3" xfId="6568"/>
    <cellStyle name="20% - 강조색4 3 3 6 3 2" xfId="6569"/>
    <cellStyle name="20% - 강조색4 3 3 6 3 3" xfId="6570"/>
    <cellStyle name="20% - 강조색4 3 3 6 4" xfId="6571"/>
    <cellStyle name="20% - 강조색4 3 3 6 5" xfId="6572"/>
    <cellStyle name="20% - 강조색4 3 3 7" xfId="6573"/>
    <cellStyle name="20% - 강조색4 3 3 7 2" xfId="6574"/>
    <cellStyle name="20% - 강조색4 3 3 7 2 2" xfId="6575"/>
    <cellStyle name="20% - 강조색4 3 3 7 2 3" xfId="6576"/>
    <cellStyle name="20% - 강조색4 3 3 7 3" xfId="6577"/>
    <cellStyle name="20% - 강조색4 3 3 7 4" xfId="6578"/>
    <cellStyle name="20% - 강조색4 3 3 8" xfId="6579"/>
    <cellStyle name="20% - 강조색4 3 3 8 2" xfId="6580"/>
    <cellStyle name="20% - 강조색4 3 3 8 3" xfId="6581"/>
    <cellStyle name="20% - 강조색4 3 3 9" xfId="6582"/>
    <cellStyle name="20% - 강조색4 3 4" xfId="6583"/>
    <cellStyle name="20% - 강조색4 3 4 10" xfId="6584"/>
    <cellStyle name="20% - 강조색4 3 4 11" xfId="6585"/>
    <cellStyle name="20% - 강조색4 3 4 12" xfId="6586"/>
    <cellStyle name="20% - 강조색4 3 4 2" xfId="6587"/>
    <cellStyle name="20% - 강조색4 3 4 2 2" xfId="6588"/>
    <cellStyle name="20% - 강조색4 3 4 2 2 2" xfId="6589"/>
    <cellStyle name="20% - 강조색4 3 4 2 2 2 2" xfId="6590"/>
    <cellStyle name="20% - 강조색4 3 4 2 2 2 2 2" xfId="6591"/>
    <cellStyle name="20% - 강조색4 3 4 2 2 2 2 3" xfId="6592"/>
    <cellStyle name="20% - 강조색4 3 4 2 2 2 3" xfId="6593"/>
    <cellStyle name="20% - 강조색4 3 4 2 2 2 4" xfId="6594"/>
    <cellStyle name="20% - 강조색4 3 4 2 2 3" xfId="6595"/>
    <cellStyle name="20% - 강조색4 3 4 2 2 3 2" xfId="6596"/>
    <cellStyle name="20% - 강조색4 3 4 2 2 3 3" xfId="6597"/>
    <cellStyle name="20% - 강조색4 3 4 2 2 4" xfId="6598"/>
    <cellStyle name="20% - 강조색4 3 4 2 2 5" xfId="6599"/>
    <cellStyle name="20% - 강조색4 3 4 2 3" xfId="6600"/>
    <cellStyle name="20% - 강조색4 3 4 2 3 2" xfId="6601"/>
    <cellStyle name="20% - 강조색4 3 4 2 3 2 2" xfId="6602"/>
    <cellStyle name="20% - 강조색4 3 4 2 3 2 2 2" xfId="6603"/>
    <cellStyle name="20% - 강조색4 3 4 2 3 2 2 3" xfId="6604"/>
    <cellStyle name="20% - 강조색4 3 4 2 3 2 3" xfId="6605"/>
    <cellStyle name="20% - 강조색4 3 4 2 3 2 4" xfId="6606"/>
    <cellStyle name="20% - 강조색4 3 4 2 3 3" xfId="6607"/>
    <cellStyle name="20% - 강조색4 3 4 2 3 3 2" xfId="6608"/>
    <cellStyle name="20% - 강조색4 3 4 2 3 3 3" xfId="6609"/>
    <cellStyle name="20% - 강조색4 3 4 2 3 4" xfId="6610"/>
    <cellStyle name="20% - 강조색4 3 4 2 3 5" xfId="6611"/>
    <cellStyle name="20% - 강조색4 3 4 2 4" xfId="6612"/>
    <cellStyle name="20% - 강조색4 3 4 2 4 2" xfId="6613"/>
    <cellStyle name="20% - 강조색4 3 4 2 4 2 2" xfId="6614"/>
    <cellStyle name="20% - 강조색4 3 4 2 4 2 3" xfId="6615"/>
    <cellStyle name="20% - 강조색4 3 4 2 4 3" xfId="6616"/>
    <cellStyle name="20% - 강조색4 3 4 2 4 4" xfId="6617"/>
    <cellStyle name="20% - 강조색4 3 4 2 5" xfId="6618"/>
    <cellStyle name="20% - 강조색4 3 4 2 5 2" xfId="6619"/>
    <cellStyle name="20% - 강조색4 3 4 2 5 3" xfId="6620"/>
    <cellStyle name="20% - 강조색4 3 4 2 6" xfId="6621"/>
    <cellStyle name="20% - 강조색4 3 4 2 7" xfId="6622"/>
    <cellStyle name="20% - 강조색4 3 4 3" xfId="6623"/>
    <cellStyle name="20% - 강조색4 3 4 3 2" xfId="6624"/>
    <cellStyle name="20% - 강조색4 3 4 3 2 2" xfId="6625"/>
    <cellStyle name="20% - 강조색4 3 4 3 2 2 2" xfId="6626"/>
    <cellStyle name="20% - 강조색4 3 4 3 2 2 2 2" xfId="6627"/>
    <cellStyle name="20% - 강조색4 3 4 3 2 2 2 3" xfId="6628"/>
    <cellStyle name="20% - 강조색4 3 4 3 2 2 3" xfId="6629"/>
    <cellStyle name="20% - 강조색4 3 4 3 2 2 4" xfId="6630"/>
    <cellStyle name="20% - 강조색4 3 4 3 2 3" xfId="6631"/>
    <cellStyle name="20% - 강조색4 3 4 3 2 3 2" xfId="6632"/>
    <cellStyle name="20% - 강조색4 3 4 3 2 3 3" xfId="6633"/>
    <cellStyle name="20% - 강조색4 3 4 3 2 4" xfId="6634"/>
    <cellStyle name="20% - 강조색4 3 4 3 2 5" xfId="6635"/>
    <cellStyle name="20% - 강조색4 3 4 3 3" xfId="6636"/>
    <cellStyle name="20% - 강조색4 3 4 3 3 2" xfId="6637"/>
    <cellStyle name="20% - 강조색4 3 4 3 3 2 2" xfId="6638"/>
    <cellStyle name="20% - 강조색4 3 4 3 3 2 2 2" xfId="6639"/>
    <cellStyle name="20% - 강조색4 3 4 3 3 2 2 3" xfId="6640"/>
    <cellStyle name="20% - 강조색4 3 4 3 3 2 3" xfId="6641"/>
    <cellStyle name="20% - 강조색4 3 4 3 3 2 4" xfId="6642"/>
    <cellStyle name="20% - 강조색4 3 4 3 3 3" xfId="6643"/>
    <cellStyle name="20% - 강조색4 3 4 3 3 3 2" xfId="6644"/>
    <cellStyle name="20% - 강조색4 3 4 3 3 3 3" xfId="6645"/>
    <cellStyle name="20% - 강조색4 3 4 3 3 4" xfId="6646"/>
    <cellStyle name="20% - 강조색4 3 4 3 3 5" xfId="6647"/>
    <cellStyle name="20% - 강조색4 3 4 3 4" xfId="6648"/>
    <cellStyle name="20% - 강조색4 3 4 3 4 2" xfId="6649"/>
    <cellStyle name="20% - 강조색4 3 4 3 4 2 2" xfId="6650"/>
    <cellStyle name="20% - 강조색4 3 4 3 4 2 3" xfId="6651"/>
    <cellStyle name="20% - 강조색4 3 4 3 4 3" xfId="6652"/>
    <cellStyle name="20% - 강조색4 3 4 3 4 4" xfId="6653"/>
    <cellStyle name="20% - 강조색4 3 4 3 5" xfId="6654"/>
    <cellStyle name="20% - 강조색4 3 4 3 5 2" xfId="6655"/>
    <cellStyle name="20% - 강조색4 3 4 3 5 3" xfId="6656"/>
    <cellStyle name="20% - 강조색4 3 4 3 6" xfId="6657"/>
    <cellStyle name="20% - 강조색4 3 4 3 7" xfId="6658"/>
    <cellStyle name="20% - 강조색4 3 4 4" xfId="6659"/>
    <cellStyle name="20% - 강조색4 3 4 4 2" xfId="6660"/>
    <cellStyle name="20% - 강조색4 3 4 4 2 2" xfId="6661"/>
    <cellStyle name="20% - 강조색4 3 4 4 2 2 2" xfId="6662"/>
    <cellStyle name="20% - 강조색4 3 4 4 2 2 3" xfId="6663"/>
    <cellStyle name="20% - 강조색4 3 4 4 2 3" xfId="6664"/>
    <cellStyle name="20% - 강조색4 3 4 4 2 4" xfId="6665"/>
    <cellStyle name="20% - 강조색4 3 4 4 3" xfId="6666"/>
    <cellStyle name="20% - 강조색4 3 4 4 3 2" xfId="6667"/>
    <cellStyle name="20% - 강조색4 3 4 4 3 3" xfId="6668"/>
    <cellStyle name="20% - 강조색4 3 4 4 4" xfId="6669"/>
    <cellStyle name="20% - 강조색4 3 4 4 5" xfId="6670"/>
    <cellStyle name="20% - 강조색4 3 4 5" xfId="6671"/>
    <cellStyle name="20% - 강조색4 3 4 5 2" xfId="6672"/>
    <cellStyle name="20% - 강조색4 3 4 5 2 2" xfId="6673"/>
    <cellStyle name="20% - 강조색4 3 4 5 2 2 2" xfId="6674"/>
    <cellStyle name="20% - 강조색4 3 4 5 2 2 3" xfId="6675"/>
    <cellStyle name="20% - 강조색4 3 4 5 2 3" xfId="6676"/>
    <cellStyle name="20% - 강조색4 3 4 5 2 4" xfId="6677"/>
    <cellStyle name="20% - 강조색4 3 4 5 3" xfId="6678"/>
    <cellStyle name="20% - 강조색4 3 4 5 3 2" xfId="6679"/>
    <cellStyle name="20% - 강조색4 3 4 5 3 3" xfId="6680"/>
    <cellStyle name="20% - 강조색4 3 4 5 4" xfId="6681"/>
    <cellStyle name="20% - 강조색4 3 4 5 5" xfId="6682"/>
    <cellStyle name="20% - 강조색4 3 4 6" xfId="6683"/>
    <cellStyle name="20% - 강조색4 3 4 6 2" xfId="6684"/>
    <cellStyle name="20% - 강조색4 3 4 6 2 2" xfId="6685"/>
    <cellStyle name="20% - 강조색4 3 4 6 2 2 2" xfId="6686"/>
    <cellStyle name="20% - 강조색4 3 4 6 2 2 3" xfId="6687"/>
    <cellStyle name="20% - 강조색4 3 4 6 2 3" xfId="6688"/>
    <cellStyle name="20% - 강조색4 3 4 6 2 4" xfId="6689"/>
    <cellStyle name="20% - 강조색4 3 4 6 3" xfId="6690"/>
    <cellStyle name="20% - 강조색4 3 4 6 3 2" xfId="6691"/>
    <cellStyle name="20% - 강조색4 3 4 6 3 3" xfId="6692"/>
    <cellStyle name="20% - 강조색4 3 4 6 4" xfId="6693"/>
    <cellStyle name="20% - 강조색4 3 4 6 5" xfId="6694"/>
    <cellStyle name="20% - 강조색4 3 4 7" xfId="6695"/>
    <cellStyle name="20% - 강조색4 3 4 7 2" xfId="6696"/>
    <cellStyle name="20% - 강조색4 3 4 7 2 2" xfId="6697"/>
    <cellStyle name="20% - 강조색4 3 4 7 2 3" xfId="6698"/>
    <cellStyle name="20% - 강조색4 3 4 7 3" xfId="6699"/>
    <cellStyle name="20% - 강조색4 3 4 7 4" xfId="6700"/>
    <cellStyle name="20% - 강조색4 3 4 8" xfId="6701"/>
    <cellStyle name="20% - 강조색4 3 4 8 2" xfId="6702"/>
    <cellStyle name="20% - 강조색4 3 4 8 3" xfId="6703"/>
    <cellStyle name="20% - 강조색4 3 4 9" xfId="6704"/>
    <cellStyle name="20% - 강조색4 3 5" xfId="6705"/>
    <cellStyle name="20% - 강조색4 3 5 2" xfId="6706"/>
    <cellStyle name="20% - 강조색4 3 5 2 2" xfId="6707"/>
    <cellStyle name="20% - 강조색4 3 5 2 2 2" xfId="6708"/>
    <cellStyle name="20% - 강조색4 3 5 2 2 2 2" xfId="6709"/>
    <cellStyle name="20% - 강조색4 3 5 2 2 2 3" xfId="6710"/>
    <cellStyle name="20% - 강조색4 3 5 2 2 3" xfId="6711"/>
    <cellStyle name="20% - 강조색4 3 5 2 2 4" xfId="6712"/>
    <cellStyle name="20% - 강조색4 3 5 2 3" xfId="6713"/>
    <cellStyle name="20% - 강조색4 3 5 2 3 2" xfId="6714"/>
    <cellStyle name="20% - 강조색4 3 5 2 3 3" xfId="6715"/>
    <cellStyle name="20% - 강조색4 3 5 2 4" xfId="6716"/>
    <cellStyle name="20% - 강조색4 3 5 2 5" xfId="6717"/>
    <cellStyle name="20% - 강조색4 3 5 3" xfId="6718"/>
    <cellStyle name="20% - 강조색4 3 5 3 2" xfId="6719"/>
    <cellStyle name="20% - 강조색4 3 5 3 2 2" xfId="6720"/>
    <cellStyle name="20% - 강조색4 3 5 3 2 2 2" xfId="6721"/>
    <cellStyle name="20% - 강조색4 3 5 3 2 2 3" xfId="6722"/>
    <cellStyle name="20% - 강조색4 3 5 3 2 3" xfId="6723"/>
    <cellStyle name="20% - 강조색4 3 5 3 2 4" xfId="6724"/>
    <cellStyle name="20% - 강조색4 3 5 3 3" xfId="6725"/>
    <cellStyle name="20% - 강조색4 3 5 3 3 2" xfId="6726"/>
    <cellStyle name="20% - 강조색4 3 5 3 3 3" xfId="6727"/>
    <cellStyle name="20% - 강조색4 3 5 3 4" xfId="6728"/>
    <cellStyle name="20% - 강조색4 3 5 3 5" xfId="6729"/>
    <cellStyle name="20% - 강조색4 3 5 4" xfId="6730"/>
    <cellStyle name="20% - 강조색4 3 5 4 2" xfId="6731"/>
    <cellStyle name="20% - 강조색4 3 5 4 2 2" xfId="6732"/>
    <cellStyle name="20% - 강조색4 3 5 4 2 3" xfId="6733"/>
    <cellStyle name="20% - 강조색4 3 5 4 3" xfId="6734"/>
    <cellStyle name="20% - 강조색4 3 5 4 4" xfId="6735"/>
    <cellStyle name="20% - 강조색4 3 5 5" xfId="6736"/>
    <cellStyle name="20% - 강조색4 3 5 5 2" xfId="6737"/>
    <cellStyle name="20% - 강조색4 3 5 5 3" xfId="6738"/>
    <cellStyle name="20% - 강조색4 3 5 6" xfId="6739"/>
    <cellStyle name="20% - 강조색4 3 5 7" xfId="6740"/>
    <cellStyle name="20% - 강조색4 3 5 8" xfId="6741"/>
    <cellStyle name="20% - 강조색4 3 6" xfId="6742"/>
    <cellStyle name="20% - 강조색4 3 6 2" xfId="6743"/>
    <cellStyle name="20% - 강조색4 3 6 2 2" xfId="6744"/>
    <cellStyle name="20% - 강조색4 3 6 2 2 2" xfId="6745"/>
    <cellStyle name="20% - 강조색4 3 6 2 2 2 2" xfId="6746"/>
    <cellStyle name="20% - 강조색4 3 6 2 2 2 3" xfId="6747"/>
    <cellStyle name="20% - 강조색4 3 6 2 2 3" xfId="6748"/>
    <cellStyle name="20% - 강조색4 3 6 2 2 4" xfId="6749"/>
    <cellStyle name="20% - 강조색4 3 6 2 3" xfId="6750"/>
    <cellStyle name="20% - 강조색4 3 6 2 3 2" xfId="6751"/>
    <cellStyle name="20% - 강조색4 3 6 2 3 3" xfId="6752"/>
    <cellStyle name="20% - 강조색4 3 6 2 4" xfId="6753"/>
    <cellStyle name="20% - 강조색4 3 6 2 5" xfId="6754"/>
    <cellStyle name="20% - 강조색4 3 6 3" xfId="6755"/>
    <cellStyle name="20% - 강조색4 3 6 3 2" xfId="6756"/>
    <cellStyle name="20% - 강조색4 3 6 3 2 2" xfId="6757"/>
    <cellStyle name="20% - 강조색4 3 6 3 2 2 2" xfId="6758"/>
    <cellStyle name="20% - 강조색4 3 6 3 2 2 3" xfId="6759"/>
    <cellStyle name="20% - 강조색4 3 6 3 2 3" xfId="6760"/>
    <cellStyle name="20% - 강조색4 3 6 3 2 4" xfId="6761"/>
    <cellStyle name="20% - 강조색4 3 6 3 3" xfId="6762"/>
    <cellStyle name="20% - 강조색4 3 6 3 3 2" xfId="6763"/>
    <cellStyle name="20% - 강조색4 3 6 3 3 3" xfId="6764"/>
    <cellStyle name="20% - 강조색4 3 6 3 4" xfId="6765"/>
    <cellStyle name="20% - 강조색4 3 6 3 5" xfId="6766"/>
    <cellStyle name="20% - 강조색4 3 6 4" xfId="6767"/>
    <cellStyle name="20% - 강조색4 3 6 4 2" xfId="6768"/>
    <cellStyle name="20% - 강조색4 3 6 4 2 2" xfId="6769"/>
    <cellStyle name="20% - 강조색4 3 6 4 2 3" xfId="6770"/>
    <cellStyle name="20% - 강조색4 3 6 4 3" xfId="6771"/>
    <cellStyle name="20% - 강조색4 3 6 4 4" xfId="6772"/>
    <cellStyle name="20% - 강조색4 3 6 5" xfId="6773"/>
    <cellStyle name="20% - 강조색4 3 6 5 2" xfId="6774"/>
    <cellStyle name="20% - 강조색4 3 6 5 3" xfId="6775"/>
    <cellStyle name="20% - 강조색4 3 6 6" xfId="6776"/>
    <cellStyle name="20% - 강조색4 3 6 7" xfId="6777"/>
    <cellStyle name="20% - 강조색4 3 7" xfId="6778"/>
    <cellStyle name="20% - 강조색4 3 7 2" xfId="6779"/>
    <cellStyle name="20% - 강조색4 3 7 2 2" xfId="6780"/>
    <cellStyle name="20% - 강조색4 3 7 2 2 2" xfId="6781"/>
    <cellStyle name="20% - 강조색4 3 7 2 2 3" xfId="6782"/>
    <cellStyle name="20% - 강조색4 3 7 2 3" xfId="6783"/>
    <cellStyle name="20% - 강조색4 3 7 2 4" xfId="6784"/>
    <cellStyle name="20% - 강조색4 3 7 3" xfId="6785"/>
    <cellStyle name="20% - 강조색4 3 7 3 2" xfId="6786"/>
    <cellStyle name="20% - 강조색4 3 7 3 3" xfId="6787"/>
    <cellStyle name="20% - 강조색4 3 7 4" xfId="6788"/>
    <cellStyle name="20% - 강조색4 3 7 5" xfId="6789"/>
    <cellStyle name="20% - 강조색4 3 8" xfId="6790"/>
    <cellStyle name="20% - 강조색4 3 8 2" xfId="6791"/>
    <cellStyle name="20% - 강조색4 3 8 2 2" xfId="6792"/>
    <cellStyle name="20% - 강조색4 3 8 2 2 2" xfId="6793"/>
    <cellStyle name="20% - 강조색4 3 8 2 2 3" xfId="6794"/>
    <cellStyle name="20% - 강조색4 3 8 2 3" xfId="6795"/>
    <cellStyle name="20% - 강조색4 3 8 2 4" xfId="6796"/>
    <cellStyle name="20% - 강조색4 3 8 3" xfId="6797"/>
    <cellStyle name="20% - 강조색4 3 8 3 2" xfId="6798"/>
    <cellStyle name="20% - 강조색4 3 8 3 3" xfId="6799"/>
    <cellStyle name="20% - 강조색4 3 8 4" xfId="6800"/>
    <cellStyle name="20% - 강조색4 3 8 5" xfId="6801"/>
    <cellStyle name="20% - 강조색4 3 9" xfId="6802"/>
    <cellStyle name="20% - 강조색4 3 9 2" xfId="6803"/>
    <cellStyle name="20% - 강조색4 3 9 2 2" xfId="6804"/>
    <cellStyle name="20% - 강조색4 3 9 2 2 2" xfId="6805"/>
    <cellStyle name="20% - 강조색4 3 9 2 2 3" xfId="6806"/>
    <cellStyle name="20% - 강조색4 3 9 2 3" xfId="6807"/>
    <cellStyle name="20% - 강조색4 3 9 2 4" xfId="6808"/>
    <cellStyle name="20% - 강조색4 3 9 3" xfId="6809"/>
    <cellStyle name="20% - 강조색4 3 9 3 2" xfId="6810"/>
    <cellStyle name="20% - 강조색4 3 9 3 3" xfId="6811"/>
    <cellStyle name="20% - 강조색4 3 9 4" xfId="6812"/>
    <cellStyle name="20% - 강조색4 3 9 5" xfId="6813"/>
    <cellStyle name="20% - 강조색4 30" xfId="6814"/>
    <cellStyle name="20% - 강조색4 30 2" xfId="6815"/>
    <cellStyle name="20% - 강조색4 31" xfId="6816"/>
    <cellStyle name="20% - 강조색4 31 2" xfId="6817"/>
    <cellStyle name="20% - 강조색4 32" xfId="6818"/>
    <cellStyle name="20% - 강조색4 32 2" xfId="6819"/>
    <cellStyle name="20% - 강조색4 33" xfId="6820"/>
    <cellStyle name="20% - 강조색4 33 2" xfId="6821"/>
    <cellStyle name="20% - 강조색4 34" xfId="6822"/>
    <cellStyle name="20% - 강조색4 34 2" xfId="6823"/>
    <cellStyle name="20% - 강조색4 35" xfId="6824"/>
    <cellStyle name="20% - 강조색4 36" xfId="6825"/>
    <cellStyle name="20% - 강조색4 37" xfId="6826"/>
    <cellStyle name="20% - 강조색4 38" xfId="6827"/>
    <cellStyle name="20% - 강조색4 39" xfId="6828"/>
    <cellStyle name="20% - 강조색4 4" xfId="6829"/>
    <cellStyle name="20% - 강조색4 4 10" xfId="6830"/>
    <cellStyle name="20% - 강조색4 4 10 2" xfId="6831"/>
    <cellStyle name="20% - 강조색4 4 10 2 2" xfId="6832"/>
    <cellStyle name="20% - 강조색4 4 10 2 3" xfId="6833"/>
    <cellStyle name="20% - 강조색4 4 10 3" xfId="6834"/>
    <cellStyle name="20% - 강조색4 4 10 4" xfId="6835"/>
    <cellStyle name="20% - 강조색4 4 11" xfId="6836"/>
    <cellStyle name="20% - 강조색4 4 11 2" xfId="6837"/>
    <cellStyle name="20% - 강조색4 4 11 3" xfId="6838"/>
    <cellStyle name="20% - 강조색4 4 12" xfId="6839"/>
    <cellStyle name="20% - 강조색4 4 13" xfId="6840"/>
    <cellStyle name="20% - 강조색4 4 14" xfId="6841"/>
    <cellStyle name="20% - 강조색4 4 2" xfId="6842"/>
    <cellStyle name="20% - 강조색4 4 2 10" xfId="6843"/>
    <cellStyle name="20% - 강조색4 4 2 2" xfId="6844"/>
    <cellStyle name="20% - 강조색4 4 2 2 2" xfId="6845"/>
    <cellStyle name="20% - 강조색4 4 2 2 2 2" xfId="6846"/>
    <cellStyle name="20% - 강조색4 4 2 2 2 2 2" xfId="6847"/>
    <cellStyle name="20% - 강조색4 4 2 2 2 2 2 2" xfId="6848"/>
    <cellStyle name="20% - 강조색4 4 2 2 2 2 2 3" xfId="6849"/>
    <cellStyle name="20% - 강조색4 4 2 2 2 2 3" xfId="6850"/>
    <cellStyle name="20% - 강조색4 4 2 2 2 2 4" xfId="6851"/>
    <cellStyle name="20% - 강조색4 4 2 2 2 3" xfId="6852"/>
    <cellStyle name="20% - 강조색4 4 2 2 2 3 2" xfId="6853"/>
    <cellStyle name="20% - 강조색4 4 2 2 2 3 3" xfId="6854"/>
    <cellStyle name="20% - 강조색4 4 2 2 2 4" xfId="6855"/>
    <cellStyle name="20% - 강조색4 4 2 2 2 5" xfId="6856"/>
    <cellStyle name="20% - 강조색4 4 2 2 3" xfId="6857"/>
    <cellStyle name="20% - 강조색4 4 2 2 3 2" xfId="6858"/>
    <cellStyle name="20% - 강조색4 4 2 2 3 2 2" xfId="6859"/>
    <cellStyle name="20% - 강조색4 4 2 2 3 2 2 2" xfId="6860"/>
    <cellStyle name="20% - 강조색4 4 2 2 3 2 2 3" xfId="6861"/>
    <cellStyle name="20% - 강조색4 4 2 2 3 2 3" xfId="6862"/>
    <cellStyle name="20% - 강조색4 4 2 2 3 2 4" xfId="6863"/>
    <cellStyle name="20% - 강조색4 4 2 2 3 3" xfId="6864"/>
    <cellStyle name="20% - 강조색4 4 2 2 3 3 2" xfId="6865"/>
    <cellStyle name="20% - 강조색4 4 2 2 3 3 3" xfId="6866"/>
    <cellStyle name="20% - 강조색4 4 2 2 3 4" xfId="6867"/>
    <cellStyle name="20% - 강조색4 4 2 2 3 5" xfId="6868"/>
    <cellStyle name="20% - 강조색4 4 2 2 4" xfId="6869"/>
    <cellStyle name="20% - 강조색4 4 2 2 4 2" xfId="6870"/>
    <cellStyle name="20% - 강조색4 4 2 2 4 2 2" xfId="6871"/>
    <cellStyle name="20% - 강조색4 4 2 2 4 2 3" xfId="6872"/>
    <cellStyle name="20% - 강조색4 4 2 2 4 3" xfId="6873"/>
    <cellStyle name="20% - 강조색4 4 2 2 4 4" xfId="6874"/>
    <cellStyle name="20% - 강조색4 4 2 2 5" xfId="6875"/>
    <cellStyle name="20% - 강조색4 4 2 2 5 2" xfId="6876"/>
    <cellStyle name="20% - 강조색4 4 2 2 5 3" xfId="6877"/>
    <cellStyle name="20% - 강조색4 4 2 2 6" xfId="6878"/>
    <cellStyle name="20% - 강조색4 4 2 2 7" xfId="6879"/>
    <cellStyle name="20% - 강조색4 4 2 3" xfId="6880"/>
    <cellStyle name="20% - 강조색4 4 2 3 2" xfId="6881"/>
    <cellStyle name="20% - 강조색4 4 2 3 2 2" xfId="6882"/>
    <cellStyle name="20% - 강조색4 4 2 3 2 2 2" xfId="6883"/>
    <cellStyle name="20% - 강조색4 4 2 3 2 2 2 2" xfId="6884"/>
    <cellStyle name="20% - 강조색4 4 2 3 2 2 2 3" xfId="6885"/>
    <cellStyle name="20% - 강조색4 4 2 3 2 2 3" xfId="6886"/>
    <cellStyle name="20% - 강조색4 4 2 3 2 2 4" xfId="6887"/>
    <cellStyle name="20% - 강조색4 4 2 3 2 3" xfId="6888"/>
    <cellStyle name="20% - 강조색4 4 2 3 2 3 2" xfId="6889"/>
    <cellStyle name="20% - 강조색4 4 2 3 2 3 3" xfId="6890"/>
    <cellStyle name="20% - 강조색4 4 2 3 2 4" xfId="6891"/>
    <cellStyle name="20% - 강조색4 4 2 3 2 5" xfId="6892"/>
    <cellStyle name="20% - 강조색4 4 2 3 3" xfId="6893"/>
    <cellStyle name="20% - 강조색4 4 2 3 3 2" xfId="6894"/>
    <cellStyle name="20% - 강조색4 4 2 3 3 2 2" xfId="6895"/>
    <cellStyle name="20% - 강조색4 4 2 3 3 2 2 2" xfId="6896"/>
    <cellStyle name="20% - 강조색4 4 2 3 3 2 2 3" xfId="6897"/>
    <cellStyle name="20% - 강조색4 4 2 3 3 2 3" xfId="6898"/>
    <cellStyle name="20% - 강조색4 4 2 3 3 2 4" xfId="6899"/>
    <cellStyle name="20% - 강조색4 4 2 3 3 3" xfId="6900"/>
    <cellStyle name="20% - 강조색4 4 2 3 3 3 2" xfId="6901"/>
    <cellStyle name="20% - 강조색4 4 2 3 3 3 3" xfId="6902"/>
    <cellStyle name="20% - 강조색4 4 2 3 3 4" xfId="6903"/>
    <cellStyle name="20% - 강조색4 4 2 3 3 5" xfId="6904"/>
    <cellStyle name="20% - 강조색4 4 2 3 4" xfId="6905"/>
    <cellStyle name="20% - 강조색4 4 2 3 4 2" xfId="6906"/>
    <cellStyle name="20% - 강조색4 4 2 3 4 2 2" xfId="6907"/>
    <cellStyle name="20% - 강조색4 4 2 3 4 2 3" xfId="6908"/>
    <cellStyle name="20% - 강조색4 4 2 3 4 3" xfId="6909"/>
    <cellStyle name="20% - 강조색4 4 2 3 4 4" xfId="6910"/>
    <cellStyle name="20% - 강조색4 4 2 3 5" xfId="6911"/>
    <cellStyle name="20% - 강조색4 4 2 3 5 2" xfId="6912"/>
    <cellStyle name="20% - 강조색4 4 2 3 5 3" xfId="6913"/>
    <cellStyle name="20% - 강조색4 4 2 3 6" xfId="6914"/>
    <cellStyle name="20% - 강조색4 4 2 3 7" xfId="6915"/>
    <cellStyle name="20% - 강조색4 4 2 4" xfId="6916"/>
    <cellStyle name="20% - 강조색4 4 2 4 2" xfId="6917"/>
    <cellStyle name="20% - 강조색4 4 2 4 2 2" xfId="6918"/>
    <cellStyle name="20% - 강조색4 4 2 4 2 2 2" xfId="6919"/>
    <cellStyle name="20% - 강조색4 4 2 4 2 2 3" xfId="6920"/>
    <cellStyle name="20% - 강조색4 4 2 4 2 3" xfId="6921"/>
    <cellStyle name="20% - 강조색4 4 2 4 2 4" xfId="6922"/>
    <cellStyle name="20% - 강조색4 4 2 4 3" xfId="6923"/>
    <cellStyle name="20% - 강조색4 4 2 4 3 2" xfId="6924"/>
    <cellStyle name="20% - 강조색4 4 2 4 3 3" xfId="6925"/>
    <cellStyle name="20% - 강조색4 4 2 4 4" xfId="6926"/>
    <cellStyle name="20% - 강조색4 4 2 4 5" xfId="6927"/>
    <cellStyle name="20% - 강조색4 4 2 5" xfId="6928"/>
    <cellStyle name="20% - 강조색4 4 2 5 2" xfId="6929"/>
    <cellStyle name="20% - 강조색4 4 2 5 2 2" xfId="6930"/>
    <cellStyle name="20% - 강조색4 4 2 5 2 2 2" xfId="6931"/>
    <cellStyle name="20% - 강조색4 4 2 5 2 2 3" xfId="6932"/>
    <cellStyle name="20% - 강조색4 4 2 5 2 3" xfId="6933"/>
    <cellStyle name="20% - 강조색4 4 2 5 2 4" xfId="6934"/>
    <cellStyle name="20% - 강조색4 4 2 5 3" xfId="6935"/>
    <cellStyle name="20% - 강조색4 4 2 5 3 2" xfId="6936"/>
    <cellStyle name="20% - 강조색4 4 2 5 3 3" xfId="6937"/>
    <cellStyle name="20% - 강조색4 4 2 5 4" xfId="6938"/>
    <cellStyle name="20% - 강조색4 4 2 5 5" xfId="6939"/>
    <cellStyle name="20% - 강조색4 4 2 6" xfId="6940"/>
    <cellStyle name="20% - 강조색4 4 2 6 2" xfId="6941"/>
    <cellStyle name="20% - 강조색4 4 2 6 2 2" xfId="6942"/>
    <cellStyle name="20% - 강조색4 4 2 6 2 2 2" xfId="6943"/>
    <cellStyle name="20% - 강조색4 4 2 6 2 2 3" xfId="6944"/>
    <cellStyle name="20% - 강조색4 4 2 6 2 3" xfId="6945"/>
    <cellStyle name="20% - 강조색4 4 2 6 2 4" xfId="6946"/>
    <cellStyle name="20% - 강조색4 4 2 6 3" xfId="6947"/>
    <cellStyle name="20% - 강조색4 4 2 6 3 2" xfId="6948"/>
    <cellStyle name="20% - 강조색4 4 2 6 3 3" xfId="6949"/>
    <cellStyle name="20% - 강조색4 4 2 6 4" xfId="6950"/>
    <cellStyle name="20% - 강조색4 4 2 6 5" xfId="6951"/>
    <cellStyle name="20% - 강조색4 4 2 7" xfId="6952"/>
    <cellStyle name="20% - 강조색4 4 2 7 2" xfId="6953"/>
    <cellStyle name="20% - 강조색4 4 2 7 2 2" xfId="6954"/>
    <cellStyle name="20% - 강조색4 4 2 7 2 3" xfId="6955"/>
    <cellStyle name="20% - 강조색4 4 2 7 3" xfId="6956"/>
    <cellStyle name="20% - 강조색4 4 2 7 4" xfId="6957"/>
    <cellStyle name="20% - 강조색4 4 2 8" xfId="6958"/>
    <cellStyle name="20% - 강조색4 4 2 8 2" xfId="6959"/>
    <cellStyle name="20% - 강조색4 4 2 8 3" xfId="6960"/>
    <cellStyle name="20% - 강조색4 4 2 9" xfId="6961"/>
    <cellStyle name="20% - 강조색4 4 3" xfId="6962"/>
    <cellStyle name="20% - 강조색4 4 3 10" xfId="6963"/>
    <cellStyle name="20% - 강조색4 4 3 2" xfId="6964"/>
    <cellStyle name="20% - 강조색4 4 3 2 2" xfId="6965"/>
    <cellStyle name="20% - 강조색4 4 3 2 2 2" xfId="6966"/>
    <cellStyle name="20% - 강조색4 4 3 2 2 2 2" xfId="6967"/>
    <cellStyle name="20% - 강조색4 4 3 2 2 2 2 2" xfId="6968"/>
    <cellStyle name="20% - 강조색4 4 3 2 2 2 2 3" xfId="6969"/>
    <cellStyle name="20% - 강조색4 4 3 2 2 2 3" xfId="6970"/>
    <cellStyle name="20% - 강조색4 4 3 2 2 2 4" xfId="6971"/>
    <cellStyle name="20% - 강조색4 4 3 2 2 3" xfId="6972"/>
    <cellStyle name="20% - 강조색4 4 3 2 2 3 2" xfId="6973"/>
    <cellStyle name="20% - 강조색4 4 3 2 2 3 3" xfId="6974"/>
    <cellStyle name="20% - 강조색4 4 3 2 2 4" xfId="6975"/>
    <cellStyle name="20% - 강조색4 4 3 2 2 5" xfId="6976"/>
    <cellStyle name="20% - 강조색4 4 3 2 3" xfId="6977"/>
    <cellStyle name="20% - 강조색4 4 3 2 3 2" xfId="6978"/>
    <cellStyle name="20% - 강조색4 4 3 2 3 2 2" xfId="6979"/>
    <cellStyle name="20% - 강조색4 4 3 2 3 2 2 2" xfId="6980"/>
    <cellStyle name="20% - 강조색4 4 3 2 3 2 2 3" xfId="6981"/>
    <cellStyle name="20% - 강조색4 4 3 2 3 2 3" xfId="6982"/>
    <cellStyle name="20% - 강조색4 4 3 2 3 2 4" xfId="6983"/>
    <cellStyle name="20% - 강조색4 4 3 2 3 3" xfId="6984"/>
    <cellStyle name="20% - 강조색4 4 3 2 3 3 2" xfId="6985"/>
    <cellStyle name="20% - 강조색4 4 3 2 3 3 3" xfId="6986"/>
    <cellStyle name="20% - 강조색4 4 3 2 3 4" xfId="6987"/>
    <cellStyle name="20% - 강조색4 4 3 2 3 5" xfId="6988"/>
    <cellStyle name="20% - 강조색4 4 3 2 4" xfId="6989"/>
    <cellStyle name="20% - 강조색4 4 3 2 4 2" xfId="6990"/>
    <cellStyle name="20% - 강조색4 4 3 2 4 2 2" xfId="6991"/>
    <cellStyle name="20% - 강조색4 4 3 2 4 2 3" xfId="6992"/>
    <cellStyle name="20% - 강조색4 4 3 2 4 3" xfId="6993"/>
    <cellStyle name="20% - 강조색4 4 3 2 4 4" xfId="6994"/>
    <cellStyle name="20% - 강조색4 4 3 2 5" xfId="6995"/>
    <cellStyle name="20% - 강조색4 4 3 2 5 2" xfId="6996"/>
    <cellStyle name="20% - 강조색4 4 3 2 5 3" xfId="6997"/>
    <cellStyle name="20% - 강조색4 4 3 2 6" xfId="6998"/>
    <cellStyle name="20% - 강조색4 4 3 2 7" xfId="6999"/>
    <cellStyle name="20% - 강조색4 4 3 3" xfId="7000"/>
    <cellStyle name="20% - 강조색4 4 3 3 2" xfId="7001"/>
    <cellStyle name="20% - 강조색4 4 3 3 2 2" xfId="7002"/>
    <cellStyle name="20% - 강조색4 4 3 3 2 2 2" xfId="7003"/>
    <cellStyle name="20% - 강조색4 4 3 3 2 2 2 2" xfId="7004"/>
    <cellStyle name="20% - 강조색4 4 3 3 2 2 2 3" xfId="7005"/>
    <cellStyle name="20% - 강조색4 4 3 3 2 2 3" xfId="7006"/>
    <cellStyle name="20% - 강조색4 4 3 3 2 2 4" xfId="7007"/>
    <cellStyle name="20% - 강조색4 4 3 3 2 3" xfId="7008"/>
    <cellStyle name="20% - 강조색4 4 3 3 2 3 2" xfId="7009"/>
    <cellStyle name="20% - 강조색4 4 3 3 2 3 3" xfId="7010"/>
    <cellStyle name="20% - 강조색4 4 3 3 2 4" xfId="7011"/>
    <cellStyle name="20% - 강조색4 4 3 3 2 5" xfId="7012"/>
    <cellStyle name="20% - 강조색4 4 3 3 3" xfId="7013"/>
    <cellStyle name="20% - 강조색4 4 3 3 3 2" xfId="7014"/>
    <cellStyle name="20% - 강조색4 4 3 3 3 2 2" xfId="7015"/>
    <cellStyle name="20% - 강조색4 4 3 3 3 2 2 2" xfId="7016"/>
    <cellStyle name="20% - 강조색4 4 3 3 3 2 2 3" xfId="7017"/>
    <cellStyle name="20% - 강조색4 4 3 3 3 2 3" xfId="7018"/>
    <cellStyle name="20% - 강조색4 4 3 3 3 2 4" xfId="7019"/>
    <cellStyle name="20% - 강조색4 4 3 3 3 3" xfId="7020"/>
    <cellStyle name="20% - 강조색4 4 3 3 3 3 2" xfId="7021"/>
    <cellStyle name="20% - 강조색4 4 3 3 3 3 3" xfId="7022"/>
    <cellStyle name="20% - 강조색4 4 3 3 3 4" xfId="7023"/>
    <cellStyle name="20% - 강조색4 4 3 3 3 5" xfId="7024"/>
    <cellStyle name="20% - 강조색4 4 3 3 4" xfId="7025"/>
    <cellStyle name="20% - 강조색4 4 3 3 4 2" xfId="7026"/>
    <cellStyle name="20% - 강조색4 4 3 3 4 2 2" xfId="7027"/>
    <cellStyle name="20% - 강조색4 4 3 3 4 2 3" xfId="7028"/>
    <cellStyle name="20% - 강조색4 4 3 3 4 3" xfId="7029"/>
    <cellStyle name="20% - 강조색4 4 3 3 4 4" xfId="7030"/>
    <cellStyle name="20% - 강조색4 4 3 3 5" xfId="7031"/>
    <cellStyle name="20% - 강조색4 4 3 3 5 2" xfId="7032"/>
    <cellStyle name="20% - 강조색4 4 3 3 5 3" xfId="7033"/>
    <cellStyle name="20% - 강조색4 4 3 3 6" xfId="7034"/>
    <cellStyle name="20% - 강조색4 4 3 3 7" xfId="7035"/>
    <cellStyle name="20% - 강조색4 4 3 4" xfId="7036"/>
    <cellStyle name="20% - 강조색4 4 3 4 2" xfId="7037"/>
    <cellStyle name="20% - 강조색4 4 3 4 2 2" xfId="7038"/>
    <cellStyle name="20% - 강조색4 4 3 4 2 2 2" xfId="7039"/>
    <cellStyle name="20% - 강조색4 4 3 4 2 2 3" xfId="7040"/>
    <cellStyle name="20% - 강조색4 4 3 4 2 3" xfId="7041"/>
    <cellStyle name="20% - 강조색4 4 3 4 2 4" xfId="7042"/>
    <cellStyle name="20% - 강조색4 4 3 4 3" xfId="7043"/>
    <cellStyle name="20% - 강조색4 4 3 4 3 2" xfId="7044"/>
    <cellStyle name="20% - 강조색4 4 3 4 3 3" xfId="7045"/>
    <cellStyle name="20% - 강조색4 4 3 4 4" xfId="7046"/>
    <cellStyle name="20% - 강조색4 4 3 4 5" xfId="7047"/>
    <cellStyle name="20% - 강조색4 4 3 5" xfId="7048"/>
    <cellStyle name="20% - 강조색4 4 3 5 2" xfId="7049"/>
    <cellStyle name="20% - 강조색4 4 3 5 2 2" xfId="7050"/>
    <cellStyle name="20% - 강조색4 4 3 5 2 2 2" xfId="7051"/>
    <cellStyle name="20% - 강조색4 4 3 5 2 2 3" xfId="7052"/>
    <cellStyle name="20% - 강조색4 4 3 5 2 3" xfId="7053"/>
    <cellStyle name="20% - 강조색4 4 3 5 2 4" xfId="7054"/>
    <cellStyle name="20% - 강조색4 4 3 5 3" xfId="7055"/>
    <cellStyle name="20% - 강조색4 4 3 5 3 2" xfId="7056"/>
    <cellStyle name="20% - 강조색4 4 3 5 3 3" xfId="7057"/>
    <cellStyle name="20% - 강조색4 4 3 5 4" xfId="7058"/>
    <cellStyle name="20% - 강조색4 4 3 5 5" xfId="7059"/>
    <cellStyle name="20% - 강조색4 4 3 6" xfId="7060"/>
    <cellStyle name="20% - 강조색4 4 3 6 2" xfId="7061"/>
    <cellStyle name="20% - 강조색4 4 3 6 2 2" xfId="7062"/>
    <cellStyle name="20% - 강조색4 4 3 6 2 2 2" xfId="7063"/>
    <cellStyle name="20% - 강조색4 4 3 6 2 2 3" xfId="7064"/>
    <cellStyle name="20% - 강조색4 4 3 6 2 3" xfId="7065"/>
    <cellStyle name="20% - 강조색4 4 3 6 2 4" xfId="7066"/>
    <cellStyle name="20% - 강조색4 4 3 6 3" xfId="7067"/>
    <cellStyle name="20% - 강조색4 4 3 6 3 2" xfId="7068"/>
    <cellStyle name="20% - 강조색4 4 3 6 3 3" xfId="7069"/>
    <cellStyle name="20% - 강조색4 4 3 6 4" xfId="7070"/>
    <cellStyle name="20% - 강조색4 4 3 6 5" xfId="7071"/>
    <cellStyle name="20% - 강조색4 4 3 7" xfId="7072"/>
    <cellStyle name="20% - 강조색4 4 3 7 2" xfId="7073"/>
    <cellStyle name="20% - 강조색4 4 3 7 2 2" xfId="7074"/>
    <cellStyle name="20% - 강조색4 4 3 7 2 3" xfId="7075"/>
    <cellStyle name="20% - 강조색4 4 3 7 3" xfId="7076"/>
    <cellStyle name="20% - 강조색4 4 3 7 4" xfId="7077"/>
    <cellStyle name="20% - 강조색4 4 3 8" xfId="7078"/>
    <cellStyle name="20% - 강조색4 4 3 8 2" xfId="7079"/>
    <cellStyle name="20% - 강조색4 4 3 8 3" xfId="7080"/>
    <cellStyle name="20% - 강조색4 4 3 9" xfId="7081"/>
    <cellStyle name="20% - 강조색4 4 4" xfId="7082"/>
    <cellStyle name="20% - 강조색4 4 4 10" xfId="7083"/>
    <cellStyle name="20% - 강조색4 4 4 2" xfId="7084"/>
    <cellStyle name="20% - 강조색4 4 4 2 2" xfId="7085"/>
    <cellStyle name="20% - 강조색4 4 4 2 2 2" xfId="7086"/>
    <cellStyle name="20% - 강조색4 4 4 2 2 2 2" xfId="7087"/>
    <cellStyle name="20% - 강조색4 4 4 2 2 2 2 2" xfId="7088"/>
    <cellStyle name="20% - 강조색4 4 4 2 2 2 2 3" xfId="7089"/>
    <cellStyle name="20% - 강조색4 4 4 2 2 2 3" xfId="7090"/>
    <cellStyle name="20% - 강조색4 4 4 2 2 2 4" xfId="7091"/>
    <cellStyle name="20% - 강조색4 4 4 2 2 3" xfId="7092"/>
    <cellStyle name="20% - 강조색4 4 4 2 2 3 2" xfId="7093"/>
    <cellStyle name="20% - 강조색4 4 4 2 2 3 3" xfId="7094"/>
    <cellStyle name="20% - 강조색4 4 4 2 2 4" xfId="7095"/>
    <cellStyle name="20% - 강조색4 4 4 2 2 5" xfId="7096"/>
    <cellStyle name="20% - 강조색4 4 4 2 3" xfId="7097"/>
    <cellStyle name="20% - 강조색4 4 4 2 3 2" xfId="7098"/>
    <cellStyle name="20% - 강조색4 4 4 2 3 2 2" xfId="7099"/>
    <cellStyle name="20% - 강조색4 4 4 2 3 2 2 2" xfId="7100"/>
    <cellStyle name="20% - 강조색4 4 4 2 3 2 2 3" xfId="7101"/>
    <cellStyle name="20% - 강조색4 4 4 2 3 2 3" xfId="7102"/>
    <cellStyle name="20% - 강조색4 4 4 2 3 2 4" xfId="7103"/>
    <cellStyle name="20% - 강조색4 4 4 2 3 3" xfId="7104"/>
    <cellStyle name="20% - 강조색4 4 4 2 3 3 2" xfId="7105"/>
    <cellStyle name="20% - 강조색4 4 4 2 3 3 3" xfId="7106"/>
    <cellStyle name="20% - 강조색4 4 4 2 3 4" xfId="7107"/>
    <cellStyle name="20% - 강조색4 4 4 2 3 5" xfId="7108"/>
    <cellStyle name="20% - 강조색4 4 4 2 4" xfId="7109"/>
    <cellStyle name="20% - 강조색4 4 4 2 4 2" xfId="7110"/>
    <cellStyle name="20% - 강조색4 4 4 2 4 2 2" xfId="7111"/>
    <cellStyle name="20% - 강조색4 4 4 2 4 2 3" xfId="7112"/>
    <cellStyle name="20% - 강조색4 4 4 2 4 3" xfId="7113"/>
    <cellStyle name="20% - 강조색4 4 4 2 4 4" xfId="7114"/>
    <cellStyle name="20% - 강조색4 4 4 2 5" xfId="7115"/>
    <cellStyle name="20% - 강조색4 4 4 2 5 2" xfId="7116"/>
    <cellStyle name="20% - 강조색4 4 4 2 5 3" xfId="7117"/>
    <cellStyle name="20% - 강조색4 4 4 2 6" xfId="7118"/>
    <cellStyle name="20% - 강조색4 4 4 2 7" xfId="7119"/>
    <cellStyle name="20% - 강조색4 4 4 3" xfId="7120"/>
    <cellStyle name="20% - 강조색4 4 4 3 2" xfId="7121"/>
    <cellStyle name="20% - 강조색4 4 4 3 2 2" xfId="7122"/>
    <cellStyle name="20% - 강조색4 4 4 3 2 2 2" xfId="7123"/>
    <cellStyle name="20% - 강조색4 4 4 3 2 2 2 2" xfId="7124"/>
    <cellStyle name="20% - 강조색4 4 4 3 2 2 2 3" xfId="7125"/>
    <cellStyle name="20% - 강조색4 4 4 3 2 2 3" xfId="7126"/>
    <cellStyle name="20% - 강조색4 4 4 3 2 2 4" xfId="7127"/>
    <cellStyle name="20% - 강조색4 4 4 3 2 3" xfId="7128"/>
    <cellStyle name="20% - 강조색4 4 4 3 2 3 2" xfId="7129"/>
    <cellStyle name="20% - 강조색4 4 4 3 2 3 3" xfId="7130"/>
    <cellStyle name="20% - 강조색4 4 4 3 2 4" xfId="7131"/>
    <cellStyle name="20% - 강조색4 4 4 3 2 5" xfId="7132"/>
    <cellStyle name="20% - 강조색4 4 4 3 3" xfId="7133"/>
    <cellStyle name="20% - 강조색4 4 4 3 3 2" xfId="7134"/>
    <cellStyle name="20% - 강조색4 4 4 3 3 2 2" xfId="7135"/>
    <cellStyle name="20% - 강조색4 4 4 3 3 2 2 2" xfId="7136"/>
    <cellStyle name="20% - 강조색4 4 4 3 3 2 2 3" xfId="7137"/>
    <cellStyle name="20% - 강조색4 4 4 3 3 2 3" xfId="7138"/>
    <cellStyle name="20% - 강조색4 4 4 3 3 2 4" xfId="7139"/>
    <cellStyle name="20% - 강조색4 4 4 3 3 3" xfId="7140"/>
    <cellStyle name="20% - 강조색4 4 4 3 3 3 2" xfId="7141"/>
    <cellStyle name="20% - 강조색4 4 4 3 3 3 3" xfId="7142"/>
    <cellStyle name="20% - 강조색4 4 4 3 3 4" xfId="7143"/>
    <cellStyle name="20% - 강조색4 4 4 3 3 5" xfId="7144"/>
    <cellStyle name="20% - 강조색4 4 4 3 4" xfId="7145"/>
    <cellStyle name="20% - 강조색4 4 4 3 4 2" xfId="7146"/>
    <cellStyle name="20% - 강조색4 4 4 3 4 2 2" xfId="7147"/>
    <cellStyle name="20% - 강조색4 4 4 3 4 2 3" xfId="7148"/>
    <cellStyle name="20% - 강조색4 4 4 3 4 3" xfId="7149"/>
    <cellStyle name="20% - 강조색4 4 4 3 4 4" xfId="7150"/>
    <cellStyle name="20% - 강조색4 4 4 3 5" xfId="7151"/>
    <cellStyle name="20% - 강조색4 4 4 3 5 2" xfId="7152"/>
    <cellStyle name="20% - 강조색4 4 4 3 5 3" xfId="7153"/>
    <cellStyle name="20% - 강조색4 4 4 3 6" xfId="7154"/>
    <cellStyle name="20% - 강조색4 4 4 3 7" xfId="7155"/>
    <cellStyle name="20% - 강조색4 4 4 4" xfId="7156"/>
    <cellStyle name="20% - 강조색4 4 4 4 2" xfId="7157"/>
    <cellStyle name="20% - 강조색4 4 4 4 2 2" xfId="7158"/>
    <cellStyle name="20% - 강조색4 4 4 4 2 2 2" xfId="7159"/>
    <cellStyle name="20% - 강조색4 4 4 4 2 2 3" xfId="7160"/>
    <cellStyle name="20% - 강조색4 4 4 4 2 3" xfId="7161"/>
    <cellStyle name="20% - 강조색4 4 4 4 2 4" xfId="7162"/>
    <cellStyle name="20% - 강조색4 4 4 4 3" xfId="7163"/>
    <cellStyle name="20% - 강조색4 4 4 4 3 2" xfId="7164"/>
    <cellStyle name="20% - 강조색4 4 4 4 3 3" xfId="7165"/>
    <cellStyle name="20% - 강조색4 4 4 4 4" xfId="7166"/>
    <cellStyle name="20% - 강조색4 4 4 4 5" xfId="7167"/>
    <cellStyle name="20% - 강조색4 4 4 5" xfId="7168"/>
    <cellStyle name="20% - 강조색4 4 4 5 2" xfId="7169"/>
    <cellStyle name="20% - 강조색4 4 4 5 2 2" xfId="7170"/>
    <cellStyle name="20% - 강조색4 4 4 5 2 2 2" xfId="7171"/>
    <cellStyle name="20% - 강조색4 4 4 5 2 2 3" xfId="7172"/>
    <cellStyle name="20% - 강조색4 4 4 5 2 3" xfId="7173"/>
    <cellStyle name="20% - 강조색4 4 4 5 2 4" xfId="7174"/>
    <cellStyle name="20% - 강조색4 4 4 5 3" xfId="7175"/>
    <cellStyle name="20% - 강조색4 4 4 5 3 2" xfId="7176"/>
    <cellStyle name="20% - 강조색4 4 4 5 3 3" xfId="7177"/>
    <cellStyle name="20% - 강조색4 4 4 5 4" xfId="7178"/>
    <cellStyle name="20% - 강조색4 4 4 5 5" xfId="7179"/>
    <cellStyle name="20% - 강조색4 4 4 6" xfId="7180"/>
    <cellStyle name="20% - 강조색4 4 4 6 2" xfId="7181"/>
    <cellStyle name="20% - 강조색4 4 4 6 2 2" xfId="7182"/>
    <cellStyle name="20% - 강조색4 4 4 6 2 2 2" xfId="7183"/>
    <cellStyle name="20% - 강조색4 4 4 6 2 2 3" xfId="7184"/>
    <cellStyle name="20% - 강조색4 4 4 6 2 3" xfId="7185"/>
    <cellStyle name="20% - 강조색4 4 4 6 2 4" xfId="7186"/>
    <cellStyle name="20% - 강조색4 4 4 6 3" xfId="7187"/>
    <cellStyle name="20% - 강조색4 4 4 6 3 2" xfId="7188"/>
    <cellStyle name="20% - 강조색4 4 4 6 3 3" xfId="7189"/>
    <cellStyle name="20% - 강조색4 4 4 6 4" xfId="7190"/>
    <cellStyle name="20% - 강조색4 4 4 6 5" xfId="7191"/>
    <cellStyle name="20% - 강조색4 4 4 7" xfId="7192"/>
    <cellStyle name="20% - 강조색4 4 4 7 2" xfId="7193"/>
    <cellStyle name="20% - 강조색4 4 4 7 2 2" xfId="7194"/>
    <cellStyle name="20% - 강조색4 4 4 7 2 3" xfId="7195"/>
    <cellStyle name="20% - 강조색4 4 4 7 3" xfId="7196"/>
    <cellStyle name="20% - 강조색4 4 4 7 4" xfId="7197"/>
    <cellStyle name="20% - 강조색4 4 4 8" xfId="7198"/>
    <cellStyle name="20% - 강조색4 4 4 8 2" xfId="7199"/>
    <cellStyle name="20% - 강조색4 4 4 8 3" xfId="7200"/>
    <cellStyle name="20% - 강조색4 4 4 9" xfId="7201"/>
    <cellStyle name="20% - 강조색4 4 5" xfId="7202"/>
    <cellStyle name="20% - 강조색4 4 5 2" xfId="7203"/>
    <cellStyle name="20% - 강조색4 4 5 2 2" xfId="7204"/>
    <cellStyle name="20% - 강조색4 4 5 2 2 2" xfId="7205"/>
    <cellStyle name="20% - 강조색4 4 5 2 2 2 2" xfId="7206"/>
    <cellStyle name="20% - 강조색4 4 5 2 2 2 3" xfId="7207"/>
    <cellStyle name="20% - 강조색4 4 5 2 2 3" xfId="7208"/>
    <cellStyle name="20% - 강조색4 4 5 2 2 4" xfId="7209"/>
    <cellStyle name="20% - 강조색4 4 5 2 3" xfId="7210"/>
    <cellStyle name="20% - 강조색4 4 5 2 3 2" xfId="7211"/>
    <cellStyle name="20% - 강조색4 4 5 2 3 3" xfId="7212"/>
    <cellStyle name="20% - 강조색4 4 5 2 4" xfId="7213"/>
    <cellStyle name="20% - 강조색4 4 5 2 5" xfId="7214"/>
    <cellStyle name="20% - 강조색4 4 5 3" xfId="7215"/>
    <cellStyle name="20% - 강조색4 4 5 3 2" xfId="7216"/>
    <cellStyle name="20% - 강조색4 4 5 3 2 2" xfId="7217"/>
    <cellStyle name="20% - 강조색4 4 5 3 2 2 2" xfId="7218"/>
    <cellStyle name="20% - 강조색4 4 5 3 2 2 3" xfId="7219"/>
    <cellStyle name="20% - 강조색4 4 5 3 2 3" xfId="7220"/>
    <cellStyle name="20% - 강조색4 4 5 3 2 4" xfId="7221"/>
    <cellStyle name="20% - 강조색4 4 5 3 3" xfId="7222"/>
    <cellStyle name="20% - 강조색4 4 5 3 3 2" xfId="7223"/>
    <cellStyle name="20% - 강조색4 4 5 3 3 3" xfId="7224"/>
    <cellStyle name="20% - 강조색4 4 5 3 4" xfId="7225"/>
    <cellStyle name="20% - 강조색4 4 5 3 5" xfId="7226"/>
    <cellStyle name="20% - 강조색4 4 5 4" xfId="7227"/>
    <cellStyle name="20% - 강조색4 4 5 4 2" xfId="7228"/>
    <cellStyle name="20% - 강조색4 4 5 4 2 2" xfId="7229"/>
    <cellStyle name="20% - 강조색4 4 5 4 2 3" xfId="7230"/>
    <cellStyle name="20% - 강조색4 4 5 4 3" xfId="7231"/>
    <cellStyle name="20% - 강조색4 4 5 4 4" xfId="7232"/>
    <cellStyle name="20% - 강조색4 4 5 5" xfId="7233"/>
    <cellStyle name="20% - 강조색4 4 5 5 2" xfId="7234"/>
    <cellStyle name="20% - 강조색4 4 5 5 3" xfId="7235"/>
    <cellStyle name="20% - 강조색4 4 5 6" xfId="7236"/>
    <cellStyle name="20% - 강조색4 4 5 7" xfId="7237"/>
    <cellStyle name="20% - 강조색4 4 6" xfId="7238"/>
    <cellStyle name="20% - 강조색4 4 6 2" xfId="7239"/>
    <cellStyle name="20% - 강조색4 4 6 2 2" xfId="7240"/>
    <cellStyle name="20% - 강조색4 4 6 2 2 2" xfId="7241"/>
    <cellStyle name="20% - 강조색4 4 6 2 2 2 2" xfId="7242"/>
    <cellStyle name="20% - 강조색4 4 6 2 2 2 3" xfId="7243"/>
    <cellStyle name="20% - 강조색4 4 6 2 2 3" xfId="7244"/>
    <cellStyle name="20% - 강조색4 4 6 2 2 4" xfId="7245"/>
    <cellStyle name="20% - 강조색4 4 6 2 3" xfId="7246"/>
    <cellStyle name="20% - 강조색4 4 6 2 3 2" xfId="7247"/>
    <cellStyle name="20% - 강조색4 4 6 2 3 3" xfId="7248"/>
    <cellStyle name="20% - 강조색4 4 6 2 4" xfId="7249"/>
    <cellStyle name="20% - 강조색4 4 6 2 5" xfId="7250"/>
    <cellStyle name="20% - 강조색4 4 6 3" xfId="7251"/>
    <cellStyle name="20% - 강조색4 4 6 3 2" xfId="7252"/>
    <cellStyle name="20% - 강조색4 4 6 3 2 2" xfId="7253"/>
    <cellStyle name="20% - 강조색4 4 6 3 2 2 2" xfId="7254"/>
    <cellStyle name="20% - 강조색4 4 6 3 2 2 3" xfId="7255"/>
    <cellStyle name="20% - 강조색4 4 6 3 2 3" xfId="7256"/>
    <cellStyle name="20% - 강조색4 4 6 3 2 4" xfId="7257"/>
    <cellStyle name="20% - 강조색4 4 6 3 3" xfId="7258"/>
    <cellStyle name="20% - 강조색4 4 6 3 3 2" xfId="7259"/>
    <cellStyle name="20% - 강조색4 4 6 3 3 3" xfId="7260"/>
    <cellStyle name="20% - 강조색4 4 6 3 4" xfId="7261"/>
    <cellStyle name="20% - 강조색4 4 6 3 5" xfId="7262"/>
    <cellStyle name="20% - 강조색4 4 6 4" xfId="7263"/>
    <cellStyle name="20% - 강조색4 4 6 4 2" xfId="7264"/>
    <cellStyle name="20% - 강조색4 4 6 4 2 2" xfId="7265"/>
    <cellStyle name="20% - 강조색4 4 6 4 2 3" xfId="7266"/>
    <cellStyle name="20% - 강조색4 4 6 4 3" xfId="7267"/>
    <cellStyle name="20% - 강조색4 4 6 4 4" xfId="7268"/>
    <cellStyle name="20% - 강조색4 4 6 5" xfId="7269"/>
    <cellStyle name="20% - 강조색4 4 6 5 2" xfId="7270"/>
    <cellStyle name="20% - 강조색4 4 6 5 3" xfId="7271"/>
    <cellStyle name="20% - 강조색4 4 6 6" xfId="7272"/>
    <cellStyle name="20% - 강조색4 4 6 7" xfId="7273"/>
    <cellStyle name="20% - 강조색4 4 7" xfId="7274"/>
    <cellStyle name="20% - 강조색4 4 7 2" xfId="7275"/>
    <cellStyle name="20% - 강조색4 4 7 2 2" xfId="7276"/>
    <cellStyle name="20% - 강조색4 4 7 2 2 2" xfId="7277"/>
    <cellStyle name="20% - 강조색4 4 7 2 2 3" xfId="7278"/>
    <cellStyle name="20% - 강조색4 4 7 2 3" xfId="7279"/>
    <cellStyle name="20% - 강조색4 4 7 2 4" xfId="7280"/>
    <cellStyle name="20% - 강조색4 4 7 3" xfId="7281"/>
    <cellStyle name="20% - 강조색4 4 7 3 2" xfId="7282"/>
    <cellStyle name="20% - 강조색4 4 7 3 3" xfId="7283"/>
    <cellStyle name="20% - 강조색4 4 7 4" xfId="7284"/>
    <cellStyle name="20% - 강조색4 4 7 5" xfId="7285"/>
    <cellStyle name="20% - 강조색4 4 8" xfId="7286"/>
    <cellStyle name="20% - 강조색4 4 8 2" xfId="7287"/>
    <cellStyle name="20% - 강조색4 4 8 2 2" xfId="7288"/>
    <cellStyle name="20% - 강조색4 4 8 2 2 2" xfId="7289"/>
    <cellStyle name="20% - 강조색4 4 8 2 2 3" xfId="7290"/>
    <cellStyle name="20% - 강조색4 4 8 2 3" xfId="7291"/>
    <cellStyle name="20% - 강조색4 4 8 2 4" xfId="7292"/>
    <cellStyle name="20% - 강조색4 4 8 3" xfId="7293"/>
    <cellStyle name="20% - 강조색4 4 8 3 2" xfId="7294"/>
    <cellStyle name="20% - 강조색4 4 8 3 3" xfId="7295"/>
    <cellStyle name="20% - 강조색4 4 8 4" xfId="7296"/>
    <cellStyle name="20% - 강조색4 4 8 5" xfId="7297"/>
    <cellStyle name="20% - 강조색4 4 9" xfId="7298"/>
    <cellStyle name="20% - 강조색4 4 9 2" xfId="7299"/>
    <cellStyle name="20% - 강조색4 4 9 2 2" xfId="7300"/>
    <cellStyle name="20% - 강조색4 4 9 2 2 2" xfId="7301"/>
    <cellStyle name="20% - 강조색4 4 9 2 2 3" xfId="7302"/>
    <cellStyle name="20% - 강조색4 4 9 2 3" xfId="7303"/>
    <cellStyle name="20% - 강조색4 4 9 2 4" xfId="7304"/>
    <cellStyle name="20% - 강조색4 4 9 3" xfId="7305"/>
    <cellStyle name="20% - 강조색4 4 9 3 2" xfId="7306"/>
    <cellStyle name="20% - 강조색4 4 9 3 3" xfId="7307"/>
    <cellStyle name="20% - 강조색4 4 9 4" xfId="7308"/>
    <cellStyle name="20% - 강조색4 4 9 5" xfId="7309"/>
    <cellStyle name="20% - 강조색4 40" xfId="7310"/>
    <cellStyle name="20% - 강조색4 41" xfId="7311"/>
    <cellStyle name="20% - 강조색4 42" xfId="7312"/>
    <cellStyle name="20% - 강조색4 43" xfId="7313"/>
    <cellStyle name="20% - 강조색4 44" xfId="7314"/>
    <cellStyle name="20% - 강조색4 45" xfId="7315"/>
    <cellStyle name="20% - 강조색4 46" xfId="7316"/>
    <cellStyle name="20% - 강조색4 47" xfId="7317"/>
    <cellStyle name="20% - 강조색4 48" xfId="7318"/>
    <cellStyle name="20% - 강조색4 49" xfId="7319"/>
    <cellStyle name="20% - 강조색4 5" xfId="7320"/>
    <cellStyle name="20% - 강조색4 5 10" xfId="7321"/>
    <cellStyle name="20% - 강조색4 5 11" xfId="7322"/>
    <cellStyle name="20% - 강조색4 5 2" xfId="7323"/>
    <cellStyle name="20% - 강조색4 5 2 2" xfId="7324"/>
    <cellStyle name="20% - 강조색4 5 2 2 2" xfId="7325"/>
    <cellStyle name="20% - 강조색4 5 2 2 2 2" xfId="7326"/>
    <cellStyle name="20% - 강조색4 5 2 2 2 2 2" xfId="7327"/>
    <cellStyle name="20% - 강조색4 5 2 2 2 2 3" xfId="7328"/>
    <cellStyle name="20% - 강조색4 5 2 2 2 3" xfId="7329"/>
    <cellStyle name="20% - 강조색4 5 2 2 2 4" xfId="7330"/>
    <cellStyle name="20% - 강조색4 5 2 2 3" xfId="7331"/>
    <cellStyle name="20% - 강조색4 5 2 2 3 2" xfId="7332"/>
    <cellStyle name="20% - 강조색4 5 2 2 3 3" xfId="7333"/>
    <cellStyle name="20% - 강조색4 5 2 2 4" xfId="7334"/>
    <cellStyle name="20% - 강조색4 5 2 2 5" xfId="7335"/>
    <cellStyle name="20% - 강조색4 5 2 3" xfId="7336"/>
    <cellStyle name="20% - 강조색4 5 2 3 2" xfId="7337"/>
    <cellStyle name="20% - 강조색4 5 2 3 2 2" xfId="7338"/>
    <cellStyle name="20% - 강조색4 5 2 3 2 2 2" xfId="7339"/>
    <cellStyle name="20% - 강조색4 5 2 3 2 2 3" xfId="7340"/>
    <cellStyle name="20% - 강조색4 5 2 3 2 3" xfId="7341"/>
    <cellStyle name="20% - 강조색4 5 2 3 2 4" xfId="7342"/>
    <cellStyle name="20% - 강조색4 5 2 3 3" xfId="7343"/>
    <cellStyle name="20% - 강조색4 5 2 3 3 2" xfId="7344"/>
    <cellStyle name="20% - 강조색4 5 2 3 3 3" xfId="7345"/>
    <cellStyle name="20% - 강조색4 5 2 3 4" xfId="7346"/>
    <cellStyle name="20% - 강조색4 5 2 3 5" xfId="7347"/>
    <cellStyle name="20% - 강조색4 5 2 4" xfId="7348"/>
    <cellStyle name="20% - 강조색4 5 2 4 2" xfId="7349"/>
    <cellStyle name="20% - 강조색4 5 2 4 2 2" xfId="7350"/>
    <cellStyle name="20% - 강조색4 5 2 4 2 3" xfId="7351"/>
    <cellStyle name="20% - 강조색4 5 2 4 3" xfId="7352"/>
    <cellStyle name="20% - 강조색4 5 2 4 4" xfId="7353"/>
    <cellStyle name="20% - 강조색4 5 2 5" xfId="7354"/>
    <cellStyle name="20% - 강조색4 5 2 5 2" xfId="7355"/>
    <cellStyle name="20% - 강조색4 5 2 5 3" xfId="7356"/>
    <cellStyle name="20% - 강조색4 5 2 6" xfId="7357"/>
    <cellStyle name="20% - 강조색4 5 2 7" xfId="7358"/>
    <cellStyle name="20% - 강조색4 5 3" xfId="7359"/>
    <cellStyle name="20% - 강조색4 5 3 2" xfId="7360"/>
    <cellStyle name="20% - 강조색4 5 3 2 2" xfId="7361"/>
    <cellStyle name="20% - 강조색4 5 3 2 2 2" xfId="7362"/>
    <cellStyle name="20% - 강조색4 5 3 2 2 2 2" xfId="7363"/>
    <cellStyle name="20% - 강조색4 5 3 2 2 2 3" xfId="7364"/>
    <cellStyle name="20% - 강조색4 5 3 2 2 3" xfId="7365"/>
    <cellStyle name="20% - 강조색4 5 3 2 2 4" xfId="7366"/>
    <cellStyle name="20% - 강조색4 5 3 2 3" xfId="7367"/>
    <cellStyle name="20% - 강조색4 5 3 2 3 2" xfId="7368"/>
    <cellStyle name="20% - 강조색4 5 3 2 3 3" xfId="7369"/>
    <cellStyle name="20% - 강조색4 5 3 2 4" xfId="7370"/>
    <cellStyle name="20% - 강조색4 5 3 2 5" xfId="7371"/>
    <cellStyle name="20% - 강조색4 5 3 3" xfId="7372"/>
    <cellStyle name="20% - 강조색4 5 3 3 2" xfId="7373"/>
    <cellStyle name="20% - 강조색4 5 3 3 2 2" xfId="7374"/>
    <cellStyle name="20% - 강조색4 5 3 3 2 2 2" xfId="7375"/>
    <cellStyle name="20% - 강조색4 5 3 3 2 2 3" xfId="7376"/>
    <cellStyle name="20% - 강조색4 5 3 3 2 3" xfId="7377"/>
    <cellStyle name="20% - 강조색4 5 3 3 2 4" xfId="7378"/>
    <cellStyle name="20% - 강조색4 5 3 3 3" xfId="7379"/>
    <cellStyle name="20% - 강조색4 5 3 3 3 2" xfId="7380"/>
    <cellStyle name="20% - 강조색4 5 3 3 3 3" xfId="7381"/>
    <cellStyle name="20% - 강조색4 5 3 3 4" xfId="7382"/>
    <cellStyle name="20% - 강조색4 5 3 3 5" xfId="7383"/>
    <cellStyle name="20% - 강조색4 5 3 4" xfId="7384"/>
    <cellStyle name="20% - 강조색4 5 3 4 2" xfId="7385"/>
    <cellStyle name="20% - 강조색4 5 3 4 2 2" xfId="7386"/>
    <cellStyle name="20% - 강조색4 5 3 4 2 3" xfId="7387"/>
    <cellStyle name="20% - 강조색4 5 3 4 3" xfId="7388"/>
    <cellStyle name="20% - 강조색4 5 3 4 4" xfId="7389"/>
    <cellStyle name="20% - 강조색4 5 3 5" xfId="7390"/>
    <cellStyle name="20% - 강조색4 5 3 5 2" xfId="7391"/>
    <cellStyle name="20% - 강조색4 5 3 5 3" xfId="7392"/>
    <cellStyle name="20% - 강조색4 5 3 6" xfId="7393"/>
    <cellStyle name="20% - 강조색4 5 3 7" xfId="7394"/>
    <cellStyle name="20% - 강조색4 5 4" xfId="7395"/>
    <cellStyle name="20% - 강조색4 5 4 2" xfId="7396"/>
    <cellStyle name="20% - 강조색4 5 4 2 2" xfId="7397"/>
    <cellStyle name="20% - 강조색4 5 4 2 2 2" xfId="7398"/>
    <cellStyle name="20% - 강조색4 5 4 2 2 3" xfId="7399"/>
    <cellStyle name="20% - 강조색4 5 4 2 3" xfId="7400"/>
    <cellStyle name="20% - 강조색4 5 4 2 4" xfId="7401"/>
    <cellStyle name="20% - 강조색4 5 4 3" xfId="7402"/>
    <cellStyle name="20% - 강조색4 5 4 3 2" xfId="7403"/>
    <cellStyle name="20% - 강조색4 5 4 3 3" xfId="7404"/>
    <cellStyle name="20% - 강조색4 5 4 4" xfId="7405"/>
    <cellStyle name="20% - 강조색4 5 4 5" xfId="7406"/>
    <cellStyle name="20% - 강조색4 5 5" xfId="7407"/>
    <cellStyle name="20% - 강조색4 5 5 2" xfId="7408"/>
    <cellStyle name="20% - 강조색4 5 5 2 2" xfId="7409"/>
    <cellStyle name="20% - 강조색4 5 5 2 2 2" xfId="7410"/>
    <cellStyle name="20% - 강조색4 5 5 2 2 3" xfId="7411"/>
    <cellStyle name="20% - 강조색4 5 5 2 3" xfId="7412"/>
    <cellStyle name="20% - 강조색4 5 5 2 4" xfId="7413"/>
    <cellStyle name="20% - 강조색4 5 5 3" xfId="7414"/>
    <cellStyle name="20% - 강조색4 5 5 3 2" xfId="7415"/>
    <cellStyle name="20% - 강조색4 5 5 3 3" xfId="7416"/>
    <cellStyle name="20% - 강조색4 5 5 4" xfId="7417"/>
    <cellStyle name="20% - 강조색4 5 5 5" xfId="7418"/>
    <cellStyle name="20% - 강조색4 5 6" xfId="7419"/>
    <cellStyle name="20% - 강조색4 5 6 2" xfId="7420"/>
    <cellStyle name="20% - 강조색4 5 6 2 2" xfId="7421"/>
    <cellStyle name="20% - 강조색4 5 6 2 2 2" xfId="7422"/>
    <cellStyle name="20% - 강조색4 5 6 2 2 3" xfId="7423"/>
    <cellStyle name="20% - 강조색4 5 6 2 3" xfId="7424"/>
    <cellStyle name="20% - 강조색4 5 6 2 4" xfId="7425"/>
    <cellStyle name="20% - 강조색4 5 6 3" xfId="7426"/>
    <cellStyle name="20% - 강조색4 5 6 3 2" xfId="7427"/>
    <cellStyle name="20% - 강조색4 5 6 3 3" xfId="7428"/>
    <cellStyle name="20% - 강조색4 5 6 4" xfId="7429"/>
    <cellStyle name="20% - 강조색4 5 6 5" xfId="7430"/>
    <cellStyle name="20% - 강조색4 5 7" xfId="7431"/>
    <cellStyle name="20% - 강조색4 5 7 2" xfId="7432"/>
    <cellStyle name="20% - 강조색4 5 7 2 2" xfId="7433"/>
    <cellStyle name="20% - 강조색4 5 7 2 3" xfId="7434"/>
    <cellStyle name="20% - 강조색4 5 7 3" xfId="7435"/>
    <cellStyle name="20% - 강조색4 5 7 4" xfId="7436"/>
    <cellStyle name="20% - 강조색4 5 8" xfId="7437"/>
    <cellStyle name="20% - 강조색4 5 8 2" xfId="7438"/>
    <cellStyle name="20% - 강조색4 5 8 3" xfId="7439"/>
    <cellStyle name="20% - 강조색4 5 9" xfId="7440"/>
    <cellStyle name="20% - 강조색4 50" xfId="7441"/>
    <cellStyle name="20% - 강조색4 51" xfId="7442"/>
    <cellStyle name="20% - 강조색4 52" xfId="7443"/>
    <cellStyle name="20% - 강조색4 53" xfId="7444"/>
    <cellStyle name="20% - 강조색4 54" xfId="7445"/>
    <cellStyle name="20% - 강조색4 55" xfId="7446"/>
    <cellStyle name="20% - 강조색4 56" xfId="7447"/>
    <cellStyle name="20% - 강조색4 57" xfId="7448"/>
    <cellStyle name="20% - 강조색4 58" xfId="7449"/>
    <cellStyle name="20% - 강조색4 59" xfId="7450"/>
    <cellStyle name="20% - 강조색4 6" xfId="7451"/>
    <cellStyle name="20% - 강조색4 6 10" xfId="7452"/>
    <cellStyle name="20% - 강조색4 6 2" xfId="7453"/>
    <cellStyle name="20% - 강조색4 6 2 2" xfId="7454"/>
    <cellStyle name="20% - 강조색4 6 2 2 2" xfId="7455"/>
    <cellStyle name="20% - 강조색4 6 2 2 2 2" xfId="7456"/>
    <cellStyle name="20% - 강조색4 6 2 2 2 2 2" xfId="7457"/>
    <cellStyle name="20% - 강조색4 6 2 2 2 2 3" xfId="7458"/>
    <cellStyle name="20% - 강조색4 6 2 2 2 3" xfId="7459"/>
    <cellStyle name="20% - 강조색4 6 2 2 2 4" xfId="7460"/>
    <cellStyle name="20% - 강조색4 6 2 2 3" xfId="7461"/>
    <cellStyle name="20% - 강조색4 6 2 2 3 2" xfId="7462"/>
    <cellStyle name="20% - 강조색4 6 2 2 3 3" xfId="7463"/>
    <cellStyle name="20% - 강조색4 6 2 2 4" xfId="7464"/>
    <cellStyle name="20% - 강조색4 6 2 2 5" xfId="7465"/>
    <cellStyle name="20% - 강조색4 6 2 3" xfId="7466"/>
    <cellStyle name="20% - 강조색4 6 2 3 2" xfId="7467"/>
    <cellStyle name="20% - 강조색4 6 2 3 2 2" xfId="7468"/>
    <cellStyle name="20% - 강조색4 6 2 3 2 2 2" xfId="7469"/>
    <cellStyle name="20% - 강조색4 6 2 3 2 2 3" xfId="7470"/>
    <cellStyle name="20% - 강조색4 6 2 3 2 3" xfId="7471"/>
    <cellStyle name="20% - 강조색4 6 2 3 2 4" xfId="7472"/>
    <cellStyle name="20% - 강조색4 6 2 3 3" xfId="7473"/>
    <cellStyle name="20% - 강조색4 6 2 3 3 2" xfId="7474"/>
    <cellStyle name="20% - 강조색4 6 2 3 3 3" xfId="7475"/>
    <cellStyle name="20% - 강조색4 6 2 3 4" xfId="7476"/>
    <cellStyle name="20% - 강조색4 6 2 3 5" xfId="7477"/>
    <cellStyle name="20% - 강조색4 6 2 4" xfId="7478"/>
    <cellStyle name="20% - 강조색4 6 2 4 2" xfId="7479"/>
    <cellStyle name="20% - 강조색4 6 2 4 2 2" xfId="7480"/>
    <cellStyle name="20% - 강조색4 6 2 4 2 3" xfId="7481"/>
    <cellStyle name="20% - 강조색4 6 2 4 3" xfId="7482"/>
    <cellStyle name="20% - 강조색4 6 2 4 4" xfId="7483"/>
    <cellStyle name="20% - 강조색4 6 2 5" xfId="7484"/>
    <cellStyle name="20% - 강조색4 6 2 5 2" xfId="7485"/>
    <cellStyle name="20% - 강조색4 6 2 5 3" xfId="7486"/>
    <cellStyle name="20% - 강조색4 6 2 6" xfId="7487"/>
    <cellStyle name="20% - 강조색4 6 2 7" xfId="7488"/>
    <cellStyle name="20% - 강조색4 6 3" xfId="7489"/>
    <cellStyle name="20% - 강조색4 6 3 2" xfId="7490"/>
    <cellStyle name="20% - 강조색4 6 3 2 2" xfId="7491"/>
    <cellStyle name="20% - 강조색4 6 3 2 2 2" xfId="7492"/>
    <cellStyle name="20% - 강조색4 6 3 2 2 2 2" xfId="7493"/>
    <cellStyle name="20% - 강조색4 6 3 2 2 2 3" xfId="7494"/>
    <cellStyle name="20% - 강조색4 6 3 2 2 3" xfId="7495"/>
    <cellStyle name="20% - 강조색4 6 3 2 2 4" xfId="7496"/>
    <cellStyle name="20% - 강조색4 6 3 2 3" xfId="7497"/>
    <cellStyle name="20% - 강조색4 6 3 2 3 2" xfId="7498"/>
    <cellStyle name="20% - 강조색4 6 3 2 3 3" xfId="7499"/>
    <cellStyle name="20% - 강조색4 6 3 2 4" xfId="7500"/>
    <cellStyle name="20% - 강조색4 6 3 2 5" xfId="7501"/>
    <cellStyle name="20% - 강조색4 6 3 3" xfId="7502"/>
    <cellStyle name="20% - 강조색4 6 3 3 2" xfId="7503"/>
    <cellStyle name="20% - 강조색4 6 3 3 2 2" xfId="7504"/>
    <cellStyle name="20% - 강조색4 6 3 3 2 2 2" xfId="7505"/>
    <cellStyle name="20% - 강조색4 6 3 3 2 2 3" xfId="7506"/>
    <cellStyle name="20% - 강조색4 6 3 3 2 3" xfId="7507"/>
    <cellStyle name="20% - 강조색4 6 3 3 2 4" xfId="7508"/>
    <cellStyle name="20% - 강조색4 6 3 3 3" xfId="7509"/>
    <cellStyle name="20% - 강조색4 6 3 3 3 2" xfId="7510"/>
    <cellStyle name="20% - 강조색4 6 3 3 3 3" xfId="7511"/>
    <cellStyle name="20% - 강조색4 6 3 3 4" xfId="7512"/>
    <cellStyle name="20% - 강조색4 6 3 3 5" xfId="7513"/>
    <cellStyle name="20% - 강조색4 6 3 4" xfId="7514"/>
    <cellStyle name="20% - 강조색4 6 3 4 2" xfId="7515"/>
    <cellStyle name="20% - 강조색4 6 3 4 2 2" xfId="7516"/>
    <cellStyle name="20% - 강조색4 6 3 4 2 3" xfId="7517"/>
    <cellStyle name="20% - 강조색4 6 3 4 3" xfId="7518"/>
    <cellStyle name="20% - 강조색4 6 3 4 4" xfId="7519"/>
    <cellStyle name="20% - 강조색4 6 3 5" xfId="7520"/>
    <cellStyle name="20% - 강조색4 6 3 5 2" xfId="7521"/>
    <cellStyle name="20% - 강조색4 6 3 5 3" xfId="7522"/>
    <cellStyle name="20% - 강조색4 6 3 6" xfId="7523"/>
    <cellStyle name="20% - 강조색4 6 3 7" xfId="7524"/>
    <cellStyle name="20% - 강조색4 6 4" xfId="7525"/>
    <cellStyle name="20% - 강조색4 6 4 2" xfId="7526"/>
    <cellStyle name="20% - 강조색4 6 4 2 2" xfId="7527"/>
    <cellStyle name="20% - 강조색4 6 4 2 2 2" xfId="7528"/>
    <cellStyle name="20% - 강조색4 6 4 2 2 3" xfId="7529"/>
    <cellStyle name="20% - 강조색4 6 4 2 3" xfId="7530"/>
    <cellStyle name="20% - 강조색4 6 4 2 4" xfId="7531"/>
    <cellStyle name="20% - 강조색4 6 4 3" xfId="7532"/>
    <cellStyle name="20% - 강조색4 6 4 3 2" xfId="7533"/>
    <cellStyle name="20% - 강조색4 6 4 3 3" xfId="7534"/>
    <cellStyle name="20% - 강조색4 6 4 4" xfId="7535"/>
    <cellStyle name="20% - 강조색4 6 4 5" xfId="7536"/>
    <cellStyle name="20% - 강조색4 6 5" xfId="7537"/>
    <cellStyle name="20% - 강조색4 6 5 2" xfId="7538"/>
    <cellStyle name="20% - 강조색4 6 5 2 2" xfId="7539"/>
    <cellStyle name="20% - 강조색4 6 5 2 2 2" xfId="7540"/>
    <cellStyle name="20% - 강조색4 6 5 2 2 3" xfId="7541"/>
    <cellStyle name="20% - 강조색4 6 5 2 3" xfId="7542"/>
    <cellStyle name="20% - 강조색4 6 5 2 4" xfId="7543"/>
    <cellStyle name="20% - 강조색4 6 5 3" xfId="7544"/>
    <cellStyle name="20% - 강조색4 6 5 3 2" xfId="7545"/>
    <cellStyle name="20% - 강조색4 6 5 3 3" xfId="7546"/>
    <cellStyle name="20% - 강조색4 6 5 4" xfId="7547"/>
    <cellStyle name="20% - 강조색4 6 5 5" xfId="7548"/>
    <cellStyle name="20% - 강조색4 6 6" xfId="7549"/>
    <cellStyle name="20% - 강조색4 6 6 2" xfId="7550"/>
    <cellStyle name="20% - 강조색4 6 6 2 2" xfId="7551"/>
    <cellStyle name="20% - 강조색4 6 6 2 2 2" xfId="7552"/>
    <cellStyle name="20% - 강조색4 6 6 2 2 3" xfId="7553"/>
    <cellStyle name="20% - 강조색4 6 6 2 3" xfId="7554"/>
    <cellStyle name="20% - 강조색4 6 6 2 4" xfId="7555"/>
    <cellStyle name="20% - 강조색4 6 6 3" xfId="7556"/>
    <cellStyle name="20% - 강조색4 6 6 3 2" xfId="7557"/>
    <cellStyle name="20% - 강조색4 6 6 3 3" xfId="7558"/>
    <cellStyle name="20% - 강조색4 6 6 4" xfId="7559"/>
    <cellStyle name="20% - 강조색4 6 6 5" xfId="7560"/>
    <cellStyle name="20% - 강조색4 6 7" xfId="7561"/>
    <cellStyle name="20% - 강조색4 6 7 2" xfId="7562"/>
    <cellStyle name="20% - 강조색4 6 7 2 2" xfId="7563"/>
    <cellStyle name="20% - 강조색4 6 7 2 3" xfId="7564"/>
    <cellStyle name="20% - 강조색4 6 7 3" xfId="7565"/>
    <cellStyle name="20% - 강조색4 6 7 4" xfId="7566"/>
    <cellStyle name="20% - 강조색4 6 8" xfId="7567"/>
    <cellStyle name="20% - 강조색4 6 8 2" xfId="7568"/>
    <cellStyle name="20% - 강조색4 6 8 3" xfId="7569"/>
    <cellStyle name="20% - 강조색4 6 9" xfId="7570"/>
    <cellStyle name="20% - 강조색4 60" xfId="7571"/>
    <cellStyle name="20% - 강조색4 61" xfId="7572"/>
    <cellStyle name="20% - 강조색4 62" xfId="7573"/>
    <cellStyle name="20% - 강조색4 63" xfId="7574"/>
    <cellStyle name="20% - 강조색4 64" xfId="7575"/>
    <cellStyle name="20% - 강조색4 65" xfId="7576"/>
    <cellStyle name="20% - 강조색4 66" xfId="7577"/>
    <cellStyle name="20% - 강조색4 67" xfId="7578"/>
    <cellStyle name="20% - 강조색4 68" xfId="7579"/>
    <cellStyle name="20% - 강조색4 69" xfId="7580"/>
    <cellStyle name="20% - 강조색4 7" xfId="7581"/>
    <cellStyle name="20% - 강조색4 7 10" xfId="7582"/>
    <cellStyle name="20% - 강조색4 7 2" xfId="7583"/>
    <cellStyle name="20% - 강조색4 7 2 2" xfId="7584"/>
    <cellStyle name="20% - 강조색4 7 2 2 2" xfId="7585"/>
    <cellStyle name="20% - 강조색4 7 2 2 2 2" xfId="7586"/>
    <cellStyle name="20% - 강조색4 7 2 2 2 2 2" xfId="7587"/>
    <cellStyle name="20% - 강조색4 7 2 2 2 2 3" xfId="7588"/>
    <cellStyle name="20% - 강조색4 7 2 2 2 3" xfId="7589"/>
    <cellStyle name="20% - 강조색4 7 2 2 2 4" xfId="7590"/>
    <cellStyle name="20% - 강조색4 7 2 2 3" xfId="7591"/>
    <cellStyle name="20% - 강조색4 7 2 2 3 2" xfId="7592"/>
    <cellStyle name="20% - 강조색4 7 2 2 3 3" xfId="7593"/>
    <cellStyle name="20% - 강조색4 7 2 2 4" xfId="7594"/>
    <cellStyle name="20% - 강조색4 7 2 2 5" xfId="7595"/>
    <cellStyle name="20% - 강조색4 7 2 3" xfId="7596"/>
    <cellStyle name="20% - 강조색4 7 2 3 2" xfId="7597"/>
    <cellStyle name="20% - 강조색4 7 2 3 2 2" xfId="7598"/>
    <cellStyle name="20% - 강조색4 7 2 3 2 2 2" xfId="7599"/>
    <cellStyle name="20% - 강조색4 7 2 3 2 2 3" xfId="7600"/>
    <cellStyle name="20% - 강조색4 7 2 3 2 3" xfId="7601"/>
    <cellStyle name="20% - 강조색4 7 2 3 2 4" xfId="7602"/>
    <cellStyle name="20% - 강조색4 7 2 3 3" xfId="7603"/>
    <cellStyle name="20% - 강조색4 7 2 3 3 2" xfId="7604"/>
    <cellStyle name="20% - 강조색4 7 2 3 3 3" xfId="7605"/>
    <cellStyle name="20% - 강조색4 7 2 3 4" xfId="7606"/>
    <cellStyle name="20% - 강조색4 7 2 3 5" xfId="7607"/>
    <cellStyle name="20% - 강조색4 7 2 4" xfId="7608"/>
    <cellStyle name="20% - 강조색4 7 2 4 2" xfId="7609"/>
    <cellStyle name="20% - 강조색4 7 2 4 2 2" xfId="7610"/>
    <cellStyle name="20% - 강조색4 7 2 4 2 3" xfId="7611"/>
    <cellStyle name="20% - 강조색4 7 2 4 3" xfId="7612"/>
    <cellStyle name="20% - 강조색4 7 2 4 4" xfId="7613"/>
    <cellStyle name="20% - 강조색4 7 2 5" xfId="7614"/>
    <cellStyle name="20% - 강조색4 7 2 5 2" xfId="7615"/>
    <cellStyle name="20% - 강조색4 7 2 5 3" xfId="7616"/>
    <cellStyle name="20% - 강조색4 7 2 6" xfId="7617"/>
    <cellStyle name="20% - 강조색4 7 2 7" xfId="7618"/>
    <cellStyle name="20% - 강조색4 7 3" xfId="7619"/>
    <cellStyle name="20% - 강조색4 7 3 2" xfId="7620"/>
    <cellStyle name="20% - 강조색4 7 3 2 2" xfId="7621"/>
    <cellStyle name="20% - 강조색4 7 3 2 2 2" xfId="7622"/>
    <cellStyle name="20% - 강조색4 7 3 2 2 2 2" xfId="7623"/>
    <cellStyle name="20% - 강조색4 7 3 2 2 2 3" xfId="7624"/>
    <cellStyle name="20% - 강조색4 7 3 2 2 3" xfId="7625"/>
    <cellStyle name="20% - 강조색4 7 3 2 2 4" xfId="7626"/>
    <cellStyle name="20% - 강조색4 7 3 2 3" xfId="7627"/>
    <cellStyle name="20% - 강조색4 7 3 2 3 2" xfId="7628"/>
    <cellStyle name="20% - 강조색4 7 3 2 3 3" xfId="7629"/>
    <cellStyle name="20% - 강조색4 7 3 2 4" xfId="7630"/>
    <cellStyle name="20% - 강조색4 7 3 2 5" xfId="7631"/>
    <cellStyle name="20% - 강조색4 7 3 3" xfId="7632"/>
    <cellStyle name="20% - 강조색4 7 3 3 2" xfId="7633"/>
    <cellStyle name="20% - 강조색4 7 3 3 2 2" xfId="7634"/>
    <cellStyle name="20% - 강조색4 7 3 3 2 2 2" xfId="7635"/>
    <cellStyle name="20% - 강조색4 7 3 3 2 2 3" xfId="7636"/>
    <cellStyle name="20% - 강조색4 7 3 3 2 3" xfId="7637"/>
    <cellStyle name="20% - 강조색4 7 3 3 2 4" xfId="7638"/>
    <cellStyle name="20% - 강조색4 7 3 3 3" xfId="7639"/>
    <cellStyle name="20% - 강조색4 7 3 3 3 2" xfId="7640"/>
    <cellStyle name="20% - 강조색4 7 3 3 3 3" xfId="7641"/>
    <cellStyle name="20% - 강조색4 7 3 3 4" xfId="7642"/>
    <cellStyle name="20% - 강조색4 7 3 3 5" xfId="7643"/>
    <cellStyle name="20% - 강조색4 7 3 4" xfId="7644"/>
    <cellStyle name="20% - 강조색4 7 3 4 2" xfId="7645"/>
    <cellStyle name="20% - 강조색4 7 3 4 2 2" xfId="7646"/>
    <cellStyle name="20% - 강조색4 7 3 4 2 3" xfId="7647"/>
    <cellStyle name="20% - 강조색4 7 3 4 3" xfId="7648"/>
    <cellStyle name="20% - 강조색4 7 3 4 4" xfId="7649"/>
    <cellStyle name="20% - 강조색4 7 3 5" xfId="7650"/>
    <cellStyle name="20% - 강조색4 7 3 5 2" xfId="7651"/>
    <cellStyle name="20% - 강조색4 7 3 5 3" xfId="7652"/>
    <cellStyle name="20% - 강조색4 7 3 6" xfId="7653"/>
    <cellStyle name="20% - 강조색4 7 3 7" xfId="7654"/>
    <cellStyle name="20% - 강조색4 7 4" xfId="7655"/>
    <cellStyle name="20% - 강조색4 7 4 2" xfId="7656"/>
    <cellStyle name="20% - 강조색4 7 4 2 2" xfId="7657"/>
    <cellStyle name="20% - 강조색4 7 4 2 2 2" xfId="7658"/>
    <cellStyle name="20% - 강조색4 7 4 2 2 3" xfId="7659"/>
    <cellStyle name="20% - 강조색4 7 4 2 3" xfId="7660"/>
    <cellStyle name="20% - 강조색4 7 4 2 4" xfId="7661"/>
    <cellStyle name="20% - 강조색4 7 4 3" xfId="7662"/>
    <cellStyle name="20% - 강조색4 7 4 3 2" xfId="7663"/>
    <cellStyle name="20% - 강조색4 7 4 3 3" xfId="7664"/>
    <cellStyle name="20% - 강조색4 7 4 4" xfId="7665"/>
    <cellStyle name="20% - 강조색4 7 4 5" xfId="7666"/>
    <cellStyle name="20% - 강조색4 7 5" xfId="7667"/>
    <cellStyle name="20% - 강조색4 7 5 2" xfId="7668"/>
    <cellStyle name="20% - 강조색4 7 5 2 2" xfId="7669"/>
    <cellStyle name="20% - 강조색4 7 5 2 2 2" xfId="7670"/>
    <cellStyle name="20% - 강조색4 7 5 2 2 3" xfId="7671"/>
    <cellStyle name="20% - 강조색4 7 5 2 3" xfId="7672"/>
    <cellStyle name="20% - 강조색4 7 5 2 4" xfId="7673"/>
    <cellStyle name="20% - 강조색4 7 5 3" xfId="7674"/>
    <cellStyle name="20% - 강조색4 7 5 3 2" xfId="7675"/>
    <cellStyle name="20% - 강조색4 7 5 3 3" xfId="7676"/>
    <cellStyle name="20% - 강조색4 7 5 4" xfId="7677"/>
    <cellStyle name="20% - 강조색4 7 5 5" xfId="7678"/>
    <cellStyle name="20% - 강조색4 7 6" xfId="7679"/>
    <cellStyle name="20% - 강조색4 7 6 2" xfId="7680"/>
    <cellStyle name="20% - 강조색4 7 6 2 2" xfId="7681"/>
    <cellStyle name="20% - 강조색4 7 6 2 2 2" xfId="7682"/>
    <cellStyle name="20% - 강조색4 7 6 2 2 3" xfId="7683"/>
    <cellStyle name="20% - 강조색4 7 6 2 3" xfId="7684"/>
    <cellStyle name="20% - 강조색4 7 6 2 4" xfId="7685"/>
    <cellStyle name="20% - 강조색4 7 6 3" xfId="7686"/>
    <cellStyle name="20% - 강조색4 7 6 3 2" xfId="7687"/>
    <cellStyle name="20% - 강조색4 7 6 3 3" xfId="7688"/>
    <cellStyle name="20% - 강조색4 7 6 4" xfId="7689"/>
    <cellStyle name="20% - 강조색4 7 6 5" xfId="7690"/>
    <cellStyle name="20% - 강조색4 7 7" xfId="7691"/>
    <cellStyle name="20% - 강조색4 7 7 2" xfId="7692"/>
    <cellStyle name="20% - 강조색4 7 7 2 2" xfId="7693"/>
    <cellStyle name="20% - 강조색4 7 7 2 3" xfId="7694"/>
    <cellStyle name="20% - 강조색4 7 7 3" xfId="7695"/>
    <cellStyle name="20% - 강조색4 7 7 4" xfId="7696"/>
    <cellStyle name="20% - 강조색4 7 8" xfId="7697"/>
    <cellStyle name="20% - 강조색4 7 8 2" xfId="7698"/>
    <cellStyle name="20% - 강조색4 7 8 3" xfId="7699"/>
    <cellStyle name="20% - 강조색4 7 9" xfId="7700"/>
    <cellStyle name="20% - 강조색4 8" xfId="7701"/>
    <cellStyle name="20% - 강조색4 8 2" xfId="7702"/>
    <cellStyle name="20% - 강조색4 8 2 2" xfId="7703"/>
    <cellStyle name="20% - 강조색4 8 2 2 2" xfId="7704"/>
    <cellStyle name="20% - 강조색4 8 2 2 2 2" xfId="7705"/>
    <cellStyle name="20% - 강조색4 8 2 2 2 3" xfId="7706"/>
    <cellStyle name="20% - 강조색4 8 2 2 3" xfId="7707"/>
    <cellStyle name="20% - 강조색4 8 2 2 4" xfId="7708"/>
    <cellStyle name="20% - 강조색4 8 2 3" xfId="7709"/>
    <cellStyle name="20% - 강조색4 8 2 3 2" xfId="7710"/>
    <cellStyle name="20% - 강조색4 8 2 3 3" xfId="7711"/>
    <cellStyle name="20% - 강조색4 8 2 4" xfId="7712"/>
    <cellStyle name="20% - 강조색4 8 2 5" xfId="7713"/>
    <cellStyle name="20% - 강조색4 8 3" xfId="7714"/>
    <cellStyle name="20% - 강조색4 8 3 2" xfId="7715"/>
    <cellStyle name="20% - 강조색4 8 3 2 2" xfId="7716"/>
    <cellStyle name="20% - 강조색4 8 3 2 2 2" xfId="7717"/>
    <cellStyle name="20% - 강조색4 8 3 2 2 3" xfId="7718"/>
    <cellStyle name="20% - 강조색4 8 3 2 3" xfId="7719"/>
    <cellStyle name="20% - 강조색4 8 3 2 4" xfId="7720"/>
    <cellStyle name="20% - 강조색4 8 3 3" xfId="7721"/>
    <cellStyle name="20% - 강조색4 8 3 3 2" xfId="7722"/>
    <cellStyle name="20% - 강조색4 8 3 3 3" xfId="7723"/>
    <cellStyle name="20% - 강조색4 8 3 4" xfId="7724"/>
    <cellStyle name="20% - 강조색4 8 3 5" xfId="7725"/>
    <cellStyle name="20% - 강조색4 8 4" xfId="7726"/>
    <cellStyle name="20% - 강조색4 8 4 2" xfId="7727"/>
    <cellStyle name="20% - 강조색4 8 4 2 2" xfId="7728"/>
    <cellStyle name="20% - 강조색4 8 4 2 3" xfId="7729"/>
    <cellStyle name="20% - 강조색4 8 4 3" xfId="7730"/>
    <cellStyle name="20% - 강조색4 8 4 4" xfId="7731"/>
    <cellStyle name="20% - 강조색4 8 5" xfId="7732"/>
    <cellStyle name="20% - 강조색4 8 5 2" xfId="7733"/>
    <cellStyle name="20% - 강조색4 8 5 3" xfId="7734"/>
    <cellStyle name="20% - 강조색4 8 6" xfId="7735"/>
    <cellStyle name="20% - 강조색4 8 7" xfId="7736"/>
    <cellStyle name="20% - 강조색4 9" xfId="7737"/>
    <cellStyle name="20% - 강조색4 9 2" xfId="7738"/>
    <cellStyle name="20% - 강조색4 9 2 2" xfId="7739"/>
    <cellStyle name="20% - 강조색4 9 2 2 2" xfId="7740"/>
    <cellStyle name="20% - 강조색4 9 2 2 2 2" xfId="7741"/>
    <cellStyle name="20% - 강조색4 9 2 2 2 3" xfId="7742"/>
    <cellStyle name="20% - 강조색4 9 2 2 3" xfId="7743"/>
    <cellStyle name="20% - 강조색4 9 2 2 4" xfId="7744"/>
    <cellStyle name="20% - 강조색4 9 2 3" xfId="7745"/>
    <cellStyle name="20% - 강조색4 9 2 3 2" xfId="7746"/>
    <cellStyle name="20% - 강조색4 9 2 3 3" xfId="7747"/>
    <cellStyle name="20% - 강조색4 9 2 4" xfId="7748"/>
    <cellStyle name="20% - 강조색4 9 2 5" xfId="7749"/>
    <cellStyle name="20% - 강조색4 9 3" xfId="7750"/>
    <cellStyle name="20% - 강조색4 9 3 2" xfId="7751"/>
    <cellStyle name="20% - 강조색4 9 3 2 2" xfId="7752"/>
    <cellStyle name="20% - 강조색4 9 3 2 2 2" xfId="7753"/>
    <cellStyle name="20% - 강조색4 9 3 2 2 3" xfId="7754"/>
    <cellStyle name="20% - 강조색4 9 3 2 3" xfId="7755"/>
    <cellStyle name="20% - 강조색4 9 3 2 4" xfId="7756"/>
    <cellStyle name="20% - 강조색4 9 3 3" xfId="7757"/>
    <cellStyle name="20% - 강조색4 9 3 3 2" xfId="7758"/>
    <cellStyle name="20% - 강조색4 9 3 3 3" xfId="7759"/>
    <cellStyle name="20% - 강조색4 9 3 4" xfId="7760"/>
    <cellStyle name="20% - 강조색4 9 3 5" xfId="7761"/>
    <cellStyle name="20% - 강조색4 9 4" xfId="7762"/>
    <cellStyle name="20% - 강조색4 9 4 2" xfId="7763"/>
    <cellStyle name="20% - 강조색4 9 4 2 2" xfId="7764"/>
    <cellStyle name="20% - 강조색4 9 4 2 3" xfId="7765"/>
    <cellStyle name="20% - 강조색4 9 4 3" xfId="7766"/>
    <cellStyle name="20% - 강조색4 9 4 4" xfId="7767"/>
    <cellStyle name="20% - 강조색4 9 5" xfId="7768"/>
    <cellStyle name="20% - 강조색4 9 5 2" xfId="7769"/>
    <cellStyle name="20% - 강조색4 9 5 3" xfId="7770"/>
    <cellStyle name="20% - 강조색4 9 6" xfId="7771"/>
    <cellStyle name="20% - 강조색4 9 7" xfId="7772"/>
    <cellStyle name="20% - 강조색5 10" xfId="7773"/>
    <cellStyle name="20% - 강조색5 10 2" xfId="7774"/>
    <cellStyle name="20% - 강조색5 10 2 2" xfId="7775"/>
    <cellStyle name="20% - 강조색5 10 2 2 2" xfId="7776"/>
    <cellStyle name="20% - 강조색5 10 2 2 2 2" xfId="7777"/>
    <cellStyle name="20% - 강조색5 10 2 2 2 3" xfId="7778"/>
    <cellStyle name="20% - 강조색5 10 2 2 3" xfId="7779"/>
    <cellStyle name="20% - 강조색5 10 2 2 4" xfId="7780"/>
    <cellStyle name="20% - 강조색5 10 2 3" xfId="7781"/>
    <cellStyle name="20% - 강조색5 10 2 3 2" xfId="7782"/>
    <cellStyle name="20% - 강조색5 10 2 3 3" xfId="7783"/>
    <cellStyle name="20% - 강조색5 10 2 4" xfId="7784"/>
    <cellStyle name="20% - 강조색5 10 2 5" xfId="7785"/>
    <cellStyle name="20% - 강조색5 10 3" xfId="7786"/>
    <cellStyle name="20% - 강조색5 10 3 2" xfId="7787"/>
    <cellStyle name="20% - 강조색5 10 3 2 2" xfId="7788"/>
    <cellStyle name="20% - 강조색5 10 3 2 2 2" xfId="7789"/>
    <cellStyle name="20% - 강조색5 10 3 2 2 3" xfId="7790"/>
    <cellStyle name="20% - 강조색5 10 3 2 3" xfId="7791"/>
    <cellStyle name="20% - 강조색5 10 3 2 4" xfId="7792"/>
    <cellStyle name="20% - 강조색5 10 3 3" xfId="7793"/>
    <cellStyle name="20% - 강조색5 10 3 3 2" xfId="7794"/>
    <cellStyle name="20% - 강조색5 10 3 3 3" xfId="7795"/>
    <cellStyle name="20% - 강조색5 10 3 4" xfId="7796"/>
    <cellStyle name="20% - 강조색5 10 3 5" xfId="7797"/>
    <cellStyle name="20% - 강조색5 10 4" xfId="7798"/>
    <cellStyle name="20% - 강조색5 10 4 2" xfId="7799"/>
    <cellStyle name="20% - 강조색5 10 4 2 2" xfId="7800"/>
    <cellStyle name="20% - 강조색5 10 4 2 3" xfId="7801"/>
    <cellStyle name="20% - 강조색5 10 4 3" xfId="7802"/>
    <cellStyle name="20% - 강조색5 10 4 4" xfId="7803"/>
    <cellStyle name="20% - 강조색5 10 5" xfId="7804"/>
    <cellStyle name="20% - 강조색5 10 5 2" xfId="7805"/>
    <cellStyle name="20% - 강조색5 10 5 3" xfId="7806"/>
    <cellStyle name="20% - 강조색5 10 6" xfId="7807"/>
    <cellStyle name="20% - 강조색5 10 7" xfId="7808"/>
    <cellStyle name="20% - 강조색5 11" xfId="7809"/>
    <cellStyle name="20% - 강조색5 11 2" xfId="7810"/>
    <cellStyle name="20% - 강조색5 11 2 2" xfId="7811"/>
    <cellStyle name="20% - 강조색5 11 2 2 2" xfId="7812"/>
    <cellStyle name="20% - 강조색5 11 2 2 3" xfId="7813"/>
    <cellStyle name="20% - 강조색5 11 2 3" xfId="7814"/>
    <cellStyle name="20% - 강조색5 11 2 4" xfId="7815"/>
    <cellStyle name="20% - 강조색5 11 3" xfId="7816"/>
    <cellStyle name="20% - 강조색5 11 3 2" xfId="7817"/>
    <cellStyle name="20% - 강조색5 11 3 3" xfId="7818"/>
    <cellStyle name="20% - 강조색5 11 4" xfId="7819"/>
    <cellStyle name="20% - 강조색5 11 5" xfId="7820"/>
    <cellStyle name="20% - 강조색5 12" xfId="7821"/>
    <cellStyle name="20% - 강조색5 12 2" xfId="7822"/>
    <cellStyle name="20% - 강조색5 12 2 2" xfId="7823"/>
    <cellStyle name="20% - 강조색5 12 2 2 2" xfId="7824"/>
    <cellStyle name="20% - 강조색5 12 2 2 3" xfId="7825"/>
    <cellStyle name="20% - 강조색5 12 2 3" xfId="7826"/>
    <cellStyle name="20% - 강조색5 12 2 4" xfId="7827"/>
    <cellStyle name="20% - 강조색5 12 3" xfId="7828"/>
    <cellStyle name="20% - 강조색5 12 3 2" xfId="7829"/>
    <cellStyle name="20% - 강조색5 12 3 3" xfId="7830"/>
    <cellStyle name="20% - 강조색5 12 4" xfId="7831"/>
    <cellStyle name="20% - 강조색5 12 5" xfId="7832"/>
    <cellStyle name="20% - 강조색5 13" xfId="7833"/>
    <cellStyle name="20% - 강조색5 13 2" xfId="7834"/>
    <cellStyle name="20% - 강조색5 13 2 2" xfId="7835"/>
    <cellStyle name="20% - 강조색5 13 2 3" xfId="7836"/>
    <cellStyle name="20% - 강조색5 13 3" xfId="7837"/>
    <cellStyle name="20% - 강조색5 13 4" xfId="7838"/>
    <cellStyle name="20% - 강조색5 14" xfId="7839"/>
    <cellStyle name="20% - 강조색5 14 2" xfId="7840"/>
    <cellStyle name="20% - 강조색5 14 2 2" xfId="7841"/>
    <cellStyle name="20% - 강조색5 14 2 3" xfId="7842"/>
    <cellStyle name="20% - 강조색5 14 3" xfId="7843"/>
    <cellStyle name="20% - 강조색5 14 4" xfId="7844"/>
    <cellStyle name="20% - 강조색5 15" xfId="7845"/>
    <cellStyle name="20% - 강조색5 15 2" xfId="7846"/>
    <cellStyle name="20% - 강조색5 15 3" xfId="7847"/>
    <cellStyle name="20% - 강조색5 16" xfId="7848"/>
    <cellStyle name="20% - 강조색5 16 2" xfId="7849"/>
    <cellStyle name="20% - 강조색5 16 3" xfId="7850"/>
    <cellStyle name="20% - 강조색5 16 4" xfId="7851"/>
    <cellStyle name="20% - 강조색5 17" xfId="7852"/>
    <cellStyle name="20% - 강조색5 17 2" xfId="7853"/>
    <cellStyle name="20% - 강조색5 17 3" xfId="7854"/>
    <cellStyle name="20% - 강조색5 18" xfId="7855"/>
    <cellStyle name="20% - 강조색5 18 2" xfId="7856"/>
    <cellStyle name="20% - 강조색5 18 3" xfId="7857"/>
    <cellStyle name="20% - 강조색5 19" xfId="7858"/>
    <cellStyle name="20% - 강조색5 19 2" xfId="7859"/>
    <cellStyle name="20% - 강조색5 19 3" xfId="7860"/>
    <cellStyle name="20% - 강조색5 2" xfId="7861"/>
    <cellStyle name="20% - 강조색5 2 2" xfId="7862"/>
    <cellStyle name="20% - 강조색5 2 2 2" xfId="7863"/>
    <cellStyle name="20% - 강조색5 2 2 2 2" xfId="7864"/>
    <cellStyle name="20% - 강조색5 2 2 3" xfId="7865"/>
    <cellStyle name="20% - 강조색5 2 3" xfId="7866"/>
    <cellStyle name="20% - 강조색5 2 3 2" xfId="7867"/>
    <cellStyle name="20% - 강조색5 2 3 2 2" xfId="7868"/>
    <cellStyle name="20% - 강조색5 2 3 3" xfId="7869"/>
    <cellStyle name="20% - 강조색5 2 4" xfId="7870"/>
    <cellStyle name="20% - 강조색5 2 4 2" xfId="7871"/>
    <cellStyle name="20% - 강조색5 2 5" xfId="7872"/>
    <cellStyle name="20% - 강조색5 2 6" xfId="7873"/>
    <cellStyle name="20% - 강조색5 20" xfId="7874"/>
    <cellStyle name="20% - 강조색5 20 2" xfId="7875"/>
    <cellStyle name="20% - 강조색5 20 3" xfId="7876"/>
    <cellStyle name="20% - 강조색5 21" xfId="7877"/>
    <cellStyle name="20% - 강조색5 21 2" xfId="7878"/>
    <cellStyle name="20% - 강조색5 21 3" xfId="7879"/>
    <cellStyle name="20% - 강조색5 22" xfId="7880"/>
    <cellStyle name="20% - 강조색5 22 2" xfId="7881"/>
    <cellStyle name="20% - 강조색5 22 3" xfId="7882"/>
    <cellStyle name="20% - 강조색5 23" xfId="7883"/>
    <cellStyle name="20% - 강조색5 23 2" xfId="7884"/>
    <cellStyle name="20% - 강조색5 23 3" xfId="7885"/>
    <cellStyle name="20% - 강조색5 24" xfId="7886"/>
    <cellStyle name="20% - 강조색5 24 2" xfId="7887"/>
    <cellStyle name="20% - 강조색5 25" xfId="7888"/>
    <cellStyle name="20% - 강조색5 25 2" xfId="7889"/>
    <cellStyle name="20% - 강조색5 26" xfId="7890"/>
    <cellStyle name="20% - 강조색5 26 2" xfId="7891"/>
    <cellStyle name="20% - 강조색5 27" xfId="7892"/>
    <cellStyle name="20% - 강조색5 27 2" xfId="7893"/>
    <cellStyle name="20% - 강조색5 28" xfId="7894"/>
    <cellStyle name="20% - 강조색5 28 2" xfId="7895"/>
    <cellStyle name="20% - 강조색5 29" xfId="7896"/>
    <cellStyle name="20% - 강조색5 29 2" xfId="7897"/>
    <cellStyle name="20% - 강조색5 3" xfId="7898"/>
    <cellStyle name="20% - 강조색5 3 10" xfId="7899"/>
    <cellStyle name="20% - 강조색5 3 10 2" xfId="7900"/>
    <cellStyle name="20% - 강조색5 3 10 2 2" xfId="7901"/>
    <cellStyle name="20% - 강조색5 3 10 2 3" xfId="7902"/>
    <cellStyle name="20% - 강조색5 3 10 3" xfId="7903"/>
    <cellStyle name="20% - 강조색5 3 10 4" xfId="7904"/>
    <cellStyle name="20% - 강조색5 3 11" xfId="7905"/>
    <cellStyle name="20% - 강조색5 3 11 2" xfId="7906"/>
    <cellStyle name="20% - 강조색5 3 11 3" xfId="7907"/>
    <cellStyle name="20% - 강조색5 3 12" xfId="7908"/>
    <cellStyle name="20% - 강조색5 3 13" xfId="7909"/>
    <cellStyle name="20% - 강조색5 3 14" xfId="7910"/>
    <cellStyle name="20% - 강조색5 3 15" xfId="7911"/>
    <cellStyle name="20% - 강조색5 3 2" xfId="7912"/>
    <cellStyle name="20% - 강조색5 3 2 10" xfId="7913"/>
    <cellStyle name="20% - 강조색5 3 2 11" xfId="7914"/>
    <cellStyle name="20% - 강조색5 3 2 12" xfId="7915"/>
    <cellStyle name="20% - 강조색5 3 2 2" xfId="7916"/>
    <cellStyle name="20% - 강조색5 3 2 2 2" xfId="7917"/>
    <cellStyle name="20% - 강조색5 3 2 2 2 2" xfId="7918"/>
    <cellStyle name="20% - 강조색5 3 2 2 2 2 2" xfId="7919"/>
    <cellStyle name="20% - 강조색5 3 2 2 2 2 2 2" xfId="7920"/>
    <cellStyle name="20% - 강조색5 3 2 2 2 2 2 3" xfId="7921"/>
    <cellStyle name="20% - 강조색5 3 2 2 2 2 3" xfId="7922"/>
    <cellStyle name="20% - 강조색5 3 2 2 2 2 4" xfId="7923"/>
    <cellStyle name="20% - 강조색5 3 2 2 2 3" xfId="7924"/>
    <cellStyle name="20% - 강조색5 3 2 2 2 3 2" xfId="7925"/>
    <cellStyle name="20% - 강조색5 3 2 2 2 3 3" xfId="7926"/>
    <cellStyle name="20% - 강조색5 3 2 2 2 4" xfId="7927"/>
    <cellStyle name="20% - 강조색5 3 2 2 2 5" xfId="7928"/>
    <cellStyle name="20% - 강조색5 3 2 2 3" xfId="7929"/>
    <cellStyle name="20% - 강조색5 3 2 2 3 2" xfId="7930"/>
    <cellStyle name="20% - 강조색5 3 2 2 3 2 2" xfId="7931"/>
    <cellStyle name="20% - 강조색5 3 2 2 3 2 2 2" xfId="7932"/>
    <cellStyle name="20% - 강조색5 3 2 2 3 2 2 3" xfId="7933"/>
    <cellStyle name="20% - 강조색5 3 2 2 3 2 3" xfId="7934"/>
    <cellStyle name="20% - 강조색5 3 2 2 3 2 4" xfId="7935"/>
    <cellStyle name="20% - 강조색5 3 2 2 3 3" xfId="7936"/>
    <cellStyle name="20% - 강조색5 3 2 2 3 3 2" xfId="7937"/>
    <cellStyle name="20% - 강조색5 3 2 2 3 3 3" xfId="7938"/>
    <cellStyle name="20% - 강조색5 3 2 2 3 4" xfId="7939"/>
    <cellStyle name="20% - 강조색5 3 2 2 3 5" xfId="7940"/>
    <cellStyle name="20% - 강조색5 3 2 2 4" xfId="7941"/>
    <cellStyle name="20% - 강조색5 3 2 2 4 2" xfId="7942"/>
    <cellStyle name="20% - 강조색5 3 2 2 4 2 2" xfId="7943"/>
    <cellStyle name="20% - 강조색5 3 2 2 4 2 3" xfId="7944"/>
    <cellStyle name="20% - 강조색5 3 2 2 4 3" xfId="7945"/>
    <cellStyle name="20% - 강조색5 3 2 2 4 4" xfId="7946"/>
    <cellStyle name="20% - 강조색5 3 2 2 5" xfId="7947"/>
    <cellStyle name="20% - 강조색5 3 2 2 5 2" xfId="7948"/>
    <cellStyle name="20% - 강조색5 3 2 2 5 3" xfId="7949"/>
    <cellStyle name="20% - 강조색5 3 2 2 6" xfId="7950"/>
    <cellStyle name="20% - 강조색5 3 2 2 7" xfId="7951"/>
    <cellStyle name="20% - 강조색5 3 2 2 8" xfId="7952"/>
    <cellStyle name="20% - 강조색5 3 2 2 9" xfId="7953"/>
    <cellStyle name="20% - 강조색5 3 2 3" xfId="7954"/>
    <cellStyle name="20% - 강조색5 3 2 3 2" xfId="7955"/>
    <cellStyle name="20% - 강조색5 3 2 3 2 2" xfId="7956"/>
    <cellStyle name="20% - 강조색5 3 2 3 2 2 2" xfId="7957"/>
    <cellStyle name="20% - 강조색5 3 2 3 2 2 2 2" xfId="7958"/>
    <cellStyle name="20% - 강조색5 3 2 3 2 2 2 3" xfId="7959"/>
    <cellStyle name="20% - 강조색5 3 2 3 2 2 3" xfId="7960"/>
    <cellStyle name="20% - 강조색5 3 2 3 2 2 4" xfId="7961"/>
    <cellStyle name="20% - 강조색5 3 2 3 2 3" xfId="7962"/>
    <cellStyle name="20% - 강조색5 3 2 3 2 3 2" xfId="7963"/>
    <cellStyle name="20% - 강조색5 3 2 3 2 3 3" xfId="7964"/>
    <cellStyle name="20% - 강조색5 3 2 3 2 4" xfId="7965"/>
    <cellStyle name="20% - 강조색5 3 2 3 2 5" xfId="7966"/>
    <cellStyle name="20% - 강조색5 3 2 3 3" xfId="7967"/>
    <cellStyle name="20% - 강조색5 3 2 3 3 2" xfId="7968"/>
    <cellStyle name="20% - 강조색5 3 2 3 3 2 2" xfId="7969"/>
    <cellStyle name="20% - 강조색5 3 2 3 3 2 2 2" xfId="7970"/>
    <cellStyle name="20% - 강조색5 3 2 3 3 2 2 3" xfId="7971"/>
    <cellStyle name="20% - 강조색5 3 2 3 3 2 3" xfId="7972"/>
    <cellStyle name="20% - 강조색5 3 2 3 3 2 4" xfId="7973"/>
    <cellStyle name="20% - 강조색5 3 2 3 3 3" xfId="7974"/>
    <cellStyle name="20% - 강조색5 3 2 3 3 3 2" xfId="7975"/>
    <cellStyle name="20% - 강조색5 3 2 3 3 3 3" xfId="7976"/>
    <cellStyle name="20% - 강조색5 3 2 3 3 4" xfId="7977"/>
    <cellStyle name="20% - 강조색5 3 2 3 3 5" xfId="7978"/>
    <cellStyle name="20% - 강조색5 3 2 3 4" xfId="7979"/>
    <cellStyle name="20% - 강조색5 3 2 3 4 2" xfId="7980"/>
    <cellStyle name="20% - 강조색5 3 2 3 4 2 2" xfId="7981"/>
    <cellStyle name="20% - 강조색5 3 2 3 4 2 3" xfId="7982"/>
    <cellStyle name="20% - 강조색5 3 2 3 4 3" xfId="7983"/>
    <cellStyle name="20% - 강조색5 3 2 3 4 4" xfId="7984"/>
    <cellStyle name="20% - 강조색5 3 2 3 5" xfId="7985"/>
    <cellStyle name="20% - 강조색5 3 2 3 5 2" xfId="7986"/>
    <cellStyle name="20% - 강조색5 3 2 3 5 3" xfId="7987"/>
    <cellStyle name="20% - 강조색5 3 2 3 6" xfId="7988"/>
    <cellStyle name="20% - 강조색5 3 2 3 7" xfId="7989"/>
    <cellStyle name="20% - 강조색5 3 2 4" xfId="7990"/>
    <cellStyle name="20% - 강조색5 3 2 4 2" xfId="7991"/>
    <cellStyle name="20% - 강조색5 3 2 4 2 2" xfId="7992"/>
    <cellStyle name="20% - 강조색5 3 2 4 2 2 2" xfId="7993"/>
    <cellStyle name="20% - 강조색5 3 2 4 2 2 3" xfId="7994"/>
    <cellStyle name="20% - 강조색5 3 2 4 2 3" xfId="7995"/>
    <cellStyle name="20% - 강조색5 3 2 4 2 4" xfId="7996"/>
    <cellStyle name="20% - 강조색5 3 2 4 3" xfId="7997"/>
    <cellStyle name="20% - 강조색5 3 2 4 3 2" xfId="7998"/>
    <cellStyle name="20% - 강조색5 3 2 4 3 3" xfId="7999"/>
    <cellStyle name="20% - 강조색5 3 2 4 4" xfId="8000"/>
    <cellStyle name="20% - 강조색5 3 2 4 5" xfId="8001"/>
    <cellStyle name="20% - 강조색5 3 2 5" xfId="8002"/>
    <cellStyle name="20% - 강조색5 3 2 5 2" xfId="8003"/>
    <cellStyle name="20% - 강조색5 3 2 5 2 2" xfId="8004"/>
    <cellStyle name="20% - 강조색5 3 2 5 2 2 2" xfId="8005"/>
    <cellStyle name="20% - 강조색5 3 2 5 2 2 3" xfId="8006"/>
    <cellStyle name="20% - 강조색5 3 2 5 2 3" xfId="8007"/>
    <cellStyle name="20% - 강조색5 3 2 5 2 4" xfId="8008"/>
    <cellStyle name="20% - 강조색5 3 2 5 3" xfId="8009"/>
    <cellStyle name="20% - 강조색5 3 2 5 3 2" xfId="8010"/>
    <cellStyle name="20% - 강조색5 3 2 5 3 3" xfId="8011"/>
    <cellStyle name="20% - 강조색5 3 2 5 4" xfId="8012"/>
    <cellStyle name="20% - 강조색5 3 2 5 5" xfId="8013"/>
    <cellStyle name="20% - 강조색5 3 2 6" xfId="8014"/>
    <cellStyle name="20% - 강조색5 3 2 6 2" xfId="8015"/>
    <cellStyle name="20% - 강조색5 3 2 6 2 2" xfId="8016"/>
    <cellStyle name="20% - 강조색5 3 2 6 2 2 2" xfId="8017"/>
    <cellStyle name="20% - 강조색5 3 2 6 2 2 3" xfId="8018"/>
    <cellStyle name="20% - 강조색5 3 2 6 2 3" xfId="8019"/>
    <cellStyle name="20% - 강조색5 3 2 6 2 4" xfId="8020"/>
    <cellStyle name="20% - 강조색5 3 2 6 3" xfId="8021"/>
    <cellStyle name="20% - 강조색5 3 2 6 3 2" xfId="8022"/>
    <cellStyle name="20% - 강조색5 3 2 6 3 3" xfId="8023"/>
    <cellStyle name="20% - 강조색5 3 2 6 4" xfId="8024"/>
    <cellStyle name="20% - 강조색5 3 2 6 5" xfId="8025"/>
    <cellStyle name="20% - 강조색5 3 2 7" xfId="8026"/>
    <cellStyle name="20% - 강조색5 3 2 7 2" xfId="8027"/>
    <cellStyle name="20% - 강조색5 3 2 7 2 2" xfId="8028"/>
    <cellStyle name="20% - 강조색5 3 2 7 2 3" xfId="8029"/>
    <cellStyle name="20% - 강조색5 3 2 7 3" xfId="8030"/>
    <cellStyle name="20% - 강조색5 3 2 7 4" xfId="8031"/>
    <cellStyle name="20% - 강조색5 3 2 8" xfId="8032"/>
    <cellStyle name="20% - 강조색5 3 2 8 2" xfId="8033"/>
    <cellStyle name="20% - 강조색5 3 2 8 3" xfId="8034"/>
    <cellStyle name="20% - 강조색5 3 2 9" xfId="8035"/>
    <cellStyle name="20% - 강조색5 3 3" xfId="8036"/>
    <cellStyle name="20% - 강조색5 3 3 10" xfId="8037"/>
    <cellStyle name="20% - 강조색5 3 3 11" xfId="8038"/>
    <cellStyle name="20% - 강조색5 3 3 12" xfId="8039"/>
    <cellStyle name="20% - 강조색5 3 3 2" xfId="8040"/>
    <cellStyle name="20% - 강조색5 3 3 2 2" xfId="8041"/>
    <cellStyle name="20% - 강조색5 3 3 2 2 2" xfId="8042"/>
    <cellStyle name="20% - 강조색5 3 3 2 2 2 2" xfId="8043"/>
    <cellStyle name="20% - 강조색5 3 3 2 2 2 2 2" xfId="8044"/>
    <cellStyle name="20% - 강조색5 3 3 2 2 2 2 3" xfId="8045"/>
    <cellStyle name="20% - 강조색5 3 3 2 2 2 3" xfId="8046"/>
    <cellStyle name="20% - 강조색5 3 3 2 2 2 4" xfId="8047"/>
    <cellStyle name="20% - 강조색5 3 3 2 2 3" xfId="8048"/>
    <cellStyle name="20% - 강조색5 3 3 2 2 3 2" xfId="8049"/>
    <cellStyle name="20% - 강조색5 3 3 2 2 3 3" xfId="8050"/>
    <cellStyle name="20% - 강조색5 3 3 2 2 4" xfId="8051"/>
    <cellStyle name="20% - 강조색5 3 3 2 2 5" xfId="8052"/>
    <cellStyle name="20% - 강조색5 3 3 2 3" xfId="8053"/>
    <cellStyle name="20% - 강조색5 3 3 2 3 2" xfId="8054"/>
    <cellStyle name="20% - 강조색5 3 3 2 3 2 2" xfId="8055"/>
    <cellStyle name="20% - 강조색5 3 3 2 3 2 2 2" xfId="8056"/>
    <cellStyle name="20% - 강조색5 3 3 2 3 2 2 3" xfId="8057"/>
    <cellStyle name="20% - 강조색5 3 3 2 3 2 3" xfId="8058"/>
    <cellStyle name="20% - 강조색5 3 3 2 3 2 4" xfId="8059"/>
    <cellStyle name="20% - 강조색5 3 3 2 3 3" xfId="8060"/>
    <cellStyle name="20% - 강조색5 3 3 2 3 3 2" xfId="8061"/>
    <cellStyle name="20% - 강조색5 3 3 2 3 3 3" xfId="8062"/>
    <cellStyle name="20% - 강조색5 3 3 2 3 4" xfId="8063"/>
    <cellStyle name="20% - 강조색5 3 3 2 3 5" xfId="8064"/>
    <cellStyle name="20% - 강조색5 3 3 2 4" xfId="8065"/>
    <cellStyle name="20% - 강조색5 3 3 2 4 2" xfId="8066"/>
    <cellStyle name="20% - 강조색5 3 3 2 4 2 2" xfId="8067"/>
    <cellStyle name="20% - 강조색5 3 3 2 4 2 3" xfId="8068"/>
    <cellStyle name="20% - 강조색5 3 3 2 4 3" xfId="8069"/>
    <cellStyle name="20% - 강조색5 3 3 2 4 4" xfId="8070"/>
    <cellStyle name="20% - 강조색5 3 3 2 5" xfId="8071"/>
    <cellStyle name="20% - 강조색5 3 3 2 5 2" xfId="8072"/>
    <cellStyle name="20% - 강조색5 3 3 2 5 3" xfId="8073"/>
    <cellStyle name="20% - 강조색5 3 3 2 6" xfId="8074"/>
    <cellStyle name="20% - 강조색5 3 3 2 7" xfId="8075"/>
    <cellStyle name="20% - 강조색5 3 3 2 8" xfId="8076"/>
    <cellStyle name="20% - 강조색5 3 3 2 9" xfId="8077"/>
    <cellStyle name="20% - 강조색5 3 3 3" xfId="8078"/>
    <cellStyle name="20% - 강조색5 3 3 3 2" xfId="8079"/>
    <cellStyle name="20% - 강조색5 3 3 3 2 2" xfId="8080"/>
    <cellStyle name="20% - 강조색5 3 3 3 2 2 2" xfId="8081"/>
    <cellStyle name="20% - 강조색5 3 3 3 2 2 2 2" xfId="8082"/>
    <cellStyle name="20% - 강조색5 3 3 3 2 2 2 3" xfId="8083"/>
    <cellStyle name="20% - 강조색5 3 3 3 2 2 3" xfId="8084"/>
    <cellStyle name="20% - 강조색5 3 3 3 2 2 4" xfId="8085"/>
    <cellStyle name="20% - 강조색5 3 3 3 2 3" xfId="8086"/>
    <cellStyle name="20% - 강조색5 3 3 3 2 3 2" xfId="8087"/>
    <cellStyle name="20% - 강조색5 3 3 3 2 3 3" xfId="8088"/>
    <cellStyle name="20% - 강조색5 3 3 3 2 4" xfId="8089"/>
    <cellStyle name="20% - 강조색5 3 3 3 2 5" xfId="8090"/>
    <cellStyle name="20% - 강조색5 3 3 3 3" xfId="8091"/>
    <cellStyle name="20% - 강조색5 3 3 3 3 2" xfId="8092"/>
    <cellStyle name="20% - 강조색5 3 3 3 3 2 2" xfId="8093"/>
    <cellStyle name="20% - 강조색5 3 3 3 3 2 2 2" xfId="8094"/>
    <cellStyle name="20% - 강조색5 3 3 3 3 2 2 3" xfId="8095"/>
    <cellStyle name="20% - 강조색5 3 3 3 3 2 3" xfId="8096"/>
    <cellStyle name="20% - 강조색5 3 3 3 3 2 4" xfId="8097"/>
    <cellStyle name="20% - 강조색5 3 3 3 3 3" xfId="8098"/>
    <cellStyle name="20% - 강조색5 3 3 3 3 3 2" xfId="8099"/>
    <cellStyle name="20% - 강조색5 3 3 3 3 3 3" xfId="8100"/>
    <cellStyle name="20% - 강조색5 3 3 3 3 4" xfId="8101"/>
    <cellStyle name="20% - 강조색5 3 3 3 3 5" xfId="8102"/>
    <cellStyle name="20% - 강조색5 3 3 3 4" xfId="8103"/>
    <cellStyle name="20% - 강조색5 3 3 3 4 2" xfId="8104"/>
    <cellStyle name="20% - 강조색5 3 3 3 4 2 2" xfId="8105"/>
    <cellStyle name="20% - 강조색5 3 3 3 4 2 3" xfId="8106"/>
    <cellStyle name="20% - 강조색5 3 3 3 4 3" xfId="8107"/>
    <cellStyle name="20% - 강조색5 3 3 3 4 4" xfId="8108"/>
    <cellStyle name="20% - 강조색5 3 3 3 5" xfId="8109"/>
    <cellStyle name="20% - 강조색5 3 3 3 5 2" xfId="8110"/>
    <cellStyle name="20% - 강조색5 3 3 3 5 3" xfId="8111"/>
    <cellStyle name="20% - 강조색5 3 3 3 6" xfId="8112"/>
    <cellStyle name="20% - 강조색5 3 3 3 7" xfId="8113"/>
    <cellStyle name="20% - 강조색5 3 3 4" xfId="8114"/>
    <cellStyle name="20% - 강조색5 3 3 4 2" xfId="8115"/>
    <cellStyle name="20% - 강조색5 3 3 4 2 2" xfId="8116"/>
    <cellStyle name="20% - 강조색5 3 3 4 2 2 2" xfId="8117"/>
    <cellStyle name="20% - 강조색5 3 3 4 2 2 3" xfId="8118"/>
    <cellStyle name="20% - 강조색5 3 3 4 2 3" xfId="8119"/>
    <cellStyle name="20% - 강조색5 3 3 4 2 4" xfId="8120"/>
    <cellStyle name="20% - 강조색5 3 3 4 3" xfId="8121"/>
    <cellStyle name="20% - 강조색5 3 3 4 3 2" xfId="8122"/>
    <cellStyle name="20% - 강조색5 3 3 4 3 3" xfId="8123"/>
    <cellStyle name="20% - 강조색5 3 3 4 4" xfId="8124"/>
    <cellStyle name="20% - 강조색5 3 3 4 5" xfId="8125"/>
    <cellStyle name="20% - 강조색5 3 3 5" xfId="8126"/>
    <cellStyle name="20% - 강조색5 3 3 5 2" xfId="8127"/>
    <cellStyle name="20% - 강조색5 3 3 5 2 2" xfId="8128"/>
    <cellStyle name="20% - 강조색5 3 3 5 2 2 2" xfId="8129"/>
    <cellStyle name="20% - 강조색5 3 3 5 2 2 3" xfId="8130"/>
    <cellStyle name="20% - 강조색5 3 3 5 2 3" xfId="8131"/>
    <cellStyle name="20% - 강조색5 3 3 5 2 4" xfId="8132"/>
    <cellStyle name="20% - 강조색5 3 3 5 3" xfId="8133"/>
    <cellStyle name="20% - 강조색5 3 3 5 3 2" xfId="8134"/>
    <cellStyle name="20% - 강조색5 3 3 5 3 3" xfId="8135"/>
    <cellStyle name="20% - 강조색5 3 3 5 4" xfId="8136"/>
    <cellStyle name="20% - 강조색5 3 3 5 5" xfId="8137"/>
    <cellStyle name="20% - 강조색5 3 3 6" xfId="8138"/>
    <cellStyle name="20% - 강조색5 3 3 6 2" xfId="8139"/>
    <cellStyle name="20% - 강조색5 3 3 6 2 2" xfId="8140"/>
    <cellStyle name="20% - 강조색5 3 3 6 2 2 2" xfId="8141"/>
    <cellStyle name="20% - 강조색5 3 3 6 2 2 3" xfId="8142"/>
    <cellStyle name="20% - 강조색5 3 3 6 2 3" xfId="8143"/>
    <cellStyle name="20% - 강조색5 3 3 6 2 4" xfId="8144"/>
    <cellStyle name="20% - 강조색5 3 3 6 3" xfId="8145"/>
    <cellStyle name="20% - 강조색5 3 3 6 3 2" xfId="8146"/>
    <cellStyle name="20% - 강조색5 3 3 6 3 3" xfId="8147"/>
    <cellStyle name="20% - 강조색5 3 3 6 4" xfId="8148"/>
    <cellStyle name="20% - 강조색5 3 3 6 5" xfId="8149"/>
    <cellStyle name="20% - 강조색5 3 3 7" xfId="8150"/>
    <cellStyle name="20% - 강조색5 3 3 7 2" xfId="8151"/>
    <cellStyle name="20% - 강조색5 3 3 7 2 2" xfId="8152"/>
    <cellStyle name="20% - 강조색5 3 3 7 2 3" xfId="8153"/>
    <cellStyle name="20% - 강조색5 3 3 7 3" xfId="8154"/>
    <cellStyle name="20% - 강조색5 3 3 7 4" xfId="8155"/>
    <cellStyle name="20% - 강조색5 3 3 8" xfId="8156"/>
    <cellStyle name="20% - 강조색5 3 3 8 2" xfId="8157"/>
    <cellStyle name="20% - 강조색5 3 3 8 3" xfId="8158"/>
    <cellStyle name="20% - 강조색5 3 3 9" xfId="8159"/>
    <cellStyle name="20% - 강조색5 3 4" xfId="8160"/>
    <cellStyle name="20% - 강조색5 3 4 10" xfId="8161"/>
    <cellStyle name="20% - 강조색5 3 4 11" xfId="8162"/>
    <cellStyle name="20% - 강조색5 3 4 12" xfId="8163"/>
    <cellStyle name="20% - 강조색5 3 4 2" xfId="8164"/>
    <cellStyle name="20% - 강조색5 3 4 2 2" xfId="8165"/>
    <cellStyle name="20% - 강조색5 3 4 2 2 2" xfId="8166"/>
    <cellStyle name="20% - 강조색5 3 4 2 2 2 2" xfId="8167"/>
    <cellStyle name="20% - 강조색5 3 4 2 2 2 2 2" xfId="8168"/>
    <cellStyle name="20% - 강조색5 3 4 2 2 2 2 3" xfId="8169"/>
    <cellStyle name="20% - 강조색5 3 4 2 2 2 3" xfId="8170"/>
    <cellStyle name="20% - 강조색5 3 4 2 2 2 4" xfId="8171"/>
    <cellStyle name="20% - 강조색5 3 4 2 2 3" xfId="8172"/>
    <cellStyle name="20% - 강조색5 3 4 2 2 3 2" xfId="8173"/>
    <cellStyle name="20% - 강조색5 3 4 2 2 3 3" xfId="8174"/>
    <cellStyle name="20% - 강조색5 3 4 2 2 4" xfId="8175"/>
    <cellStyle name="20% - 강조색5 3 4 2 2 5" xfId="8176"/>
    <cellStyle name="20% - 강조색5 3 4 2 3" xfId="8177"/>
    <cellStyle name="20% - 강조색5 3 4 2 3 2" xfId="8178"/>
    <cellStyle name="20% - 강조색5 3 4 2 3 2 2" xfId="8179"/>
    <cellStyle name="20% - 강조색5 3 4 2 3 2 2 2" xfId="8180"/>
    <cellStyle name="20% - 강조색5 3 4 2 3 2 2 3" xfId="8181"/>
    <cellStyle name="20% - 강조색5 3 4 2 3 2 3" xfId="8182"/>
    <cellStyle name="20% - 강조색5 3 4 2 3 2 4" xfId="8183"/>
    <cellStyle name="20% - 강조색5 3 4 2 3 3" xfId="8184"/>
    <cellStyle name="20% - 강조색5 3 4 2 3 3 2" xfId="8185"/>
    <cellStyle name="20% - 강조색5 3 4 2 3 3 3" xfId="8186"/>
    <cellStyle name="20% - 강조색5 3 4 2 3 4" xfId="8187"/>
    <cellStyle name="20% - 강조색5 3 4 2 3 5" xfId="8188"/>
    <cellStyle name="20% - 강조색5 3 4 2 4" xfId="8189"/>
    <cellStyle name="20% - 강조색5 3 4 2 4 2" xfId="8190"/>
    <cellStyle name="20% - 강조색5 3 4 2 4 2 2" xfId="8191"/>
    <cellStyle name="20% - 강조색5 3 4 2 4 2 3" xfId="8192"/>
    <cellStyle name="20% - 강조색5 3 4 2 4 3" xfId="8193"/>
    <cellStyle name="20% - 강조색5 3 4 2 4 4" xfId="8194"/>
    <cellStyle name="20% - 강조색5 3 4 2 5" xfId="8195"/>
    <cellStyle name="20% - 강조색5 3 4 2 5 2" xfId="8196"/>
    <cellStyle name="20% - 강조색5 3 4 2 5 3" xfId="8197"/>
    <cellStyle name="20% - 강조색5 3 4 2 6" xfId="8198"/>
    <cellStyle name="20% - 강조색5 3 4 2 7" xfId="8199"/>
    <cellStyle name="20% - 강조색5 3 4 3" xfId="8200"/>
    <cellStyle name="20% - 강조색5 3 4 3 2" xfId="8201"/>
    <cellStyle name="20% - 강조색5 3 4 3 2 2" xfId="8202"/>
    <cellStyle name="20% - 강조색5 3 4 3 2 2 2" xfId="8203"/>
    <cellStyle name="20% - 강조색5 3 4 3 2 2 2 2" xfId="8204"/>
    <cellStyle name="20% - 강조색5 3 4 3 2 2 2 3" xfId="8205"/>
    <cellStyle name="20% - 강조색5 3 4 3 2 2 3" xfId="8206"/>
    <cellStyle name="20% - 강조색5 3 4 3 2 2 4" xfId="8207"/>
    <cellStyle name="20% - 강조색5 3 4 3 2 3" xfId="8208"/>
    <cellStyle name="20% - 강조색5 3 4 3 2 3 2" xfId="8209"/>
    <cellStyle name="20% - 강조색5 3 4 3 2 3 3" xfId="8210"/>
    <cellStyle name="20% - 강조색5 3 4 3 2 4" xfId="8211"/>
    <cellStyle name="20% - 강조색5 3 4 3 2 5" xfId="8212"/>
    <cellStyle name="20% - 강조색5 3 4 3 3" xfId="8213"/>
    <cellStyle name="20% - 강조색5 3 4 3 3 2" xfId="8214"/>
    <cellStyle name="20% - 강조색5 3 4 3 3 2 2" xfId="8215"/>
    <cellStyle name="20% - 강조색5 3 4 3 3 2 2 2" xfId="8216"/>
    <cellStyle name="20% - 강조색5 3 4 3 3 2 2 3" xfId="8217"/>
    <cellStyle name="20% - 강조색5 3 4 3 3 2 3" xfId="8218"/>
    <cellStyle name="20% - 강조색5 3 4 3 3 2 4" xfId="8219"/>
    <cellStyle name="20% - 강조색5 3 4 3 3 3" xfId="8220"/>
    <cellStyle name="20% - 강조색5 3 4 3 3 3 2" xfId="8221"/>
    <cellStyle name="20% - 강조색5 3 4 3 3 3 3" xfId="8222"/>
    <cellStyle name="20% - 강조색5 3 4 3 3 4" xfId="8223"/>
    <cellStyle name="20% - 강조색5 3 4 3 3 5" xfId="8224"/>
    <cellStyle name="20% - 강조색5 3 4 3 4" xfId="8225"/>
    <cellStyle name="20% - 강조색5 3 4 3 4 2" xfId="8226"/>
    <cellStyle name="20% - 강조색5 3 4 3 4 2 2" xfId="8227"/>
    <cellStyle name="20% - 강조색5 3 4 3 4 2 3" xfId="8228"/>
    <cellStyle name="20% - 강조색5 3 4 3 4 3" xfId="8229"/>
    <cellStyle name="20% - 강조색5 3 4 3 4 4" xfId="8230"/>
    <cellStyle name="20% - 강조색5 3 4 3 5" xfId="8231"/>
    <cellStyle name="20% - 강조색5 3 4 3 5 2" xfId="8232"/>
    <cellStyle name="20% - 강조색5 3 4 3 5 3" xfId="8233"/>
    <cellStyle name="20% - 강조색5 3 4 3 6" xfId="8234"/>
    <cellStyle name="20% - 강조색5 3 4 3 7" xfId="8235"/>
    <cellStyle name="20% - 강조색5 3 4 4" xfId="8236"/>
    <cellStyle name="20% - 강조색5 3 4 4 2" xfId="8237"/>
    <cellStyle name="20% - 강조색5 3 4 4 2 2" xfId="8238"/>
    <cellStyle name="20% - 강조색5 3 4 4 2 2 2" xfId="8239"/>
    <cellStyle name="20% - 강조색5 3 4 4 2 2 3" xfId="8240"/>
    <cellStyle name="20% - 강조색5 3 4 4 2 3" xfId="8241"/>
    <cellStyle name="20% - 강조색5 3 4 4 2 4" xfId="8242"/>
    <cellStyle name="20% - 강조색5 3 4 4 3" xfId="8243"/>
    <cellStyle name="20% - 강조색5 3 4 4 3 2" xfId="8244"/>
    <cellStyle name="20% - 강조색5 3 4 4 3 3" xfId="8245"/>
    <cellStyle name="20% - 강조색5 3 4 4 4" xfId="8246"/>
    <cellStyle name="20% - 강조색5 3 4 4 5" xfId="8247"/>
    <cellStyle name="20% - 강조색5 3 4 5" xfId="8248"/>
    <cellStyle name="20% - 강조색5 3 4 5 2" xfId="8249"/>
    <cellStyle name="20% - 강조색5 3 4 5 2 2" xfId="8250"/>
    <cellStyle name="20% - 강조색5 3 4 5 2 2 2" xfId="8251"/>
    <cellStyle name="20% - 강조색5 3 4 5 2 2 3" xfId="8252"/>
    <cellStyle name="20% - 강조색5 3 4 5 2 3" xfId="8253"/>
    <cellStyle name="20% - 강조색5 3 4 5 2 4" xfId="8254"/>
    <cellStyle name="20% - 강조색5 3 4 5 3" xfId="8255"/>
    <cellStyle name="20% - 강조색5 3 4 5 3 2" xfId="8256"/>
    <cellStyle name="20% - 강조색5 3 4 5 3 3" xfId="8257"/>
    <cellStyle name="20% - 강조색5 3 4 5 4" xfId="8258"/>
    <cellStyle name="20% - 강조색5 3 4 5 5" xfId="8259"/>
    <cellStyle name="20% - 강조색5 3 4 6" xfId="8260"/>
    <cellStyle name="20% - 강조색5 3 4 6 2" xfId="8261"/>
    <cellStyle name="20% - 강조색5 3 4 6 2 2" xfId="8262"/>
    <cellStyle name="20% - 강조색5 3 4 6 2 2 2" xfId="8263"/>
    <cellStyle name="20% - 강조색5 3 4 6 2 2 3" xfId="8264"/>
    <cellStyle name="20% - 강조색5 3 4 6 2 3" xfId="8265"/>
    <cellStyle name="20% - 강조색5 3 4 6 2 4" xfId="8266"/>
    <cellStyle name="20% - 강조색5 3 4 6 3" xfId="8267"/>
    <cellStyle name="20% - 강조색5 3 4 6 3 2" xfId="8268"/>
    <cellStyle name="20% - 강조색5 3 4 6 3 3" xfId="8269"/>
    <cellStyle name="20% - 강조색5 3 4 6 4" xfId="8270"/>
    <cellStyle name="20% - 강조색5 3 4 6 5" xfId="8271"/>
    <cellStyle name="20% - 강조색5 3 4 7" xfId="8272"/>
    <cellStyle name="20% - 강조색5 3 4 7 2" xfId="8273"/>
    <cellStyle name="20% - 강조색5 3 4 7 2 2" xfId="8274"/>
    <cellStyle name="20% - 강조색5 3 4 7 2 3" xfId="8275"/>
    <cellStyle name="20% - 강조색5 3 4 7 3" xfId="8276"/>
    <cellStyle name="20% - 강조색5 3 4 7 4" xfId="8277"/>
    <cellStyle name="20% - 강조색5 3 4 8" xfId="8278"/>
    <cellStyle name="20% - 강조색5 3 4 8 2" xfId="8279"/>
    <cellStyle name="20% - 강조색5 3 4 8 3" xfId="8280"/>
    <cellStyle name="20% - 강조색5 3 4 9" xfId="8281"/>
    <cellStyle name="20% - 강조색5 3 5" xfId="8282"/>
    <cellStyle name="20% - 강조색5 3 5 2" xfId="8283"/>
    <cellStyle name="20% - 강조색5 3 5 2 2" xfId="8284"/>
    <cellStyle name="20% - 강조색5 3 5 2 2 2" xfId="8285"/>
    <cellStyle name="20% - 강조색5 3 5 2 2 2 2" xfId="8286"/>
    <cellStyle name="20% - 강조색5 3 5 2 2 2 3" xfId="8287"/>
    <cellStyle name="20% - 강조색5 3 5 2 2 3" xfId="8288"/>
    <cellStyle name="20% - 강조색5 3 5 2 2 4" xfId="8289"/>
    <cellStyle name="20% - 강조색5 3 5 2 3" xfId="8290"/>
    <cellStyle name="20% - 강조색5 3 5 2 3 2" xfId="8291"/>
    <cellStyle name="20% - 강조색5 3 5 2 3 3" xfId="8292"/>
    <cellStyle name="20% - 강조색5 3 5 2 4" xfId="8293"/>
    <cellStyle name="20% - 강조색5 3 5 2 5" xfId="8294"/>
    <cellStyle name="20% - 강조색5 3 5 3" xfId="8295"/>
    <cellStyle name="20% - 강조색5 3 5 3 2" xfId="8296"/>
    <cellStyle name="20% - 강조색5 3 5 3 2 2" xfId="8297"/>
    <cellStyle name="20% - 강조색5 3 5 3 2 2 2" xfId="8298"/>
    <cellStyle name="20% - 강조색5 3 5 3 2 2 3" xfId="8299"/>
    <cellStyle name="20% - 강조색5 3 5 3 2 3" xfId="8300"/>
    <cellStyle name="20% - 강조색5 3 5 3 2 4" xfId="8301"/>
    <cellStyle name="20% - 강조색5 3 5 3 3" xfId="8302"/>
    <cellStyle name="20% - 강조색5 3 5 3 3 2" xfId="8303"/>
    <cellStyle name="20% - 강조색5 3 5 3 3 3" xfId="8304"/>
    <cellStyle name="20% - 강조색5 3 5 3 4" xfId="8305"/>
    <cellStyle name="20% - 강조색5 3 5 3 5" xfId="8306"/>
    <cellStyle name="20% - 강조색5 3 5 4" xfId="8307"/>
    <cellStyle name="20% - 강조색5 3 5 4 2" xfId="8308"/>
    <cellStyle name="20% - 강조색5 3 5 4 2 2" xfId="8309"/>
    <cellStyle name="20% - 강조색5 3 5 4 2 3" xfId="8310"/>
    <cellStyle name="20% - 강조색5 3 5 4 3" xfId="8311"/>
    <cellStyle name="20% - 강조색5 3 5 4 4" xfId="8312"/>
    <cellStyle name="20% - 강조색5 3 5 5" xfId="8313"/>
    <cellStyle name="20% - 강조색5 3 5 5 2" xfId="8314"/>
    <cellStyle name="20% - 강조색5 3 5 5 3" xfId="8315"/>
    <cellStyle name="20% - 강조색5 3 5 6" xfId="8316"/>
    <cellStyle name="20% - 강조색5 3 5 7" xfId="8317"/>
    <cellStyle name="20% - 강조색5 3 6" xfId="8318"/>
    <cellStyle name="20% - 강조색5 3 6 2" xfId="8319"/>
    <cellStyle name="20% - 강조색5 3 6 2 2" xfId="8320"/>
    <cellStyle name="20% - 강조색5 3 6 2 2 2" xfId="8321"/>
    <cellStyle name="20% - 강조색5 3 6 2 2 2 2" xfId="8322"/>
    <cellStyle name="20% - 강조색5 3 6 2 2 2 3" xfId="8323"/>
    <cellStyle name="20% - 강조색5 3 6 2 2 3" xfId="8324"/>
    <cellStyle name="20% - 강조색5 3 6 2 2 4" xfId="8325"/>
    <cellStyle name="20% - 강조색5 3 6 2 3" xfId="8326"/>
    <cellStyle name="20% - 강조색5 3 6 2 3 2" xfId="8327"/>
    <cellStyle name="20% - 강조색5 3 6 2 3 3" xfId="8328"/>
    <cellStyle name="20% - 강조색5 3 6 2 4" xfId="8329"/>
    <cellStyle name="20% - 강조색5 3 6 2 5" xfId="8330"/>
    <cellStyle name="20% - 강조색5 3 6 3" xfId="8331"/>
    <cellStyle name="20% - 강조색5 3 6 3 2" xfId="8332"/>
    <cellStyle name="20% - 강조색5 3 6 3 2 2" xfId="8333"/>
    <cellStyle name="20% - 강조색5 3 6 3 2 2 2" xfId="8334"/>
    <cellStyle name="20% - 강조색5 3 6 3 2 2 3" xfId="8335"/>
    <cellStyle name="20% - 강조색5 3 6 3 2 3" xfId="8336"/>
    <cellStyle name="20% - 강조색5 3 6 3 2 4" xfId="8337"/>
    <cellStyle name="20% - 강조색5 3 6 3 3" xfId="8338"/>
    <cellStyle name="20% - 강조색5 3 6 3 3 2" xfId="8339"/>
    <cellStyle name="20% - 강조색5 3 6 3 3 3" xfId="8340"/>
    <cellStyle name="20% - 강조색5 3 6 3 4" xfId="8341"/>
    <cellStyle name="20% - 강조색5 3 6 3 5" xfId="8342"/>
    <cellStyle name="20% - 강조색5 3 6 4" xfId="8343"/>
    <cellStyle name="20% - 강조색5 3 6 4 2" xfId="8344"/>
    <cellStyle name="20% - 강조색5 3 6 4 2 2" xfId="8345"/>
    <cellStyle name="20% - 강조색5 3 6 4 2 3" xfId="8346"/>
    <cellStyle name="20% - 강조색5 3 6 4 3" xfId="8347"/>
    <cellStyle name="20% - 강조색5 3 6 4 4" xfId="8348"/>
    <cellStyle name="20% - 강조색5 3 6 5" xfId="8349"/>
    <cellStyle name="20% - 강조색5 3 6 5 2" xfId="8350"/>
    <cellStyle name="20% - 강조색5 3 6 5 3" xfId="8351"/>
    <cellStyle name="20% - 강조색5 3 6 6" xfId="8352"/>
    <cellStyle name="20% - 강조색5 3 6 7" xfId="8353"/>
    <cellStyle name="20% - 강조색5 3 7" xfId="8354"/>
    <cellStyle name="20% - 강조색5 3 7 2" xfId="8355"/>
    <cellStyle name="20% - 강조색5 3 7 2 2" xfId="8356"/>
    <cellStyle name="20% - 강조색5 3 7 2 2 2" xfId="8357"/>
    <cellStyle name="20% - 강조색5 3 7 2 2 3" xfId="8358"/>
    <cellStyle name="20% - 강조색5 3 7 2 3" xfId="8359"/>
    <cellStyle name="20% - 강조색5 3 7 2 4" xfId="8360"/>
    <cellStyle name="20% - 강조색5 3 7 3" xfId="8361"/>
    <cellStyle name="20% - 강조색5 3 7 3 2" xfId="8362"/>
    <cellStyle name="20% - 강조색5 3 7 3 3" xfId="8363"/>
    <cellStyle name="20% - 강조색5 3 7 4" xfId="8364"/>
    <cellStyle name="20% - 강조색5 3 7 5" xfId="8365"/>
    <cellStyle name="20% - 강조색5 3 8" xfId="8366"/>
    <cellStyle name="20% - 강조색5 3 8 2" xfId="8367"/>
    <cellStyle name="20% - 강조색5 3 8 2 2" xfId="8368"/>
    <cellStyle name="20% - 강조색5 3 8 2 2 2" xfId="8369"/>
    <cellStyle name="20% - 강조색5 3 8 2 2 3" xfId="8370"/>
    <cellStyle name="20% - 강조색5 3 8 2 3" xfId="8371"/>
    <cellStyle name="20% - 강조색5 3 8 2 4" xfId="8372"/>
    <cellStyle name="20% - 강조색5 3 8 3" xfId="8373"/>
    <cellStyle name="20% - 강조색5 3 8 3 2" xfId="8374"/>
    <cellStyle name="20% - 강조색5 3 8 3 3" xfId="8375"/>
    <cellStyle name="20% - 강조색5 3 8 4" xfId="8376"/>
    <cellStyle name="20% - 강조색5 3 8 5" xfId="8377"/>
    <cellStyle name="20% - 강조색5 3 9" xfId="8378"/>
    <cellStyle name="20% - 강조색5 3 9 2" xfId="8379"/>
    <cellStyle name="20% - 강조색5 3 9 2 2" xfId="8380"/>
    <cellStyle name="20% - 강조색5 3 9 2 2 2" xfId="8381"/>
    <cellStyle name="20% - 강조색5 3 9 2 2 3" xfId="8382"/>
    <cellStyle name="20% - 강조색5 3 9 2 3" xfId="8383"/>
    <cellStyle name="20% - 강조색5 3 9 2 4" xfId="8384"/>
    <cellStyle name="20% - 강조색5 3 9 3" xfId="8385"/>
    <cellStyle name="20% - 강조색5 3 9 3 2" xfId="8386"/>
    <cellStyle name="20% - 강조색5 3 9 3 3" xfId="8387"/>
    <cellStyle name="20% - 강조색5 3 9 4" xfId="8388"/>
    <cellStyle name="20% - 강조색5 3 9 5" xfId="8389"/>
    <cellStyle name="20% - 강조색5 30" xfId="8390"/>
    <cellStyle name="20% - 강조색5 30 2" xfId="8391"/>
    <cellStyle name="20% - 강조색5 31" xfId="8392"/>
    <cellStyle name="20% - 강조색5 31 2" xfId="8393"/>
    <cellStyle name="20% - 강조색5 32" xfId="8394"/>
    <cellStyle name="20% - 강조색5 32 2" xfId="8395"/>
    <cellStyle name="20% - 강조색5 33" xfId="8396"/>
    <cellStyle name="20% - 강조색5 33 2" xfId="8397"/>
    <cellStyle name="20% - 강조색5 34" xfId="8398"/>
    <cellStyle name="20% - 강조색5 34 2" xfId="8399"/>
    <cellStyle name="20% - 강조색5 35" xfId="8400"/>
    <cellStyle name="20% - 강조색5 36" xfId="8401"/>
    <cellStyle name="20% - 강조색5 37" xfId="8402"/>
    <cellStyle name="20% - 강조색5 38" xfId="8403"/>
    <cellStyle name="20% - 강조색5 39" xfId="8404"/>
    <cellStyle name="20% - 강조색5 4" xfId="8405"/>
    <cellStyle name="20% - 강조색5 4 10" xfId="8406"/>
    <cellStyle name="20% - 강조색5 4 10 2" xfId="8407"/>
    <cellStyle name="20% - 강조색5 4 10 2 2" xfId="8408"/>
    <cellStyle name="20% - 강조색5 4 10 2 3" xfId="8409"/>
    <cellStyle name="20% - 강조색5 4 10 3" xfId="8410"/>
    <cellStyle name="20% - 강조색5 4 10 4" xfId="8411"/>
    <cellStyle name="20% - 강조색5 4 11" xfId="8412"/>
    <cellStyle name="20% - 강조색5 4 11 2" xfId="8413"/>
    <cellStyle name="20% - 강조색5 4 11 3" xfId="8414"/>
    <cellStyle name="20% - 강조색5 4 12" xfId="8415"/>
    <cellStyle name="20% - 강조색5 4 13" xfId="8416"/>
    <cellStyle name="20% - 강조색5 4 14" xfId="8417"/>
    <cellStyle name="20% - 강조색5 4 2" xfId="8418"/>
    <cellStyle name="20% - 강조색5 4 2 10" xfId="8419"/>
    <cellStyle name="20% - 강조색5 4 2 2" xfId="8420"/>
    <cellStyle name="20% - 강조색5 4 2 2 2" xfId="8421"/>
    <cellStyle name="20% - 강조색5 4 2 2 2 2" xfId="8422"/>
    <cellStyle name="20% - 강조색5 4 2 2 2 2 2" xfId="8423"/>
    <cellStyle name="20% - 강조색5 4 2 2 2 2 2 2" xfId="8424"/>
    <cellStyle name="20% - 강조색5 4 2 2 2 2 2 3" xfId="8425"/>
    <cellStyle name="20% - 강조색5 4 2 2 2 2 3" xfId="8426"/>
    <cellStyle name="20% - 강조색5 4 2 2 2 2 4" xfId="8427"/>
    <cellStyle name="20% - 강조색5 4 2 2 2 3" xfId="8428"/>
    <cellStyle name="20% - 강조색5 4 2 2 2 3 2" xfId="8429"/>
    <cellStyle name="20% - 강조색5 4 2 2 2 3 3" xfId="8430"/>
    <cellStyle name="20% - 강조색5 4 2 2 2 4" xfId="8431"/>
    <cellStyle name="20% - 강조색5 4 2 2 2 5" xfId="8432"/>
    <cellStyle name="20% - 강조색5 4 2 2 3" xfId="8433"/>
    <cellStyle name="20% - 강조색5 4 2 2 3 2" xfId="8434"/>
    <cellStyle name="20% - 강조색5 4 2 2 3 2 2" xfId="8435"/>
    <cellStyle name="20% - 강조색5 4 2 2 3 2 2 2" xfId="8436"/>
    <cellStyle name="20% - 강조색5 4 2 2 3 2 2 3" xfId="8437"/>
    <cellStyle name="20% - 강조색5 4 2 2 3 2 3" xfId="8438"/>
    <cellStyle name="20% - 강조색5 4 2 2 3 2 4" xfId="8439"/>
    <cellStyle name="20% - 강조색5 4 2 2 3 3" xfId="8440"/>
    <cellStyle name="20% - 강조색5 4 2 2 3 3 2" xfId="8441"/>
    <cellStyle name="20% - 강조색5 4 2 2 3 3 3" xfId="8442"/>
    <cellStyle name="20% - 강조색5 4 2 2 3 4" xfId="8443"/>
    <cellStyle name="20% - 강조색5 4 2 2 3 5" xfId="8444"/>
    <cellStyle name="20% - 강조색5 4 2 2 4" xfId="8445"/>
    <cellStyle name="20% - 강조색5 4 2 2 4 2" xfId="8446"/>
    <cellStyle name="20% - 강조색5 4 2 2 4 2 2" xfId="8447"/>
    <cellStyle name="20% - 강조색5 4 2 2 4 2 3" xfId="8448"/>
    <cellStyle name="20% - 강조색5 4 2 2 4 3" xfId="8449"/>
    <cellStyle name="20% - 강조색5 4 2 2 4 4" xfId="8450"/>
    <cellStyle name="20% - 강조색5 4 2 2 5" xfId="8451"/>
    <cellStyle name="20% - 강조색5 4 2 2 5 2" xfId="8452"/>
    <cellStyle name="20% - 강조색5 4 2 2 5 3" xfId="8453"/>
    <cellStyle name="20% - 강조색5 4 2 2 6" xfId="8454"/>
    <cellStyle name="20% - 강조색5 4 2 2 7" xfId="8455"/>
    <cellStyle name="20% - 강조색5 4 2 3" xfId="8456"/>
    <cellStyle name="20% - 강조색5 4 2 3 2" xfId="8457"/>
    <cellStyle name="20% - 강조색5 4 2 3 2 2" xfId="8458"/>
    <cellStyle name="20% - 강조색5 4 2 3 2 2 2" xfId="8459"/>
    <cellStyle name="20% - 강조색5 4 2 3 2 2 2 2" xfId="8460"/>
    <cellStyle name="20% - 강조색5 4 2 3 2 2 2 3" xfId="8461"/>
    <cellStyle name="20% - 강조색5 4 2 3 2 2 3" xfId="8462"/>
    <cellStyle name="20% - 강조색5 4 2 3 2 2 4" xfId="8463"/>
    <cellStyle name="20% - 강조색5 4 2 3 2 3" xfId="8464"/>
    <cellStyle name="20% - 강조색5 4 2 3 2 3 2" xfId="8465"/>
    <cellStyle name="20% - 강조색5 4 2 3 2 3 3" xfId="8466"/>
    <cellStyle name="20% - 강조색5 4 2 3 2 4" xfId="8467"/>
    <cellStyle name="20% - 강조색5 4 2 3 2 5" xfId="8468"/>
    <cellStyle name="20% - 강조색5 4 2 3 3" xfId="8469"/>
    <cellStyle name="20% - 강조색5 4 2 3 3 2" xfId="8470"/>
    <cellStyle name="20% - 강조색5 4 2 3 3 2 2" xfId="8471"/>
    <cellStyle name="20% - 강조색5 4 2 3 3 2 2 2" xfId="8472"/>
    <cellStyle name="20% - 강조색5 4 2 3 3 2 2 3" xfId="8473"/>
    <cellStyle name="20% - 강조색5 4 2 3 3 2 3" xfId="8474"/>
    <cellStyle name="20% - 강조색5 4 2 3 3 2 4" xfId="8475"/>
    <cellStyle name="20% - 강조색5 4 2 3 3 3" xfId="8476"/>
    <cellStyle name="20% - 강조색5 4 2 3 3 3 2" xfId="8477"/>
    <cellStyle name="20% - 강조색5 4 2 3 3 3 3" xfId="8478"/>
    <cellStyle name="20% - 강조색5 4 2 3 3 4" xfId="8479"/>
    <cellStyle name="20% - 강조색5 4 2 3 3 5" xfId="8480"/>
    <cellStyle name="20% - 강조색5 4 2 3 4" xfId="8481"/>
    <cellStyle name="20% - 강조색5 4 2 3 4 2" xfId="8482"/>
    <cellStyle name="20% - 강조색5 4 2 3 4 2 2" xfId="8483"/>
    <cellStyle name="20% - 강조색5 4 2 3 4 2 3" xfId="8484"/>
    <cellStyle name="20% - 강조색5 4 2 3 4 3" xfId="8485"/>
    <cellStyle name="20% - 강조색5 4 2 3 4 4" xfId="8486"/>
    <cellStyle name="20% - 강조색5 4 2 3 5" xfId="8487"/>
    <cellStyle name="20% - 강조색5 4 2 3 5 2" xfId="8488"/>
    <cellStyle name="20% - 강조색5 4 2 3 5 3" xfId="8489"/>
    <cellStyle name="20% - 강조색5 4 2 3 6" xfId="8490"/>
    <cellStyle name="20% - 강조색5 4 2 3 7" xfId="8491"/>
    <cellStyle name="20% - 강조색5 4 2 4" xfId="8492"/>
    <cellStyle name="20% - 강조색5 4 2 4 2" xfId="8493"/>
    <cellStyle name="20% - 강조색5 4 2 4 2 2" xfId="8494"/>
    <cellStyle name="20% - 강조색5 4 2 4 2 2 2" xfId="8495"/>
    <cellStyle name="20% - 강조색5 4 2 4 2 2 3" xfId="8496"/>
    <cellStyle name="20% - 강조색5 4 2 4 2 3" xfId="8497"/>
    <cellStyle name="20% - 강조색5 4 2 4 2 4" xfId="8498"/>
    <cellStyle name="20% - 강조색5 4 2 4 3" xfId="8499"/>
    <cellStyle name="20% - 강조색5 4 2 4 3 2" xfId="8500"/>
    <cellStyle name="20% - 강조색5 4 2 4 3 3" xfId="8501"/>
    <cellStyle name="20% - 강조색5 4 2 4 4" xfId="8502"/>
    <cellStyle name="20% - 강조색5 4 2 4 5" xfId="8503"/>
    <cellStyle name="20% - 강조색5 4 2 5" xfId="8504"/>
    <cellStyle name="20% - 강조색5 4 2 5 2" xfId="8505"/>
    <cellStyle name="20% - 강조색5 4 2 5 2 2" xfId="8506"/>
    <cellStyle name="20% - 강조색5 4 2 5 2 2 2" xfId="8507"/>
    <cellStyle name="20% - 강조색5 4 2 5 2 2 3" xfId="8508"/>
    <cellStyle name="20% - 강조색5 4 2 5 2 3" xfId="8509"/>
    <cellStyle name="20% - 강조색5 4 2 5 2 4" xfId="8510"/>
    <cellStyle name="20% - 강조색5 4 2 5 3" xfId="8511"/>
    <cellStyle name="20% - 강조색5 4 2 5 3 2" xfId="8512"/>
    <cellStyle name="20% - 강조색5 4 2 5 3 3" xfId="8513"/>
    <cellStyle name="20% - 강조색5 4 2 5 4" xfId="8514"/>
    <cellStyle name="20% - 강조색5 4 2 5 5" xfId="8515"/>
    <cellStyle name="20% - 강조색5 4 2 6" xfId="8516"/>
    <cellStyle name="20% - 강조색5 4 2 6 2" xfId="8517"/>
    <cellStyle name="20% - 강조색5 4 2 6 2 2" xfId="8518"/>
    <cellStyle name="20% - 강조색5 4 2 6 2 2 2" xfId="8519"/>
    <cellStyle name="20% - 강조색5 4 2 6 2 2 3" xfId="8520"/>
    <cellStyle name="20% - 강조색5 4 2 6 2 3" xfId="8521"/>
    <cellStyle name="20% - 강조색5 4 2 6 2 4" xfId="8522"/>
    <cellStyle name="20% - 강조색5 4 2 6 3" xfId="8523"/>
    <cellStyle name="20% - 강조색5 4 2 6 3 2" xfId="8524"/>
    <cellStyle name="20% - 강조색5 4 2 6 3 3" xfId="8525"/>
    <cellStyle name="20% - 강조색5 4 2 6 4" xfId="8526"/>
    <cellStyle name="20% - 강조색5 4 2 6 5" xfId="8527"/>
    <cellStyle name="20% - 강조색5 4 2 7" xfId="8528"/>
    <cellStyle name="20% - 강조색5 4 2 7 2" xfId="8529"/>
    <cellStyle name="20% - 강조색5 4 2 7 2 2" xfId="8530"/>
    <cellStyle name="20% - 강조색5 4 2 7 2 3" xfId="8531"/>
    <cellStyle name="20% - 강조색5 4 2 7 3" xfId="8532"/>
    <cellStyle name="20% - 강조색5 4 2 7 4" xfId="8533"/>
    <cellStyle name="20% - 강조색5 4 2 8" xfId="8534"/>
    <cellStyle name="20% - 강조색5 4 2 8 2" xfId="8535"/>
    <cellStyle name="20% - 강조색5 4 2 8 3" xfId="8536"/>
    <cellStyle name="20% - 강조색5 4 2 9" xfId="8537"/>
    <cellStyle name="20% - 강조색5 4 3" xfId="8538"/>
    <cellStyle name="20% - 강조색5 4 3 10" xfId="8539"/>
    <cellStyle name="20% - 강조색5 4 3 2" xfId="8540"/>
    <cellStyle name="20% - 강조색5 4 3 2 2" xfId="8541"/>
    <cellStyle name="20% - 강조색5 4 3 2 2 2" xfId="8542"/>
    <cellStyle name="20% - 강조색5 4 3 2 2 2 2" xfId="8543"/>
    <cellStyle name="20% - 강조색5 4 3 2 2 2 2 2" xfId="8544"/>
    <cellStyle name="20% - 강조색5 4 3 2 2 2 2 3" xfId="8545"/>
    <cellStyle name="20% - 강조색5 4 3 2 2 2 3" xfId="8546"/>
    <cellStyle name="20% - 강조색5 4 3 2 2 2 4" xfId="8547"/>
    <cellStyle name="20% - 강조색5 4 3 2 2 3" xfId="8548"/>
    <cellStyle name="20% - 강조색5 4 3 2 2 3 2" xfId="8549"/>
    <cellStyle name="20% - 강조색5 4 3 2 2 3 3" xfId="8550"/>
    <cellStyle name="20% - 강조색5 4 3 2 2 4" xfId="8551"/>
    <cellStyle name="20% - 강조색5 4 3 2 2 5" xfId="8552"/>
    <cellStyle name="20% - 강조색5 4 3 2 3" xfId="8553"/>
    <cellStyle name="20% - 강조색5 4 3 2 3 2" xfId="8554"/>
    <cellStyle name="20% - 강조색5 4 3 2 3 2 2" xfId="8555"/>
    <cellStyle name="20% - 강조색5 4 3 2 3 2 2 2" xfId="8556"/>
    <cellStyle name="20% - 강조색5 4 3 2 3 2 2 3" xfId="8557"/>
    <cellStyle name="20% - 강조색5 4 3 2 3 2 3" xfId="8558"/>
    <cellStyle name="20% - 강조색5 4 3 2 3 2 4" xfId="8559"/>
    <cellStyle name="20% - 강조색5 4 3 2 3 3" xfId="8560"/>
    <cellStyle name="20% - 강조색5 4 3 2 3 3 2" xfId="8561"/>
    <cellStyle name="20% - 강조색5 4 3 2 3 3 3" xfId="8562"/>
    <cellStyle name="20% - 강조색5 4 3 2 3 4" xfId="8563"/>
    <cellStyle name="20% - 강조색5 4 3 2 3 5" xfId="8564"/>
    <cellStyle name="20% - 강조색5 4 3 2 4" xfId="8565"/>
    <cellStyle name="20% - 강조색5 4 3 2 4 2" xfId="8566"/>
    <cellStyle name="20% - 강조색5 4 3 2 4 2 2" xfId="8567"/>
    <cellStyle name="20% - 강조색5 4 3 2 4 2 3" xfId="8568"/>
    <cellStyle name="20% - 강조색5 4 3 2 4 3" xfId="8569"/>
    <cellStyle name="20% - 강조색5 4 3 2 4 4" xfId="8570"/>
    <cellStyle name="20% - 강조색5 4 3 2 5" xfId="8571"/>
    <cellStyle name="20% - 강조색5 4 3 2 5 2" xfId="8572"/>
    <cellStyle name="20% - 강조색5 4 3 2 5 3" xfId="8573"/>
    <cellStyle name="20% - 강조색5 4 3 2 6" xfId="8574"/>
    <cellStyle name="20% - 강조색5 4 3 2 7" xfId="8575"/>
    <cellStyle name="20% - 강조색5 4 3 3" xfId="8576"/>
    <cellStyle name="20% - 강조색5 4 3 3 2" xfId="8577"/>
    <cellStyle name="20% - 강조색5 4 3 3 2 2" xfId="8578"/>
    <cellStyle name="20% - 강조색5 4 3 3 2 2 2" xfId="8579"/>
    <cellStyle name="20% - 강조색5 4 3 3 2 2 2 2" xfId="8580"/>
    <cellStyle name="20% - 강조색5 4 3 3 2 2 2 3" xfId="8581"/>
    <cellStyle name="20% - 강조색5 4 3 3 2 2 3" xfId="8582"/>
    <cellStyle name="20% - 강조색5 4 3 3 2 2 4" xfId="8583"/>
    <cellStyle name="20% - 강조색5 4 3 3 2 3" xfId="8584"/>
    <cellStyle name="20% - 강조색5 4 3 3 2 3 2" xfId="8585"/>
    <cellStyle name="20% - 강조색5 4 3 3 2 3 3" xfId="8586"/>
    <cellStyle name="20% - 강조색5 4 3 3 2 4" xfId="8587"/>
    <cellStyle name="20% - 강조색5 4 3 3 2 5" xfId="8588"/>
    <cellStyle name="20% - 강조색5 4 3 3 3" xfId="8589"/>
    <cellStyle name="20% - 강조색5 4 3 3 3 2" xfId="8590"/>
    <cellStyle name="20% - 강조색5 4 3 3 3 2 2" xfId="8591"/>
    <cellStyle name="20% - 강조색5 4 3 3 3 2 2 2" xfId="8592"/>
    <cellStyle name="20% - 강조색5 4 3 3 3 2 2 3" xfId="8593"/>
    <cellStyle name="20% - 강조색5 4 3 3 3 2 3" xfId="8594"/>
    <cellStyle name="20% - 강조색5 4 3 3 3 2 4" xfId="8595"/>
    <cellStyle name="20% - 강조색5 4 3 3 3 3" xfId="8596"/>
    <cellStyle name="20% - 강조색5 4 3 3 3 3 2" xfId="8597"/>
    <cellStyle name="20% - 강조색5 4 3 3 3 3 3" xfId="8598"/>
    <cellStyle name="20% - 강조색5 4 3 3 3 4" xfId="8599"/>
    <cellStyle name="20% - 강조색5 4 3 3 3 5" xfId="8600"/>
    <cellStyle name="20% - 강조색5 4 3 3 4" xfId="8601"/>
    <cellStyle name="20% - 강조색5 4 3 3 4 2" xfId="8602"/>
    <cellStyle name="20% - 강조색5 4 3 3 4 2 2" xfId="8603"/>
    <cellStyle name="20% - 강조색5 4 3 3 4 2 3" xfId="8604"/>
    <cellStyle name="20% - 강조색5 4 3 3 4 3" xfId="8605"/>
    <cellStyle name="20% - 강조색5 4 3 3 4 4" xfId="8606"/>
    <cellStyle name="20% - 강조색5 4 3 3 5" xfId="8607"/>
    <cellStyle name="20% - 강조색5 4 3 3 5 2" xfId="8608"/>
    <cellStyle name="20% - 강조색5 4 3 3 5 3" xfId="8609"/>
    <cellStyle name="20% - 강조색5 4 3 3 6" xfId="8610"/>
    <cellStyle name="20% - 강조색5 4 3 3 7" xfId="8611"/>
    <cellStyle name="20% - 강조색5 4 3 4" xfId="8612"/>
    <cellStyle name="20% - 강조색5 4 3 4 2" xfId="8613"/>
    <cellStyle name="20% - 강조색5 4 3 4 2 2" xfId="8614"/>
    <cellStyle name="20% - 강조색5 4 3 4 2 2 2" xfId="8615"/>
    <cellStyle name="20% - 강조색5 4 3 4 2 2 3" xfId="8616"/>
    <cellStyle name="20% - 강조색5 4 3 4 2 3" xfId="8617"/>
    <cellStyle name="20% - 강조색5 4 3 4 2 4" xfId="8618"/>
    <cellStyle name="20% - 강조색5 4 3 4 3" xfId="8619"/>
    <cellStyle name="20% - 강조색5 4 3 4 3 2" xfId="8620"/>
    <cellStyle name="20% - 강조색5 4 3 4 3 3" xfId="8621"/>
    <cellStyle name="20% - 강조색5 4 3 4 4" xfId="8622"/>
    <cellStyle name="20% - 강조색5 4 3 4 5" xfId="8623"/>
    <cellStyle name="20% - 강조색5 4 3 5" xfId="8624"/>
    <cellStyle name="20% - 강조색5 4 3 5 2" xfId="8625"/>
    <cellStyle name="20% - 강조색5 4 3 5 2 2" xfId="8626"/>
    <cellStyle name="20% - 강조색5 4 3 5 2 2 2" xfId="8627"/>
    <cellStyle name="20% - 강조색5 4 3 5 2 2 3" xfId="8628"/>
    <cellStyle name="20% - 강조색5 4 3 5 2 3" xfId="8629"/>
    <cellStyle name="20% - 강조색5 4 3 5 2 4" xfId="8630"/>
    <cellStyle name="20% - 강조색5 4 3 5 3" xfId="8631"/>
    <cellStyle name="20% - 강조색5 4 3 5 3 2" xfId="8632"/>
    <cellStyle name="20% - 강조색5 4 3 5 3 3" xfId="8633"/>
    <cellStyle name="20% - 강조색5 4 3 5 4" xfId="8634"/>
    <cellStyle name="20% - 강조색5 4 3 5 5" xfId="8635"/>
    <cellStyle name="20% - 강조색5 4 3 6" xfId="8636"/>
    <cellStyle name="20% - 강조색5 4 3 6 2" xfId="8637"/>
    <cellStyle name="20% - 강조색5 4 3 6 2 2" xfId="8638"/>
    <cellStyle name="20% - 강조색5 4 3 6 2 2 2" xfId="8639"/>
    <cellStyle name="20% - 강조색5 4 3 6 2 2 3" xfId="8640"/>
    <cellStyle name="20% - 강조색5 4 3 6 2 3" xfId="8641"/>
    <cellStyle name="20% - 강조색5 4 3 6 2 4" xfId="8642"/>
    <cellStyle name="20% - 강조색5 4 3 6 3" xfId="8643"/>
    <cellStyle name="20% - 강조색5 4 3 6 3 2" xfId="8644"/>
    <cellStyle name="20% - 강조색5 4 3 6 3 3" xfId="8645"/>
    <cellStyle name="20% - 강조색5 4 3 6 4" xfId="8646"/>
    <cellStyle name="20% - 강조색5 4 3 6 5" xfId="8647"/>
    <cellStyle name="20% - 강조색5 4 3 7" xfId="8648"/>
    <cellStyle name="20% - 강조색5 4 3 7 2" xfId="8649"/>
    <cellStyle name="20% - 강조색5 4 3 7 2 2" xfId="8650"/>
    <cellStyle name="20% - 강조색5 4 3 7 2 3" xfId="8651"/>
    <cellStyle name="20% - 강조색5 4 3 7 3" xfId="8652"/>
    <cellStyle name="20% - 강조색5 4 3 7 4" xfId="8653"/>
    <cellStyle name="20% - 강조색5 4 3 8" xfId="8654"/>
    <cellStyle name="20% - 강조색5 4 3 8 2" xfId="8655"/>
    <cellStyle name="20% - 강조색5 4 3 8 3" xfId="8656"/>
    <cellStyle name="20% - 강조색5 4 3 9" xfId="8657"/>
    <cellStyle name="20% - 강조색5 4 4" xfId="8658"/>
    <cellStyle name="20% - 강조색5 4 4 10" xfId="8659"/>
    <cellStyle name="20% - 강조색5 4 4 2" xfId="8660"/>
    <cellStyle name="20% - 강조색5 4 4 2 2" xfId="8661"/>
    <cellStyle name="20% - 강조색5 4 4 2 2 2" xfId="8662"/>
    <cellStyle name="20% - 강조색5 4 4 2 2 2 2" xfId="8663"/>
    <cellStyle name="20% - 강조색5 4 4 2 2 2 2 2" xfId="8664"/>
    <cellStyle name="20% - 강조색5 4 4 2 2 2 2 3" xfId="8665"/>
    <cellStyle name="20% - 강조색5 4 4 2 2 2 3" xfId="8666"/>
    <cellStyle name="20% - 강조색5 4 4 2 2 2 4" xfId="8667"/>
    <cellStyle name="20% - 강조색5 4 4 2 2 3" xfId="8668"/>
    <cellStyle name="20% - 강조색5 4 4 2 2 3 2" xfId="8669"/>
    <cellStyle name="20% - 강조색5 4 4 2 2 3 3" xfId="8670"/>
    <cellStyle name="20% - 강조색5 4 4 2 2 4" xfId="8671"/>
    <cellStyle name="20% - 강조색5 4 4 2 2 5" xfId="8672"/>
    <cellStyle name="20% - 강조색5 4 4 2 3" xfId="8673"/>
    <cellStyle name="20% - 강조색5 4 4 2 3 2" xfId="8674"/>
    <cellStyle name="20% - 강조색5 4 4 2 3 2 2" xfId="8675"/>
    <cellStyle name="20% - 강조색5 4 4 2 3 2 2 2" xfId="8676"/>
    <cellStyle name="20% - 강조색5 4 4 2 3 2 2 3" xfId="8677"/>
    <cellStyle name="20% - 강조색5 4 4 2 3 2 3" xfId="8678"/>
    <cellStyle name="20% - 강조색5 4 4 2 3 2 4" xfId="8679"/>
    <cellStyle name="20% - 강조색5 4 4 2 3 3" xfId="8680"/>
    <cellStyle name="20% - 강조색5 4 4 2 3 3 2" xfId="8681"/>
    <cellStyle name="20% - 강조색5 4 4 2 3 3 3" xfId="8682"/>
    <cellStyle name="20% - 강조색5 4 4 2 3 4" xfId="8683"/>
    <cellStyle name="20% - 강조색5 4 4 2 3 5" xfId="8684"/>
    <cellStyle name="20% - 강조색5 4 4 2 4" xfId="8685"/>
    <cellStyle name="20% - 강조색5 4 4 2 4 2" xfId="8686"/>
    <cellStyle name="20% - 강조색5 4 4 2 4 2 2" xfId="8687"/>
    <cellStyle name="20% - 강조색5 4 4 2 4 2 3" xfId="8688"/>
    <cellStyle name="20% - 강조색5 4 4 2 4 3" xfId="8689"/>
    <cellStyle name="20% - 강조색5 4 4 2 4 4" xfId="8690"/>
    <cellStyle name="20% - 강조색5 4 4 2 5" xfId="8691"/>
    <cellStyle name="20% - 강조색5 4 4 2 5 2" xfId="8692"/>
    <cellStyle name="20% - 강조색5 4 4 2 5 3" xfId="8693"/>
    <cellStyle name="20% - 강조색5 4 4 2 6" xfId="8694"/>
    <cellStyle name="20% - 강조색5 4 4 2 7" xfId="8695"/>
    <cellStyle name="20% - 강조색5 4 4 3" xfId="8696"/>
    <cellStyle name="20% - 강조색5 4 4 3 2" xfId="8697"/>
    <cellStyle name="20% - 강조색5 4 4 3 2 2" xfId="8698"/>
    <cellStyle name="20% - 강조색5 4 4 3 2 2 2" xfId="8699"/>
    <cellStyle name="20% - 강조색5 4 4 3 2 2 2 2" xfId="8700"/>
    <cellStyle name="20% - 강조색5 4 4 3 2 2 2 3" xfId="8701"/>
    <cellStyle name="20% - 강조색5 4 4 3 2 2 3" xfId="8702"/>
    <cellStyle name="20% - 강조색5 4 4 3 2 2 4" xfId="8703"/>
    <cellStyle name="20% - 강조색5 4 4 3 2 3" xfId="8704"/>
    <cellStyle name="20% - 강조색5 4 4 3 2 3 2" xfId="8705"/>
    <cellStyle name="20% - 강조색5 4 4 3 2 3 3" xfId="8706"/>
    <cellStyle name="20% - 강조색5 4 4 3 2 4" xfId="8707"/>
    <cellStyle name="20% - 강조색5 4 4 3 2 5" xfId="8708"/>
    <cellStyle name="20% - 강조색5 4 4 3 3" xfId="8709"/>
    <cellStyle name="20% - 강조색5 4 4 3 3 2" xfId="8710"/>
    <cellStyle name="20% - 강조색5 4 4 3 3 2 2" xfId="8711"/>
    <cellStyle name="20% - 강조색5 4 4 3 3 2 2 2" xfId="8712"/>
    <cellStyle name="20% - 강조색5 4 4 3 3 2 2 3" xfId="8713"/>
    <cellStyle name="20% - 강조색5 4 4 3 3 2 3" xfId="8714"/>
    <cellStyle name="20% - 강조색5 4 4 3 3 2 4" xfId="8715"/>
    <cellStyle name="20% - 강조색5 4 4 3 3 3" xfId="8716"/>
    <cellStyle name="20% - 강조색5 4 4 3 3 3 2" xfId="8717"/>
    <cellStyle name="20% - 강조색5 4 4 3 3 3 3" xfId="8718"/>
    <cellStyle name="20% - 강조색5 4 4 3 3 4" xfId="8719"/>
    <cellStyle name="20% - 강조색5 4 4 3 3 5" xfId="8720"/>
    <cellStyle name="20% - 강조색5 4 4 3 4" xfId="8721"/>
    <cellStyle name="20% - 강조색5 4 4 3 4 2" xfId="8722"/>
    <cellStyle name="20% - 강조색5 4 4 3 4 2 2" xfId="8723"/>
    <cellStyle name="20% - 강조색5 4 4 3 4 2 3" xfId="8724"/>
    <cellStyle name="20% - 강조색5 4 4 3 4 3" xfId="8725"/>
    <cellStyle name="20% - 강조색5 4 4 3 4 4" xfId="8726"/>
    <cellStyle name="20% - 강조색5 4 4 3 5" xfId="8727"/>
    <cellStyle name="20% - 강조색5 4 4 3 5 2" xfId="8728"/>
    <cellStyle name="20% - 강조색5 4 4 3 5 3" xfId="8729"/>
    <cellStyle name="20% - 강조색5 4 4 3 6" xfId="8730"/>
    <cellStyle name="20% - 강조색5 4 4 3 7" xfId="8731"/>
    <cellStyle name="20% - 강조색5 4 4 4" xfId="8732"/>
    <cellStyle name="20% - 강조색5 4 4 4 2" xfId="8733"/>
    <cellStyle name="20% - 강조색5 4 4 4 2 2" xfId="8734"/>
    <cellStyle name="20% - 강조색5 4 4 4 2 2 2" xfId="8735"/>
    <cellStyle name="20% - 강조색5 4 4 4 2 2 3" xfId="8736"/>
    <cellStyle name="20% - 강조색5 4 4 4 2 3" xfId="8737"/>
    <cellStyle name="20% - 강조색5 4 4 4 2 4" xfId="8738"/>
    <cellStyle name="20% - 강조색5 4 4 4 3" xfId="8739"/>
    <cellStyle name="20% - 강조색5 4 4 4 3 2" xfId="8740"/>
    <cellStyle name="20% - 강조색5 4 4 4 3 3" xfId="8741"/>
    <cellStyle name="20% - 강조색5 4 4 4 4" xfId="8742"/>
    <cellStyle name="20% - 강조색5 4 4 4 5" xfId="8743"/>
    <cellStyle name="20% - 강조색5 4 4 5" xfId="8744"/>
    <cellStyle name="20% - 강조색5 4 4 5 2" xfId="8745"/>
    <cellStyle name="20% - 강조색5 4 4 5 2 2" xfId="8746"/>
    <cellStyle name="20% - 강조색5 4 4 5 2 2 2" xfId="8747"/>
    <cellStyle name="20% - 강조색5 4 4 5 2 2 3" xfId="8748"/>
    <cellStyle name="20% - 강조색5 4 4 5 2 3" xfId="8749"/>
    <cellStyle name="20% - 강조색5 4 4 5 2 4" xfId="8750"/>
    <cellStyle name="20% - 강조색5 4 4 5 3" xfId="8751"/>
    <cellStyle name="20% - 강조색5 4 4 5 3 2" xfId="8752"/>
    <cellStyle name="20% - 강조색5 4 4 5 3 3" xfId="8753"/>
    <cellStyle name="20% - 강조색5 4 4 5 4" xfId="8754"/>
    <cellStyle name="20% - 강조색5 4 4 5 5" xfId="8755"/>
    <cellStyle name="20% - 강조색5 4 4 6" xfId="8756"/>
    <cellStyle name="20% - 강조색5 4 4 6 2" xfId="8757"/>
    <cellStyle name="20% - 강조색5 4 4 6 2 2" xfId="8758"/>
    <cellStyle name="20% - 강조색5 4 4 6 2 2 2" xfId="8759"/>
    <cellStyle name="20% - 강조색5 4 4 6 2 2 3" xfId="8760"/>
    <cellStyle name="20% - 강조색5 4 4 6 2 3" xfId="8761"/>
    <cellStyle name="20% - 강조색5 4 4 6 2 4" xfId="8762"/>
    <cellStyle name="20% - 강조색5 4 4 6 3" xfId="8763"/>
    <cellStyle name="20% - 강조색5 4 4 6 3 2" xfId="8764"/>
    <cellStyle name="20% - 강조색5 4 4 6 3 3" xfId="8765"/>
    <cellStyle name="20% - 강조색5 4 4 6 4" xfId="8766"/>
    <cellStyle name="20% - 강조색5 4 4 6 5" xfId="8767"/>
    <cellStyle name="20% - 강조색5 4 4 7" xfId="8768"/>
    <cellStyle name="20% - 강조색5 4 4 7 2" xfId="8769"/>
    <cellStyle name="20% - 강조색5 4 4 7 2 2" xfId="8770"/>
    <cellStyle name="20% - 강조색5 4 4 7 2 3" xfId="8771"/>
    <cellStyle name="20% - 강조색5 4 4 7 3" xfId="8772"/>
    <cellStyle name="20% - 강조색5 4 4 7 4" xfId="8773"/>
    <cellStyle name="20% - 강조색5 4 4 8" xfId="8774"/>
    <cellStyle name="20% - 강조색5 4 4 8 2" xfId="8775"/>
    <cellStyle name="20% - 강조색5 4 4 8 3" xfId="8776"/>
    <cellStyle name="20% - 강조색5 4 4 9" xfId="8777"/>
    <cellStyle name="20% - 강조색5 4 5" xfId="8778"/>
    <cellStyle name="20% - 강조색5 4 5 2" xfId="8779"/>
    <cellStyle name="20% - 강조색5 4 5 2 2" xfId="8780"/>
    <cellStyle name="20% - 강조색5 4 5 2 2 2" xfId="8781"/>
    <cellStyle name="20% - 강조색5 4 5 2 2 2 2" xfId="8782"/>
    <cellStyle name="20% - 강조색5 4 5 2 2 2 3" xfId="8783"/>
    <cellStyle name="20% - 강조색5 4 5 2 2 3" xfId="8784"/>
    <cellStyle name="20% - 강조색5 4 5 2 2 4" xfId="8785"/>
    <cellStyle name="20% - 강조색5 4 5 2 3" xfId="8786"/>
    <cellStyle name="20% - 강조색5 4 5 2 3 2" xfId="8787"/>
    <cellStyle name="20% - 강조색5 4 5 2 3 3" xfId="8788"/>
    <cellStyle name="20% - 강조색5 4 5 2 4" xfId="8789"/>
    <cellStyle name="20% - 강조색5 4 5 2 5" xfId="8790"/>
    <cellStyle name="20% - 강조색5 4 5 3" xfId="8791"/>
    <cellStyle name="20% - 강조색5 4 5 3 2" xfId="8792"/>
    <cellStyle name="20% - 강조색5 4 5 3 2 2" xfId="8793"/>
    <cellStyle name="20% - 강조색5 4 5 3 2 2 2" xfId="8794"/>
    <cellStyle name="20% - 강조색5 4 5 3 2 2 3" xfId="8795"/>
    <cellStyle name="20% - 강조색5 4 5 3 2 3" xfId="8796"/>
    <cellStyle name="20% - 강조색5 4 5 3 2 4" xfId="8797"/>
    <cellStyle name="20% - 강조색5 4 5 3 3" xfId="8798"/>
    <cellStyle name="20% - 강조색5 4 5 3 3 2" xfId="8799"/>
    <cellStyle name="20% - 강조색5 4 5 3 3 3" xfId="8800"/>
    <cellStyle name="20% - 강조색5 4 5 3 4" xfId="8801"/>
    <cellStyle name="20% - 강조색5 4 5 3 5" xfId="8802"/>
    <cellStyle name="20% - 강조색5 4 5 4" xfId="8803"/>
    <cellStyle name="20% - 강조색5 4 5 4 2" xfId="8804"/>
    <cellStyle name="20% - 강조색5 4 5 4 2 2" xfId="8805"/>
    <cellStyle name="20% - 강조색5 4 5 4 2 3" xfId="8806"/>
    <cellStyle name="20% - 강조색5 4 5 4 3" xfId="8807"/>
    <cellStyle name="20% - 강조색5 4 5 4 4" xfId="8808"/>
    <cellStyle name="20% - 강조색5 4 5 5" xfId="8809"/>
    <cellStyle name="20% - 강조색5 4 5 5 2" xfId="8810"/>
    <cellStyle name="20% - 강조색5 4 5 5 3" xfId="8811"/>
    <cellStyle name="20% - 강조색5 4 5 6" xfId="8812"/>
    <cellStyle name="20% - 강조색5 4 5 7" xfId="8813"/>
    <cellStyle name="20% - 강조색5 4 6" xfId="8814"/>
    <cellStyle name="20% - 강조색5 4 6 2" xfId="8815"/>
    <cellStyle name="20% - 강조색5 4 6 2 2" xfId="8816"/>
    <cellStyle name="20% - 강조색5 4 6 2 2 2" xfId="8817"/>
    <cellStyle name="20% - 강조색5 4 6 2 2 2 2" xfId="8818"/>
    <cellStyle name="20% - 강조색5 4 6 2 2 2 3" xfId="8819"/>
    <cellStyle name="20% - 강조색5 4 6 2 2 3" xfId="8820"/>
    <cellStyle name="20% - 강조색5 4 6 2 2 4" xfId="8821"/>
    <cellStyle name="20% - 강조색5 4 6 2 3" xfId="8822"/>
    <cellStyle name="20% - 강조색5 4 6 2 3 2" xfId="8823"/>
    <cellStyle name="20% - 강조색5 4 6 2 3 3" xfId="8824"/>
    <cellStyle name="20% - 강조색5 4 6 2 4" xfId="8825"/>
    <cellStyle name="20% - 강조색5 4 6 2 5" xfId="8826"/>
    <cellStyle name="20% - 강조색5 4 6 3" xfId="8827"/>
    <cellStyle name="20% - 강조색5 4 6 3 2" xfId="8828"/>
    <cellStyle name="20% - 강조색5 4 6 3 2 2" xfId="8829"/>
    <cellStyle name="20% - 강조색5 4 6 3 2 2 2" xfId="8830"/>
    <cellStyle name="20% - 강조색5 4 6 3 2 2 3" xfId="8831"/>
    <cellStyle name="20% - 강조색5 4 6 3 2 3" xfId="8832"/>
    <cellStyle name="20% - 강조색5 4 6 3 2 4" xfId="8833"/>
    <cellStyle name="20% - 강조색5 4 6 3 3" xfId="8834"/>
    <cellStyle name="20% - 강조색5 4 6 3 3 2" xfId="8835"/>
    <cellStyle name="20% - 강조색5 4 6 3 3 3" xfId="8836"/>
    <cellStyle name="20% - 강조색5 4 6 3 4" xfId="8837"/>
    <cellStyle name="20% - 강조색5 4 6 3 5" xfId="8838"/>
    <cellStyle name="20% - 강조색5 4 6 4" xfId="8839"/>
    <cellStyle name="20% - 강조색5 4 6 4 2" xfId="8840"/>
    <cellStyle name="20% - 강조색5 4 6 4 2 2" xfId="8841"/>
    <cellStyle name="20% - 강조색5 4 6 4 2 3" xfId="8842"/>
    <cellStyle name="20% - 강조색5 4 6 4 3" xfId="8843"/>
    <cellStyle name="20% - 강조색5 4 6 4 4" xfId="8844"/>
    <cellStyle name="20% - 강조색5 4 6 5" xfId="8845"/>
    <cellStyle name="20% - 강조색5 4 6 5 2" xfId="8846"/>
    <cellStyle name="20% - 강조색5 4 6 5 3" xfId="8847"/>
    <cellStyle name="20% - 강조색5 4 6 6" xfId="8848"/>
    <cellStyle name="20% - 강조색5 4 6 7" xfId="8849"/>
    <cellStyle name="20% - 강조색5 4 7" xfId="8850"/>
    <cellStyle name="20% - 강조색5 4 7 2" xfId="8851"/>
    <cellStyle name="20% - 강조색5 4 7 2 2" xfId="8852"/>
    <cellStyle name="20% - 강조색5 4 7 2 2 2" xfId="8853"/>
    <cellStyle name="20% - 강조색5 4 7 2 2 3" xfId="8854"/>
    <cellStyle name="20% - 강조색5 4 7 2 3" xfId="8855"/>
    <cellStyle name="20% - 강조색5 4 7 2 4" xfId="8856"/>
    <cellStyle name="20% - 강조색5 4 7 3" xfId="8857"/>
    <cellStyle name="20% - 강조색5 4 7 3 2" xfId="8858"/>
    <cellStyle name="20% - 강조색5 4 7 3 3" xfId="8859"/>
    <cellStyle name="20% - 강조색5 4 7 4" xfId="8860"/>
    <cellStyle name="20% - 강조색5 4 7 5" xfId="8861"/>
    <cellStyle name="20% - 강조색5 4 8" xfId="8862"/>
    <cellStyle name="20% - 강조색5 4 8 2" xfId="8863"/>
    <cellStyle name="20% - 강조색5 4 8 2 2" xfId="8864"/>
    <cellStyle name="20% - 강조색5 4 8 2 2 2" xfId="8865"/>
    <cellStyle name="20% - 강조색5 4 8 2 2 3" xfId="8866"/>
    <cellStyle name="20% - 강조색5 4 8 2 3" xfId="8867"/>
    <cellStyle name="20% - 강조색5 4 8 2 4" xfId="8868"/>
    <cellStyle name="20% - 강조색5 4 8 3" xfId="8869"/>
    <cellStyle name="20% - 강조색5 4 8 3 2" xfId="8870"/>
    <cellStyle name="20% - 강조색5 4 8 3 3" xfId="8871"/>
    <cellStyle name="20% - 강조색5 4 8 4" xfId="8872"/>
    <cellStyle name="20% - 강조색5 4 8 5" xfId="8873"/>
    <cellStyle name="20% - 강조색5 4 9" xfId="8874"/>
    <cellStyle name="20% - 강조색5 4 9 2" xfId="8875"/>
    <cellStyle name="20% - 강조색5 4 9 2 2" xfId="8876"/>
    <cellStyle name="20% - 강조색5 4 9 2 2 2" xfId="8877"/>
    <cellStyle name="20% - 강조색5 4 9 2 2 3" xfId="8878"/>
    <cellStyle name="20% - 강조색5 4 9 2 3" xfId="8879"/>
    <cellStyle name="20% - 강조색5 4 9 2 4" xfId="8880"/>
    <cellStyle name="20% - 강조색5 4 9 3" xfId="8881"/>
    <cellStyle name="20% - 강조색5 4 9 3 2" xfId="8882"/>
    <cellStyle name="20% - 강조색5 4 9 3 3" xfId="8883"/>
    <cellStyle name="20% - 강조색5 4 9 4" xfId="8884"/>
    <cellStyle name="20% - 강조색5 4 9 5" xfId="8885"/>
    <cellStyle name="20% - 강조색5 40" xfId="8886"/>
    <cellStyle name="20% - 강조색5 41" xfId="8887"/>
    <cellStyle name="20% - 강조색5 42" xfId="8888"/>
    <cellStyle name="20% - 강조색5 43" xfId="8889"/>
    <cellStyle name="20% - 강조색5 44" xfId="8890"/>
    <cellStyle name="20% - 강조색5 45" xfId="8891"/>
    <cellStyle name="20% - 강조색5 46" xfId="8892"/>
    <cellStyle name="20% - 강조색5 47" xfId="8893"/>
    <cellStyle name="20% - 강조색5 48" xfId="8894"/>
    <cellStyle name="20% - 강조색5 49" xfId="8895"/>
    <cellStyle name="20% - 강조색5 5" xfId="8896"/>
    <cellStyle name="20% - 강조색5 5 10" xfId="8897"/>
    <cellStyle name="20% - 강조색5 5 11" xfId="8898"/>
    <cellStyle name="20% - 강조색5 5 2" xfId="8899"/>
    <cellStyle name="20% - 강조색5 5 2 2" xfId="8900"/>
    <cellStyle name="20% - 강조색5 5 2 2 2" xfId="8901"/>
    <cellStyle name="20% - 강조색5 5 2 2 2 2" xfId="8902"/>
    <cellStyle name="20% - 강조색5 5 2 2 2 2 2" xfId="8903"/>
    <cellStyle name="20% - 강조색5 5 2 2 2 2 3" xfId="8904"/>
    <cellStyle name="20% - 강조색5 5 2 2 2 3" xfId="8905"/>
    <cellStyle name="20% - 강조색5 5 2 2 2 4" xfId="8906"/>
    <cellStyle name="20% - 강조색5 5 2 2 3" xfId="8907"/>
    <cellStyle name="20% - 강조색5 5 2 2 3 2" xfId="8908"/>
    <cellStyle name="20% - 강조색5 5 2 2 3 3" xfId="8909"/>
    <cellStyle name="20% - 강조색5 5 2 2 4" xfId="8910"/>
    <cellStyle name="20% - 강조색5 5 2 2 5" xfId="8911"/>
    <cellStyle name="20% - 강조색5 5 2 3" xfId="8912"/>
    <cellStyle name="20% - 강조색5 5 2 3 2" xfId="8913"/>
    <cellStyle name="20% - 강조색5 5 2 3 2 2" xfId="8914"/>
    <cellStyle name="20% - 강조색5 5 2 3 2 2 2" xfId="8915"/>
    <cellStyle name="20% - 강조색5 5 2 3 2 2 3" xfId="8916"/>
    <cellStyle name="20% - 강조색5 5 2 3 2 3" xfId="8917"/>
    <cellStyle name="20% - 강조색5 5 2 3 2 4" xfId="8918"/>
    <cellStyle name="20% - 강조색5 5 2 3 3" xfId="8919"/>
    <cellStyle name="20% - 강조색5 5 2 3 3 2" xfId="8920"/>
    <cellStyle name="20% - 강조색5 5 2 3 3 3" xfId="8921"/>
    <cellStyle name="20% - 강조색5 5 2 3 4" xfId="8922"/>
    <cellStyle name="20% - 강조색5 5 2 3 5" xfId="8923"/>
    <cellStyle name="20% - 강조색5 5 2 4" xfId="8924"/>
    <cellStyle name="20% - 강조색5 5 2 4 2" xfId="8925"/>
    <cellStyle name="20% - 강조색5 5 2 4 2 2" xfId="8926"/>
    <cellStyle name="20% - 강조색5 5 2 4 2 3" xfId="8927"/>
    <cellStyle name="20% - 강조색5 5 2 4 3" xfId="8928"/>
    <cellStyle name="20% - 강조색5 5 2 4 4" xfId="8929"/>
    <cellStyle name="20% - 강조색5 5 2 5" xfId="8930"/>
    <cellStyle name="20% - 강조색5 5 2 5 2" xfId="8931"/>
    <cellStyle name="20% - 강조색5 5 2 5 3" xfId="8932"/>
    <cellStyle name="20% - 강조색5 5 2 6" xfId="8933"/>
    <cellStyle name="20% - 강조색5 5 2 7" xfId="8934"/>
    <cellStyle name="20% - 강조색5 5 3" xfId="8935"/>
    <cellStyle name="20% - 강조색5 5 3 2" xfId="8936"/>
    <cellStyle name="20% - 강조색5 5 3 2 2" xfId="8937"/>
    <cellStyle name="20% - 강조색5 5 3 2 2 2" xfId="8938"/>
    <cellStyle name="20% - 강조색5 5 3 2 2 2 2" xfId="8939"/>
    <cellStyle name="20% - 강조색5 5 3 2 2 2 3" xfId="8940"/>
    <cellStyle name="20% - 강조색5 5 3 2 2 3" xfId="8941"/>
    <cellStyle name="20% - 강조색5 5 3 2 2 4" xfId="8942"/>
    <cellStyle name="20% - 강조색5 5 3 2 3" xfId="8943"/>
    <cellStyle name="20% - 강조색5 5 3 2 3 2" xfId="8944"/>
    <cellStyle name="20% - 강조색5 5 3 2 3 3" xfId="8945"/>
    <cellStyle name="20% - 강조색5 5 3 2 4" xfId="8946"/>
    <cellStyle name="20% - 강조색5 5 3 2 5" xfId="8947"/>
    <cellStyle name="20% - 강조색5 5 3 3" xfId="8948"/>
    <cellStyle name="20% - 강조색5 5 3 3 2" xfId="8949"/>
    <cellStyle name="20% - 강조색5 5 3 3 2 2" xfId="8950"/>
    <cellStyle name="20% - 강조색5 5 3 3 2 2 2" xfId="8951"/>
    <cellStyle name="20% - 강조색5 5 3 3 2 2 3" xfId="8952"/>
    <cellStyle name="20% - 강조색5 5 3 3 2 3" xfId="8953"/>
    <cellStyle name="20% - 강조색5 5 3 3 2 4" xfId="8954"/>
    <cellStyle name="20% - 강조색5 5 3 3 3" xfId="8955"/>
    <cellStyle name="20% - 강조색5 5 3 3 3 2" xfId="8956"/>
    <cellStyle name="20% - 강조색5 5 3 3 3 3" xfId="8957"/>
    <cellStyle name="20% - 강조색5 5 3 3 4" xfId="8958"/>
    <cellStyle name="20% - 강조색5 5 3 3 5" xfId="8959"/>
    <cellStyle name="20% - 강조색5 5 3 4" xfId="8960"/>
    <cellStyle name="20% - 강조색5 5 3 4 2" xfId="8961"/>
    <cellStyle name="20% - 강조색5 5 3 4 2 2" xfId="8962"/>
    <cellStyle name="20% - 강조색5 5 3 4 2 3" xfId="8963"/>
    <cellStyle name="20% - 강조색5 5 3 4 3" xfId="8964"/>
    <cellStyle name="20% - 강조색5 5 3 4 4" xfId="8965"/>
    <cellStyle name="20% - 강조색5 5 3 5" xfId="8966"/>
    <cellStyle name="20% - 강조색5 5 3 5 2" xfId="8967"/>
    <cellStyle name="20% - 강조색5 5 3 5 3" xfId="8968"/>
    <cellStyle name="20% - 강조색5 5 3 6" xfId="8969"/>
    <cellStyle name="20% - 강조색5 5 3 7" xfId="8970"/>
    <cellStyle name="20% - 강조색5 5 4" xfId="8971"/>
    <cellStyle name="20% - 강조색5 5 4 2" xfId="8972"/>
    <cellStyle name="20% - 강조색5 5 4 2 2" xfId="8973"/>
    <cellStyle name="20% - 강조색5 5 4 2 2 2" xfId="8974"/>
    <cellStyle name="20% - 강조색5 5 4 2 2 3" xfId="8975"/>
    <cellStyle name="20% - 강조색5 5 4 2 3" xfId="8976"/>
    <cellStyle name="20% - 강조색5 5 4 2 4" xfId="8977"/>
    <cellStyle name="20% - 강조색5 5 4 3" xfId="8978"/>
    <cellStyle name="20% - 강조색5 5 4 3 2" xfId="8979"/>
    <cellStyle name="20% - 강조색5 5 4 3 3" xfId="8980"/>
    <cellStyle name="20% - 강조색5 5 4 4" xfId="8981"/>
    <cellStyle name="20% - 강조색5 5 4 5" xfId="8982"/>
    <cellStyle name="20% - 강조색5 5 5" xfId="8983"/>
    <cellStyle name="20% - 강조색5 5 5 2" xfId="8984"/>
    <cellStyle name="20% - 강조색5 5 5 2 2" xfId="8985"/>
    <cellStyle name="20% - 강조색5 5 5 2 2 2" xfId="8986"/>
    <cellStyle name="20% - 강조색5 5 5 2 2 3" xfId="8987"/>
    <cellStyle name="20% - 강조색5 5 5 2 3" xfId="8988"/>
    <cellStyle name="20% - 강조색5 5 5 2 4" xfId="8989"/>
    <cellStyle name="20% - 강조색5 5 5 3" xfId="8990"/>
    <cellStyle name="20% - 강조색5 5 5 3 2" xfId="8991"/>
    <cellStyle name="20% - 강조색5 5 5 3 3" xfId="8992"/>
    <cellStyle name="20% - 강조색5 5 5 4" xfId="8993"/>
    <cellStyle name="20% - 강조색5 5 5 5" xfId="8994"/>
    <cellStyle name="20% - 강조색5 5 6" xfId="8995"/>
    <cellStyle name="20% - 강조색5 5 6 2" xfId="8996"/>
    <cellStyle name="20% - 강조색5 5 6 2 2" xfId="8997"/>
    <cellStyle name="20% - 강조색5 5 6 2 2 2" xfId="8998"/>
    <cellStyle name="20% - 강조색5 5 6 2 2 3" xfId="8999"/>
    <cellStyle name="20% - 강조색5 5 6 2 3" xfId="9000"/>
    <cellStyle name="20% - 강조색5 5 6 2 4" xfId="9001"/>
    <cellStyle name="20% - 강조색5 5 6 3" xfId="9002"/>
    <cellStyle name="20% - 강조색5 5 6 3 2" xfId="9003"/>
    <cellStyle name="20% - 강조색5 5 6 3 3" xfId="9004"/>
    <cellStyle name="20% - 강조색5 5 6 4" xfId="9005"/>
    <cellStyle name="20% - 강조색5 5 6 5" xfId="9006"/>
    <cellStyle name="20% - 강조색5 5 7" xfId="9007"/>
    <cellStyle name="20% - 강조색5 5 7 2" xfId="9008"/>
    <cellStyle name="20% - 강조색5 5 7 2 2" xfId="9009"/>
    <cellStyle name="20% - 강조색5 5 7 2 3" xfId="9010"/>
    <cellStyle name="20% - 강조색5 5 7 3" xfId="9011"/>
    <cellStyle name="20% - 강조색5 5 7 4" xfId="9012"/>
    <cellStyle name="20% - 강조색5 5 8" xfId="9013"/>
    <cellStyle name="20% - 강조색5 5 8 2" xfId="9014"/>
    <cellStyle name="20% - 강조색5 5 8 3" xfId="9015"/>
    <cellStyle name="20% - 강조색5 5 9" xfId="9016"/>
    <cellStyle name="20% - 강조색5 50" xfId="9017"/>
    <cellStyle name="20% - 강조색5 51" xfId="9018"/>
    <cellStyle name="20% - 강조색5 52" xfId="9019"/>
    <cellStyle name="20% - 강조색5 53" xfId="9020"/>
    <cellStyle name="20% - 강조색5 54" xfId="9021"/>
    <cellStyle name="20% - 강조색5 55" xfId="9022"/>
    <cellStyle name="20% - 강조색5 56" xfId="9023"/>
    <cellStyle name="20% - 강조색5 57" xfId="9024"/>
    <cellStyle name="20% - 강조색5 58" xfId="9025"/>
    <cellStyle name="20% - 강조색5 59" xfId="9026"/>
    <cellStyle name="20% - 강조색5 6" xfId="9027"/>
    <cellStyle name="20% - 강조색5 6 10" xfId="9028"/>
    <cellStyle name="20% - 강조색5 6 2" xfId="9029"/>
    <cellStyle name="20% - 강조색5 6 2 2" xfId="9030"/>
    <cellStyle name="20% - 강조색5 6 2 2 2" xfId="9031"/>
    <cellStyle name="20% - 강조색5 6 2 2 2 2" xfId="9032"/>
    <cellStyle name="20% - 강조색5 6 2 2 2 2 2" xfId="9033"/>
    <cellStyle name="20% - 강조색5 6 2 2 2 2 3" xfId="9034"/>
    <cellStyle name="20% - 강조색5 6 2 2 2 3" xfId="9035"/>
    <cellStyle name="20% - 강조색5 6 2 2 2 4" xfId="9036"/>
    <cellStyle name="20% - 강조색5 6 2 2 3" xfId="9037"/>
    <cellStyle name="20% - 강조색5 6 2 2 3 2" xfId="9038"/>
    <cellStyle name="20% - 강조색5 6 2 2 3 3" xfId="9039"/>
    <cellStyle name="20% - 강조색5 6 2 2 4" xfId="9040"/>
    <cellStyle name="20% - 강조색5 6 2 2 5" xfId="9041"/>
    <cellStyle name="20% - 강조색5 6 2 3" xfId="9042"/>
    <cellStyle name="20% - 강조색5 6 2 3 2" xfId="9043"/>
    <cellStyle name="20% - 강조색5 6 2 3 2 2" xfId="9044"/>
    <cellStyle name="20% - 강조색5 6 2 3 2 2 2" xfId="9045"/>
    <cellStyle name="20% - 강조색5 6 2 3 2 2 3" xfId="9046"/>
    <cellStyle name="20% - 강조색5 6 2 3 2 3" xfId="9047"/>
    <cellStyle name="20% - 강조색5 6 2 3 2 4" xfId="9048"/>
    <cellStyle name="20% - 강조색5 6 2 3 3" xfId="9049"/>
    <cellStyle name="20% - 강조색5 6 2 3 3 2" xfId="9050"/>
    <cellStyle name="20% - 강조색5 6 2 3 3 3" xfId="9051"/>
    <cellStyle name="20% - 강조색5 6 2 3 4" xfId="9052"/>
    <cellStyle name="20% - 강조색5 6 2 3 5" xfId="9053"/>
    <cellStyle name="20% - 강조색5 6 2 4" xfId="9054"/>
    <cellStyle name="20% - 강조색5 6 2 4 2" xfId="9055"/>
    <cellStyle name="20% - 강조색5 6 2 4 2 2" xfId="9056"/>
    <cellStyle name="20% - 강조색5 6 2 4 2 3" xfId="9057"/>
    <cellStyle name="20% - 강조색5 6 2 4 3" xfId="9058"/>
    <cellStyle name="20% - 강조색5 6 2 4 4" xfId="9059"/>
    <cellStyle name="20% - 강조색5 6 2 5" xfId="9060"/>
    <cellStyle name="20% - 강조색5 6 2 5 2" xfId="9061"/>
    <cellStyle name="20% - 강조색5 6 2 5 3" xfId="9062"/>
    <cellStyle name="20% - 강조색5 6 2 6" xfId="9063"/>
    <cellStyle name="20% - 강조색5 6 2 7" xfId="9064"/>
    <cellStyle name="20% - 강조색5 6 3" xfId="9065"/>
    <cellStyle name="20% - 강조색5 6 3 2" xfId="9066"/>
    <cellStyle name="20% - 강조색5 6 3 2 2" xfId="9067"/>
    <cellStyle name="20% - 강조색5 6 3 2 2 2" xfId="9068"/>
    <cellStyle name="20% - 강조색5 6 3 2 2 2 2" xfId="9069"/>
    <cellStyle name="20% - 강조색5 6 3 2 2 2 3" xfId="9070"/>
    <cellStyle name="20% - 강조색5 6 3 2 2 3" xfId="9071"/>
    <cellStyle name="20% - 강조색5 6 3 2 2 4" xfId="9072"/>
    <cellStyle name="20% - 강조색5 6 3 2 3" xfId="9073"/>
    <cellStyle name="20% - 강조색5 6 3 2 3 2" xfId="9074"/>
    <cellStyle name="20% - 강조색5 6 3 2 3 3" xfId="9075"/>
    <cellStyle name="20% - 강조색5 6 3 2 4" xfId="9076"/>
    <cellStyle name="20% - 강조색5 6 3 2 5" xfId="9077"/>
    <cellStyle name="20% - 강조색5 6 3 3" xfId="9078"/>
    <cellStyle name="20% - 강조색5 6 3 3 2" xfId="9079"/>
    <cellStyle name="20% - 강조색5 6 3 3 2 2" xfId="9080"/>
    <cellStyle name="20% - 강조색5 6 3 3 2 2 2" xfId="9081"/>
    <cellStyle name="20% - 강조색5 6 3 3 2 2 3" xfId="9082"/>
    <cellStyle name="20% - 강조색5 6 3 3 2 3" xfId="9083"/>
    <cellStyle name="20% - 강조색5 6 3 3 2 4" xfId="9084"/>
    <cellStyle name="20% - 강조색5 6 3 3 3" xfId="9085"/>
    <cellStyle name="20% - 강조색5 6 3 3 3 2" xfId="9086"/>
    <cellStyle name="20% - 강조색5 6 3 3 3 3" xfId="9087"/>
    <cellStyle name="20% - 강조색5 6 3 3 4" xfId="9088"/>
    <cellStyle name="20% - 강조색5 6 3 3 5" xfId="9089"/>
    <cellStyle name="20% - 강조색5 6 3 4" xfId="9090"/>
    <cellStyle name="20% - 강조색5 6 3 4 2" xfId="9091"/>
    <cellStyle name="20% - 강조색5 6 3 4 2 2" xfId="9092"/>
    <cellStyle name="20% - 강조색5 6 3 4 2 3" xfId="9093"/>
    <cellStyle name="20% - 강조색5 6 3 4 3" xfId="9094"/>
    <cellStyle name="20% - 강조색5 6 3 4 4" xfId="9095"/>
    <cellStyle name="20% - 강조색5 6 3 5" xfId="9096"/>
    <cellStyle name="20% - 강조색5 6 3 5 2" xfId="9097"/>
    <cellStyle name="20% - 강조색5 6 3 5 3" xfId="9098"/>
    <cellStyle name="20% - 강조색5 6 3 6" xfId="9099"/>
    <cellStyle name="20% - 강조색5 6 3 7" xfId="9100"/>
    <cellStyle name="20% - 강조색5 6 4" xfId="9101"/>
    <cellStyle name="20% - 강조색5 6 4 2" xfId="9102"/>
    <cellStyle name="20% - 강조색5 6 4 2 2" xfId="9103"/>
    <cellStyle name="20% - 강조색5 6 4 2 2 2" xfId="9104"/>
    <cellStyle name="20% - 강조색5 6 4 2 2 3" xfId="9105"/>
    <cellStyle name="20% - 강조색5 6 4 2 3" xfId="9106"/>
    <cellStyle name="20% - 강조색5 6 4 2 4" xfId="9107"/>
    <cellStyle name="20% - 강조색5 6 4 3" xfId="9108"/>
    <cellStyle name="20% - 강조색5 6 4 3 2" xfId="9109"/>
    <cellStyle name="20% - 강조색5 6 4 3 3" xfId="9110"/>
    <cellStyle name="20% - 강조색5 6 4 4" xfId="9111"/>
    <cellStyle name="20% - 강조색5 6 4 5" xfId="9112"/>
    <cellStyle name="20% - 강조색5 6 5" xfId="9113"/>
    <cellStyle name="20% - 강조색5 6 5 2" xfId="9114"/>
    <cellStyle name="20% - 강조색5 6 5 2 2" xfId="9115"/>
    <cellStyle name="20% - 강조색5 6 5 2 2 2" xfId="9116"/>
    <cellStyle name="20% - 강조색5 6 5 2 2 3" xfId="9117"/>
    <cellStyle name="20% - 강조색5 6 5 2 3" xfId="9118"/>
    <cellStyle name="20% - 강조색5 6 5 2 4" xfId="9119"/>
    <cellStyle name="20% - 강조색5 6 5 3" xfId="9120"/>
    <cellStyle name="20% - 강조색5 6 5 3 2" xfId="9121"/>
    <cellStyle name="20% - 강조색5 6 5 3 3" xfId="9122"/>
    <cellStyle name="20% - 강조색5 6 5 4" xfId="9123"/>
    <cellStyle name="20% - 강조색5 6 5 5" xfId="9124"/>
    <cellStyle name="20% - 강조색5 6 6" xfId="9125"/>
    <cellStyle name="20% - 강조색5 6 6 2" xfId="9126"/>
    <cellStyle name="20% - 강조색5 6 6 2 2" xfId="9127"/>
    <cellStyle name="20% - 강조색5 6 6 2 2 2" xfId="9128"/>
    <cellStyle name="20% - 강조색5 6 6 2 2 3" xfId="9129"/>
    <cellStyle name="20% - 강조색5 6 6 2 3" xfId="9130"/>
    <cellStyle name="20% - 강조색5 6 6 2 4" xfId="9131"/>
    <cellStyle name="20% - 강조색5 6 6 3" xfId="9132"/>
    <cellStyle name="20% - 강조색5 6 6 3 2" xfId="9133"/>
    <cellStyle name="20% - 강조색5 6 6 3 3" xfId="9134"/>
    <cellStyle name="20% - 강조색5 6 6 4" xfId="9135"/>
    <cellStyle name="20% - 강조색5 6 6 5" xfId="9136"/>
    <cellStyle name="20% - 강조색5 6 7" xfId="9137"/>
    <cellStyle name="20% - 강조색5 6 7 2" xfId="9138"/>
    <cellStyle name="20% - 강조색5 6 7 2 2" xfId="9139"/>
    <cellStyle name="20% - 강조색5 6 7 2 3" xfId="9140"/>
    <cellStyle name="20% - 강조색5 6 7 3" xfId="9141"/>
    <cellStyle name="20% - 강조색5 6 7 4" xfId="9142"/>
    <cellStyle name="20% - 강조색5 6 8" xfId="9143"/>
    <cellStyle name="20% - 강조색5 6 8 2" xfId="9144"/>
    <cellStyle name="20% - 강조색5 6 8 3" xfId="9145"/>
    <cellStyle name="20% - 강조색5 6 9" xfId="9146"/>
    <cellStyle name="20% - 강조색5 60" xfId="9147"/>
    <cellStyle name="20% - 강조색5 61" xfId="9148"/>
    <cellStyle name="20% - 강조색5 62" xfId="9149"/>
    <cellStyle name="20% - 강조색5 63" xfId="9150"/>
    <cellStyle name="20% - 강조색5 64" xfId="9151"/>
    <cellStyle name="20% - 강조색5 65" xfId="9152"/>
    <cellStyle name="20% - 강조색5 66" xfId="9153"/>
    <cellStyle name="20% - 강조색5 67" xfId="9154"/>
    <cellStyle name="20% - 강조색5 68" xfId="9155"/>
    <cellStyle name="20% - 강조색5 69" xfId="9156"/>
    <cellStyle name="20% - 강조색5 7" xfId="9157"/>
    <cellStyle name="20% - 강조색5 7 10" xfId="9158"/>
    <cellStyle name="20% - 강조색5 7 2" xfId="9159"/>
    <cellStyle name="20% - 강조색5 7 2 2" xfId="9160"/>
    <cellStyle name="20% - 강조색5 7 2 2 2" xfId="9161"/>
    <cellStyle name="20% - 강조색5 7 2 2 2 2" xfId="9162"/>
    <cellStyle name="20% - 강조색5 7 2 2 2 2 2" xfId="9163"/>
    <cellStyle name="20% - 강조색5 7 2 2 2 2 3" xfId="9164"/>
    <cellStyle name="20% - 강조색5 7 2 2 2 3" xfId="9165"/>
    <cellStyle name="20% - 강조색5 7 2 2 2 4" xfId="9166"/>
    <cellStyle name="20% - 강조색5 7 2 2 3" xfId="9167"/>
    <cellStyle name="20% - 강조색5 7 2 2 3 2" xfId="9168"/>
    <cellStyle name="20% - 강조색5 7 2 2 3 3" xfId="9169"/>
    <cellStyle name="20% - 강조색5 7 2 2 4" xfId="9170"/>
    <cellStyle name="20% - 강조색5 7 2 2 5" xfId="9171"/>
    <cellStyle name="20% - 강조색5 7 2 3" xfId="9172"/>
    <cellStyle name="20% - 강조색5 7 2 3 2" xfId="9173"/>
    <cellStyle name="20% - 강조색5 7 2 3 2 2" xfId="9174"/>
    <cellStyle name="20% - 강조색5 7 2 3 2 2 2" xfId="9175"/>
    <cellStyle name="20% - 강조색5 7 2 3 2 2 3" xfId="9176"/>
    <cellStyle name="20% - 강조색5 7 2 3 2 3" xfId="9177"/>
    <cellStyle name="20% - 강조색5 7 2 3 2 4" xfId="9178"/>
    <cellStyle name="20% - 강조색5 7 2 3 3" xfId="9179"/>
    <cellStyle name="20% - 강조색5 7 2 3 3 2" xfId="9180"/>
    <cellStyle name="20% - 강조색5 7 2 3 3 3" xfId="9181"/>
    <cellStyle name="20% - 강조색5 7 2 3 4" xfId="9182"/>
    <cellStyle name="20% - 강조색5 7 2 3 5" xfId="9183"/>
    <cellStyle name="20% - 강조색5 7 2 4" xfId="9184"/>
    <cellStyle name="20% - 강조색5 7 2 4 2" xfId="9185"/>
    <cellStyle name="20% - 강조색5 7 2 4 2 2" xfId="9186"/>
    <cellStyle name="20% - 강조색5 7 2 4 2 3" xfId="9187"/>
    <cellStyle name="20% - 강조색5 7 2 4 3" xfId="9188"/>
    <cellStyle name="20% - 강조색5 7 2 4 4" xfId="9189"/>
    <cellStyle name="20% - 강조색5 7 2 5" xfId="9190"/>
    <cellStyle name="20% - 강조색5 7 2 5 2" xfId="9191"/>
    <cellStyle name="20% - 강조색5 7 2 5 3" xfId="9192"/>
    <cellStyle name="20% - 강조색5 7 2 6" xfId="9193"/>
    <cellStyle name="20% - 강조색5 7 2 7" xfId="9194"/>
    <cellStyle name="20% - 강조색5 7 3" xfId="9195"/>
    <cellStyle name="20% - 강조색5 7 3 2" xfId="9196"/>
    <cellStyle name="20% - 강조색5 7 3 2 2" xfId="9197"/>
    <cellStyle name="20% - 강조색5 7 3 2 2 2" xfId="9198"/>
    <cellStyle name="20% - 강조색5 7 3 2 2 2 2" xfId="9199"/>
    <cellStyle name="20% - 강조색5 7 3 2 2 2 3" xfId="9200"/>
    <cellStyle name="20% - 강조색5 7 3 2 2 3" xfId="9201"/>
    <cellStyle name="20% - 강조색5 7 3 2 2 4" xfId="9202"/>
    <cellStyle name="20% - 강조색5 7 3 2 3" xfId="9203"/>
    <cellStyle name="20% - 강조색5 7 3 2 3 2" xfId="9204"/>
    <cellStyle name="20% - 강조색5 7 3 2 3 3" xfId="9205"/>
    <cellStyle name="20% - 강조색5 7 3 2 4" xfId="9206"/>
    <cellStyle name="20% - 강조색5 7 3 2 5" xfId="9207"/>
    <cellStyle name="20% - 강조색5 7 3 3" xfId="9208"/>
    <cellStyle name="20% - 강조색5 7 3 3 2" xfId="9209"/>
    <cellStyle name="20% - 강조색5 7 3 3 2 2" xfId="9210"/>
    <cellStyle name="20% - 강조색5 7 3 3 2 2 2" xfId="9211"/>
    <cellStyle name="20% - 강조색5 7 3 3 2 2 3" xfId="9212"/>
    <cellStyle name="20% - 강조색5 7 3 3 2 3" xfId="9213"/>
    <cellStyle name="20% - 강조색5 7 3 3 2 4" xfId="9214"/>
    <cellStyle name="20% - 강조색5 7 3 3 3" xfId="9215"/>
    <cellStyle name="20% - 강조색5 7 3 3 3 2" xfId="9216"/>
    <cellStyle name="20% - 강조색5 7 3 3 3 3" xfId="9217"/>
    <cellStyle name="20% - 강조색5 7 3 3 4" xfId="9218"/>
    <cellStyle name="20% - 강조색5 7 3 3 5" xfId="9219"/>
    <cellStyle name="20% - 강조색5 7 3 4" xfId="9220"/>
    <cellStyle name="20% - 강조색5 7 3 4 2" xfId="9221"/>
    <cellStyle name="20% - 강조색5 7 3 4 2 2" xfId="9222"/>
    <cellStyle name="20% - 강조색5 7 3 4 2 3" xfId="9223"/>
    <cellStyle name="20% - 강조색5 7 3 4 3" xfId="9224"/>
    <cellStyle name="20% - 강조색5 7 3 4 4" xfId="9225"/>
    <cellStyle name="20% - 강조색5 7 3 5" xfId="9226"/>
    <cellStyle name="20% - 강조색5 7 3 5 2" xfId="9227"/>
    <cellStyle name="20% - 강조색5 7 3 5 3" xfId="9228"/>
    <cellStyle name="20% - 강조색5 7 3 6" xfId="9229"/>
    <cellStyle name="20% - 강조색5 7 3 7" xfId="9230"/>
    <cellStyle name="20% - 강조색5 7 4" xfId="9231"/>
    <cellStyle name="20% - 강조색5 7 4 2" xfId="9232"/>
    <cellStyle name="20% - 강조색5 7 4 2 2" xfId="9233"/>
    <cellStyle name="20% - 강조색5 7 4 2 2 2" xfId="9234"/>
    <cellStyle name="20% - 강조색5 7 4 2 2 3" xfId="9235"/>
    <cellStyle name="20% - 강조색5 7 4 2 3" xfId="9236"/>
    <cellStyle name="20% - 강조색5 7 4 2 4" xfId="9237"/>
    <cellStyle name="20% - 강조색5 7 4 3" xfId="9238"/>
    <cellStyle name="20% - 강조색5 7 4 3 2" xfId="9239"/>
    <cellStyle name="20% - 강조색5 7 4 3 3" xfId="9240"/>
    <cellStyle name="20% - 강조색5 7 4 4" xfId="9241"/>
    <cellStyle name="20% - 강조색5 7 4 5" xfId="9242"/>
    <cellStyle name="20% - 강조색5 7 5" xfId="9243"/>
    <cellStyle name="20% - 강조색5 7 5 2" xfId="9244"/>
    <cellStyle name="20% - 강조색5 7 5 2 2" xfId="9245"/>
    <cellStyle name="20% - 강조색5 7 5 2 2 2" xfId="9246"/>
    <cellStyle name="20% - 강조색5 7 5 2 2 3" xfId="9247"/>
    <cellStyle name="20% - 강조색5 7 5 2 3" xfId="9248"/>
    <cellStyle name="20% - 강조색5 7 5 2 4" xfId="9249"/>
    <cellStyle name="20% - 강조색5 7 5 3" xfId="9250"/>
    <cellStyle name="20% - 강조색5 7 5 3 2" xfId="9251"/>
    <cellStyle name="20% - 강조색5 7 5 3 3" xfId="9252"/>
    <cellStyle name="20% - 강조색5 7 5 4" xfId="9253"/>
    <cellStyle name="20% - 강조색5 7 5 5" xfId="9254"/>
    <cellStyle name="20% - 강조색5 7 6" xfId="9255"/>
    <cellStyle name="20% - 강조색5 7 6 2" xfId="9256"/>
    <cellStyle name="20% - 강조색5 7 6 2 2" xfId="9257"/>
    <cellStyle name="20% - 강조색5 7 6 2 2 2" xfId="9258"/>
    <cellStyle name="20% - 강조색5 7 6 2 2 3" xfId="9259"/>
    <cellStyle name="20% - 강조색5 7 6 2 3" xfId="9260"/>
    <cellStyle name="20% - 강조색5 7 6 2 4" xfId="9261"/>
    <cellStyle name="20% - 강조색5 7 6 3" xfId="9262"/>
    <cellStyle name="20% - 강조색5 7 6 3 2" xfId="9263"/>
    <cellStyle name="20% - 강조색5 7 6 3 3" xfId="9264"/>
    <cellStyle name="20% - 강조색5 7 6 4" xfId="9265"/>
    <cellStyle name="20% - 강조색5 7 6 5" xfId="9266"/>
    <cellStyle name="20% - 강조색5 7 7" xfId="9267"/>
    <cellStyle name="20% - 강조색5 7 7 2" xfId="9268"/>
    <cellStyle name="20% - 강조색5 7 7 2 2" xfId="9269"/>
    <cellStyle name="20% - 강조색5 7 7 2 3" xfId="9270"/>
    <cellStyle name="20% - 강조색5 7 7 3" xfId="9271"/>
    <cellStyle name="20% - 강조색5 7 7 4" xfId="9272"/>
    <cellStyle name="20% - 강조색5 7 8" xfId="9273"/>
    <cellStyle name="20% - 강조색5 7 8 2" xfId="9274"/>
    <cellStyle name="20% - 강조색5 7 8 3" xfId="9275"/>
    <cellStyle name="20% - 강조색5 7 9" xfId="9276"/>
    <cellStyle name="20% - 강조색5 8" xfId="9277"/>
    <cellStyle name="20% - 강조색5 8 2" xfId="9278"/>
    <cellStyle name="20% - 강조색5 8 2 2" xfId="9279"/>
    <cellStyle name="20% - 강조색5 8 2 2 2" xfId="9280"/>
    <cellStyle name="20% - 강조색5 8 2 2 2 2" xfId="9281"/>
    <cellStyle name="20% - 강조색5 8 2 2 2 3" xfId="9282"/>
    <cellStyle name="20% - 강조색5 8 2 2 3" xfId="9283"/>
    <cellStyle name="20% - 강조색5 8 2 2 4" xfId="9284"/>
    <cellStyle name="20% - 강조색5 8 2 3" xfId="9285"/>
    <cellStyle name="20% - 강조색5 8 2 3 2" xfId="9286"/>
    <cellStyle name="20% - 강조색5 8 2 3 3" xfId="9287"/>
    <cellStyle name="20% - 강조색5 8 2 4" xfId="9288"/>
    <cellStyle name="20% - 강조색5 8 2 5" xfId="9289"/>
    <cellStyle name="20% - 강조색5 8 3" xfId="9290"/>
    <cellStyle name="20% - 강조색5 8 3 2" xfId="9291"/>
    <cellStyle name="20% - 강조색5 8 3 2 2" xfId="9292"/>
    <cellStyle name="20% - 강조색5 8 3 2 2 2" xfId="9293"/>
    <cellStyle name="20% - 강조색5 8 3 2 2 3" xfId="9294"/>
    <cellStyle name="20% - 강조색5 8 3 2 3" xfId="9295"/>
    <cellStyle name="20% - 강조색5 8 3 2 4" xfId="9296"/>
    <cellStyle name="20% - 강조색5 8 3 3" xfId="9297"/>
    <cellStyle name="20% - 강조색5 8 3 3 2" xfId="9298"/>
    <cellStyle name="20% - 강조색5 8 3 3 3" xfId="9299"/>
    <cellStyle name="20% - 강조색5 8 3 4" xfId="9300"/>
    <cellStyle name="20% - 강조색5 8 3 5" xfId="9301"/>
    <cellStyle name="20% - 강조색5 8 4" xfId="9302"/>
    <cellStyle name="20% - 강조색5 8 4 2" xfId="9303"/>
    <cellStyle name="20% - 강조색5 8 4 2 2" xfId="9304"/>
    <cellStyle name="20% - 강조색5 8 4 2 3" xfId="9305"/>
    <cellStyle name="20% - 강조색5 8 4 3" xfId="9306"/>
    <cellStyle name="20% - 강조색5 8 4 4" xfId="9307"/>
    <cellStyle name="20% - 강조색5 8 5" xfId="9308"/>
    <cellStyle name="20% - 강조색5 8 5 2" xfId="9309"/>
    <cellStyle name="20% - 강조색5 8 5 3" xfId="9310"/>
    <cellStyle name="20% - 강조색5 8 6" xfId="9311"/>
    <cellStyle name="20% - 강조색5 8 7" xfId="9312"/>
    <cellStyle name="20% - 강조색5 9" xfId="9313"/>
    <cellStyle name="20% - 강조색5 9 2" xfId="9314"/>
    <cellStyle name="20% - 강조색5 9 2 2" xfId="9315"/>
    <cellStyle name="20% - 강조색5 9 2 2 2" xfId="9316"/>
    <cellStyle name="20% - 강조색5 9 2 2 2 2" xfId="9317"/>
    <cellStyle name="20% - 강조색5 9 2 2 2 3" xfId="9318"/>
    <cellStyle name="20% - 강조색5 9 2 2 3" xfId="9319"/>
    <cellStyle name="20% - 강조색5 9 2 2 4" xfId="9320"/>
    <cellStyle name="20% - 강조색5 9 2 3" xfId="9321"/>
    <cellStyle name="20% - 강조색5 9 2 3 2" xfId="9322"/>
    <cellStyle name="20% - 강조색5 9 2 3 3" xfId="9323"/>
    <cellStyle name="20% - 강조색5 9 2 4" xfId="9324"/>
    <cellStyle name="20% - 강조색5 9 2 5" xfId="9325"/>
    <cellStyle name="20% - 강조색5 9 3" xfId="9326"/>
    <cellStyle name="20% - 강조색5 9 3 2" xfId="9327"/>
    <cellStyle name="20% - 강조색5 9 3 2 2" xfId="9328"/>
    <cellStyle name="20% - 강조색5 9 3 2 2 2" xfId="9329"/>
    <cellStyle name="20% - 강조색5 9 3 2 2 3" xfId="9330"/>
    <cellStyle name="20% - 강조색5 9 3 2 3" xfId="9331"/>
    <cellStyle name="20% - 강조색5 9 3 2 4" xfId="9332"/>
    <cellStyle name="20% - 강조색5 9 3 3" xfId="9333"/>
    <cellStyle name="20% - 강조색5 9 3 3 2" xfId="9334"/>
    <cellStyle name="20% - 강조색5 9 3 3 3" xfId="9335"/>
    <cellStyle name="20% - 강조색5 9 3 4" xfId="9336"/>
    <cellStyle name="20% - 강조색5 9 3 5" xfId="9337"/>
    <cellStyle name="20% - 강조색5 9 4" xfId="9338"/>
    <cellStyle name="20% - 강조색5 9 4 2" xfId="9339"/>
    <cellStyle name="20% - 강조색5 9 4 2 2" xfId="9340"/>
    <cellStyle name="20% - 강조색5 9 4 2 3" xfId="9341"/>
    <cellStyle name="20% - 강조색5 9 4 3" xfId="9342"/>
    <cellStyle name="20% - 강조색5 9 4 4" xfId="9343"/>
    <cellStyle name="20% - 강조색5 9 5" xfId="9344"/>
    <cellStyle name="20% - 강조색5 9 5 2" xfId="9345"/>
    <cellStyle name="20% - 강조색5 9 5 3" xfId="9346"/>
    <cellStyle name="20% - 강조색5 9 6" xfId="9347"/>
    <cellStyle name="20% - 강조색5 9 7" xfId="9348"/>
    <cellStyle name="20% - 강조색6 10" xfId="9349"/>
    <cellStyle name="20% - 강조색6 10 2" xfId="9350"/>
    <cellStyle name="20% - 강조색6 10 2 2" xfId="9351"/>
    <cellStyle name="20% - 강조색6 10 2 2 2" xfId="9352"/>
    <cellStyle name="20% - 강조색6 10 2 2 2 2" xfId="9353"/>
    <cellStyle name="20% - 강조색6 10 2 2 2 3" xfId="9354"/>
    <cellStyle name="20% - 강조색6 10 2 2 3" xfId="9355"/>
    <cellStyle name="20% - 강조색6 10 2 2 4" xfId="9356"/>
    <cellStyle name="20% - 강조색6 10 2 3" xfId="9357"/>
    <cellStyle name="20% - 강조색6 10 2 3 2" xfId="9358"/>
    <cellStyle name="20% - 강조색6 10 2 3 3" xfId="9359"/>
    <cellStyle name="20% - 강조색6 10 2 4" xfId="9360"/>
    <cellStyle name="20% - 강조색6 10 2 5" xfId="9361"/>
    <cellStyle name="20% - 강조색6 10 3" xfId="9362"/>
    <cellStyle name="20% - 강조색6 10 3 2" xfId="9363"/>
    <cellStyle name="20% - 강조색6 10 3 2 2" xfId="9364"/>
    <cellStyle name="20% - 강조색6 10 3 2 2 2" xfId="9365"/>
    <cellStyle name="20% - 강조색6 10 3 2 2 3" xfId="9366"/>
    <cellStyle name="20% - 강조색6 10 3 2 3" xfId="9367"/>
    <cellStyle name="20% - 강조색6 10 3 2 4" xfId="9368"/>
    <cellStyle name="20% - 강조색6 10 3 3" xfId="9369"/>
    <cellStyle name="20% - 강조색6 10 3 3 2" xfId="9370"/>
    <cellStyle name="20% - 강조색6 10 3 3 3" xfId="9371"/>
    <cellStyle name="20% - 강조색6 10 3 4" xfId="9372"/>
    <cellStyle name="20% - 강조색6 10 3 5" xfId="9373"/>
    <cellStyle name="20% - 강조색6 10 4" xfId="9374"/>
    <cellStyle name="20% - 강조색6 10 4 2" xfId="9375"/>
    <cellStyle name="20% - 강조색6 10 4 2 2" xfId="9376"/>
    <cellStyle name="20% - 강조색6 10 4 2 3" xfId="9377"/>
    <cellStyle name="20% - 강조색6 10 4 3" xfId="9378"/>
    <cellStyle name="20% - 강조색6 10 4 4" xfId="9379"/>
    <cellStyle name="20% - 강조색6 10 5" xfId="9380"/>
    <cellStyle name="20% - 강조색6 10 5 2" xfId="9381"/>
    <cellStyle name="20% - 강조색6 10 5 3" xfId="9382"/>
    <cellStyle name="20% - 강조색6 10 6" xfId="9383"/>
    <cellStyle name="20% - 강조색6 10 7" xfId="9384"/>
    <cellStyle name="20% - 강조색6 11" xfId="9385"/>
    <cellStyle name="20% - 강조색6 11 2" xfId="9386"/>
    <cellStyle name="20% - 강조색6 11 2 2" xfId="9387"/>
    <cellStyle name="20% - 강조색6 11 2 2 2" xfId="9388"/>
    <cellStyle name="20% - 강조색6 11 2 2 3" xfId="9389"/>
    <cellStyle name="20% - 강조색6 11 2 3" xfId="9390"/>
    <cellStyle name="20% - 강조색6 11 2 4" xfId="9391"/>
    <cellStyle name="20% - 강조색6 11 3" xfId="9392"/>
    <cellStyle name="20% - 강조색6 11 3 2" xfId="9393"/>
    <cellStyle name="20% - 강조색6 11 3 3" xfId="9394"/>
    <cellStyle name="20% - 강조색6 11 4" xfId="9395"/>
    <cellStyle name="20% - 강조색6 11 5" xfId="9396"/>
    <cellStyle name="20% - 강조색6 12" xfId="9397"/>
    <cellStyle name="20% - 강조색6 12 2" xfId="9398"/>
    <cellStyle name="20% - 강조색6 12 2 2" xfId="9399"/>
    <cellStyle name="20% - 강조색6 12 2 2 2" xfId="9400"/>
    <cellStyle name="20% - 강조색6 12 2 2 3" xfId="9401"/>
    <cellStyle name="20% - 강조색6 12 2 3" xfId="9402"/>
    <cellStyle name="20% - 강조색6 12 2 4" xfId="9403"/>
    <cellStyle name="20% - 강조색6 12 3" xfId="9404"/>
    <cellStyle name="20% - 강조색6 12 3 2" xfId="9405"/>
    <cellStyle name="20% - 강조색6 12 3 3" xfId="9406"/>
    <cellStyle name="20% - 강조색6 12 4" xfId="9407"/>
    <cellStyle name="20% - 강조색6 12 5" xfId="9408"/>
    <cellStyle name="20% - 강조색6 13" xfId="9409"/>
    <cellStyle name="20% - 강조색6 13 2" xfId="9410"/>
    <cellStyle name="20% - 강조색6 13 2 2" xfId="9411"/>
    <cellStyle name="20% - 강조색6 13 2 3" xfId="9412"/>
    <cellStyle name="20% - 강조색6 13 3" xfId="9413"/>
    <cellStyle name="20% - 강조색6 13 4" xfId="9414"/>
    <cellStyle name="20% - 강조색6 14" xfId="9415"/>
    <cellStyle name="20% - 강조색6 14 2" xfId="9416"/>
    <cellStyle name="20% - 강조색6 14 2 2" xfId="9417"/>
    <cellStyle name="20% - 강조색6 14 2 3" xfId="9418"/>
    <cellStyle name="20% - 강조색6 14 3" xfId="9419"/>
    <cellStyle name="20% - 강조색6 14 4" xfId="9420"/>
    <cellStyle name="20% - 강조색6 15" xfId="9421"/>
    <cellStyle name="20% - 강조색6 15 2" xfId="9422"/>
    <cellStyle name="20% - 강조색6 15 3" xfId="9423"/>
    <cellStyle name="20% - 강조색6 16" xfId="9424"/>
    <cellStyle name="20% - 강조색6 16 2" xfId="9425"/>
    <cellStyle name="20% - 강조색6 16 3" xfId="9426"/>
    <cellStyle name="20% - 강조색6 16 4" xfId="9427"/>
    <cellStyle name="20% - 강조색6 17" xfId="9428"/>
    <cellStyle name="20% - 강조색6 17 2" xfId="9429"/>
    <cellStyle name="20% - 강조색6 17 3" xfId="9430"/>
    <cellStyle name="20% - 강조색6 18" xfId="9431"/>
    <cellStyle name="20% - 강조색6 18 2" xfId="9432"/>
    <cellStyle name="20% - 강조색6 18 3" xfId="9433"/>
    <cellStyle name="20% - 강조색6 19" xfId="9434"/>
    <cellStyle name="20% - 강조색6 19 2" xfId="9435"/>
    <cellStyle name="20% - 강조색6 19 3" xfId="9436"/>
    <cellStyle name="20% - 강조색6 2" xfId="9437"/>
    <cellStyle name="20% - 강조색6 2 2" xfId="9438"/>
    <cellStyle name="20% - 강조색6 2 2 2" xfId="9439"/>
    <cellStyle name="20% - 강조색6 2 2 2 2" xfId="9440"/>
    <cellStyle name="20% - 강조색6 2 2 3" xfId="9441"/>
    <cellStyle name="20% - 강조색6 2 3" xfId="9442"/>
    <cellStyle name="20% - 강조색6 2 3 2" xfId="9443"/>
    <cellStyle name="20% - 강조색6 2 3 2 2" xfId="9444"/>
    <cellStyle name="20% - 강조색6 2 3 3" xfId="9445"/>
    <cellStyle name="20% - 강조색6 2 4" xfId="9446"/>
    <cellStyle name="20% - 강조색6 2 4 2" xfId="9447"/>
    <cellStyle name="20% - 강조색6 2 5" xfId="9448"/>
    <cellStyle name="20% - 강조색6 2 6" xfId="9449"/>
    <cellStyle name="20% - 강조색6 20" xfId="9450"/>
    <cellStyle name="20% - 강조색6 20 2" xfId="9451"/>
    <cellStyle name="20% - 강조색6 20 3" xfId="9452"/>
    <cellStyle name="20% - 강조색6 21" xfId="9453"/>
    <cellStyle name="20% - 강조색6 21 2" xfId="9454"/>
    <cellStyle name="20% - 강조색6 21 3" xfId="9455"/>
    <cellStyle name="20% - 강조색6 22" xfId="9456"/>
    <cellStyle name="20% - 강조색6 22 2" xfId="9457"/>
    <cellStyle name="20% - 강조색6 22 3" xfId="9458"/>
    <cellStyle name="20% - 강조색6 23" xfId="9459"/>
    <cellStyle name="20% - 강조색6 23 2" xfId="9460"/>
    <cellStyle name="20% - 강조색6 23 3" xfId="9461"/>
    <cellStyle name="20% - 강조색6 24" xfId="9462"/>
    <cellStyle name="20% - 강조색6 24 2" xfId="9463"/>
    <cellStyle name="20% - 강조색6 25" xfId="9464"/>
    <cellStyle name="20% - 강조색6 25 2" xfId="9465"/>
    <cellStyle name="20% - 강조색6 26" xfId="9466"/>
    <cellStyle name="20% - 강조색6 26 2" xfId="9467"/>
    <cellStyle name="20% - 강조색6 27" xfId="9468"/>
    <cellStyle name="20% - 강조색6 27 2" xfId="9469"/>
    <cellStyle name="20% - 강조색6 28" xfId="9470"/>
    <cellStyle name="20% - 강조색6 28 2" xfId="9471"/>
    <cellStyle name="20% - 강조색6 29" xfId="9472"/>
    <cellStyle name="20% - 강조색6 29 2" xfId="9473"/>
    <cellStyle name="20% - 강조색6 3" xfId="9474"/>
    <cellStyle name="20% - 강조색6 3 10" xfId="9475"/>
    <cellStyle name="20% - 강조색6 3 10 2" xfId="9476"/>
    <cellStyle name="20% - 강조색6 3 10 2 2" xfId="9477"/>
    <cellStyle name="20% - 강조색6 3 10 2 3" xfId="9478"/>
    <cellStyle name="20% - 강조색6 3 10 3" xfId="9479"/>
    <cellStyle name="20% - 강조색6 3 10 4" xfId="9480"/>
    <cellStyle name="20% - 강조색6 3 11" xfId="9481"/>
    <cellStyle name="20% - 강조색6 3 11 2" xfId="9482"/>
    <cellStyle name="20% - 강조색6 3 11 3" xfId="9483"/>
    <cellStyle name="20% - 강조색6 3 12" xfId="9484"/>
    <cellStyle name="20% - 강조색6 3 13" xfId="9485"/>
    <cellStyle name="20% - 강조색6 3 14" xfId="9486"/>
    <cellStyle name="20% - 강조색6 3 15" xfId="9487"/>
    <cellStyle name="20% - 강조색6 3 2" xfId="9488"/>
    <cellStyle name="20% - 강조색6 3 2 10" xfId="9489"/>
    <cellStyle name="20% - 강조색6 3 2 11" xfId="9490"/>
    <cellStyle name="20% - 강조색6 3 2 12" xfId="9491"/>
    <cellStyle name="20% - 강조색6 3 2 2" xfId="9492"/>
    <cellStyle name="20% - 강조색6 3 2 2 2" xfId="9493"/>
    <cellStyle name="20% - 강조색6 3 2 2 2 2" xfId="9494"/>
    <cellStyle name="20% - 강조색6 3 2 2 2 2 2" xfId="9495"/>
    <cellStyle name="20% - 강조색6 3 2 2 2 2 2 2" xfId="9496"/>
    <cellStyle name="20% - 강조색6 3 2 2 2 2 2 3" xfId="9497"/>
    <cellStyle name="20% - 강조색6 3 2 2 2 2 3" xfId="9498"/>
    <cellStyle name="20% - 강조색6 3 2 2 2 2 4" xfId="9499"/>
    <cellStyle name="20% - 강조색6 3 2 2 2 3" xfId="9500"/>
    <cellStyle name="20% - 강조색6 3 2 2 2 3 2" xfId="9501"/>
    <cellStyle name="20% - 강조색6 3 2 2 2 3 3" xfId="9502"/>
    <cellStyle name="20% - 강조색6 3 2 2 2 4" xfId="9503"/>
    <cellStyle name="20% - 강조색6 3 2 2 2 5" xfId="9504"/>
    <cellStyle name="20% - 강조색6 3 2 2 3" xfId="9505"/>
    <cellStyle name="20% - 강조색6 3 2 2 3 2" xfId="9506"/>
    <cellStyle name="20% - 강조색6 3 2 2 3 2 2" xfId="9507"/>
    <cellStyle name="20% - 강조색6 3 2 2 3 2 2 2" xfId="9508"/>
    <cellStyle name="20% - 강조색6 3 2 2 3 2 2 3" xfId="9509"/>
    <cellStyle name="20% - 강조색6 3 2 2 3 2 3" xfId="9510"/>
    <cellStyle name="20% - 강조색6 3 2 2 3 2 4" xfId="9511"/>
    <cellStyle name="20% - 강조색6 3 2 2 3 3" xfId="9512"/>
    <cellStyle name="20% - 강조색6 3 2 2 3 3 2" xfId="9513"/>
    <cellStyle name="20% - 강조색6 3 2 2 3 3 3" xfId="9514"/>
    <cellStyle name="20% - 강조색6 3 2 2 3 4" xfId="9515"/>
    <cellStyle name="20% - 강조색6 3 2 2 3 5" xfId="9516"/>
    <cellStyle name="20% - 강조색6 3 2 2 4" xfId="9517"/>
    <cellStyle name="20% - 강조색6 3 2 2 4 2" xfId="9518"/>
    <cellStyle name="20% - 강조색6 3 2 2 4 2 2" xfId="9519"/>
    <cellStyle name="20% - 강조색6 3 2 2 4 2 3" xfId="9520"/>
    <cellStyle name="20% - 강조색6 3 2 2 4 3" xfId="9521"/>
    <cellStyle name="20% - 강조색6 3 2 2 4 4" xfId="9522"/>
    <cellStyle name="20% - 강조색6 3 2 2 5" xfId="9523"/>
    <cellStyle name="20% - 강조색6 3 2 2 5 2" xfId="9524"/>
    <cellStyle name="20% - 강조색6 3 2 2 5 3" xfId="9525"/>
    <cellStyle name="20% - 강조색6 3 2 2 6" xfId="9526"/>
    <cellStyle name="20% - 강조색6 3 2 2 7" xfId="9527"/>
    <cellStyle name="20% - 강조색6 3 2 2 8" xfId="9528"/>
    <cellStyle name="20% - 강조색6 3 2 2 9" xfId="9529"/>
    <cellStyle name="20% - 강조색6 3 2 3" xfId="9530"/>
    <cellStyle name="20% - 강조색6 3 2 3 2" xfId="9531"/>
    <cellStyle name="20% - 강조색6 3 2 3 2 2" xfId="9532"/>
    <cellStyle name="20% - 강조색6 3 2 3 2 2 2" xfId="9533"/>
    <cellStyle name="20% - 강조색6 3 2 3 2 2 2 2" xfId="9534"/>
    <cellStyle name="20% - 강조색6 3 2 3 2 2 2 3" xfId="9535"/>
    <cellStyle name="20% - 강조색6 3 2 3 2 2 3" xfId="9536"/>
    <cellStyle name="20% - 강조색6 3 2 3 2 2 4" xfId="9537"/>
    <cellStyle name="20% - 강조색6 3 2 3 2 3" xfId="9538"/>
    <cellStyle name="20% - 강조색6 3 2 3 2 3 2" xfId="9539"/>
    <cellStyle name="20% - 강조색6 3 2 3 2 3 3" xfId="9540"/>
    <cellStyle name="20% - 강조색6 3 2 3 2 4" xfId="9541"/>
    <cellStyle name="20% - 강조색6 3 2 3 2 5" xfId="9542"/>
    <cellStyle name="20% - 강조색6 3 2 3 3" xfId="9543"/>
    <cellStyle name="20% - 강조색6 3 2 3 3 2" xfId="9544"/>
    <cellStyle name="20% - 강조색6 3 2 3 3 2 2" xfId="9545"/>
    <cellStyle name="20% - 강조색6 3 2 3 3 2 2 2" xfId="9546"/>
    <cellStyle name="20% - 강조색6 3 2 3 3 2 2 3" xfId="9547"/>
    <cellStyle name="20% - 강조색6 3 2 3 3 2 3" xfId="9548"/>
    <cellStyle name="20% - 강조색6 3 2 3 3 2 4" xfId="9549"/>
    <cellStyle name="20% - 강조색6 3 2 3 3 3" xfId="9550"/>
    <cellStyle name="20% - 강조색6 3 2 3 3 3 2" xfId="9551"/>
    <cellStyle name="20% - 강조색6 3 2 3 3 3 3" xfId="9552"/>
    <cellStyle name="20% - 강조색6 3 2 3 3 4" xfId="9553"/>
    <cellStyle name="20% - 강조색6 3 2 3 3 5" xfId="9554"/>
    <cellStyle name="20% - 강조색6 3 2 3 4" xfId="9555"/>
    <cellStyle name="20% - 강조색6 3 2 3 4 2" xfId="9556"/>
    <cellStyle name="20% - 강조색6 3 2 3 4 2 2" xfId="9557"/>
    <cellStyle name="20% - 강조색6 3 2 3 4 2 3" xfId="9558"/>
    <cellStyle name="20% - 강조색6 3 2 3 4 3" xfId="9559"/>
    <cellStyle name="20% - 강조색6 3 2 3 4 4" xfId="9560"/>
    <cellStyle name="20% - 강조색6 3 2 3 5" xfId="9561"/>
    <cellStyle name="20% - 강조색6 3 2 3 5 2" xfId="9562"/>
    <cellStyle name="20% - 강조색6 3 2 3 5 3" xfId="9563"/>
    <cellStyle name="20% - 강조색6 3 2 3 6" xfId="9564"/>
    <cellStyle name="20% - 강조색6 3 2 3 7" xfId="9565"/>
    <cellStyle name="20% - 강조색6 3 2 4" xfId="9566"/>
    <cellStyle name="20% - 강조색6 3 2 4 2" xfId="9567"/>
    <cellStyle name="20% - 강조색6 3 2 4 2 2" xfId="9568"/>
    <cellStyle name="20% - 강조색6 3 2 4 2 2 2" xfId="9569"/>
    <cellStyle name="20% - 강조색6 3 2 4 2 2 3" xfId="9570"/>
    <cellStyle name="20% - 강조색6 3 2 4 2 3" xfId="9571"/>
    <cellStyle name="20% - 강조색6 3 2 4 2 4" xfId="9572"/>
    <cellStyle name="20% - 강조색6 3 2 4 3" xfId="9573"/>
    <cellStyle name="20% - 강조색6 3 2 4 3 2" xfId="9574"/>
    <cellStyle name="20% - 강조색6 3 2 4 3 3" xfId="9575"/>
    <cellStyle name="20% - 강조색6 3 2 4 4" xfId="9576"/>
    <cellStyle name="20% - 강조색6 3 2 4 5" xfId="9577"/>
    <cellStyle name="20% - 강조색6 3 2 5" xfId="9578"/>
    <cellStyle name="20% - 강조색6 3 2 5 2" xfId="9579"/>
    <cellStyle name="20% - 강조색6 3 2 5 2 2" xfId="9580"/>
    <cellStyle name="20% - 강조색6 3 2 5 2 2 2" xfId="9581"/>
    <cellStyle name="20% - 강조색6 3 2 5 2 2 3" xfId="9582"/>
    <cellStyle name="20% - 강조색6 3 2 5 2 3" xfId="9583"/>
    <cellStyle name="20% - 강조색6 3 2 5 2 4" xfId="9584"/>
    <cellStyle name="20% - 강조색6 3 2 5 3" xfId="9585"/>
    <cellStyle name="20% - 강조색6 3 2 5 3 2" xfId="9586"/>
    <cellStyle name="20% - 강조색6 3 2 5 3 3" xfId="9587"/>
    <cellStyle name="20% - 강조색6 3 2 5 4" xfId="9588"/>
    <cellStyle name="20% - 강조색6 3 2 5 5" xfId="9589"/>
    <cellStyle name="20% - 강조색6 3 2 6" xfId="9590"/>
    <cellStyle name="20% - 강조색6 3 2 6 2" xfId="9591"/>
    <cellStyle name="20% - 강조색6 3 2 6 2 2" xfId="9592"/>
    <cellStyle name="20% - 강조색6 3 2 6 2 2 2" xfId="9593"/>
    <cellStyle name="20% - 강조색6 3 2 6 2 2 3" xfId="9594"/>
    <cellStyle name="20% - 강조색6 3 2 6 2 3" xfId="9595"/>
    <cellStyle name="20% - 강조색6 3 2 6 2 4" xfId="9596"/>
    <cellStyle name="20% - 강조색6 3 2 6 3" xfId="9597"/>
    <cellStyle name="20% - 강조색6 3 2 6 3 2" xfId="9598"/>
    <cellStyle name="20% - 강조색6 3 2 6 3 3" xfId="9599"/>
    <cellStyle name="20% - 강조색6 3 2 6 4" xfId="9600"/>
    <cellStyle name="20% - 강조색6 3 2 6 5" xfId="9601"/>
    <cellStyle name="20% - 강조색6 3 2 7" xfId="9602"/>
    <cellStyle name="20% - 강조색6 3 2 7 2" xfId="9603"/>
    <cellStyle name="20% - 강조색6 3 2 7 2 2" xfId="9604"/>
    <cellStyle name="20% - 강조색6 3 2 7 2 3" xfId="9605"/>
    <cellStyle name="20% - 강조색6 3 2 7 3" xfId="9606"/>
    <cellStyle name="20% - 강조색6 3 2 7 4" xfId="9607"/>
    <cellStyle name="20% - 강조색6 3 2 8" xfId="9608"/>
    <cellStyle name="20% - 강조색6 3 2 8 2" xfId="9609"/>
    <cellStyle name="20% - 강조색6 3 2 8 3" xfId="9610"/>
    <cellStyle name="20% - 강조색6 3 2 9" xfId="9611"/>
    <cellStyle name="20% - 강조색6 3 3" xfId="9612"/>
    <cellStyle name="20% - 강조색6 3 3 10" xfId="9613"/>
    <cellStyle name="20% - 강조색6 3 3 11" xfId="9614"/>
    <cellStyle name="20% - 강조색6 3 3 12" xfId="9615"/>
    <cellStyle name="20% - 강조색6 3 3 2" xfId="9616"/>
    <cellStyle name="20% - 강조색6 3 3 2 2" xfId="9617"/>
    <cellStyle name="20% - 강조색6 3 3 2 2 2" xfId="9618"/>
    <cellStyle name="20% - 강조색6 3 3 2 2 2 2" xfId="9619"/>
    <cellStyle name="20% - 강조색6 3 3 2 2 2 2 2" xfId="9620"/>
    <cellStyle name="20% - 강조색6 3 3 2 2 2 2 3" xfId="9621"/>
    <cellStyle name="20% - 강조색6 3 3 2 2 2 3" xfId="9622"/>
    <cellStyle name="20% - 강조색6 3 3 2 2 2 4" xfId="9623"/>
    <cellStyle name="20% - 강조색6 3 3 2 2 3" xfId="9624"/>
    <cellStyle name="20% - 강조색6 3 3 2 2 3 2" xfId="9625"/>
    <cellStyle name="20% - 강조색6 3 3 2 2 3 3" xfId="9626"/>
    <cellStyle name="20% - 강조색6 3 3 2 2 4" xfId="9627"/>
    <cellStyle name="20% - 강조색6 3 3 2 2 5" xfId="9628"/>
    <cellStyle name="20% - 강조색6 3 3 2 3" xfId="9629"/>
    <cellStyle name="20% - 강조색6 3 3 2 3 2" xfId="9630"/>
    <cellStyle name="20% - 강조색6 3 3 2 3 2 2" xfId="9631"/>
    <cellStyle name="20% - 강조색6 3 3 2 3 2 2 2" xfId="9632"/>
    <cellStyle name="20% - 강조색6 3 3 2 3 2 2 3" xfId="9633"/>
    <cellStyle name="20% - 강조색6 3 3 2 3 2 3" xfId="9634"/>
    <cellStyle name="20% - 강조색6 3 3 2 3 2 4" xfId="9635"/>
    <cellStyle name="20% - 강조색6 3 3 2 3 3" xfId="9636"/>
    <cellStyle name="20% - 강조색6 3 3 2 3 3 2" xfId="9637"/>
    <cellStyle name="20% - 강조색6 3 3 2 3 3 3" xfId="9638"/>
    <cellStyle name="20% - 강조색6 3 3 2 3 4" xfId="9639"/>
    <cellStyle name="20% - 강조색6 3 3 2 3 5" xfId="9640"/>
    <cellStyle name="20% - 강조색6 3 3 2 4" xfId="9641"/>
    <cellStyle name="20% - 강조색6 3 3 2 4 2" xfId="9642"/>
    <cellStyle name="20% - 강조색6 3 3 2 4 2 2" xfId="9643"/>
    <cellStyle name="20% - 강조색6 3 3 2 4 2 3" xfId="9644"/>
    <cellStyle name="20% - 강조색6 3 3 2 4 3" xfId="9645"/>
    <cellStyle name="20% - 강조색6 3 3 2 4 4" xfId="9646"/>
    <cellStyle name="20% - 강조색6 3 3 2 5" xfId="9647"/>
    <cellStyle name="20% - 강조색6 3 3 2 5 2" xfId="9648"/>
    <cellStyle name="20% - 강조색6 3 3 2 5 3" xfId="9649"/>
    <cellStyle name="20% - 강조색6 3 3 2 6" xfId="9650"/>
    <cellStyle name="20% - 강조색6 3 3 2 7" xfId="9651"/>
    <cellStyle name="20% - 강조색6 3 3 2 8" xfId="9652"/>
    <cellStyle name="20% - 강조색6 3 3 2 9" xfId="9653"/>
    <cellStyle name="20% - 강조색6 3 3 3" xfId="9654"/>
    <cellStyle name="20% - 강조색6 3 3 3 2" xfId="9655"/>
    <cellStyle name="20% - 강조색6 3 3 3 2 2" xfId="9656"/>
    <cellStyle name="20% - 강조색6 3 3 3 2 2 2" xfId="9657"/>
    <cellStyle name="20% - 강조색6 3 3 3 2 2 2 2" xfId="9658"/>
    <cellStyle name="20% - 강조색6 3 3 3 2 2 2 3" xfId="9659"/>
    <cellStyle name="20% - 강조색6 3 3 3 2 2 3" xfId="9660"/>
    <cellStyle name="20% - 강조색6 3 3 3 2 2 4" xfId="9661"/>
    <cellStyle name="20% - 강조색6 3 3 3 2 3" xfId="9662"/>
    <cellStyle name="20% - 강조색6 3 3 3 2 3 2" xfId="9663"/>
    <cellStyle name="20% - 강조색6 3 3 3 2 3 3" xfId="9664"/>
    <cellStyle name="20% - 강조색6 3 3 3 2 4" xfId="9665"/>
    <cellStyle name="20% - 강조색6 3 3 3 2 5" xfId="9666"/>
    <cellStyle name="20% - 강조색6 3 3 3 3" xfId="9667"/>
    <cellStyle name="20% - 강조색6 3 3 3 3 2" xfId="9668"/>
    <cellStyle name="20% - 강조색6 3 3 3 3 2 2" xfId="9669"/>
    <cellStyle name="20% - 강조색6 3 3 3 3 2 2 2" xfId="9670"/>
    <cellStyle name="20% - 강조색6 3 3 3 3 2 2 3" xfId="9671"/>
    <cellStyle name="20% - 강조색6 3 3 3 3 2 3" xfId="9672"/>
    <cellStyle name="20% - 강조색6 3 3 3 3 2 4" xfId="9673"/>
    <cellStyle name="20% - 강조색6 3 3 3 3 3" xfId="9674"/>
    <cellStyle name="20% - 강조색6 3 3 3 3 3 2" xfId="9675"/>
    <cellStyle name="20% - 강조색6 3 3 3 3 3 3" xfId="9676"/>
    <cellStyle name="20% - 강조색6 3 3 3 3 4" xfId="9677"/>
    <cellStyle name="20% - 강조색6 3 3 3 3 5" xfId="9678"/>
    <cellStyle name="20% - 강조색6 3 3 3 4" xfId="9679"/>
    <cellStyle name="20% - 강조색6 3 3 3 4 2" xfId="9680"/>
    <cellStyle name="20% - 강조색6 3 3 3 4 2 2" xfId="9681"/>
    <cellStyle name="20% - 강조색6 3 3 3 4 2 3" xfId="9682"/>
    <cellStyle name="20% - 강조색6 3 3 3 4 3" xfId="9683"/>
    <cellStyle name="20% - 강조색6 3 3 3 4 4" xfId="9684"/>
    <cellStyle name="20% - 강조색6 3 3 3 5" xfId="9685"/>
    <cellStyle name="20% - 강조색6 3 3 3 5 2" xfId="9686"/>
    <cellStyle name="20% - 강조색6 3 3 3 5 3" xfId="9687"/>
    <cellStyle name="20% - 강조색6 3 3 3 6" xfId="9688"/>
    <cellStyle name="20% - 강조색6 3 3 3 7" xfId="9689"/>
    <cellStyle name="20% - 강조색6 3 3 4" xfId="9690"/>
    <cellStyle name="20% - 강조색6 3 3 4 2" xfId="9691"/>
    <cellStyle name="20% - 강조색6 3 3 4 2 2" xfId="9692"/>
    <cellStyle name="20% - 강조색6 3 3 4 2 2 2" xfId="9693"/>
    <cellStyle name="20% - 강조색6 3 3 4 2 2 3" xfId="9694"/>
    <cellStyle name="20% - 강조색6 3 3 4 2 3" xfId="9695"/>
    <cellStyle name="20% - 강조색6 3 3 4 2 4" xfId="9696"/>
    <cellStyle name="20% - 강조색6 3 3 4 3" xfId="9697"/>
    <cellStyle name="20% - 강조색6 3 3 4 3 2" xfId="9698"/>
    <cellStyle name="20% - 강조색6 3 3 4 3 3" xfId="9699"/>
    <cellStyle name="20% - 강조색6 3 3 4 4" xfId="9700"/>
    <cellStyle name="20% - 강조색6 3 3 4 5" xfId="9701"/>
    <cellStyle name="20% - 강조색6 3 3 5" xfId="9702"/>
    <cellStyle name="20% - 강조색6 3 3 5 2" xfId="9703"/>
    <cellStyle name="20% - 강조색6 3 3 5 2 2" xfId="9704"/>
    <cellStyle name="20% - 강조색6 3 3 5 2 2 2" xfId="9705"/>
    <cellStyle name="20% - 강조색6 3 3 5 2 2 3" xfId="9706"/>
    <cellStyle name="20% - 강조색6 3 3 5 2 3" xfId="9707"/>
    <cellStyle name="20% - 강조색6 3 3 5 2 4" xfId="9708"/>
    <cellStyle name="20% - 강조색6 3 3 5 3" xfId="9709"/>
    <cellStyle name="20% - 강조색6 3 3 5 3 2" xfId="9710"/>
    <cellStyle name="20% - 강조색6 3 3 5 3 3" xfId="9711"/>
    <cellStyle name="20% - 강조색6 3 3 5 4" xfId="9712"/>
    <cellStyle name="20% - 강조색6 3 3 5 5" xfId="9713"/>
    <cellStyle name="20% - 강조색6 3 3 6" xfId="9714"/>
    <cellStyle name="20% - 강조색6 3 3 6 2" xfId="9715"/>
    <cellStyle name="20% - 강조색6 3 3 6 2 2" xfId="9716"/>
    <cellStyle name="20% - 강조색6 3 3 6 2 2 2" xfId="9717"/>
    <cellStyle name="20% - 강조색6 3 3 6 2 2 3" xfId="9718"/>
    <cellStyle name="20% - 강조색6 3 3 6 2 3" xfId="9719"/>
    <cellStyle name="20% - 강조색6 3 3 6 2 4" xfId="9720"/>
    <cellStyle name="20% - 강조색6 3 3 6 3" xfId="9721"/>
    <cellStyle name="20% - 강조색6 3 3 6 3 2" xfId="9722"/>
    <cellStyle name="20% - 강조색6 3 3 6 3 3" xfId="9723"/>
    <cellStyle name="20% - 강조색6 3 3 6 4" xfId="9724"/>
    <cellStyle name="20% - 강조색6 3 3 6 5" xfId="9725"/>
    <cellStyle name="20% - 강조색6 3 3 7" xfId="9726"/>
    <cellStyle name="20% - 강조색6 3 3 7 2" xfId="9727"/>
    <cellStyle name="20% - 강조색6 3 3 7 2 2" xfId="9728"/>
    <cellStyle name="20% - 강조색6 3 3 7 2 3" xfId="9729"/>
    <cellStyle name="20% - 강조색6 3 3 7 3" xfId="9730"/>
    <cellStyle name="20% - 강조색6 3 3 7 4" xfId="9731"/>
    <cellStyle name="20% - 강조색6 3 3 8" xfId="9732"/>
    <cellStyle name="20% - 강조색6 3 3 8 2" xfId="9733"/>
    <cellStyle name="20% - 강조색6 3 3 8 3" xfId="9734"/>
    <cellStyle name="20% - 강조색6 3 3 9" xfId="9735"/>
    <cellStyle name="20% - 강조색6 3 4" xfId="9736"/>
    <cellStyle name="20% - 강조색6 3 4 10" xfId="9737"/>
    <cellStyle name="20% - 강조색6 3 4 11" xfId="9738"/>
    <cellStyle name="20% - 강조색6 3 4 12" xfId="9739"/>
    <cellStyle name="20% - 강조색6 3 4 2" xfId="9740"/>
    <cellStyle name="20% - 강조색6 3 4 2 2" xfId="9741"/>
    <cellStyle name="20% - 강조색6 3 4 2 2 2" xfId="9742"/>
    <cellStyle name="20% - 강조색6 3 4 2 2 2 2" xfId="9743"/>
    <cellStyle name="20% - 강조색6 3 4 2 2 2 2 2" xfId="9744"/>
    <cellStyle name="20% - 강조색6 3 4 2 2 2 2 3" xfId="9745"/>
    <cellStyle name="20% - 강조색6 3 4 2 2 2 3" xfId="9746"/>
    <cellStyle name="20% - 강조색6 3 4 2 2 2 4" xfId="9747"/>
    <cellStyle name="20% - 강조색6 3 4 2 2 3" xfId="9748"/>
    <cellStyle name="20% - 강조색6 3 4 2 2 3 2" xfId="9749"/>
    <cellStyle name="20% - 강조색6 3 4 2 2 3 3" xfId="9750"/>
    <cellStyle name="20% - 강조색6 3 4 2 2 4" xfId="9751"/>
    <cellStyle name="20% - 강조색6 3 4 2 2 5" xfId="9752"/>
    <cellStyle name="20% - 강조색6 3 4 2 3" xfId="9753"/>
    <cellStyle name="20% - 강조색6 3 4 2 3 2" xfId="9754"/>
    <cellStyle name="20% - 강조색6 3 4 2 3 2 2" xfId="9755"/>
    <cellStyle name="20% - 강조색6 3 4 2 3 2 2 2" xfId="9756"/>
    <cellStyle name="20% - 강조색6 3 4 2 3 2 2 3" xfId="9757"/>
    <cellStyle name="20% - 강조색6 3 4 2 3 2 3" xfId="9758"/>
    <cellStyle name="20% - 강조색6 3 4 2 3 2 4" xfId="9759"/>
    <cellStyle name="20% - 강조색6 3 4 2 3 3" xfId="9760"/>
    <cellStyle name="20% - 강조색6 3 4 2 3 3 2" xfId="9761"/>
    <cellStyle name="20% - 강조색6 3 4 2 3 3 3" xfId="9762"/>
    <cellStyle name="20% - 강조색6 3 4 2 3 4" xfId="9763"/>
    <cellStyle name="20% - 강조색6 3 4 2 3 5" xfId="9764"/>
    <cellStyle name="20% - 강조색6 3 4 2 4" xfId="9765"/>
    <cellStyle name="20% - 강조색6 3 4 2 4 2" xfId="9766"/>
    <cellStyle name="20% - 강조색6 3 4 2 4 2 2" xfId="9767"/>
    <cellStyle name="20% - 강조색6 3 4 2 4 2 3" xfId="9768"/>
    <cellStyle name="20% - 강조색6 3 4 2 4 3" xfId="9769"/>
    <cellStyle name="20% - 강조색6 3 4 2 4 4" xfId="9770"/>
    <cellStyle name="20% - 강조색6 3 4 2 5" xfId="9771"/>
    <cellStyle name="20% - 강조색6 3 4 2 5 2" xfId="9772"/>
    <cellStyle name="20% - 강조색6 3 4 2 5 3" xfId="9773"/>
    <cellStyle name="20% - 강조색6 3 4 2 6" xfId="9774"/>
    <cellStyle name="20% - 강조색6 3 4 2 7" xfId="9775"/>
    <cellStyle name="20% - 강조색6 3 4 3" xfId="9776"/>
    <cellStyle name="20% - 강조색6 3 4 3 2" xfId="9777"/>
    <cellStyle name="20% - 강조색6 3 4 3 2 2" xfId="9778"/>
    <cellStyle name="20% - 강조색6 3 4 3 2 2 2" xfId="9779"/>
    <cellStyle name="20% - 강조색6 3 4 3 2 2 2 2" xfId="9780"/>
    <cellStyle name="20% - 강조색6 3 4 3 2 2 2 3" xfId="9781"/>
    <cellStyle name="20% - 강조색6 3 4 3 2 2 3" xfId="9782"/>
    <cellStyle name="20% - 강조색6 3 4 3 2 2 4" xfId="9783"/>
    <cellStyle name="20% - 강조색6 3 4 3 2 3" xfId="9784"/>
    <cellStyle name="20% - 강조색6 3 4 3 2 3 2" xfId="9785"/>
    <cellStyle name="20% - 강조색6 3 4 3 2 3 3" xfId="9786"/>
    <cellStyle name="20% - 강조색6 3 4 3 2 4" xfId="9787"/>
    <cellStyle name="20% - 강조색6 3 4 3 2 5" xfId="9788"/>
    <cellStyle name="20% - 강조색6 3 4 3 3" xfId="9789"/>
    <cellStyle name="20% - 강조색6 3 4 3 3 2" xfId="9790"/>
    <cellStyle name="20% - 강조색6 3 4 3 3 2 2" xfId="9791"/>
    <cellStyle name="20% - 강조색6 3 4 3 3 2 2 2" xfId="9792"/>
    <cellStyle name="20% - 강조색6 3 4 3 3 2 2 3" xfId="9793"/>
    <cellStyle name="20% - 강조색6 3 4 3 3 2 3" xfId="9794"/>
    <cellStyle name="20% - 강조색6 3 4 3 3 2 4" xfId="9795"/>
    <cellStyle name="20% - 강조색6 3 4 3 3 3" xfId="9796"/>
    <cellStyle name="20% - 강조색6 3 4 3 3 3 2" xfId="9797"/>
    <cellStyle name="20% - 강조색6 3 4 3 3 3 3" xfId="9798"/>
    <cellStyle name="20% - 강조색6 3 4 3 3 4" xfId="9799"/>
    <cellStyle name="20% - 강조색6 3 4 3 3 5" xfId="9800"/>
    <cellStyle name="20% - 강조색6 3 4 3 4" xfId="9801"/>
    <cellStyle name="20% - 강조색6 3 4 3 4 2" xfId="9802"/>
    <cellStyle name="20% - 강조색6 3 4 3 4 2 2" xfId="9803"/>
    <cellStyle name="20% - 강조색6 3 4 3 4 2 3" xfId="9804"/>
    <cellStyle name="20% - 강조색6 3 4 3 4 3" xfId="9805"/>
    <cellStyle name="20% - 강조색6 3 4 3 4 4" xfId="9806"/>
    <cellStyle name="20% - 강조색6 3 4 3 5" xfId="9807"/>
    <cellStyle name="20% - 강조색6 3 4 3 5 2" xfId="9808"/>
    <cellStyle name="20% - 강조색6 3 4 3 5 3" xfId="9809"/>
    <cellStyle name="20% - 강조색6 3 4 3 6" xfId="9810"/>
    <cellStyle name="20% - 강조색6 3 4 3 7" xfId="9811"/>
    <cellStyle name="20% - 강조색6 3 4 4" xfId="9812"/>
    <cellStyle name="20% - 강조색6 3 4 4 2" xfId="9813"/>
    <cellStyle name="20% - 강조색6 3 4 4 2 2" xfId="9814"/>
    <cellStyle name="20% - 강조색6 3 4 4 2 2 2" xfId="9815"/>
    <cellStyle name="20% - 강조색6 3 4 4 2 2 3" xfId="9816"/>
    <cellStyle name="20% - 강조색6 3 4 4 2 3" xfId="9817"/>
    <cellStyle name="20% - 강조색6 3 4 4 2 4" xfId="9818"/>
    <cellStyle name="20% - 강조색6 3 4 4 3" xfId="9819"/>
    <cellStyle name="20% - 강조색6 3 4 4 3 2" xfId="9820"/>
    <cellStyle name="20% - 강조색6 3 4 4 3 3" xfId="9821"/>
    <cellStyle name="20% - 강조색6 3 4 4 4" xfId="9822"/>
    <cellStyle name="20% - 강조색6 3 4 4 5" xfId="9823"/>
    <cellStyle name="20% - 강조색6 3 4 5" xfId="9824"/>
    <cellStyle name="20% - 강조색6 3 4 5 2" xfId="9825"/>
    <cellStyle name="20% - 강조색6 3 4 5 2 2" xfId="9826"/>
    <cellStyle name="20% - 강조색6 3 4 5 2 2 2" xfId="9827"/>
    <cellStyle name="20% - 강조색6 3 4 5 2 2 3" xfId="9828"/>
    <cellStyle name="20% - 강조색6 3 4 5 2 3" xfId="9829"/>
    <cellStyle name="20% - 강조색6 3 4 5 2 4" xfId="9830"/>
    <cellStyle name="20% - 강조색6 3 4 5 3" xfId="9831"/>
    <cellStyle name="20% - 강조색6 3 4 5 3 2" xfId="9832"/>
    <cellStyle name="20% - 강조색6 3 4 5 3 3" xfId="9833"/>
    <cellStyle name="20% - 강조색6 3 4 5 4" xfId="9834"/>
    <cellStyle name="20% - 강조색6 3 4 5 5" xfId="9835"/>
    <cellStyle name="20% - 강조색6 3 4 6" xfId="9836"/>
    <cellStyle name="20% - 강조색6 3 4 6 2" xfId="9837"/>
    <cellStyle name="20% - 강조색6 3 4 6 2 2" xfId="9838"/>
    <cellStyle name="20% - 강조색6 3 4 6 2 2 2" xfId="9839"/>
    <cellStyle name="20% - 강조색6 3 4 6 2 2 3" xfId="9840"/>
    <cellStyle name="20% - 강조색6 3 4 6 2 3" xfId="9841"/>
    <cellStyle name="20% - 강조색6 3 4 6 2 4" xfId="9842"/>
    <cellStyle name="20% - 강조색6 3 4 6 3" xfId="9843"/>
    <cellStyle name="20% - 강조색6 3 4 6 3 2" xfId="9844"/>
    <cellStyle name="20% - 강조색6 3 4 6 3 3" xfId="9845"/>
    <cellStyle name="20% - 강조색6 3 4 6 4" xfId="9846"/>
    <cellStyle name="20% - 강조색6 3 4 6 5" xfId="9847"/>
    <cellStyle name="20% - 강조색6 3 4 7" xfId="9848"/>
    <cellStyle name="20% - 강조색6 3 4 7 2" xfId="9849"/>
    <cellStyle name="20% - 강조색6 3 4 7 2 2" xfId="9850"/>
    <cellStyle name="20% - 강조색6 3 4 7 2 3" xfId="9851"/>
    <cellStyle name="20% - 강조색6 3 4 7 3" xfId="9852"/>
    <cellStyle name="20% - 강조색6 3 4 7 4" xfId="9853"/>
    <cellStyle name="20% - 강조색6 3 4 8" xfId="9854"/>
    <cellStyle name="20% - 강조색6 3 4 8 2" xfId="9855"/>
    <cellStyle name="20% - 강조색6 3 4 8 3" xfId="9856"/>
    <cellStyle name="20% - 강조색6 3 4 9" xfId="9857"/>
    <cellStyle name="20% - 강조색6 3 5" xfId="9858"/>
    <cellStyle name="20% - 강조색6 3 5 2" xfId="9859"/>
    <cellStyle name="20% - 강조색6 3 5 2 2" xfId="9860"/>
    <cellStyle name="20% - 강조색6 3 5 2 2 2" xfId="9861"/>
    <cellStyle name="20% - 강조색6 3 5 2 2 2 2" xfId="9862"/>
    <cellStyle name="20% - 강조색6 3 5 2 2 2 3" xfId="9863"/>
    <cellStyle name="20% - 강조색6 3 5 2 2 3" xfId="9864"/>
    <cellStyle name="20% - 강조색6 3 5 2 2 4" xfId="9865"/>
    <cellStyle name="20% - 강조색6 3 5 2 3" xfId="9866"/>
    <cellStyle name="20% - 강조색6 3 5 2 3 2" xfId="9867"/>
    <cellStyle name="20% - 강조색6 3 5 2 3 3" xfId="9868"/>
    <cellStyle name="20% - 강조색6 3 5 2 4" xfId="9869"/>
    <cellStyle name="20% - 강조색6 3 5 2 5" xfId="9870"/>
    <cellStyle name="20% - 강조색6 3 5 3" xfId="9871"/>
    <cellStyle name="20% - 강조색6 3 5 3 2" xfId="9872"/>
    <cellStyle name="20% - 강조색6 3 5 3 2 2" xfId="9873"/>
    <cellStyle name="20% - 강조색6 3 5 3 2 2 2" xfId="9874"/>
    <cellStyle name="20% - 강조색6 3 5 3 2 2 3" xfId="9875"/>
    <cellStyle name="20% - 강조색6 3 5 3 2 3" xfId="9876"/>
    <cellStyle name="20% - 강조색6 3 5 3 2 4" xfId="9877"/>
    <cellStyle name="20% - 강조색6 3 5 3 3" xfId="9878"/>
    <cellStyle name="20% - 강조색6 3 5 3 3 2" xfId="9879"/>
    <cellStyle name="20% - 강조색6 3 5 3 3 3" xfId="9880"/>
    <cellStyle name="20% - 강조색6 3 5 3 4" xfId="9881"/>
    <cellStyle name="20% - 강조색6 3 5 3 5" xfId="9882"/>
    <cellStyle name="20% - 강조색6 3 5 4" xfId="9883"/>
    <cellStyle name="20% - 강조색6 3 5 4 2" xfId="9884"/>
    <cellStyle name="20% - 강조색6 3 5 4 2 2" xfId="9885"/>
    <cellStyle name="20% - 강조색6 3 5 4 2 3" xfId="9886"/>
    <cellStyle name="20% - 강조색6 3 5 4 3" xfId="9887"/>
    <cellStyle name="20% - 강조색6 3 5 4 4" xfId="9888"/>
    <cellStyle name="20% - 강조색6 3 5 5" xfId="9889"/>
    <cellStyle name="20% - 강조색6 3 5 5 2" xfId="9890"/>
    <cellStyle name="20% - 강조색6 3 5 5 3" xfId="9891"/>
    <cellStyle name="20% - 강조색6 3 5 6" xfId="9892"/>
    <cellStyle name="20% - 강조색6 3 5 7" xfId="9893"/>
    <cellStyle name="20% - 강조색6 3 5 8" xfId="9894"/>
    <cellStyle name="20% - 강조색6 3 6" xfId="9895"/>
    <cellStyle name="20% - 강조색6 3 6 2" xfId="9896"/>
    <cellStyle name="20% - 강조색6 3 6 2 2" xfId="9897"/>
    <cellStyle name="20% - 강조색6 3 6 2 2 2" xfId="9898"/>
    <cellStyle name="20% - 강조색6 3 6 2 2 2 2" xfId="9899"/>
    <cellStyle name="20% - 강조색6 3 6 2 2 2 3" xfId="9900"/>
    <cellStyle name="20% - 강조색6 3 6 2 2 3" xfId="9901"/>
    <cellStyle name="20% - 강조색6 3 6 2 2 4" xfId="9902"/>
    <cellStyle name="20% - 강조색6 3 6 2 3" xfId="9903"/>
    <cellStyle name="20% - 강조색6 3 6 2 3 2" xfId="9904"/>
    <cellStyle name="20% - 강조색6 3 6 2 3 3" xfId="9905"/>
    <cellStyle name="20% - 강조색6 3 6 2 4" xfId="9906"/>
    <cellStyle name="20% - 강조색6 3 6 2 5" xfId="9907"/>
    <cellStyle name="20% - 강조색6 3 6 3" xfId="9908"/>
    <cellStyle name="20% - 강조색6 3 6 3 2" xfId="9909"/>
    <cellStyle name="20% - 강조색6 3 6 3 2 2" xfId="9910"/>
    <cellStyle name="20% - 강조색6 3 6 3 2 2 2" xfId="9911"/>
    <cellStyle name="20% - 강조색6 3 6 3 2 2 3" xfId="9912"/>
    <cellStyle name="20% - 강조색6 3 6 3 2 3" xfId="9913"/>
    <cellStyle name="20% - 강조색6 3 6 3 2 4" xfId="9914"/>
    <cellStyle name="20% - 강조색6 3 6 3 3" xfId="9915"/>
    <cellStyle name="20% - 강조색6 3 6 3 3 2" xfId="9916"/>
    <cellStyle name="20% - 강조색6 3 6 3 3 3" xfId="9917"/>
    <cellStyle name="20% - 강조색6 3 6 3 4" xfId="9918"/>
    <cellStyle name="20% - 강조색6 3 6 3 5" xfId="9919"/>
    <cellStyle name="20% - 강조색6 3 6 4" xfId="9920"/>
    <cellStyle name="20% - 강조색6 3 6 4 2" xfId="9921"/>
    <cellStyle name="20% - 강조색6 3 6 4 2 2" xfId="9922"/>
    <cellStyle name="20% - 강조색6 3 6 4 2 3" xfId="9923"/>
    <cellStyle name="20% - 강조색6 3 6 4 3" xfId="9924"/>
    <cellStyle name="20% - 강조색6 3 6 4 4" xfId="9925"/>
    <cellStyle name="20% - 강조색6 3 6 5" xfId="9926"/>
    <cellStyle name="20% - 강조색6 3 6 5 2" xfId="9927"/>
    <cellStyle name="20% - 강조색6 3 6 5 3" xfId="9928"/>
    <cellStyle name="20% - 강조색6 3 6 6" xfId="9929"/>
    <cellStyle name="20% - 강조색6 3 6 7" xfId="9930"/>
    <cellStyle name="20% - 강조색6 3 7" xfId="9931"/>
    <cellStyle name="20% - 강조색6 3 7 2" xfId="9932"/>
    <cellStyle name="20% - 강조색6 3 7 2 2" xfId="9933"/>
    <cellStyle name="20% - 강조색6 3 7 2 2 2" xfId="9934"/>
    <cellStyle name="20% - 강조색6 3 7 2 2 3" xfId="9935"/>
    <cellStyle name="20% - 강조색6 3 7 2 3" xfId="9936"/>
    <cellStyle name="20% - 강조색6 3 7 2 4" xfId="9937"/>
    <cellStyle name="20% - 강조색6 3 7 3" xfId="9938"/>
    <cellStyle name="20% - 강조색6 3 7 3 2" xfId="9939"/>
    <cellStyle name="20% - 강조색6 3 7 3 3" xfId="9940"/>
    <cellStyle name="20% - 강조색6 3 7 4" xfId="9941"/>
    <cellStyle name="20% - 강조색6 3 7 5" xfId="9942"/>
    <cellStyle name="20% - 강조색6 3 8" xfId="9943"/>
    <cellStyle name="20% - 강조색6 3 8 2" xfId="9944"/>
    <cellStyle name="20% - 강조색6 3 8 2 2" xfId="9945"/>
    <cellStyle name="20% - 강조색6 3 8 2 2 2" xfId="9946"/>
    <cellStyle name="20% - 강조색6 3 8 2 2 3" xfId="9947"/>
    <cellStyle name="20% - 강조색6 3 8 2 3" xfId="9948"/>
    <cellStyle name="20% - 강조색6 3 8 2 4" xfId="9949"/>
    <cellStyle name="20% - 강조색6 3 8 3" xfId="9950"/>
    <cellStyle name="20% - 강조색6 3 8 3 2" xfId="9951"/>
    <cellStyle name="20% - 강조색6 3 8 3 3" xfId="9952"/>
    <cellStyle name="20% - 강조색6 3 8 4" xfId="9953"/>
    <cellStyle name="20% - 강조색6 3 8 5" xfId="9954"/>
    <cellStyle name="20% - 강조색6 3 9" xfId="9955"/>
    <cellStyle name="20% - 강조색6 3 9 2" xfId="9956"/>
    <cellStyle name="20% - 강조색6 3 9 2 2" xfId="9957"/>
    <cellStyle name="20% - 강조색6 3 9 2 2 2" xfId="9958"/>
    <cellStyle name="20% - 강조색6 3 9 2 2 3" xfId="9959"/>
    <cellStyle name="20% - 강조색6 3 9 2 3" xfId="9960"/>
    <cellStyle name="20% - 강조색6 3 9 2 4" xfId="9961"/>
    <cellStyle name="20% - 강조색6 3 9 3" xfId="9962"/>
    <cellStyle name="20% - 강조색6 3 9 3 2" xfId="9963"/>
    <cellStyle name="20% - 강조색6 3 9 3 3" xfId="9964"/>
    <cellStyle name="20% - 강조색6 3 9 4" xfId="9965"/>
    <cellStyle name="20% - 강조색6 3 9 5" xfId="9966"/>
    <cellStyle name="20% - 강조색6 30" xfId="9967"/>
    <cellStyle name="20% - 강조색6 30 2" xfId="9968"/>
    <cellStyle name="20% - 강조색6 31" xfId="9969"/>
    <cellStyle name="20% - 강조색6 31 2" xfId="9970"/>
    <cellStyle name="20% - 강조색6 32" xfId="9971"/>
    <cellStyle name="20% - 강조색6 32 2" xfId="9972"/>
    <cellStyle name="20% - 강조색6 33" xfId="9973"/>
    <cellStyle name="20% - 강조색6 33 2" xfId="9974"/>
    <cellStyle name="20% - 강조색6 34" xfId="9975"/>
    <cellStyle name="20% - 강조색6 34 2" xfId="9976"/>
    <cellStyle name="20% - 강조색6 35" xfId="9977"/>
    <cellStyle name="20% - 강조색6 36" xfId="9978"/>
    <cellStyle name="20% - 강조색6 37" xfId="9979"/>
    <cellStyle name="20% - 강조색6 38" xfId="9980"/>
    <cellStyle name="20% - 강조색6 39" xfId="9981"/>
    <cellStyle name="20% - 강조색6 4" xfId="9982"/>
    <cellStyle name="20% - 강조색6 4 10" xfId="9983"/>
    <cellStyle name="20% - 강조색6 4 10 2" xfId="9984"/>
    <cellStyle name="20% - 강조색6 4 10 2 2" xfId="9985"/>
    <cellStyle name="20% - 강조색6 4 10 2 3" xfId="9986"/>
    <cellStyle name="20% - 강조색6 4 10 3" xfId="9987"/>
    <cellStyle name="20% - 강조색6 4 10 4" xfId="9988"/>
    <cellStyle name="20% - 강조색6 4 11" xfId="9989"/>
    <cellStyle name="20% - 강조색6 4 11 2" xfId="9990"/>
    <cellStyle name="20% - 강조색6 4 11 3" xfId="9991"/>
    <cellStyle name="20% - 강조색6 4 12" xfId="9992"/>
    <cellStyle name="20% - 강조색6 4 13" xfId="9993"/>
    <cellStyle name="20% - 강조색6 4 14" xfId="9994"/>
    <cellStyle name="20% - 강조색6 4 2" xfId="9995"/>
    <cellStyle name="20% - 강조색6 4 2 10" xfId="9996"/>
    <cellStyle name="20% - 강조색6 4 2 2" xfId="9997"/>
    <cellStyle name="20% - 강조색6 4 2 2 2" xfId="9998"/>
    <cellStyle name="20% - 강조색6 4 2 2 2 2" xfId="9999"/>
    <cellStyle name="20% - 강조색6 4 2 2 2 2 2" xfId="10000"/>
    <cellStyle name="20% - 강조색6 4 2 2 2 2 2 2" xfId="10001"/>
    <cellStyle name="20% - 강조색6 4 2 2 2 2 2 3" xfId="10002"/>
    <cellStyle name="20% - 강조색6 4 2 2 2 2 3" xfId="10003"/>
    <cellStyle name="20% - 강조색6 4 2 2 2 2 4" xfId="10004"/>
    <cellStyle name="20% - 강조색6 4 2 2 2 3" xfId="10005"/>
    <cellStyle name="20% - 강조색6 4 2 2 2 3 2" xfId="10006"/>
    <cellStyle name="20% - 강조색6 4 2 2 2 3 3" xfId="10007"/>
    <cellStyle name="20% - 강조색6 4 2 2 2 4" xfId="10008"/>
    <cellStyle name="20% - 강조색6 4 2 2 2 5" xfId="10009"/>
    <cellStyle name="20% - 강조색6 4 2 2 3" xfId="10010"/>
    <cellStyle name="20% - 강조색6 4 2 2 3 2" xfId="10011"/>
    <cellStyle name="20% - 강조색6 4 2 2 3 2 2" xfId="10012"/>
    <cellStyle name="20% - 강조색6 4 2 2 3 2 2 2" xfId="10013"/>
    <cellStyle name="20% - 강조색6 4 2 2 3 2 2 3" xfId="10014"/>
    <cellStyle name="20% - 강조색6 4 2 2 3 2 3" xfId="10015"/>
    <cellStyle name="20% - 강조색6 4 2 2 3 2 4" xfId="10016"/>
    <cellStyle name="20% - 강조색6 4 2 2 3 3" xfId="10017"/>
    <cellStyle name="20% - 강조색6 4 2 2 3 3 2" xfId="10018"/>
    <cellStyle name="20% - 강조색6 4 2 2 3 3 3" xfId="10019"/>
    <cellStyle name="20% - 강조색6 4 2 2 3 4" xfId="10020"/>
    <cellStyle name="20% - 강조색6 4 2 2 3 5" xfId="10021"/>
    <cellStyle name="20% - 강조색6 4 2 2 4" xfId="10022"/>
    <cellStyle name="20% - 강조색6 4 2 2 4 2" xfId="10023"/>
    <cellStyle name="20% - 강조색6 4 2 2 4 2 2" xfId="10024"/>
    <cellStyle name="20% - 강조색6 4 2 2 4 2 3" xfId="10025"/>
    <cellStyle name="20% - 강조색6 4 2 2 4 3" xfId="10026"/>
    <cellStyle name="20% - 강조색6 4 2 2 4 4" xfId="10027"/>
    <cellStyle name="20% - 강조색6 4 2 2 5" xfId="10028"/>
    <cellStyle name="20% - 강조색6 4 2 2 5 2" xfId="10029"/>
    <cellStyle name="20% - 강조색6 4 2 2 5 3" xfId="10030"/>
    <cellStyle name="20% - 강조색6 4 2 2 6" xfId="10031"/>
    <cellStyle name="20% - 강조색6 4 2 2 7" xfId="10032"/>
    <cellStyle name="20% - 강조색6 4 2 3" xfId="10033"/>
    <cellStyle name="20% - 강조색6 4 2 3 2" xfId="10034"/>
    <cellStyle name="20% - 강조색6 4 2 3 2 2" xfId="10035"/>
    <cellStyle name="20% - 강조색6 4 2 3 2 2 2" xfId="10036"/>
    <cellStyle name="20% - 강조색6 4 2 3 2 2 2 2" xfId="10037"/>
    <cellStyle name="20% - 강조색6 4 2 3 2 2 2 3" xfId="10038"/>
    <cellStyle name="20% - 강조색6 4 2 3 2 2 3" xfId="10039"/>
    <cellStyle name="20% - 강조색6 4 2 3 2 2 4" xfId="10040"/>
    <cellStyle name="20% - 강조색6 4 2 3 2 3" xfId="10041"/>
    <cellStyle name="20% - 강조색6 4 2 3 2 3 2" xfId="10042"/>
    <cellStyle name="20% - 강조색6 4 2 3 2 3 3" xfId="10043"/>
    <cellStyle name="20% - 강조색6 4 2 3 2 4" xfId="10044"/>
    <cellStyle name="20% - 강조색6 4 2 3 2 5" xfId="10045"/>
    <cellStyle name="20% - 강조색6 4 2 3 3" xfId="10046"/>
    <cellStyle name="20% - 강조색6 4 2 3 3 2" xfId="10047"/>
    <cellStyle name="20% - 강조색6 4 2 3 3 2 2" xfId="10048"/>
    <cellStyle name="20% - 강조색6 4 2 3 3 2 2 2" xfId="10049"/>
    <cellStyle name="20% - 강조색6 4 2 3 3 2 2 3" xfId="10050"/>
    <cellStyle name="20% - 강조색6 4 2 3 3 2 3" xfId="10051"/>
    <cellStyle name="20% - 강조색6 4 2 3 3 2 4" xfId="10052"/>
    <cellStyle name="20% - 강조색6 4 2 3 3 3" xfId="10053"/>
    <cellStyle name="20% - 강조색6 4 2 3 3 3 2" xfId="10054"/>
    <cellStyle name="20% - 강조색6 4 2 3 3 3 3" xfId="10055"/>
    <cellStyle name="20% - 강조색6 4 2 3 3 4" xfId="10056"/>
    <cellStyle name="20% - 강조색6 4 2 3 3 5" xfId="10057"/>
    <cellStyle name="20% - 강조색6 4 2 3 4" xfId="10058"/>
    <cellStyle name="20% - 강조색6 4 2 3 4 2" xfId="10059"/>
    <cellStyle name="20% - 강조색6 4 2 3 4 2 2" xfId="10060"/>
    <cellStyle name="20% - 강조색6 4 2 3 4 2 3" xfId="10061"/>
    <cellStyle name="20% - 강조색6 4 2 3 4 3" xfId="10062"/>
    <cellStyle name="20% - 강조색6 4 2 3 4 4" xfId="10063"/>
    <cellStyle name="20% - 강조색6 4 2 3 5" xfId="10064"/>
    <cellStyle name="20% - 강조색6 4 2 3 5 2" xfId="10065"/>
    <cellStyle name="20% - 강조색6 4 2 3 5 3" xfId="10066"/>
    <cellStyle name="20% - 강조색6 4 2 3 6" xfId="10067"/>
    <cellStyle name="20% - 강조색6 4 2 3 7" xfId="10068"/>
    <cellStyle name="20% - 강조색6 4 2 4" xfId="10069"/>
    <cellStyle name="20% - 강조색6 4 2 4 2" xfId="10070"/>
    <cellStyle name="20% - 강조색6 4 2 4 2 2" xfId="10071"/>
    <cellStyle name="20% - 강조색6 4 2 4 2 2 2" xfId="10072"/>
    <cellStyle name="20% - 강조색6 4 2 4 2 2 3" xfId="10073"/>
    <cellStyle name="20% - 강조색6 4 2 4 2 3" xfId="10074"/>
    <cellStyle name="20% - 강조색6 4 2 4 2 4" xfId="10075"/>
    <cellStyle name="20% - 강조색6 4 2 4 3" xfId="10076"/>
    <cellStyle name="20% - 강조색6 4 2 4 3 2" xfId="10077"/>
    <cellStyle name="20% - 강조색6 4 2 4 3 3" xfId="10078"/>
    <cellStyle name="20% - 강조색6 4 2 4 4" xfId="10079"/>
    <cellStyle name="20% - 강조색6 4 2 4 5" xfId="10080"/>
    <cellStyle name="20% - 강조색6 4 2 5" xfId="10081"/>
    <cellStyle name="20% - 강조색6 4 2 5 2" xfId="10082"/>
    <cellStyle name="20% - 강조색6 4 2 5 2 2" xfId="10083"/>
    <cellStyle name="20% - 강조색6 4 2 5 2 2 2" xfId="10084"/>
    <cellStyle name="20% - 강조색6 4 2 5 2 2 3" xfId="10085"/>
    <cellStyle name="20% - 강조색6 4 2 5 2 3" xfId="10086"/>
    <cellStyle name="20% - 강조색6 4 2 5 2 4" xfId="10087"/>
    <cellStyle name="20% - 강조색6 4 2 5 3" xfId="10088"/>
    <cellStyle name="20% - 강조색6 4 2 5 3 2" xfId="10089"/>
    <cellStyle name="20% - 강조색6 4 2 5 3 3" xfId="10090"/>
    <cellStyle name="20% - 강조색6 4 2 5 4" xfId="10091"/>
    <cellStyle name="20% - 강조색6 4 2 5 5" xfId="10092"/>
    <cellStyle name="20% - 강조색6 4 2 6" xfId="10093"/>
    <cellStyle name="20% - 강조색6 4 2 6 2" xfId="10094"/>
    <cellStyle name="20% - 강조색6 4 2 6 2 2" xfId="10095"/>
    <cellStyle name="20% - 강조색6 4 2 6 2 2 2" xfId="10096"/>
    <cellStyle name="20% - 강조색6 4 2 6 2 2 3" xfId="10097"/>
    <cellStyle name="20% - 강조색6 4 2 6 2 3" xfId="10098"/>
    <cellStyle name="20% - 강조색6 4 2 6 2 4" xfId="10099"/>
    <cellStyle name="20% - 강조색6 4 2 6 3" xfId="10100"/>
    <cellStyle name="20% - 강조색6 4 2 6 3 2" xfId="10101"/>
    <cellStyle name="20% - 강조색6 4 2 6 3 3" xfId="10102"/>
    <cellStyle name="20% - 강조색6 4 2 6 4" xfId="10103"/>
    <cellStyle name="20% - 강조색6 4 2 6 5" xfId="10104"/>
    <cellStyle name="20% - 강조색6 4 2 7" xfId="10105"/>
    <cellStyle name="20% - 강조색6 4 2 7 2" xfId="10106"/>
    <cellStyle name="20% - 강조색6 4 2 7 2 2" xfId="10107"/>
    <cellStyle name="20% - 강조색6 4 2 7 2 3" xfId="10108"/>
    <cellStyle name="20% - 강조색6 4 2 7 3" xfId="10109"/>
    <cellStyle name="20% - 강조색6 4 2 7 4" xfId="10110"/>
    <cellStyle name="20% - 강조색6 4 2 8" xfId="10111"/>
    <cellStyle name="20% - 강조색6 4 2 8 2" xfId="10112"/>
    <cellStyle name="20% - 강조색6 4 2 8 3" xfId="10113"/>
    <cellStyle name="20% - 강조색6 4 2 9" xfId="10114"/>
    <cellStyle name="20% - 강조색6 4 3" xfId="10115"/>
    <cellStyle name="20% - 강조색6 4 3 10" xfId="10116"/>
    <cellStyle name="20% - 강조색6 4 3 2" xfId="10117"/>
    <cellStyle name="20% - 강조색6 4 3 2 2" xfId="10118"/>
    <cellStyle name="20% - 강조색6 4 3 2 2 2" xfId="10119"/>
    <cellStyle name="20% - 강조색6 4 3 2 2 2 2" xfId="10120"/>
    <cellStyle name="20% - 강조색6 4 3 2 2 2 2 2" xfId="10121"/>
    <cellStyle name="20% - 강조색6 4 3 2 2 2 2 3" xfId="10122"/>
    <cellStyle name="20% - 강조색6 4 3 2 2 2 3" xfId="10123"/>
    <cellStyle name="20% - 강조색6 4 3 2 2 2 4" xfId="10124"/>
    <cellStyle name="20% - 강조색6 4 3 2 2 3" xfId="10125"/>
    <cellStyle name="20% - 강조색6 4 3 2 2 3 2" xfId="10126"/>
    <cellStyle name="20% - 강조색6 4 3 2 2 3 3" xfId="10127"/>
    <cellStyle name="20% - 강조색6 4 3 2 2 4" xfId="10128"/>
    <cellStyle name="20% - 강조색6 4 3 2 2 5" xfId="10129"/>
    <cellStyle name="20% - 강조색6 4 3 2 3" xfId="10130"/>
    <cellStyle name="20% - 강조색6 4 3 2 3 2" xfId="10131"/>
    <cellStyle name="20% - 강조색6 4 3 2 3 2 2" xfId="10132"/>
    <cellStyle name="20% - 강조색6 4 3 2 3 2 2 2" xfId="10133"/>
    <cellStyle name="20% - 강조색6 4 3 2 3 2 2 3" xfId="10134"/>
    <cellStyle name="20% - 강조색6 4 3 2 3 2 3" xfId="10135"/>
    <cellStyle name="20% - 강조색6 4 3 2 3 2 4" xfId="10136"/>
    <cellStyle name="20% - 강조색6 4 3 2 3 3" xfId="10137"/>
    <cellStyle name="20% - 강조색6 4 3 2 3 3 2" xfId="10138"/>
    <cellStyle name="20% - 강조색6 4 3 2 3 3 3" xfId="10139"/>
    <cellStyle name="20% - 강조색6 4 3 2 3 4" xfId="10140"/>
    <cellStyle name="20% - 강조색6 4 3 2 3 5" xfId="10141"/>
    <cellStyle name="20% - 강조색6 4 3 2 4" xfId="10142"/>
    <cellStyle name="20% - 강조색6 4 3 2 4 2" xfId="10143"/>
    <cellStyle name="20% - 강조색6 4 3 2 4 2 2" xfId="10144"/>
    <cellStyle name="20% - 강조색6 4 3 2 4 2 3" xfId="10145"/>
    <cellStyle name="20% - 강조색6 4 3 2 4 3" xfId="10146"/>
    <cellStyle name="20% - 강조색6 4 3 2 4 4" xfId="10147"/>
    <cellStyle name="20% - 강조색6 4 3 2 5" xfId="10148"/>
    <cellStyle name="20% - 강조색6 4 3 2 5 2" xfId="10149"/>
    <cellStyle name="20% - 강조색6 4 3 2 5 3" xfId="10150"/>
    <cellStyle name="20% - 강조색6 4 3 2 6" xfId="10151"/>
    <cellStyle name="20% - 강조색6 4 3 2 7" xfId="10152"/>
    <cellStyle name="20% - 강조색6 4 3 3" xfId="10153"/>
    <cellStyle name="20% - 강조색6 4 3 3 2" xfId="10154"/>
    <cellStyle name="20% - 강조색6 4 3 3 2 2" xfId="10155"/>
    <cellStyle name="20% - 강조색6 4 3 3 2 2 2" xfId="10156"/>
    <cellStyle name="20% - 강조색6 4 3 3 2 2 2 2" xfId="10157"/>
    <cellStyle name="20% - 강조색6 4 3 3 2 2 2 3" xfId="10158"/>
    <cellStyle name="20% - 강조색6 4 3 3 2 2 3" xfId="10159"/>
    <cellStyle name="20% - 강조색6 4 3 3 2 2 4" xfId="10160"/>
    <cellStyle name="20% - 강조색6 4 3 3 2 3" xfId="10161"/>
    <cellStyle name="20% - 강조색6 4 3 3 2 3 2" xfId="10162"/>
    <cellStyle name="20% - 강조색6 4 3 3 2 3 3" xfId="10163"/>
    <cellStyle name="20% - 강조색6 4 3 3 2 4" xfId="10164"/>
    <cellStyle name="20% - 강조색6 4 3 3 2 5" xfId="10165"/>
    <cellStyle name="20% - 강조색6 4 3 3 3" xfId="10166"/>
    <cellStyle name="20% - 강조색6 4 3 3 3 2" xfId="10167"/>
    <cellStyle name="20% - 강조색6 4 3 3 3 2 2" xfId="10168"/>
    <cellStyle name="20% - 강조색6 4 3 3 3 2 2 2" xfId="10169"/>
    <cellStyle name="20% - 강조색6 4 3 3 3 2 2 3" xfId="10170"/>
    <cellStyle name="20% - 강조색6 4 3 3 3 2 3" xfId="10171"/>
    <cellStyle name="20% - 강조색6 4 3 3 3 2 4" xfId="10172"/>
    <cellStyle name="20% - 강조색6 4 3 3 3 3" xfId="10173"/>
    <cellStyle name="20% - 강조색6 4 3 3 3 3 2" xfId="10174"/>
    <cellStyle name="20% - 강조색6 4 3 3 3 3 3" xfId="10175"/>
    <cellStyle name="20% - 강조색6 4 3 3 3 4" xfId="10176"/>
    <cellStyle name="20% - 강조색6 4 3 3 3 5" xfId="10177"/>
    <cellStyle name="20% - 강조색6 4 3 3 4" xfId="10178"/>
    <cellStyle name="20% - 강조색6 4 3 3 4 2" xfId="10179"/>
    <cellStyle name="20% - 강조색6 4 3 3 4 2 2" xfId="10180"/>
    <cellStyle name="20% - 강조색6 4 3 3 4 2 3" xfId="10181"/>
    <cellStyle name="20% - 강조색6 4 3 3 4 3" xfId="10182"/>
    <cellStyle name="20% - 강조색6 4 3 3 4 4" xfId="10183"/>
    <cellStyle name="20% - 강조색6 4 3 3 5" xfId="10184"/>
    <cellStyle name="20% - 강조색6 4 3 3 5 2" xfId="10185"/>
    <cellStyle name="20% - 강조색6 4 3 3 5 3" xfId="10186"/>
    <cellStyle name="20% - 강조색6 4 3 3 6" xfId="10187"/>
    <cellStyle name="20% - 강조색6 4 3 3 7" xfId="10188"/>
    <cellStyle name="20% - 강조색6 4 3 4" xfId="10189"/>
    <cellStyle name="20% - 강조색6 4 3 4 2" xfId="10190"/>
    <cellStyle name="20% - 강조색6 4 3 4 2 2" xfId="10191"/>
    <cellStyle name="20% - 강조색6 4 3 4 2 2 2" xfId="10192"/>
    <cellStyle name="20% - 강조색6 4 3 4 2 2 3" xfId="10193"/>
    <cellStyle name="20% - 강조색6 4 3 4 2 3" xfId="10194"/>
    <cellStyle name="20% - 강조색6 4 3 4 2 4" xfId="10195"/>
    <cellStyle name="20% - 강조색6 4 3 4 3" xfId="10196"/>
    <cellStyle name="20% - 강조색6 4 3 4 3 2" xfId="10197"/>
    <cellStyle name="20% - 강조색6 4 3 4 3 3" xfId="10198"/>
    <cellStyle name="20% - 강조색6 4 3 4 4" xfId="10199"/>
    <cellStyle name="20% - 강조색6 4 3 4 5" xfId="10200"/>
    <cellStyle name="20% - 강조색6 4 3 5" xfId="10201"/>
    <cellStyle name="20% - 강조색6 4 3 5 2" xfId="10202"/>
    <cellStyle name="20% - 강조색6 4 3 5 2 2" xfId="10203"/>
    <cellStyle name="20% - 강조색6 4 3 5 2 2 2" xfId="10204"/>
    <cellStyle name="20% - 강조색6 4 3 5 2 2 3" xfId="10205"/>
    <cellStyle name="20% - 강조색6 4 3 5 2 3" xfId="10206"/>
    <cellStyle name="20% - 강조색6 4 3 5 2 4" xfId="10207"/>
    <cellStyle name="20% - 강조색6 4 3 5 3" xfId="10208"/>
    <cellStyle name="20% - 강조색6 4 3 5 3 2" xfId="10209"/>
    <cellStyle name="20% - 강조색6 4 3 5 3 3" xfId="10210"/>
    <cellStyle name="20% - 강조색6 4 3 5 4" xfId="10211"/>
    <cellStyle name="20% - 강조색6 4 3 5 5" xfId="10212"/>
    <cellStyle name="20% - 강조색6 4 3 6" xfId="10213"/>
    <cellStyle name="20% - 강조색6 4 3 6 2" xfId="10214"/>
    <cellStyle name="20% - 강조색6 4 3 6 2 2" xfId="10215"/>
    <cellStyle name="20% - 강조색6 4 3 6 2 2 2" xfId="10216"/>
    <cellStyle name="20% - 강조색6 4 3 6 2 2 3" xfId="10217"/>
    <cellStyle name="20% - 강조색6 4 3 6 2 3" xfId="10218"/>
    <cellStyle name="20% - 강조색6 4 3 6 2 4" xfId="10219"/>
    <cellStyle name="20% - 강조색6 4 3 6 3" xfId="10220"/>
    <cellStyle name="20% - 강조색6 4 3 6 3 2" xfId="10221"/>
    <cellStyle name="20% - 강조색6 4 3 6 3 3" xfId="10222"/>
    <cellStyle name="20% - 강조색6 4 3 6 4" xfId="10223"/>
    <cellStyle name="20% - 강조색6 4 3 6 5" xfId="10224"/>
    <cellStyle name="20% - 강조색6 4 3 7" xfId="10225"/>
    <cellStyle name="20% - 강조색6 4 3 7 2" xfId="10226"/>
    <cellStyle name="20% - 강조색6 4 3 7 2 2" xfId="10227"/>
    <cellStyle name="20% - 강조색6 4 3 7 2 3" xfId="10228"/>
    <cellStyle name="20% - 강조색6 4 3 7 3" xfId="10229"/>
    <cellStyle name="20% - 강조색6 4 3 7 4" xfId="10230"/>
    <cellStyle name="20% - 강조색6 4 3 8" xfId="10231"/>
    <cellStyle name="20% - 강조색6 4 3 8 2" xfId="10232"/>
    <cellStyle name="20% - 강조색6 4 3 8 3" xfId="10233"/>
    <cellStyle name="20% - 강조색6 4 3 9" xfId="10234"/>
    <cellStyle name="20% - 강조색6 4 4" xfId="10235"/>
    <cellStyle name="20% - 강조색6 4 4 10" xfId="10236"/>
    <cellStyle name="20% - 강조색6 4 4 2" xfId="10237"/>
    <cellStyle name="20% - 강조색6 4 4 2 2" xfId="10238"/>
    <cellStyle name="20% - 강조색6 4 4 2 2 2" xfId="10239"/>
    <cellStyle name="20% - 강조색6 4 4 2 2 2 2" xfId="10240"/>
    <cellStyle name="20% - 강조색6 4 4 2 2 2 2 2" xfId="10241"/>
    <cellStyle name="20% - 강조색6 4 4 2 2 2 2 3" xfId="10242"/>
    <cellStyle name="20% - 강조색6 4 4 2 2 2 3" xfId="10243"/>
    <cellStyle name="20% - 강조색6 4 4 2 2 2 4" xfId="10244"/>
    <cellStyle name="20% - 강조색6 4 4 2 2 3" xfId="10245"/>
    <cellStyle name="20% - 강조색6 4 4 2 2 3 2" xfId="10246"/>
    <cellStyle name="20% - 강조색6 4 4 2 2 3 3" xfId="10247"/>
    <cellStyle name="20% - 강조색6 4 4 2 2 4" xfId="10248"/>
    <cellStyle name="20% - 강조색6 4 4 2 2 5" xfId="10249"/>
    <cellStyle name="20% - 강조색6 4 4 2 3" xfId="10250"/>
    <cellStyle name="20% - 강조색6 4 4 2 3 2" xfId="10251"/>
    <cellStyle name="20% - 강조색6 4 4 2 3 2 2" xfId="10252"/>
    <cellStyle name="20% - 강조색6 4 4 2 3 2 2 2" xfId="10253"/>
    <cellStyle name="20% - 강조색6 4 4 2 3 2 2 3" xfId="10254"/>
    <cellStyle name="20% - 강조색6 4 4 2 3 2 3" xfId="10255"/>
    <cellStyle name="20% - 강조색6 4 4 2 3 2 4" xfId="10256"/>
    <cellStyle name="20% - 강조색6 4 4 2 3 3" xfId="10257"/>
    <cellStyle name="20% - 강조색6 4 4 2 3 3 2" xfId="10258"/>
    <cellStyle name="20% - 강조색6 4 4 2 3 3 3" xfId="10259"/>
    <cellStyle name="20% - 강조색6 4 4 2 3 4" xfId="10260"/>
    <cellStyle name="20% - 강조색6 4 4 2 3 5" xfId="10261"/>
    <cellStyle name="20% - 강조색6 4 4 2 4" xfId="10262"/>
    <cellStyle name="20% - 강조색6 4 4 2 4 2" xfId="10263"/>
    <cellStyle name="20% - 강조색6 4 4 2 4 2 2" xfId="10264"/>
    <cellStyle name="20% - 강조색6 4 4 2 4 2 3" xfId="10265"/>
    <cellStyle name="20% - 강조색6 4 4 2 4 3" xfId="10266"/>
    <cellStyle name="20% - 강조색6 4 4 2 4 4" xfId="10267"/>
    <cellStyle name="20% - 강조색6 4 4 2 5" xfId="10268"/>
    <cellStyle name="20% - 강조색6 4 4 2 5 2" xfId="10269"/>
    <cellStyle name="20% - 강조색6 4 4 2 5 3" xfId="10270"/>
    <cellStyle name="20% - 강조색6 4 4 2 6" xfId="10271"/>
    <cellStyle name="20% - 강조색6 4 4 2 7" xfId="10272"/>
    <cellStyle name="20% - 강조색6 4 4 3" xfId="10273"/>
    <cellStyle name="20% - 강조색6 4 4 3 2" xfId="10274"/>
    <cellStyle name="20% - 강조색6 4 4 3 2 2" xfId="10275"/>
    <cellStyle name="20% - 강조색6 4 4 3 2 2 2" xfId="10276"/>
    <cellStyle name="20% - 강조색6 4 4 3 2 2 2 2" xfId="10277"/>
    <cellStyle name="20% - 강조색6 4 4 3 2 2 2 3" xfId="10278"/>
    <cellStyle name="20% - 강조색6 4 4 3 2 2 3" xfId="10279"/>
    <cellStyle name="20% - 강조색6 4 4 3 2 2 4" xfId="10280"/>
    <cellStyle name="20% - 강조색6 4 4 3 2 3" xfId="10281"/>
    <cellStyle name="20% - 강조색6 4 4 3 2 3 2" xfId="10282"/>
    <cellStyle name="20% - 강조색6 4 4 3 2 3 3" xfId="10283"/>
    <cellStyle name="20% - 강조색6 4 4 3 2 4" xfId="10284"/>
    <cellStyle name="20% - 강조색6 4 4 3 2 5" xfId="10285"/>
    <cellStyle name="20% - 강조색6 4 4 3 3" xfId="10286"/>
    <cellStyle name="20% - 강조색6 4 4 3 3 2" xfId="10287"/>
    <cellStyle name="20% - 강조색6 4 4 3 3 2 2" xfId="10288"/>
    <cellStyle name="20% - 강조색6 4 4 3 3 2 2 2" xfId="10289"/>
    <cellStyle name="20% - 강조색6 4 4 3 3 2 2 3" xfId="10290"/>
    <cellStyle name="20% - 강조색6 4 4 3 3 2 3" xfId="10291"/>
    <cellStyle name="20% - 강조색6 4 4 3 3 2 4" xfId="10292"/>
    <cellStyle name="20% - 강조색6 4 4 3 3 3" xfId="10293"/>
    <cellStyle name="20% - 강조색6 4 4 3 3 3 2" xfId="10294"/>
    <cellStyle name="20% - 강조색6 4 4 3 3 3 3" xfId="10295"/>
    <cellStyle name="20% - 강조색6 4 4 3 3 4" xfId="10296"/>
    <cellStyle name="20% - 강조색6 4 4 3 3 5" xfId="10297"/>
    <cellStyle name="20% - 강조색6 4 4 3 4" xfId="10298"/>
    <cellStyle name="20% - 강조색6 4 4 3 4 2" xfId="10299"/>
    <cellStyle name="20% - 강조색6 4 4 3 4 2 2" xfId="10300"/>
    <cellStyle name="20% - 강조색6 4 4 3 4 2 3" xfId="10301"/>
    <cellStyle name="20% - 강조색6 4 4 3 4 3" xfId="10302"/>
    <cellStyle name="20% - 강조색6 4 4 3 4 4" xfId="10303"/>
    <cellStyle name="20% - 강조색6 4 4 3 5" xfId="10304"/>
    <cellStyle name="20% - 강조색6 4 4 3 5 2" xfId="10305"/>
    <cellStyle name="20% - 강조색6 4 4 3 5 3" xfId="10306"/>
    <cellStyle name="20% - 강조색6 4 4 3 6" xfId="10307"/>
    <cellStyle name="20% - 강조색6 4 4 3 7" xfId="10308"/>
    <cellStyle name="20% - 강조색6 4 4 4" xfId="10309"/>
    <cellStyle name="20% - 강조색6 4 4 4 2" xfId="10310"/>
    <cellStyle name="20% - 강조색6 4 4 4 2 2" xfId="10311"/>
    <cellStyle name="20% - 강조색6 4 4 4 2 2 2" xfId="10312"/>
    <cellStyle name="20% - 강조색6 4 4 4 2 2 3" xfId="10313"/>
    <cellStyle name="20% - 강조색6 4 4 4 2 3" xfId="10314"/>
    <cellStyle name="20% - 강조색6 4 4 4 2 4" xfId="10315"/>
    <cellStyle name="20% - 강조색6 4 4 4 3" xfId="10316"/>
    <cellStyle name="20% - 강조색6 4 4 4 3 2" xfId="10317"/>
    <cellStyle name="20% - 강조색6 4 4 4 3 3" xfId="10318"/>
    <cellStyle name="20% - 강조색6 4 4 4 4" xfId="10319"/>
    <cellStyle name="20% - 강조색6 4 4 4 5" xfId="10320"/>
    <cellStyle name="20% - 강조색6 4 4 5" xfId="10321"/>
    <cellStyle name="20% - 강조색6 4 4 5 2" xfId="10322"/>
    <cellStyle name="20% - 강조색6 4 4 5 2 2" xfId="10323"/>
    <cellStyle name="20% - 강조색6 4 4 5 2 2 2" xfId="10324"/>
    <cellStyle name="20% - 강조색6 4 4 5 2 2 3" xfId="10325"/>
    <cellStyle name="20% - 강조색6 4 4 5 2 3" xfId="10326"/>
    <cellStyle name="20% - 강조색6 4 4 5 2 4" xfId="10327"/>
    <cellStyle name="20% - 강조색6 4 4 5 3" xfId="10328"/>
    <cellStyle name="20% - 강조색6 4 4 5 3 2" xfId="10329"/>
    <cellStyle name="20% - 강조색6 4 4 5 3 3" xfId="10330"/>
    <cellStyle name="20% - 강조색6 4 4 5 4" xfId="10331"/>
    <cellStyle name="20% - 강조색6 4 4 5 5" xfId="10332"/>
    <cellStyle name="20% - 강조색6 4 4 6" xfId="10333"/>
    <cellStyle name="20% - 강조색6 4 4 6 2" xfId="10334"/>
    <cellStyle name="20% - 강조색6 4 4 6 2 2" xfId="10335"/>
    <cellStyle name="20% - 강조색6 4 4 6 2 2 2" xfId="10336"/>
    <cellStyle name="20% - 강조색6 4 4 6 2 2 3" xfId="10337"/>
    <cellStyle name="20% - 강조색6 4 4 6 2 3" xfId="10338"/>
    <cellStyle name="20% - 강조색6 4 4 6 2 4" xfId="10339"/>
    <cellStyle name="20% - 강조색6 4 4 6 3" xfId="10340"/>
    <cellStyle name="20% - 강조색6 4 4 6 3 2" xfId="10341"/>
    <cellStyle name="20% - 강조색6 4 4 6 3 3" xfId="10342"/>
    <cellStyle name="20% - 강조색6 4 4 6 4" xfId="10343"/>
    <cellStyle name="20% - 강조색6 4 4 6 5" xfId="10344"/>
    <cellStyle name="20% - 강조색6 4 4 7" xfId="10345"/>
    <cellStyle name="20% - 강조색6 4 4 7 2" xfId="10346"/>
    <cellStyle name="20% - 강조색6 4 4 7 2 2" xfId="10347"/>
    <cellStyle name="20% - 강조색6 4 4 7 2 3" xfId="10348"/>
    <cellStyle name="20% - 강조색6 4 4 7 3" xfId="10349"/>
    <cellStyle name="20% - 강조색6 4 4 7 4" xfId="10350"/>
    <cellStyle name="20% - 강조색6 4 4 8" xfId="10351"/>
    <cellStyle name="20% - 강조색6 4 4 8 2" xfId="10352"/>
    <cellStyle name="20% - 강조색6 4 4 8 3" xfId="10353"/>
    <cellStyle name="20% - 강조색6 4 4 9" xfId="10354"/>
    <cellStyle name="20% - 강조색6 4 5" xfId="10355"/>
    <cellStyle name="20% - 강조색6 4 5 2" xfId="10356"/>
    <cellStyle name="20% - 강조색6 4 5 2 2" xfId="10357"/>
    <cellStyle name="20% - 강조색6 4 5 2 2 2" xfId="10358"/>
    <cellStyle name="20% - 강조색6 4 5 2 2 2 2" xfId="10359"/>
    <cellStyle name="20% - 강조색6 4 5 2 2 2 3" xfId="10360"/>
    <cellStyle name="20% - 강조색6 4 5 2 2 3" xfId="10361"/>
    <cellStyle name="20% - 강조색6 4 5 2 2 4" xfId="10362"/>
    <cellStyle name="20% - 강조색6 4 5 2 3" xfId="10363"/>
    <cellStyle name="20% - 강조색6 4 5 2 3 2" xfId="10364"/>
    <cellStyle name="20% - 강조색6 4 5 2 3 3" xfId="10365"/>
    <cellStyle name="20% - 강조색6 4 5 2 4" xfId="10366"/>
    <cellStyle name="20% - 강조색6 4 5 2 5" xfId="10367"/>
    <cellStyle name="20% - 강조색6 4 5 3" xfId="10368"/>
    <cellStyle name="20% - 강조색6 4 5 3 2" xfId="10369"/>
    <cellStyle name="20% - 강조색6 4 5 3 2 2" xfId="10370"/>
    <cellStyle name="20% - 강조색6 4 5 3 2 2 2" xfId="10371"/>
    <cellStyle name="20% - 강조색6 4 5 3 2 2 3" xfId="10372"/>
    <cellStyle name="20% - 강조색6 4 5 3 2 3" xfId="10373"/>
    <cellStyle name="20% - 강조색6 4 5 3 2 4" xfId="10374"/>
    <cellStyle name="20% - 강조색6 4 5 3 3" xfId="10375"/>
    <cellStyle name="20% - 강조색6 4 5 3 3 2" xfId="10376"/>
    <cellStyle name="20% - 강조색6 4 5 3 3 3" xfId="10377"/>
    <cellStyle name="20% - 강조색6 4 5 3 4" xfId="10378"/>
    <cellStyle name="20% - 강조색6 4 5 3 5" xfId="10379"/>
    <cellStyle name="20% - 강조색6 4 5 4" xfId="10380"/>
    <cellStyle name="20% - 강조색6 4 5 4 2" xfId="10381"/>
    <cellStyle name="20% - 강조색6 4 5 4 2 2" xfId="10382"/>
    <cellStyle name="20% - 강조색6 4 5 4 2 3" xfId="10383"/>
    <cellStyle name="20% - 강조색6 4 5 4 3" xfId="10384"/>
    <cellStyle name="20% - 강조색6 4 5 4 4" xfId="10385"/>
    <cellStyle name="20% - 강조색6 4 5 5" xfId="10386"/>
    <cellStyle name="20% - 강조색6 4 5 5 2" xfId="10387"/>
    <cellStyle name="20% - 강조색6 4 5 5 3" xfId="10388"/>
    <cellStyle name="20% - 강조색6 4 5 6" xfId="10389"/>
    <cellStyle name="20% - 강조색6 4 5 7" xfId="10390"/>
    <cellStyle name="20% - 강조색6 4 6" xfId="10391"/>
    <cellStyle name="20% - 강조색6 4 6 2" xfId="10392"/>
    <cellStyle name="20% - 강조색6 4 6 2 2" xfId="10393"/>
    <cellStyle name="20% - 강조색6 4 6 2 2 2" xfId="10394"/>
    <cellStyle name="20% - 강조색6 4 6 2 2 2 2" xfId="10395"/>
    <cellStyle name="20% - 강조색6 4 6 2 2 2 3" xfId="10396"/>
    <cellStyle name="20% - 강조색6 4 6 2 2 3" xfId="10397"/>
    <cellStyle name="20% - 강조색6 4 6 2 2 4" xfId="10398"/>
    <cellStyle name="20% - 강조색6 4 6 2 3" xfId="10399"/>
    <cellStyle name="20% - 강조색6 4 6 2 3 2" xfId="10400"/>
    <cellStyle name="20% - 강조색6 4 6 2 3 3" xfId="10401"/>
    <cellStyle name="20% - 강조색6 4 6 2 4" xfId="10402"/>
    <cellStyle name="20% - 강조색6 4 6 2 5" xfId="10403"/>
    <cellStyle name="20% - 강조색6 4 6 3" xfId="10404"/>
    <cellStyle name="20% - 강조색6 4 6 3 2" xfId="10405"/>
    <cellStyle name="20% - 강조색6 4 6 3 2 2" xfId="10406"/>
    <cellStyle name="20% - 강조색6 4 6 3 2 2 2" xfId="10407"/>
    <cellStyle name="20% - 강조색6 4 6 3 2 2 3" xfId="10408"/>
    <cellStyle name="20% - 강조색6 4 6 3 2 3" xfId="10409"/>
    <cellStyle name="20% - 강조색6 4 6 3 2 4" xfId="10410"/>
    <cellStyle name="20% - 강조색6 4 6 3 3" xfId="10411"/>
    <cellStyle name="20% - 강조색6 4 6 3 3 2" xfId="10412"/>
    <cellStyle name="20% - 강조색6 4 6 3 3 3" xfId="10413"/>
    <cellStyle name="20% - 강조색6 4 6 3 4" xfId="10414"/>
    <cellStyle name="20% - 강조색6 4 6 3 5" xfId="10415"/>
    <cellStyle name="20% - 강조색6 4 6 4" xfId="10416"/>
    <cellStyle name="20% - 강조색6 4 6 4 2" xfId="10417"/>
    <cellStyle name="20% - 강조색6 4 6 4 2 2" xfId="10418"/>
    <cellStyle name="20% - 강조색6 4 6 4 2 3" xfId="10419"/>
    <cellStyle name="20% - 강조색6 4 6 4 3" xfId="10420"/>
    <cellStyle name="20% - 강조색6 4 6 4 4" xfId="10421"/>
    <cellStyle name="20% - 강조색6 4 6 5" xfId="10422"/>
    <cellStyle name="20% - 강조색6 4 6 5 2" xfId="10423"/>
    <cellStyle name="20% - 강조색6 4 6 5 3" xfId="10424"/>
    <cellStyle name="20% - 강조색6 4 6 6" xfId="10425"/>
    <cellStyle name="20% - 강조색6 4 6 7" xfId="10426"/>
    <cellStyle name="20% - 강조색6 4 7" xfId="10427"/>
    <cellStyle name="20% - 강조색6 4 7 2" xfId="10428"/>
    <cellStyle name="20% - 강조색6 4 7 2 2" xfId="10429"/>
    <cellStyle name="20% - 강조색6 4 7 2 2 2" xfId="10430"/>
    <cellStyle name="20% - 강조색6 4 7 2 2 3" xfId="10431"/>
    <cellStyle name="20% - 강조색6 4 7 2 3" xfId="10432"/>
    <cellStyle name="20% - 강조색6 4 7 2 4" xfId="10433"/>
    <cellStyle name="20% - 강조색6 4 7 3" xfId="10434"/>
    <cellStyle name="20% - 강조색6 4 7 3 2" xfId="10435"/>
    <cellStyle name="20% - 강조색6 4 7 3 3" xfId="10436"/>
    <cellStyle name="20% - 강조색6 4 7 4" xfId="10437"/>
    <cellStyle name="20% - 강조색6 4 7 5" xfId="10438"/>
    <cellStyle name="20% - 강조색6 4 8" xfId="10439"/>
    <cellStyle name="20% - 강조색6 4 8 2" xfId="10440"/>
    <cellStyle name="20% - 강조색6 4 8 2 2" xfId="10441"/>
    <cellStyle name="20% - 강조색6 4 8 2 2 2" xfId="10442"/>
    <cellStyle name="20% - 강조색6 4 8 2 2 3" xfId="10443"/>
    <cellStyle name="20% - 강조색6 4 8 2 3" xfId="10444"/>
    <cellStyle name="20% - 강조색6 4 8 2 4" xfId="10445"/>
    <cellStyle name="20% - 강조색6 4 8 3" xfId="10446"/>
    <cellStyle name="20% - 강조색6 4 8 3 2" xfId="10447"/>
    <cellStyle name="20% - 강조색6 4 8 3 3" xfId="10448"/>
    <cellStyle name="20% - 강조색6 4 8 4" xfId="10449"/>
    <cellStyle name="20% - 강조색6 4 8 5" xfId="10450"/>
    <cellStyle name="20% - 강조색6 4 9" xfId="10451"/>
    <cellStyle name="20% - 강조색6 4 9 2" xfId="10452"/>
    <cellStyle name="20% - 강조색6 4 9 2 2" xfId="10453"/>
    <cellStyle name="20% - 강조색6 4 9 2 2 2" xfId="10454"/>
    <cellStyle name="20% - 강조색6 4 9 2 2 3" xfId="10455"/>
    <cellStyle name="20% - 강조색6 4 9 2 3" xfId="10456"/>
    <cellStyle name="20% - 강조색6 4 9 2 4" xfId="10457"/>
    <cellStyle name="20% - 강조색6 4 9 3" xfId="10458"/>
    <cellStyle name="20% - 강조색6 4 9 3 2" xfId="10459"/>
    <cellStyle name="20% - 강조색6 4 9 3 3" xfId="10460"/>
    <cellStyle name="20% - 강조색6 4 9 4" xfId="10461"/>
    <cellStyle name="20% - 강조색6 4 9 5" xfId="10462"/>
    <cellStyle name="20% - 강조색6 40" xfId="10463"/>
    <cellStyle name="20% - 강조색6 41" xfId="10464"/>
    <cellStyle name="20% - 강조색6 42" xfId="10465"/>
    <cellStyle name="20% - 강조색6 43" xfId="10466"/>
    <cellStyle name="20% - 강조색6 44" xfId="10467"/>
    <cellStyle name="20% - 강조색6 45" xfId="10468"/>
    <cellStyle name="20% - 강조색6 46" xfId="10469"/>
    <cellStyle name="20% - 강조색6 47" xfId="10470"/>
    <cellStyle name="20% - 강조색6 48" xfId="10471"/>
    <cellStyle name="20% - 강조색6 49" xfId="10472"/>
    <cellStyle name="20% - 강조색6 5" xfId="10473"/>
    <cellStyle name="20% - 강조색6 5 10" xfId="10474"/>
    <cellStyle name="20% - 강조색6 5 11" xfId="10475"/>
    <cellStyle name="20% - 강조색6 5 2" xfId="10476"/>
    <cellStyle name="20% - 강조색6 5 2 2" xfId="10477"/>
    <cellStyle name="20% - 강조색6 5 2 2 2" xfId="10478"/>
    <cellStyle name="20% - 강조색6 5 2 2 2 2" xfId="10479"/>
    <cellStyle name="20% - 강조색6 5 2 2 2 2 2" xfId="10480"/>
    <cellStyle name="20% - 강조색6 5 2 2 2 2 3" xfId="10481"/>
    <cellStyle name="20% - 강조색6 5 2 2 2 3" xfId="10482"/>
    <cellStyle name="20% - 강조색6 5 2 2 2 4" xfId="10483"/>
    <cellStyle name="20% - 강조색6 5 2 2 3" xfId="10484"/>
    <cellStyle name="20% - 강조색6 5 2 2 3 2" xfId="10485"/>
    <cellStyle name="20% - 강조색6 5 2 2 3 3" xfId="10486"/>
    <cellStyle name="20% - 강조색6 5 2 2 4" xfId="10487"/>
    <cellStyle name="20% - 강조색6 5 2 2 5" xfId="10488"/>
    <cellStyle name="20% - 강조색6 5 2 3" xfId="10489"/>
    <cellStyle name="20% - 강조색6 5 2 3 2" xfId="10490"/>
    <cellStyle name="20% - 강조색6 5 2 3 2 2" xfId="10491"/>
    <cellStyle name="20% - 강조색6 5 2 3 2 2 2" xfId="10492"/>
    <cellStyle name="20% - 강조색6 5 2 3 2 2 3" xfId="10493"/>
    <cellStyle name="20% - 강조색6 5 2 3 2 3" xfId="10494"/>
    <cellStyle name="20% - 강조색6 5 2 3 2 4" xfId="10495"/>
    <cellStyle name="20% - 강조색6 5 2 3 3" xfId="10496"/>
    <cellStyle name="20% - 강조색6 5 2 3 3 2" xfId="10497"/>
    <cellStyle name="20% - 강조색6 5 2 3 3 3" xfId="10498"/>
    <cellStyle name="20% - 강조색6 5 2 3 4" xfId="10499"/>
    <cellStyle name="20% - 강조색6 5 2 3 5" xfId="10500"/>
    <cellStyle name="20% - 강조색6 5 2 4" xfId="10501"/>
    <cellStyle name="20% - 강조색6 5 2 4 2" xfId="10502"/>
    <cellStyle name="20% - 강조색6 5 2 4 2 2" xfId="10503"/>
    <cellStyle name="20% - 강조색6 5 2 4 2 3" xfId="10504"/>
    <cellStyle name="20% - 강조색6 5 2 4 3" xfId="10505"/>
    <cellStyle name="20% - 강조색6 5 2 4 4" xfId="10506"/>
    <cellStyle name="20% - 강조색6 5 2 5" xfId="10507"/>
    <cellStyle name="20% - 강조색6 5 2 5 2" xfId="10508"/>
    <cellStyle name="20% - 강조색6 5 2 5 3" xfId="10509"/>
    <cellStyle name="20% - 강조색6 5 2 6" xfId="10510"/>
    <cellStyle name="20% - 강조색6 5 2 7" xfId="10511"/>
    <cellStyle name="20% - 강조색6 5 3" xfId="10512"/>
    <cellStyle name="20% - 강조색6 5 3 2" xfId="10513"/>
    <cellStyle name="20% - 강조색6 5 3 2 2" xfId="10514"/>
    <cellStyle name="20% - 강조색6 5 3 2 2 2" xfId="10515"/>
    <cellStyle name="20% - 강조색6 5 3 2 2 2 2" xfId="10516"/>
    <cellStyle name="20% - 강조색6 5 3 2 2 2 3" xfId="10517"/>
    <cellStyle name="20% - 강조색6 5 3 2 2 3" xfId="10518"/>
    <cellStyle name="20% - 강조색6 5 3 2 2 4" xfId="10519"/>
    <cellStyle name="20% - 강조색6 5 3 2 3" xfId="10520"/>
    <cellStyle name="20% - 강조색6 5 3 2 3 2" xfId="10521"/>
    <cellStyle name="20% - 강조색6 5 3 2 3 3" xfId="10522"/>
    <cellStyle name="20% - 강조색6 5 3 2 4" xfId="10523"/>
    <cellStyle name="20% - 강조색6 5 3 2 5" xfId="10524"/>
    <cellStyle name="20% - 강조색6 5 3 3" xfId="10525"/>
    <cellStyle name="20% - 강조색6 5 3 3 2" xfId="10526"/>
    <cellStyle name="20% - 강조색6 5 3 3 2 2" xfId="10527"/>
    <cellStyle name="20% - 강조색6 5 3 3 2 2 2" xfId="10528"/>
    <cellStyle name="20% - 강조색6 5 3 3 2 2 3" xfId="10529"/>
    <cellStyle name="20% - 강조색6 5 3 3 2 3" xfId="10530"/>
    <cellStyle name="20% - 강조색6 5 3 3 2 4" xfId="10531"/>
    <cellStyle name="20% - 강조색6 5 3 3 3" xfId="10532"/>
    <cellStyle name="20% - 강조색6 5 3 3 3 2" xfId="10533"/>
    <cellStyle name="20% - 강조색6 5 3 3 3 3" xfId="10534"/>
    <cellStyle name="20% - 강조색6 5 3 3 4" xfId="10535"/>
    <cellStyle name="20% - 강조색6 5 3 3 5" xfId="10536"/>
    <cellStyle name="20% - 강조색6 5 3 4" xfId="10537"/>
    <cellStyle name="20% - 강조색6 5 3 4 2" xfId="10538"/>
    <cellStyle name="20% - 강조색6 5 3 4 2 2" xfId="10539"/>
    <cellStyle name="20% - 강조색6 5 3 4 2 3" xfId="10540"/>
    <cellStyle name="20% - 강조색6 5 3 4 3" xfId="10541"/>
    <cellStyle name="20% - 강조색6 5 3 4 4" xfId="10542"/>
    <cellStyle name="20% - 강조색6 5 3 5" xfId="10543"/>
    <cellStyle name="20% - 강조색6 5 3 5 2" xfId="10544"/>
    <cellStyle name="20% - 강조색6 5 3 5 3" xfId="10545"/>
    <cellStyle name="20% - 강조색6 5 3 6" xfId="10546"/>
    <cellStyle name="20% - 강조색6 5 3 7" xfId="10547"/>
    <cellStyle name="20% - 강조색6 5 4" xfId="10548"/>
    <cellStyle name="20% - 강조색6 5 4 2" xfId="10549"/>
    <cellStyle name="20% - 강조색6 5 4 2 2" xfId="10550"/>
    <cellStyle name="20% - 강조색6 5 4 2 2 2" xfId="10551"/>
    <cellStyle name="20% - 강조색6 5 4 2 2 3" xfId="10552"/>
    <cellStyle name="20% - 강조색6 5 4 2 3" xfId="10553"/>
    <cellStyle name="20% - 강조색6 5 4 2 4" xfId="10554"/>
    <cellStyle name="20% - 강조색6 5 4 3" xfId="10555"/>
    <cellStyle name="20% - 강조색6 5 4 3 2" xfId="10556"/>
    <cellStyle name="20% - 강조색6 5 4 3 3" xfId="10557"/>
    <cellStyle name="20% - 강조색6 5 4 4" xfId="10558"/>
    <cellStyle name="20% - 강조색6 5 4 5" xfId="10559"/>
    <cellStyle name="20% - 강조색6 5 5" xfId="10560"/>
    <cellStyle name="20% - 강조색6 5 5 2" xfId="10561"/>
    <cellStyle name="20% - 강조색6 5 5 2 2" xfId="10562"/>
    <cellStyle name="20% - 강조색6 5 5 2 2 2" xfId="10563"/>
    <cellStyle name="20% - 강조색6 5 5 2 2 3" xfId="10564"/>
    <cellStyle name="20% - 강조색6 5 5 2 3" xfId="10565"/>
    <cellStyle name="20% - 강조색6 5 5 2 4" xfId="10566"/>
    <cellStyle name="20% - 강조색6 5 5 3" xfId="10567"/>
    <cellStyle name="20% - 강조색6 5 5 3 2" xfId="10568"/>
    <cellStyle name="20% - 강조색6 5 5 3 3" xfId="10569"/>
    <cellStyle name="20% - 강조색6 5 5 4" xfId="10570"/>
    <cellStyle name="20% - 강조색6 5 5 5" xfId="10571"/>
    <cellStyle name="20% - 강조색6 5 6" xfId="10572"/>
    <cellStyle name="20% - 강조색6 5 6 2" xfId="10573"/>
    <cellStyle name="20% - 강조색6 5 6 2 2" xfId="10574"/>
    <cellStyle name="20% - 강조색6 5 6 2 2 2" xfId="10575"/>
    <cellStyle name="20% - 강조색6 5 6 2 2 3" xfId="10576"/>
    <cellStyle name="20% - 강조색6 5 6 2 3" xfId="10577"/>
    <cellStyle name="20% - 강조색6 5 6 2 4" xfId="10578"/>
    <cellStyle name="20% - 강조색6 5 6 3" xfId="10579"/>
    <cellStyle name="20% - 강조색6 5 6 3 2" xfId="10580"/>
    <cellStyle name="20% - 강조색6 5 6 3 3" xfId="10581"/>
    <cellStyle name="20% - 강조색6 5 6 4" xfId="10582"/>
    <cellStyle name="20% - 강조색6 5 6 5" xfId="10583"/>
    <cellStyle name="20% - 강조색6 5 7" xfId="10584"/>
    <cellStyle name="20% - 강조색6 5 7 2" xfId="10585"/>
    <cellStyle name="20% - 강조색6 5 7 2 2" xfId="10586"/>
    <cellStyle name="20% - 강조색6 5 7 2 3" xfId="10587"/>
    <cellStyle name="20% - 강조색6 5 7 3" xfId="10588"/>
    <cellStyle name="20% - 강조색6 5 7 4" xfId="10589"/>
    <cellStyle name="20% - 강조색6 5 8" xfId="10590"/>
    <cellStyle name="20% - 강조색6 5 8 2" xfId="10591"/>
    <cellStyle name="20% - 강조색6 5 8 3" xfId="10592"/>
    <cellStyle name="20% - 강조색6 5 9" xfId="10593"/>
    <cellStyle name="20% - 강조색6 50" xfId="10594"/>
    <cellStyle name="20% - 강조색6 51" xfId="10595"/>
    <cellStyle name="20% - 강조색6 52" xfId="10596"/>
    <cellStyle name="20% - 강조색6 53" xfId="10597"/>
    <cellStyle name="20% - 강조색6 54" xfId="10598"/>
    <cellStyle name="20% - 강조색6 55" xfId="10599"/>
    <cellStyle name="20% - 강조색6 56" xfId="10600"/>
    <cellStyle name="20% - 강조색6 57" xfId="10601"/>
    <cellStyle name="20% - 강조색6 58" xfId="10602"/>
    <cellStyle name="20% - 강조색6 59" xfId="10603"/>
    <cellStyle name="20% - 강조색6 6" xfId="10604"/>
    <cellStyle name="20% - 강조색6 6 10" xfId="10605"/>
    <cellStyle name="20% - 강조색6 6 2" xfId="10606"/>
    <cellStyle name="20% - 강조색6 6 2 2" xfId="10607"/>
    <cellStyle name="20% - 강조색6 6 2 2 2" xfId="10608"/>
    <cellStyle name="20% - 강조색6 6 2 2 2 2" xfId="10609"/>
    <cellStyle name="20% - 강조색6 6 2 2 2 2 2" xfId="10610"/>
    <cellStyle name="20% - 강조색6 6 2 2 2 2 3" xfId="10611"/>
    <cellStyle name="20% - 강조색6 6 2 2 2 3" xfId="10612"/>
    <cellStyle name="20% - 강조색6 6 2 2 2 4" xfId="10613"/>
    <cellStyle name="20% - 강조색6 6 2 2 3" xfId="10614"/>
    <cellStyle name="20% - 강조색6 6 2 2 3 2" xfId="10615"/>
    <cellStyle name="20% - 강조색6 6 2 2 3 3" xfId="10616"/>
    <cellStyle name="20% - 강조색6 6 2 2 4" xfId="10617"/>
    <cellStyle name="20% - 강조색6 6 2 2 5" xfId="10618"/>
    <cellStyle name="20% - 강조색6 6 2 3" xfId="10619"/>
    <cellStyle name="20% - 강조색6 6 2 3 2" xfId="10620"/>
    <cellStyle name="20% - 강조색6 6 2 3 2 2" xfId="10621"/>
    <cellStyle name="20% - 강조색6 6 2 3 2 2 2" xfId="10622"/>
    <cellStyle name="20% - 강조색6 6 2 3 2 2 3" xfId="10623"/>
    <cellStyle name="20% - 강조색6 6 2 3 2 3" xfId="10624"/>
    <cellStyle name="20% - 강조색6 6 2 3 2 4" xfId="10625"/>
    <cellStyle name="20% - 강조색6 6 2 3 3" xfId="10626"/>
    <cellStyle name="20% - 강조색6 6 2 3 3 2" xfId="10627"/>
    <cellStyle name="20% - 강조색6 6 2 3 3 3" xfId="10628"/>
    <cellStyle name="20% - 강조색6 6 2 3 4" xfId="10629"/>
    <cellStyle name="20% - 강조색6 6 2 3 5" xfId="10630"/>
    <cellStyle name="20% - 강조색6 6 2 4" xfId="10631"/>
    <cellStyle name="20% - 강조색6 6 2 4 2" xfId="10632"/>
    <cellStyle name="20% - 강조색6 6 2 4 2 2" xfId="10633"/>
    <cellStyle name="20% - 강조색6 6 2 4 2 3" xfId="10634"/>
    <cellStyle name="20% - 강조색6 6 2 4 3" xfId="10635"/>
    <cellStyle name="20% - 강조색6 6 2 4 4" xfId="10636"/>
    <cellStyle name="20% - 강조색6 6 2 5" xfId="10637"/>
    <cellStyle name="20% - 강조색6 6 2 5 2" xfId="10638"/>
    <cellStyle name="20% - 강조색6 6 2 5 3" xfId="10639"/>
    <cellStyle name="20% - 강조색6 6 2 6" xfId="10640"/>
    <cellStyle name="20% - 강조색6 6 2 7" xfId="10641"/>
    <cellStyle name="20% - 강조색6 6 3" xfId="10642"/>
    <cellStyle name="20% - 강조색6 6 3 2" xfId="10643"/>
    <cellStyle name="20% - 강조색6 6 3 2 2" xfId="10644"/>
    <cellStyle name="20% - 강조색6 6 3 2 2 2" xfId="10645"/>
    <cellStyle name="20% - 강조색6 6 3 2 2 2 2" xfId="10646"/>
    <cellStyle name="20% - 강조색6 6 3 2 2 2 3" xfId="10647"/>
    <cellStyle name="20% - 강조색6 6 3 2 2 3" xfId="10648"/>
    <cellStyle name="20% - 강조색6 6 3 2 2 4" xfId="10649"/>
    <cellStyle name="20% - 강조색6 6 3 2 3" xfId="10650"/>
    <cellStyle name="20% - 강조색6 6 3 2 3 2" xfId="10651"/>
    <cellStyle name="20% - 강조색6 6 3 2 3 3" xfId="10652"/>
    <cellStyle name="20% - 강조색6 6 3 2 4" xfId="10653"/>
    <cellStyle name="20% - 강조색6 6 3 2 5" xfId="10654"/>
    <cellStyle name="20% - 강조색6 6 3 3" xfId="10655"/>
    <cellStyle name="20% - 강조색6 6 3 3 2" xfId="10656"/>
    <cellStyle name="20% - 강조색6 6 3 3 2 2" xfId="10657"/>
    <cellStyle name="20% - 강조색6 6 3 3 2 2 2" xfId="10658"/>
    <cellStyle name="20% - 강조색6 6 3 3 2 2 3" xfId="10659"/>
    <cellStyle name="20% - 강조색6 6 3 3 2 3" xfId="10660"/>
    <cellStyle name="20% - 강조색6 6 3 3 2 4" xfId="10661"/>
    <cellStyle name="20% - 강조색6 6 3 3 3" xfId="10662"/>
    <cellStyle name="20% - 강조색6 6 3 3 3 2" xfId="10663"/>
    <cellStyle name="20% - 강조색6 6 3 3 3 3" xfId="10664"/>
    <cellStyle name="20% - 강조색6 6 3 3 4" xfId="10665"/>
    <cellStyle name="20% - 강조색6 6 3 3 5" xfId="10666"/>
    <cellStyle name="20% - 강조색6 6 3 4" xfId="10667"/>
    <cellStyle name="20% - 강조색6 6 3 4 2" xfId="10668"/>
    <cellStyle name="20% - 강조색6 6 3 4 2 2" xfId="10669"/>
    <cellStyle name="20% - 강조색6 6 3 4 2 3" xfId="10670"/>
    <cellStyle name="20% - 강조색6 6 3 4 3" xfId="10671"/>
    <cellStyle name="20% - 강조색6 6 3 4 4" xfId="10672"/>
    <cellStyle name="20% - 강조색6 6 3 5" xfId="10673"/>
    <cellStyle name="20% - 강조색6 6 3 5 2" xfId="10674"/>
    <cellStyle name="20% - 강조색6 6 3 5 3" xfId="10675"/>
    <cellStyle name="20% - 강조색6 6 3 6" xfId="10676"/>
    <cellStyle name="20% - 강조색6 6 3 7" xfId="10677"/>
    <cellStyle name="20% - 강조색6 6 4" xfId="10678"/>
    <cellStyle name="20% - 강조색6 6 4 2" xfId="10679"/>
    <cellStyle name="20% - 강조색6 6 4 2 2" xfId="10680"/>
    <cellStyle name="20% - 강조색6 6 4 2 2 2" xfId="10681"/>
    <cellStyle name="20% - 강조색6 6 4 2 2 3" xfId="10682"/>
    <cellStyle name="20% - 강조색6 6 4 2 3" xfId="10683"/>
    <cellStyle name="20% - 강조색6 6 4 2 4" xfId="10684"/>
    <cellStyle name="20% - 강조색6 6 4 3" xfId="10685"/>
    <cellStyle name="20% - 강조색6 6 4 3 2" xfId="10686"/>
    <cellStyle name="20% - 강조색6 6 4 3 3" xfId="10687"/>
    <cellStyle name="20% - 강조색6 6 4 4" xfId="10688"/>
    <cellStyle name="20% - 강조색6 6 4 5" xfId="10689"/>
    <cellStyle name="20% - 강조색6 6 5" xfId="10690"/>
    <cellStyle name="20% - 강조색6 6 5 2" xfId="10691"/>
    <cellStyle name="20% - 강조색6 6 5 2 2" xfId="10692"/>
    <cellStyle name="20% - 강조색6 6 5 2 2 2" xfId="10693"/>
    <cellStyle name="20% - 강조색6 6 5 2 2 3" xfId="10694"/>
    <cellStyle name="20% - 강조색6 6 5 2 3" xfId="10695"/>
    <cellStyle name="20% - 강조색6 6 5 2 4" xfId="10696"/>
    <cellStyle name="20% - 강조색6 6 5 3" xfId="10697"/>
    <cellStyle name="20% - 강조색6 6 5 3 2" xfId="10698"/>
    <cellStyle name="20% - 강조색6 6 5 3 3" xfId="10699"/>
    <cellStyle name="20% - 강조색6 6 5 4" xfId="10700"/>
    <cellStyle name="20% - 강조색6 6 5 5" xfId="10701"/>
    <cellStyle name="20% - 강조색6 6 6" xfId="10702"/>
    <cellStyle name="20% - 강조색6 6 6 2" xfId="10703"/>
    <cellStyle name="20% - 강조색6 6 6 2 2" xfId="10704"/>
    <cellStyle name="20% - 강조색6 6 6 2 2 2" xfId="10705"/>
    <cellStyle name="20% - 강조색6 6 6 2 2 3" xfId="10706"/>
    <cellStyle name="20% - 강조색6 6 6 2 3" xfId="10707"/>
    <cellStyle name="20% - 강조색6 6 6 2 4" xfId="10708"/>
    <cellStyle name="20% - 강조색6 6 6 3" xfId="10709"/>
    <cellStyle name="20% - 강조색6 6 6 3 2" xfId="10710"/>
    <cellStyle name="20% - 강조색6 6 6 3 3" xfId="10711"/>
    <cellStyle name="20% - 강조색6 6 6 4" xfId="10712"/>
    <cellStyle name="20% - 강조색6 6 6 5" xfId="10713"/>
    <cellStyle name="20% - 강조색6 6 7" xfId="10714"/>
    <cellStyle name="20% - 강조색6 6 7 2" xfId="10715"/>
    <cellStyle name="20% - 강조색6 6 7 2 2" xfId="10716"/>
    <cellStyle name="20% - 강조색6 6 7 2 3" xfId="10717"/>
    <cellStyle name="20% - 강조색6 6 7 3" xfId="10718"/>
    <cellStyle name="20% - 강조색6 6 7 4" xfId="10719"/>
    <cellStyle name="20% - 강조색6 6 8" xfId="10720"/>
    <cellStyle name="20% - 강조색6 6 8 2" xfId="10721"/>
    <cellStyle name="20% - 강조색6 6 8 3" xfId="10722"/>
    <cellStyle name="20% - 강조색6 6 9" xfId="10723"/>
    <cellStyle name="20% - 강조색6 60" xfId="10724"/>
    <cellStyle name="20% - 강조색6 61" xfId="10725"/>
    <cellStyle name="20% - 강조색6 62" xfId="10726"/>
    <cellStyle name="20% - 강조색6 63" xfId="10727"/>
    <cellStyle name="20% - 강조색6 64" xfId="10728"/>
    <cellStyle name="20% - 강조색6 65" xfId="10729"/>
    <cellStyle name="20% - 강조색6 66" xfId="10730"/>
    <cellStyle name="20% - 강조색6 67" xfId="10731"/>
    <cellStyle name="20% - 강조색6 68" xfId="10732"/>
    <cellStyle name="20% - 강조색6 69" xfId="10733"/>
    <cellStyle name="20% - 강조색6 7" xfId="10734"/>
    <cellStyle name="20% - 강조색6 7 10" xfId="10735"/>
    <cellStyle name="20% - 강조색6 7 2" xfId="10736"/>
    <cellStyle name="20% - 강조색6 7 2 2" xfId="10737"/>
    <cellStyle name="20% - 강조색6 7 2 2 2" xfId="10738"/>
    <cellStyle name="20% - 강조색6 7 2 2 2 2" xfId="10739"/>
    <cellStyle name="20% - 강조색6 7 2 2 2 2 2" xfId="10740"/>
    <cellStyle name="20% - 강조색6 7 2 2 2 2 3" xfId="10741"/>
    <cellStyle name="20% - 강조색6 7 2 2 2 3" xfId="10742"/>
    <cellStyle name="20% - 강조색6 7 2 2 2 4" xfId="10743"/>
    <cellStyle name="20% - 강조색6 7 2 2 3" xfId="10744"/>
    <cellStyle name="20% - 강조색6 7 2 2 3 2" xfId="10745"/>
    <cellStyle name="20% - 강조색6 7 2 2 3 3" xfId="10746"/>
    <cellStyle name="20% - 강조색6 7 2 2 4" xfId="10747"/>
    <cellStyle name="20% - 강조색6 7 2 2 5" xfId="10748"/>
    <cellStyle name="20% - 강조색6 7 2 3" xfId="10749"/>
    <cellStyle name="20% - 강조색6 7 2 3 2" xfId="10750"/>
    <cellStyle name="20% - 강조색6 7 2 3 2 2" xfId="10751"/>
    <cellStyle name="20% - 강조색6 7 2 3 2 2 2" xfId="10752"/>
    <cellStyle name="20% - 강조색6 7 2 3 2 2 3" xfId="10753"/>
    <cellStyle name="20% - 강조색6 7 2 3 2 3" xfId="10754"/>
    <cellStyle name="20% - 강조색6 7 2 3 2 4" xfId="10755"/>
    <cellStyle name="20% - 강조색6 7 2 3 3" xfId="10756"/>
    <cellStyle name="20% - 강조색6 7 2 3 3 2" xfId="10757"/>
    <cellStyle name="20% - 강조색6 7 2 3 3 3" xfId="10758"/>
    <cellStyle name="20% - 강조색6 7 2 3 4" xfId="10759"/>
    <cellStyle name="20% - 강조색6 7 2 3 5" xfId="10760"/>
    <cellStyle name="20% - 강조색6 7 2 4" xfId="10761"/>
    <cellStyle name="20% - 강조색6 7 2 4 2" xfId="10762"/>
    <cellStyle name="20% - 강조색6 7 2 4 2 2" xfId="10763"/>
    <cellStyle name="20% - 강조색6 7 2 4 2 3" xfId="10764"/>
    <cellStyle name="20% - 강조색6 7 2 4 3" xfId="10765"/>
    <cellStyle name="20% - 강조색6 7 2 4 4" xfId="10766"/>
    <cellStyle name="20% - 강조색6 7 2 5" xfId="10767"/>
    <cellStyle name="20% - 강조색6 7 2 5 2" xfId="10768"/>
    <cellStyle name="20% - 강조색6 7 2 5 3" xfId="10769"/>
    <cellStyle name="20% - 강조색6 7 2 6" xfId="10770"/>
    <cellStyle name="20% - 강조색6 7 2 7" xfId="10771"/>
    <cellStyle name="20% - 강조색6 7 3" xfId="10772"/>
    <cellStyle name="20% - 강조색6 7 3 2" xfId="10773"/>
    <cellStyle name="20% - 강조색6 7 3 2 2" xfId="10774"/>
    <cellStyle name="20% - 강조색6 7 3 2 2 2" xfId="10775"/>
    <cellStyle name="20% - 강조색6 7 3 2 2 2 2" xfId="10776"/>
    <cellStyle name="20% - 강조색6 7 3 2 2 2 3" xfId="10777"/>
    <cellStyle name="20% - 강조색6 7 3 2 2 3" xfId="10778"/>
    <cellStyle name="20% - 강조색6 7 3 2 2 4" xfId="10779"/>
    <cellStyle name="20% - 강조색6 7 3 2 3" xfId="10780"/>
    <cellStyle name="20% - 강조색6 7 3 2 3 2" xfId="10781"/>
    <cellStyle name="20% - 강조색6 7 3 2 3 3" xfId="10782"/>
    <cellStyle name="20% - 강조색6 7 3 2 4" xfId="10783"/>
    <cellStyle name="20% - 강조색6 7 3 2 5" xfId="10784"/>
    <cellStyle name="20% - 강조색6 7 3 3" xfId="10785"/>
    <cellStyle name="20% - 강조색6 7 3 3 2" xfId="10786"/>
    <cellStyle name="20% - 강조색6 7 3 3 2 2" xfId="10787"/>
    <cellStyle name="20% - 강조색6 7 3 3 2 2 2" xfId="10788"/>
    <cellStyle name="20% - 강조색6 7 3 3 2 2 3" xfId="10789"/>
    <cellStyle name="20% - 강조색6 7 3 3 2 3" xfId="10790"/>
    <cellStyle name="20% - 강조색6 7 3 3 2 4" xfId="10791"/>
    <cellStyle name="20% - 강조색6 7 3 3 3" xfId="10792"/>
    <cellStyle name="20% - 강조색6 7 3 3 3 2" xfId="10793"/>
    <cellStyle name="20% - 강조색6 7 3 3 3 3" xfId="10794"/>
    <cellStyle name="20% - 강조색6 7 3 3 4" xfId="10795"/>
    <cellStyle name="20% - 강조색6 7 3 3 5" xfId="10796"/>
    <cellStyle name="20% - 강조색6 7 3 4" xfId="10797"/>
    <cellStyle name="20% - 강조색6 7 3 4 2" xfId="10798"/>
    <cellStyle name="20% - 강조색6 7 3 4 2 2" xfId="10799"/>
    <cellStyle name="20% - 강조색6 7 3 4 2 3" xfId="10800"/>
    <cellStyle name="20% - 강조색6 7 3 4 3" xfId="10801"/>
    <cellStyle name="20% - 강조색6 7 3 4 4" xfId="10802"/>
    <cellStyle name="20% - 강조색6 7 3 5" xfId="10803"/>
    <cellStyle name="20% - 강조색6 7 3 5 2" xfId="10804"/>
    <cellStyle name="20% - 강조색6 7 3 5 3" xfId="10805"/>
    <cellStyle name="20% - 강조색6 7 3 6" xfId="10806"/>
    <cellStyle name="20% - 강조색6 7 3 7" xfId="10807"/>
    <cellStyle name="20% - 강조색6 7 4" xfId="10808"/>
    <cellStyle name="20% - 강조색6 7 4 2" xfId="10809"/>
    <cellStyle name="20% - 강조색6 7 4 2 2" xfId="10810"/>
    <cellStyle name="20% - 강조색6 7 4 2 2 2" xfId="10811"/>
    <cellStyle name="20% - 강조색6 7 4 2 2 3" xfId="10812"/>
    <cellStyle name="20% - 강조색6 7 4 2 3" xfId="10813"/>
    <cellStyle name="20% - 강조색6 7 4 2 4" xfId="10814"/>
    <cellStyle name="20% - 강조색6 7 4 3" xfId="10815"/>
    <cellStyle name="20% - 강조색6 7 4 3 2" xfId="10816"/>
    <cellStyle name="20% - 강조색6 7 4 3 3" xfId="10817"/>
    <cellStyle name="20% - 강조색6 7 4 4" xfId="10818"/>
    <cellStyle name="20% - 강조색6 7 4 5" xfId="10819"/>
    <cellStyle name="20% - 강조색6 7 5" xfId="10820"/>
    <cellStyle name="20% - 강조색6 7 5 2" xfId="10821"/>
    <cellStyle name="20% - 강조색6 7 5 2 2" xfId="10822"/>
    <cellStyle name="20% - 강조색6 7 5 2 2 2" xfId="10823"/>
    <cellStyle name="20% - 강조색6 7 5 2 2 3" xfId="10824"/>
    <cellStyle name="20% - 강조색6 7 5 2 3" xfId="10825"/>
    <cellStyle name="20% - 강조색6 7 5 2 4" xfId="10826"/>
    <cellStyle name="20% - 강조색6 7 5 3" xfId="10827"/>
    <cellStyle name="20% - 강조색6 7 5 3 2" xfId="10828"/>
    <cellStyle name="20% - 강조색6 7 5 3 3" xfId="10829"/>
    <cellStyle name="20% - 강조색6 7 5 4" xfId="10830"/>
    <cellStyle name="20% - 강조색6 7 5 5" xfId="10831"/>
    <cellStyle name="20% - 강조색6 7 6" xfId="10832"/>
    <cellStyle name="20% - 강조색6 7 6 2" xfId="10833"/>
    <cellStyle name="20% - 강조색6 7 6 2 2" xfId="10834"/>
    <cellStyle name="20% - 강조색6 7 6 2 2 2" xfId="10835"/>
    <cellStyle name="20% - 강조색6 7 6 2 2 3" xfId="10836"/>
    <cellStyle name="20% - 강조색6 7 6 2 3" xfId="10837"/>
    <cellStyle name="20% - 강조색6 7 6 2 4" xfId="10838"/>
    <cellStyle name="20% - 강조색6 7 6 3" xfId="10839"/>
    <cellStyle name="20% - 강조색6 7 6 3 2" xfId="10840"/>
    <cellStyle name="20% - 강조색6 7 6 3 3" xfId="10841"/>
    <cellStyle name="20% - 강조색6 7 6 4" xfId="10842"/>
    <cellStyle name="20% - 강조색6 7 6 5" xfId="10843"/>
    <cellStyle name="20% - 강조색6 7 7" xfId="10844"/>
    <cellStyle name="20% - 강조색6 7 7 2" xfId="10845"/>
    <cellStyle name="20% - 강조색6 7 7 2 2" xfId="10846"/>
    <cellStyle name="20% - 강조색6 7 7 2 3" xfId="10847"/>
    <cellStyle name="20% - 강조색6 7 7 3" xfId="10848"/>
    <cellStyle name="20% - 강조색6 7 7 4" xfId="10849"/>
    <cellStyle name="20% - 강조색6 7 8" xfId="10850"/>
    <cellStyle name="20% - 강조색6 7 8 2" xfId="10851"/>
    <cellStyle name="20% - 강조색6 7 8 3" xfId="10852"/>
    <cellStyle name="20% - 강조색6 7 9" xfId="10853"/>
    <cellStyle name="20% - 강조색6 8" xfId="10854"/>
    <cellStyle name="20% - 강조색6 8 2" xfId="10855"/>
    <cellStyle name="20% - 강조색6 8 2 2" xfId="10856"/>
    <cellStyle name="20% - 강조색6 8 2 2 2" xfId="10857"/>
    <cellStyle name="20% - 강조색6 8 2 2 2 2" xfId="10858"/>
    <cellStyle name="20% - 강조색6 8 2 2 2 3" xfId="10859"/>
    <cellStyle name="20% - 강조색6 8 2 2 3" xfId="10860"/>
    <cellStyle name="20% - 강조색6 8 2 2 4" xfId="10861"/>
    <cellStyle name="20% - 강조색6 8 2 3" xfId="10862"/>
    <cellStyle name="20% - 강조색6 8 2 3 2" xfId="10863"/>
    <cellStyle name="20% - 강조색6 8 2 3 3" xfId="10864"/>
    <cellStyle name="20% - 강조색6 8 2 4" xfId="10865"/>
    <cellStyle name="20% - 강조색6 8 2 5" xfId="10866"/>
    <cellStyle name="20% - 강조색6 8 3" xfId="10867"/>
    <cellStyle name="20% - 강조색6 8 3 2" xfId="10868"/>
    <cellStyle name="20% - 강조색6 8 3 2 2" xfId="10869"/>
    <cellStyle name="20% - 강조색6 8 3 2 2 2" xfId="10870"/>
    <cellStyle name="20% - 강조색6 8 3 2 2 3" xfId="10871"/>
    <cellStyle name="20% - 강조색6 8 3 2 3" xfId="10872"/>
    <cellStyle name="20% - 강조색6 8 3 2 4" xfId="10873"/>
    <cellStyle name="20% - 강조색6 8 3 3" xfId="10874"/>
    <cellStyle name="20% - 강조색6 8 3 3 2" xfId="10875"/>
    <cellStyle name="20% - 강조색6 8 3 3 3" xfId="10876"/>
    <cellStyle name="20% - 강조색6 8 3 4" xfId="10877"/>
    <cellStyle name="20% - 강조색6 8 3 5" xfId="10878"/>
    <cellStyle name="20% - 강조색6 8 4" xfId="10879"/>
    <cellStyle name="20% - 강조색6 8 4 2" xfId="10880"/>
    <cellStyle name="20% - 강조색6 8 4 2 2" xfId="10881"/>
    <cellStyle name="20% - 강조색6 8 4 2 3" xfId="10882"/>
    <cellStyle name="20% - 강조색6 8 4 3" xfId="10883"/>
    <cellStyle name="20% - 강조색6 8 4 4" xfId="10884"/>
    <cellStyle name="20% - 강조색6 8 5" xfId="10885"/>
    <cellStyle name="20% - 강조색6 8 5 2" xfId="10886"/>
    <cellStyle name="20% - 강조색6 8 5 3" xfId="10887"/>
    <cellStyle name="20% - 강조색6 8 6" xfId="10888"/>
    <cellStyle name="20% - 강조색6 8 7" xfId="10889"/>
    <cellStyle name="20% - 강조색6 9" xfId="10890"/>
    <cellStyle name="20% - 강조색6 9 2" xfId="10891"/>
    <cellStyle name="20% - 강조색6 9 2 2" xfId="10892"/>
    <cellStyle name="20% - 강조색6 9 2 2 2" xfId="10893"/>
    <cellStyle name="20% - 강조색6 9 2 2 2 2" xfId="10894"/>
    <cellStyle name="20% - 강조색6 9 2 2 2 3" xfId="10895"/>
    <cellStyle name="20% - 강조색6 9 2 2 3" xfId="10896"/>
    <cellStyle name="20% - 강조색6 9 2 2 4" xfId="10897"/>
    <cellStyle name="20% - 강조색6 9 2 3" xfId="10898"/>
    <cellStyle name="20% - 강조색6 9 2 3 2" xfId="10899"/>
    <cellStyle name="20% - 강조색6 9 2 3 3" xfId="10900"/>
    <cellStyle name="20% - 강조색6 9 2 4" xfId="10901"/>
    <cellStyle name="20% - 강조색6 9 2 5" xfId="10902"/>
    <cellStyle name="20% - 강조색6 9 3" xfId="10903"/>
    <cellStyle name="20% - 강조색6 9 3 2" xfId="10904"/>
    <cellStyle name="20% - 강조색6 9 3 2 2" xfId="10905"/>
    <cellStyle name="20% - 강조색6 9 3 2 2 2" xfId="10906"/>
    <cellStyle name="20% - 강조색6 9 3 2 2 3" xfId="10907"/>
    <cellStyle name="20% - 강조색6 9 3 2 3" xfId="10908"/>
    <cellStyle name="20% - 강조색6 9 3 2 4" xfId="10909"/>
    <cellStyle name="20% - 강조색6 9 3 3" xfId="10910"/>
    <cellStyle name="20% - 강조색6 9 3 3 2" xfId="10911"/>
    <cellStyle name="20% - 강조색6 9 3 3 3" xfId="10912"/>
    <cellStyle name="20% - 강조색6 9 3 4" xfId="10913"/>
    <cellStyle name="20% - 강조색6 9 3 5" xfId="10914"/>
    <cellStyle name="20% - 강조색6 9 4" xfId="10915"/>
    <cellStyle name="20% - 강조색6 9 4 2" xfId="10916"/>
    <cellStyle name="20% - 강조색6 9 4 2 2" xfId="10917"/>
    <cellStyle name="20% - 강조색6 9 4 2 3" xfId="10918"/>
    <cellStyle name="20% - 강조색6 9 4 3" xfId="10919"/>
    <cellStyle name="20% - 강조색6 9 4 4" xfId="10920"/>
    <cellStyle name="20% - 강조색6 9 5" xfId="10921"/>
    <cellStyle name="20% - 강조색6 9 5 2" xfId="10922"/>
    <cellStyle name="20% - 강조색6 9 5 3" xfId="10923"/>
    <cellStyle name="20% - 강조색6 9 6" xfId="10924"/>
    <cellStyle name="20% - 강조색6 9 7" xfId="10925"/>
    <cellStyle name="40% - Accent1 2" xfId="10927"/>
    <cellStyle name="40% - Accent1 2 2" xfId="10928"/>
    <cellStyle name="40% - Accent1 3" xfId="10929"/>
    <cellStyle name="40% - Accent1 3 2" xfId="10930"/>
    <cellStyle name="40% - Accent1 3 2 2" xfId="10931"/>
    <cellStyle name="40% - Accent1 4" xfId="10932"/>
    <cellStyle name="40% - Accent1 5" xfId="10926"/>
    <cellStyle name="40% - Accent2 2" xfId="10934"/>
    <cellStyle name="40% - Accent2 2 2" xfId="10935"/>
    <cellStyle name="40% - Accent2 3" xfId="10936"/>
    <cellStyle name="40% - Accent2 3 2" xfId="10937"/>
    <cellStyle name="40% - Accent2 3 2 2" xfId="10938"/>
    <cellStyle name="40% - Accent2 4" xfId="10939"/>
    <cellStyle name="40% - Accent2 5" xfId="10933"/>
    <cellStyle name="40% - Accent3 2" xfId="10941"/>
    <cellStyle name="40% - Accent3 2 2" xfId="10942"/>
    <cellStyle name="40% - Accent3 3" xfId="10943"/>
    <cellStyle name="40% - Accent3 3 2" xfId="10944"/>
    <cellStyle name="40% - Accent3 3 2 2" xfId="10945"/>
    <cellStyle name="40% - Accent3 4" xfId="10946"/>
    <cellStyle name="40% - Accent3 5" xfId="10940"/>
    <cellStyle name="40% - Accent4 2" xfId="10948"/>
    <cellStyle name="40% - Accent4 2 2" xfId="10949"/>
    <cellStyle name="40% - Accent4 3" xfId="10950"/>
    <cellStyle name="40% - Accent4 3 2" xfId="10951"/>
    <cellStyle name="40% - Accent4 3 2 2" xfId="10952"/>
    <cellStyle name="40% - Accent4 4" xfId="10953"/>
    <cellStyle name="40% - Accent4 5" xfId="10947"/>
    <cellStyle name="40% - Accent5 2" xfId="10955"/>
    <cellStyle name="40% - Accent5 2 2" xfId="10956"/>
    <cellStyle name="40% - Accent5 3" xfId="10957"/>
    <cellStyle name="40% - Accent5 3 2" xfId="10958"/>
    <cellStyle name="40% - Accent5 3 2 2" xfId="10959"/>
    <cellStyle name="40% - Accent5 4" xfId="10960"/>
    <cellStyle name="40% - Accent5 5" xfId="10954"/>
    <cellStyle name="40% - Accent6 2" xfId="10962"/>
    <cellStyle name="40% - Accent6 2 2" xfId="10963"/>
    <cellStyle name="40% - Accent6 3" xfId="10964"/>
    <cellStyle name="40% - Accent6 3 2" xfId="10965"/>
    <cellStyle name="40% - Accent6 3 2 2" xfId="10966"/>
    <cellStyle name="40% - Accent6 4" xfId="10967"/>
    <cellStyle name="40% - Accent6 5" xfId="10961"/>
    <cellStyle name="40% - 강조색1 10" xfId="10968"/>
    <cellStyle name="40% - 강조색1 10 2" xfId="10969"/>
    <cellStyle name="40% - 강조색1 10 2 2" xfId="10970"/>
    <cellStyle name="40% - 강조색1 10 2 2 2" xfId="10971"/>
    <cellStyle name="40% - 강조색1 10 2 2 2 2" xfId="10972"/>
    <cellStyle name="40% - 강조색1 10 2 2 2 3" xfId="10973"/>
    <cellStyle name="40% - 강조색1 10 2 2 3" xfId="10974"/>
    <cellStyle name="40% - 강조색1 10 2 2 4" xfId="10975"/>
    <cellStyle name="40% - 강조색1 10 2 3" xfId="10976"/>
    <cellStyle name="40% - 강조색1 10 2 3 2" xfId="10977"/>
    <cellStyle name="40% - 강조색1 10 2 3 3" xfId="10978"/>
    <cellStyle name="40% - 강조색1 10 2 4" xfId="10979"/>
    <cellStyle name="40% - 강조색1 10 2 5" xfId="10980"/>
    <cellStyle name="40% - 강조색1 10 3" xfId="10981"/>
    <cellStyle name="40% - 강조색1 10 3 2" xfId="10982"/>
    <cellStyle name="40% - 강조색1 10 3 2 2" xfId="10983"/>
    <cellStyle name="40% - 강조색1 10 3 2 2 2" xfId="10984"/>
    <cellStyle name="40% - 강조색1 10 3 2 2 3" xfId="10985"/>
    <cellStyle name="40% - 강조색1 10 3 2 3" xfId="10986"/>
    <cellStyle name="40% - 강조색1 10 3 2 4" xfId="10987"/>
    <cellStyle name="40% - 강조색1 10 3 3" xfId="10988"/>
    <cellStyle name="40% - 강조색1 10 3 3 2" xfId="10989"/>
    <cellStyle name="40% - 강조색1 10 3 3 3" xfId="10990"/>
    <cellStyle name="40% - 강조색1 10 3 4" xfId="10991"/>
    <cellStyle name="40% - 강조색1 10 3 5" xfId="10992"/>
    <cellStyle name="40% - 강조색1 10 4" xfId="10993"/>
    <cellStyle name="40% - 강조색1 10 4 2" xfId="10994"/>
    <cellStyle name="40% - 강조색1 10 4 2 2" xfId="10995"/>
    <cellStyle name="40% - 강조색1 10 4 2 3" xfId="10996"/>
    <cellStyle name="40% - 강조색1 10 4 3" xfId="10997"/>
    <cellStyle name="40% - 강조색1 10 4 4" xfId="10998"/>
    <cellStyle name="40% - 강조색1 10 5" xfId="10999"/>
    <cellStyle name="40% - 강조색1 10 5 2" xfId="11000"/>
    <cellStyle name="40% - 강조색1 10 5 3" xfId="11001"/>
    <cellStyle name="40% - 강조색1 10 6" xfId="11002"/>
    <cellStyle name="40% - 강조색1 10 7" xfId="11003"/>
    <cellStyle name="40% - 강조색1 11" xfId="11004"/>
    <cellStyle name="40% - 강조색1 11 2" xfId="11005"/>
    <cellStyle name="40% - 강조색1 11 2 2" xfId="11006"/>
    <cellStyle name="40% - 강조색1 11 2 2 2" xfId="11007"/>
    <cellStyle name="40% - 강조색1 11 2 2 3" xfId="11008"/>
    <cellStyle name="40% - 강조색1 11 2 3" xfId="11009"/>
    <cellStyle name="40% - 강조색1 11 2 4" xfId="11010"/>
    <cellStyle name="40% - 강조색1 11 3" xfId="11011"/>
    <cellStyle name="40% - 강조색1 11 3 2" xfId="11012"/>
    <cellStyle name="40% - 강조색1 11 3 3" xfId="11013"/>
    <cellStyle name="40% - 강조색1 11 4" xfId="11014"/>
    <cellStyle name="40% - 강조색1 11 5" xfId="11015"/>
    <cellStyle name="40% - 강조색1 12" xfId="11016"/>
    <cellStyle name="40% - 강조색1 12 2" xfId="11017"/>
    <cellStyle name="40% - 강조색1 12 2 2" xfId="11018"/>
    <cellStyle name="40% - 강조색1 12 2 2 2" xfId="11019"/>
    <cellStyle name="40% - 강조색1 12 2 2 3" xfId="11020"/>
    <cellStyle name="40% - 강조색1 12 2 3" xfId="11021"/>
    <cellStyle name="40% - 강조색1 12 2 4" xfId="11022"/>
    <cellStyle name="40% - 강조색1 12 3" xfId="11023"/>
    <cellStyle name="40% - 강조색1 12 3 2" xfId="11024"/>
    <cellStyle name="40% - 강조색1 12 3 3" xfId="11025"/>
    <cellStyle name="40% - 강조색1 12 4" xfId="11026"/>
    <cellStyle name="40% - 강조색1 12 5" xfId="11027"/>
    <cellStyle name="40% - 강조색1 13" xfId="11028"/>
    <cellStyle name="40% - 강조색1 13 2" xfId="11029"/>
    <cellStyle name="40% - 강조색1 13 2 2" xfId="11030"/>
    <cellStyle name="40% - 강조색1 13 2 3" xfId="11031"/>
    <cellStyle name="40% - 강조색1 13 3" xfId="11032"/>
    <cellStyle name="40% - 강조색1 13 4" xfId="11033"/>
    <cellStyle name="40% - 강조색1 14" xfId="11034"/>
    <cellStyle name="40% - 강조색1 14 2" xfId="11035"/>
    <cellStyle name="40% - 강조색1 14 2 2" xfId="11036"/>
    <cellStyle name="40% - 강조색1 14 2 3" xfId="11037"/>
    <cellStyle name="40% - 강조색1 14 3" xfId="11038"/>
    <cellStyle name="40% - 강조색1 14 4" xfId="11039"/>
    <cellStyle name="40% - 강조색1 15" xfId="11040"/>
    <cellStyle name="40% - 강조색1 15 2" xfId="11041"/>
    <cellStyle name="40% - 강조색1 15 3" xfId="11042"/>
    <cellStyle name="40% - 강조색1 16" xfId="11043"/>
    <cellStyle name="40% - 강조색1 16 2" xfId="11044"/>
    <cellStyle name="40% - 강조색1 16 3" xfId="11045"/>
    <cellStyle name="40% - 강조색1 16 4" xfId="11046"/>
    <cellStyle name="40% - 강조색1 17" xfId="11047"/>
    <cellStyle name="40% - 강조색1 17 2" xfId="11048"/>
    <cellStyle name="40% - 강조색1 17 3" xfId="11049"/>
    <cellStyle name="40% - 강조색1 18" xfId="11050"/>
    <cellStyle name="40% - 강조색1 18 2" xfId="11051"/>
    <cellStyle name="40% - 강조색1 18 3" xfId="11052"/>
    <cellStyle name="40% - 강조색1 19" xfId="11053"/>
    <cellStyle name="40% - 강조색1 19 2" xfId="11054"/>
    <cellStyle name="40% - 강조색1 19 3" xfId="11055"/>
    <cellStyle name="40% - 강조색1 2" xfId="11056"/>
    <cellStyle name="40% - 강조색1 2 2" xfId="11057"/>
    <cellStyle name="40% - 강조색1 2 2 2" xfId="11058"/>
    <cellStyle name="40% - 강조색1 2 2 2 2" xfId="11059"/>
    <cellStyle name="40% - 강조색1 2 2 3" xfId="11060"/>
    <cellStyle name="40% - 강조색1 2 3" xfId="11061"/>
    <cellStyle name="40% - 강조색1 2 3 2" xfId="11062"/>
    <cellStyle name="40% - 강조색1 2 3 2 2" xfId="11063"/>
    <cellStyle name="40% - 강조색1 2 3 3" xfId="11064"/>
    <cellStyle name="40% - 강조색1 2 4" xfId="11065"/>
    <cellStyle name="40% - 강조색1 2 4 2" xfId="11066"/>
    <cellStyle name="40% - 강조색1 2 5" xfId="11067"/>
    <cellStyle name="40% - 강조색1 2 6" xfId="11068"/>
    <cellStyle name="40% - 강조색1 20" xfId="11069"/>
    <cellStyle name="40% - 강조색1 20 2" xfId="11070"/>
    <cellStyle name="40% - 강조색1 20 3" xfId="11071"/>
    <cellStyle name="40% - 강조색1 21" xfId="11072"/>
    <cellStyle name="40% - 강조색1 21 2" xfId="11073"/>
    <cellStyle name="40% - 강조색1 21 3" xfId="11074"/>
    <cellStyle name="40% - 강조색1 22" xfId="11075"/>
    <cellStyle name="40% - 강조색1 22 2" xfId="11076"/>
    <cellStyle name="40% - 강조색1 22 3" xfId="11077"/>
    <cellStyle name="40% - 강조색1 23" xfId="11078"/>
    <cellStyle name="40% - 강조색1 23 2" xfId="11079"/>
    <cellStyle name="40% - 강조색1 23 3" xfId="11080"/>
    <cellStyle name="40% - 강조색1 24" xfId="11081"/>
    <cellStyle name="40% - 강조색1 24 2" xfId="11082"/>
    <cellStyle name="40% - 강조색1 25" xfId="11083"/>
    <cellStyle name="40% - 강조색1 25 2" xfId="11084"/>
    <cellStyle name="40% - 강조색1 26" xfId="11085"/>
    <cellStyle name="40% - 강조색1 26 2" xfId="11086"/>
    <cellStyle name="40% - 강조색1 27" xfId="11087"/>
    <cellStyle name="40% - 강조색1 27 2" xfId="11088"/>
    <cellStyle name="40% - 강조색1 28" xfId="11089"/>
    <cellStyle name="40% - 강조색1 28 2" xfId="11090"/>
    <cellStyle name="40% - 강조색1 29" xfId="11091"/>
    <cellStyle name="40% - 강조색1 29 2" xfId="11092"/>
    <cellStyle name="40% - 강조색1 3" xfId="11093"/>
    <cellStyle name="40% - 강조색1 3 10" xfId="11094"/>
    <cellStyle name="40% - 강조색1 3 10 2" xfId="11095"/>
    <cellStyle name="40% - 강조색1 3 10 2 2" xfId="11096"/>
    <cellStyle name="40% - 강조색1 3 10 2 3" xfId="11097"/>
    <cellStyle name="40% - 강조색1 3 10 3" xfId="11098"/>
    <cellStyle name="40% - 강조색1 3 10 4" xfId="11099"/>
    <cellStyle name="40% - 강조색1 3 11" xfId="11100"/>
    <cellStyle name="40% - 강조색1 3 11 2" xfId="11101"/>
    <cellStyle name="40% - 강조색1 3 11 3" xfId="11102"/>
    <cellStyle name="40% - 강조색1 3 12" xfId="11103"/>
    <cellStyle name="40% - 강조색1 3 13" xfId="11104"/>
    <cellStyle name="40% - 강조색1 3 14" xfId="11105"/>
    <cellStyle name="40% - 강조색1 3 15" xfId="11106"/>
    <cellStyle name="40% - 강조색1 3 2" xfId="11107"/>
    <cellStyle name="40% - 강조색1 3 2 10" xfId="11108"/>
    <cellStyle name="40% - 강조색1 3 2 11" xfId="11109"/>
    <cellStyle name="40% - 강조색1 3 2 12" xfId="11110"/>
    <cellStyle name="40% - 강조색1 3 2 2" xfId="11111"/>
    <cellStyle name="40% - 강조색1 3 2 2 2" xfId="11112"/>
    <cellStyle name="40% - 강조색1 3 2 2 2 2" xfId="11113"/>
    <cellStyle name="40% - 강조색1 3 2 2 2 2 2" xfId="11114"/>
    <cellStyle name="40% - 강조색1 3 2 2 2 2 2 2" xfId="11115"/>
    <cellStyle name="40% - 강조색1 3 2 2 2 2 2 3" xfId="11116"/>
    <cellStyle name="40% - 강조색1 3 2 2 2 2 3" xfId="11117"/>
    <cellStyle name="40% - 강조색1 3 2 2 2 2 4" xfId="11118"/>
    <cellStyle name="40% - 강조색1 3 2 2 2 3" xfId="11119"/>
    <cellStyle name="40% - 강조색1 3 2 2 2 3 2" xfId="11120"/>
    <cellStyle name="40% - 강조색1 3 2 2 2 3 3" xfId="11121"/>
    <cellStyle name="40% - 강조색1 3 2 2 2 4" xfId="11122"/>
    <cellStyle name="40% - 강조색1 3 2 2 2 5" xfId="11123"/>
    <cellStyle name="40% - 강조색1 3 2 2 3" xfId="11124"/>
    <cellStyle name="40% - 강조색1 3 2 2 3 2" xfId="11125"/>
    <cellStyle name="40% - 강조색1 3 2 2 3 2 2" xfId="11126"/>
    <cellStyle name="40% - 강조색1 3 2 2 3 2 2 2" xfId="11127"/>
    <cellStyle name="40% - 강조색1 3 2 2 3 2 2 3" xfId="11128"/>
    <cellStyle name="40% - 강조색1 3 2 2 3 2 3" xfId="11129"/>
    <cellStyle name="40% - 강조색1 3 2 2 3 2 4" xfId="11130"/>
    <cellStyle name="40% - 강조색1 3 2 2 3 3" xfId="11131"/>
    <cellStyle name="40% - 강조색1 3 2 2 3 3 2" xfId="11132"/>
    <cellStyle name="40% - 강조색1 3 2 2 3 3 3" xfId="11133"/>
    <cellStyle name="40% - 강조색1 3 2 2 3 4" xfId="11134"/>
    <cellStyle name="40% - 강조색1 3 2 2 3 5" xfId="11135"/>
    <cellStyle name="40% - 강조색1 3 2 2 4" xfId="11136"/>
    <cellStyle name="40% - 강조색1 3 2 2 4 2" xfId="11137"/>
    <cellStyle name="40% - 강조색1 3 2 2 4 2 2" xfId="11138"/>
    <cellStyle name="40% - 강조색1 3 2 2 4 2 3" xfId="11139"/>
    <cellStyle name="40% - 강조색1 3 2 2 4 3" xfId="11140"/>
    <cellStyle name="40% - 강조색1 3 2 2 4 4" xfId="11141"/>
    <cellStyle name="40% - 강조색1 3 2 2 5" xfId="11142"/>
    <cellStyle name="40% - 강조색1 3 2 2 5 2" xfId="11143"/>
    <cellStyle name="40% - 강조색1 3 2 2 5 3" xfId="11144"/>
    <cellStyle name="40% - 강조색1 3 2 2 6" xfId="11145"/>
    <cellStyle name="40% - 강조색1 3 2 2 7" xfId="11146"/>
    <cellStyle name="40% - 강조색1 3 2 2 8" xfId="11147"/>
    <cellStyle name="40% - 강조색1 3 2 2 9" xfId="11148"/>
    <cellStyle name="40% - 강조색1 3 2 3" xfId="11149"/>
    <cellStyle name="40% - 강조색1 3 2 3 2" xfId="11150"/>
    <cellStyle name="40% - 강조색1 3 2 3 2 2" xfId="11151"/>
    <cellStyle name="40% - 강조색1 3 2 3 2 2 2" xfId="11152"/>
    <cellStyle name="40% - 강조색1 3 2 3 2 2 2 2" xfId="11153"/>
    <cellStyle name="40% - 강조색1 3 2 3 2 2 2 3" xfId="11154"/>
    <cellStyle name="40% - 강조색1 3 2 3 2 2 3" xfId="11155"/>
    <cellStyle name="40% - 강조색1 3 2 3 2 2 4" xfId="11156"/>
    <cellStyle name="40% - 강조색1 3 2 3 2 3" xfId="11157"/>
    <cellStyle name="40% - 강조색1 3 2 3 2 3 2" xfId="11158"/>
    <cellStyle name="40% - 강조색1 3 2 3 2 3 3" xfId="11159"/>
    <cellStyle name="40% - 강조색1 3 2 3 2 4" xfId="11160"/>
    <cellStyle name="40% - 강조색1 3 2 3 2 5" xfId="11161"/>
    <cellStyle name="40% - 강조색1 3 2 3 3" xfId="11162"/>
    <cellStyle name="40% - 강조색1 3 2 3 3 2" xfId="11163"/>
    <cellStyle name="40% - 강조색1 3 2 3 3 2 2" xfId="11164"/>
    <cellStyle name="40% - 강조색1 3 2 3 3 2 2 2" xfId="11165"/>
    <cellStyle name="40% - 강조색1 3 2 3 3 2 2 3" xfId="11166"/>
    <cellStyle name="40% - 강조색1 3 2 3 3 2 3" xfId="11167"/>
    <cellStyle name="40% - 강조색1 3 2 3 3 2 4" xfId="11168"/>
    <cellStyle name="40% - 강조색1 3 2 3 3 3" xfId="11169"/>
    <cellStyle name="40% - 강조색1 3 2 3 3 3 2" xfId="11170"/>
    <cellStyle name="40% - 강조색1 3 2 3 3 3 3" xfId="11171"/>
    <cellStyle name="40% - 강조색1 3 2 3 3 4" xfId="11172"/>
    <cellStyle name="40% - 강조색1 3 2 3 3 5" xfId="11173"/>
    <cellStyle name="40% - 강조색1 3 2 3 4" xfId="11174"/>
    <cellStyle name="40% - 강조색1 3 2 3 4 2" xfId="11175"/>
    <cellStyle name="40% - 강조색1 3 2 3 4 2 2" xfId="11176"/>
    <cellStyle name="40% - 강조색1 3 2 3 4 2 3" xfId="11177"/>
    <cellStyle name="40% - 강조색1 3 2 3 4 3" xfId="11178"/>
    <cellStyle name="40% - 강조색1 3 2 3 4 4" xfId="11179"/>
    <cellStyle name="40% - 강조색1 3 2 3 5" xfId="11180"/>
    <cellStyle name="40% - 강조색1 3 2 3 5 2" xfId="11181"/>
    <cellStyle name="40% - 강조색1 3 2 3 5 3" xfId="11182"/>
    <cellStyle name="40% - 강조색1 3 2 3 6" xfId="11183"/>
    <cellStyle name="40% - 강조색1 3 2 3 7" xfId="11184"/>
    <cellStyle name="40% - 강조색1 3 2 4" xfId="11185"/>
    <cellStyle name="40% - 강조색1 3 2 4 2" xfId="11186"/>
    <cellStyle name="40% - 강조색1 3 2 4 2 2" xfId="11187"/>
    <cellStyle name="40% - 강조색1 3 2 4 2 2 2" xfId="11188"/>
    <cellStyle name="40% - 강조색1 3 2 4 2 2 3" xfId="11189"/>
    <cellStyle name="40% - 강조색1 3 2 4 2 3" xfId="11190"/>
    <cellStyle name="40% - 강조색1 3 2 4 2 4" xfId="11191"/>
    <cellStyle name="40% - 강조색1 3 2 4 3" xfId="11192"/>
    <cellStyle name="40% - 강조색1 3 2 4 3 2" xfId="11193"/>
    <cellStyle name="40% - 강조색1 3 2 4 3 3" xfId="11194"/>
    <cellStyle name="40% - 강조색1 3 2 4 4" xfId="11195"/>
    <cellStyle name="40% - 강조색1 3 2 4 5" xfId="11196"/>
    <cellStyle name="40% - 강조색1 3 2 5" xfId="11197"/>
    <cellStyle name="40% - 강조색1 3 2 5 2" xfId="11198"/>
    <cellStyle name="40% - 강조색1 3 2 5 2 2" xfId="11199"/>
    <cellStyle name="40% - 강조색1 3 2 5 2 2 2" xfId="11200"/>
    <cellStyle name="40% - 강조색1 3 2 5 2 2 3" xfId="11201"/>
    <cellStyle name="40% - 강조색1 3 2 5 2 3" xfId="11202"/>
    <cellStyle name="40% - 강조색1 3 2 5 2 4" xfId="11203"/>
    <cellStyle name="40% - 강조색1 3 2 5 3" xfId="11204"/>
    <cellStyle name="40% - 강조색1 3 2 5 3 2" xfId="11205"/>
    <cellStyle name="40% - 강조색1 3 2 5 3 3" xfId="11206"/>
    <cellStyle name="40% - 강조색1 3 2 5 4" xfId="11207"/>
    <cellStyle name="40% - 강조색1 3 2 5 5" xfId="11208"/>
    <cellStyle name="40% - 강조색1 3 2 6" xfId="11209"/>
    <cellStyle name="40% - 강조색1 3 2 6 2" xfId="11210"/>
    <cellStyle name="40% - 강조색1 3 2 6 2 2" xfId="11211"/>
    <cellStyle name="40% - 강조색1 3 2 6 2 2 2" xfId="11212"/>
    <cellStyle name="40% - 강조색1 3 2 6 2 2 3" xfId="11213"/>
    <cellStyle name="40% - 강조색1 3 2 6 2 3" xfId="11214"/>
    <cellStyle name="40% - 강조색1 3 2 6 2 4" xfId="11215"/>
    <cellStyle name="40% - 강조색1 3 2 6 3" xfId="11216"/>
    <cellStyle name="40% - 강조색1 3 2 6 3 2" xfId="11217"/>
    <cellStyle name="40% - 강조색1 3 2 6 3 3" xfId="11218"/>
    <cellStyle name="40% - 강조색1 3 2 6 4" xfId="11219"/>
    <cellStyle name="40% - 강조색1 3 2 6 5" xfId="11220"/>
    <cellStyle name="40% - 강조색1 3 2 7" xfId="11221"/>
    <cellStyle name="40% - 강조색1 3 2 7 2" xfId="11222"/>
    <cellStyle name="40% - 강조색1 3 2 7 2 2" xfId="11223"/>
    <cellStyle name="40% - 강조색1 3 2 7 2 3" xfId="11224"/>
    <cellStyle name="40% - 강조색1 3 2 7 3" xfId="11225"/>
    <cellStyle name="40% - 강조색1 3 2 7 4" xfId="11226"/>
    <cellStyle name="40% - 강조색1 3 2 8" xfId="11227"/>
    <cellStyle name="40% - 강조색1 3 2 8 2" xfId="11228"/>
    <cellStyle name="40% - 강조색1 3 2 8 3" xfId="11229"/>
    <cellStyle name="40% - 강조색1 3 2 9" xfId="11230"/>
    <cellStyle name="40% - 강조색1 3 3" xfId="11231"/>
    <cellStyle name="40% - 강조색1 3 3 10" xfId="11232"/>
    <cellStyle name="40% - 강조색1 3 3 11" xfId="11233"/>
    <cellStyle name="40% - 강조색1 3 3 12" xfId="11234"/>
    <cellStyle name="40% - 강조색1 3 3 2" xfId="11235"/>
    <cellStyle name="40% - 강조색1 3 3 2 2" xfId="11236"/>
    <cellStyle name="40% - 강조색1 3 3 2 2 2" xfId="11237"/>
    <cellStyle name="40% - 강조색1 3 3 2 2 2 2" xfId="11238"/>
    <cellStyle name="40% - 강조색1 3 3 2 2 2 2 2" xfId="11239"/>
    <cellStyle name="40% - 강조색1 3 3 2 2 2 2 3" xfId="11240"/>
    <cellStyle name="40% - 강조색1 3 3 2 2 2 3" xfId="11241"/>
    <cellStyle name="40% - 강조색1 3 3 2 2 2 4" xfId="11242"/>
    <cellStyle name="40% - 강조색1 3 3 2 2 3" xfId="11243"/>
    <cellStyle name="40% - 강조색1 3 3 2 2 3 2" xfId="11244"/>
    <cellStyle name="40% - 강조색1 3 3 2 2 3 3" xfId="11245"/>
    <cellStyle name="40% - 강조색1 3 3 2 2 4" xfId="11246"/>
    <cellStyle name="40% - 강조색1 3 3 2 2 5" xfId="11247"/>
    <cellStyle name="40% - 강조색1 3 3 2 3" xfId="11248"/>
    <cellStyle name="40% - 강조색1 3 3 2 3 2" xfId="11249"/>
    <cellStyle name="40% - 강조색1 3 3 2 3 2 2" xfId="11250"/>
    <cellStyle name="40% - 강조색1 3 3 2 3 2 2 2" xfId="11251"/>
    <cellStyle name="40% - 강조색1 3 3 2 3 2 2 3" xfId="11252"/>
    <cellStyle name="40% - 강조색1 3 3 2 3 2 3" xfId="11253"/>
    <cellStyle name="40% - 강조색1 3 3 2 3 2 4" xfId="11254"/>
    <cellStyle name="40% - 강조색1 3 3 2 3 3" xfId="11255"/>
    <cellStyle name="40% - 강조색1 3 3 2 3 3 2" xfId="11256"/>
    <cellStyle name="40% - 강조색1 3 3 2 3 3 3" xfId="11257"/>
    <cellStyle name="40% - 강조색1 3 3 2 3 4" xfId="11258"/>
    <cellStyle name="40% - 강조색1 3 3 2 3 5" xfId="11259"/>
    <cellStyle name="40% - 강조색1 3 3 2 4" xfId="11260"/>
    <cellStyle name="40% - 강조색1 3 3 2 4 2" xfId="11261"/>
    <cellStyle name="40% - 강조색1 3 3 2 4 2 2" xfId="11262"/>
    <cellStyle name="40% - 강조색1 3 3 2 4 2 3" xfId="11263"/>
    <cellStyle name="40% - 강조색1 3 3 2 4 3" xfId="11264"/>
    <cellStyle name="40% - 강조색1 3 3 2 4 4" xfId="11265"/>
    <cellStyle name="40% - 강조색1 3 3 2 5" xfId="11266"/>
    <cellStyle name="40% - 강조색1 3 3 2 5 2" xfId="11267"/>
    <cellStyle name="40% - 강조색1 3 3 2 5 3" xfId="11268"/>
    <cellStyle name="40% - 강조색1 3 3 2 6" xfId="11269"/>
    <cellStyle name="40% - 강조색1 3 3 2 7" xfId="11270"/>
    <cellStyle name="40% - 강조색1 3 3 2 8" xfId="11271"/>
    <cellStyle name="40% - 강조색1 3 3 2 9" xfId="11272"/>
    <cellStyle name="40% - 강조색1 3 3 3" xfId="11273"/>
    <cellStyle name="40% - 강조색1 3 3 3 2" xfId="11274"/>
    <cellStyle name="40% - 강조색1 3 3 3 2 2" xfId="11275"/>
    <cellStyle name="40% - 강조색1 3 3 3 2 2 2" xfId="11276"/>
    <cellStyle name="40% - 강조색1 3 3 3 2 2 2 2" xfId="11277"/>
    <cellStyle name="40% - 강조색1 3 3 3 2 2 2 3" xfId="11278"/>
    <cellStyle name="40% - 강조색1 3 3 3 2 2 3" xfId="11279"/>
    <cellStyle name="40% - 강조색1 3 3 3 2 2 4" xfId="11280"/>
    <cellStyle name="40% - 강조색1 3 3 3 2 3" xfId="11281"/>
    <cellStyle name="40% - 강조색1 3 3 3 2 3 2" xfId="11282"/>
    <cellStyle name="40% - 강조색1 3 3 3 2 3 3" xfId="11283"/>
    <cellStyle name="40% - 강조색1 3 3 3 2 4" xfId="11284"/>
    <cellStyle name="40% - 강조색1 3 3 3 2 5" xfId="11285"/>
    <cellStyle name="40% - 강조색1 3 3 3 3" xfId="11286"/>
    <cellStyle name="40% - 강조색1 3 3 3 3 2" xfId="11287"/>
    <cellStyle name="40% - 강조색1 3 3 3 3 2 2" xfId="11288"/>
    <cellStyle name="40% - 강조색1 3 3 3 3 2 2 2" xfId="11289"/>
    <cellStyle name="40% - 강조색1 3 3 3 3 2 2 3" xfId="11290"/>
    <cellStyle name="40% - 강조색1 3 3 3 3 2 3" xfId="11291"/>
    <cellStyle name="40% - 강조색1 3 3 3 3 2 4" xfId="11292"/>
    <cellStyle name="40% - 강조색1 3 3 3 3 3" xfId="11293"/>
    <cellStyle name="40% - 강조색1 3 3 3 3 3 2" xfId="11294"/>
    <cellStyle name="40% - 강조색1 3 3 3 3 3 3" xfId="11295"/>
    <cellStyle name="40% - 강조색1 3 3 3 3 4" xfId="11296"/>
    <cellStyle name="40% - 강조색1 3 3 3 3 5" xfId="11297"/>
    <cellStyle name="40% - 강조색1 3 3 3 4" xfId="11298"/>
    <cellStyle name="40% - 강조색1 3 3 3 4 2" xfId="11299"/>
    <cellStyle name="40% - 강조색1 3 3 3 4 2 2" xfId="11300"/>
    <cellStyle name="40% - 강조색1 3 3 3 4 2 3" xfId="11301"/>
    <cellStyle name="40% - 강조색1 3 3 3 4 3" xfId="11302"/>
    <cellStyle name="40% - 강조색1 3 3 3 4 4" xfId="11303"/>
    <cellStyle name="40% - 강조색1 3 3 3 5" xfId="11304"/>
    <cellStyle name="40% - 강조색1 3 3 3 5 2" xfId="11305"/>
    <cellStyle name="40% - 강조색1 3 3 3 5 3" xfId="11306"/>
    <cellStyle name="40% - 강조색1 3 3 3 6" xfId="11307"/>
    <cellStyle name="40% - 강조색1 3 3 3 7" xfId="11308"/>
    <cellStyle name="40% - 강조색1 3 3 4" xfId="11309"/>
    <cellStyle name="40% - 강조색1 3 3 4 2" xfId="11310"/>
    <cellStyle name="40% - 강조색1 3 3 4 2 2" xfId="11311"/>
    <cellStyle name="40% - 강조색1 3 3 4 2 2 2" xfId="11312"/>
    <cellStyle name="40% - 강조색1 3 3 4 2 2 3" xfId="11313"/>
    <cellStyle name="40% - 강조색1 3 3 4 2 3" xfId="11314"/>
    <cellStyle name="40% - 강조색1 3 3 4 2 4" xfId="11315"/>
    <cellStyle name="40% - 강조색1 3 3 4 3" xfId="11316"/>
    <cellStyle name="40% - 강조색1 3 3 4 3 2" xfId="11317"/>
    <cellStyle name="40% - 강조색1 3 3 4 3 3" xfId="11318"/>
    <cellStyle name="40% - 강조색1 3 3 4 4" xfId="11319"/>
    <cellStyle name="40% - 강조색1 3 3 4 5" xfId="11320"/>
    <cellStyle name="40% - 강조색1 3 3 5" xfId="11321"/>
    <cellStyle name="40% - 강조색1 3 3 5 2" xfId="11322"/>
    <cellStyle name="40% - 강조색1 3 3 5 2 2" xfId="11323"/>
    <cellStyle name="40% - 강조색1 3 3 5 2 2 2" xfId="11324"/>
    <cellStyle name="40% - 강조색1 3 3 5 2 2 3" xfId="11325"/>
    <cellStyle name="40% - 강조색1 3 3 5 2 3" xfId="11326"/>
    <cellStyle name="40% - 강조색1 3 3 5 2 4" xfId="11327"/>
    <cellStyle name="40% - 강조색1 3 3 5 3" xfId="11328"/>
    <cellStyle name="40% - 강조색1 3 3 5 3 2" xfId="11329"/>
    <cellStyle name="40% - 강조색1 3 3 5 3 3" xfId="11330"/>
    <cellStyle name="40% - 강조색1 3 3 5 4" xfId="11331"/>
    <cellStyle name="40% - 강조색1 3 3 5 5" xfId="11332"/>
    <cellStyle name="40% - 강조색1 3 3 6" xfId="11333"/>
    <cellStyle name="40% - 강조색1 3 3 6 2" xfId="11334"/>
    <cellStyle name="40% - 강조색1 3 3 6 2 2" xfId="11335"/>
    <cellStyle name="40% - 강조색1 3 3 6 2 2 2" xfId="11336"/>
    <cellStyle name="40% - 강조색1 3 3 6 2 2 3" xfId="11337"/>
    <cellStyle name="40% - 강조색1 3 3 6 2 3" xfId="11338"/>
    <cellStyle name="40% - 강조색1 3 3 6 2 4" xfId="11339"/>
    <cellStyle name="40% - 강조색1 3 3 6 3" xfId="11340"/>
    <cellStyle name="40% - 강조색1 3 3 6 3 2" xfId="11341"/>
    <cellStyle name="40% - 강조색1 3 3 6 3 3" xfId="11342"/>
    <cellStyle name="40% - 강조색1 3 3 6 4" xfId="11343"/>
    <cellStyle name="40% - 강조색1 3 3 6 5" xfId="11344"/>
    <cellStyle name="40% - 강조색1 3 3 7" xfId="11345"/>
    <cellStyle name="40% - 강조색1 3 3 7 2" xfId="11346"/>
    <cellStyle name="40% - 강조색1 3 3 7 2 2" xfId="11347"/>
    <cellStyle name="40% - 강조색1 3 3 7 2 3" xfId="11348"/>
    <cellStyle name="40% - 강조색1 3 3 7 3" xfId="11349"/>
    <cellStyle name="40% - 강조색1 3 3 7 4" xfId="11350"/>
    <cellStyle name="40% - 강조색1 3 3 8" xfId="11351"/>
    <cellStyle name="40% - 강조색1 3 3 8 2" xfId="11352"/>
    <cellStyle name="40% - 강조색1 3 3 8 3" xfId="11353"/>
    <cellStyle name="40% - 강조색1 3 3 9" xfId="11354"/>
    <cellStyle name="40% - 강조색1 3 4" xfId="11355"/>
    <cellStyle name="40% - 강조색1 3 4 10" xfId="11356"/>
    <cellStyle name="40% - 강조색1 3 4 11" xfId="11357"/>
    <cellStyle name="40% - 강조색1 3 4 12" xfId="11358"/>
    <cellStyle name="40% - 강조색1 3 4 2" xfId="11359"/>
    <cellStyle name="40% - 강조색1 3 4 2 2" xfId="11360"/>
    <cellStyle name="40% - 강조색1 3 4 2 2 2" xfId="11361"/>
    <cellStyle name="40% - 강조색1 3 4 2 2 2 2" xfId="11362"/>
    <cellStyle name="40% - 강조색1 3 4 2 2 2 2 2" xfId="11363"/>
    <cellStyle name="40% - 강조색1 3 4 2 2 2 2 3" xfId="11364"/>
    <cellStyle name="40% - 강조색1 3 4 2 2 2 3" xfId="11365"/>
    <cellStyle name="40% - 강조색1 3 4 2 2 2 4" xfId="11366"/>
    <cellStyle name="40% - 강조색1 3 4 2 2 3" xfId="11367"/>
    <cellStyle name="40% - 강조색1 3 4 2 2 3 2" xfId="11368"/>
    <cellStyle name="40% - 강조색1 3 4 2 2 3 3" xfId="11369"/>
    <cellStyle name="40% - 강조색1 3 4 2 2 4" xfId="11370"/>
    <cellStyle name="40% - 강조색1 3 4 2 2 5" xfId="11371"/>
    <cellStyle name="40% - 강조색1 3 4 2 3" xfId="11372"/>
    <cellStyle name="40% - 강조색1 3 4 2 3 2" xfId="11373"/>
    <cellStyle name="40% - 강조색1 3 4 2 3 2 2" xfId="11374"/>
    <cellStyle name="40% - 강조색1 3 4 2 3 2 2 2" xfId="11375"/>
    <cellStyle name="40% - 강조색1 3 4 2 3 2 2 3" xfId="11376"/>
    <cellStyle name="40% - 강조색1 3 4 2 3 2 3" xfId="11377"/>
    <cellStyle name="40% - 강조색1 3 4 2 3 2 4" xfId="11378"/>
    <cellStyle name="40% - 강조색1 3 4 2 3 3" xfId="11379"/>
    <cellStyle name="40% - 강조색1 3 4 2 3 3 2" xfId="11380"/>
    <cellStyle name="40% - 강조색1 3 4 2 3 3 3" xfId="11381"/>
    <cellStyle name="40% - 강조색1 3 4 2 3 4" xfId="11382"/>
    <cellStyle name="40% - 강조색1 3 4 2 3 5" xfId="11383"/>
    <cellStyle name="40% - 강조색1 3 4 2 4" xfId="11384"/>
    <cellStyle name="40% - 강조색1 3 4 2 4 2" xfId="11385"/>
    <cellStyle name="40% - 강조색1 3 4 2 4 2 2" xfId="11386"/>
    <cellStyle name="40% - 강조색1 3 4 2 4 2 3" xfId="11387"/>
    <cellStyle name="40% - 강조색1 3 4 2 4 3" xfId="11388"/>
    <cellStyle name="40% - 강조색1 3 4 2 4 4" xfId="11389"/>
    <cellStyle name="40% - 강조색1 3 4 2 5" xfId="11390"/>
    <cellStyle name="40% - 강조색1 3 4 2 5 2" xfId="11391"/>
    <cellStyle name="40% - 강조색1 3 4 2 5 3" xfId="11392"/>
    <cellStyle name="40% - 강조색1 3 4 2 6" xfId="11393"/>
    <cellStyle name="40% - 강조색1 3 4 2 7" xfId="11394"/>
    <cellStyle name="40% - 강조색1 3 4 3" xfId="11395"/>
    <cellStyle name="40% - 강조색1 3 4 3 2" xfId="11396"/>
    <cellStyle name="40% - 강조색1 3 4 3 2 2" xfId="11397"/>
    <cellStyle name="40% - 강조색1 3 4 3 2 2 2" xfId="11398"/>
    <cellStyle name="40% - 강조색1 3 4 3 2 2 2 2" xfId="11399"/>
    <cellStyle name="40% - 강조색1 3 4 3 2 2 2 3" xfId="11400"/>
    <cellStyle name="40% - 강조색1 3 4 3 2 2 3" xfId="11401"/>
    <cellStyle name="40% - 강조색1 3 4 3 2 2 4" xfId="11402"/>
    <cellStyle name="40% - 강조색1 3 4 3 2 3" xfId="11403"/>
    <cellStyle name="40% - 강조색1 3 4 3 2 3 2" xfId="11404"/>
    <cellStyle name="40% - 강조색1 3 4 3 2 3 3" xfId="11405"/>
    <cellStyle name="40% - 강조색1 3 4 3 2 4" xfId="11406"/>
    <cellStyle name="40% - 강조색1 3 4 3 2 5" xfId="11407"/>
    <cellStyle name="40% - 강조색1 3 4 3 3" xfId="11408"/>
    <cellStyle name="40% - 강조색1 3 4 3 3 2" xfId="11409"/>
    <cellStyle name="40% - 강조색1 3 4 3 3 2 2" xfId="11410"/>
    <cellStyle name="40% - 강조색1 3 4 3 3 2 2 2" xfId="11411"/>
    <cellStyle name="40% - 강조색1 3 4 3 3 2 2 3" xfId="11412"/>
    <cellStyle name="40% - 강조색1 3 4 3 3 2 3" xfId="11413"/>
    <cellStyle name="40% - 강조색1 3 4 3 3 2 4" xfId="11414"/>
    <cellStyle name="40% - 강조색1 3 4 3 3 3" xfId="11415"/>
    <cellStyle name="40% - 강조색1 3 4 3 3 3 2" xfId="11416"/>
    <cellStyle name="40% - 강조색1 3 4 3 3 3 3" xfId="11417"/>
    <cellStyle name="40% - 강조색1 3 4 3 3 4" xfId="11418"/>
    <cellStyle name="40% - 강조색1 3 4 3 3 5" xfId="11419"/>
    <cellStyle name="40% - 강조색1 3 4 3 4" xfId="11420"/>
    <cellStyle name="40% - 강조색1 3 4 3 4 2" xfId="11421"/>
    <cellStyle name="40% - 강조색1 3 4 3 4 2 2" xfId="11422"/>
    <cellStyle name="40% - 강조색1 3 4 3 4 2 3" xfId="11423"/>
    <cellStyle name="40% - 강조색1 3 4 3 4 3" xfId="11424"/>
    <cellStyle name="40% - 강조색1 3 4 3 4 4" xfId="11425"/>
    <cellStyle name="40% - 강조색1 3 4 3 5" xfId="11426"/>
    <cellStyle name="40% - 강조색1 3 4 3 5 2" xfId="11427"/>
    <cellStyle name="40% - 강조색1 3 4 3 5 3" xfId="11428"/>
    <cellStyle name="40% - 강조색1 3 4 3 6" xfId="11429"/>
    <cellStyle name="40% - 강조색1 3 4 3 7" xfId="11430"/>
    <cellStyle name="40% - 강조색1 3 4 4" xfId="11431"/>
    <cellStyle name="40% - 강조색1 3 4 4 2" xfId="11432"/>
    <cellStyle name="40% - 강조색1 3 4 4 2 2" xfId="11433"/>
    <cellStyle name="40% - 강조색1 3 4 4 2 2 2" xfId="11434"/>
    <cellStyle name="40% - 강조색1 3 4 4 2 2 3" xfId="11435"/>
    <cellStyle name="40% - 강조색1 3 4 4 2 3" xfId="11436"/>
    <cellStyle name="40% - 강조색1 3 4 4 2 4" xfId="11437"/>
    <cellStyle name="40% - 강조색1 3 4 4 3" xfId="11438"/>
    <cellStyle name="40% - 강조색1 3 4 4 3 2" xfId="11439"/>
    <cellStyle name="40% - 강조색1 3 4 4 3 3" xfId="11440"/>
    <cellStyle name="40% - 강조색1 3 4 4 4" xfId="11441"/>
    <cellStyle name="40% - 강조색1 3 4 4 5" xfId="11442"/>
    <cellStyle name="40% - 강조색1 3 4 5" xfId="11443"/>
    <cellStyle name="40% - 강조색1 3 4 5 2" xfId="11444"/>
    <cellStyle name="40% - 강조색1 3 4 5 2 2" xfId="11445"/>
    <cellStyle name="40% - 강조색1 3 4 5 2 2 2" xfId="11446"/>
    <cellStyle name="40% - 강조색1 3 4 5 2 2 3" xfId="11447"/>
    <cellStyle name="40% - 강조색1 3 4 5 2 3" xfId="11448"/>
    <cellStyle name="40% - 강조색1 3 4 5 2 4" xfId="11449"/>
    <cellStyle name="40% - 강조색1 3 4 5 3" xfId="11450"/>
    <cellStyle name="40% - 강조색1 3 4 5 3 2" xfId="11451"/>
    <cellStyle name="40% - 강조색1 3 4 5 3 3" xfId="11452"/>
    <cellStyle name="40% - 강조색1 3 4 5 4" xfId="11453"/>
    <cellStyle name="40% - 강조색1 3 4 5 5" xfId="11454"/>
    <cellStyle name="40% - 강조색1 3 4 6" xfId="11455"/>
    <cellStyle name="40% - 강조색1 3 4 6 2" xfId="11456"/>
    <cellStyle name="40% - 강조색1 3 4 6 2 2" xfId="11457"/>
    <cellStyle name="40% - 강조색1 3 4 6 2 2 2" xfId="11458"/>
    <cellStyle name="40% - 강조색1 3 4 6 2 2 3" xfId="11459"/>
    <cellStyle name="40% - 강조색1 3 4 6 2 3" xfId="11460"/>
    <cellStyle name="40% - 강조색1 3 4 6 2 4" xfId="11461"/>
    <cellStyle name="40% - 강조색1 3 4 6 3" xfId="11462"/>
    <cellStyle name="40% - 강조색1 3 4 6 3 2" xfId="11463"/>
    <cellStyle name="40% - 강조색1 3 4 6 3 3" xfId="11464"/>
    <cellStyle name="40% - 강조색1 3 4 6 4" xfId="11465"/>
    <cellStyle name="40% - 강조색1 3 4 6 5" xfId="11466"/>
    <cellStyle name="40% - 강조색1 3 4 7" xfId="11467"/>
    <cellStyle name="40% - 강조색1 3 4 7 2" xfId="11468"/>
    <cellStyle name="40% - 강조색1 3 4 7 2 2" xfId="11469"/>
    <cellStyle name="40% - 강조색1 3 4 7 2 3" xfId="11470"/>
    <cellStyle name="40% - 강조색1 3 4 7 3" xfId="11471"/>
    <cellStyle name="40% - 강조색1 3 4 7 4" xfId="11472"/>
    <cellStyle name="40% - 강조색1 3 4 8" xfId="11473"/>
    <cellStyle name="40% - 강조색1 3 4 8 2" xfId="11474"/>
    <cellStyle name="40% - 강조색1 3 4 8 3" xfId="11475"/>
    <cellStyle name="40% - 강조색1 3 4 9" xfId="11476"/>
    <cellStyle name="40% - 강조색1 3 5" xfId="11477"/>
    <cellStyle name="40% - 강조색1 3 5 2" xfId="11478"/>
    <cellStyle name="40% - 강조색1 3 5 2 2" xfId="11479"/>
    <cellStyle name="40% - 강조색1 3 5 2 2 2" xfId="11480"/>
    <cellStyle name="40% - 강조색1 3 5 2 2 2 2" xfId="11481"/>
    <cellStyle name="40% - 강조색1 3 5 2 2 2 3" xfId="11482"/>
    <cellStyle name="40% - 강조색1 3 5 2 2 3" xfId="11483"/>
    <cellStyle name="40% - 강조색1 3 5 2 2 4" xfId="11484"/>
    <cellStyle name="40% - 강조색1 3 5 2 3" xfId="11485"/>
    <cellStyle name="40% - 강조색1 3 5 2 3 2" xfId="11486"/>
    <cellStyle name="40% - 강조색1 3 5 2 3 3" xfId="11487"/>
    <cellStyle name="40% - 강조색1 3 5 2 4" xfId="11488"/>
    <cellStyle name="40% - 강조색1 3 5 2 5" xfId="11489"/>
    <cellStyle name="40% - 강조색1 3 5 3" xfId="11490"/>
    <cellStyle name="40% - 강조색1 3 5 3 2" xfId="11491"/>
    <cellStyle name="40% - 강조색1 3 5 3 2 2" xfId="11492"/>
    <cellStyle name="40% - 강조색1 3 5 3 2 2 2" xfId="11493"/>
    <cellStyle name="40% - 강조색1 3 5 3 2 2 3" xfId="11494"/>
    <cellStyle name="40% - 강조색1 3 5 3 2 3" xfId="11495"/>
    <cellStyle name="40% - 강조색1 3 5 3 2 4" xfId="11496"/>
    <cellStyle name="40% - 강조색1 3 5 3 3" xfId="11497"/>
    <cellStyle name="40% - 강조색1 3 5 3 3 2" xfId="11498"/>
    <cellStyle name="40% - 강조색1 3 5 3 3 3" xfId="11499"/>
    <cellStyle name="40% - 강조색1 3 5 3 4" xfId="11500"/>
    <cellStyle name="40% - 강조색1 3 5 3 5" xfId="11501"/>
    <cellStyle name="40% - 강조색1 3 5 4" xfId="11502"/>
    <cellStyle name="40% - 강조색1 3 5 4 2" xfId="11503"/>
    <cellStyle name="40% - 강조색1 3 5 4 2 2" xfId="11504"/>
    <cellStyle name="40% - 강조색1 3 5 4 2 3" xfId="11505"/>
    <cellStyle name="40% - 강조색1 3 5 4 3" xfId="11506"/>
    <cellStyle name="40% - 강조색1 3 5 4 4" xfId="11507"/>
    <cellStyle name="40% - 강조색1 3 5 5" xfId="11508"/>
    <cellStyle name="40% - 강조색1 3 5 5 2" xfId="11509"/>
    <cellStyle name="40% - 강조색1 3 5 5 3" xfId="11510"/>
    <cellStyle name="40% - 강조색1 3 5 6" xfId="11511"/>
    <cellStyle name="40% - 강조색1 3 5 7" xfId="11512"/>
    <cellStyle name="40% - 강조색1 3 5 8" xfId="11513"/>
    <cellStyle name="40% - 강조색1 3 6" xfId="11514"/>
    <cellStyle name="40% - 강조색1 3 6 2" xfId="11515"/>
    <cellStyle name="40% - 강조색1 3 6 2 2" xfId="11516"/>
    <cellStyle name="40% - 강조색1 3 6 2 2 2" xfId="11517"/>
    <cellStyle name="40% - 강조색1 3 6 2 2 2 2" xfId="11518"/>
    <cellStyle name="40% - 강조색1 3 6 2 2 2 3" xfId="11519"/>
    <cellStyle name="40% - 강조색1 3 6 2 2 3" xfId="11520"/>
    <cellStyle name="40% - 강조색1 3 6 2 2 4" xfId="11521"/>
    <cellStyle name="40% - 강조색1 3 6 2 3" xfId="11522"/>
    <cellStyle name="40% - 강조색1 3 6 2 3 2" xfId="11523"/>
    <cellStyle name="40% - 강조색1 3 6 2 3 3" xfId="11524"/>
    <cellStyle name="40% - 강조색1 3 6 2 4" xfId="11525"/>
    <cellStyle name="40% - 강조색1 3 6 2 5" xfId="11526"/>
    <cellStyle name="40% - 강조색1 3 6 3" xfId="11527"/>
    <cellStyle name="40% - 강조색1 3 6 3 2" xfId="11528"/>
    <cellStyle name="40% - 강조색1 3 6 3 2 2" xfId="11529"/>
    <cellStyle name="40% - 강조색1 3 6 3 2 2 2" xfId="11530"/>
    <cellStyle name="40% - 강조색1 3 6 3 2 2 3" xfId="11531"/>
    <cellStyle name="40% - 강조색1 3 6 3 2 3" xfId="11532"/>
    <cellStyle name="40% - 강조색1 3 6 3 2 4" xfId="11533"/>
    <cellStyle name="40% - 강조색1 3 6 3 3" xfId="11534"/>
    <cellStyle name="40% - 강조색1 3 6 3 3 2" xfId="11535"/>
    <cellStyle name="40% - 강조색1 3 6 3 3 3" xfId="11536"/>
    <cellStyle name="40% - 강조색1 3 6 3 4" xfId="11537"/>
    <cellStyle name="40% - 강조색1 3 6 3 5" xfId="11538"/>
    <cellStyle name="40% - 강조색1 3 6 4" xfId="11539"/>
    <cellStyle name="40% - 강조색1 3 6 4 2" xfId="11540"/>
    <cellStyle name="40% - 강조색1 3 6 4 2 2" xfId="11541"/>
    <cellStyle name="40% - 강조색1 3 6 4 2 3" xfId="11542"/>
    <cellStyle name="40% - 강조색1 3 6 4 3" xfId="11543"/>
    <cellStyle name="40% - 강조색1 3 6 4 4" xfId="11544"/>
    <cellStyle name="40% - 강조색1 3 6 5" xfId="11545"/>
    <cellStyle name="40% - 강조색1 3 6 5 2" xfId="11546"/>
    <cellStyle name="40% - 강조색1 3 6 5 3" xfId="11547"/>
    <cellStyle name="40% - 강조색1 3 6 6" xfId="11548"/>
    <cellStyle name="40% - 강조색1 3 6 7" xfId="11549"/>
    <cellStyle name="40% - 강조색1 3 7" xfId="11550"/>
    <cellStyle name="40% - 강조색1 3 7 2" xfId="11551"/>
    <cellStyle name="40% - 강조색1 3 7 2 2" xfId="11552"/>
    <cellStyle name="40% - 강조색1 3 7 2 2 2" xfId="11553"/>
    <cellStyle name="40% - 강조색1 3 7 2 2 3" xfId="11554"/>
    <cellStyle name="40% - 강조색1 3 7 2 3" xfId="11555"/>
    <cellStyle name="40% - 강조색1 3 7 2 4" xfId="11556"/>
    <cellStyle name="40% - 강조색1 3 7 3" xfId="11557"/>
    <cellStyle name="40% - 강조색1 3 7 3 2" xfId="11558"/>
    <cellStyle name="40% - 강조색1 3 7 3 3" xfId="11559"/>
    <cellStyle name="40% - 강조색1 3 7 4" xfId="11560"/>
    <cellStyle name="40% - 강조색1 3 7 5" xfId="11561"/>
    <cellStyle name="40% - 강조색1 3 8" xfId="11562"/>
    <cellStyle name="40% - 강조색1 3 8 2" xfId="11563"/>
    <cellStyle name="40% - 강조색1 3 8 2 2" xfId="11564"/>
    <cellStyle name="40% - 강조색1 3 8 2 2 2" xfId="11565"/>
    <cellStyle name="40% - 강조색1 3 8 2 2 3" xfId="11566"/>
    <cellStyle name="40% - 강조색1 3 8 2 3" xfId="11567"/>
    <cellStyle name="40% - 강조색1 3 8 2 4" xfId="11568"/>
    <cellStyle name="40% - 강조색1 3 8 3" xfId="11569"/>
    <cellStyle name="40% - 강조색1 3 8 3 2" xfId="11570"/>
    <cellStyle name="40% - 강조색1 3 8 3 3" xfId="11571"/>
    <cellStyle name="40% - 강조색1 3 8 4" xfId="11572"/>
    <cellStyle name="40% - 강조색1 3 8 5" xfId="11573"/>
    <cellStyle name="40% - 강조색1 3 9" xfId="11574"/>
    <cellStyle name="40% - 강조색1 3 9 2" xfId="11575"/>
    <cellStyle name="40% - 강조색1 3 9 2 2" xfId="11576"/>
    <cellStyle name="40% - 강조색1 3 9 2 2 2" xfId="11577"/>
    <cellStyle name="40% - 강조색1 3 9 2 2 3" xfId="11578"/>
    <cellStyle name="40% - 강조색1 3 9 2 3" xfId="11579"/>
    <cellStyle name="40% - 강조색1 3 9 2 4" xfId="11580"/>
    <cellStyle name="40% - 강조색1 3 9 3" xfId="11581"/>
    <cellStyle name="40% - 강조색1 3 9 3 2" xfId="11582"/>
    <cellStyle name="40% - 강조색1 3 9 3 3" xfId="11583"/>
    <cellStyle name="40% - 강조색1 3 9 4" xfId="11584"/>
    <cellStyle name="40% - 강조색1 3 9 5" xfId="11585"/>
    <cellStyle name="40% - 강조색1 30" xfId="11586"/>
    <cellStyle name="40% - 강조색1 30 2" xfId="11587"/>
    <cellStyle name="40% - 강조색1 31" xfId="11588"/>
    <cellStyle name="40% - 강조색1 31 2" xfId="11589"/>
    <cellStyle name="40% - 강조색1 32" xfId="11590"/>
    <cellStyle name="40% - 강조색1 32 2" xfId="11591"/>
    <cellStyle name="40% - 강조색1 33" xfId="11592"/>
    <cellStyle name="40% - 강조색1 33 2" xfId="11593"/>
    <cellStyle name="40% - 강조색1 34" xfId="11594"/>
    <cellStyle name="40% - 강조색1 34 2" xfId="11595"/>
    <cellStyle name="40% - 강조색1 35" xfId="11596"/>
    <cellStyle name="40% - 강조색1 36" xfId="11597"/>
    <cellStyle name="40% - 강조색1 37" xfId="11598"/>
    <cellStyle name="40% - 강조색1 38" xfId="11599"/>
    <cellStyle name="40% - 강조색1 39" xfId="11600"/>
    <cellStyle name="40% - 강조색1 4" xfId="11601"/>
    <cellStyle name="40% - 강조색1 4 10" xfId="11602"/>
    <cellStyle name="40% - 강조색1 4 10 2" xfId="11603"/>
    <cellStyle name="40% - 강조색1 4 10 2 2" xfId="11604"/>
    <cellStyle name="40% - 강조색1 4 10 2 3" xfId="11605"/>
    <cellStyle name="40% - 강조색1 4 10 3" xfId="11606"/>
    <cellStyle name="40% - 강조색1 4 10 4" xfId="11607"/>
    <cellStyle name="40% - 강조색1 4 11" xfId="11608"/>
    <cellStyle name="40% - 강조색1 4 11 2" xfId="11609"/>
    <cellStyle name="40% - 강조색1 4 11 3" xfId="11610"/>
    <cellStyle name="40% - 강조색1 4 12" xfId="11611"/>
    <cellStyle name="40% - 강조색1 4 13" xfId="11612"/>
    <cellStyle name="40% - 강조색1 4 14" xfId="11613"/>
    <cellStyle name="40% - 강조색1 4 2" xfId="11614"/>
    <cellStyle name="40% - 강조색1 4 2 10" xfId="11615"/>
    <cellStyle name="40% - 강조색1 4 2 2" xfId="11616"/>
    <cellStyle name="40% - 강조색1 4 2 2 2" xfId="11617"/>
    <cellStyle name="40% - 강조색1 4 2 2 2 2" xfId="11618"/>
    <cellStyle name="40% - 강조색1 4 2 2 2 2 2" xfId="11619"/>
    <cellStyle name="40% - 강조색1 4 2 2 2 2 2 2" xfId="11620"/>
    <cellStyle name="40% - 강조색1 4 2 2 2 2 2 3" xfId="11621"/>
    <cellStyle name="40% - 강조색1 4 2 2 2 2 3" xfId="11622"/>
    <cellStyle name="40% - 강조색1 4 2 2 2 2 4" xfId="11623"/>
    <cellStyle name="40% - 강조색1 4 2 2 2 3" xfId="11624"/>
    <cellStyle name="40% - 강조색1 4 2 2 2 3 2" xfId="11625"/>
    <cellStyle name="40% - 강조색1 4 2 2 2 3 3" xfId="11626"/>
    <cellStyle name="40% - 강조색1 4 2 2 2 4" xfId="11627"/>
    <cellStyle name="40% - 강조색1 4 2 2 2 5" xfId="11628"/>
    <cellStyle name="40% - 강조색1 4 2 2 3" xfId="11629"/>
    <cellStyle name="40% - 강조색1 4 2 2 3 2" xfId="11630"/>
    <cellStyle name="40% - 강조색1 4 2 2 3 2 2" xfId="11631"/>
    <cellStyle name="40% - 강조색1 4 2 2 3 2 2 2" xfId="11632"/>
    <cellStyle name="40% - 강조색1 4 2 2 3 2 2 3" xfId="11633"/>
    <cellStyle name="40% - 강조색1 4 2 2 3 2 3" xfId="11634"/>
    <cellStyle name="40% - 강조색1 4 2 2 3 2 4" xfId="11635"/>
    <cellStyle name="40% - 강조색1 4 2 2 3 3" xfId="11636"/>
    <cellStyle name="40% - 강조색1 4 2 2 3 3 2" xfId="11637"/>
    <cellStyle name="40% - 강조색1 4 2 2 3 3 3" xfId="11638"/>
    <cellStyle name="40% - 강조색1 4 2 2 3 4" xfId="11639"/>
    <cellStyle name="40% - 강조색1 4 2 2 3 5" xfId="11640"/>
    <cellStyle name="40% - 강조색1 4 2 2 4" xfId="11641"/>
    <cellStyle name="40% - 강조색1 4 2 2 4 2" xfId="11642"/>
    <cellStyle name="40% - 강조색1 4 2 2 4 2 2" xfId="11643"/>
    <cellStyle name="40% - 강조색1 4 2 2 4 2 3" xfId="11644"/>
    <cellStyle name="40% - 강조색1 4 2 2 4 3" xfId="11645"/>
    <cellStyle name="40% - 강조색1 4 2 2 4 4" xfId="11646"/>
    <cellStyle name="40% - 강조색1 4 2 2 5" xfId="11647"/>
    <cellStyle name="40% - 강조색1 4 2 2 5 2" xfId="11648"/>
    <cellStyle name="40% - 강조색1 4 2 2 5 3" xfId="11649"/>
    <cellStyle name="40% - 강조색1 4 2 2 6" xfId="11650"/>
    <cellStyle name="40% - 강조색1 4 2 2 7" xfId="11651"/>
    <cellStyle name="40% - 강조색1 4 2 3" xfId="11652"/>
    <cellStyle name="40% - 강조색1 4 2 3 2" xfId="11653"/>
    <cellStyle name="40% - 강조색1 4 2 3 2 2" xfId="11654"/>
    <cellStyle name="40% - 강조색1 4 2 3 2 2 2" xfId="11655"/>
    <cellStyle name="40% - 강조색1 4 2 3 2 2 2 2" xfId="11656"/>
    <cellStyle name="40% - 강조색1 4 2 3 2 2 2 3" xfId="11657"/>
    <cellStyle name="40% - 강조색1 4 2 3 2 2 3" xfId="11658"/>
    <cellStyle name="40% - 강조색1 4 2 3 2 2 4" xfId="11659"/>
    <cellStyle name="40% - 강조색1 4 2 3 2 3" xfId="11660"/>
    <cellStyle name="40% - 강조색1 4 2 3 2 3 2" xfId="11661"/>
    <cellStyle name="40% - 강조색1 4 2 3 2 3 3" xfId="11662"/>
    <cellStyle name="40% - 강조색1 4 2 3 2 4" xfId="11663"/>
    <cellStyle name="40% - 강조색1 4 2 3 2 5" xfId="11664"/>
    <cellStyle name="40% - 강조색1 4 2 3 3" xfId="11665"/>
    <cellStyle name="40% - 강조색1 4 2 3 3 2" xfId="11666"/>
    <cellStyle name="40% - 강조색1 4 2 3 3 2 2" xfId="11667"/>
    <cellStyle name="40% - 강조색1 4 2 3 3 2 2 2" xfId="11668"/>
    <cellStyle name="40% - 강조색1 4 2 3 3 2 2 3" xfId="11669"/>
    <cellStyle name="40% - 강조색1 4 2 3 3 2 3" xfId="11670"/>
    <cellStyle name="40% - 강조색1 4 2 3 3 2 4" xfId="11671"/>
    <cellStyle name="40% - 강조색1 4 2 3 3 3" xfId="11672"/>
    <cellStyle name="40% - 강조색1 4 2 3 3 3 2" xfId="11673"/>
    <cellStyle name="40% - 강조색1 4 2 3 3 3 3" xfId="11674"/>
    <cellStyle name="40% - 강조색1 4 2 3 3 4" xfId="11675"/>
    <cellStyle name="40% - 강조색1 4 2 3 3 5" xfId="11676"/>
    <cellStyle name="40% - 강조색1 4 2 3 4" xfId="11677"/>
    <cellStyle name="40% - 강조색1 4 2 3 4 2" xfId="11678"/>
    <cellStyle name="40% - 강조색1 4 2 3 4 2 2" xfId="11679"/>
    <cellStyle name="40% - 강조색1 4 2 3 4 2 3" xfId="11680"/>
    <cellStyle name="40% - 강조색1 4 2 3 4 3" xfId="11681"/>
    <cellStyle name="40% - 강조색1 4 2 3 4 4" xfId="11682"/>
    <cellStyle name="40% - 강조색1 4 2 3 5" xfId="11683"/>
    <cellStyle name="40% - 강조색1 4 2 3 5 2" xfId="11684"/>
    <cellStyle name="40% - 강조색1 4 2 3 5 3" xfId="11685"/>
    <cellStyle name="40% - 강조색1 4 2 3 6" xfId="11686"/>
    <cellStyle name="40% - 강조색1 4 2 3 7" xfId="11687"/>
    <cellStyle name="40% - 강조색1 4 2 4" xfId="11688"/>
    <cellStyle name="40% - 강조색1 4 2 4 2" xfId="11689"/>
    <cellStyle name="40% - 강조색1 4 2 4 2 2" xfId="11690"/>
    <cellStyle name="40% - 강조색1 4 2 4 2 2 2" xfId="11691"/>
    <cellStyle name="40% - 강조색1 4 2 4 2 2 3" xfId="11692"/>
    <cellStyle name="40% - 강조색1 4 2 4 2 3" xfId="11693"/>
    <cellStyle name="40% - 강조색1 4 2 4 2 4" xfId="11694"/>
    <cellStyle name="40% - 강조색1 4 2 4 3" xfId="11695"/>
    <cellStyle name="40% - 강조색1 4 2 4 3 2" xfId="11696"/>
    <cellStyle name="40% - 강조색1 4 2 4 3 3" xfId="11697"/>
    <cellStyle name="40% - 강조색1 4 2 4 4" xfId="11698"/>
    <cellStyle name="40% - 강조색1 4 2 4 5" xfId="11699"/>
    <cellStyle name="40% - 강조색1 4 2 5" xfId="11700"/>
    <cellStyle name="40% - 강조색1 4 2 5 2" xfId="11701"/>
    <cellStyle name="40% - 강조색1 4 2 5 2 2" xfId="11702"/>
    <cellStyle name="40% - 강조색1 4 2 5 2 2 2" xfId="11703"/>
    <cellStyle name="40% - 강조색1 4 2 5 2 2 3" xfId="11704"/>
    <cellStyle name="40% - 강조색1 4 2 5 2 3" xfId="11705"/>
    <cellStyle name="40% - 강조색1 4 2 5 2 4" xfId="11706"/>
    <cellStyle name="40% - 강조색1 4 2 5 3" xfId="11707"/>
    <cellStyle name="40% - 강조색1 4 2 5 3 2" xfId="11708"/>
    <cellStyle name="40% - 강조색1 4 2 5 3 3" xfId="11709"/>
    <cellStyle name="40% - 강조색1 4 2 5 4" xfId="11710"/>
    <cellStyle name="40% - 강조색1 4 2 5 5" xfId="11711"/>
    <cellStyle name="40% - 강조색1 4 2 6" xfId="11712"/>
    <cellStyle name="40% - 강조색1 4 2 6 2" xfId="11713"/>
    <cellStyle name="40% - 강조색1 4 2 6 2 2" xfId="11714"/>
    <cellStyle name="40% - 강조색1 4 2 6 2 2 2" xfId="11715"/>
    <cellStyle name="40% - 강조색1 4 2 6 2 2 3" xfId="11716"/>
    <cellStyle name="40% - 강조색1 4 2 6 2 3" xfId="11717"/>
    <cellStyle name="40% - 강조색1 4 2 6 2 4" xfId="11718"/>
    <cellStyle name="40% - 강조색1 4 2 6 3" xfId="11719"/>
    <cellStyle name="40% - 강조색1 4 2 6 3 2" xfId="11720"/>
    <cellStyle name="40% - 강조색1 4 2 6 3 3" xfId="11721"/>
    <cellStyle name="40% - 강조색1 4 2 6 4" xfId="11722"/>
    <cellStyle name="40% - 강조색1 4 2 6 5" xfId="11723"/>
    <cellStyle name="40% - 강조색1 4 2 7" xfId="11724"/>
    <cellStyle name="40% - 강조색1 4 2 7 2" xfId="11725"/>
    <cellStyle name="40% - 강조색1 4 2 7 2 2" xfId="11726"/>
    <cellStyle name="40% - 강조색1 4 2 7 2 3" xfId="11727"/>
    <cellStyle name="40% - 강조색1 4 2 7 3" xfId="11728"/>
    <cellStyle name="40% - 강조색1 4 2 7 4" xfId="11729"/>
    <cellStyle name="40% - 강조색1 4 2 8" xfId="11730"/>
    <cellStyle name="40% - 강조색1 4 2 8 2" xfId="11731"/>
    <cellStyle name="40% - 강조색1 4 2 8 3" xfId="11732"/>
    <cellStyle name="40% - 강조색1 4 2 9" xfId="11733"/>
    <cellStyle name="40% - 강조색1 4 3" xfId="11734"/>
    <cellStyle name="40% - 강조색1 4 3 10" xfId="11735"/>
    <cellStyle name="40% - 강조색1 4 3 2" xfId="11736"/>
    <cellStyle name="40% - 강조색1 4 3 2 2" xfId="11737"/>
    <cellStyle name="40% - 강조색1 4 3 2 2 2" xfId="11738"/>
    <cellStyle name="40% - 강조색1 4 3 2 2 2 2" xfId="11739"/>
    <cellStyle name="40% - 강조색1 4 3 2 2 2 2 2" xfId="11740"/>
    <cellStyle name="40% - 강조색1 4 3 2 2 2 2 3" xfId="11741"/>
    <cellStyle name="40% - 강조색1 4 3 2 2 2 3" xfId="11742"/>
    <cellStyle name="40% - 강조색1 4 3 2 2 2 4" xfId="11743"/>
    <cellStyle name="40% - 강조색1 4 3 2 2 3" xfId="11744"/>
    <cellStyle name="40% - 강조색1 4 3 2 2 3 2" xfId="11745"/>
    <cellStyle name="40% - 강조색1 4 3 2 2 3 3" xfId="11746"/>
    <cellStyle name="40% - 강조색1 4 3 2 2 4" xfId="11747"/>
    <cellStyle name="40% - 강조색1 4 3 2 2 5" xfId="11748"/>
    <cellStyle name="40% - 강조색1 4 3 2 3" xfId="11749"/>
    <cellStyle name="40% - 강조색1 4 3 2 3 2" xfId="11750"/>
    <cellStyle name="40% - 강조색1 4 3 2 3 2 2" xfId="11751"/>
    <cellStyle name="40% - 강조색1 4 3 2 3 2 2 2" xfId="11752"/>
    <cellStyle name="40% - 강조색1 4 3 2 3 2 2 3" xfId="11753"/>
    <cellStyle name="40% - 강조색1 4 3 2 3 2 3" xfId="11754"/>
    <cellStyle name="40% - 강조색1 4 3 2 3 2 4" xfId="11755"/>
    <cellStyle name="40% - 강조색1 4 3 2 3 3" xfId="11756"/>
    <cellStyle name="40% - 강조색1 4 3 2 3 3 2" xfId="11757"/>
    <cellStyle name="40% - 강조색1 4 3 2 3 3 3" xfId="11758"/>
    <cellStyle name="40% - 강조색1 4 3 2 3 4" xfId="11759"/>
    <cellStyle name="40% - 강조색1 4 3 2 3 5" xfId="11760"/>
    <cellStyle name="40% - 강조색1 4 3 2 4" xfId="11761"/>
    <cellStyle name="40% - 강조색1 4 3 2 4 2" xfId="11762"/>
    <cellStyle name="40% - 강조색1 4 3 2 4 2 2" xfId="11763"/>
    <cellStyle name="40% - 강조색1 4 3 2 4 2 3" xfId="11764"/>
    <cellStyle name="40% - 강조색1 4 3 2 4 3" xfId="11765"/>
    <cellStyle name="40% - 강조색1 4 3 2 4 4" xfId="11766"/>
    <cellStyle name="40% - 강조색1 4 3 2 5" xfId="11767"/>
    <cellStyle name="40% - 강조색1 4 3 2 5 2" xfId="11768"/>
    <cellStyle name="40% - 강조색1 4 3 2 5 3" xfId="11769"/>
    <cellStyle name="40% - 강조색1 4 3 2 6" xfId="11770"/>
    <cellStyle name="40% - 강조색1 4 3 2 7" xfId="11771"/>
    <cellStyle name="40% - 강조색1 4 3 3" xfId="11772"/>
    <cellStyle name="40% - 강조색1 4 3 3 2" xfId="11773"/>
    <cellStyle name="40% - 강조색1 4 3 3 2 2" xfId="11774"/>
    <cellStyle name="40% - 강조색1 4 3 3 2 2 2" xfId="11775"/>
    <cellStyle name="40% - 강조색1 4 3 3 2 2 2 2" xfId="11776"/>
    <cellStyle name="40% - 강조색1 4 3 3 2 2 2 3" xfId="11777"/>
    <cellStyle name="40% - 강조색1 4 3 3 2 2 3" xfId="11778"/>
    <cellStyle name="40% - 강조색1 4 3 3 2 2 4" xfId="11779"/>
    <cellStyle name="40% - 강조색1 4 3 3 2 3" xfId="11780"/>
    <cellStyle name="40% - 강조색1 4 3 3 2 3 2" xfId="11781"/>
    <cellStyle name="40% - 강조색1 4 3 3 2 3 3" xfId="11782"/>
    <cellStyle name="40% - 강조색1 4 3 3 2 4" xfId="11783"/>
    <cellStyle name="40% - 강조색1 4 3 3 2 5" xfId="11784"/>
    <cellStyle name="40% - 강조색1 4 3 3 3" xfId="11785"/>
    <cellStyle name="40% - 강조색1 4 3 3 3 2" xfId="11786"/>
    <cellStyle name="40% - 강조색1 4 3 3 3 2 2" xfId="11787"/>
    <cellStyle name="40% - 강조색1 4 3 3 3 2 2 2" xfId="11788"/>
    <cellStyle name="40% - 강조색1 4 3 3 3 2 2 3" xfId="11789"/>
    <cellStyle name="40% - 강조색1 4 3 3 3 2 3" xfId="11790"/>
    <cellStyle name="40% - 강조색1 4 3 3 3 2 4" xfId="11791"/>
    <cellStyle name="40% - 강조색1 4 3 3 3 3" xfId="11792"/>
    <cellStyle name="40% - 강조색1 4 3 3 3 3 2" xfId="11793"/>
    <cellStyle name="40% - 강조색1 4 3 3 3 3 3" xfId="11794"/>
    <cellStyle name="40% - 강조색1 4 3 3 3 4" xfId="11795"/>
    <cellStyle name="40% - 강조색1 4 3 3 3 5" xfId="11796"/>
    <cellStyle name="40% - 강조색1 4 3 3 4" xfId="11797"/>
    <cellStyle name="40% - 강조색1 4 3 3 4 2" xfId="11798"/>
    <cellStyle name="40% - 강조색1 4 3 3 4 2 2" xfId="11799"/>
    <cellStyle name="40% - 강조색1 4 3 3 4 2 3" xfId="11800"/>
    <cellStyle name="40% - 강조색1 4 3 3 4 3" xfId="11801"/>
    <cellStyle name="40% - 강조색1 4 3 3 4 4" xfId="11802"/>
    <cellStyle name="40% - 강조색1 4 3 3 5" xfId="11803"/>
    <cellStyle name="40% - 강조색1 4 3 3 5 2" xfId="11804"/>
    <cellStyle name="40% - 강조색1 4 3 3 5 3" xfId="11805"/>
    <cellStyle name="40% - 강조색1 4 3 3 6" xfId="11806"/>
    <cellStyle name="40% - 강조색1 4 3 3 7" xfId="11807"/>
    <cellStyle name="40% - 강조색1 4 3 4" xfId="11808"/>
    <cellStyle name="40% - 강조색1 4 3 4 2" xfId="11809"/>
    <cellStyle name="40% - 강조색1 4 3 4 2 2" xfId="11810"/>
    <cellStyle name="40% - 강조색1 4 3 4 2 2 2" xfId="11811"/>
    <cellStyle name="40% - 강조색1 4 3 4 2 2 3" xfId="11812"/>
    <cellStyle name="40% - 강조색1 4 3 4 2 3" xfId="11813"/>
    <cellStyle name="40% - 강조색1 4 3 4 2 4" xfId="11814"/>
    <cellStyle name="40% - 강조색1 4 3 4 3" xfId="11815"/>
    <cellStyle name="40% - 강조색1 4 3 4 3 2" xfId="11816"/>
    <cellStyle name="40% - 강조색1 4 3 4 3 3" xfId="11817"/>
    <cellStyle name="40% - 강조색1 4 3 4 4" xfId="11818"/>
    <cellStyle name="40% - 강조색1 4 3 4 5" xfId="11819"/>
    <cellStyle name="40% - 강조색1 4 3 5" xfId="11820"/>
    <cellStyle name="40% - 강조색1 4 3 5 2" xfId="11821"/>
    <cellStyle name="40% - 강조색1 4 3 5 2 2" xfId="11822"/>
    <cellStyle name="40% - 강조색1 4 3 5 2 2 2" xfId="11823"/>
    <cellStyle name="40% - 강조색1 4 3 5 2 2 3" xfId="11824"/>
    <cellStyle name="40% - 강조색1 4 3 5 2 3" xfId="11825"/>
    <cellStyle name="40% - 강조색1 4 3 5 2 4" xfId="11826"/>
    <cellStyle name="40% - 강조색1 4 3 5 3" xfId="11827"/>
    <cellStyle name="40% - 강조색1 4 3 5 3 2" xfId="11828"/>
    <cellStyle name="40% - 강조색1 4 3 5 3 3" xfId="11829"/>
    <cellStyle name="40% - 강조색1 4 3 5 4" xfId="11830"/>
    <cellStyle name="40% - 강조색1 4 3 5 5" xfId="11831"/>
    <cellStyle name="40% - 강조색1 4 3 6" xfId="11832"/>
    <cellStyle name="40% - 강조색1 4 3 6 2" xfId="11833"/>
    <cellStyle name="40% - 강조색1 4 3 6 2 2" xfId="11834"/>
    <cellStyle name="40% - 강조색1 4 3 6 2 2 2" xfId="11835"/>
    <cellStyle name="40% - 강조색1 4 3 6 2 2 3" xfId="11836"/>
    <cellStyle name="40% - 강조색1 4 3 6 2 3" xfId="11837"/>
    <cellStyle name="40% - 강조색1 4 3 6 2 4" xfId="11838"/>
    <cellStyle name="40% - 강조색1 4 3 6 3" xfId="11839"/>
    <cellStyle name="40% - 강조색1 4 3 6 3 2" xfId="11840"/>
    <cellStyle name="40% - 강조색1 4 3 6 3 3" xfId="11841"/>
    <cellStyle name="40% - 강조색1 4 3 6 4" xfId="11842"/>
    <cellStyle name="40% - 강조색1 4 3 6 5" xfId="11843"/>
    <cellStyle name="40% - 강조색1 4 3 7" xfId="11844"/>
    <cellStyle name="40% - 강조색1 4 3 7 2" xfId="11845"/>
    <cellStyle name="40% - 강조색1 4 3 7 2 2" xfId="11846"/>
    <cellStyle name="40% - 강조색1 4 3 7 2 3" xfId="11847"/>
    <cellStyle name="40% - 강조색1 4 3 7 3" xfId="11848"/>
    <cellStyle name="40% - 강조색1 4 3 7 4" xfId="11849"/>
    <cellStyle name="40% - 강조색1 4 3 8" xfId="11850"/>
    <cellStyle name="40% - 강조색1 4 3 8 2" xfId="11851"/>
    <cellStyle name="40% - 강조색1 4 3 8 3" xfId="11852"/>
    <cellStyle name="40% - 강조색1 4 3 9" xfId="11853"/>
    <cellStyle name="40% - 강조색1 4 4" xfId="11854"/>
    <cellStyle name="40% - 강조색1 4 4 10" xfId="11855"/>
    <cellStyle name="40% - 강조색1 4 4 2" xfId="11856"/>
    <cellStyle name="40% - 강조색1 4 4 2 2" xfId="11857"/>
    <cellStyle name="40% - 강조색1 4 4 2 2 2" xfId="11858"/>
    <cellStyle name="40% - 강조색1 4 4 2 2 2 2" xfId="11859"/>
    <cellStyle name="40% - 강조색1 4 4 2 2 2 2 2" xfId="11860"/>
    <cellStyle name="40% - 강조색1 4 4 2 2 2 2 3" xfId="11861"/>
    <cellStyle name="40% - 강조색1 4 4 2 2 2 3" xfId="11862"/>
    <cellStyle name="40% - 강조색1 4 4 2 2 2 4" xfId="11863"/>
    <cellStyle name="40% - 강조색1 4 4 2 2 3" xfId="11864"/>
    <cellStyle name="40% - 강조색1 4 4 2 2 3 2" xfId="11865"/>
    <cellStyle name="40% - 강조색1 4 4 2 2 3 3" xfId="11866"/>
    <cellStyle name="40% - 강조색1 4 4 2 2 4" xfId="11867"/>
    <cellStyle name="40% - 강조색1 4 4 2 2 5" xfId="11868"/>
    <cellStyle name="40% - 강조색1 4 4 2 3" xfId="11869"/>
    <cellStyle name="40% - 강조색1 4 4 2 3 2" xfId="11870"/>
    <cellStyle name="40% - 강조색1 4 4 2 3 2 2" xfId="11871"/>
    <cellStyle name="40% - 강조색1 4 4 2 3 2 2 2" xfId="11872"/>
    <cellStyle name="40% - 강조색1 4 4 2 3 2 2 3" xfId="11873"/>
    <cellStyle name="40% - 강조색1 4 4 2 3 2 3" xfId="11874"/>
    <cellStyle name="40% - 강조색1 4 4 2 3 2 4" xfId="11875"/>
    <cellStyle name="40% - 강조색1 4 4 2 3 3" xfId="11876"/>
    <cellStyle name="40% - 강조색1 4 4 2 3 3 2" xfId="11877"/>
    <cellStyle name="40% - 강조색1 4 4 2 3 3 3" xfId="11878"/>
    <cellStyle name="40% - 강조색1 4 4 2 3 4" xfId="11879"/>
    <cellStyle name="40% - 강조색1 4 4 2 3 5" xfId="11880"/>
    <cellStyle name="40% - 강조색1 4 4 2 4" xfId="11881"/>
    <cellStyle name="40% - 강조색1 4 4 2 4 2" xfId="11882"/>
    <cellStyle name="40% - 강조색1 4 4 2 4 2 2" xfId="11883"/>
    <cellStyle name="40% - 강조색1 4 4 2 4 2 3" xfId="11884"/>
    <cellStyle name="40% - 강조색1 4 4 2 4 3" xfId="11885"/>
    <cellStyle name="40% - 강조색1 4 4 2 4 4" xfId="11886"/>
    <cellStyle name="40% - 강조색1 4 4 2 5" xfId="11887"/>
    <cellStyle name="40% - 강조색1 4 4 2 5 2" xfId="11888"/>
    <cellStyle name="40% - 강조색1 4 4 2 5 3" xfId="11889"/>
    <cellStyle name="40% - 강조색1 4 4 2 6" xfId="11890"/>
    <cellStyle name="40% - 강조색1 4 4 2 7" xfId="11891"/>
    <cellStyle name="40% - 강조색1 4 4 3" xfId="11892"/>
    <cellStyle name="40% - 강조색1 4 4 3 2" xfId="11893"/>
    <cellStyle name="40% - 강조색1 4 4 3 2 2" xfId="11894"/>
    <cellStyle name="40% - 강조색1 4 4 3 2 2 2" xfId="11895"/>
    <cellStyle name="40% - 강조색1 4 4 3 2 2 2 2" xfId="11896"/>
    <cellStyle name="40% - 강조색1 4 4 3 2 2 2 3" xfId="11897"/>
    <cellStyle name="40% - 강조색1 4 4 3 2 2 3" xfId="11898"/>
    <cellStyle name="40% - 강조색1 4 4 3 2 2 4" xfId="11899"/>
    <cellStyle name="40% - 강조색1 4 4 3 2 3" xfId="11900"/>
    <cellStyle name="40% - 강조색1 4 4 3 2 3 2" xfId="11901"/>
    <cellStyle name="40% - 강조색1 4 4 3 2 3 3" xfId="11902"/>
    <cellStyle name="40% - 강조색1 4 4 3 2 4" xfId="11903"/>
    <cellStyle name="40% - 강조색1 4 4 3 2 5" xfId="11904"/>
    <cellStyle name="40% - 강조색1 4 4 3 3" xfId="11905"/>
    <cellStyle name="40% - 강조색1 4 4 3 3 2" xfId="11906"/>
    <cellStyle name="40% - 강조색1 4 4 3 3 2 2" xfId="11907"/>
    <cellStyle name="40% - 강조색1 4 4 3 3 2 2 2" xfId="11908"/>
    <cellStyle name="40% - 강조색1 4 4 3 3 2 2 3" xfId="11909"/>
    <cellStyle name="40% - 강조색1 4 4 3 3 2 3" xfId="11910"/>
    <cellStyle name="40% - 강조색1 4 4 3 3 2 4" xfId="11911"/>
    <cellStyle name="40% - 강조색1 4 4 3 3 3" xfId="11912"/>
    <cellStyle name="40% - 강조색1 4 4 3 3 3 2" xfId="11913"/>
    <cellStyle name="40% - 강조색1 4 4 3 3 3 3" xfId="11914"/>
    <cellStyle name="40% - 강조색1 4 4 3 3 4" xfId="11915"/>
    <cellStyle name="40% - 강조색1 4 4 3 3 5" xfId="11916"/>
    <cellStyle name="40% - 강조색1 4 4 3 4" xfId="11917"/>
    <cellStyle name="40% - 강조색1 4 4 3 4 2" xfId="11918"/>
    <cellStyle name="40% - 강조색1 4 4 3 4 2 2" xfId="11919"/>
    <cellStyle name="40% - 강조색1 4 4 3 4 2 3" xfId="11920"/>
    <cellStyle name="40% - 강조색1 4 4 3 4 3" xfId="11921"/>
    <cellStyle name="40% - 강조색1 4 4 3 4 4" xfId="11922"/>
    <cellStyle name="40% - 강조색1 4 4 3 5" xfId="11923"/>
    <cellStyle name="40% - 강조색1 4 4 3 5 2" xfId="11924"/>
    <cellStyle name="40% - 강조색1 4 4 3 5 3" xfId="11925"/>
    <cellStyle name="40% - 강조색1 4 4 3 6" xfId="11926"/>
    <cellStyle name="40% - 강조색1 4 4 3 7" xfId="11927"/>
    <cellStyle name="40% - 강조색1 4 4 4" xfId="11928"/>
    <cellStyle name="40% - 강조색1 4 4 4 2" xfId="11929"/>
    <cellStyle name="40% - 강조색1 4 4 4 2 2" xfId="11930"/>
    <cellStyle name="40% - 강조색1 4 4 4 2 2 2" xfId="11931"/>
    <cellStyle name="40% - 강조색1 4 4 4 2 2 3" xfId="11932"/>
    <cellStyle name="40% - 강조색1 4 4 4 2 3" xfId="11933"/>
    <cellStyle name="40% - 강조색1 4 4 4 2 4" xfId="11934"/>
    <cellStyle name="40% - 강조색1 4 4 4 3" xfId="11935"/>
    <cellStyle name="40% - 강조색1 4 4 4 3 2" xfId="11936"/>
    <cellStyle name="40% - 강조색1 4 4 4 3 3" xfId="11937"/>
    <cellStyle name="40% - 강조색1 4 4 4 4" xfId="11938"/>
    <cellStyle name="40% - 강조색1 4 4 4 5" xfId="11939"/>
    <cellStyle name="40% - 강조색1 4 4 5" xfId="11940"/>
    <cellStyle name="40% - 강조색1 4 4 5 2" xfId="11941"/>
    <cellStyle name="40% - 강조색1 4 4 5 2 2" xfId="11942"/>
    <cellStyle name="40% - 강조색1 4 4 5 2 2 2" xfId="11943"/>
    <cellStyle name="40% - 강조색1 4 4 5 2 2 3" xfId="11944"/>
    <cellStyle name="40% - 강조색1 4 4 5 2 3" xfId="11945"/>
    <cellStyle name="40% - 강조색1 4 4 5 2 4" xfId="11946"/>
    <cellStyle name="40% - 강조색1 4 4 5 3" xfId="11947"/>
    <cellStyle name="40% - 강조색1 4 4 5 3 2" xfId="11948"/>
    <cellStyle name="40% - 강조색1 4 4 5 3 3" xfId="11949"/>
    <cellStyle name="40% - 강조색1 4 4 5 4" xfId="11950"/>
    <cellStyle name="40% - 강조색1 4 4 5 5" xfId="11951"/>
    <cellStyle name="40% - 강조색1 4 4 6" xfId="11952"/>
    <cellStyle name="40% - 강조색1 4 4 6 2" xfId="11953"/>
    <cellStyle name="40% - 강조색1 4 4 6 2 2" xfId="11954"/>
    <cellStyle name="40% - 강조색1 4 4 6 2 2 2" xfId="11955"/>
    <cellStyle name="40% - 강조색1 4 4 6 2 2 3" xfId="11956"/>
    <cellStyle name="40% - 강조색1 4 4 6 2 3" xfId="11957"/>
    <cellStyle name="40% - 강조색1 4 4 6 2 4" xfId="11958"/>
    <cellStyle name="40% - 강조색1 4 4 6 3" xfId="11959"/>
    <cellStyle name="40% - 강조색1 4 4 6 3 2" xfId="11960"/>
    <cellStyle name="40% - 강조색1 4 4 6 3 3" xfId="11961"/>
    <cellStyle name="40% - 강조색1 4 4 6 4" xfId="11962"/>
    <cellStyle name="40% - 강조색1 4 4 6 5" xfId="11963"/>
    <cellStyle name="40% - 강조색1 4 4 7" xfId="11964"/>
    <cellStyle name="40% - 강조색1 4 4 7 2" xfId="11965"/>
    <cellStyle name="40% - 강조색1 4 4 7 2 2" xfId="11966"/>
    <cellStyle name="40% - 강조색1 4 4 7 2 3" xfId="11967"/>
    <cellStyle name="40% - 강조색1 4 4 7 3" xfId="11968"/>
    <cellStyle name="40% - 강조색1 4 4 7 4" xfId="11969"/>
    <cellStyle name="40% - 강조색1 4 4 8" xfId="11970"/>
    <cellStyle name="40% - 강조색1 4 4 8 2" xfId="11971"/>
    <cellStyle name="40% - 강조색1 4 4 8 3" xfId="11972"/>
    <cellStyle name="40% - 강조색1 4 4 9" xfId="11973"/>
    <cellStyle name="40% - 강조색1 4 5" xfId="11974"/>
    <cellStyle name="40% - 강조색1 4 5 2" xfId="11975"/>
    <cellStyle name="40% - 강조색1 4 5 2 2" xfId="11976"/>
    <cellStyle name="40% - 강조색1 4 5 2 2 2" xfId="11977"/>
    <cellStyle name="40% - 강조색1 4 5 2 2 2 2" xfId="11978"/>
    <cellStyle name="40% - 강조색1 4 5 2 2 2 3" xfId="11979"/>
    <cellStyle name="40% - 강조색1 4 5 2 2 3" xfId="11980"/>
    <cellStyle name="40% - 강조색1 4 5 2 2 4" xfId="11981"/>
    <cellStyle name="40% - 강조색1 4 5 2 3" xfId="11982"/>
    <cellStyle name="40% - 강조색1 4 5 2 3 2" xfId="11983"/>
    <cellStyle name="40% - 강조색1 4 5 2 3 3" xfId="11984"/>
    <cellStyle name="40% - 강조색1 4 5 2 4" xfId="11985"/>
    <cellStyle name="40% - 강조색1 4 5 2 5" xfId="11986"/>
    <cellStyle name="40% - 강조색1 4 5 3" xfId="11987"/>
    <cellStyle name="40% - 강조색1 4 5 3 2" xfId="11988"/>
    <cellStyle name="40% - 강조색1 4 5 3 2 2" xfId="11989"/>
    <cellStyle name="40% - 강조색1 4 5 3 2 2 2" xfId="11990"/>
    <cellStyle name="40% - 강조색1 4 5 3 2 2 3" xfId="11991"/>
    <cellStyle name="40% - 강조색1 4 5 3 2 3" xfId="11992"/>
    <cellStyle name="40% - 강조색1 4 5 3 2 4" xfId="11993"/>
    <cellStyle name="40% - 강조색1 4 5 3 3" xfId="11994"/>
    <cellStyle name="40% - 강조색1 4 5 3 3 2" xfId="11995"/>
    <cellStyle name="40% - 강조색1 4 5 3 3 3" xfId="11996"/>
    <cellStyle name="40% - 강조색1 4 5 3 4" xfId="11997"/>
    <cellStyle name="40% - 강조색1 4 5 3 5" xfId="11998"/>
    <cellStyle name="40% - 강조색1 4 5 4" xfId="11999"/>
    <cellStyle name="40% - 강조색1 4 5 4 2" xfId="12000"/>
    <cellStyle name="40% - 강조색1 4 5 4 2 2" xfId="12001"/>
    <cellStyle name="40% - 강조색1 4 5 4 2 3" xfId="12002"/>
    <cellStyle name="40% - 강조색1 4 5 4 3" xfId="12003"/>
    <cellStyle name="40% - 강조색1 4 5 4 4" xfId="12004"/>
    <cellStyle name="40% - 강조색1 4 5 5" xfId="12005"/>
    <cellStyle name="40% - 강조색1 4 5 5 2" xfId="12006"/>
    <cellStyle name="40% - 강조색1 4 5 5 3" xfId="12007"/>
    <cellStyle name="40% - 강조색1 4 5 6" xfId="12008"/>
    <cellStyle name="40% - 강조색1 4 5 7" xfId="12009"/>
    <cellStyle name="40% - 강조색1 4 6" xfId="12010"/>
    <cellStyle name="40% - 강조색1 4 6 2" xfId="12011"/>
    <cellStyle name="40% - 강조색1 4 6 2 2" xfId="12012"/>
    <cellStyle name="40% - 강조색1 4 6 2 2 2" xfId="12013"/>
    <cellStyle name="40% - 강조색1 4 6 2 2 2 2" xfId="12014"/>
    <cellStyle name="40% - 강조색1 4 6 2 2 2 3" xfId="12015"/>
    <cellStyle name="40% - 강조색1 4 6 2 2 3" xfId="12016"/>
    <cellStyle name="40% - 강조색1 4 6 2 2 4" xfId="12017"/>
    <cellStyle name="40% - 강조색1 4 6 2 3" xfId="12018"/>
    <cellStyle name="40% - 강조색1 4 6 2 3 2" xfId="12019"/>
    <cellStyle name="40% - 강조색1 4 6 2 3 3" xfId="12020"/>
    <cellStyle name="40% - 강조색1 4 6 2 4" xfId="12021"/>
    <cellStyle name="40% - 강조색1 4 6 2 5" xfId="12022"/>
    <cellStyle name="40% - 강조색1 4 6 3" xfId="12023"/>
    <cellStyle name="40% - 강조색1 4 6 3 2" xfId="12024"/>
    <cellStyle name="40% - 강조색1 4 6 3 2 2" xfId="12025"/>
    <cellStyle name="40% - 강조색1 4 6 3 2 2 2" xfId="12026"/>
    <cellStyle name="40% - 강조색1 4 6 3 2 2 3" xfId="12027"/>
    <cellStyle name="40% - 강조색1 4 6 3 2 3" xfId="12028"/>
    <cellStyle name="40% - 강조색1 4 6 3 2 4" xfId="12029"/>
    <cellStyle name="40% - 강조색1 4 6 3 3" xfId="12030"/>
    <cellStyle name="40% - 강조색1 4 6 3 3 2" xfId="12031"/>
    <cellStyle name="40% - 강조색1 4 6 3 3 3" xfId="12032"/>
    <cellStyle name="40% - 강조색1 4 6 3 4" xfId="12033"/>
    <cellStyle name="40% - 강조색1 4 6 3 5" xfId="12034"/>
    <cellStyle name="40% - 강조색1 4 6 4" xfId="12035"/>
    <cellStyle name="40% - 강조색1 4 6 4 2" xfId="12036"/>
    <cellStyle name="40% - 강조색1 4 6 4 2 2" xfId="12037"/>
    <cellStyle name="40% - 강조색1 4 6 4 2 3" xfId="12038"/>
    <cellStyle name="40% - 강조색1 4 6 4 3" xfId="12039"/>
    <cellStyle name="40% - 강조색1 4 6 4 4" xfId="12040"/>
    <cellStyle name="40% - 강조색1 4 6 5" xfId="12041"/>
    <cellStyle name="40% - 강조색1 4 6 5 2" xfId="12042"/>
    <cellStyle name="40% - 강조색1 4 6 5 3" xfId="12043"/>
    <cellStyle name="40% - 강조색1 4 6 6" xfId="12044"/>
    <cellStyle name="40% - 강조색1 4 6 7" xfId="12045"/>
    <cellStyle name="40% - 강조색1 4 7" xfId="12046"/>
    <cellStyle name="40% - 강조색1 4 7 2" xfId="12047"/>
    <cellStyle name="40% - 강조색1 4 7 2 2" xfId="12048"/>
    <cellStyle name="40% - 강조색1 4 7 2 2 2" xfId="12049"/>
    <cellStyle name="40% - 강조색1 4 7 2 2 3" xfId="12050"/>
    <cellStyle name="40% - 강조색1 4 7 2 3" xfId="12051"/>
    <cellStyle name="40% - 강조색1 4 7 2 4" xfId="12052"/>
    <cellStyle name="40% - 강조색1 4 7 3" xfId="12053"/>
    <cellStyle name="40% - 강조색1 4 7 3 2" xfId="12054"/>
    <cellStyle name="40% - 강조색1 4 7 3 3" xfId="12055"/>
    <cellStyle name="40% - 강조색1 4 7 4" xfId="12056"/>
    <cellStyle name="40% - 강조색1 4 7 5" xfId="12057"/>
    <cellStyle name="40% - 강조색1 4 8" xfId="12058"/>
    <cellStyle name="40% - 강조색1 4 8 2" xfId="12059"/>
    <cellStyle name="40% - 강조색1 4 8 2 2" xfId="12060"/>
    <cellStyle name="40% - 강조색1 4 8 2 2 2" xfId="12061"/>
    <cellStyle name="40% - 강조색1 4 8 2 2 3" xfId="12062"/>
    <cellStyle name="40% - 강조색1 4 8 2 3" xfId="12063"/>
    <cellStyle name="40% - 강조색1 4 8 2 4" xfId="12064"/>
    <cellStyle name="40% - 강조색1 4 8 3" xfId="12065"/>
    <cellStyle name="40% - 강조색1 4 8 3 2" xfId="12066"/>
    <cellStyle name="40% - 강조색1 4 8 3 3" xfId="12067"/>
    <cellStyle name="40% - 강조색1 4 8 4" xfId="12068"/>
    <cellStyle name="40% - 강조색1 4 8 5" xfId="12069"/>
    <cellStyle name="40% - 강조색1 4 9" xfId="12070"/>
    <cellStyle name="40% - 강조색1 4 9 2" xfId="12071"/>
    <cellStyle name="40% - 강조색1 4 9 2 2" xfId="12072"/>
    <cellStyle name="40% - 강조색1 4 9 2 2 2" xfId="12073"/>
    <cellStyle name="40% - 강조색1 4 9 2 2 3" xfId="12074"/>
    <cellStyle name="40% - 강조색1 4 9 2 3" xfId="12075"/>
    <cellStyle name="40% - 강조색1 4 9 2 4" xfId="12076"/>
    <cellStyle name="40% - 강조색1 4 9 3" xfId="12077"/>
    <cellStyle name="40% - 강조색1 4 9 3 2" xfId="12078"/>
    <cellStyle name="40% - 강조색1 4 9 3 3" xfId="12079"/>
    <cellStyle name="40% - 강조색1 4 9 4" xfId="12080"/>
    <cellStyle name="40% - 강조색1 4 9 5" xfId="12081"/>
    <cellStyle name="40% - 강조색1 40" xfId="12082"/>
    <cellStyle name="40% - 강조색1 41" xfId="12083"/>
    <cellStyle name="40% - 강조색1 42" xfId="12084"/>
    <cellStyle name="40% - 강조색1 43" xfId="12085"/>
    <cellStyle name="40% - 강조색1 44" xfId="12086"/>
    <cellStyle name="40% - 강조색1 45" xfId="12087"/>
    <cellStyle name="40% - 강조색1 46" xfId="12088"/>
    <cellStyle name="40% - 강조색1 47" xfId="12089"/>
    <cellStyle name="40% - 강조색1 48" xfId="12090"/>
    <cellStyle name="40% - 강조색1 49" xfId="12091"/>
    <cellStyle name="40% - 강조색1 5" xfId="12092"/>
    <cellStyle name="40% - 강조색1 5 10" xfId="12093"/>
    <cellStyle name="40% - 강조색1 5 11" xfId="12094"/>
    <cellStyle name="40% - 강조색1 5 2" xfId="12095"/>
    <cellStyle name="40% - 강조색1 5 2 2" xfId="12096"/>
    <cellStyle name="40% - 강조색1 5 2 2 2" xfId="12097"/>
    <cellStyle name="40% - 강조색1 5 2 2 2 2" xfId="12098"/>
    <cellStyle name="40% - 강조색1 5 2 2 2 2 2" xfId="12099"/>
    <cellStyle name="40% - 강조색1 5 2 2 2 2 3" xfId="12100"/>
    <cellStyle name="40% - 강조색1 5 2 2 2 3" xfId="12101"/>
    <cellStyle name="40% - 강조색1 5 2 2 2 4" xfId="12102"/>
    <cellStyle name="40% - 강조색1 5 2 2 3" xfId="12103"/>
    <cellStyle name="40% - 강조색1 5 2 2 3 2" xfId="12104"/>
    <cellStyle name="40% - 강조색1 5 2 2 3 3" xfId="12105"/>
    <cellStyle name="40% - 강조색1 5 2 2 4" xfId="12106"/>
    <cellStyle name="40% - 강조색1 5 2 2 5" xfId="12107"/>
    <cellStyle name="40% - 강조색1 5 2 3" xfId="12108"/>
    <cellStyle name="40% - 강조색1 5 2 3 2" xfId="12109"/>
    <cellStyle name="40% - 강조색1 5 2 3 2 2" xfId="12110"/>
    <cellStyle name="40% - 강조색1 5 2 3 2 2 2" xfId="12111"/>
    <cellStyle name="40% - 강조색1 5 2 3 2 2 3" xfId="12112"/>
    <cellStyle name="40% - 강조색1 5 2 3 2 3" xfId="12113"/>
    <cellStyle name="40% - 강조색1 5 2 3 2 4" xfId="12114"/>
    <cellStyle name="40% - 강조색1 5 2 3 3" xfId="12115"/>
    <cellStyle name="40% - 강조색1 5 2 3 3 2" xfId="12116"/>
    <cellStyle name="40% - 강조색1 5 2 3 3 3" xfId="12117"/>
    <cellStyle name="40% - 강조색1 5 2 3 4" xfId="12118"/>
    <cellStyle name="40% - 강조색1 5 2 3 5" xfId="12119"/>
    <cellStyle name="40% - 강조색1 5 2 4" xfId="12120"/>
    <cellStyle name="40% - 강조색1 5 2 4 2" xfId="12121"/>
    <cellStyle name="40% - 강조색1 5 2 4 2 2" xfId="12122"/>
    <cellStyle name="40% - 강조색1 5 2 4 2 3" xfId="12123"/>
    <cellStyle name="40% - 강조색1 5 2 4 3" xfId="12124"/>
    <cellStyle name="40% - 강조색1 5 2 4 4" xfId="12125"/>
    <cellStyle name="40% - 강조색1 5 2 5" xfId="12126"/>
    <cellStyle name="40% - 강조색1 5 2 5 2" xfId="12127"/>
    <cellStyle name="40% - 강조색1 5 2 5 3" xfId="12128"/>
    <cellStyle name="40% - 강조색1 5 2 6" xfId="12129"/>
    <cellStyle name="40% - 강조색1 5 2 7" xfId="12130"/>
    <cellStyle name="40% - 강조색1 5 3" xfId="12131"/>
    <cellStyle name="40% - 강조색1 5 3 2" xfId="12132"/>
    <cellStyle name="40% - 강조색1 5 3 2 2" xfId="12133"/>
    <cellStyle name="40% - 강조색1 5 3 2 2 2" xfId="12134"/>
    <cellStyle name="40% - 강조색1 5 3 2 2 2 2" xfId="12135"/>
    <cellStyle name="40% - 강조색1 5 3 2 2 2 3" xfId="12136"/>
    <cellStyle name="40% - 강조색1 5 3 2 2 3" xfId="12137"/>
    <cellStyle name="40% - 강조색1 5 3 2 2 4" xfId="12138"/>
    <cellStyle name="40% - 강조색1 5 3 2 3" xfId="12139"/>
    <cellStyle name="40% - 강조색1 5 3 2 3 2" xfId="12140"/>
    <cellStyle name="40% - 강조색1 5 3 2 3 3" xfId="12141"/>
    <cellStyle name="40% - 강조색1 5 3 2 4" xfId="12142"/>
    <cellStyle name="40% - 강조색1 5 3 2 5" xfId="12143"/>
    <cellStyle name="40% - 강조색1 5 3 3" xfId="12144"/>
    <cellStyle name="40% - 강조색1 5 3 3 2" xfId="12145"/>
    <cellStyle name="40% - 강조색1 5 3 3 2 2" xfId="12146"/>
    <cellStyle name="40% - 강조색1 5 3 3 2 2 2" xfId="12147"/>
    <cellStyle name="40% - 강조색1 5 3 3 2 2 3" xfId="12148"/>
    <cellStyle name="40% - 강조색1 5 3 3 2 3" xfId="12149"/>
    <cellStyle name="40% - 강조색1 5 3 3 2 4" xfId="12150"/>
    <cellStyle name="40% - 강조색1 5 3 3 3" xfId="12151"/>
    <cellStyle name="40% - 강조색1 5 3 3 3 2" xfId="12152"/>
    <cellStyle name="40% - 강조색1 5 3 3 3 3" xfId="12153"/>
    <cellStyle name="40% - 강조색1 5 3 3 4" xfId="12154"/>
    <cellStyle name="40% - 강조색1 5 3 3 5" xfId="12155"/>
    <cellStyle name="40% - 강조색1 5 3 4" xfId="12156"/>
    <cellStyle name="40% - 강조색1 5 3 4 2" xfId="12157"/>
    <cellStyle name="40% - 강조색1 5 3 4 2 2" xfId="12158"/>
    <cellStyle name="40% - 강조색1 5 3 4 2 3" xfId="12159"/>
    <cellStyle name="40% - 강조색1 5 3 4 3" xfId="12160"/>
    <cellStyle name="40% - 강조색1 5 3 4 4" xfId="12161"/>
    <cellStyle name="40% - 강조색1 5 3 5" xfId="12162"/>
    <cellStyle name="40% - 강조색1 5 3 5 2" xfId="12163"/>
    <cellStyle name="40% - 강조색1 5 3 5 3" xfId="12164"/>
    <cellStyle name="40% - 강조색1 5 3 6" xfId="12165"/>
    <cellStyle name="40% - 강조색1 5 3 7" xfId="12166"/>
    <cellStyle name="40% - 강조색1 5 4" xfId="12167"/>
    <cellStyle name="40% - 강조색1 5 4 2" xfId="12168"/>
    <cellStyle name="40% - 강조색1 5 4 2 2" xfId="12169"/>
    <cellStyle name="40% - 강조색1 5 4 2 2 2" xfId="12170"/>
    <cellStyle name="40% - 강조색1 5 4 2 2 3" xfId="12171"/>
    <cellStyle name="40% - 강조색1 5 4 2 3" xfId="12172"/>
    <cellStyle name="40% - 강조색1 5 4 2 4" xfId="12173"/>
    <cellStyle name="40% - 강조색1 5 4 3" xfId="12174"/>
    <cellStyle name="40% - 강조색1 5 4 3 2" xfId="12175"/>
    <cellStyle name="40% - 강조색1 5 4 3 3" xfId="12176"/>
    <cellStyle name="40% - 강조색1 5 4 4" xfId="12177"/>
    <cellStyle name="40% - 강조색1 5 4 5" xfId="12178"/>
    <cellStyle name="40% - 강조색1 5 5" xfId="12179"/>
    <cellStyle name="40% - 강조색1 5 5 2" xfId="12180"/>
    <cellStyle name="40% - 강조색1 5 5 2 2" xfId="12181"/>
    <cellStyle name="40% - 강조색1 5 5 2 2 2" xfId="12182"/>
    <cellStyle name="40% - 강조색1 5 5 2 2 3" xfId="12183"/>
    <cellStyle name="40% - 강조색1 5 5 2 3" xfId="12184"/>
    <cellStyle name="40% - 강조색1 5 5 2 4" xfId="12185"/>
    <cellStyle name="40% - 강조색1 5 5 3" xfId="12186"/>
    <cellStyle name="40% - 강조색1 5 5 3 2" xfId="12187"/>
    <cellStyle name="40% - 강조색1 5 5 3 3" xfId="12188"/>
    <cellStyle name="40% - 강조색1 5 5 4" xfId="12189"/>
    <cellStyle name="40% - 강조색1 5 5 5" xfId="12190"/>
    <cellStyle name="40% - 강조색1 5 6" xfId="12191"/>
    <cellStyle name="40% - 강조색1 5 6 2" xfId="12192"/>
    <cellStyle name="40% - 강조색1 5 6 2 2" xfId="12193"/>
    <cellStyle name="40% - 강조색1 5 6 2 2 2" xfId="12194"/>
    <cellStyle name="40% - 강조색1 5 6 2 2 3" xfId="12195"/>
    <cellStyle name="40% - 강조색1 5 6 2 3" xfId="12196"/>
    <cellStyle name="40% - 강조색1 5 6 2 4" xfId="12197"/>
    <cellStyle name="40% - 강조색1 5 6 3" xfId="12198"/>
    <cellStyle name="40% - 강조색1 5 6 3 2" xfId="12199"/>
    <cellStyle name="40% - 강조색1 5 6 3 3" xfId="12200"/>
    <cellStyle name="40% - 강조색1 5 6 4" xfId="12201"/>
    <cellStyle name="40% - 강조색1 5 6 5" xfId="12202"/>
    <cellStyle name="40% - 강조색1 5 7" xfId="12203"/>
    <cellStyle name="40% - 강조색1 5 7 2" xfId="12204"/>
    <cellStyle name="40% - 강조색1 5 7 2 2" xfId="12205"/>
    <cellStyle name="40% - 강조색1 5 7 2 3" xfId="12206"/>
    <cellStyle name="40% - 강조색1 5 7 3" xfId="12207"/>
    <cellStyle name="40% - 강조색1 5 7 4" xfId="12208"/>
    <cellStyle name="40% - 강조색1 5 8" xfId="12209"/>
    <cellStyle name="40% - 강조색1 5 8 2" xfId="12210"/>
    <cellStyle name="40% - 강조색1 5 8 3" xfId="12211"/>
    <cellStyle name="40% - 강조색1 5 9" xfId="12212"/>
    <cellStyle name="40% - 강조색1 50" xfId="12213"/>
    <cellStyle name="40% - 강조색1 51" xfId="12214"/>
    <cellStyle name="40% - 강조색1 52" xfId="12215"/>
    <cellStyle name="40% - 강조색1 53" xfId="12216"/>
    <cellStyle name="40% - 강조색1 54" xfId="12217"/>
    <cellStyle name="40% - 강조색1 55" xfId="12218"/>
    <cellStyle name="40% - 강조색1 56" xfId="12219"/>
    <cellStyle name="40% - 강조색1 57" xfId="12220"/>
    <cellStyle name="40% - 강조색1 58" xfId="12221"/>
    <cellStyle name="40% - 강조색1 59" xfId="12222"/>
    <cellStyle name="40% - 강조색1 6" xfId="12223"/>
    <cellStyle name="40% - 강조색1 6 10" xfId="12224"/>
    <cellStyle name="40% - 강조색1 6 2" xfId="12225"/>
    <cellStyle name="40% - 강조색1 6 2 2" xfId="12226"/>
    <cellStyle name="40% - 강조색1 6 2 2 2" xfId="12227"/>
    <cellStyle name="40% - 강조색1 6 2 2 2 2" xfId="12228"/>
    <cellStyle name="40% - 강조색1 6 2 2 2 2 2" xfId="12229"/>
    <cellStyle name="40% - 강조색1 6 2 2 2 2 3" xfId="12230"/>
    <cellStyle name="40% - 강조색1 6 2 2 2 3" xfId="12231"/>
    <cellStyle name="40% - 강조색1 6 2 2 2 4" xfId="12232"/>
    <cellStyle name="40% - 강조색1 6 2 2 3" xfId="12233"/>
    <cellStyle name="40% - 강조색1 6 2 2 3 2" xfId="12234"/>
    <cellStyle name="40% - 강조색1 6 2 2 3 3" xfId="12235"/>
    <cellStyle name="40% - 강조색1 6 2 2 4" xfId="12236"/>
    <cellStyle name="40% - 강조색1 6 2 2 5" xfId="12237"/>
    <cellStyle name="40% - 강조색1 6 2 3" xfId="12238"/>
    <cellStyle name="40% - 강조색1 6 2 3 2" xfId="12239"/>
    <cellStyle name="40% - 강조색1 6 2 3 2 2" xfId="12240"/>
    <cellStyle name="40% - 강조색1 6 2 3 2 2 2" xfId="12241"/>
    <cellStyle name="40% - 강조색1 6 2 3 2 2 3" xfId="12242"/>
    <cellStyle name="40% - 강조색1 6 2 3 2 3" xfId="12243"/>
    <cellStyle name="40% - 강조색1 6 2 3 2 4" xfId="12244"/>
    <cellStyle name="40% - 강조색1 6 2 3 3" xfId="12245"/>
    <cellStyle name="40% - 강조색1 6 2 3 3 2" xfId="12246"/>
    <cellStyle name="40% - 강조색1 6 2 3 3 3" xfId="12247"/>
    <cellStyle name="40% - 강조색1 6 2 3 4" xfId="12248"/>
    <cellStyle name="40% - 강조색1 6 2 3 5" xfId="12249"/>
    <cellStyle name="40% - 강조색1 6 2 4" xfId="12250"/>
    <cellStyle name="40% - 강조색1 6 2 4 2" xfId="12251"/>
    <cellStyle name="40% - 강조색1 6 2 4 2 2" xfId="12252"/>
    <cellStyle name="40% - 강조색1 6 2 4 2 3" xfId="12253"/>
    <cellStyle name="40% - 강조색1 6 2 4 3" xfId="12254"/>
    <cellStyle name="40% - 강조색1 6 2 4 4" xfId="12255"/>
    <cellStyle name="40% - 강조색1 6 2 5" xfId="12256"/>
    <cellStyle name="40% - 강조색1 6 2 5 2" xfId="12257"/>
    <cellStyle name="40% - 강조색1 6 2 5 3" xfId="12258"/>
    <cellStyle name="40% - 강조색1 6 2 6" xfId="12259"/>
    <cellStyle name="40% - 강조색1 6 2 7" xfId="12260"/>
    <cellStyle name="40% - 강조색1 6 3" xfId="12261"/>
    <cellStyle name="40% - 강조색1 6 3 2" xfId="12262"/>
    <cellStyle name="40% - 강조색1 6 3 2 2" xfId="12263"/>
    <cellStyle name="40% - 강조색1 6 3 2 2 2" xfId="12264"/>
    <cellStyle name="40% - 강조색1 6 3 2 2 2 2" xfId="12265"/>
    <cellStyle name="40% - 강조색1 6 3 2 2 2 3" xfId="12266"/>
    <cellStyle name="40% - 강조색1 6 3 2 2 3" xfId="12267"/>
    <cellStyle name="40% - 강조색1 6 3 2 2 4" xfId="12268"/>
    <cellStyle name="40% - 강조색1 6 3 2 3" xfId="12269"/>
    <cellStyle name="40% - 강조색1 6 3 2 3 2" xfId="12270"/>
    <cellStyle name="40% - 강조색1 6 3 2 3 3" xfId="12271"/>
    <cellStyle name="40% - 강조색1 6 3 2 4" xfId="12272"/>
    <cellStyle name="40% - 강조색1 6 3 2 5" xfId="12273"/>
    <cellStyle name="40% - 강조색1 6 3 3" xfId="12274"/>
    <cellStyle name="40% - 강조색1 6 3 3 2" xfId="12275"/>
    <cellStyle name="40% - 강조색1 6 3 3 2 2" xfId="12276"/>
    <cellStyle name="40% - 강조색1 6 3 3 2 2 2" xfId="12277"/>
    <cellStyle name="40% - 강조색1 6 3 3 2 2 3" xfId="12278"/>
    <cellStyle name="40% - 강조색1 6 3 3 2 3" xfId="12279"/>
    <cellStyle name="40% - 강조색1 6 3 3 2 4" xfId="12280"/>
    <cellStyle name="40% - 강조색1 6 3 3 3" xfId="12281"/>
    <cellStyle name="40% - 강조색1 6 3 3 3 2" xfId="12282"/>
    <cellStyle name="40% - 강조색1 6 3 3 3 3" xfId="12283"/>
    <cellStyle name="40% - 강조색1 6 3 3 4" xfId="12284"/>
    <cellStyle name="40% - 강조색1 6 3 3 5" xfId="12285"/>
    <cellStyle name="40% - 강조색1 6 3 4" xfId="12286"/>
    <cellStyle name="40% - 강조색1 6 3 4 2" xfId="12287"/>
    <cellStyle name="40% - 강조색1 6 3 4 2 2" xfId="12288"/>
    <cellStyle name="40% - 강조색1 6 3 4 2 3" xfId="12289"/>
    <cellStyle name="40% - 강조색1 6 3 4 3" xfId="12290"/>
    <cellStyle name="40% - 강조색1 6 3 4 4" xfId="12291"/>
    <cellStyle name="40% - 강조색1 6 3 5" xfId="12292"/>
    <cellStyle name="40% - 강조색1 6 3 5 2" xfId="12293"/>
    <cellStyle name="40% - 강조색1 6 3 5 3" xfId="12294"/>
    <cellStyle name="40% - 강조색1 6 3 6" xfId="12295"/>
    <cellStyle name="40% - 강조색1 6 3 7" xfId="12296"/>
    <cellStyle name="40% - 강조색1 6 4" xfId="12297"/>
    <cellStyle name="40% - 강조색1 6 4 2" xfId="12298"/>
    <cellStyle name="40% - 강조색1 6 4 2 2" xfId="12299"/>
    <cellStyle name="40% - 강조색1 6 4 2 2 2" xfId="12300"/>
    <cellStyle name="40% - 강조색1 6 4 2 2 3" xfId="12301"/>
    <cellStyle name="40% - 강조색1 6 4 2 3" xfId="12302"/>
    <cellStyle name="40% - 강조색1 6 4 2 4" xfId="12303"/>
    <cellStyle name="40% - 강조색1 6 4 3" xfId="12304"/>
    <cellStyle name="40% - 강조색1 6 4 3 2" xfId="12305"/>
    <cellStyle name="40% - 강조색1 6 4 3 3" xfId="12306"/>
    <cellStyle name="40% - 강조색1 6 4 4" xfId="12307"/>
    <cellStyle name="40% - 강조색1 6 4 5" xfId="12308"/>
    <cellStyle name="40% - 강조색1 6 5" xfId="12309"/>
    <cellStyle name="40% - 강조색1 6 5 2" xfId="12310"/>
    <cellStyle name="40% - 강조색1 6 5 2 2" xfId="12311"/>
    <cellStyle name="40% - 강조색1 6 5 2 2 2" xfId="12312"/>
    <cellStyle name="40% - 강조색1 6 5 2 2 3" xfId="12313"/>
    <cellStyle name="40% - 강조색1 6 5 2 3" xfId="12314"/>
    <cellStyle name="40% - 강조색1 6 5 2 4" xfId="12315"/>
    <cellStyle name="40% - 강조색1 6 5 3" xfId="12316"/>
    <cellStyle name="40% - 강조색1 6 5 3 2" xfId="12317"/>
    <cellStyle name="40% - 강조색1 6 5 3 3" xfId="12318"/>
    <cellStyle name="40% - 강조색1 6 5 4" xfId="12319"/>
    <cellStyle name="40% - 강조색1 6 5 5" xfId="12320"/>
    <cellStyle name="40% - 강조색1 6 6" xfId="12321"/>
    <cellStyle name="40% - 강조색1 6 6 2" xfId="12322"/>
    <cellStyle name="40% - 강조색1 6 6 2 2" xfId="12323"/>
    <cellStyle name="40% - 강조색1 6 6 2 2 2" xfId="12324"/>
    <cellStyle name="40% - 강조색1 6 6 2 2 3" xfId="12325"/>
    <cellStyle name="40% - 강조색1 6 6 2 3" xfId="12326"/>
    <cellStyle name="40% - 강조색1 6 6 2 4" xfId="12327"/>
    <cellStyle name="40% - 강조색1 6 6 3" xfId="12328"/>
    <cellStyle name="40% - 강조색1 6 6 3 2" xfId="12329"/>
    <cellStyle name="40% - 강조색1 6 6 3 3" xfId="12330"/>
    <cellStyle name="40% - 강조색1 6 6 4" xfId="12331"/>
    <cellStyle name="40% - 강조색1 6 6 5" xfId="12332"/>
    <cellStyle name="40% - 강조색1 6 7" xfId="12333"/>
    <cellStyle name="40% - 강조색1 6 7 2" xfId="12334"/>
    <cellStyle name="40% - 강조색1 6 7 2 2" xfId="12335"/>
    <cellStyle name="40% - 강조색1 6 7 2 3" xfId="12336"/>
    <cellStyle name="40% - 강조색1 6 7 3" xfId="12337"/>
    <cellStyle name="40% - 강조색1 6 7 4" xfId="12338"/>
    <cellStyle name="40% - 강조색1 6 8" xfId="12339"/>
    <cellStyle name="40% - 강조색1 6 8 2" xfId="12340"/>
    <cellStyle name="40% - 강조색1 6 8 3" xfId="12341"/>
    <cellStyle name="40% - 강조색1 6 9" xfId="12342"/>
    <cellStyle name="40% - 강조색1 60" xfId="12343"/>
    <cellStyle name="40% - 강조색1 61" xfId="12344"/>
    <cellStyle name="40% - 강조색1 62" xfId="12345"/>
    <cellStyle name="40% - 강조색1 63" xfId="12346"/>
    <cellStyle name="40% - 강조색1 64" xfId="12347"/>
    <cellStyle name="40% - 강조색1 65" xfId="12348"/>
    <cellStyle name="40% - 강조색1 66" xfId="12349"/>
    <cellStyle name="40% - 강조색1 67" xfId="12350"/>
    <cellStyle name="40% - 강조색1 68" xfId="12351"/>
    <cellStyle name="40% - 강조색1 69" xfId="12352"/>
    <cellStyle name="40% - 강조색1 7" xfId="12353"/>
    <cellStyle name="40% - 강조색1 7 10" xfId="12354"/>
    <cellStyle name="40% - 강조색1 7 2" xfId="12355"/>
    <cellStyle name="40% - 강조색1 7 2 2" xfId="12356"/>
    <cellStyle name="40% - 강조색1 7 2 2 2" xfId="12357"/>
    <cellStyle name="40% - 강조색1 7 2 2 2 2" xfId="12358"/>
    <cellStyle name="40% - 강조색1 7 2 2 2 2 2" xfId="12359"/>
    <cellStyle name="40% - 강조색1 7 2 2 2 2 3" xfId="12360"/>
    <cellStyle name="40% - 강조색1 7 2 2 2 3" xfId="12361"/>
    <cellStyle name="40% - 강조색1 7 2 2 2 4" xfId="12362"/>
    <cellStyle name="40% - 강조색1 7 2 2 3" xfId="12363"/>
    <cellStyle name="40% - 강조색1 7 2 2 3 2" xfId="12364"/>
    <cellStyle name="40% - 강조색1 7 2 2 3 3" xfId="12365"/>
    <cellStyle name="40% - 강조색1 7 2 2 4" xfId="12366"/>
    <cellStyle name="40% - 강조색1 7 2 2 5" xfId="12367"/>
    <cellStyle name="40% - 강조색1 7 2 3" xfId="12368"/>
    <cellStyle name="40% - 강조색1 7 2 3 2" xfId="12369"/>
    <cellStyle name="40% - 강조색1 7 2 3 2 2" xfId="12370"/>
    <cellStyle name="40% - 강조색1 7 2 3 2 2 2" xfId="12371"/>
    <cellStyle name="40% - 강조색1 7 2 3 2 2 3" xfId="12372"/>
    <cellStyle name="40% - 강조색1 7 2 3 2 3" xfId="12373"/>
    <cellStyle name="40% - 강조색1 7 2 3 2 4" xfId="12374"/>
    <cellStyle name="40% - 강조색1 7 2 3 3" xfId="12375"/>
    <cellStyle name="40% - 강조색1 7 2 3 3 2" xfId="12376"/>
    <cellStyle name="40% - 강조색1 7 2 3 3 3" xfId="12377"/>
    <cellStyle name="40% - 강조색1 7 2 3 4" xfId="12378"/>
    <cellStyle name="40% - 강조색1 7 2 3 5" xfId="12379"/>
    <cellStyle name="40% - 강조색1 7 2 4" xfId="12380"/>
    <cellStyle name="40% - 강조색1 7 2 4 2" xfId="12381"/>
    <cellStyle name="40% - 강조색1 7 2 4 2 2" xfId="12382"/>
    <cellStyle name="40% - 강조색1 7 2 4 2 3" xfId="12383"/>
    <cellStyle name="40% - 강조색1 7 2 4 3" xfId="12384"/>
    <cellStyle name="40% - 강조색1 7 2 4 4" xfId="12385"/>
    <cellStyle name="40% - 강조색1 7 2 5" xfId="12386"/>
    <cellStyle name="40% - 강조색1 7 2 5 2" xfId="12387"/>
    <cellStyle name="40% - 강조색1 7 2 5 3" xfId="12388"/>
    <cellStyle name="40% - 강조색1 7 2 6" xfId="12389"/>
    <cellStyle name="40% - 강조색1 7 2 7" xfId="12390"/>
    <cellStyle name="40% - 강조색1 7 3" xfId="12391"/>
    <cellStyle name="40% - 강조색1 7 3 2" xfId="12392"/>
    <cellStyle name="40% - 강조색1 7 3 2 2" xfId="12393"/>
    <cellStyle name="40% - 강조색1 7 3 2 2 2" xfId="12394"/>
    <cellStyle name="40% - 강조색1 7 3 2 2 2 2" xfId="12395"/>
    <cellStyle name="40% - 강조색1 7 3 2 2 2 3" xfId="12396"/>
    <cellStyle name="40% - 강조색1 7 3 2 2 3" xfId="12397"/>
    <cellStyle name="40% - 강조색1 7 3 2 2 4" xfId="12398"/>
    <cellStyle name="40% - 강조색1 7 3 2 3" xfId="12399"/>
    <cellStyle name="40% - 강조색1 7 3 2 3 2" xfId="12400"/>
    <cellStyle name="40% - 강조색1 7 3 2 3 3" xfId="12401"/>
    <cellStyle name="40% - 강조색1 7 3 2 4" xfId="12402"/>
    <cellStyle name="40% - 강조색1 7 3 2 5" xfId="12403"/>
    <cellStyle name="40% - 강조색1 7 3 3" xfId="12404"/>
    <cellStyle name="40% - 강조색1 7 3 3 2" xfId="12405"/>
    <cellStyle name="40% - 강조색1 7 3 3 2 2" xfId="12406"/>
    <cellStyle name="40% - 강조색1 7 3 3 2 2 2" xfId="12407"/>
    <cellStyle name="40% - 강조색1 7 3 3 2 2 3" xfId="12408"/>
    <cellStyle name="40% - 강조색1 7 3 3 2 3" xfId="12409"/>
    <cellStyle name="40% - 강조색1 7 3 3 2 4" xfId="12410"/>
    <cellStyle name="40% - 강조색1 7 3 3 3" xfId="12411"/>
    <cellStyle name="40% - 강조색1 7 3 3 3 2" xfId="12412"/>
    <cellStyle name="40% - 강조색1 7 3 3 3 3" xfId="12413"/>
    <cellStyle name="40% - 강조색1 7 3 3 4" xfId="12414"/>
    <cellStyle name="40% - 강조색1 7 3 3 5" xfId="12415"/>
    <cellStyle name="40% - 강조색1 7 3 4" xfId="12416"/>
    <cellStyle name="40% - 강조색1 7 3 4 2" xfId="12417"/>
    <cellStyle name="40% - 강조색1 7 3 4 2 2" xfId="12418"/>
    <cellStyle name="40% - 강조색1 7 3 4 2 3" xfId="12419"/>
    <cellStyle name="40% - 강조색1 7 3 4 3" xfId="12420"/>
    <cellStyle name="40% - 강조색1 7 3 4 4" xfId="12421"/>
    <cellStyle name="40% - 강조색1 7 3 5" xfId="12422"/>
    <cellStyle name="40% - 강조색1 7 3 5 2" xfId="12423"/>
    <cellStyle name="40% - 강조색1 7 3 5 3" xfId="12424"/>
    <cellStyle name="40% - 강조색1 7 3 6" xfId="12425"/>
    <cellStyle name="40% - 강조색1 7 3 7" xfId="12426"/>
    <cellStyle name="40% - 강조색1 7 4" xfId="12427"/>
    <cellStyle name="40% - 강조색1 7 4 2" xfId="12428"/>
    <cellStyle name="40% - 강조색1 7 4 2 2" xfId="12429"/>
    <cellStyle name="40% - 강조색1 7 4 2 2 2" xfId="12430"/>
    <cellStyle name="40% - 강조색1 7 4 2 2 3" xfId="12431"/>
    <cellStyle name="40% - 강조색1 7 4 2 3" xfId="12432"/>
    <cellStyle name="40% - 강조색1 7 4 2 4" xfId="12433"/>
    <cellStyle name="40% - 강조색1 7 4 3" xfId="12434"/>
    <cellStyle name="40% - 강조색1 7 4 3 2" xfId="12435"/>
    <cellStyle name="40% - 강조색1 7 4 3 3" xfId="12436"/>
    <cellStyle name="40% - 강조색1 7 4 4" xfId="12437"/>
    <cellStyle name="40% - 강조색1 7 4 5" xfId="12438"/>
    <cellStyle name="40% - 강조색1 7 5" xfId="12439"/>
    <cellStyle name="40% - 강조색1 7 5 2" xfId="12440"/>
    <cellStyle name="40% - 강조색1 7 5 2 2" xfId="12441"/>
    <cellStyle name="40% - 강조색1 7 5 2 2 2" xfId="12442"/>
    <cellStyle name="40% - 강조색1 7 5 2 2 3" xfId="12443"/>
    <cellStyle name="40% - 강조색1 7 5 2 3" xfId="12444"/>
    <cellStyle name="40% - 강조색1 7 5 2 4" xfId="12445"/>
    <cellStyle name="40% - 강조색1 7 5 3" xfId="12446"/>
    <cellStyle name="40% - 강조색1 7 5 3 2" xfId="12447"/>
    <cellStyle name="40% - 강조색1 7 5 3 3" xfId="12448"/>
    <cellStyle name="40% - 강조색1 7 5 4" xfId="12449"/>
    <cellStyle name="40% - 강조색1 7 5 5" xfId="12450"/>
    <cellStyle name="40% - 강조색1 7 6" xfId="12451"/>
    <cellStyle name="40% - 강조색1 7 6 2" xfId="12452"/>
    <cellStyle name="40% - 강조색1 7 6 2 2" xfId="12453"/>
    <cellStyle name="40% - 강조색1 7 6 2 2 2" xfId="12454"/>
    <cellStyle name="40% - 강조색1 7 6 2 2 3" xfId="12455"/>
    <cellStyle name="40% - 강조색1 7 6 2 3" xfId="12456"/>
    <cellStyle name="40% - 강조색1 7 6 2 4" xfId="12457"/>
    <cellStyle name="40% - 강조색1 7 6 3" xfId="12458"/>
    <cellStyle name="40% - 강조색1 7 6 3 2" xfId="12459"/>
    <cellStyle name="40% - 강조색1 7 6 3 3" xfId="12460"/>
    <cellStyle name="40% - 강조색1 7 6 4" xfId="12461"/>
    <cellStyle name="40% - 강조색1 7 6 5" xfId="12462"/>
    <cellStyle name="40% - 강조색1 7 7" xfId="12463"/>
    <cellStyle name="40% - 강조색1 7 7 2" xfId="12464"/>
    <cellStyle name="40% - 강조색1 7 7 2 2" xfId="12465"/>
    <cellStyle name="40% - 강조색1 7 7 2 3" xfId="12466"/>
    <cellStyle name="40% - 강조색1 7 7 3" xfId="12467"/>
    <cellStyle name="40% - 강조색1 7 7 4" xfId="12468"/>
    <cellStyle name="40% - 강조색1 7 8" xfId="12469"/>
    <cellStyle name="40% - 강조색1 7 8 2" xfId="12470"/>
    <cellStyle name="40% - 강조색1 7 8 3" xfId="12471"/>
    <cellStyle name="40% - 강조색1 7 9" xfId="12472"/>
    <cellStyle name="40% - 강조색1 8" xfId="12473"/>
    <cellStyle name="40% - 강조색1 8 2" xfId="12474"/>
    <cellStyle name="40% - 강조색1 8 2 2" xfId="12475"/>
    <cellStyle name="40% - 강조색1 8 2 2 2" xfId="12476"/>
    <cellStyle name="40% - 강조색1 8 2 2 2 2" xfId="12477"/>
    <cellStyle name="40% - 강조색1 8 2 2 2 3" xfId="12478"/>
    <cellStyle name="40% - 강조색1 8 2 2 3" xfId="12479"/>
    <cellStyle name="40% - 강조색1 8 2 2 4" xfId="12480"/>
    <cellStyle name="40% - 강조색1 8 2 3" xfId="12481"/>
    <cellStyle name="40% - 강조색1 8 2 3 2" xfId="12482"/>
    <cellStyle name="40% - 강조색1 8 2 3 3" xfId="12483"/>
    <cellStyle name="40% - 강조색1 8 2 4" xfId="12484"/>
    <cellStyle name="40% - 강조색1 8 2 5" xfId="12485"/>
    <cellStyle name="40% - 강조색1 8 3" xfId="12486"/>
    <cellStyle name="40% - 강조색1 8 3 2" xfId="12487"/>
    <cellStyle name="40% - 강조색1 8 3 2 2" xfId="12488"/>
    <cellStyle name="40% - 강조색1 8 3 2 2 2" xfId="12489"/>
    <cellStyle name="40% - 강조색1 8 3 2 2 3" xfId="12490"/>
    <cellStyle name="40% - 강조색1 8 3 2 3" xfId="12491"/>
    <cellStyle name="40% - 강조색1 8 3 2 4" xfId="12492"/>
    <cellStyle name="40% - 강조색1 8 3 3" xfId="12493"/>
    <cellStyle name="40% - 강조색1 8 3 3 2" xfId="12494"/>
    <cellStyle name="40% - 강조색1 8 3 3 3" xfId="12495"/>
    <cellStyle name="40% - 강조색1 8 3 4" xfId="12496"/>
    <cellStyle name="40% - 강조색1 8 3 5" xfId="12497"/>
    <cellStyle name="40% - 강조색1 8 4" xfId="12498"/>
    <cellStyle name="40% - 강조색1 8 4 2" xfId="12499"/>
    <cellStyle name="40% - 강조색1 8 4 2 2" xfId="12500"/>
    <cellStyle name="40% - 강조색1 8 4 2 3" xfId="12501"/>
    <cellStyle name="40% - 강조색1 8 4 3" xfId="12502"/>
    <cellStyle name="40% - 강조색1 8 4 4" xfId="12503"/>
    <cellStyle name="40% - 강조색1 8 5" xfId="12504"/>
    <cellStyle name="40% - 강조색1 8 5 2" xfId="12505"/>
    <cellStyle name="40% - 강조색1 8 5 3" xfId="12506"/>
    <cellStyle name="40% - 강조색1 8 6" xfId="12507"/>
    <cellStyle name="40% - 강조색1 8 7" xfId="12508"/>
    <cellStyle name="40% - 강조색1 9" xfId="12509"/>
    <cellStyle name="40% - 강조색1 9 2" xfId="12510"/>
    <cellStyle name="40% - 강조색1 9 2 2" xfId="12511"/>
    <cellStyle name="40% - 강조색1 9 2 2 2" xfId="12512"/>
    <cellStyle name="40% - 강조색1 9 2 2 2 2" xfId="12513"/>
    <cellStyle name="40% - 강조색1 9 2 2 2 3" xfId="12514"/>
    <cellStyle name="40% - 강조색1 9 2 2 3" xfId="12515"/>
    <cellStyle name="40% - 강조색1 9 2 2 4" xfId="12516"/>
    <cellStyle name="40% - 강조색1 9 2 3" xfId="12517"/>
    <cellStyle name="40% - 강조색1 9 2 3 2" xfId="12518"/>
    <cellStyle name="40% - 강조색1 9 2 3 3" xfId="12519"/>
    <cellStyle name="40% - 강조색1 9 2 4" xfId="12520"/>
    <cellStyle name="40% - 강조색1 9 2 5" xfId="12521"/>
    <cellStyle name="40% - 강조색1 9 3" xfId="12522"/>
    <cellStyle name="40% - 강조색1 9 3 2" xfId="12523"/>
    <cellStyle name="40% - 강조색1 9 3 2 2" xfId="12524"/>
    <cellStyle name="40% - 강조색1 9 3 2 2 2" xfId="12525"/>
    <cellStyle name="40% - 강조색1 9 3 2 2 3" xfId="12526"/>
    <cellStyle name="40% - 강조색1 9 3 2 3" xfId="12527"/>
    <cellStyle name="40% - 강조색1 9 3 2 4" xfId="12528"/>
    <cellStyle name="40% - 강조색1 9 3 3" xfId="12529"/>
    <cellStyle name="40% - 강조색1 9 3 3 2" xfId="12530"/>
    <cellStyle name="40% - 강조색1 9 3 3 3" xfId="12531"/>
    <cellStyle name="40% - 강조색1 9 3 4" xfId="12532"/>
    <cellStyle name="40% - 강조색1 9 3 5" xfId="12533"/>
    <cellStyle name="40% - 강조색1 9 4" xfId="12534"/>
    <cellStyle name="40% - 강조색1 9 4 2" xfId="12535"/>
    <cellStyle name="40% - 강조색1 9 4 2 2" xfId="12536"/>
    <cellStyle name="40% - 강조색1 9 4 2 3" xfId="12537"/>
    <cellStyle name="40% - 강조색1 9 4 3" xfId="12538"/>
    <cellStyle name="40% - 강조색1 9 4 4" xfId="12539"/>
    <cellStyle name="40% - 강조색1 9 5" xfId="12540"/>
    <cellStyle name="40% - 강조색1 9 5 2" xfId="12541"/>
    <cellStyle name="40% - 강조색1 9 5 3" xfId="12542"/>
    <cellStyle name="40% - 강조색1 9 6" xfId="12543"/>
    <cellStyle name="40% - 강조색1 9 7" xfId="12544"/>
    <cellStyle name="40% - 강조색2 10" xfId="12545"/>
    <cellStyle name="40% - 강조색2 10 2" xfId="12546"/>
    <cellStyle name="40% - 강조색2 10 2 2" xfId="12547"/>
    <cellStyle name="40% - 강조색2 10 2 2 2" xfId="12548"/>
    <cellStyle name="40% - 강조색2 10 2 2 2 2" xfId="12549"/>
    <cellStyle name="40% - 강조색2 10 2 2 2 3" xfId="12550"/>
    <cellStyle name="40% - 강조색2 10 2 2 3" xfId="12551"/>
    <cellStyle name="40% - 강조색2 10 2 2 4" xfId="12552"/>
    <cellStyle name="40% - 강조색2 10 2 3" xfId="12553"/>
    <cellStyle name="40% - 강조색2 10 2 3 2" xfId="12554"/>
    <cellStyle name="40% - 강조색2 10 2 3 3" xfId="12555"/>
    <cellStyle name="40% - 강조색2 10 2 4" xfId="12556"/>
    <cellStyle name="40% - 강조색2 10 2 5" xfId="12557"/>
    <cellStyle name="40% - 강조색2 10 3" xfId="12558"/>
    <cellStyle name="40% - 강조색2 10 3 2" xfId="12559"/>
    <cellStyle name="40% - 강조색2 10 3 2 2" xfId="12560"/>
    <cellStyle name="40% - 강조색2 10 3 2 2 2" xfId="12561"/>
    <cellStyle name="40% - 강조색2 10 3 2 2 3" xfId="12562"/>
    <cellStyle name="40% - 강조색2 10 3 2 3" xfId="12563"/>
    <cellStyle name="40% - 강조색2 10 3 2 4" xfId="12564"/>
    <cellStyle name="40% - 강조색2 10 3 3" xfId="12565"/>
    <cellStyle name="40% - 강조색2 10 3 3 2" xfId="12566"/>
    <cellStyle name="40% - 강조색2 10 3 3 3" xfId="12567"/>
    <cellStyle name="40% - 강조색2 10 3 4" xfId="12568"/>
    <cellStyle name="40% - 강조색2 10 3 5" xfId="12569"/>
    <cellStyle name="40% - 강조색2 10 4" xfId="12570"/>
    <cellStyle name="40% - 강조색2 10 4 2" xfId="12571"/>
    <cellStyle name="40% - 강조색2 10 4 2 2" xfId="12572"/>
    <cellStyle name="40% - 강조색2 10 4 2 3" xfId="12573"/>
    <cellStyle name="40% - 강조색2 10 4 3" xfId="12574"/>
    <cellStyle name="40% - 강조색2 10 4 4" xfId="12575"/>
    <cellStyle name="40% - 강조색2 10 5" xfId="12576"/>
    <cellStyle name="40% - 강조색2 10 5 2" xfId="12577"/>
    <cellStyle name="40% - 강조색2 10 5 3" xfId="12578"/>
    <cellStyle name="40% - 강조색2 10 6" xfId="12579"/>
    <cellStyle name="40% - 강조색2 10 7" xfId="12580"/>
    <cellStyle name="40% - 강조색2 11" xfId="12581"/>
    <cellStyle name="40% - 강조색2 11 2" xfId="12582"/>
    <cellStyle name="40% - 강조색2 11 2 2" xfId="12583"/>
    <cellStyle name="40% - 강조색2 11 2 2 2" xfId="12584"/>
    <cellStyle name="40% - 강조색2 11 2 2 3" xfId="12585"/>
    <cellStyle name="40% - 강조색2 11 2 3" xfId="12586"/>
    <cellStyle name="40% - 강조색2 11 2 4" xfId="12587"/>
    <cellStyle name="40% - 강조색2 11 3" xfId="12588"/>
    <cellStyle name="40% - 강조색2 11 3 2" xfId="12589"/>
    <cellStyle name="40% - 강조색2 11 3 3" xfId="12590"/>
    <cellStyle name="40% - 강조색2 11 4" xfId="12591"/>
    <cellStyle name="40% - 강조색2 11 5" xfId="12592"/>
    <cellStyle name="40% - 강조색2 12" xfId="12593"/>
    <cellStyle name="40% - 강조색2 12 2" xfId="12594"/>
    <cellStyle name="40% - 강조색2 12 2 2" xfId="12595"/>
    <cellStyle name="40% - 강조색2 12 2 2 2" xfId="12596"/>
    <cellStyle name="40% - 강조색2 12 2 2 3" xfId="12597"/>
    <cellStyle name="40% - 강조색2 12 2 3" xfId="12598"/>
    <cellStyle name="40% - 강조색2 12 2 4" xfId="12599"/>
    <cellStyle name="40% - 강조색2 12 3" xfId="12600"/>
    <cellStyle name="40% - 강조색2 12 3 2" xfId="12601"/>
    <cellStyle name="40% - 강조색2 12 3 3" xfId="12602"/>
    <cellStyle name="40% - 강조색2 12 4" xfId="12603"/>
    <cellStyle name="40% - 강조색2 12 5" xfId="12604"/>
    <cellStyle name="40% - 강조색2 13" xfId="12605"/>
    <cellStyle name="40% - 강조색2 13 2" xfId="12606"/>
    <cellStyle name="40% - 강조색2 13 2 2" xfId="12607"/>
    <cellStyle name="40% - 강조색2 13 2 3" xfId="12608"/>
    <cellStyle name="40% - 강조색2 13 3" xfId="12609"/>
    <cellStyle name="40% - 강조색2 13 4" xfId="12610"/>
    <cellStyle name="40% - 강조색2 14" xfId="12611"/>
    <cellStyle name="40% - 강조색2 14 2" xfId="12612"/>
    <cellStyle name="40% - 강조색2 14 2 2" xfId="12613"/>
    <cellStyle name="40% - 강조색2 14 2 3" xfId="12614"/>
    <cellStyle name="40% - 강조색2 14 3" xfId="12615"/>
    <cellStyle name="40% - 강조색2 14 4" xfId="12616"/>
    <cellStyle name="40% - 강조색2 15" xfId="12617"/>
    <cellStyle name="40% - 강조색2 15 2" xfId="12618"/>
    <cellStyle name="40% - 강조색2 15 3" xfId="12619"/>
    <cellStyle name="40% - 강조색2 16" xfId="12620"/>
    <cellStyle name="40% - 강조색2 16 2" xfId="12621"/>
    <cellStyle name="40% - 강조색2 16 3" xfId="12622"/>
    <cellStyle name="40% - 강조색2 16 4" xfId="12623"/>
    <cellStyle name="40% - 강조색2 17" xfId="12624"/>
    <cellStyle name="40% - 강조색2 17 2" xfId="12625"/>
    <cellStyle name="40% - 강조색2 17 3" xfId="12626"/>
    <cellStyle name="40% - 강조색2 18" xfId="12627"/>
    <cellStyle name="40% - 강조색2 18 2" xfId="12628"/>
    <cellStyle name="40% - 강조색2 18 3" xfId="12629"/>
    <cellStyle name="40% - 강조색2 19" xfId="12630"/>
    <cellStyle name="40% - 강조색2 19 2" xfId="12631"/>
    <cellStyle name="40% - 강조색2 19 3" xfId="12632"/>
    <cellStyle name="40% - 강조색2 2" xfId="12633"/>
    <cellStyle name="40% - 강조색2 2 2" xfId="12634"/>
    <cellStyle name="40% - 강조색2 2 2 2" xfId="12635"/>
    <cellStyle name="40% - 강조색2 2 2 2 2" xfId="12636"/>
    <cellStyle name="40% - 강조색2 2 2 3" xfId="12637"/>
    <cellStyle name="40% - 강조색2 2 3" xfId="12638"/>
    <cellStyle name="40% - 강조색2 2 3 2" xfId="12639"/>
    <cellStyle name="40% - 강조색2 2 3 2 2" xfId="12640"/>
    <cellStyle name="40% - 강조색2 2 3 3" xfId="12641"/>
    <cellStyle name="40% - 강조색2 2 4" xfId="12642"/>
    <cellStyle name="40% - 강조색2 2 4 2" xfId="12643"/>
    <cellStyle name="40% - 강조색2 2 5" xfId="12644"/>
    <cellStyle name="40% - 강조색2 2 6" xfId="12645"/>
    <cellStyle name="40% - 강조색2 20" xfId="12646"/>
    <cellStyle name="40% - 강조색2 20 2" xfId="12647"/>
    <cellStyle name="40% - 강조색2 20 3" xfId="12648"/>
    <cellStyle name="40% - 강조색2 21" xfId="12649"/>
    <cellStyle name="40% - 강조색2 21 2" xfId="12650"/>
    <cellStyle name="40% - 강조색2 21 3" xfId="12651"/>
    <cellStyle name="40% - 강조색2 22" xfId="12652"/>
    <cellStyle name="40% - 강조색2 22 2" xfId="12653"/>
    <cellStyle name="40% - 강조색2 22 3" xfId="12654"/>
    <cellStyle name="40% - 강조색2 23" xfId="12655"/>
    <cellStyle name="40% - 강조색2 23 2" xfId="12656"/>
    <cellStyle name="40% - 강조색2 23 3" xfId="12657"/>
    <cellStyle name="40% - 강조색2 24" xfId="12658"/>
    <cellStyle name="40% - 강조색2 24 2" xfId="12659"/>
    <cellStyle name="40% - 강조색2 25" xfId="12660"/>
    <cellStyle name="40% - 강조색2 25 2" xfId="12661"/>
    <cellStyle name="40% - 강조색2 26" xfId="12662"/>
    <cellStyle name="40% - 강조색2 26 2" xfId="12663"/>
    <cellStyle name="40% - 강조색2 27" xfId="12664"/>
    <cellStyle name="40% - 강조색2 27 2" xfId="12665"/>
    <cellStyle name="40% - 강조색2 28" xfId="12666"/>
    <cellStyle name="40% - 강조색2 28 2" xfId="12667"/>
    <cellStyle name="40% - 강조색2 29" xfId="12668"/>
    <cellStyle name="40% - 강조색2 29 2" xfId="12669"/>
    <cellStyle name="40% - 강조색2 3" xfId="12670"/>
    <cellStyle name="40% - 강조색2 3 10" xfId="12671"/>
    <cellStyle name="40% - 강조색2 3 10 2" xfId="12672"/>
    <cellStyle name="40% - 강조색2 3 10 2 2" xfId="12673"/>
    <cellStyle name="40% - 강조색2 3 10 2 3" xfId="12674"/>
    <cellStyle name="40% - 강조색2 3 10 3" xfId="12675"/>
    <cellStyle name="40% - 강조색2 3 10 4" xfId="12676"/>
    <cellStyle name="40% - 강조색2 3 11" xfId="12677"/>
    <cellStyle name="40% - 강조색2 3 11 2" xfId="12678"/>
    <cellStyle name="40% - 강조색2 3 11 3" xfId="12679"/>
    <cellStyle name="40% - 강조색2 3 12" xfId="12680"/>
    <cellStyle name="40% - 강조색2 3 13" xfId="12681"/>
    <cellStyle name="40% - 강조색2 3 14" xfId="12682"/>
    <cellStyle name="40% - 강조색2 3 15" xfId="12683"/>
    <cellStyle name="40% - 강조색2 3 2" xfId="12684"/>
    <cellStyle name="40% - 강조색2 3 2 10" xfId="12685"/>
    <cellStyle name="40% - 강조색2 3 2 11" xfId="12686"/>
    <cellStyle name="40% - 강조색2 3 2 12" xfId="12687"/>
    <cellStyle name="40% - 강조색2 3 2 2" xfId="12688"/>
    <cellStyle name="40% - 강조색2 3 2 2 2" xfId="12689"/>
    <cellStyle name="40% - 강조색2 3 2 2 2 2" xfId="12690"/>
    <cellStyle name="40% - 강조색2 3 2 2 2 2 2" xfId="12691"/>
    <cellStyle name="40% - 강조색2 3 2 2 2 2 2 2" xfId="12692"/>
    <cellStyle name="40% - 강조색2 3 2 2 2 2 2 3" xfId="12693"/>
    <cellStyle name="40% - 강조색2 3 2 2 2 2 3" xfId="12694"/>
    <cellStyle name="40% - 강조색2 3 2 2 2 2 4" xfId="12695"/>
    <cellStyle name="40% - 강조색2 3 2 2 2 3" xfId="12696"/>
    <cellStyle name="40% - 강조색2 3 2 2 2 3 2" xfId="12697"/>
    <cellStyle name="40% - 강조색2 3 2 2 2 3 3" xfId="12698"/>
    <cellStyle name="40% - 강조색2 3 2 2 2 4" xfId="12699"/>
    <cellStyle name="40% - 강조색2 3 2 2 2 5" xfId="12700"/>
    <cellStyle name="40% - 강조색2 3 2 2 3" xfId="12701"/>
    <cellStyle name="40% - 강조색2 3 2 2 3 2" xfId="12702"/>
    <cellStyle name="40% - 강조색2 3 2 2 3 2 2" xfId="12703"/>
    <cellStyle name="40% - 강조색2 3 2 2 3 2 2 2" xfId="12704"/>
    <cellStyle name="40% - 강조색2 3 2 2 3 2 2 3" xfId="12705"/>
    <cellStyle name="40% - 강조색2 3 2 2 3 2 3" xfId="12706"/>
    <cellStyle name="40% - 강조색2 3 2 2 3 2 4" xfId="12707"/>
    <cellStyle name="40% - 강조색2 3 2 2 3 3" xfId="12708"/>
    <cellStyle name="40% - 강조색2 3 2 2 3 3 2" xfId="12709"/>
    <cellStyle name="40% - 강조색2 3 2 2 3 3 3" xfId="12710"/>
    <cellStyle name="40% - 강조색2 3 2 2 3 4" xfId="12711"/>
    <cellStyle name="40% - 강조색2 3 2 2 3 5" xfId="12712"/>
    <cellStyle name="40% - 강조색2 3 2 2 4" xfId="12713"/>
    <cellStyle name="40% - 강조색2 3 2 2 4 2" xfId="12714"/>
    <cellStyle name="40% - 강조색2 3 2 2 4 2 2" xfId="12715"/>
    <cellStyle name="40% - 강조색2 3 2 2 4 2 3" xfId="12716"/>
    <cellStyle name="40% - 강조색2 3 2 2 4 3" xfId="12717"/>
    <cellStyle name="40% - 강조색2 3 2 2 4 4" xfId="12718"/>
    <cellStyle name="40% - 강조색2 3 2 2 5" xfId="12719"/>
    <cellStyle name="40% - 강조색2 3 2 2 5 2" xfId="12720"/>
    <cellStyle name="40% - 강조색2 3 2 2 5 3" xfId="12721"/>
    <cellStyle name="40% - 강조색2 3 2 2 6" xfId="12722"/>
    <cellStyle name="40% - 강조색2 3 2 2 7" xfId="12723"/>
    <cellStyle name="40% - 강조색2 3 2 2 8" xfId="12724"/>
    <cellStyle name="40% - 강조색2 3 2 2 9" xfId="12725"/>
    <cellStyle name="40% - 강조색2 3 2 3" xfId="12726"/>
    <cellStyle name="40% - 강조색2 3 2 3 2" xfId="12727"/>
    <cellStyle name="40% - 강조색2 3 2 3 2 2" xfId="12728"/>
    <cellStyle name="40% - 강조색2 3 2 3 2 2 2" xfId="12729"/>
    <cellStyle name="40% - 강조색2 3 2 3 2 2 2 2" xfId="12730"/>
    <cellStyle name="40% - 강조색2 3 2 3 2 2 2 3" xfId="12731"/>
    <cellStyle name="40% - 강조색2 3 2 3 2 2 3" xfId="12732"/>
    <cellStyle name="40% - 강조색2 3 2 3 2 2 4" xfId="12733"/>
    <cellStyle name="40% - 강조색2 3 2 3 2 3" xfId="12734"/>
    <cellStyle name="40% - 강조색2 3 2 3 2 3 2" xfId="12735"/>
    <cellStyle name="40% - 강조색2 3 2 3 2 3 3" xfId="12736"/>
    <cellStyle name="40% - 강조색2 3 2 3 2 4" xfId="12737"/>
    <cellStyle name="40% - 강조색2 3 2 3 2 5" xfId="12738"/>
    <cellStyle name="40% - 강조색2 3 2 3 3" xfId="12739"/>
    <cellStyle name="40% - 강조색2 3 2 3 3 2" xfId="12740"/>
    <cellStyle name="40% - 강조색2 3 2 3 3 2 2" xfId="12741"/>
    <cellStyle name="40% - 강조색2 3 2 3 3 2 2 2" xfId="12742"/>
    <cellStyle name="40% - 강조색2 3 2 3 3 2 2 3" xfId="12743"/>
    <cellStyle name="40% - 강조색2 3 2 3 3 2 3" xfId="12744"/>
    <cellStyle name="40% - 강조색2 3 2 3 3 2 4" xfId="12745"/>
    <cellStyle name="40% - 강조색2 3 2 3 3 3" xfId="12746"/>
    <cellStyle name="40% - 강조색2 3 2 3 3 3 2" xfId="12747"/>
    <cellStyle name="40% - 강조색2 3 2 3 3 3 3" xfId="12748"/>
    <cellStyle name="40% - 강조색2 3 2 3 3 4" xfId="12749"/>
    <cellStyle name="40% - 강조색2 3 2 3 3 5" xfId="12750"/>
    <cellStyle name="40% - 강조색2 3 2 3 4" xfId="12751"/>
    <cellStyle name="40% - 강조색2 3 2 3 4 2" xfId="12752"/>
    <cellStyle name="40% - 강조색2 3 2 3 4 2 2" xfId="12753"/>
    <cellStyle name="40% - 강조색2 3 2 3 4 2 3" xfId="12754"/>
    <cellStyle name="40% - 강조색2 3 2 3 4 3" xfId="12755"/>
    <cellStyle name="40% - 강조색2 3 2 3 4 4" xfId="12756"/>
    <cellStyle name="40% - 강조색2 3 2 3 5" xfId="12757"/>
    <cellStyle name="40% - 강조색2 3 2 3 5 2" xfId="12758"/>
    <cellStyle name="40% - 강조색2 3 2 3 5 3" xfId="12759"/>
    <cellStyle name="40% - 강조색2 3 2 3 6" xfId="12760"/>
    <cellStyle name="40% - 강조색2 3 2 3 7" xfId="12761"/>
    <cellStyle name="40% - 강조색2 3 2 4" xfId="12762"/>
    <cellStyle name="40% - 강조색2 3 2 4 2" xfId="12763"/>
    <cellStyle name="40% - 강조색2 3 2 4 2 2" xfId="12764"/>
    <cellStyle name="40% - 강조색2 3 2 4 2 2 2" xfId="12765"/>
    <cellStyle name="40% - 강조색2 3 2 4 2 2 3" xfId="12766"/>
    <cellStyle name="40% - 강조색2 3 2 4 2 3" xfId="12767"/>
    <cellStyle name="40% - 강조색2 3 2 4 2 4" xfId="12768"/>
    <cellStyle name="40% - 강조색2 3 2 4 3" xfId="12769"/>
    <cellStyle name="40% - 강조색2 3 2 4 3 2" xfId="12770"/>
    <cellStyle name="40% - 강조색2 3 2 4 3 3" xfId="12771"/>
    <cellStyle name="40% - 강조색2 3 2 4 4" xfId="12772"/>
    <cellStyle name="40% - 강조색2 3 2 4 5" xfId="12773"/>
    <cellStyle name="40% - 강조색2 3 2 5" xfId="12774"/>
    <cellStyle name="40% - 강조색2 3 2 5 2" xfId="12775"/>
    <cellStyle name="40% - 강조색2 3 2 5 2 2" xfId="12776"/>
    <cellStyle name="40% - 강조색2 3 2 5 2 2 2" xfId="12777"/>
    <cellStyle name="40% - 강조색2 3 2 5 2 2 3" xfId="12778"/>
    <cellStyle name="40% - 강조색2 3 2 5 2 3" xfId="12779"/>
    <cellStyle name="40% - 강조색2 3 2 5 2 4" xfId="12780"/>
    <cellStyle name="40% - 강조색2 3 2 5 3" xfId="12781"/>
    <cellStyle name="40% - 강조색2 3 2 5 3 2" xfId="12782"/>
    <cellStyle name="40% - 강조색2 3 2 5 3 3" xfId="12783"/>
    <cellStyle name="40% - 강조색2 3 2 5 4" xfId="12784"/>
    <cellStyle name="40% - 강조색2 3 2 5 5" xfId="12785"/>
    <cellStyle name="40% - 강조색2 3 2 6" xfId="12786"/>
    <cellStyle name="40% - 강조색2 3 2 6 2" xfId="12787"/>
    <cellStyle name="40% - 강조색2 3 2 6 2 2" xfId="12788"/>
    <cellStyle name="40% - 강조색2 3 2 6 2 2 2" xfId="12789"/>
    <cellStyle name="40% - 강조색2 3 2 6 2 2 3" xfId="12790"/>
    <cellStyle name="40% - 강조색2 3 2 6 2 3" xfId="12791"/>
    <cellStyle name="40% - 강조색2 3 2 6 2 4" xfId="12792"/>
    <cellStyle name="40% - 강조색2 3 2 6 3" xfId="12793"/>
    <cellStyle name="40% - 강조색2 3 2 6 3 2" xfId="12794"/>
    <cellStyle name="40% - 강조색2 3 2 6 3 3" xfId="12795"/>
    <cellStyle name="40% - 강조색2 3 2 6 4" xfId="12796"/>
    <cellStyle name="40% - 강조색2 3 2 6 5" xfId="12797"/>
    <cellStyle name="40% - 강조색2 3 2 7" xfId="12798"/>
    <cellStyle name="40% - 강조색2 3 2 7 2" xfId="12799"/>
    <cellStyle name="40% - 강조색2 3 2 7 2 2" xfId="12800"/>
    <cellStyle name="40% - 강조색2 3 2 7 2 3" xfId="12801"/>
    <cellStyle name="40% - 강조색2 3 2 7 3" xfId="12802"/>
    <cellStyle name="40% - 강조색2 3 2 7 4" xfId="12803"/>
    <cellStyle name="40% - 강조색2 3 2 8" xfId="12804"/>
    <cellStyle name="40% - 강조색2 3 2 8 2" xfId="12805"/>
    <cellStyle name="40% - 강조색2 3 2 8 3" xfId="12806"/>
    <cellStyle name="40% - 강조색2 3 2 9" xfId="12807"/>
    <cellStyle name="40% - 강조색2 3 3" xfId="12808"/>
    <cellStyle name="40% - 강조색2 3 3 10" xfId="12809"/>
    <cellStyle name="40% - 강조색2 3 3 11" xfId="12810"/>
    <cellStyle name="40% - 강조색2 3 3 12" xfId="12811"/>
    <cellStyle name="40% - 강조색2 3 3 2" xfId="12812"/>
    <cellStyle name="40% - 강조색2 3 3 2 2" xfId="12813"/>
    <cellStyle name="40% - 강조색2 3 3 2 2 2" xfId="12814"/>
    <cellStyle name="40% - 강조색2 3 3 2 2 2 2" xfId="12815"/>
    <cellStyle name="40% - 강조색2 3 3 2 2 2 2 2" xfId="12816"/>
    <cellStyle name="40% - 강조색2 3 3 2 2 2 2 3" xfId="12817"/>
    <cellStyle name="40% - 강조색2 3 3 2 2 2 3" xfId="12818"/>
    <cellStyle name="40% - 강조색2 3 3 2 2 2 4" xfId="12819"/>
    <cellStyle name="40% - 강조색2 3 3 2 2 3" xfId="12820"/>
    <cellStyle name="40% - 강조색2 3 3 2 2 3 2" xfId="12821"/>
    <cellStyle name="40% - 강조색2 3 3 2 2 3 3" xfId="12822"/>
    <cellStyle name="40% - 강조색2 3 3 2 2 4" xfId="12823"/>
    <cellStyle name="40% - 강조색2 3 3 2 2 5" xfId="12824"/>
    <cellStyle name="40% - 강조색2 3 3 2 3" xfId="12825"/>
    <cellStyle name="40% - 강조색2 3 3 2 3 2" xfId="12826"/>
    <cellStyle name="40% - 강조색2 3 3 2 3 2 2" xfId="12827"/>
    <cellStyle name="40% - 강조색2 3 3 2 3 2 2 2" xfId="12828"/>
    <cellStyle name="40% - 강조색2 3 3 2 3 2 2 3" xfId="12829"/>
    <cellStyle name="40% - 강조색2 3 3 2 3 2 3" xfId="12830"/>
    <cellStyle name="40% - 강조색2 3 3 2 3 2 4" xfId="12831"/>
    <cellStyle name="40% - 강조색2 3 3 2 3 3" xfId="12832"/>
    <cellStyle name="40% - 강조색2 3 3 2 3 3 2" xfId="12833"/>
    <cellStyle name="40% - 강조색2 3 3 2 3 3 3" xfId="12834"/>
    <cellStyle name="40% - 강조색2 3 3 2 3 4" xfId="12835"/>
    <cellStyle name="40% - 강조색2 3 3 2 3 5" xfId="12836"/>
    <cellStyle name="40% - 강조색2 3 3 2 4" xfId="12837"/>
    <cellStyle name="40% - 강조색2 3 3 2 4 2" xfId="12838"/>
    <cellStyle name="40% - 강조색2 3 3 2 4 2 2" xfId="12839"/>
    <cellStyle name="40% - 강조색2 3 3 2 4 2 3" xfId="12840"/>
    <cellStyle name="40% - 강조색2 3 3 2 4 3" xfId="12841"/>
    <cellStyle name="40% - 강조색2 3 3 2 4 4" xfId="12842"/>
    <cellStyle name="40% - 강조색2 3 3 2 5" xfId="12843"/>
    <cellStyle name="40% - 강조색2 3 3 2 5 2" xfId="12844"/>
    <cellStyle name="40% - 강조색2 3 3 2 5 3" xfId="12845"/>
    <cellStyle name="40% - 강조색2 3 3 2 6" xfId="12846"/>
    <cellStyle name="40% - 강조색2 3 3 2 7" xfId="12847"/>
    <cellStyle name="40% - 강조색2 3 3 2 8" xfId="12848"/>
    <cellStyle name="40% - 강조색2 3 3 2 9" xfId="12849"/>
    <cellStyle name="40% - 강조색2 3 3 3" xfId="12850"/>
    <cellStyle name="40% - 강조색2 3 3 3 2" xfId="12851"/>
    <cellStyle name="40% - 강조색2 3 3 3 2 2" xfId="12852"/>
    <cellStyle name="40% - 강조색2 3 3 3 2 2 2" xfId="12853"/>
    <cellStyle name="40% - 강조색2 3 3 3 2 2 2 2" xfId="12854"/>
    <cellStyle name="40% - 강조색2 3 3 3 2 2 2 3" xfId="12855"/>
    <cellStyle name="40% - 강조색2 3 3 3 2 2 3" xfId="12856"/>
    <cellStyle name="40% - 강조색2 3 3 3 2 2 4" xfId="12857"/>
    <cellStyle name="40% - 강조색2 3 3 3 2 3" xfId="12858"/>
    <cellStyle name="40% - 강조색2 3 3 3 2 3 2" xfId="12859"/>
    <cellStyle name="40% - 강조색2 3 3 3 2 3 3" xfId="12860"/>
    <cellStyle name="40% - 강조색2 3 3 3 2 4" xfId="12861"/>
    <cellStyle name="40% - 강조색2 3 3 3 2 5" xfId="12862"/>
    <cellStyle name="40% - 강조색2 3 3 3 3" xfId="12863"/>
    <cellStyle name="40% - 강조색2 3 3 3 3 2" xfId="12864"/>
    <cellStyle name="40% - 강조색2 3 3 3 3 2 2" xfId="12865"/>
    <cellStyle name="40% - 강조색2 3 3 3 3 2 2 2" xfId="12866"/>
    <cellStyle name="40% - 강조색2 3 3 3 3 2 2 3" xfId="12867"/>
    <cellStyle name="40% - 강조색2 3 3 3 3 2 3" xfId="12868"/>
    <cellStyle name="40% - 강조색2 3 3 3 3 2 4" xfId="12869"/>
    <cellStyle name="40% - 강조색2 3 3 3 3 3" xfId="12870"/>
    <cellStyle name="40% - 강조색2 3 3 3 3 3 2" xfId="12871"/>
    <cellStyle name="40% - 강조색2 3 3 3 3 3 3" xfId="12872"/>
    <cellStyle name="40% - 강조색2 3 3 3 3 4" xfId="12873"/>
    <cellStyle name="40% - 강조색2 3 3 3 3 5" xfId="12874"/>
    <cellStyle name="40% - 강조색2 3 3 3 4" xfId="12875"/>
    <cellStyle name="40% - 강조색2 3 3 3 4 2" xfId="12876"/>
    <cellStyle name="40% - 강조색2 3 3 3 4 2 2" xfId="12877"/>
    <cellStyle name="40% - 강조색2 3 3 3 4 2 3" xfId="12878"/>
    <cellStyle name="40% - 강조색2 3 3 3 4 3" xfId="12879"/>
    <cellStyle name="40% - 강조색2 3 3 3 4 4" xfId="12880"/>
    <cellStyle name="40% - 강조색2 3 3 3 5" xfId="12881"/>
    <cellStyle name="40% - 강조색2 3 3 3 5 2" xfId="12882"/>
    <cellStyle name="40% - 강조색2 3 3 3 5 3" xfId="12883"/>
    <cellStyle name="40% - 강조색2 3 3 3 6" xfId="12884"/>
    <cellStyle name="40% - 강조색2 3 3 3 7" xfId="12885"/>
    <cellStyle name="40% - 강조색2 3 3 4" xfId="12886"/>
    <cellStyle name="40% - 강조색2 3 3 4 2" xfId="12887"/>
    <cellStyle name="40% - 강조색2 3 3 4 2 2" xfId="12888"/>
    <cellStyle name="40% - 강조색2 3 3 4 2 2 2" xfId="12889"/>
    <cellStyle name="40% - 강조색2 3 3 4 2 2 3" xfId="12890"/>
    <cellStyle name="40% - 강조색2 3 3 4 2 3" xfId="12891"/>
    <cellStyle name="40% - 강조색2 3 3 4 2 4" xfId="12892"/>
    <cellStyle name="40% - 강조색2 3 3 4 3" xfId="12893"/>
    <cellStyle name="40% - 강조색2 3 3 4 3 2" xfId="12894"/>
    <cellStyle name="40% - 강조색2 3 3 4 3 3" xfId="12895"/>
    <cellStyle name="40% - 강조색2 3 3 4 4" xfId="12896"/>
    <cellStyle name="40% - 강조색2 3 3 4 5" xfId="12897"/>
    <cellStyle name="40% - 강조색2 3 3 5" xfId="12898"/>
    <cellStyle name="40% - 강조색2 3 3 5 2" xfId="12899"/>
    <cellStyle name="40% - 강조색2 3 3 5 2 2" xfId="12900"/>
    <cellStyle name="40% - 강조색2 3 3 5 2 2 2" xfId="12901"/>
    <cellStyle name="40% - 강조색2 3 3 5 2 2 3" xfId="12902"/>
    <cellStyle name="40% - 강조색2 3 3 5 2 3" xfId="12903"/>
    <cellStyle name="40% - 강조색2 3 3 5 2 4" xfId="12904"/>
    <cellStyle name="40% - 강조색2 3 3 5 3" xfId="12905"/>
    <cellStyle name="40% - 강조색2 3 3 5 3 2" xfId="12906"/>
    <cellStyle name="40% - 강조색2 3 3 5 3 3" xfId="12907"/>
    <cellStyle name="40% - 강조색2 3 3 5 4" xfId="12908"/>
    <cellStyle name="40% - 강조색2 3 3 5 5" xfId="12909"/>
    <cellStyle name="40% - 강조색2 3 3 6" xfId="12910"/>
    <cellStyle name="40% - 강조색2 3 3 6 2" xfId="12911"/>
    <cellStyle name="40% - 강조색2 3 3 6 2 2" xfId="12912"/>
    <cellStyle name="40% - 강조색2 3 3 6 2 2 2" xfId="12913"/>
    <cellStyle name="40% - 강조색2 3 3 6 2 2 3" xfId="12914"/>
    <cellStyle name="40% - 강조색2 3 3 6 2 3" xfId="12915"/>
    <cellStyle name="40% - 강조색2 3 3 6 2 4" xfId="12916"/>
    <cellStyle name="40% - 강조색2 3 3 6 3" xfId="12917"/>
    <cellStyle name="40% - 강조색2 3 3 6 3 2" xfId="12918"/>
    <cellStyle name="40% - 강조색2 3 3 6 3 3" xfId="12919"/>
    <cellStyle name="40% - 강조색2 3 3 6 4" xfId="12920"/>
    <cellStyle name="40% - 강조색2 3 3 6 5" xfId="12921"/>
    <cellStyle name="40% - 강조색2 3 3 7" xfId="12922"/>
    <cellStyle name="40% - 강조색2 3 3 7 2" xfId="12923"/>
    <cellStyle name="40% - 강조색2 3 3 7 2 2" xfId="12924"/>
    <cellStyle name="40% - 강조색2 3 3 7 2 3" xfId="12925"/>
    <cellStyle name="40% - 강조색2 3 3 7 3" xfId="12926"/>
    <cellStyle name="40% - 강조색2 3 3 7 4" xfId="12927"/>
    <cellStyle name="40% - 강조색2 3 3 8" xfId="12928"/>
    <cellStyle name="40% - 강조색2 3 3 8 2" xfId="12929"/>
    <cellStyle name="40% - 강조색2 3 3 8 3" xfId="12930"/>
    <cellStyle name="40% - 강조색2 3 3 9" xfId="12931"/>
    <cellStyle name="40% - 강조색2 3 4" xfId="12932"/>
    <cellStyle name="40% - 강조색2 3 4 10" xfId="12933"/>
    <cellStyle name="40% - 강조색2 3 4 11" xfId="12934"/>
    <cellStyle name="40% - 강조색2 3 4 12" xfId="12935"/>
    <cellStyle name="40% - 강조색2 3 4 2" xfId="12936"/>
    <cellStyle name="40% - 강조색2 3 4 2 2" xfId="12937"/>
    <cellStyle name="40% - 강조색2 3 4 2 2 2" xfId="12938"/>
    <cellStyle name="40% - 강조색2 3 4 2 2 2 2" xfId="12939"/>
    <cellStyle name="40% - 강조색2 3 4 2 2 2 2 2" xfId="12940"/>
    <cellStyle name="40% - 강조색2 3 4 2 2 2 2 3" xfId="12941"/>
    <cellStyle name="40% - 강조색2 3 4 2 2 2 3" xfId="12942"/>
    <cellStyle name="40% - 강조색2 3 4 2 2 2 4" xfId="12943"/>
    <cellStyle name="40% - 강조색2 3 4 2 2 3" xfId="12944"/>
    <cellStyle name="40% - 강조색2 3 4 2 2 3 2" xfId="12945"/>
    <cellStyle name="40% - 강조색2 3 4 2 2 3 3" xfId="12946"/>
    <cellStyle name="40% - 강조색2 3 4 2 2 4" xfId="12947"/>
    <cellStyle name="40% - 강조색2 3 4 2 2 5" xfId="12948"/>
    <cellStyle name="40% - 강조색2 3 4 2 3" xfId="12949"/>
    <cellStyle name="40% - 강조색2 3 4 2 3 2" xfId="12950"/>
    <cellStyle name="40% - 강조색2 3 4 2 3 2 2" xfId="12951"/>
    <cellStyle name="40% - 강조색2 3 4 2 3 2 2 2" xfId="12952"/>
    <cellStyle name="40% - 강조색2 3 4 2 3 2 2 3" xfId="12953"/>
    <cellStyle name="40% - 강조색2 3 4 2 3 2 3" xfId="12954"/>
    <cellStyle name="40% - 강조색2 3 4 2 3 2 4" xfId="12955"/>
    <cellStyle name="40% - 강조색2 3 4 2 3 3" xfId="12956"/>
    <cellStyle name="40% - 강조색2 3 4 2 3 3 2" xfId="12957"/>
    <cellStyle name="40% - 강조색2 3 4 2 3 3 3" xfId="12958"/>
    <cellStyle name="40% - 강조색2 3 4 2 3 4" xfId="12959"/>
    <cellStyle name="40% - 강조색2 3 4 2 3 5" xfId="12960"/>
    <cellStyle name="40% - 강조색2 3 4 2 4" xfId="12961"/>
    <cellStyle name="40% - 강조색2 3 4 2 4 2" xfId="12962"/>
    <cellStyle name="40% - 강조색2 3 4 2 4 2 2" xfId="12963"/>
    <cellStyle name="40% - 강조색2 3 4 2 4 2 3" xfId="12964"/>
    <cellStyle name="40% - 강조색2 3 4 2 4 3" xfId="12965"/>
    <cellStyle name="40% - 강조색2 3 4 2 4 4" xfId="12966"/>
    <cellStyle name="40% - 강조색2 3 4 2 5" xfId="12967"/>
    <cellStyle name="40% - 강조색2 3 4 2 5 2" xfId="12968"/>
    <cellStyle name="40% - 강조색2 3 4 2 5 3" xfId="12969"/>
    <cellStyle name="40% - 강조색2 3 4 2 6" xfId="12970"/>
    <cellStyle name="40% - 강조색2 3 4 2 7" xfId="12971"/>
    <cellStyle name="40% - 강조색2 3 4 3" xfId="12972"/>
    <cellStyle name="40% - 강조색2 3 4 3 2" xfId="12973"/>
    <cellStyle name="40% - 강조색2 3 4 3 2 2" xfId="12974"/>
    <cellStyle name="40% - 강조색2 3 4 3 2 2 2" xfId="12975"/>
    <cellStyle name="40% - 강조색2 3 4 3 2 2 2 2" xfId="12976"/>
    <cellStyle name="40% - 강조색2 3 4 3 2 2 2 3" xfId="12977"/>
    <cellStyle name="40% - 강조색2 3 4 3 2 2 3" xfId="12978"/>
    <cellStyle name="40% - 강조색2 3 4 3 2 2 4" xfId="12979"/>
    <cellStyle name="40% - 강조색2 3 4 3 2 3" xfId="12980"/>
    <cellStyle name="40% - 강조색2 3 4 3 2 3 2" xfId="12981"/>
    <cellStyle name="40% - 강조색2 3 4 3 2 3 3" xfId="12982"/>
    <cellStyle name="40% - 강조색2 3 4 3 2 4" xfId="12983"/>
    <cellStyle name="40% - 강조색2 3 4 3 2 5" xfId="12984"/>
    <cellStyle name="40% - 강조색2 3 4 3 3" xfId="12985"/>
    <cellStyle name="40% - 강조색2 3 4 3 3 2" xfId="12986"/>
    <cellStyle name="40% - 강조색2 3 4 3 3 2 2" xfId="12987"/>
    <cellStyle name="40% - 강조색2 3 4 3 3 2 2 2" xfId="12988"/>
    <cellStyle name="40% - 강조색2 3 4 3 3 2 2 3" xfId="12989"/>
    <cellStyle name="40% - 강조색2 3 4 3 3 2 3" xfId="12990"/>
    <cellStyle name="40% - 강조색2 3 4 3 3 2 4" xfId="12991"/>
    <cellStyle name="40% - 강조색2 3 4 3 3 3" xfId="12992"/>
    <cellStyle name="40% - 강조색2 3 4 3 3 3 2" xfId="12993"/>
    <cellStyle name="40% - 강조색2 3 4 3 3 3 3" xfId="12994"/>
    <cellStyle name="40% - 강조색2 3 4 3 3 4" xfId="12995"/>
    <cellStyle name="40% - 강조색2 3 4 3 3 5" xfId="12996"/>
    <cellStyle name="40% - 강조색2 3 4 3 4" xfId="12997"/>
    <cellStyle name="40% - 강조색2 3 4 3 4 2" xfId="12998"/>
    <cellStyle name="40% - 강조색2 3 4 3 4 2 2" xfId="12999"/>
    <cellStyle name="40% - 강조색2 3 4 3 4 2 3" xfId="13000"/>
    <cellStyle name="40% - 강조색2 3 4 3 4 3" xfId="13001"/>
    <cellStyle name="40% - 강조색2 3 4 3 4 4" xfId="13002"/>
    <cellStyle name="40% - 강조색2 3 4 3 5" xfId="13003"/>
    <cellStyle name="40% - 강조색2 3 4 3 5 2" xfId="13004"/>
    <cellStyle name="40% - 강조색2 3 4 3 5 3" xfId="13005"/>
    <cellStyle name="40% - 강조색2 3 4 3 6" xfId="13006"/>
    <cellStyle name="40% - 강조색2 3 4 3 7" xfId="13007"/>
    <cellStyle name="40% - 강조색2 3 4 4" xfId="13008"/>
    <cellStyle name="40% - 강조색2 3 4 4 2" xfId="13009"/>
    <cellStyle name="40% - 강조색2 3 4 4 2 2" xfId="13010"/>
    <cellStyle name="40% - 강조색2 3 4 4 2 2 2" xfId="13011"/>
    <cellStyle name="40% - 강조색2 3 4 4 2 2 3" xfId="13012"/>
    <cellStyle name="40% - 강조색2 3 4 4 2 3" xfId="13013"/>
    <cellStyle name="40% - 강조색2 3 4 4 2 4" xfId="13014"/>
    <cellStyle name="40% - 강조색2 3 4 4 3" xfId="13015"/>
    <cellStyle name="40% - 강조색2 3 4 4 3 2" xfId="13016"/>
    <cellStyle name="40% - 강조색2 3 4 4 3 3" xfId="13017"/>
    <cellStyle name="40% - 강조색2 3 4 4 4" xfId="13018"/>
    <cellStyle name="40% - 강조색2 3 4 4 5" xfId="13019"/>
    <cellStyle name="40% - 강조색2 3 4 5" xfId="13020"/>
    <cellStyle name="40% - 강조색2 3 4 5 2" xfId="13021"/>
    <cellStyle name="40% - 강조색2 3 4 5 2 2" xfId="13022"/>
    <cellStyle name="40% - 강조색2 3 4 5 2 2 2" xfId="13023"/>
    <cellStyle name="40% - 강조색2 3 4 5 2 2 3" xfId="13024"/>
    <cellStyle name="40% - 강조색2 3 4 5 2 3" xfId="13025"/>
    <cellStyle name="40% - 강조색2 3 4 5 2 4" xfId="13026"/>
    <cellStyle name="40% - 강조색2 3 4 5 3" xfId="13027"/>
    <cellStyle name="40% - 강조색2 3 4 5 3 2" xfId="13028"/>
    <cellStyle name="40% - 강조색2 3 4 5 3 3" xfId="13029"/>
    <cellStyle name="40% - 강조색2 3 4 5 4" xfId="13030"/>
    <cellStyle name="40% - 강조색2 3 4 5 5" xfId="13031"/>
    <cellStyle name="40% - 강조색2 3 4 6" xfId="13032"/>
    <cellStyle name="40% - 강조색2 3 4 6 2" xfId="13033"/>
    <cellStyle name="40% - 강조색2 3 4 6 2 2" xfId="13034"/>
    <cellStyle name="40% - 강조색2 3 4 6 2 2 2" xfId="13035"/>
    <cellStyle name="40% - 강조색2 3 4 6 2 2 3" xfId="13036"/>
    <cellStyle name="40% - 강조색2 3 4 6 2 3" xfId="13037"/>
    <cellStyle name="40% - 강조색2 3 4 6 2 4" xfId="13038"/>
    <cellStyle name="40% - 강조색2 3 4 6 3" xfId="13039"/>
    <cellStyle name="40% - 강조색2 3 4 6 3 2" xfId="13040"/>
    <cellStyle name="40% - 강조색2 3 4 6 3 3" xfId="13041"/>
    <cellStyle name="40% - 강조색2 3 4 6 4" xfId="13042"/>
    <cellStyle name="40% - 강조색2 3 4 6 5" xfId="13043"/>
    <cellStyle name="40% - 강조색2 3 4 7" xfId="13044"/>
    <cellStyle name="40% - 강조색2 3 4 7 2" xfId="13045"/>
    <cellStyle name="40% - 강조색2 3 4 7 2 2" xfId="13046"/>
    <cellStyle name="40% - 강조색2 3 4 7 2 3" xfId="13047"/>
    <cellStyle name="40% - 강조색2 3 4 7 3" xfId="13048"/>
    <cellStyle name="40% - 강조색2 3 4 7 4" xfId="13049"/>
    <cellStyle name="40% - 강조색2 3 4 8" xfId="13050"/>
    <cellStyle name="40% - 강조색2 3 4 8 2" xfId="13051"/>
    <cellStyle name="40% - 강조색2 3 4 8 3" xfId="13052"/>
    <cellStyle name="40% - 강조색2 3 4 9" xfId="13053"/>
    <cellStyle name="40% - 강조색2 3 5" xfId="13054"/>
    <cellStyle name="40% - 강조색2 3 5 2" xfId="13055"/>
    <cellStyle name="40% - 강조색2 3 5 2 2" xfId="13056"/>
    <cellStyle name="40% - 강조색2 3 5 2 2 2" xfId="13057"/>
    <cellStyle name="40% - 강조색2 3 5 2 2 2 2" xfId="13058"/>
    <cellStyle name="40% - 강조색2 3 5 2 2 2 3" xfId="13059"/>
    <cellStyle name="40% - 강조색2 3 5 2 2 3" xfId="13060"/>
    <cellStyle name="40% - 강조색2 3 5 2 2 4" xfId="13061"/>
    <cellStyle name="40% - 강조색2 3 5 2 3" xfId="13062"/>
    <cellStyle name="40% - 강조색2 3 5 2 3 2" xfId="13063"/>
    <cellStyle name="40% - 강조색2 3 5 2 3 3" xfId="13064"/>
    <cellStyle name="40% - 강조색2 3 5 2 4" xfId="13065"/>
    <cellStyle name="40% - 강조색2 3 5 2 5" xfId="13066"/>
    <cellStyle name="40% - 강조색2 3 5 3" xfId="13067"/>
    <cellStyle name="40% - 강조색2 3 5 3 2" xfId="13068"/>
    <cellStyle name="40% - 강조색2 3 5 3 2 2" xfId="13069"/>
    <cellStyle name="40% - 강조색2 3 5 3 2 2 2" xfId="13070"/>
    <cellStyle name="40% - 강조색2 3 5 3 2 2 3" xfId="13071"/>
    <cellStyle name="40% - 강조색2 3 5 3 2 3" xfId="13072"/>
    <cellStyle name="40% - 강조색2 3 5 3 2 4" xfId="13073"/>
    <cellStyle name="40% - 강조색2 3 5 3 3" xfId="13074"/>
    <cellStyle name="40% - 강조색2 3 5 3 3 2" xfId="13075"/>
    <cellStyle name="40% - 강조색2 3 5 3 3 3" xfId="13076"/>
    <cellStyle name="40% - 강조색2 3 5 3 4" xfId="13077"/>
    <cellStyle name="40% - 강조색2 3 5 3 5" xfId="13078"/>
    <cellStyle name="40% - 강조색2 3 5 4" xfId="13079"/>
    <cellStyle name="40% - 강조색2 3 5 4 2" xfId="13080"/>
    <cellStyle name="40% - 강조색2 3 5 4 2 2" xfId="13081"/>
    <cellStyle name="40% - 강조색2 3 5 4 2 3" xfId="13082"/>
    <cellStyle name="40% - 강조색2 3 5 4 3" xfId="13083"/>
    <cellStyle name="40% - 강조색2 3 5 4 4" xfId="13084"/>
    <cellStyle name="40% - 강조색2 3 5 5" xfId="13085"/>
    <cellStyle name="40% - 강조색2 3 5 5 2" xfId="13086"/>
    <cellStyle name="40% - 강조색2 3 5 5 3" xfId="13087"/>
    <cellStyle name="40% - 강조색2 3 5 6" xfId="13088"/>
    <cellStyle name="40% - 강조색2 3 5 7" xfId="13089"/>
    <cellStyle name="40% - 강조색2 3 6" xfId="13090"/>
    <cellStyle name="40% - 강조색2 3 6 2" xfId="13091"/>
    <cellStyle name="40% - 강조색2 3 6 2 2" xfId="13092"/>
    <cellStyle name="40% - 강조색2 3 6 2 2 2" xfId="13093"/>
    <cellStyle name="40% - 강조색2 3 6 2 2 2 2" xfId="13094"/>
    <cellStyle name="40% - 강조색2 3 6 2 2 2 3" xfId="13095"/>
    <cellStyle name="40% - 강조색2 3 6 2 2 3" xfId="13096"/>
    <cellStyle name="40% - 강조색2 3 6 2 2 4" xfId="13097"/>
    <cellStyle name="40% - 강조색2 3 6 2 3" xfId="13098"/>
    <cellStyle name="40% - 강조색2 3 6 2 3 2" xfId="13099"/>
    <cellStyle name="40% - 강조색2 3 6 2 3 3" xfId="13100"/>
    <cellStyle name="40% - 강조색2 3 6 2 4" xfId="13101"/>
    <cellStyle name="40% - 강조색2 3 6 2 5" xfId="13102"/>
    <cellStyle name="40% - 강조색2 3 6 3" xfId="13103"/>
    <cellStyle name="40% - 강조색2 3 6 3 2" xfId="13104"/>
    <cellStyle name="40% - 강조색2 3 6 3 2 2" xfId="13105"/>
    <cellStyle name="40% - 강조색2 3 6 3 2 2 2" xfId="13106"/>
    <cellStyle name="40% - 강조색2 3 6 3 2 2 3" xfId="13107"/>
    <cellStyle name="40% - 강조색2 3 6 3 2 3" xfId="13108"/>
    <cellStyle name="40% - 강조색2 3 6 3 2 4" xfId="13109"/>
    <cellStyle name="40% - 강조색2 3 6 3 3" xfId="13110"/>
    <cellStyle name="40% - 강조색2 3 6 3 3 2" xfId="13111"/>
    <cellStyle name="40% - 강조색2 3 6 3 3 3" xfId="13112"/>
    <cellStyle name="40% - 강조색2 3 6 3 4" xfId="13113"/>
    <cellStyle name="40% - 강조색2 3 6 3 5" xfId="13114"/>
    <cellStyle name="40% - 강조색2 3 6 4" xfId="13115"/>
    <cellStyle name="40% - 강조색2 3 6 4 2" xfId="13116"/>
    <cellStyle name="40% - 강조색2 3 6 4 2 2" xfId="13117"/>
    <cellStyle name="40% - 강조색2 3 6 4 2 3" xfId="13118"/>
    <cellStyle name="40% - 강조색2 3 6 4 3" xfId="13119"/>
    <cellStyle name="40% - 강조색2 3 6 4 4" xfId="13120"/>
    <cellStyle name="40% - 강조색2 3 6 5" xfId="13121"/>
    <cellStyle name="40% - 강조색2 3 6 5 2" xfId="13122"/>
    <cellStyle name="40% - 강조색2 3 6 5 3" xfId="13123"/>
    <cellStyle name="40% - 강조색2 3 6 6" xfId="13124"/>
    <cellStyle name="40% - 강조색2 3 6 7" xfId="13125"/>
    <cellStyle name="40% - 강조색2 3 7" xfId="13126"/>
    <cellStyle name="40% - 강조색2 3 7 2" xfId="13127"/>
    <cellStyle name="40% - 강조색2 3 7 2 2" xfId="13128"/>
    <cellStyle name="40% - 강조색2 3 7 2 2 2" xfId="13129"/>
    <cellStyle name="40% - 강조색2 3 7 2 2 3" xfId="13130"/>
    <cellStyle name="40% - 강조색2 3 7 2 3" xfId="13131"/>
    <cellStyle name="40% - 강조색2 3 7 2 4" xfId="13132"/>
    <cellStyle name="40% - 강조색2 3 7 3" xfId="13133"/>
    <cellStyle name="40% - 강조색2 3 7 3 2" xfId="13134"/>
    <cellStyle name="40% - 강조색2 3 7 3 3" xfId="13135"/>
    <cellStyle name="40% - 강조색2 3 7 4" xfId="13136"/>
    <cellStyle name="40% - 강조색2 3 7 5" xfId="13137"/>
    <cellStyle name="40% - 강조색2 3 8" xfId="13138"/>
    <cellStyle name="40% - 강조색2 3 8 2" xfId="13139"/>
    <cellStyle name="40% - 강조색2 3 8 2 2" xfId="13140"/>
    <cellStyle name="40% - 강조색2 3 8 2 2 2" xfId="13141"/>
    <cellStyle name="40% - 강조색2 3 8 2 2 3" xfId="13142"/>
    <cellStyle name="40% - 강조색2 3 8 2 3" xfId="13143"/>
    <cellStyle name="40% - 강조색2 3 8 2 4" xfId="13144"/>
    <cellStyle name="40% - 강조색2 3 8 3" xfId="13145"/>
    <cellStyle name="40% - 강조색2 3 8 3 2" xfId="13146"/>
    <cellStyle name="40% - 강조색2 3 8 3 3" xfId="13147"/>
    <cellStyle name="40% - 강조색2 3 8 4" xfId="13148"/>
    <cellStyle name="40% - 강조색2 3 8 5" xfId="13149"/>
    <cellStyle name="40% - 강조색2 3 9" xfId="13150"/>
    <cellStyle name="40% - 강조색2 3 9 2" xfId="13151"/>
    <cellStyle name="40% - 강조색2 3 9 2 2" xfId="13152"/>
    <cellStyle name="40% - 강조색2 3 9 2 2 2" xfId="13153"/>
    <cellStyle name="40% - 강조색2 3 9 2 2 3" xfId="13154"/>
    <cellStyle name="40% - 강조색2 3 9 2 3" xfId="13155"/>
    <cellStyle name="40% - 강조색2 3 9 2 4" xfId="13156"/>
    <cellStyle name="40% - 강조색2 3 9 3" xfId="13157"/>
    <cellStyle name="40% - 강조색2 3 9 3 2" xfId="13158"/>
    <cellStyle name="40% - 강조색2 3 9 3 3" xfId="13159"/>
    <cellStyle name="40% - 강조색2 3 9 4" xfId="13160"/>
    <cellStyle name="40% - 강조색2 3 9 5" xfId="13161"/>
    <cellStyle name="40% - 강조색2 30" xfId="13162"/>
    <cellStyle name="40% - 강조색2 30 2" xfId="13163"/>
    <cellStyle name="40% - 강조색2 31" xfId="13164"/>
    <cellStyle name="40% - 강조색2 31 2" xfId="13165"/>
    <cellStyle name="40% - 강조색2 32" xfId="13166"/>
    <cellStyle name="40% - 강조색2 32 2" xfId="13167"/>
    <cellStyle name="40% - 강조색2 33" xfId="13168"/>
    <cellStyle name="40% - 강조색2 33 2" xfId="13169"/>
    <cellStyle name="40% - 강조색2 34" xfId="13170"/>
    <cellStyle name="40% - 강조색2 34 2" xfId="13171"/>
    <cellStyle name="40% - 강조색2 35" xfId="13172"/>
    <cellStyle name="40% - 강조색2 36" xfId="13173"/>
    <cellStyle name="40% - 강조색2 37" xfId="13174"/>
    <cellStyle name="40% - 강조색2 38" xfId="13175"/>
    <cellStyle name="40% - 강조색2 39" xfId="13176"/>
    <cellStyle name="40% - 강조색2 4" xfId="13177"/>
    <cellStyle name="40% - 강조색2 4 10" xfId="13178"/>
    <cellStyle name="40% - 강조색2 4 10 2" xfId="13179"/>
    <cellStyle name="40% - 강조색2 4 10 2 2" xfId="13180"/>
    <cellStyle name="40% - 강조색2 4 10 2 3" xfId="13181"/>
    <cellStyle name="40% - 강조색2 4 10 3" xfId="13182"/>
    <cellStyle name="40% - 강조색2 4 10 4" xfId="13183"/>
    <cellStyle name="40% - 강조색2 4 11" xfId="13184"/>
    <cellStyle name="40% - 강조색2 4 11 2" xfId="13185"/>
    <cellStyle name="40% - 강조색2 4 11 3" xfId="13186"/>
    <cellStyle name="40% - 강조색2 4 12" xfId="13187"/>
    <cellStyle name="40% - 강조색2 4 13" xfId="13188"/>
    <cellStyle name="40% - 강조색2 4 14" xfId="13189"/>
    <cellStyle name="40% - 강조색2 4 2" xfId="13190"/>
    <cellStyle name="40% - 강조색2 4 2 10" xfId="13191"/>
    <cellStyle name="40% - 강조색2 4 2 2" xfId="13192"/>
    <cellStyle name="40% - 강조색2 4 2 2 2" xfId="13193"/>
    <cellStyle name="40% - 강조색2 4 2 2 2 2" xfId="13194"/>
    <cellStyle name="40% - 강조색2 4 2 2 2 2 2" xfId="13195"/>
    <cellStyle name="40% - 강조색2 4 2 2 2 2 2 2" xfId="13196"/>
    <cellStyle name="40% - 강조색2 4 2 2 2 2 2 3" xfId="13197"/>
    <cellStyle name="40% - 강조색2 4 2 2 2 2 3" xfId="13198"/>
    <cellStyle name="40% - 강조색2 4 2 2 2 2 4" xfId="13199"/>
    <cellStyle name="40% - 강조색2 4 2 2 2 3" xfId="13200"/>
    <cellStyle name="40% - 강조색2 4 2 2 2 3 2" xfId="13201"/>
    <cellStyle name="40% - 강조색2 4 2 2 2 3 3" xfId="13202"/>
    <cellStyle name="40% - 강조색2 4 2 2 2 4" xfId="13203"/>
    <cellStyle name="40% - 강조색2 4 2 2 2 5" xfId="13204"/>
    <cellStyle name="40% - 강조색2 4 2 2 3" xfId="13205"/>
    <cellStyle name="40% - 강조색2 4 2 2 3 2" xfId="13206"/>
    <cellStyle name="40% - 강조색2 4 2 2 3 2 2" xfId="13207"/>
    <cellStyle name="40% - 강조색2 4 2 2 3 2 2 2" xfId="13208"/>
    <cellStyle name="40% - 강조색2 4 2 2 3 2 2 3" xfId="13209"/>
    <cellStyle name="40% - 강조색2 4 2 2 3 2 3" xfId="13210"/>
    <cellStyle name="40% - 강조색2 4 2 2 3 2 4" xfId="13211"/>
    <cellStyle name="40% - 강조색2 4 2 2 3 3" xfId="13212"/>
    <cellStyle name="40% - 강조색2 4 2 2 3 3 2" xfId="13213"/>
    <cellStyle name="40% - 강조색2 4 2 2 3 3 3" xfId="13214"/>
    <cellStyle name="40% - 강조색2 4 2 2 3 4" xfId="13215"/>
    <cellStyle name="40% - 강조색2 4 2 2 3 5" xfId="13216"/>
    <cellStyle name="40% - 강조색2 4 2 2 4" xfId="13217"/>
    <cellStyle name="40% - 강조색2 4 2 2 4 2" xfId="13218"/>
    <cellStyle name="40% - 강조색2 4 2 2 4 2 2" xfId="13219"/>
    <cellStyle name="40% - 강조색2 4 2 2 4 2 3" xfId="13220"/>
    <cellStyle name="40% - 강조색2 4 2 2 4 3" xfId="13221"/>
    <cellStyle name="40% - 강조색2 4 2 2 4 4" xfId="13222"/>
    <cellStyle name="40% - 강조색2 4 2 2 5" xfId="13223"/>
    <cellStyle name="40% - 강조색2 4 2 2 5 2" xfId="13224"/>
    <cellStyle name="40% - 강조색2 4 2 2 5 3" xfId="13225"/>
    <cellStyle name="40% - 강조색2 4 2 2 6" xfId="13226"/>
    <cellStyle name="40% - 강조색2 4 2 2 7" xfId="13227"/>
    <cellStyle name="40% - 강조색2 4 2 3" xfId="13228"/>
    <cellStyle name="40% - 강조색2 4 2 3 2" xfId="13229"/>
    <cellStyle name="40% - 강조색2 4 2 3 2 2" xfId="13230"/>
    <cellStyle name="40% - 강조색2 4 2 3 2 2 2" xfId="13231"/>
    <cellStyle name="40% - 강조색2 4 2 3 2 2 2 2" xfId="13232"/>
    <cellStyle name="40% - 강조색2 4 2 3 2 2 2 3" xfId="13233"/>
    <cellStyle name="40% - 강조색2 4 2 3 2 2 3" xfId="13234"/>
    <cellStyle name="40% - 강조색2 4 2 3 2 2 4" xfId="13235"/>
    <cellStyle name="40% - 강조색2 4 2 3 2 3" xfId="13236"/>
    <cellStyle name="40% - 강조색2 4 2 3 2 3 2" xfId="13237"/>
    <cellStyle name="40% - 강조색2 4 2 3 2 3 3" xfId="13238"/>
    <cellStyle name="40% - 강조색2 4 2 3 2 4" xfId="13239"/>
    <cellStyle name="40% - 강조색2 4 2 3 2 5" xfId="13240"/>
    <cellStyle name="40% - 강조색2 4 2 3 3" xfId="13241"/>
    <cellStyle name="40% - 강조색2 4 2 3 3 2" xfId="13242"/>
    <cellStyle name="40% - 강조색2 4 2 3 3 2 2" xfId="13243"/>
    <cellStyle name="40% - 강조색2 4 2 3 3 2 2 2" xfId="13244"/>
    <cellStyle name="40% - 강조색2 4 2 3 3 2 2 3" xfId="13245"/>
    <cellStyle name="40% - 강조색2 4 2 3 3 2 3" xfId="13246"/>
    <cellStyle name="40% - 강조색2 4 2 3 3 2 4" xfId="13247"/>
    <cellStyle name="40% - 강조색2 4 2 3 3 3" xfId="13248"/>
    <cellStyle name="40% - 강조색2 4 2 3 3 3 2" xfId="13249"/>
    <cellStyle name="40% - 강조색2 4 2 3 3 3 3" xfId="13250"/>
    <cellStyle name="40% - 강조색2 4 2 3 3 4" xfId="13251"/>
    <cellStyle name="40% - 강조색2 4 2 3 3 5" xfId="13252"/>
    <cellStyle name="40% - 강조색2 4 2 3 4" xfId="13253"/>
    <cellStyle name="40% - 강조색2 4 2 3 4 2" xfId="13254"/>
    <cellStyle name="40% - 강조색2 4 2 3 4 2 2" xfId="13255"/>
    <cellStyle name="40% - 강조색2 4 2 3 4 2 3" xfId="13256"/>
    <cellStyle name="40% - 강조색2 4 2 3 4 3" xfId="13257"/>
    <cellStyle name="40% - 강조색2 4 2 3 4 4" xfId="13258"/>
    <cellStyle name="40% - 강조색2 4 2 3 5" xfId="13259"/>
    <cellStyle name="40% - 강조색2 4 2 3 5 2" xfId="13260"/>
    <cellStyle name="40% - 강조색2 4 2 3 5 3" xfId="13261"/>
    <cellStyle name="40% - 강조색2 4 2 3 6" xfId="13262"/>
    <cellStyle name="40% - 강조색2 4 2 3 7" xfId="13263"/>
    <cellStyle name="40% - 강조색2 4 2 4" xfId="13264"/>
    <cellStyle name="40% - 강조색2 4 2 4 2" xfId="13265"/>
    <cellStyle name="40% - 강조색2 4 2 4 2 2" xfId="13266"/>
    <cellStyle name="40% - 강조색2 4 2 4 2 2 2" xfId="13267"/>
    <cellStyle name="40% - 강조색2 4 2 4 2 2 3" xfId="13268"/>
    <cellStyle name="40% - 강조색2 4 2 4 2 3" xfId="13269"/>
    <cellStyle name="40% - 강조색2 4 2 4 2 4" xfId="13270"/>
    <cellStyle name="40% - 강조색2 4 2 4 3" xfId="13271"/>
    <cellStyle name="40% - 강조색2 4 2 4 3 2" xfId="13272"/>
    <cellStyle name="40% - 강조색2 4 2 4 3 3" xfId="13273"/>
    <cellStyle name="40% - 강조색2 4 2 4 4" xfId="13274"/>
    <cellStyle name="40% - 강조색2 4 2 4 5" xfId="13275"/>
    <cellStyle name="40% - 강조색2 4 2 5" xfId="13276"/>
    <cellStyle name="40% - 강조색2 4 2 5 2" xfId="13277"/>
    <cellStyle name="40% - 강조색2 4 2 5 2 2" xfId="13278"/>
    <cellStyle name="40% - 강조색2 4 2 5 2 2 2" xfId="13279"/>
    <cellStyle name="40% - 강조색2 4 2 5 2 2 3" xfId="13280"/>
    <cellStyle name="40% - 강조색2 4 2 5 2 3" xfId="13281"/>
    <cellStyle name="40% - 강조색2 4 2 5 2 4" xfId="13282"/>
    <cellStyle name="40% - 강조색2 4 2 5 3" xfId="13283"/>
    <cellStyle name="40% - 강조색2 4 2 5 3 2" xfId="13284"/>
    <cellStyle name="40% - 강조색2 4 2 5 3 3" xfId="13285"/>
    <cellStyle name="40% - 강조색2 4 2 5 4" xfId="13286"/>
    <cellStyle name="40% - 강조색2 4 2 5 5" xfId="13287"/>
    <cellStyle name="40% - 강조색2 4 2 6" xfId="13288"/>
    <cellStyle name="40% - 강조색2 4 2 6 2" xfId="13289"/>
    <cellStyle name="40% - 강조색2 4 2 6 2 2" xfId="13290"/>
    <cellStyle name="40% - 강조색2 4 2 6 2 2 2" xfId="13291"/>
    <cellStyle name="40% - 강조색2 4 2 6 2 2 3" xfId="13292"/>
    <cellStyle name="40% - 강조색2 4 2 6 2 3" xfId="13293"/>
    <cellStyle name="40% - 강조색2 4 2 6 2 4" xfId="13294"/>
    <cellStyle name="40% - 강조색2 4 2 6 3" xfId="13295"/>
    <cellStyle name="40% - 강조색2 4 2 6 3 2" xfId="13296"/>
    <cellStyle name="40% - 강조색2 4 2 6 3 3" xfId="13297"/>
    <cellStyle name="40% - 강조색2 4 2 6 4" xfId="13298"/>
    <cellStyle name="40% - 강조색2 4 2 6 5" xfId="13299"/>
    <cellStyle name="40% - 강조색2 4 2 7" xfId="13300"/>
    <cellStyle name="40% - 강조색2 4 2 7 2" xfId="13301"/>
    <cellStyle name="40% - 강조색2 4 2 7 2 2" xfId="13302"/>
    <cellStyle name="40% - 강조색2 4 2 7 2 3" xfId="13303"/>
    <cellStyle name="40% - 강조색2 4 2 7 3" xfId="13304"/>
    <cellStyle name="40% - 강조색2 4 2 7 4" xfId="13305"/>
    <cellStyle name="40% - 강조색2 4 2 8" xfId="13306"/>
    <cellStyle name="40% - 강조색2 4 2 8 2" xfId="13307"/>
    <cellStyle name="40% - 강조색2 4 2 8 3" xfId="13308"/>
    <cellStyle name="40% - 강조색2 4 2 9" xfId="13309"/>
    <cellStyle name="40% - 강조색2 4 3" xfId="13310"/>
    <cellStyle name="40% - 강조색2 4 3 10" xfId="13311"/>
    <cellStyle name="40% - 강조색2 4 3 2" xfId="13312"/>
    <cellStyle name="40% - 강조색2 4 3 2 2" xfId="13313"/>
    <cellStyle name="40% - 강조색2 4 3 2 2 2" xfId="13314"/>
    <cellStyle name="40% - 강조색2 4 3 2 2 2 2" xfId="13315"/>
    <cellStyle name="40% - 강조색2 4 3 2 2 2 2 2" xfId="13316"/>
    <cellStyle name="40% - 강조색2 4 3 2 2 2 2 3" xfId="13317"/>
    <cellStyle name="40% - 강조색2 4 3 2 2 2 3" xfId="13318"/>
    <cellStyle name="40% - 강조색2 4 3 2 2 2 4" xfId="13319"/>
    <cellStyle name="40% - 강조색2 4 3 2 2 3" xfId="13320"/>
    <cellStyle name="40% - 강조색2 4 3 2 2 3 2" xfId="13321"/>
    <cellStyle name="40% - 강조색2 4 3 2 2 3 3" xfId="13322"/>
    <cellStyle name="40% - 강조색2 4 3 2 2 4" xfId="13323"/>
    <cellStyle name="40% - 강조색2 4 3 2 2 5" xfId="13324"/>
    <cellStyle name="40% - 강조색2 4 3 2 3" xfId="13325"/>
    <cellStyle name="40% - 강조색2 4 3 2 3 2" xfId="13326"/>
    <cellStyle name="40% - 강조색2 4 3 2 3 2 2" xfId="13327"/>
    <cellStyle name="40% - 강조색2 4 3 2 3 2 2 2" xfId="13328"/>
    <cellStyle name="40% - 강조색2 4 3 2 3 2 2 3" xfId="13329"/>
    <cellStyle name="40% - 강조색2 4 3 2 3 2 3" xfId="13330"/>
    <cellStyle name="40% - 강조색2 4 3 2 3 2 4" xfId="13331"/>
    <cellStyle name="40% - 강조색2 4 3 2 3 3" xfId="13332"/>
    <cellStyle name="40% - 강조색2 4 3 2 3 3 2" xfId="13333"/>
    <cellStyle name="40% - 강조색2 4 3 2 3 3 3" xfId="13334"/>
    <cellStyle name="40% - 강조색2 4 3 2 3 4" xfId="13335"/>
    <cellStyle name="40% - 강조색2 4 3 2 3 5" xfId="13336"/>
    <cellStyle name="40% - 강조색2 4 3 2 4" xfId="13337"/>
    <cellStyle name="40% - 강조색2 4 3 2 4 2" xfId="13338"/>
    <cellStyle name="40% - 강조색2 4 3 2 4 2 2" xfId="13339"/>
    <cellStyle name="40% - 강조색2 4 3 2 4 2 3" xfId="13340"/>
    <cellStyle name="40% - 강조색2 4 3 2 4 3" xfId="13341"/>
    <cellStyle name="40% - 강조색2 4 3 2 4 4" xfId="13342"/>
    <cellStyle name="40% - 강조색2 4 3 2 5" xfId="13343"/>
    <cellStyle name="40% - 강조색2 4 3 2 5 2" xfId="13344"/>
    <cellStyle name="40% - 강조색2 4 3 2 5 3" xfId="13345"/>
    <cellStyle name="40% - 강조색2 4 3 2 6" xfId="13346"/>
    <cellStyle name="40% - 강조색2 4 3 2 7" xfId="13347"/>
    <cellStyle name="40% - 강조색2 4 3 3" xfId="13348"/>
    <cellStyle name="40% - 강조색2 4 3 3 2" xfId="13349"/>
    <cellStyle name="40% - 강조색2 4 3 3 2 2" xfId="13350"/>
    <cellStyle name="40% - 강조색2 4 3 3 2 2 2" xfId="13351"/>
    <cellStyle name="40% - 강조색2 4 3 3 2 2 2 2" xfId="13352"/>
    <cellStyle name="40% - 강조색2 4 3 3 2 2 2 3" xfId="13353"/>
    <cellStyle name="40% - 강조색2 4 3 3 2 2 3" xfId="13354"/>
    <cellStyle name="40% - 강조색2 4 3 3 2 2 4" xfId="13355"/>
    <cellStyle name="40% - 강조색2 4 3 3 2 3" xfId="13356"/>
    <cellStyle name="40% - 강조색2 4 3 3 2 3 2" xfId="13357"/>
    <cellStyle name="40% - 강조색2 4 3 3 2 3 3" xfId="13358"/>
    <cellStyle name="40% - 강조색2 4 3 3 2 4" xfId="13359"/>
    <cellStyle name="40% - 강조색2 4 3 3 2 5" xfId="13360"/>
    <cellStyle name="40% - 강조색2 4 3 3 3" xfId="13361"/>
    <cellStyle name="40% - 강조색2 4 3 3 3 2" xfId="13362"/>
    <cellStyle name="40% - 강조색2 4 3 3 3 2 2" xfId="13363"/>
    <cellStyle name="40% - 강조색2 4 3 3 3 2 2 2" xfId="13364"/>
    <cellStyle name="40% - 강조색2 4 3 3 3 2 2 3" xfId="13365"/>
    <cellStyle name="40% - 강조색2 4 3 3 3 2 3" xfId="13366"/>
    <cellStyle name="40% - 강조색2 4 3 3 3 2 4" xfId="13367"/>
    <cellStyle name="40% - 강조색2 4 3 3 3 3" xfId="13368"/>
    <cellStyle name="40% - 강조색2 4 3 3 3 3 2" xfId="13369"/>
    <cellStyle name="40% - 강조색2 4 3 3 3 3 3" xfId="13370"/>
    <cellStyle name="40% - 강조색2 4 3 3 3 4" xfId="13371"/>
    <cellStyle name="40% - 강조색2 4 3 3 3 5" xfId="13372"/>
    <cellStyle name="40% - 강조색2 4 3 3 4" xfId="13373"/>
    <cellStyle name="40% - 강조색2 4 3 3 4 2" xfId="13374"/>
    <cellStyle name="40% - 강조색2 4 3 3 4 2 2" xfId="13375"/>
    <cellStyle name="40% - 강조색2 4 3 3 4 2 3" xfId="13376"/>
    <cellStyle name="40% - 강조색2 4 3 3 4 3" xfId="13377"/>
    <cellStyle name="40% - 강조색2 4 3 3 4 4" xfId="13378"/>
    <cellStyle name="40% - 강조색2 4 3 3 5" xfId="13379"/>
    <cellStyle name="40% - 강조색2 4 3 3 5 2" xfId="13380"/>
    <cellStyle name="40% - 강조색2 4 3 3 5 3" xfId="13381"/>
    <cellStyle name="40% - 강조색2 4 3 3 6" xfId="13382"/>
    <cellStyle name="40% - 강조색2 4 3 3 7" xfId="13383"/>
    <cellStyle name="40% - 강조색2 4 3 4" xfId="13384"/>
    <cellStyle name="40% - 강조색2 4 3 4 2" xfId="13385"/>
    <cellStyle name="40% - 강조색2 4 3 4 2 2" xfId="13386"/>
    <cellStyle name="40% - 강조색2 4 3 4 2 2 2" xfId="13387"/>
    <cellStyle name="40% - 강조색2 4 3 4 2 2 3" xfId="13388"/>
    <cellStyle name="40% - 강조색2 4 3 4 2 3" xfId="13389"/>
    <cellStyle name="40% - 강조색2 4 3 4 2 4" xfId="13390"/>
    <cellStyle name="40% - 강조색2 4 3 4 3" xfId="13391"/>
    <cellStyle name="40% - 강조색2 4 3 4 3 2" xfId="13392"/>
    <cellStyle name="40% - 강조색2 4 3 4 3 3" xfId="13393"/>
    <cellStyle name="40% - 강조색2 4 3 4 4" xfId="13394"/>
    <cellStyle name="40% - 강조색2 4 3 4 5" xfId="13395"/>
    <cellStyle name="40% - 강조색2 4 3 5" xfId="13396"/>
    <cellStyle name="40% - 강조색2 4 3 5 2" xfId="13397"/>
    <cellStyle name="40% - 강조색2 4 3 5 2 2" xfId="13398"/>
    <cellStyle name="40% - 강조색2 4 3 5 2 2 2" xfId="13399"/>
    <cellStyle name="40% - 강조색2 4 3 5 2 2 3" xfId="13400"/>
    <cellStyle name="40% - 강조색2 4 3 5 2 3" xfId="13401"/>
    <cellStyle name="40% - 강조색2 4 3 5 2 4" xfId="13402"/>
    <cellStyle name="40% - 강조색2 4 3 5 3" xfId="13403"/>
    <cellStyle name="40% - 강조색2 4 3 5 3 2" xfId="13404"/>
    <cellStyle name="40% - 강조색2 4 3 5 3 3" xfId="13405"/>
    <cellStyle name="40% - 강조색2 4 3 5 4" xfId="13406"/>
    <cellStyle name="40% - 강조색2 4 3 5 5" xfId="13407"/>
    <cellStyle name="40% - 강조색2 4 3 6" xfId="13408"/>
    <cellStyle name="40% - 강조색2 4 3 6 2" xfId="13409"/>
    <cellStyle name="40% - 강조색2 4 3 6 2 2" xfId="13410"/>
    <cellStyle name="40% - 강조색2 4 3 6 2 2 2" xfId="13411"/>
    <cellStyle name="40% - 강조색2 4 3 6 2 2 3" xfId="13412"/>
    <cellStyle name="40% - 강조색2 4 3 6 2 3" xfId="13413"/>
    <cellStyle name="40% - 강조색2 4 3 6 2 4" xfId="13414"/>
    <cellStyle name="40% - 강조색2 4 3 6 3" xfId="13415"/>
    <cellStyle name="40% - 강조색2 4 3 6 3 2" xfId="13416"/>
    <cellStyle name="40% - 강조색2 4 3 6 3 3" xfId="13417"/>
    <cellStyle name="40% - 강조색2 4 3 6 4" xfId="13418"/>
    <cellStyle name="40% - 강조색2 4 3 6 5" xfId="13419"/>
    <cellStyle name="40% - 강조색2 4 3 7" xfId="13420"/>
    <cellStyle name="40% - 강조색2 4 3 7 2" xfId="13421"/>
    <cellStyle name="40% - 강조색2 4 3 7 2 2" xfId="13422"/>
    <cellStyle name="40% - 강조색2 4 3 7 2 3" xfId="13423"/>
    <cellStyle name="40% - 강조색2 4 3 7 3" xfId="13424"/>
    <cellStyle name="40% - 강조색2 4 3 7 4" xfId="13425"/>
    <cellStyle name="40% - 강조색2 4 3 8" xfId="13426"/>
    <cellStyle name="40% - 강조색2 4 3 8 2" xfId="13427"/>
    <cellStyle name="40% - 강조색2 4 3 8 3" xfId="13428"/>
    <cellStyle name="40% - 강조색2 4 3 9" xfId="13429"/>
    <cellStyle name="40% - 강조색2 4 4" xfId="13430"/>
    <cellStyle name="40% - 강조색2 4 4 10" xfId="13431"/>
    <cellStyle name="40% - 강조색2 4 4 2" xfId="13432"/>
    <cellStyle name="40% - 강조색2 4 4 2 2" xfId="13433"/>
    <cellStyle name="40% - 강조색2 4 4 2 2 2" xfId="13434"/>
    <cellStyle name="40% - 강조색2 4 4 2 2 2 2" xfId="13435"/>
    <cellStyle name="40% - 강조색2 4 4 2 2 2 2 2" xfId="13436"/>
    <cellStyle name="40% - 강조색2 4 4 2 2 2 2 3" xfId="13437"/>
    <cellStyle name="40% - 강조색2 4 4 2 2 2 3" xfId="13438"/>
    <cellStyle name="40% - 강조색2 4 4 2 2 2 4" xfId="13439"/>
    <cellStyle name="40% - 강조색2 4 4 2 2 3" xfId="13440"/>
    <cellStyle name="40% - 강조색2 4 4 2 2 3 2" xfId="13441"/>
    <cellStyle name="40% - 강조색2 4 4 2 2 3 3" xfId="13442"/>
    <cellStyle name="40% - 강조색2 4 4 2 2 4" xfId="13443"/>
    <cellStyle name="40% - 강조색2 4 4 2 2 5" xfId="13444"/>
    <cellStyle name="40% - 강조색2 4 4 2 3" xfId="13445"/>
    <cellStyle name="40% - 강조색2 4 4 2 3 2" xfId="13446"/>
    <cellStyle name="40% - 강조색2 4 4 2 3 2 2" xfId="13447"/>
    <cellStyle name="40% - 강조색2 4 4 2 3 2 2 2" xfId="13448"/>
    <cellStyle name="40% - 강조색2 4 4 2 3 2 2 3" xfId="13449"/>
    <cellStyle name="40% - 강조색2 4 4 2 3 2 3" xfId="13450"/>
    <cellStyle name="40% - 강조색2 4 4 2 3 2 4" xfId="13451"/>
    <cellStyle name="40% - 강조색2 4 4 2 3 3" xfId="13452"/>
    <cellStyle name="40% - 강조색2 4 4 2 3 3 2" xfId="13453"/>
    <cellStyle name="40% - 강조색2 4 4 2 3 3 3" xfId="13454"/>
    <cellStyle name="40% - 강조색2 4 4 2 3 4" xfId="13455"/>
    <cellStyle name="40% - 강조색2 4 4 2 3 5" xfId="13456"/>
    <cellStyle name="40% - 강조색2 4 4 2 4" xfId="13457"/>
    <cellStyle name="40% - 강조색2 4 4 2 4 2" xfId="13458"/>
    <cellStyle name="40% - 강조색2 4 4 2 4 2 2" xfId="13459"/>
    <cellStyle name="40% - 강조색2 4 4 2 4 2 3" xfId="13460"/>
    <cellStyle name="40% - 강조색2 4 4 2 4 3" xfId="13461"/>
    <cellStyle name="40% - 강조색2 4 4 2 4 4" xfId="13462"/>
    <cellStyle name="40% - 강조색2 4 4 2 5" xfId="13463"/>
    <cellStyle name="40% - 강조색2 4 4 2 5 2" xfId="13464"/>
    <cellStyle name="40% - 강조색2 4 4 2 5 3" xfId="13465"/>
    <cellStyle name="40% - 강조색2 4 4 2 6" xfId="13466"/>
    <cellStyle name="40% - 강조색2 4 4 2 7" xfId="13467"/>
    <cellStyle name="40% - 강조색2 4 4 3" xfId="13468"/>
    <cellStyle name="40% - 강조색2 4 4 3 2" xfId="13469"/>
    <cellStyle name="40% - 강조색2 4 4 3 2 2" xfId="13470"/>
    <cellStyle name="40% - 강조색2 4 4 3 2 2 2" xfId="13471"/>
    <cellStyle name="40% - 강조색2 4 4 3 2 2 2 2" xfId="13472"/>
    <cellStyle name="40% - 강조색2 4 4 3 2 2 2 3" xfId="13473"/>
    <cellStyle name="40% - 강조색2 4 4 3 2 2 3" xfId="13474"/>
    <cellStyle name="40% - 강조색2 4 4 3 2 2 4" xfId="13475"/>
    <cellStyle name="40% - 강조색2 4 4 3 2 3" xfId="13476"/>
    <cellStyle name="40% - 강조색2 4 4 3 2 3 2" xfId="13477"/>
    <cellStyle name="40% - 강조색2 4 4 3 2 3 3" xfId="13478"/>
    <cellStyle name="40% - 강조색2 4 4 3 2 4" xfId="13479"/>
    <cellStyle name="40% - 강조색2 4 4 3 2 5" xfId="13480"/>
    <cellStyle name="40% - 강조색2 4 4 3 3" xfId="13481"/>
    <cellStyle name="40% - 강조색2 4 4 3 3 2" xfId="13482"/>
    <cellStyle name="40% - 강조색2 4 4 3 3 2 2" xfId="13483"/>
    <cellStyle name="40% - 강조색2 4 4 3 3 2 2 2" xfId="13484"/>
    <cellStyle name="40% - 강조색2 4 4 3 3 2 2 3" xfId="13485"/>
    <cellStyle name="40% - 강조색2 4 4 3 3 2 3" xfId="13486"/>
    <cellStyle name="40% - 강조색2 4 4 3 3 2 4" xfId="13487"/>
    <cellStyle name="40% - 강조색2 4 4 3 3 3" xfId="13488"/>
    <cellStyle name="40% - 강조색2 4 4 3 3 3 2" xfId="13489"/>
    <cellStyle name="40% - 강조색2 4 4 3 3 3 3" xfId="13490"/>
    <cellStyle name="40% - 강조색2 4 4 3 3 4" xfId="13491"/>
    <cellStyle name="40% - 강조색2 4 4 3 3 5" xfId="13492"/>
    <cellStyle name="40% - 강조색2 4 4 3 4" xfId="13493"/>
    <cellStyle name="40% - 강조색2 4 4 3 4 2" xfId="13494"/>
    <cellStyle name="40% - 강조색2 4 4 3 4 2 2" xfId="13495"/>
    <cellStyle name="40% - 강조색2 4 4 3 4 2 3" xfId="13496"/>
    <cellStyle name="40% - 강조색2 4 4 3 4 3" xfId="13497"/>
    <cellStyle name="40% - 강조색2 4 4 3 4 4" xfId="13498"/>
    <cellStyle name="40% - 강조색2 4 4 3 5" xfId="13499"/>
    <cellStyle name="40% - 강조색2 4 4 3 5 2" xfId="13500"/>
    <cellStyle name="40% - 강조색2 4 4 3 5 3" xfId="13501"/>
    <cellStyle name="40% - 강조색2 4 4 3 6" xfId="13502"/>
    <cellStyle name="40% - 강조색2 4 4 3 7" xfId="13503"/>
    <cellStyle name="40% - 강조색2 4 4 4" xfId="13504"/>
    <cellStyle name="40% - 강조색2 4 4 4 2" xfId="13505"/>
    <cellStyle name="40% - 강조색2 4 4 4 2 2" xfId="13506"/>
    <cellStyle name="40% - 강조색2 4 4 4 2 2 2" xfId="13507"/>
    <cellStyle name="40% - 강조색2 4 4 4 2 2 3" xfId="13508"/>
    <cellStyle name="40% - 강조색2 4 4 4 2 3" xfId="13509"/>
    <cellStyle name="40% - 강조색2 4 4 4 2 4" xfId="13510"/>
    <cellStyle name="40% - 강조색2 4 4 4 3" xfId="13511"/>
    <cellStyle name="40% - 강조색2 4 4 4 3 2" xfId="13512"/>
    <cellStyle name="40% - 강조색2 4 4 4 3 3" xfId="13513"/>
    <cellStyle name="40% - 강조색2 4 4 4 4" xfId="13514"/>
    <cellStyle name="40% - 강조색2 4 4 4 5" xfId="13515"/>
    <cellStyle name="40% - 강조색2 4 4 5" xfId="13516"/>
    <cellStyle name="40% - 강조색2 4 4 5 2" xfId="13517"/>
    <cellStyle name="40% - 강조색2 4 4 5 2 2" xfId="13518"/>
    <cellStyle name="40% - 강조색2 4 4 5 2 2 2" xfId="13519"/>
    <cellStyle name="40% - 강조색2 4 4 5 2 2 3" xfId="13520"/>
    <cellStyle name="40% - 강조색2 4 4 5 2 3" xfId="13521"/>
    <cellStyle name="40% - 강조색2 4 4 5 2 4" xfId="13522"/>
    <cellStyle name="40% - 강조색2 4 4 5 3" xfId="13523"/>
    <cellStyle name="40% - 강조색2 4 4 5 3 2" xfId="13524"/>
    <cellStyle name="40% - 강조색2 4 4 5 3 3" xfId="13525"/>
    <cellStyle name="40% - 강조색2 4 4 5 4" xfId="13526"/>
    <cellStyle name="40% - 강조색2 4 4 5 5" xfId="13527"/>
    <cellStyle name="40% - 강조색2 4 4 6" xfId="13528"/>
    <cellStyle name="40% - 강조색2 4 4 6 2" xfId="13529"/>
    <cellStyle name="40% - 강조색2 4 4 6 2 2" xfId="13530"/>
    <cellStyle name="40% - 강조색2 4 4 6 2 2 2" xfId="13531"/>
    <cellStyle name="40% - 강조색2 4 4 6 2 2 3" xfId="13532"/>
    <cellStyle name="40% - 강조색2 4 4 6 2 3" xfId="13533"/>
    <cellStyle name="40% - 강조색2 4 4 6 2 4" xfId="13534"/>
    <cellStyle name="40% - 강조색2 4 4 6 3" xfId="13535"/>
    <cellStyle name="40% - 강조색2 4 4 6 3 2" xfId="13536"/>
    <cellStyle name="40% - 강조색2 4 4 6 3 3" xfId="13537"/>
    <cellStyle name="40% - 강조색2 4 4 6 4" xfId="13538"/>
    <cellStyle name="40% - 강조색2 4 4 6 5" xfId="13539"/>
    <cellStyle name="40% - 강조색2 4 4 7" xfId="13540"/>
    <cellStyle name="40% - 강조색2 4 4 7 2" xfId="13541"/>
    <cellStyle name="40% - 강조색2 4 4 7 2 2" xfId="13542"/>
    <cellStyle name="40% - 강조색2 4 4 7 2 3" xfId="13543"/>
    <cellStyle name="40% - 강조색2 4 4 7 3" xfId="13544"/>
    <cellStyle name="40% - 강조색2 4 4 7 4" xfId="13545"/>
    <cellStyle name="40% - 강조색2 4 4 8" xfId="13546"/>
    <cellStyle name="40% - 강조색2 4 4 8 2" xfId="13547"/>
    <cellStyle name="40% - 강조색2 4 4 8 3" xfId="13548"/>
    <cellStyle name="40% - 강조색2 4 4 9" xfId="13549"/>
    <cellStyle name="40% - 강조색2 4 5" xfId="13550"/>
    <cellStyle name="40% - 강조색2 4 5 2" xfId="13551"/>
    <cellStyle name="40% - 강조색2 4 5 2 2" xfId="13552"/>
    <cellStyle name="40% - 강조색2 4 5 2 2 2" xfId="13553"/>
    <cellStyle name="40% - 강조색2 4 5 2 2 2 2" xfId="13554"/>
    <cellStyle name="40% - 강조색2 4 5 2 2 2 3" xfId="13555"/>
    <cellStyle name="40% - 강조색2 4 5 2 2 3" xfId="13556"/>
    <cellStyle name="40% - 강조색2 4 5 2 2 4" xfId="13557"/>
    <cellStyle name="40% - 강조색2 4 5 2 3" xfId="13558"/>
    <cellStyle name="40% - 강조색2 4 5 2 3 2" xfId="13559"/>
    <cellStyle name="40% - 강조색2 4 5 2 3 3" xfId="13560"/>
    <cellStyle name="40% - 강조색2 4 5 2 4" xfId="13561"/>
    <cellStyle name="40% - 강조색2 4 5 2 5" xfId="13562"/>
    <cellStyle name="40% - 강조색2 4 5 3" xfId="13563"/>
    <cellStyle name="40% - 강조색2 4 5 3 2" xfId="13564"/>
    <cellStyle name="40% - 강조색2 4 5 3 2 2" xfId="13565"/>
    <cellStyle name="40% - 강조색2 4 5 3 2 2 2" xfId="13566"/>
    <cellStyle name="40% - 강조색2 4 5 3 2 2 3" xfId="13567"/>
    <cellStyle name="40% - 강조색2 4 5 3 2 3" xfId="13568"/>
    <cellStyle name="40% - 강조색2 4 5 3 2 4" xfId="13569"/>
    <cellStyle name="40% - 강조색2 4 5 3 3" xfId="13570"/>
    <cellStyle name="40% - 강조색2 4 5 3 3 2" xfId="13571"/>
    <cellStyle name="40% - 강조색2 4 5 3 3 3" xfId="13572"/>
    <cellStyle name="40% - 강조색2 4 5 3 4" xfId="13573"/>
    <cellStyle name="40% - 강조색2 4 5 3 5" xfId="13574"/>
    <cellStyle name="40% - 강조색2 4 5 4" xfId="13575"/>
    <cellStyle name="40% - 강조색2 4 5 4 2" xfId="13576"/>
    <cellStyle name="40% - 강조색2 4 5 4 2 2" xfId="13577"/>
    <cellStyle name="40% - 강조색2 4 5 4 2 3" xfId="13578"/>
    <cellStyle name="40% - 강조색2 4 5 4 3" xfId="13579"/>
    <cellStyle name="40% - 강조색2 4 5 4 4" xfId="13580"/>
    <cellStyle name="40% - 강조색2 4 5 5" xfId="13581"/>
    <cellStyle name="40% - 강조색2 4 5 5 2" xfId="13582"/>
    <cellStyle name="40% - 강조색2 4 5 5 3" xfId="13583"/>
    <cellStyle name="40% - 강조색2 4 5 6" xfId="13584"/>
    <cellStyle name="40% - 강조색2 4 5 7" xfId="13585"/>
    <cellStyle name="40% - 강조색2 4 6" xfId="13586"/>
    <cellStyle name="40% - 강조색2 4 6 2" xfId="13587"/>
    <cellStyle name="40% - 강조색2 4 6 2 2" xfId="13588"/>
    <cellStyle name="40% - 강조색2 4 6 2 2 2" xfId="13589"/>
    <cellStyle name="40% - 강조색2 4 6 2 2 2 2" xfId="13590"/>
    <cellStyle name="40% - 강조색2 4 6 2 2 2 3" xfId="13591"/>
    <cellStyle name="40% - 강조색2 4 6 2 2 3" xfId="13592"/>
    <cellStyle name="40% - 강조색2 4 6 2 2 4" xfId="13593"/>
    <cellStyle name="40% - 강조색2 4 6 2 3" xfId="13594"/>
    <cellStyle name="40% - 강조색2 4 6 2 3 2" xfId="13595"/>
    <cellStyle name="40% - 강조색2 4 6 2 3 3" xfId="13596"/>
    <cellStyle name="40% - 강조색2 4 6 2 4" xfId="13597"/>
    <cellStyle name="40% - 강조색2 4 6 2 5" xfId="13598"/>
    <cellStyle name="40% - 강조색2 4 6 3" xfId="13599"/>
    <cellStyle name="40% - 강조색2 4 6 3 2" xfId="13600"/>
    <cellStyle name="40% - 강조색2 4 6 3 2 2" xfId="13601"/>
    <cellStyle name="40% - 강조색2 4 6 3 2 2 2" xfId="13602"/>
    <cellStyle name="40% - 강조색2 4 6 3 2 2 3" xfId="13603"/>
    <cellStyle name="40% - 강조색2 4 6 3 2 3" xfId="13604"/>
    <cellStyle name="40% - 강조색2 4 6 3 2 4" xfId="13605"/>
    <cellStyle name="40% - 강조색2 4 6 3 3" xfId="13606"/>
    <cellStyle name="40% - 강조색2 4 6 3 3 2" xfId="13607"/>
    <cellStyle name="40% - 강조색2 4 6 3 3 3" xfId="13608"/>
    <cellStyle name="40% - 강조색2 4 6 3 4" xfId="13609"/>
    <cellStyle name="40% - 강조색2 4 6 3 5" xfId="13610"/>
    <cellStyle name="40% - 강조색2 4 6 4" xfId="13611"/>
    <cellStyle name="40% - 강조색2 4 6 4 2" xfId="13612"/>
    <cellStyle name="40% - 강조색2 4 6 4 2 2" xfId="13613"/>
    <cellStyle name="40% - 강조색2 4 6 4 2 3" xfId="13614"/>
    <cellStyle name="40% - 강조색2 4 6 4 3" xfId="13615"/>
    <cellStyle name="40% - 강조색2 4 6 4 4" xfId="13616"/>
    <cellStyle name="40% - 강조색2 4 6 5" xfId="13617"/>
    <cellStyle name="40% - 강조색2 4 6 5 2" xfId="13618"/>
    <cellStyle name="40% - 강조색2 4 6 5 3" xfId="13619"/>
    <cellStyle name="40% - 강조색2 4 6 6" xfId="13620"/>
    <cellStyle name="40% - 강조색2 4 6 7" xfId="13621"/>
    <cellStyle name="40% - 강조색2 4 7" xfId="13622"/>
    <cellStyle name="40% - 강조색2 4 7 2" xfId="13623"/>
    <cellStyle name="40% - 강조색2 4 7 2 2" xfId="13624"/>
    <cellStyle name="40% - 강조색2 4 7 2 2 2" xfId="13625"/>
    <cellStyle name="40% - 강조색2 4 7 2 2 3" xfId="13626"/>
    <cellStyle name="40% - 강조색2 4 7 2 3" xfId="13627"/>
    <cellStyle name="40% - 강조색2 4 7 2 4" xfId="13628"/>
    <cellStyle name="40% - 강조색2 4 7 3" xfId="13629"/>
    <cellStyle name="40% - 강조색2 4 7 3 2" xfId="13630"/>
    <cellStyle name="40% - 강조색2 4 7 3 3" xfId="13631"/>
    <cellStyle name="40% - 강조색2 4 7 4" xfId="13632"/>
    <cellStyle name="40% - 강조색2 4 7 5" xfId="13633"/>
    <cellStyle name="40% - 강조색2 4 8" xfId="13634"/>
    <cellStyle name="40% - 강조색2 4 8 2" xfId="13635"/>
    <cellStyle name="40% - 강조색2 4 8 2 2" xfId="13636"/>
    <cellStyle name="40% - 강조색2 4 8 2 2 2" xfId="13637"/>
    <cellStyle name="40% - 강조색2 4 8 2 2 3" xfId="13638"/>
    <cellStyle name="40% - 강조색2 4 8 2 3" xfId="13639"/>
    <cellStyle name="40% - 강조색2 4 8 2 4" xfId="13640"/>
    <cellStyle name="40% - 강조색2 4 8 3" xfId="13641"/>
    <cellStyle name="40% - 강조색2 4 8 3 2" xfId="13642"/>
    <cellStyle name="40% - 강조색2 4 8 3 3" xfId="13643"/>
    <cellStyle name="40% - 강조색2 4 8 4" xfId="13644"/>
    <cellStyle name="40% - 강조색2 4 8 5" xfId="13645"/>
    <cellStyle name="40% - 강조색2 4 9" xfId="13646"/>
    <cellStyle name="40% - 강조색2 4 9 2" xfId="13647"/>
    <cellStyle name="40% - 강조색2 4 9 2 2" xfId="13648"/>
    <cellStyle name="40% - 강조색2 4 9 2 2 2" xfId="13649"/>
    <cellStyle name="40% - 강조색2 4 9 2 2 3" xfId="13650"/>
    <cellStyle name="40% - 강조색2 4 9 2 3" xfId="13651"/>
    <cellStyle name="40% - 강조색2 4 9 2 4" xfId="13652"/>
    <cellStyle name="40% - 강조색2 4 9 3" xfId="13653"/>
    <cellStyle name="40% - 강조색2 4 9 3 2" xfId="13654"/>
    <cellStyle name="40% - 강조색2 4 9 3 3" xfId="13655"/>
    <cellStyle name="40% - 강조색2 4 9 4" xfId="13656"/>
    <cellStyle name="40% - 강조색2 4 9 5" xfId="13657"/>
    <cellStyle name="40% - 강조색2 40" xfId="13658"/>
    <cellStyle name="40% - 강조색2 41" xfId="13659"/>
    <cellStyle name="40% - 강조색2 42" xfId="13660"/>
    <cellStyle name="40% - 강조색2 43" xfId="13661"/>
    <cellStyle name="40% - 강조색2 44" xfId="13662"/>
    <cellStyle name="40% - 강조색2 45" xfId="13663"/>
    <cellStyle name="40% - 강조색2 46" xfId="13664"/>
    <cellStyle name="40% - 강조색2 47" xfId="13665"/>
    <cellStyle name="40% - 강조색2 48" xfId="13666"/>
    <cellStyle name="40% - 강조색2 49" xfId="13667"/>
    <cellStyle name="40% - 강조색2 5" xfId="13668"/>
    <cellStyle name="40% - 강조색2 5 10" xfId="13669"/>
    <cellStyle name="40% - 강조색2 5 11" xfId="13670"/>
    <cellStyle name="40% - 강조색2 5 2" xfId="13671"/>
    <cellStyle name="40% - 강조색2 5 2 2" xfId="13672"/>
    <cellStyle name="40% - 강조색2 5 2 2 2" xfId="13673"/>
    <cellStyle name="40% - 강조색2 5 2 2 2 2" xfId="13674"/>
    <cellStyle name="40% - 강조색2 5 2 2 2 2 2" xfId="13675"/>
    <cellStyle name="40% - 강조색2 5 2 2 2 2 3" xfId="13676"/>
    <cellStyle name="40% - 강조색2 5 2 2 2 3" xfId="13677"/>
    <cellStyle name="40% - 강조색2 5 2 2 2 4" xfId="13678"/>
    <cellStyle name="40% - 강조색2 5 2 2 3" xfId="13679"/>
    <cellStyle name="40% - 강조색2 5 2 2 3 2" xfId="13680"/>
    <cellStyle name="40% - 강조색2 5 2 2 3 3" xfId="13681"/>
    <cellStyle name="40% - 강조색2 5 2 2 4" xfId="13682"/>
    <cellStyle name="40% - 강조색2 5 2 2 5" xfId="13683"/>
    <cellStyle name="40% - 강조색2 5 2 3" xfId="13684"/>
    <cellStyle name="40% - 강조색2 5 2 3 2" xfId="13685"/>
    <cellStyle name="40% - 강조색2 5 2 3 2 2" xfId="13686"/>
    <cellStyle name="40% - 강조색2 5 2 3 2 2 2" xfId="13687"/>
    <cellStyle name="40% - 강조색2 5 2 3 2 2 3" xfId="13688"/>
    <cellStyle name="40% - 강조색2 5 2 3 2 3" xfId="13689"/>
    <cellStyle name="40% - 강조색2 5 2 3 2 4" xfId="13690"/>
    <cellStyle name="40% - 강조색2 5 2 3 3" xfId="13691"/>
    <cellStyle name="40% - 강조색2 5 2 3 3 2" xfId="13692"/>
    <cellStyle name="40% - 강조색2 5 2 3 3 3" xfId="13693"/>
    <cellStyle name="40% - 강조색2 5 2 3 4" xfId="13694"/>
    <cellStyle name="40% - 강조색2 5 2 3 5" xfId="13695"/>
    <cellStyle name="40% - 강조색2 5 2 4" xfId="13696"/>
    <cellStyle name="40% - 강조색2 5 2 4 2" xfId="13697"/>
    <cellStyle name="40% - 강조색2 5 2 4 2 2" xfId="13698"/>
    <cellStyle name="40% - 강조색2 5 2 4 2 3" xfId="13699"/>
    <cellStyle name="40% - 강조색2 5 2 4 3" xfId="13700"/>
    <cellStyle name="40% - 강조색2 5 2 4 4" xfId="13701"/>
    <cellStyle name="40% - 강조색2 5 2 5" xfId="13702"/>
    <cellStyle name="40% - 강조색2 5 2 5 2" xfId="13703"/>
    <cellStyle name="40% - 강조색2 5 2 5 3" xfId="13704"/>
    <cellStyle name="40% - 강조색2 5 2 6" xfId="13705"/>
    <cellStyle name="40% - 강조색2 5 2 7" xfId="13706"/>
    <cellStyle name="40% - 강조색2 5 3" xfId="13707"/>
    <cellStyle name="40% - 강조색2 5 3 2" xfId="13708"/>
    <cellStyle name="40% - 강조색2 5 3 2 2" xfId="13709"/>
    <cellStyle name="40% - 강조색2 5 3 2 2 2" xfId="13710"/>
    <cellStyle name="40% - 강조색2 5 3 2 2 2 2" xfId="13711"/>
    <cellStyle name="40% - 강조색2 5 3 2 2 2 3" xfId="13712"/>
    <cellStyle name="40% - 강조색2 5 3 2 2 3" xfId="13713"/>
    <cellStyle name="40% - 강조색2 5 3 2 2 4" xfId="13714"/>
    <cellStyle name="40% - 강조색2 5 3 2 3" xfId="13715"/>
    <cellStyle name="40% - 강조색2 5 3 2 3 2" xfId="13716"/>
    <cellStyle name="40% - 강조색2 5 3 2 3 3" xfId="13717"/>
    <cellStyle name="40% - 강조색2 5 3 2 4" xfId="13718"/>
    <cellStyle name="40% - 강조색2 5 3 2 5" xfId="13719"/>
    <cellStyle name="40% - 강조색2 5 3 3" xfId="13720"/>
    <cellStyle name="40% - 강조색2 5 3 3 2" xfId="13721"/>
    <cellStyle name="40% - 강조색2 5 3 3 2 2" xfId="13722"/>
    <cellStyle name="40% - 강조색2 5 3 3 2 2 2" xfId="13723"/>
    <cellStyle name="40% - 강조색2 5 3 3 2 2 3" xfId="13724"/>
    <cellStyle name="40% - 강조색2 5 3 3 2 3" xfId="13725"/>
    <cellStyle name="40% - 강조색2 5 3 3 2 4" xfId="13726"/>
    <cellStyle name="40% - 강조색2 5 3 3 3" xfId="13727"/>
    <cellStyle name="40% - 강조색2 5 3 3 3 2" xfId="13728"/>
    <cellStyle name="40% - 강조색2 5 3 3 3 3" xfId="13729"/>
    <cellStyle name="40% - 강조색2 5 3 3 4" xfId="13730"/>
    <cellStyle name="40% - 강조색2 5 3 3 5" xfId="13731"/>
    <cellStyle name="40% - 강조색2 5 3 4" xfId="13732"/>
    <cellStyle name="40% - 강조색2 5 3 4 2" xfId="13733"/>
    <cellStyle name="40% - 강조색2 5 3 4 2 2" xfId="13734"/>
    <cellStyle name="40% - 강조색2 5 3 4 2 3" xfId="13735"/>
    <cellStyle name="40% - 강조색2 5 3 4 3" xfId="13736"/>
    <cellStyle name="40% - 강조색2 5 3 4 4" xfId="13737"/>
    <cellStyle name="40% - 강조색2 5 3 5" xfId="13738"/>
    <cellStyle name="40% - 강조색2 5 3 5 2" xfId="13739"/>
    <cellStyle name="40% - 강조색2 5 3 5 3" xfId="13740"/>
    <cellStyle name="40% - 강조색2 5 3 6" xfId="13741"/>
    <cellStyle name="40% - 강조색2 5 3 7" xfId="13742"/>
    <cellStyle name="40% - 강조색2 5 4" xfId="13743"/>
    <cellStyle name="40% - 강조색2 5 4 2" xfId="13744"/>
    <cellStyle name="40% - 강조색2 5 4 2 2" xfId="13745"/>
    <cellStyle name="40% - 강조색2 5 4 2 2 2" xfId="13746"/>
    <cellStyle name="40% - 강조색2 5 4 2 2 3" xfId="13747"/>
    <cellStyle name="40% - 강조색2 5 4 2 3" xfId="13748"/>
    <cellStyle name="40% - 강조색2 5 4 2 4" xfId="13749"/>
    <cellStyle name="40% - 강조색2 5 4 3" xfId="13750"/>
    <cellStyle name="40% - 강조색2 5 4 3 2" xfId="13751"/>
    <cellStyle name="40% - 강조색2 5 4 3 3" xfId="13752"/>
    <cellStyle name="40% - 강조색2 5 4 4" xfId="13753"/>
    <cellStyle name="40% - 강조색2 5 4 5" xfId="13754"/>
    <cellStyle name="40% - 강조색2 5 5" xfId="13755"/>
    <cellStyle name="40% - 강조색2 5 5 2" xfId="13756"/>
    <cellStyle name="40% - 강조색2 5 5 2 2" xfId="13757"/>
    <cellStyle name="40% - 강조색2 5 5 2 2 2" xfId="13758"/>
    <cellStyle name="40% - 강조색2 5 5 2 2 3" xfId="13759"/>
    <cellStyle name="40% - 강조색2 5 5 2 3" xfId="13760"/>
    <cellStyle name="40% - 강조색2 5 5 2 4" xfId="13761"/>
    <cellStyle name="40% - 강조색2 5 5 3" xfId="13762"/>
    <cellStyle name="40% - 강조색2 5 5 3 2" xfId="13763"/>
    <cellStyle name="40% - 강조색2 5 5 3 3" xfId="13764"/>
    <cellStyle name="40% - 강조색2 5 5 4" xfId="13765"/>
    <cellStyle name="40% - 강조색2 5 5 5" xfId="13766"/>
    <cellStyle name="40% - 강조색2 5 6" xfId="13767"/>
    <cellStyle name="40% - 강조색2 5 6 2" xfId="13768"/>
    <cellStyle name="40% - 강조색2 5 6 2 2" xfId="13769"/>
    <cellStyle name="40% - 강조색2 5 6 2 2 2" xfId="13770"/>
    <cellStyle name="40% - 강조색2 5 6 2 2 3" xfId="13771"/>
    <cellStyle name="40% - 강조색2 5 6 2 3" xfId="13772"/>
    <cellStyle name="40% - 강조색2 5 6 2 4" xfId="13773"/>
    <cellStyle name="40% - 강조색2 5 6 3" xfId="13774"/>
    <cellStyle name="40% - 강조색2 5 6 3 2" xfId="13775"/>
    <cellStyle name="40% - 강조색2 5 6 3 3" xfId="13776"/>
    <cellStyle name="40% - 강조색2 5 6 4" xfId="13777"/>
    <cellStyle name="40% - 강조색2 5 6 5" xfId="13778"/>
    <cellStyle name="40% - 강조색2 5 7" xfId="13779"/>
    <cellStyle name="40% - 강조색2 5 7 2" xfId="13780"/>
    <cellStyle name="40% - 강조색2 5 7 2 2" xfId="13781"/>
    <cellStyle name="40% - 강조색2 5 7 2 3" xfId="13782"/>
    <cellStyle name="40% - 강조색2 5 7 3" xfId="13783"/>
    <cellStyle name="40% - 강조색2 5 7 4" xfId="13784"/>
    <cellStyle name="40% - 강조색2 5 8" xfId="13785"/>
    <cellStyle name="40% - 강조색2 5 8 2" xfId="13786"/>
    <cellStyle name="40% - 강조색2 5 8 3" xfId="13787"/>
    <cellStyle name="40% - 강조색2 5 9" xfId="13788"/>
    <cellStyle name="40% - 강조색2 50" xfId="13789"/>
    <cellStyle name="40% - 강조색2 51" xfId="13790"/>
    <cellStyle name="40% - 강조색2 52" xfId="13791"/>
    <cellStyle name="40% - 강조색2 53" xfId="13792"/>
    <cellStyle name="40% - 강조색2 54" xfId="13793"/>
    <cellStyle name="40% - 강조색2 55" xfId="13794"/>
    <cellStyle name="40% - 강조색2 56" xfId="13795"/>
    <cellStyle name="40% - 강조색2 57" xfId="13796"/>
    <cellStyle name="40% - 강조색2 58" xfId="13797"/>
    <cellStyle name="40% - 강조색2 59" xfId="13798"/>
    <cellStyle name="40% - 강조색2 6" xfId="13799"/>
    <cellStyle name="40% - 강조색2 6 10" xfId="13800"/>
    <cellStyle name="40% - 강조색2 6 2" xfId="13801"/>
    <cellStyle name="40% - 강조색2 6 2 2" xfId="13802"/>
    <cellStyle name="40% - 강조색2 6 2 2 2" xfId="13803"/>
    <cellStyle name="40% - 강조색2 6 2 2 2 2" xfId="13804"/>
    <cellStyle name="40% - 강조색2 6 2 2 2 2 2" xfId="13805"/>
    <cellStyle name="40% - 강조색2 6 2 2 2 2 3" xfId="13806"/>
    <cellStyle name="40% - 강조색2 6 2 2 2 3" xfId="13807"/>
    <cellStyle name="40% - 강조색2 6 2 2 2 4" xfId="13808"/>
    <cellStyle name="40% - 강조색2 6 2 2 3" xfId="13809"/>
    <cellStyle name="40% - 강조색2 6 2 2 3 2" xfId="13810"/>
    <cellStyle name="40% - 강조색2 6 2 2 3 3" xfId="13811"/>
    <cellStyle name="40% - 강조색2 6 2 2 4" xfId="13812"/>
    <cellStyle name="40% - 강조색2 6 2 2 5" xfId="13813"/>
    <cellStyle name="40% - 강조색2 6 2 3" xfId="13814"/>
    <cellStyle name="40% - 강조색2 6 2 3 2" xfId="13815"/>
    <cellStyle name="40% - 강조색2 6 2 3 2 2" xfId="13816"/>
    <cellStyle name="40% - 강조색2 6 2 3 2 2 2" xfId="13817"/>
    <cellStyle name="40% - 강조색2 6 2 3 2 2 3" xfId="13818"/>
    <cellStyle name="40% - 강조색2 6 2 3 2 3" xfId="13819"/>
    <cellStyle name="40% - 강조색2 6 2 3 2 4" xfId="13820"/>
    <cellStyle name="40% - 강조색2 6 2 3 3" xfId="13821"/>
    <cellStyle name="40% - 강조색2 6 2 3 3 2" xfId="13822"/>
    <cellStyle name="40% - 강조색2 6 2 3 3 3" xfId="13823"/>
    <cellStyle name="40% - 강조색2 6 2 3 4" xfId="13824"/>
    <cellStyle name="40% - 강조색2 6 2 3 5" xfId="13825"/>
    <cellStyle name="40% - 강조색2 6 2 4" xfId="13826"/>
    <cellStyle name="40% - 강조색2 6 2 4 2" xfId="13827"/>
    <cellStyle name="40% - 강조색2 6 2 4 2 2" xfId="13828"/>
    <cellStyle name="40% - 강조색2 6 2 4 2 3" xfId="13829"/>
    <cellStyle name="40% - 강조색2 6 2 4 3" xfId="13830"/>
    <cellStyle name="40% - 강조색2 6 2 4 4" xfId="13831"/>
    <cellStyle name="40% - 강조색2 6 2 5" xfId="13832"/>
    <cellStyle name="40% - 강조색2 6 2 5 2" xfId="13833"/>
    <cellStyle name="40% - 강조색2 6 2 5 3" xfId="13834"/>
    <cellStyle name="40% - 강조색2 6 2 6" xfId="13835"/>
    <cellStyle name="40% - 강조색2 6 2 7" xfId="13836"/>
    <cellStyle name="40% - 강조색2 6 3" xfId="13837"/>
    <cellStyle name="40% - 강조색2 6 3 2" xfId="13838"/>
    <cellStyle name="40% - 강조색2 6 3 2 2" xfId="13839"/>
    <cellStyle name="40% - 강조색2 6 3 2 2 2" xfId="13840"/>
    <cellStyle name="40% - 강조색2 6 3 2 2 2 2" xfId="13841"/>
    <cellStyle name="40% - 강조색2 6 3 2 2 2 3" xfId="13842"/>
    <cellStyle name="40% - 강조색2 6 3 2 2 3" xfId="13843"/>
    <cellStyle name="40% - 강조색2 6 3 2 2 4" xfId="13844"/>
    <cellStyle name="40% - 강조색2 6 3 2 3" xfId="13845"/>
    <cellStyle name="40% - 강조색2 6 3 2 3 2" xfId="13846"/>
    <cellStyle name="40% - 강조색2 6 3 2 3 3" xfId="13847"/>
    <cellStyle name="40% - 강조색2 6 3 2 4" xfId="13848"/>
    <cellStyle name="40% - 강조색2 6 3 2 5" xfId="13849"/>
    <cellStyle name="40% - 강조색2 6 3 3" xfId="13850"/>
    <cellStyle name="40% - 강조색2 6 3 3 2" xfId="13851"/>
    <cellStyle name="40% - 강조색2 6 3 3 2 2" xfId="13852"/>
    <cellStyle name="40% - 강조색2 6 3 3 2 2 2" xfId="13853"/>
    <cellStyle name="40% - 강조색2 6 3 3 2 2 3" xfId="13854"/>
    <cellStyle name="40% - 강조색2 6 3 3 2 3" xfId="13855"/>
    <cellStyle name="40% - 강조색2 6 3 3 2 4" xfId="13856"/>
    <cellStyle name="40% - 강조색2 6 3 3 3" xfId="13857"/>
    <cellStyle name="40% - 강조색2 6 3 3 3 2" xfId="13858"/>
    <cellStyle name="40% - 강조색2 6 3 3 3 3" xfId="13859"/>
    <cellStyle name="40% - 강조색2 6 3 3 4" xfId="13860"/>
    <cellStyle name="40% - 강조색2 6 3 3 5" xfId="13861"/>
    <cellStyle name="40% - 강조색2 6 3 4" xfId="13862"/>
    <cellStyle name="40% - 강조색2 6 3 4 2" xfId="13863"/>
    <cellStyle name="40% - 강조색2 6 3 4 2 2" xfId="13864"/>
    <cellStyle name="40% - 강조색2 6 3 4 2 3" xfId="13865"/>
    <cellStyle name="40% - 강조색2 6 3 4 3" xfId="13866"/>
    <cellStyle name="40% - 강조색2 6 3 4 4" xfId="13867"/>
    <cellStyle name="40% - 강조색2 6 3 5" xfId="13868"/>
    <cellStyle name="40% - 강조색2 6 3 5 2" xfId="13869"/>
    <cellStyle name="40% - 강조색2 6 3 5 3" xfId="13870"/>
    <cellStyle name="40% - 강조색2 6 3 6" xfId="13871"/>
    <cellStyle name="40% - 강조색2 6 3 7" xfId="13872"/>
    <cellStyle name="40% - 강조색2 6 4" xfId="13873"/>
    <cellStyle name="40% - 강조색2 6 4 2" xfId="13874"/>
    <cellStyle name="40% - 강조색2 6 4 2 2" xfId="13875"/>
    <cellStyle name="40% - 강조색2 6 4 2 2 2" xfId="13876"/>
    <cellStyle name="40% - 강조색2 6 4 2 2 3" xfId="13877"/>
    <cellStyle name="40% - 강조색2 6 4 2 3" xfId="13878"/>
    <cellStyle name="40% - 강조색2 6 4 2 4" xfId="13879"/>
    <cellStyle name="40% - 강조색2 6 4 3" xfId="13880"/>
    <cellStyle name="40% - 강조색2 6 4 3 2" xfId="13881"/>
    <cellStyle name="40% - 강조색2 6 4 3 3" xfId="13882"/>
    <cellStyle name="40% - 강조색2 6 4 4" xfId="13883"/>
    <cellStyle name="40% - 강조색2 6 4 5" xfId="13884"/>
    <cellStyle name="40% - 강조색2 6 5" xfId="13885"/>
    <cellStyle name="40% - 강조색2 6 5 2" xfId="13886"/>
    <cellStyle name="40% - 강조색2 6 5 2 2" xfId="13887"/>
    <cellStyle name="40% - 강조색2 6 5 2 2 2" xfId="13888"/>
    <cellStyle name="40% - 강조색2 6 5 2 2 3" xfId="13889"/>
    <cellStyle name="40% - 강조색2 6 5 2 3" xfId="13890"/>
    <cellStyle name="40% - 강조색2 6 5 2 4" xfId="13891"/>
    <cellStyle name="40% - 강조색2 6 5 3" xfId="13892"/>
    <cellStyle name="40% - 강조색2 6 5 3 2" xfId="13893"/>
    <cellStyle name="40% - 강조색2 6 5 3 3" xfId="13894"/>
    <cellStyle name="40% - 강조색2 6 5 4" xfId="13895"/>
    <cellStyle name="40% - 강조색2 6 5 5" xfId="13896"/>
    <cellStyle name="40% - 강조색2 6 6" xfId="13897"/>
    <cellStyle name="40% - 강조색2 6 6 2" xfId="13898"/>
    <cellStyle name="40% - 강조색2 6 6 2 2" xfId="13899"/>
    <cellStyle name="40% - 강조색2 6 6 2 2 2" xfId="13900"/>
    <cellStyle name="40% - 강조색2 6 6 2 2 3" xfId="13901"/>
    <cellStyle name="40% - 강조색2 6 6 2 3" xfId="13902"/>
    <cellStyle name="40% - 강조색2 6 6 2 4" xfId="13903"/>
    <cellStyle name="40% - 강조색2 6 6 3" xfId="13904"/>
    <cellStyle name="40% - 강조색2 6 6 3 2" xfId="13905"/>
    <cellStyle name="40% - 강조색2 6 6 3 3" xfId="13906"/>
    <cellStyle name="40% - 강조색2 6 6 4" xfId="13907"/>
    <cellStyle name="40% - 강조색2 6 6 5" xfId="13908"/>
    <cellStyle name="40% - 강조색2 6 7" xfId="13909"/>
    <cellStyle name="40% - 강조색2 6 7 2" xfId="13910"/>
    <cellStyle name="40% - 강조색2 6 7 2 2" xfId="13911"/>
    <cellStyle name="40% - 강조색2 6 7 2 3" xfId="13912"/>
    <cellStyle name="40% - 강조색2 6 7 3" xfId="13913"/>
    <cellStyle name="40% - 강조색2 6 7 4" xfId="13914"/>
    <cellStyle name="40% - 강조색2 6 8" xfId="13915"/>
    <cellStyle name="40% - 강조색2 6 8 2" xfId="13916"/>
    <cellStyle name="40% - 강조색2 6 8 3" xfId="13917"/>
    <cellStyle name="40% - 강조색2 6 9" xfId="13918"/>
    <cellStyle name="40% - 강조색2 60" xfId="13919"/>
    <cellStyle name="40% - 강조색2 61" xfId="13920"/>
    <cellStyle name="40% - 강조색2 62" xfId="13921"/>
    <cellStyle name="40% - 강조색2 63" xfId="13922"/>
    <cellStyle name="40% - 강조색2 64" xfId="13923"/>
    <cellStyle name="40% - 강조색2 65" xfId="13924"/>
    <cellStyle name="40% - 강조색2 66" xfId="13925"/>
    <cellStyle name="40% - 강조색2 67" xfId="13926"/>
    <cellStyle name="40% - 강조색2 68" xfId="13927"/>
    <cellStyle name="40% - 강조색2 69" xfId="13928"/>
    <cellStyle name="40% - 강조색2 7" xfId="13929"/>
    <cellStyle name="40% - 강조색2 7 10" xfId="13930"/>
    <cellStyle name="40% - 강조색2 7 2" xfId="13931"/>
    <cellStyle name="40% - 강조색2 7 2 2" xfId="13932"/>
    <cellStyle name="40% - 강조색2 7 2 2 2" xfId="13933"/>
    <cellStyle name="40% - 강조색2 7 2 2 2 2" xfId="13934"/>
    <cellStyle name="40% - 강조색2 7 2 2 2 2 2" xfId="13935"/>
    <cellStyle name="40% - 강조색2 7 2 2 2 2 3" xfId="13936"/>
    <cellStyle name="40% - 강조색2 7 2 2 2 3" xfId="13937"/>
    <cellStyle name="40% - 강조색2 7 2 2 2 4" xfId="13938"/>
    <cellStyle name="40% - 강조색2 7 2 2 3" xfId="13939"/>
    <cellStyle name="40% - 강조색2 7 2 2 3 2" xfId="13940"/>
    <cellStyle name="40% - 강조색2 7 2 2 3 3" xfId="13941"/>
    <cellStyle name="40% - 강조색2 7 2 2 4" xfId="13942"/>
    <cellStyle name="40% - 강조색2 7 2 2 5" xfId="13943"/>
    <cellStyle name="40% - 강조색2 7 2 3" xfId="13944"/>
    <cellStyle name="40% - 강조색2 7 2 3 2" xfId="13945"/>
    <cellStyle name="40% - 강조색2 7 2 3 2 2" xfId="13946"/>
    <cellStyle name="40% - 강조색2 7 2 3 2 2 2" xfId="13947"/>
    <cellStyle name="40% - 강조색2 7 2 3 2 2 3" xfId="13948"/>
    <cellStyle name="40% - 강조색2 7 2 3 2 3" xfId="13949"/>
    <cellStyle name="40% - 강조색2 7 2 3 2 4" xfId="13950"/>
    <cellStyle name="40% - 강조색2 7 2 3 3" xfId="13951"/>
    <cellStyle name="40% - 강조색2 7 2 3 3 2" xfId="13952"/>
    <cellStyle name="40% - 강조색2 7 2 3 3 3" xfId="13953"/>
    <cellStyle name="40% - 강조색2 7 2 3 4" xfId="13954"/>
    <cellStyle name="40% - 강조색2 7 2 3 5" xfId="13955"/>
    <cellStyle name="40% - 강조색2 7 2 4" xfId="13956"/>
    <cellStyle name="40% - 강조색2 7 2 4 2" xfId="13957"/>
    <cellStyle name="40% - 강조색2 7 2 4 2 2" xfId="13958"/>
    <cellStyle name="40% - 강조색2 7 2 4 2 3" xfId="13959"/>
    <cellStyle name="40% - 강조색2 7 2 4 3" xfId="13960"/>
    <cellStyle name="40% - 강조색2 7 2 4 4" xfId="13961"/>
    <cellStyle name="40% - 강조색2 7 2 5" xfId="13962"/>
    <cellStyle name="40% - 강조색2 7 2 5 2" xfId="13963"/>
    <cellStyle name="40% - 강조색2 7 2 5 3" xfId="13964"/>
    <cellStyle name="40% - 강조색2 7 2 6" xfId="13965"/>
    <cellStyle name="40% - 강조색2 7 2 7" xfId="13966"/>
    <cellStyle name="40% - 강조색2 7 3" xfId="13967"/>
    <cellStyle name="40% - 강조색2 7 3 2" xfId="13968"/>
    <cellStyle name="40% - 강조색2 7 3 2 2" xfId="13969"/>
    <cellStyle name="40% - 강조색2 7 3 2 2 2" xfId="13970"/>
    <cellStyle name="40% - 강조색2 7 3 2 2 2 2" xfId="13971"/>
    <cellStyle name="40% - 강조색2 7 3 2 2 2 3" xfId="13972"/>
    <cellStyle name="40% - 강조색2 7 3 2 2 3" xfId="13973"/>
    <cellStyle name="40% - 강조색2 7 3 2 2 4" xfId="13974"/>
    <cellStyle name="40% - 강조색2 7 3 2 3" xfId="13975"/>
    <cellStyle name="40% - 강조색2 7 3 2 3 2" xfId="13976"/>
    <cellStyle name="40% - 강조색2 7 3 2 3 3" xfId="13977"/>
    <cellStyle name="40% - 강조색2 7 3 2 4" xfId="13978"/>
    <cellStyle name="40% - 강조색2 7 3 2 5" xfId="13979"/>
    <cellStyle name="40% - 강조색2 7 3 3" xfId="13980"/>
    <cellStyle name="40% - 강조색2 7 3 3 2" xfId="13981"/>
    <cellStyle name="40% - 강조색2 7 3 3 2 2" xfId="13982"/>
    <cellStyle name="40% - 강조색2 7 3 3 2 2 2" xfId="13983"/>
    <cellStyle name="40% - 강조색2 7 3 3 2 2 3" xfId="13984"/>
    <cellStyle name="40% - 강조색2 7 3 3 2 3" xfId="13985"/>
    <cellStyle name="40% - 강조색2 7 3 3 2 4" xfId="13986"/>
    <cellStyle name="40% - 강조색2 7 3 3 3" xfId="13987"/>
    <cellStyle name="40% - 강조색2 7 3 3 3 2" xfId="13988"/>
    <cellStyle name="40% - 강조색2 7 3 3 3 3" xfId="13989"/>
    <cellStyle name="40% - 강조색2 7 3 3 4" xfId="13990"/>
    <cellStyle name="40% - 강조색2 7 3 3 5" xfId="13991"/>
    <cellStyle name="40% - 강조색2 7 3 4" xfId="13992"/>
    <cellStyle name="40% - 강조색2 7 3 4 2" xfId="13993"/>
    <cellStyle name="40% - 강조색2 7 3 4 2 2" xfId="13994"/>
    <cellStyle name="40% - 강조색2 7 3 4 2 3" xfId="13995"/>
    <cellStyle name="40% - 강조색2 7 3 4 3" xfId="13996"/>
    <cellStyle name="40% - 강조색2 7 3 4 4" xfId="13997"/>
    <cellStyle name="40% - 강조색2 7 3 5" xfId="13998"/>
    <cellStyle name="40% - 강조색2 7 3 5 2" xfId="13999"/>
    <cellStyle name="40% - 강조색2 7 3 5 3" xfId="14000"/>
    <cellStyle name="40% - 강조색2 7 3 6" xfId="14001"/>
    <cellStyle name="40% - 강조색2 7 3 7" xfId="14002"/>
    <cellStyle name="40% - 강조색2 7 4" xfId="14003"/>
    <cellStyle name="40% - 강조색2 7 4 2" xfId="14004"/>
    <cellStyle name="40% - 강조색2 7 4 2 2" xfId="14005"/>
    <cellStyle name="40% - 강조색2 7 4 2 2 2" xfId="14006"/>
    <cellStyle name="40% - 강조색2 7 4 2 2 3" xfId="14007"/>
    <cellStyle name="40% - 강조색2 7 4 2 3" xfId="14008"/>
    <cellStyle name="40% - 강조색2 7 4 2 4" xfId="14009"/>
    <cellStyle name="40% - 강조색2 7 4 3" xfId="14010"/>
    <cellStyle name="40% - 강조색2 7 4 3 2" xfId="14011"/>
    <cellStyle name="40% - 강조색2 7 4 3 3" xfId="14012"/>
    <cellStyle name="40% - 강조색2 7 4 4" xfId="14013"/>
    <cellStyle name="40% - 강조색2 7 4 5" xfId="14014"/>
    <cellStyle name="40% - 강조색2 7 5" xfId="14015"/>
    <cellStyle name="40% - 강조색2 7 5 2" xfId="14016"/>
    <cellStyle name="40% - 강조색2 7 5 2 2" xfId="14017"/>
    <cellStyle name="40% - 강조색2 7 5 2 2 2" xfId="14018"/>
    <cellStyle name="40% - 강조색2 7 5 2 2 3" xfId="14019"/>
    <cellStyle name="40% - 강조색2 7 5 2 3" xfId="14020"/>
    <cellStyle name="40% - 강조색2 7 5 2 4" xfId="14021"/>
    <cellStyle name="40% - 강조색2 7 5 3" xfId="14022"/>
    <cellStyle name="40% - 강조색2 7 5 3 2" xfId="14023"/>
    <cellStyle name="40% - 강조색2 7 5 3 3" xfId="14024"/>
    <cellStyle name="40% - 강조색2 7 5 4" xfId="14025"/>
    <cellStyle name="40% - 강조색2 7 5 5" xfId="14026"/>
    <cellStyle name="40% - 강조색2 7 6" xfId="14027"/>
    <cellStyle name="40% - 강조색2 7 6 2" xfId="14028"/>
    <cellStyle name="40% - 강조색2 7 6 2 2" xfId="14029"/>
    <cellStyle name="40% - 강조색2 7 6 2 2 2" xfId="14030"/>
    <cellStyle name="40% - 강조색2 7 6 2 2 3" xfId="14031"/>
    <cellStyle name="40% - 강조색2 7 6 2 3" xfId="14032"/>
    <cellStyle name="40% - 강조색2 7 6 2 4" xfId="14033"/>
    <cellStyle name="40% - 강조색2 7 6 3" xfId="14034"/>
    <cellStyle name="40% - 강조색2 7 6 3 2" xfId="14035"/>
    <cellStyle name="40% - 강조색2 7 6 3 3" xfId="14036"/>
    <cellStyle name="40% - 강조색2 7 6 4" xfId="14037"/>
    <cellStyle name="40% - 강조색2 7 6 5" xfId="14038"/>
    <cellStyle name="40% - 강조색2 7 7" xfId="14039"/>
    <cellStyle name="40% - 강조색2 7 7 2" xfId="14040"/>
    <cellStyle name="40% - 강조색2 7 7 2 2" xfId="14041"/>
    <cellStyle name="40% - 강조색2 7 7 2 3" xfId="14042"/>
    <cellStyle name="40% - 강조색2 7 7 3" xfId="14043"/>
    <cellStyle name="40% - 강조색2 7 7 4" xfId="14044"/>
    <cellStyle name="40% - 강조색2 7 8" xfId="14045"/>
    <cellStyle name="40% - 강조색2 7 8 2" xfId="14046"/>
    <cellStyle name="40% - 강조색2 7 8 3" xfId="14047"/>
    <cellStyle name="40% - 강조색2 7 9" xfId="14048"/>
    <cellStyle name="40% - 강조색2 8" xfId="14049"/>
    <cellStyle name="40% - 강조색2 8 2" xfId="14050"/>
    <cellStyle name="40% - 강조색2 8 2 2" xfId="14051"/>
    <cellStyle name="40% - 강조색2 8 2 2 2" xfId="14052"/>
    <cellStyle name="40% - 강조색2 8 2 2 2 2" xfId="14053"/>
    <cellStyle name="40% - 강조색2 8 2 2 2 3" xfId="14054"/>
    <cellStyle name="40% - 강조색2 8 2 2 3" xfId="14055"/>
    <cellStyle name="40% - 강조색2 8 2 2 4" xfId="14056"/>
    <cellStyle name="40% - 강조색2 8 2 3" xfId="14057"/>
    <cellStyle name="40% - 강조색2 8 2 3 2" xfId="14058"/>
    <cellStyle name="40% - 강조색2 8 2 3 3" xfId="14059"/>
    <cellStyle name="40% - 강조색2 8 2 4" xfId="14060"/>
    <cellStyle name="40% - 강조색2 8 2 5" xfId="14061"/>
    <cellStyle name="40% - 강조색2 8 3" xfId="14062"/>
    <cellStyle name="40% - 강조색2 8 3 2" xfId="14063"/>
    <cellStyle name="40% - 강조색2 8 3 2 2" xfId="14064"/>
    <cellStyle name="40% - 강조색2 8 3 2 2 2" xfId="14065"/>
    <cellStyle name="40% - 강조색2 8 3 2 2 3" xfId="14066"/>
    <cellStyle name="40% - 강조색2 8 3 2 3" xfId="14067"/>
    <cellStyle name="40% - 강조색2 8 3 2 4" xfId="14068"/>
    <cellStyle name="40% - 강조색2 8 3 3" xfId="14069"/>
    <cellStyle name="40% - 강조색2 8 3 3 2" xfId="14070"/>
    <cellStyle name="40% - 강조색2 8 3 3 3" xfId="14071"/>
    <cellStyle name="40% - 강조색2 8 3 4" xfId="14072"/>
    <cellStyle name="40% - 강조색2 8 3 5" xfId="14073"/>
    <cellStyle name="40% - 강조색2 8 4" xfId="14074"/>
    <cellStyle name="40% - 강조색2 8 4 2" xfId="14075"/>
    <cellStyle name="40% - 강조색2 8 4 2 2" xfId="14076"/>
    <cellStyle name="40% - 강조색2 8 4 2 3" xfId="14077"/>
    <cellStyle name="40% - 강조색2 8 4 3" xfId="14078"/>
    <cellStyle name="40% - 강조색2 8 4 4" xfId="14079"/>
    <cellStyle name="40% - 강조색2 8 5" xfId="14080"/>
    <cellStyle name="40% - 강조색2 8 5 2" xfId="14081"/>
    <cellStyle name="40% - 강조색2 8 5 3" xfId="14082"/>
    <cellStyle name="40% - 강조색2 8 6" xfId="14083"/>
    <cellStyle name="40% - 강조색2 8 7" xfId="14084"/>
    <cellStyle name="40% - 강조색2 9" xfId="14085"/>
    <cellStyle name="40% - 강조색2 9 2" xfId="14086"/>
    <cellStyle name="40% - 강조색2 9 2 2" xfId="14087"/>
    <cellStyle name="40% - 강조색2 9 2 2 2" xfId="14088"/>
    <cellStyle name="40% - 강조색2 9 2 2 2 2" xfId="14089"/>
    <cellStyle name="40% - 강조색2 9 2 2 2 3" xfId="14090"/>
    <cellStyle name="40% - 강조색2 9 2 2 3" xfId="14091"/>
    <cellStyle name="40% - 강조색2 9 2 2 4" xfId="14092"/>
    <cellStyle name="40% - 강조색2 9 2 3" xfId="14093"/>
    <cellStyle name="40% - 강조색2 9 2 3 2" xfId="14094"/>
    <cellStyle name="40% - 강조색2 9 2 3 3" xfId="14095"/>
    <cellStyle name="40% - 강조색2 9 2 4" xfId="14096"/>
    <cellStyle name="40% - 강조색2 9 2 5" xfId="14097"/>
    <cellStyle name="40% - 강조색2 9 3" xfId="14098"/>
    <cellStyle name="40% - 강조색2 9 3 2" xfId="14099"/>
    <cellStyle name="40% - 강조색2 9 3 2 2" xfId="14100"/>
    <cellStyle name="40% - 강조색2 9 3 2 2 2" xfId="14101"/>
    <cellStyle name="40% - 강조색2 9 3 2 2 3" xfId="14102"/>
    <cellStyle name="40% - 강조색2 9 3 2 3" xfId="14103"/>
    <cellStyle name="40% - 강조색2 9 3 2 4" xfId="14104"/>
    <cellStyle name="40% - 강조색2 9 3 3" xfId="14105"/>
    <cellStyle name="40% - 강조색2 9 3 3 2" xfId="14106"/>
    <cellStyle name="40% - 강조색2 9 3 3 3" xfId="14107"/>
    <cellStyle name="40% - 강조색2 9 3 4" xfId="14108"/>
    <cellStyle name="40% - 강조색2 9 3 5" xfId="14109"/>
    <cellStyle name="40% - 강조색2 9 4" xfId="14110"/>
    <cellStyle name="40% - 강조색2 9 4 2" xfId="14111"/>
    <cellStyle name="40% - 강조색2 9 4 2 2" xfId="14112"/>
    <cellStyle name="40% - 강조색2 9 4 2 3" xfId="14113"/>
    <cellStyle name="40% - 강조색2 9 4 3" xfId="14114"/>
    <cellStyle name="40% - 강조색2 9 4 4" xfId="14115"/>
    <cellStyle name="40% - 강조색2 9 5" xfId="14116"/>
    <cellStyle name="40% - 강조색2 9 5 2" xfId="14117"/>
    <cellStyle name="40% - 강조색2 9 5 3" xfId="14118"/>
    <cellStyle name="40% - 강조색2 9 6" xfId="14119"/>
    <cellStyle name="40% - 강조색2 9 7" xfId="14120"/>
    <cellStyle name="40% - 강조색3 10" xfId="14121"/>
    <cellStyle name="40% - 강조색3 10 2" xfId="14122"/>
    <cellStyle name="40% - 강조색3 10 2 2" xfId="14123"/>
    <cellStyle name="40% - 강조색3 10 2 2 2" xfId="14124"/>
    <cellStyle name="40% - 강조색3 10 2 2 2 2" xfId="14125"/>
    <cellStyle name="40% - 강조색3 10 2 2 2 3" xfId="14126"/>
    <cellStyle name="40% - 강조색3 10 2 2 3" xfId="14127"/>
    <cellStyle name="40% - 강조색3 10 2 2 4" xfId="14128"/>
    <cellStyle name="40% - 강조색3 10 2 3" xfId="14129"/>
    <cellStyle name="40% - 강조색3 10 2 3 2" xfId="14130"/>
    <cellStyle name="40% - 강조색3 10 2 3 3" xfId="14131"/>
    <cellStyle name="40% - 강조색3 10 2 4" xfId="14132"/>
    <cellStyle name="40% - 강조색3 10 2 5" xfId="14133"/>
    <cellStyle name="40% - 강조색3 10 3" xfId="14134"/>
    <cellStyle name="40% - 강조색3 10 3 2" xfId="14135"/>
    <cellStyle name="40% - 강조색3 10 3 2 2" xfId="14136"/>
    <cellStyle name="40% - 강조색3 10 3 2 2 2" xfId="14137"/>
    <cellStyle name="40% - 강조색3 10 3 2 2 3" xfId="14138"/>
    <cellStyle name="40% - 강조색3 10 3 2 3" xfId="14139"/>
    <cellStyle name="40% - 강조색3 10 3 2 4" xfId="14140"/>
    <cellStyle name="40% - 강조색3 10 3 3" xfId="14141"/>
    <cellStyle name="40% - 강조색3 10 3 3 2" xfId="14142"/>
    <cellStyle name="40% - 강조색3 10 3 3 3" xfId="14143"/>
    <cellStyle name="40% - 강조색3 10 3 4" xfId="14144"/>
    <cellStyle name="40% - 강조색3 10 3 5" xfId="14145"/>
    <cellStyle name="40% - 강조색3 10 4" xfId="14146"/>
    <cellStyle name="40% - 강조색3 10 4 2" xfId="14147"/>
    <cellStyle name="40% - 강조색3 10 4 2 2" xfId="14148"/>
    <cellStyle name="40% - 강조색3 10 4 2 3" xfId="14149"/>
    <cellStyle name="40% - 강조색3 10 4 3" xfId="14150"/>
    <cellStyle name="40% - 강조색3 10 4 4" xfId="14151"/>
    <cellStyle name="40% - 강조색3 10 5" xfId="14152"/>
    <cellStyle name="40% - 강조색3 10 5 2" xfId="14153"/>
    <cellStyle name="40% - 강조색3 10 5 3" xfId="14154"/>
    <cellStyle name="40% - 강조색3 10 6" xfId="14155"/>
    <cellStyle name="40% - 강조색3 10 7" xfId="14156"/>
    <cellStyle name="40% - 강조색3 11" xfId="14157"/>
    <cellStyle name="40% - 강조색3 11 2" xfId="14158"/>
    <cellStyle name="40% - 강조색3 11 2 2" xfId="14159"/>
    <cellStyle name="40% - 강조색3 11 2 2 2" xfId="14160"/>
    <cellStyle name="40% - 강조색3 11 2 2 3" xfId="14161"/>
    <cellStyle name="40% - 강조색3 11 2 3" xfId="14162"/>
    <cellStyle name="40% - 강조색3 11 2 4" xfId="14163"/>
    <cellStyle name="40% - 강조색3 11 3" xfId="14164"/>
    <cellStyle name="40% - 강조색3 11 3 2" xfId="14165"/>
    <cellStyle name="40% - 강조색3 11 3 3" xfId="14166"/>
    <cellStyle name="40% - 강조색3 11 4" xfId="14167"/>
    <cellStyle name="40% - 강조색3 11 5" xfId="14168"/>
    <cellStyle name="40% - 강조색3 12" xfId="14169"/>
    <cellStyle name="40% - 강조색3 12 2" xfId="14170"/>
    <cellStyle name="40% - 강조색3 12 2 2" xfId="14171"/>
    <cellStyle name="40% - 강조색3 12 2 2 2" xfId="14172"/>
    <cellStyle name="40% - 강조색3 12 2 2 3" xfId="14173"/>
    <cellStyle name="40% - 강조색3 12 2 3" xfId="14174"/>
    <cellStyle name="40% - 강조색3 12 2 4" xfId="14175"/>
    <cellStyle name="40% - 강조색3 12 3" xfId="14176"/>
    <cellStyle name="40% - 강조색3 12 3 2" xfId="14177"/>
    <cellStyle name="40% - 강조색3 12 3 3" xfId="14178"/>
    <cellStyle name="40% - 강조색3 12 4" xfId="14179"/>
    <cellStyle name="40% - 강조색3 12 5" xfId="14180"/>
    <cellStyle name="40% - 강조색3 13" xfId="14181"/>
    <cellStyle name="40% - 강조색3 13 2" xfId="14182"/>
    <cellStyle name="40% - 강조색3 13 2 2" xfId="14183"/>
    <cellStyle name="40% - 강조색3 13 2 3" xfId="14184"/>
    <cellStyle name="40% - 강조색3 13 3" xfId="14185"/>
    <cellStyle name="40% - 강조색3 13 4" xfId="14186"/>
    <cellStyle name="40% - 강조색3 14" xfId="14187"/>
    <cellStyle name="40% - 강조색3 14 2" xfId="14188"/>
    <cellStyle name="40% - 강조색3 14 2 2" xfId="14189"/>
    <cellStyle name="40% - 강조색3 14 2 3" xfId="14190"/>
    <cellStyle name="40% - 강조색3 14 3" xfId="14191"/>
    <cellStyle name="40% - 강조색3 14 4" xfId="14192"/>
    <cellStyle name="40% - 강조색3 15" xfId="14193"/>
    <cellStyle name="40% - 강조색3 15 2" xfId="14194"/>
    <cellStyle name="40% - 강조색3 15 3" xfId="14195"/>
    <cellStyle name="40% - 강조색3 16" xfId="14196"/>
    <cellStyle name="40% - 강조색3 16 2" xfId="14197"/>
    <cellStyle name="40% - 강조색3 16 3" xfId="14198"/>
    <cellStyle name="40% - 강조색3 16 4" xfId="14199"/>
    <cellStyle name="40% - 강조색3 17" xfId="14200"/>
    <cellStyle name="40% - 강조색3 17 2" xfId="14201"/>
    <cellStyle name="40% - 강조색3 17 3" xfId="14202"/>
    <cellStyle name="40% - 강조색3 18" xfId="14203"/>
    <cellStyle name="40% - 강조색3 18 2" xfId="14204"/>
    <cellStyle name="40% - 강조색3 18 3" xfId="14205"/>
    <cellStyle name="40% - 강조색3 19" xfId="14206"/>
    <cellStyle name="40% - 강조색3 19 2" xfId="14207"/>
    <cellStyle name="40% - 강조색3 19 3" xfId="14208"/>
    <cellStyle name="40% - 강조색3 2" xfId="14209"/>
    <cellStyle name="40% - 강조색3 2 2" xfId="14210"/>
    <cellStyle name="40% - 강조색3 2 2 2" xfId="14211"/>
    <cellStyle name="40% - 강조색3 2 2 2 2" xfId="14212"/>
    <cellStyle name="40% - 강조색3 2 2 3" xfId="14213"/>
    <cellStyle name="40% - 강조색3 2 3" xfId="14214"/>
    <cellStyle name="40% - 강조색3 2 3 2" xfId="14215"/>
    <cellStyle name="40% - 강조색3 2 3 2 2" xfId="14216"/>
    <cellStyle name="40% - 강조색3 2 3 3" xfId="14217"/>
    <cellStyle name="40% - 강조색3 2 4" xfId="14218"/>
    <cellStyle name="40% - 강조색3 2 4 2" xfId="14219"/>
    <cellStyle name="40% - 강조색3 2 5" xfId="14220"/>
    <cellStyle name="40% - 강조색3 2 6" xfId="14221"/>
    <cellStyle name="40% - 강조색3 20" xfId="14222"/>
    <cellStyle name="40% - 강조색3 20 2" xfId="14223"/>
    <cellStyle name="40% - 강조색3 20 3" xfId="14224"/>
    <cellStyle name="40% - 강조색3 21" xfId="14225"/>
    <cellStyle name="40% - 강조색3 21 2" xfId="14226"/>
    <cellStyle name="40% - 강조색3 21 3" xfId="14227"/>
    <cellStyle name="40% - 강조색3 22" xfId="14228"/>
    <cellStyle name="40% - 강조색3 22 2" xfId="14229"/>
    <cellStyle name="40% - 강조색3 22 3" xfId="14230"/>
    <cellStyle name="40% - 강조색3 23" xfId="14231"/>
    <cellStyle name="40% - 강조색3 23 2" xfId="14232"/>
    <cellStyle name="40% - 강조색3 23 3" xfId="14233"/>
    <cellStyle name="40% - 강조색3 24" xfId="14234"/>
    <cellStyle name="40% - 강조색3 24 2" xfId="14235"/>
    <cellStyle name="40% - 강조색3 25" xfId="14236"/>
    <cellStyle name="40% - 강조색3 25 2" xfId="14237"/>
    <cellStyle name="40% - 강조색3 26" xfId="14238"/>
    <cellStyle name="40% - 강조색3 26 2" xfId="14239"/>
    <cellStyle name="40% - 강조색3 27" xfId="14240"/>
    <cellStyle name="40% - 강조색3 27 2" xfId="14241"/>
    <cellStyle name="40% - 강조색3 28" xfId="14242"/>
    <cellStyle name="40% - 강조색3 28 2" xfId="14243"/>
    <cellStyle name="40% - 강조색3 29" xfId="14244"/>
    <cellStyle name="40% - 강조색3 29 2" xfId="14245"/>
    <cellStyle name="40% - 강조색3 3" xfId="14246"/>
    <cellStyle name="40% - 강조색3 3 10" xfId="14247"/>
    <cellStyle name="40% - 강조색3 3 10 2" xfId="14248"/>
    <cellStyle name="40% - 강조색3 3 10 2 2" xfId="14249"/>
    <cellStyle name="40% - 강조색3 3 10 2 3" xfId="14250"/>
    <cellStyle name="40% - 강조색3 3 10 3" xfId="14251"/>
    <cellStyle name="40% - 강조색3 3 10 4" xfId="14252"/>
    <cellStyle name="40% - 강조색3 3 11" xfId="14253"/>
    <cellStyle name="40% - 강조색3 3 11 2" xfId="14254"/>
    <cellStyle name="40% - 강조색3 3 11 3" xfId="14255"/>
    <cellStyle name="40% - 강조색3 3 12" xfId="14256"/>
    <cellStyle name="40% - 강조색3 3 13" xfId="14257"/>
    <cellStyle name="40% - 강조색3 3 14" xfId="14258"/>
    <cellStyle name="40% - 강조색3 3 15" xfId="14259"/>
    <cellStyle name="40% - 강조색3 3 2" xfId="14260"/>
    <cellStyle name="40% - 강조색3 3 2 10" xfId="14261"/>
    <cellStyle name="40% - 강조색3 3 2 11" xfId="14262"/>
    <cellStyle name="40% - 강조색3 3 2 12" xfId="14263"/>
    <cellStyle name="40% - 강조색3 3 2 2" xfId="14264"/>
    <cellStyle name="40% - 강조색3 3 2 2 2" xfId="14265"/>
    <cellStyle name="40% - 강조색3 3 2 2 2 2" xfId="14266"/>
    <cellStyle name="40% - 강조색3 3 2 2 2 2 2" xfId="14267"/>
    <cellStyle name="40% - 강조색3 3 2 2 2 2 2 2" xfId="14268"/>
    <cellStyle name="40% - 강조색3 3 2 2 2 2 2 3" xfId="14269"/>
    <cellStyle name="40% - 강조색3 3 2 2 2 2 3" xfId="14270"/>
    <cellStyle name="40% - 강조색3 3 2 2 2 2 4" xfId="14271"/>
    <cellStyle name="40% - 강조색3 3 2 2 2 3" xfId="14272"/>
    <cellStyle name="40% - 강조색3 3 2 2 2 3 2" xfId="14273"/>
    <cellStyle name="40% - 강조색3 3 2 2 2 3 3" xfId="14274"/>
    <cellStyle name="40% - 강조색3 3 2 2 2 4" xfId="14275"/>
    <cellStyle name="40% - 강조색3 3 2 2 2 5" xfId="14276"/>
    <cellStyle name="40% - 강조색3 3 2 2 3" xfId="14277"/>
    <cellStyle name="40% - 강조색3 3 2 2 3 2" xfId="14278"/>
    <cellStyle name="40% - 강조색3 3 2 2 3 2 2" xfId="14279"/>
    <cellStyle name="40% - 강조색3 3 2 2 3 2 2 2" xfId="14280"/>
    <cellStyle name="40% - 강조색3 3 2 2 3 2 2 3" xfId="14281"/>
    <cellStyle name="40% - 강조색3 3 2 2 3 2 3" xfId="14282"/>
    <cellStyle name="40% - 강조색3 3 2 2 3 2 4" xfId="14283"/>
    <cellStyle name="40% - 강조색3 3 2 2 3 3" xfId="14284"/>
    <cellStyle name="40% - 강조색3 3 2 2 3 3 2" xfId="14285"/>
    <cellStyle name="40% - 강조색3 3 2 2 3 3 3" xfId="14286"/>
    <cellStyle name="40% - 강조색3 3 2 2 3 4" xfId="14287"/>
    <cellStyle name="40% - 강조색3 3 2 2 3 5" xfId="14288"/>
    <cellStyle name="40% - 강조색3 3 2 2 4" xfId="14289"/>
    <cellStyle name="40% - 강조색3 3 2 2 4 2" xfId="14290"/>
    <cellStyle name="40% - 강조색3 3 2 2 4 2 2" xfId="14291"/>
    <cellStyle name="40% - 강조색3 3 2 2 4 2 3" xfId="14292"/>
    <cellStyle name="40% - 강조색3 3 2 2 4 3" xfId="14293"/>
    <cellStyle name="40% - 강조색3 3 2 2 4 4" xfId="14294"/>
    <cellStyle name="40% - 강조색3 3 2 2 5" xfId="14295"/>
    <cellStyle name="40% - 강조색3 3 2 2 5 2" xfId="14296"/>
    <cellStyle name="40% - 강조색3 3 2 2 5 3" xfId="14297"/>
    <cellStyle name="40% - 강조색3 3 2 2 6" xfId="14298"/>
    <cellStyle name="40% - 강조색3 3 2 2 7" xfId="14299"/>
    <cellStyle name="40% - 강조색3 3 2 2 8" xfId="14300"/>
    <cellStyle name="40% - 강조색3 3 2 2 9" xfId="14301"/>
    <cellStyle name="40% - 강조색3 3 2 3" xfId="14302"/>
    <cellStyle name="40% - 강조색3 3 2 3 2" xfId="14303"/>
    <cellStyle name="40% - 강조색3 3 2 3 2 2" xfId="14304"/>
    <cellStyle name="40% - 강조색3 3 2 3 2 2 2" xfId="14305"/>
    <cellStyle name="40% - 강조색3 3 2 3 2 2 2 2" xfId="14306"/>
    <cellStyle name="40% - 강조색3 3 2 3 2 2 2 3" xfId="14307"/>
    <cellStyle name="40% - 강조색3 3 2 3 2 2 3" xfId="14308"/>
    <cellStyle name="40% - 강조색3 3 2 3 2 2 4" xfId="14309"/>
    <cellStyle name="40% - 강조색3 3 2 3 2 3" xfId="14310"/>
    <cellStyle name="40% - 강조색3 3 2 3 2 3 2" xfId="14311"/>
    <cellStyle name="40% - 강조색3 3 2 3 2 3 3" xfId="14312"/>
    <cellStyle name="40% - 강조색3 3 2 3 2 4" xfId="14313"/>
    <cellStyle name="40% - 강조색3 3 2 3 2 5" xfId="14314"/>
    <cellStyle name="40% - 강조색3 3 2 3 3" xfId="14315"/>
    <cellStyle name="40% - 강조색3 3 2 3 3 2" xfId="14316"/>
    <cellStyle name="40% - 강조색3 3 2 3 3 2 2" xfId="14317"/>
    <cellStyle name="40% - 강조색3 3 2 3 3 2 2 2" xfId="14318"/>
    <cellStyle name="40% - 강조색3 3 2 3 3 2 2 3" xfId="14319"/>
    <cellStyle name="40% - 강조색3 3 2 3 3 2 3" xfId="14320"/>
    <cellStyle name="40% - 강조색3 3 2 3 3 2 4" xfId="14321"/>
    <cellStyle name="40% - 강조색3 3 2 3 3 3" xfId="14322"/>
    <cellStyle name="40% - 강조색3 3 2 3 3 3 2" xfId="14323"/>
    <cellStyle name="40% - 강조색3 3 2 3 3 3 3" xfId="14324"/>
    <cellStyle name="40% - 강조색3 3 2 3 3 4" xfId="14325"/>
    <cellStyle name="40% - 강조색3 3 2 3 3 5" xfId="14326"/>
    <cellStyle name="40% - 강조색3 3 2 3 4" xfId="14327"/>
    <cellStyle name="40% - 강조색3 3 2 3 4 2" xfId="14328"/>
    <cellStyle name="40% - 강조색3 3 2 3 4 2 2" xfId="14329"/>
    <cellStyle name="40% - 강조색3 3 2 3 4 2 3" xfId="14330"/>
    <cellStyle name="40% - 강조색3 3 2 3 4 3" xfId="14331"/>
    <cellStyle name="40% - 강조색3 3 2 3 4 4" xfId="14332"/>
    <cellStyle name="40% - 강조색3 3 2 3 5" xfId="14333"/>
    <cellStyle name="40% - 강조색3 3 2 3 5 2" xfId="14334"/>
    <cellStyle name="40% - 강조색3 3 2 3 5 3" xfId="14335"/>
    <cellStyle name="40% - 강조색3 3 2 3 6" xfId="14336"/>
    <cellStyle name="40% - 강조색3 3 2 3 7" xfId="14337"/>
    <cellStyle name="40% - 강조색3 3 2 4" xfId="14338"/>
    <cellStyle name="40% - 강조색3 3 2 4 2" xfId="14339"/>
    <cellStyle name="40% - 강조색3 3 2 4 2 2" xfId="14340"/>
    <cellStyle name="40% - 강조색3 3 2 4 2 2 2" xfId="14341"/>
    <cellStyle name="40% - 강조색3 3 2 4 2 2 3" xfId="14342"/>
    <cellStyle name="40% - 강조색3 3 2 4 2 3" xfId="14343"/>
    <cellStyle name="40% - 강조색3 3 2 4 2 4" xfId="14344"/>
    <cellStyle name="40% - 강조색3 3 2 4 3" xfId="14345"/>
    <cellStyle name="40% - 강조색3 3 2 4 3 2" xfId="14346"/>
    <cellStyle name="40% - 강조색3 3 2 4 3 3" xfId="14347"/>
    <cellStyle name="40% - 강조색3 3 2 4 4" xfId="14348"/>
    <cellStyle name="40% - 강조색3 3 2 4 5" xfId="14349"/>
    <cellStyle name="40% - 강조색3 3 2 5" xfId="14350"/>
    <cellStyle name="40% - 강조색3 3 2 5 2" xfId="14351"/>
    <cellStyle name="40% - 강조색3 3 2 5 2 2" xfId="14352"/>
    <cellStyle name="40% - 강조색3 3 2 5 2 2 2" xfId="14353"/>
    <cellStyle name="40% - 강조색3 3 2 5 2 2 3" xfId="14354"/>
    <cellStyle name="40% - 강조색3 3 2 5 2 3" xfId="14355"/>
    <cellStyle name="40% - 강조색3 3 2 5 2 4" xfId="14356"/>
    <cellStyle name="40% - 강조색3 3 2 5 3" xfId="14357"/>
    <cellStyle name="40% - 강조색3 3 2 5 3 2" xfId="14358"/>
    <cellStyle name="40% - 강조색3 3 2 5 3 3" xfId="14359"/>
    <cellStyle name="40% - 강조색3 3 2 5 4" xfId="14360"/>
    <cellStyle name="40% - 강조색3 3 2 5 5" xfId="14361"/>
    <cellStyle name="40% - 강조색3 3 2 6" xfId="14362"/>
    <cellStyle name="40% - 강조색3 3 2 6 2" xfId="14363"/>
    <cellStyle name="40% - 강조색3 3 2 6 2 2" xfId="14364"/>
    <cellStyle name="40% - 강조색3 3 2 6 2 2 2" xfId="14365"/>
    <cellStyle name="40% - 강조색3 3 2 6 2 2 3" xfId="14366"/>
    <cellStyle name="40% - 강조색3 3 2 6 2 3" xfId="14367"/>
    <cellStyle name="40% - 강조색3 3 2 6 2 4" xfId="14368"/>
    <cellStyle name="40% - 강조색3 3 2 6 3" xfId="14369"/>
    <cellStyle name="40% - 강조색3 3 2 6 3 2" xfId="14370"/>
    <cellStyle name="40% - 강조색3 3 2 6 3 3" xfId="14371"/>
    <cellStyle name="40% - 강조색3 3 2 6 4" xfId="14372"/>
    <cellStyle name="40% - 강조색3 3 2 6 5" xfId="14373"/>
    <cellStyle name="40% - 강조색3 3 2 7" xfId="14374"/>
    <cellStyle name="40% - 강조색3 3 2 7 2" xfId="14375"/>
    <cellStyle name="40% - 강조색3 3 2 7 2 2" xfId="14376"/>
    <cellStyle name="40% - 강조색3 3 2 7 2 3" xfId="14377"/>
    <cellStyle name="40% - 강조색3 3 2 7 3" xfId="14378"/>
    <cellStyle name="40% - 강조색3 3 2 7 4" xfId="14379"/>
    <cellStyle name="40% - 강조색3 3 2 8" xfId="14380"/>
    <cellStyle name="40% - 강조색3 3 2 8 2" xfId="14381"/>
    <cellStyle name="40% - 강조색3 3 2 8 3" xfId="14382"/>
    <cellStyle name="40% - 강조색3 3 2 9" xfId="14383"/>
    <cellStyle name="40% - 강조색3 3 3" xfId="14384"/>
    <cellStyle name="40% - 강조색3 3 3 10" xfId="14385"/>
    <cellStyle name="40% - 강조색3 3 3 11" xfId="14386"/>
    <cellStyle name="40% - 강조색3 3 3 12" xfId="14387"/>
    <cellStyle name="40% - 강조색3 3 3 2" xfId="14388"/>
    <cellStyle name="40% - 강조색3 3 3 2 2" xfId="14389"/>
    <cellStyle name="40% - 강조색3 3 3 2 2 2" xfId="14390"/>
    <cellStyle name="40% - 강조색3 3 3 2 2 2 2" xfId="14391"/>
    <cellStyle name="40% - 강조색3 3 3 2 2 2 2 2" xfId="14392"/>
    <cellStyle name="40% - 강조색3 3 3 2 2 2 2 3" xfId="14393"/>
    <cellStyle name="40% - 강조색3 3 3 2 2 2 3" xfId="14394"/>
    <cellStyle name="40% - 강조색3 3 3 2 2 2 4" xfId="14395"/>
    <cellStyle name="40% - 강조색3 3 3 2 2 3" xfId="14396"/>
    <cellStyle name="40% - 강조색3 3 3 2 2 3 2" xfId="14397"/>
    <cellStyle name="40% - 강조색3 3 3 2 2 3 3" xfId="14398"/>
    <cellStyle name="40% - 강조색3 3 3 2 2 4" xfId="14399"/>
    <cellStyle name="40% - 강조색3 3 3 2 2 5" xfId="14400"/>
    <cellStyle name="40% - 강조색3 3 3 2 3" xfId="14401"/>
    <cellStyle name="40% - 강조색3 3 3 2 3 2" xfId="14402"/>
    <cellStyle name="40% - 강조색3 3 3 2 3 2 2" xfId="14403"/>
    <cellStyle name="40% - 강조색3 3 3 2 3 2 2 2" xfId="14404"/>
    <cellStyle name="40% - 강조색3 3 3 2 3 2 2 3" xfId="14405"/>
    <cellStyle name="40% - 강조색3 3 3 2 3 2 3" xfId="14406"/>
    <cellStyle name="40% - 강조색3 3 3 2 3 2 4" xfId="14407"/>
    <cellStyle name="40% - 강조색3 3 3 2 3 3" xfId="14408"/>
    <cellStyle name="40% - 강조색3 3 3 2 3 3 2" xfId="14409"/>
    <cellStyle name="40% - 강조색3 3 3 2 3 3 3" xfId="14410"/>
    <cellStyle name="40% - 강조색3 3 3 2 3 4" xfId="14411"/>
    <cellStyle name="40% - 강조색3 3 3 2 3 5" xfId="14412"/>
    <cellStyle name="40% - 강조색3 3 3 2 4" xfId="14413"/>
    <cellStyle name="40% - 강조색3 3 3 2 4 2" xfId="14414"/>
    <cellStyle name="40% - 강조색3 3 3 2 4 2 2" xfId="14415"/>
    <cellStyle name="40% - 강조색3 3 3 2 4 2 3" xfId="14416"/>
    <cellStyle name="40% - 강조색3 3 3 2 4 3" xfId="14417"/>
    <cellStyle name="40% - 강조색3 3 3 2 4 4" xfId="14418"/>
    <cellStyle name="40% - 강조색3 3 3 2 5" xfId="14419"/>
    <cellStyle name="40% - 강조색3 3 3 2 5 2" xfId="14420"/>
    <cellStyle name="40% - 강조색3 3 3 2 5 3" xfId="14421"/>
    <cellStyle name="40% - 강조색3 3 3 2 6" xfId="14422"/>
    <cellStyle name="40% - 강조색3 3 3 2 7" xfId="14423"/>
    <cellStyle name="40% - 강조색3 3 3 2 8" xfId="14424"/>
    <cellStyle name="40% - 강조색3 3 3 2 9" xfId="14425"/>
    <cellStyle name="40% - 강조색3 3 3 3" xfId="14426"/>
    <cellStyle name="40% - 강조색3 3 3 3 2" xfId="14427"/>
    <cellStyle name="40% - 강조색3 3 3 3 2 2" xfId="14428"/>
    <cellStyle name="40% - 강조색3 3 3 3 2 2 2" xfId="14429"/>
    <cellStyle name="40% - 강조색3 3 3 3 2 2 2 2" xfId="14430"/>
    <cellStyle name="40% - 강조색3 3 3 3 2 2 2 3" xfId="14431"/>
    <cellStyle name="40% - 강조색3 3 3 3 2 2 3" xfId="14432"/>
    <cellStyle name="40% - 강조색3 3 3 3 2 2 4" xfId="14433"/>
    <cellStyle name="40% - 강조색3 3 3 3 2 3" xfId="14434"/>
    <cellStyle name="40% - 강조색3 3 3 3 2 3 2" xfId="14435"/>
    <cellStyle name="40% - 강조색3 3 3 3 2 3 3" xfId="14436"/>
    <cellStyle name="40% - 강조색3 3 3 3 2 4" xfId="14437"/>
    <cellStyle name="40% - 강조색3 3 3 3 2 5" xfId="14438"/>
    <cellStyle name="40% - 강조색3 3 3 3 3" xfId="14439"/>
    <cellStyle name="40% - 강조색3 3 3 3 3 2" xfId="14440"/>
    <cellStyle name="40% - 강조색3 3 3 3 3 2 2" xfId="14441"/>
    <cellStyle name="40% - 강조색3 3 3 3 3 2 2 2" xfId="14442"/>
    <cellStyle name="40% - 강조색3 3 3 3 3 2 2 3" xfId="14443"/>
    <cellStyle name="40% - 강조색3 3 3 3 3 2 3" xfId="14444"/>
    <cellStyle name="40% - 강조색3 3 3 3 3 2 4" xfId="14445"/>
    <cellStyle name="40% - 강조색3 3 3 3 3 3" xfId="14446"/>
    <cellStyle name="40% - 강조색3 3 3 3 3 3 2" xfId="14447"/>
    <cellStyle name="40% - 강조색3 3 3 3 3 3 3" xfId="14448"/>
    <cellStyle name="40% - 강조색3 3 3 3 3 4" xfId="14449"/>
    <cellStyle name="40% - 강조색3 3 3 3 3 5" xfId="14450"/>
    <cellStyle name="40% - 강조색3 3 3 3 4" xfId="14451"/>
    <cellStyle name="40% - 강조색3 3 3 3 4 2" xfId="14452"/>
    <cellStyle name="40% - 강조색3 3 3 3 4 2 2" xfId="14453"/>
    <cellStyle name="40% - 강조색3 3 3 3 4 2 3" xfId="14454"/>
    <cellStyle name="40% - 강조색3 3 3 3 4 3" xfId="14455"/>
    <cellStyle name="40% - 강조색3 3 3 3 4 4" xfId="14456"/>
    <cellStyle name="40% - 강조색3 3 3 3 5" xfId="14457"/>
    <cellStyle name="40% - 강조색3 3 3 3 5 2" xfId="14458"/>
    <cellStyle name="40% - 강조색3 3 3 3 5 3" xfId="14459"/>
    <cellStyle name="40% - 강조색3 3 3 3 6" xfId="14460"/>
    <cellStyle name="40% - 강조색3 3 3 3 7" xfId="14461"/>
    <cellStyle name="40% - 강조색3 3 3 4" xfId="14462"/>
    <cellStyle name="40% - 강조색3 3 3 4 2" xfId="14463"/>
    <cellStyle name="40% - 강조색3 3 3 4 2 2" xfId="14464"/>
    <cellStyle name="40% - 강조색3 3 3 4 2 2 2" xfId="14465"/>
    <cellStyle name="40% - 강조색3 3 3 4 2 2 3" xfId="14466"/>
    <cellStyle name="40% - 강조색3 3 3 4 2 3" xfId="14467"/>
    <cellStyle name="40% - 강조색3 3 3 4 2 4" xfId="14468"/>
    <cellStyle name="40% - 강조색3 3 3 4 3" xfId="14469"/>
    <cellStyle name="40% - 강조색3 3 3 4 3 2" xfId="14470"/>
    <cellStyle name="40% - 강조색3 3 3 4 3 3" xfId="14471"/>
    <cellStyle name="40% - 강조색3 3 3 4 4" xfId="14472"/>
    <cellStyle name="40% - 강조색3 3 3 4 5" xfId="14473"/>
    <cellStyle name="40% - 강조색3 3 3 5" xfId="14474"/>
    <cellStyle name="40% - 강조색3 3 3 5 2" xfId="14475"/>
    <cellStyle name="40% - 강조색3 3 3 5 2 2" xfId="14476"/>
    <cellStyle name="40% - 강조색3 3 3 5 2 2 2" xfId="14477"/>
    <cellStyle name="40% - 강조색3 3 3 5 2 2 3" xfId="14478"/>
    <cellStyle name="40% - 강조색3 3 3 5 2 3" xfId="14479"/>
    <cellStyle name="40% - 강조색3 3 3 5 2 4" xfId="14480"/>
    <cellStyle name="40% - 강조색3 3 3 5 3" xfId="14481"/>
    <cellStyle name="40% - 강조색3 3 3 5 3 2" xfId="14482"/>
    <cellStyle name="40% - 강조색3 3 3 5 3 3" xfId="14483"/>
    <cellStyle name="40% - 강조색3 3 3 5 4" xfId="14484"/>
    <cellStyle name="40% - 강조색3 3 3 5 5" xfId="14485"/>
    <cellStyle name="40% - 강조색3 3 3 6" xfId="14486"/>
    <cellStyle name="40% - 강조색3 3 3 6 2" xfId="14487"/>
    <cellStyle name="40% - 강조색3 3 3 6 2 2" xfId="14488"/>
    <cellStyle name="40% - 강조색3 3 3 6 2 2 2" xfId="14489"/>
    <cellStyle name="40% - 강조색3 3 3 6 2 2 3" xfId="14490"/>
    <cellStyle name="40% - 강조색3 3 3 6 2 3" xfId="14491"/>
    <cellStyle name="40% - 강조색3 3 3 6 2 4" xfId="14492"/>
    <cellStyle name="40% - 강조색3 3 3 6 3" xfId="14493"/>
    <cellStyle name="40% - 강조색3 3 3 6 3 2" xfId="14494"/>
    <cellStyle name="40% - 강조색3 3 3 6 3 3" xfId="14495"/>
    <cellStyle name="40% - 강조색3 3 3 6 4" xfId="14496"/>
    <cellStyle name="40% - 강조색3 3 3 6 5" xfId="14497"/>
    <cellStyle name="40% - 강조색3 3 3 7" xfId="14498"/>
    <cellStyle name="40% - 강조색3 3 3 7 2" xfId="14499"/>
    <cellStyle name="40% - 강조색3 3 3 7 2 2" xfId="14500"/>
    <cellStyle name="40% - 강조색3 3 3 7 2 3" xfId="14501"/>
    <cellStyle name="40% - 강조색3 3 3 7 3" xfId="14502"/>
    <cellStyle name="40% - 강조색3 3 3 7 4" xfId="14503"/>
    <cellStyle name="40% - 강조색3 3 3 8" xfId="14504"/>
    <cellStyle name="40% - 강조색3 3 3 8 2" xfId="14505"/>
    <cellStyle name="40% - 강조색3 3 3 8 3" xfId="14506"/>
    <cellStyle name="40% - 강조색3 3 3 9" xfId="14507"/>
    <cellStyle name="40% - 강조색3 3 4" xfId="14508"/>
    <cellStyle name="40% - 강조색3 3 4 10" xfId="14509"/>
    <cellStyle name="40% - 강조색3 3 4 11" xfId="14510"/>
    <cellStyle name="40% - 강조색3 3 4 12" xfId="14511"/>
    <cellStyle name="40% - 강조색3 3 4 2" xfId="14512"/>
    <cellStyle name="40% - 강조색3 3 4 2 2" xfId="14513"/>
    <cellStyle name="40% - 강조색3 3 4 2 2 2" xfId="14514"/>
    <cellStyle name="40% - 강조색3 3 4 2 2 2 2" xfId="14515"/>
    <cellStyle name="40% - 강조색3 3 4 2 2 2 2 2" xfId="14516"/>
    <cellStyle name="40% - 강조색3 3 4 2 2 2 2 3" xfId="14517"/>
    <cellStyle name="40% - 강조색3 3 4 2 2 2 3" xfId="14518"/>
    <cellStyle name="40% - 강조색3 3 4 2 2 2 4" xfId="14519"/>
    <cellStyle name="40% - 강조색3 3 4 2 2 3" xfId="14520"/>
    <cellStyle name="40% - 강조색3 3 4 2 2 3 2" xfId="14521"/>
    <cellStyle name="40% - 강조색3 3 4 2 2 3 3" xfId="14522"/>
    <cellStyle name="40% - 강조색3 3 4 2 2 4" xfId="14523"/>
    <cellStyle name="40% - 강조색3 3 4 2 2 5" xfId="14524"/>
    <cellStyle name="40% - 강조색3 3 4 2 3" xfId="14525"/>
    <cellStyle name="40% - 강조색3 3 4 2 3 2" xfId="14526"/>
    <cellStyle name="40% - 강조색3 3 4 2 3 2 2" xfId="14527"/>
    <cellStyle name="40% - 강조색3 3 4 2 3 2 2 2" xfId="14528"/>
    <cellStyle name="40% - 강조색3 3 4 2 3 2 2 3" xfId="14529"/>
    <cellStyle name="40% - 강조색3 3 4 2 3 2 3" xfId="14530"/>
    <cellStyle name="40% - 강조색3 3 4 2 3 2 4" xfId="14531"/>
    <cellStyle name="40% - 강조색3 3 4 2 3 3" xfId="14532"/>
    <cellStyle name="40% - 강조색3 3 4 2 3 3 2" xfId="14533"/>
    <cellStyle name="40% - 강조색3 3 4 2 3 3 3" xfId="14534"/>
    <cellStyle name="40% - 강조색3 3 4 2 3 4" xfId="14535"/>
    <cellStyle name="40% - 강조색3 3 4 2 3 5" xfId="14536"/>
    <cellStyle name="40% - 강조색3 3 4 2 4" xfId="14537"/>
    <cellStyle name="40% - 강조색3 3 4 2 4 2" xfId="14538"/>
    <cellStyle name="40% - 강조색3 3 4 2 4 2 2" xfId="14539"/>
    <cellStyle name="40% - 강조색3 3 4 2 4 2 3" xfId="14540"/>
    <cellStyle name="40% - 강조색3 3 4 2 4 3" xfId="14541"/>
    <cellStyle name="40% - 강조색3 3 4 2 4 4" xfId="14542"/>
    <cellStyle name="40% - 강조색3 3 4 2 5" xfId="14543"/>
    <cellStyle name="40% - 강조색3 3 4 2 5 2" xfId="14544"/>
    <cellStyle name="40% - 강조색3 3 4 2 5 3" xfId="14545"/>
    <cellStyle name="40% - 강조색3 3 4 2 6" xfId="14546"/>
    <cellStyle name="40% - 강조색3 3 4 2 7" xfId="14547"/>
    <cellStyle name="40% - 강조색3 3 4 3" xfId="14548"/>
    <cellStyle name="40% - 강조색3 3 4 3 2" xfId="14549"/>
    <cellStyle name="40% - 강조색3 3 4 3 2 2" xfId="14550"/>
    <cellStyle name="40% - 강조색3 3 4 3 2 2 2" xfId="14551"/>
    <cellStyle name="40% - 강조색3 3 4 3 2 2 2 2" xfId="14552"/>
    <cellStyle name="40% - 강조색3 3 4 3 2 2 2 3" xfId="14553"/>
    <cellStyle name="40% - 강조색3 3 4 3 2 2 3" xfId="14554"/>
    <cellStyle name="40% - 강조색3 3 4 3 2 2 4" xfId="14555"/>
    <cellStyle name="40% - 강조색3 3 4 3 2 3" xfId="14556"/>
    <cellStyle name="40% - 강조색3 3 4 3 2 3 2" xfId="14557"/>
    <cellStyle name="40% - 강조색3 3 4 3 2 3 3" xfId="14558"/>
    <cellStyle name="40% - 강조색3 3 4 3 2 4" xfId="14559"/>
    <cellStyle name="40% - 강조색3 3 4 3 2 5" xfId="14560"/>
    <cellStyle name="40% - 강조색3 3 4 3 3" xfId="14561"/>
    <cellStyle name="40% - 강조색3 3 4 3 3 2" xfId="14562"/>
    <cellStyle name="40% - 강조색3 3 4 3 3 2 2" xfId="14563"/>
    <cellStyle name="40% - 강조색3 3 4 3 3 2 2 2" xfId="14564"/>
    <cellStyle name="40% - 강조색3 3 4 3 3 2 2 3" xfId="14565"/>
    <cellStyle name="40% - 강조색3 3 4 3 3 2 3" xfId="14566"/>
    <cellStyle name="40% - 강조색3 3 4 3 3 2 4" xfId="14567"/>
    <cellStyle name="40% - 강조색3 3 4 3 3 3" xfId="14568"/>
    <cellStyle name="40% - 강조색3 3 4 3 3 3 2" xfId="14569"/>
    <cellStyle name="40% - 강조색3 3 4 3 3 3 3" xfId="14570"/>
    <cellStyle name="40% - 강조색3 3 4 3 3 4" xfId="14571"/>
    <cellStyle name="40% - 강조색3 3 4 3 3 5" xfId="14572"/>
    <cellStyle name="40% - 강조색3 3 4 3 4" xfId="14573"/>
    <cellStyle name="40% - 강조색3 3 4 3 4 2" xfId="14574"/>
    <cellStyle name="40% - 강조색3 3 4 3 4 2 2" xfId="14575"/>
    <cellStyle name="40% - 강조색3 3 4 3 4 2 3" xfId="14576"/>
    <cellStyle name="40% - 강조색3 3 4 3 4 3" xfId="14577"/>
    <cellStyle name="40% - 강조색3 3 4 3 4 4" xfId="14578"/>
    <cellStyle name="40% - 강조색3 3 4 3 5" xfId="14579"/>
    <cellStyle name="40% - 강조색3 3 4 3 5 2" xfId="14580"/>
    <cellStyle name="40% - 강조색3 3 4 3 5 3" xfId="14581"/>
    <cellStyle name="40% - 강조색3 3 4 3 6" xfId="14582"/>
    <cellStyle name="40% - 강조색3 3 4 3 7" xfId="14583"/>
    <cellStyle name="40% - 강조색3 3 4 4" xfId="14584"/>
    <cellStyle name="40% - 강조색3 3 4 4 2" xfId="14585"/>
    <cellStyle name="40% - 강조색3 3 4 4 2 2" xfId="14586"/>
    <cellStyle name="40% - 강조색3 3 4 4 2 2 2" xfId="14587"/>
    <cellStyle name="40% - 강조색3 3 4 4 2 2 3" xfId="14588"/>
    <cellStyle name="40% - 강조색3 3 4 4 2 3" xfId="14589"/>
    <cellStyle name="40% - 강조색3 3 4 4 2 4" xfId="14590"/>
    <cellStyle name="40% - 강조색3 3 4 4 3" xfId="14591"/>
    <cellStyle name="40% - 강조색3 3 4 4 3 2" xfId="14592"/>
    <cellStyle name="40% - 강조색3 3 4 4 3 3" xfId="14593"/>
    <cellStyle name="40% - 강조색3 3 4 4 4" xfId="14594"/>
    <cellStyle name="40% - 강조색3 3 4 4 5" xfId="14595"/>
    <cellStyle name="40% - 강조색3 3 4 5" xfId="14596"/>
    <cellStyle name="40% - 강조색3 3 4 5 2" xfId="14597"/>
    <cellStyle name="40% - 강조색3 3 4 5 2 2" xfId="14598"/>
    <cellStyle name="40% - 강조색3 3 4 5 2 2 2" xfId="14599"/>
    <cellStyle name="40% - 강조색3 3 4 5 2 2 3" xfId="14600"/>
    <cellStyle name="40% - 강조색3 3 4 5 2 3" xfId="14601"/>
    <cellStyle name="40% - 강조색3 3 4 5 2 4" xfId="14602"/>
    <cellStyle name="40% - 강조색3 3 4 5 3" xfId="14603"/>
    <cellStyle name="40% - 강조색3 3 4 5 3 2" xfId="14604"/>
    <cellStyle name="40% - 강조색3 3 4 5 3 3" xfId="14605"/>
    <cellStyle name="40% - 강조색3 3 4 5 4" xfId="14606"/>
    <cellStyle name="40% - 강조색3 3 4 5 5" xfId="14607"/>
    <cellStyle name="40% - 강조색3 3 4 6" xfId="14608"/>
    <cellStyle name="40% - 강조색3 3 4 6 2" xfId="14609"/>
    <cellStyle name="40% - 강조색3 3 4 6 2 2" xfId="14610"/>
    <cellStyle name="40% - 강조색3 3 4 6 2 2 2" xfId="14611"/>
    <cellStyle name="40% - 강조색3 3 4 6 2 2 3" xfId="14612"/>
    <cellStyle name="40% - 강조색3 3 4 6 2 3" xfId="14613"/>
    <cellStyle name="40% - 강조색3 3 4 6 2 4" xfId="14614"/>
    <cellStyle name="40% - 강조색3 3 4 6 3" xfId="14615"/>
    <cellStyle name="40% - 강조색3 3 4 6 3 2" xfId="14616"/>
    <cellStyle name="40% - 강조색3 3 4 6 3 3" xfId="14617"/>
    <cellStyle name="40% - 강조색3 3 4 6 4" xfId="14618"/>
    <cellStyle name="40% - 강조색3 3 4 6 5" xfId="14619"/>
    <cellStyle name="40% - 강조색3 3 4 7" xfId="14620"/>
    <cellStyle name="40% - 강조색3 3 4 7 2" xfId="14621"/>
    <cellStyle name="40% - 강조색3 3 4 7 2 2" xfId="14622"/>
    <cellStyle name="40% - 강조색3 3 4 7 2 3" xfId="14623"/>
    <cellStyle name="40% - 강조색3 3 4 7 3" xfId="14624"/>
    <cellStyle name="40% - 강조색3 3 4 7 4" xfId="14625"/>
    <cellStyle name="40% - 강조색3 3 4 8" xfId="14626"/>
    <cellStyle name="40% - 강조색3 3 4 8 2" xfId="14627"/>
    <cellStyle name="40% - 강조색3 3 4 8 3" xfId="14628"/>
    <cellStyle name="40% - 강조색3 3 4 9" xfId="14629"/>
    <cellStyle name="40% - 강조색3 3 5" xfId="14630"/>
    <cellStyle name="40% - 강조색3 3 5 2" xfId="14631"/>
    <cellStyle name="40% - 강조색3 3 5 2 2" xfId="14632"/>
    <cellStyle name="40% - 강조색3 3 5 2 2 2" xfId="14633"/>
    <cellStyle name="40% - 강조색3 3 5 2 2 2 2" xfId="14634"/>
    <cellStyle name="40% - 강조색3 3 5 2 2 2 3" xfId="14635"/>
    <cellStyle name="40% - 강조색3 3 5 2 2 3" xfId="14636"/>
    <cellStyle name="40% - 강조색3 3 5 2 2 4" xfId="14637"/>
    <cellStyle name="40% - 강조색3 3 5 2 3" xfId="14638"/>
    <cellStyle name="40% - 강조색3 3 5 2 3 2" xfId="14639"/>
    <cellStyle name="40% - 강조색3 3 5 2 3 3" xfId="14640"/>
    <cellStyle name="40% - 강조색3 3 5 2 4" xfId="14641"/>
    <cellStyle name="40% - 강조색3 3 5 2 5" xfId="14642"/>
    <cellStyle name="40% - 강조색3 3 5 3" xfId="14643"/>
    <cellStyle name="40% - 강조색3 3 5 3 2" xfId="14644"/>
    <cellStyle name="40% - 강조색3 3 5 3 2 2" xfId="14645"/>
    <cellStyle name="40% - 강조색3 3 5 3 2 2 2" xfId="14646"/>
    <cellStyle name="40% - 강조색3 3 5 3 2 2 3" xfId="14647"/>
    <cellStyle name="40% - 강조색3 3 5 3 2 3" xfId="14648"/>
    <cellStyle name="40% - 강조색3 3 5 3 2 4" xfId="14649"/>
    <cellStyle name="40% - 강조색3 3 5 3 3" xfId="14650"/>
    <cellStyle name="40% - 강조색3 3 5 3 3 2" xfId="14651"/>
    <cellStyle name="40% - 강조색3 3 5 3 3 3" xfId="14652"/>
    <cellStyle name="40% - 강조색3 3 5 3 4" xfId="14653"/>
    <cellStyle name="40% - 강조색3 3 5 3 5" xfId="14654"/>
    <cellStyle name="40% - 강조색3 3 5 4" xfId="14655"/>
    <cellStyle name="40% - 강조색3 3 5 4 2" xfId="14656"/>
    <cellStyle name="40% - 강조색3 3 5 4 2 2" xfId="14657"/>
    <cellStyle name="40% - 강조색3 3 5 4 2 3" xfId="14658"/>
    <cellStyle name="40% - 강조색3 3 5 4 3" xfId="14659"/>
    <cellStyle name="40% - 강조색3 3 5 4 4" xfId="14660"/>
    <cellStyle name="40% - 강조색3 3 5 5" xfId="14661"/>
    <cellStyle name="40% - 강조색3 3 5 5 2" xfId="14662"/>
    <cellStyle name="40% - 강조색3 3 5 5 3" xfId="14663"/>
    <cellStyle name="40% - 강조색3 3 5 6" xfId="14664"/>
    <cellStyle name="40% - 강조색3 3 5 7" xfId="14665"/>
    <cellStyle name="40% - 강조색3 3 5 8" xfId="14666"/>
    <cellStyle name="40% - 강조색3 3 6" xfId="14667"/>
    <cellStyle name="40% - 강조색3 3 6 2" xfId="14668"/>
    <cellStyle name="40% - 강조색3 3 6 2 2" xfId="14669"/>
    <cellStyle name="40% - 강조색3 3 6 2 2 2" xfId="14670"/>
    <cellStyle name="40% - 강조색3 3 6 2 2 2 2" xfId="14671"/>
    <cellStyle name="40% - 강조색3 3 6 2 2 2 3" xfId="14672"/>
    <cellStyle name="40% - 강조색3 3 6 2 2 3" xfId="14673"/>
    <cellStyle name="40% - 강조색3 3 6 2 2 4" xfId="14674"/>
    <cellStyle name="40% - 강조색3 3 6 2 3" xfId="14675"/>
    <cellStyle name="40% - 강조색3 3 6 2 3 2" xfId="14676"/>
    <cellStyle name="40% - 강조색3 3 6 2 3 3" xfId="14677"/>
    <cellStyle name="40% - 강조색3 3 6 2 4" xfId="14678"/>
    <cellStyle name="40% - 강조색3 3 6 2 5" xfId="14679"/>
    <cellStyle name="40% - 강조색3 3 6 3" xfId="14680"/>
    <cellStyle name="40% - 강조색3 3 6 3 2" xfId="14681"/>
    <cellStyle name="40% - 강조색3 3 6 3 2 2" xfId="14682"/>
    <cellStyle name="40% - 강조색3 3 6 3 2 2 2" xfId="14683"/>
    <cellStyle name="40% - 강조색3 3 6 3 2 2 3" xfId="14684"/>
    <cellStyle name="40% - 강조색3 3 6 3 2 3" xfId="14685"/>
    <cellStyle name="40% - 강조색3 3 6 3 2 4" xfId="14686"/>
    <cellStyle name="40% - 강조색3 3 6 3 3" xfId="14687"/>
    <cellStyle name="40% - 강조색3 3 6 3 3 2" xfId="14688"/>
    <cellStyle name="40% - 강조색3 3 6 3 3 3" xfId="14689"/>
    <cellStyle name="40% - 강조색3 3 6 3 4" xfId="14690"/>
    <cellStyle name="40% - 강조색3 3 6 3 5" xfId="14691"/>
    <cellStyle name="40% - 강조색3 3 6 4" xfId="14692"/>
    <cellStyle name="40% - 강조색3 3 6 4 2" xfId="14693"/>
    <cellStyle name="40% - 강조색3 3 6 4 2 2" xfId="14694"/>
    <cellStyle name="40% - 강조색3 3 6 4 2 3" xfId="14695"/>
    <cellStyle name="40% - 강조색3 3 6 4 3" xfId="14696"/>
    <cellStyle name="40% - 강조색3 3 6 4 4" xfId="14697"/>
    <cellStyle name="40% - 강조색3 3 6 5" xfId="14698"/>
    <cellStyle name="40% - 강조색3 3 6 5 2" xfId="14699"/>
    <cellStyle name="40% - 강조색3 3 6 5 3" xfId="14700"/>
    <cellStyle name="40% - 강조색3 3 6 6" xfId="14701"/>
    <cellStyle name="40% - 강조색3 3 6 7" xfId="14702"/>
    <cellStyle name="40% - 강조색3 3 7" xfId="14703"/>
    <cellStyle name="40% - 강조색3 3 7 2" xfId="14704"/>
    <cellStyle name="40% - 강조색3 3 7 2 2" xfId="14705"/>
    <cellStyle name="40% - 강조색3 3 7 2 2 2" xfId="14706"/>
    <cellStyle name="40% - 강조색3 3 7 2 2 3" xfId="14707"/>
    <cellStyle name="40% - 강조색3 3 7 2 3" xfId="14708"/>
    <cellStyle name="40% - 강조색3 3 7 2 4" xfId="14709"/>
    <cellStyle name="40% - 강조색3 3 7 3" xfId="14710"/>
    <cellStyle name="40% - 강조색3 3 7 3 2" xfId="14711"/>
    <cellStyle name="40% - 강조색3 3 7 3 3" xfId="14712"/>
    <cellStyle name="40% - 강조색3 3 7 4" xfId="14713"/>
    <cellStyle name="40% - 강조색3 3 7 5" xfId="14714"/>
    <cellStyle name="40% - 강조색3 3 8" xfId="14715"/>
    <cellStyle name="40% - 강조색3 3 8 2" xfId="14716"/>
    <cellStyle name="40% - 강조색3 3 8 2 2" xfId="14717"/>
    <cellStyle name="40% - 강조색3 3 8 2 2 2" xfId="14718"/>
    <cellStyle name="40% - 강조색3 3 8 2 2 3" xfId="14719"/>
    <cellStyle name="40% - 강조색3 3 8 2 3" xfId="14720"/>
    <cellStyle name="40% - 강조색3 3 8 2 4" xfId="14721"/>
    <cellStyle name="40% - 강조색3 3 8 3" xfId="14722"/>
    <cellStyle name="40% - 강조색3 3 8 3 2" xfId="14723"/>
    <cellStyle name="40% - 강조색3 3 8 3 3" xfId="14724"/>
    <cellStyle name="40% - 강조색3 3 8 4" xfId="14725"/>
    <cellStyle name="40% - 강조색3 3 8 5" xfId="14726"/>
    <cellStyle name="40% - 강조색3 3 9" xfId="14727"/>
    <cellStyle name="40% - 강조색3 3 9 2" xfId="14728"/>
    <cellStyle name="40% - 강조색3 3 9 2 2" xfId="14729"/>
    <cellStyle name="40% - 강조색3 3 9 2 2 2" xfId="14730"/>
    <cellStyle name="40% - 강조색3 3 9 2 2 3" xfId="14731"/>
    <cellStyle name="40% - 강조색3 3 9 2 3" xfId="14732"/>
    <cellStyle name="40% - 강조색3 3 9 2 4" xfId="14733"/>
    <cellStyle name="40% - 강조색3 3 9 3" xfId="14734"/>
    <cellStyle name="40% - 강조색3 3 9 3 2" xfId="14735"/>
    <cellStyle name="40% - 강조색3 3 9 3 3" xfId="14736"/>
    <cellStyle name="40% - 강조색3 3 9 4" xfId="14737"/>
    <cellStyle name="40% - 강조색3 3 9 5" xfId="14738"/>
    <cellStyle name="40% - 강조색3 30" xfId="14739"/>
    <cellStyle name="40% - 강조색3 30 2" xfId="14740"/>
    <cellStyle name="40% - 강조색3 31" xfId="14741"/>
    <cellStyle name="40% - 강조색3 31 2" xfId="14742"/>
    <cellStyle name="40% - 강조색3 32" xfId="14743"/>
    <cellStyle name="40% - 강조색3 32 2" xfId="14744"/>
    <cellStyle name="40% - 강조색3 33" xfId="14745"/>
    <cellStyle name="40% - 강조색3 33 2" xfId="14746"/>
    <cellStyle name="40% - 강조색3 34" xfId="14747"/>
    <cellStyle name="40% - 강조색3 34 2" xfId="14748"/>
    <cellStyle name="40% - 강조색3 35" xfId="14749"/>
    <cellStyle name="40% - 강조색3 36" xfId="14750"/>
    <cellStyle name="40% - 강조색3 37" xfId="14751"/>
    <cellStyle name="40% - 강조색3 38" xfId="14752"/>
    <cellStyle name="40% - 강조색3 39" xfId="14753"/>
    <cellStyle name="40% - 강조색3 4" xfId="14754"/>
    <cellStyle name="40% - 강조색3 4 10" xfId="14755"/>
    <cellStyle name="40% - 강조색3 4 10 2" xfId="14756"/>
    <cellStyle name="40% - 강조색3 4 10 2 2" xfId="14757"/>
    <cellStyle name="40% - 강조색3 4 10 2 3" xfId="14758"/>
    <cellStyle name="40% - 강조색3 4 10 3" xfId="14759"/>
    <cellStyle name="40% - 강조색3 4 10 4" xfId="14760"/>
    <cellStyle name="40% - 강조색3 4 11" xfId="14761"/>
    <cellStyle name="40% - 강조색3 4 11 2" xfId="14762"/>
    <cellStyle name="40% - 강조색3 4 11 3" xfId="14763"/>
    <cellStyle name="40% - 강조색3 4 12" xfId="14764"/>
    <cellStyle name="40% - 강조색3 4 13" xfId="14765"/>
    <cellStyle name="40% - 강조색3 4 14" xfId="14766"/>
    <cellStyle name="40% - 강조색3 4 2" xfId="14767"/>
    <cellStyle name="40% - 강조색3 4 2 10" xfId="14768"/>
    <cellStyle name="40% - 강조색3 4 2 2" xfId="14769"/>
    <cellStyle name="40% - 강조색3 4 2 2 2" xfId="14770"/>
    <cellStyle name="40% - 강조색3 4 2 2 2 2" xfId="14771"/>
    <cellStyle name="40% - 강조색3 4 2 2 2 2 2" xfId="14772"/>
    <cellStyle name="40% - 강조색3 4 2 2 2 2 2 2" xfId="14773"/>
    <cellStyle name="40% - 강조색3 4 2 2 2 2 2 3" xfId="14774"/>
    <cellStyle name="40% - 강조색3 4 2 2 2 2 3" xfId="14775"/>
    <cellStyle name="40% - 강조색3 4 2 2 2 2 4" xfId="14776"/>
    <cellStyle name="40% - 강조색3 4 2 2 2 3" xfId="14777"/>
    <cellStyle name="40% - 강조색3 4 2 2 2 3 2" xfId="14778"/>
    <cellStyle name="40% - 강조색3 4 2 2 2 3 3" xfId="14779"/>
    <cellStyle name="40% - 강조색3 4 2 2 2 4" xfId="14780"/>
    <cellStyle name="40% - 강조색3 4 2 2 2 5" xfId="14781"/>
    <cellStyle name="40% - 강조색3 4 2 2 3" xfId="14782"/>
    <cellStyle name="40% - 강조색3 4 2 2 3 2" xfId="14783"/>
    <cellStyle name="40% - 강조색3 4 2 2 3 2 2" xfId="14784"/>
    <cellStyle name="40% - 강조색3 4 2 2 3 2 2 2" xfId="14785"/>
    <cellStyle name="40% - 강조색3 4 2 2 3 2 2 3" xfId="14786"/>
    <cellStyle name="40% - 강조색3 4 2 2 3 2 3" xfId="14787"/>
    <cellStyle name="40% - 강조색3 4 2 2 3 2 4" xfId="14788"/>
    <cellStyle name="40% - 강조색3 4 2 2 3 3" xfId="14789"/>
    <cellStyle name="40% - 강조색3 4 2 2 3 3 2" xfId="14790"/>
    <cellStyle name="40% - 강조색3 4 2 2 3 3 3" xfId="14791"/>
    <cellStyle name="40% - 강조색3 4 2 2 3 4" xfId="14792"/>
    <cellStyle name="40% - 강조색3 4 2 2 3 5" xfId="14793"/>
    <cellStyle name="40% - 강조색3 4 2 2 4" xfId="14794"/>
    <cellStyle name="40% - 강조색3 4 2 2 4 2" xfId="14795"/>
    <cellStyle name="40% - 강조색3 4 2 2 4 2 2" xfId="14796"/>
    <cellStyle name="40% - 강조색3 4 2 2 4 2 3" xfId="14797"/>
    <cellStyle name="40% - 강조색3 4 2 2 4 3" xfId="14798"/>
    <cellStyle name="40% - 강조색3 4 2 2 4 4" xfId="14799"/>
    <cellStyle name="40% - 강조색3 4 2 2 5" xfId="14800"/>
    <cellStyle name="40% - 강조색3 4 2 2 5 2" xfId="14801"/>
    <cellStyle name="40% - 강조색3 4 2 2 5 3" xfId="14802"/>
    <cellStyle name="40% - 강조색3 4 2 2 6" xfId="14803"/>
    <cellStyle name="40% - 강조색3 4 2 2 7" xfId="14804"/>
    <cellStyle name="40% - 강조색3 4 2 3" xfId="14805"/>
    <cellStyle name="40% - 강조색3 4 2 3 2" xfId="14806"/>
    <cellStyle name="40% - 강조색3 4 2 3 2 2" xfId="14807"/>
    <cellStyle name="40% - 강조색3 4 2 3 2 2 2" xfId="14808"/>
    <cellStyle name="40% - 강조색3 4 2 3 2 2 2 2" xfId="14809"/>
    <cellStyle name="40% - 강조색3 4 2 3 2 2 2 3" xfId="14810"/>
    <cellStyle name="40% - 강조색3 4 2 3 2 2 3" xfId="14811"/>
    <cellStyle name="40% - 강조색3 4 2 3 2 2 4" xfId="14812"/>
    <cellStyle name="40% - 강조색3 4 2 3 2 3" xfId="14813"/>
    <cellStyle name="40% - 강조색3 4 2 3 2 3 2" xfId="14814"/>
    <cellStyle name="40% - 강조색3 4 2 3 2 3 3" xfId="14815"/>
    <cellStyle name="40% - 강조색3 4 2 3 2 4" xfId="14816"/>
    <cellStyle name="40% - 강조색3 4 2 3 2 5" xfId="14817"/>
    <cellStyle name="40% - 강조색3 4 2 3 3" xfId="14818"/>
    <cellStyle name="40% - 강조색3 4 2 3 3 2" xfId="14819"/>
    <cellStyle name="40% - 강조색3 4 2 3 3 2 2" xfId="14820"/>
    <cellStyle name="40% - 강조색3 4 2 3 3 2 2 2" xfId="14821"/>
    <cellStyle name="40% - 강조색3 4 2 3 3 2 2 3" xfId="14822"/>
    <cellStyle name="40% - 강조색3 4 2 3 3 2 3" xfId="14823"/>
    <cellStyle name="40% - 강조색3 4 2 3 3 2 4" xfId="14824"/>
    <cellStyle name="40% - 강조색3 4 2 3 3 3" xfId="14825"/>
    <cellStyle name="40% - 강조색3 4 2 3 3 3 2" xfId="14826"/>
    <cellStyle name="40% - 강조색3 4 2 3 3 3 3" xfId="14827"/>
    <cellStyle name="40% - 강조색3 4 2 3 3 4" xfId="14828"/>
    <cellStyle name="40% - 강조색3 4 2 3 3 5" xfId="14829"/>
    <cellStyle name="40% - 강조색3 4 2 3 4" xfId="14830"/>
    <cellStyle name="40% - 강조색3 4 2 3 4 2" xfId="14831"/>
    <cellStyle name="40% - 강조색3 4 2 3 4 2 2" xfId="14832"/>
    <cellStyle name="40% - 강조색3 4 2 3 4 2 3" xfId="14833"/>
    <cellStyle name="40% - 강조색3 4 2 3 4 3" xfId="14834"/>
    <cellStyle name="40% - 강조색3 4 2 3 4 4" xfId="14835"/>
    <cellStyle name="40% - 강조색3 4 2 3 5" xfId="14836"/>
    <cellStyle name="40% - 강조색3 4 2 3 5 2" xfId="14837"/>
    <cellStyle name="40% - 강조색3 4 2 3 5 3" xfId="14838"/>
    <cellStyle name="40% - 강조색3 4 2 3 6" xfId="14839"/>
    <cellStyle name="40% - 강조색3 4 2 3 7" xfId="14840"/>
    <cellStyle name="40% - 강조색3 4 2 4" xfId="14841"/>
    <cellStyle name="40% - 강조색3 4 2 4 2" xfId="14842"/>
    <cellStyle name="40% - 강조색3 4 2 4 2 2" xfId="14843"/>
    <cellStyle name="40% - 강조색3 4 2 4 2 2 2" xfId="14844"/>
    <cellStyle name="40% - 강조색3 4 2 4 2 2 3" xfId="14845"/>
    <cellStyle name="40% - 강조색3 4 2 4 2 3" xfId="14846"/>
    <cellStyle name="40% - 강조색3 4 2 4 2 4" xfId="14847"/>
    <cellStyle name="40% - 강조색3 4 2 4 3" xfId="14848"/>
    <cellStyle name="40% - 강조색3 4 2 4 3 2" xfId="14849"/>
    <cellStyle name="40% - 강조색3 4 2 4 3 3" xfId="14850"/>
    <cellStyle name="40% - 강조색3 4 2 4 4" xfId="14851"/>
    <cellStyle name="40% - 강조색3 4 2 4 5" xfId="14852"/>
    <cellStyle name="40% - 강조색3 4 2 5" xfId="14853"/>
    <cellStyle name="40% - 강조색3 4 2 5 2" xfId="14854"/>
    <cellStyle name="40% - 강조색3 4 2 5 2 2" xfId="14855"/>
    <cellStyle name="40% - 강조색3 4 2 5 2 2 2" xfId="14856"/>
    <cellStyle name="40% - 강조색3 4 2 5 2 2 3" xfId="14857"/>
    <cellStyle name="40% - 강조색3 4 2 5 2 3" xfId="14858"/>
    <cellStyle name="40% - 강조색3 4 2 5 2 4" xfId="14859"/>
    <cellStyle name="40% - 강조색3 4 2 5 3" xfId="14860"/>
    <cellStyle name="40% - 강조색3 4 2 5 3 2" xfId="14861"/>
    <cellStyle name="40% - 강조색3 4 2 5 3 3" xfId="14862"/>
    <cellStyle name="40% - 강조색3 4 2 5 4" xfId="14863"/>
    <cellStyle name="40% - 강조색3 4 2 5 5" xfId="14864"/>
    <cellStyle name="40% - 강조색3 4 2 6" xfId="14865"/>
    <cellStyle name="40% - 강조색3 4 2 6 2" xfId="14866"/>
    <cellStyle name="40% - 강조색3 4 2 6 2 2" xfId="14867"/>
    <cellStyle name="40% - 강조색3 4 2 6 2 2 2" xfId="14868"/>
    <cellStyle name="40% - 강조색3 4 2 6 2 2 3" xfId="14869"/>
    <cellStyle name="40% - 강조색3 4 2 6 2 3" xfId="14870"/>
    <cellStyle name="40% - 강조색3 4 2 6 2 4" xfId="14871"/>
    <cellStyle name="40% - 강조색3 4 2 6 3" xfId="14872"/>
    <cellStyle name="40% - 강조색3 4 2 6 3 2" xfId="14873"/>
    <cellStyle name="40% - 강조색3 4 2 6 3 3" xfId="14874"/>
    <cellStyle name="40% - 강조색3 4 2 6 4" xfId="14875"/>
    <cellStyle name="40% - 강조색3 4 2 6 5" xfId="14876"/>
    <cellStyle name="40% - 강조색3 4 2 7" xfId="14877"/>
    <cellStyle name="40% - 강조색3 4 2 7 2" xfId="14878"/>
    <cellStyle name="40% - 강조색3 4 2 7 2 2" xfId="14879"/>
    <cellStyle name="40% - 강조색3 4 2 7 2 3" xfId="14880"/>
    <cellStyle name="40% - 강조색3 4 2 7 3" xfId="14881"/>
    <cellStyle name="40% - 강조색3 4 2 7 4" xfId="14882"/>
    <cellStyle name="40% - 강조색3 4 2 8" xfId="14883"/>
    <cellStyle name="40% - 강조색3 4 2 8 2" xfId="14884"/>
    <cellStyle name="40% - 강조색3 4 2 8 3" xfId="14885"/>
    <cellStyle name="40% - 강조색3 4 2 9" xfId="14886"/>
    <cellStyle name="40% - 강조색3 4 3" xfId="14887"/>
    <cellStyle name="40% - 강조색3 4 3 10" xfId="14888"/>
    <cellStyle name="40% - 강조색3 4 3 2" xfId="14889"/>
    <cellStyle name="40% - 강조색3 4 3 2 2" xfId="14890"/>
    <cellStyle name="40% - 강조색3 4 3 2 2 2" xfId="14891"/>
    <cellStyle name="40% - 강조색3 4 3 2 2 2 2" xfId="14892"/>
    <cellStyle name="40% - 강조색3 4 3 2 2 2 2 2" xfId="14893"/>
    <cellStyle name="40% - 강조색3 4 3 2 2 2 2 3" xfId="14894"/>
    <cellStyle name="40% - 강조색3 4 3 2 2 2 3" xfId="14895"/>
    <cellStyle name="40% - 강조색3 4 3 2 2 2 4" xfId="14896"/>
    <cellStyle name="40% - 강조색3 4 3 2 2 3" xfId="14897"/>
    <cellStyle name="40% - 강조색3 4 3 2 2 3 2" xfId="14898"/>
    <cellStyle name="40% - 강조색3 4 3 2 2 3 3" xfId="14899"/>
    <cellStyle name="40% - 강조색3 4 3 2 2 4" xfId="14900"/>
    <cellStyle name="40% - 강조색3 4 3 2 2 5" xfId="14901"/>
    <cellStyle name="40% - 강조색3 4 3 2 3" xfId="14902"/>
    <cellStyle name="40% - 강조색3 4 3 2 3 2" xfId="14903"/>
    <cellStyle name="40% - 강조색3 4 3 2 3 2 2" xfId="14904"/>
    <cellStyle name="40% - 강조색3 4 3 2 3 2 2 2" xfId="14905"/>
    <cellStyle name="40% - 강조색3 4 3 2 3 2 2 3" xfId="14906"/>
    <cellStyle name="40% - 강조색3 4 3 2 3 2 3" xfId="14907"/>
    <cellStyle name="40% - 강조색3 4 3 2 3 2 4" xfId="14908"/>
    <cellStyle name="40% - 강조색3 4 3 2 3 3" xfId="14909"/>
    <cellStyle name="40% - 강조색3 4 3 2 3 3 2" xfId="14910"/>
    <cellStyle name="40% - 강조색3 4 3 2 3 3 3" xfId="14911"/>
    <cellStyle name="40% - 강조색3 4 3 2 3 4" xfId="14912"/>
    <cellStyle name="40% - 강조색3 4 3 2 3 5" xfId="14913"/>
    <cellStyle name="40% - 강조색3 4 3 2 4" xfId="14914"/>
    <cellStyle name="40% - 강조색3 4 3 2 4 2" xfId="14915"/>
    <cellStyle name="40% - 강조색3 4 3 2 4 2 2" xfId="14916"/>
    <cellStyle name="40% - 강조색3 4 3 2 4 2 3" xfId="14917"/>
    <cellStyle name="40% - 강조색3 4 3 2 4 3" xfId="14918"/>
    <cellStyle name="40% - 강조색3 4 3 2 4 4" xfId="14919"/>
    <cellStyle name="40% - 강조색3 4 3 2 5" xfId="14920"/>
    <cellStyle name="40% - 강조색3 4 3 2 5 2" xfId="14921"/>
    <cellStyle name="40% - 강조색3 4 3 2 5 3" xfId="14922"/>
    <cellStyle name="40% - 강조색3 4 3 2 6" xfId="14923"/>
    <cellStyle name="40% - 강조색3 4 3 2 7" xfId="14924"/>
    <cellStyle name="40% - 강조색3 4 3 3" xfId="14925"/>
    <cellStyle name="40% - 강조색3 4 3 3 2" xfId="14926"/>
    <cellStyle name="40% - 강조색3 4 3 3 2 2" xfId="14927"/>
    <cellStyle name="40% - 강조색3 4 3 3 2 2 2" xfId="14928"/>
    <cellStyle name="40% - 강조색3 4 3 3 2 2 2 2" xfId="14929"/>
    <cellStyle name="40% - 강조색3 4 3 3 2 2 2 3" xfId="14930"/>
    <cellStyle name="40% - 강조색3 4 3 3 2 2 3" xfId="14931"/>
    <cellStyle name="40% - 강조색3 4 3 3 2 2 4" xfId="14932"/>
    <cellStyle name="40% - 강조색3 4 3 3 2 3" xfId="14933"/>
    <cellStyle name="40% - 강조색3 4 3 3 2 3 2" xfId="14934"/>
    <cellStyle name="40% - 강조색3 4 3 3 2 3 3" xfId="14935"/>
    <cellStyle name="40% - 강조색3 4 3 3 2 4" xfId="14936"/>
    <cellStyle name="40% - 강조색3 4 3 3 2 5" xfId="14937"/>
    <cellStyle name="40% - 강조색3 4 3 3 3" xfId="14938"/>
    <cellStyle name="40% - 강조색3 4 3 3 3 2" xfId="14939"/>
    <cellStyle name="40% - 강조색3 4 3 3 3 2 2" xfId="14940"/>
    <cellStyle name="40% - 강조색3 4 3 3 3 2 2 2" xfId="14941"/>
    <cellStyle name="40% - 강조색3 4 3 3 3 2 2 3" xfId="14942"/>
    <cellStyle name="40% - 강조색3 4 3 3 3 2 3" xfId="14943"/>
    <cellStyle name="40% - 강조색3 4 3 3 3 2 4" xfId="14944"/>
    <cellStyle name="40% - 강조색3 4 3 3 3 3" xfId="14945"/>
    <cellStyle name="40% - 강조색3 4 3 3 3 3 2" xfId="14946"/>
    <cellStyle name="40% - 강조색3 4 3 3 3 3 3" xfId="14947"/>
    <cellStyle name="40% - 강조색3 4 3 3 3 4" xfId="14948"/>
    <cellStyle name="40% - 강조색3 4 3 3 3 5" xfId="14949"/>
    <cellStyle name="40% - 강조색3 4 3 3 4" xfId="14950"/>
    <cellStyle name="40% - 강조색3 4 3 3 4 2" xfId="14951"/>
    <cellStyle name="40% - 강조색3 4 3 3 4 2 2" xfId="14952"/>
    <cellStyle name="40% - 강조색3 4 3 3 4 2 3" xfId="14953"/>
    <cellStyle name="40% - 강조색3 4 3 3 4 3" xfId="14954"/>
    <cellStyle name="40% - 강조색3 4 3 3 4 4" xfId="14955"/>
    <cellStyle name="40% - 강조색3 4 3 3 5" xfId="14956"/>
    <cellStyle name="40% - 강조색3 4 3 3 5 2" xfId="14957"/>
    <cellStyle name="40% - 강조색3 4 3 3 5 3" xfId="14958"/>
    <cellStyle name="40% - 강조색3 4 3 3 6" xfId="14959"/>
    <cellStyle name="40% - 강조색3 4 3 3 7" xfId="14960"/>
    <cellStyle name="40% - 강조색3 4 3 4" xfId="14961"/>
    <cellStyle name="40% - 강조색3 4 3 4 2" xfId="14962"/>
    <cellStyle name="40% - 강조색3 4 3 4 2 2" xfId="14963"/>
    <cellStyle name="40% - 강조색3 4 3 4 2 2 2" xfId="14964"/>
    <cellStyle name="40% - 강조색3 4 3 4 2 2 3" xfId="14965"/>
    <cellStyle name="40% - 강조색3 4 3 4 2 3" xfId="14966"/>
    <cellStyle name="40% - 강조색3 4 3 4 2 4" xfId="14967"/>
    <cellStyle name="40% - 강조색3 4 3 4 3" xfId="14968"/>
    <cellStyle name="40% - 강조색3 4 3 4 3 2" xfId="14969"/>
    <cellStyle name="40% - 강조색3 4 3 4 3 3" xfId="14970"/>
    <cellStyle name="40% - 강조색3 4 3 4 4" xfId="14971"/>
    <cellStyle name="40% - 강조색3 4 3 4 5" xfId="14972"/>
    <cellStyle name="40% - 강조색3 4 3 5" xfId="14973"/>
    <cellStyle name="40% - 강조색3 4 3 5 2" xfId="14974"/>
    <cellStyle name="40% - 강조색3 4 3 5 2 2" xfId="14975"/>
    <cellStyle name="40% - 강조색3 4 3 5 2 2 2" xfId="14976"/>
    <cellStyle name="40% - 강조색3 4 3 5 2 2 3" xfId="14977"/>
    <cellStyle name="40% - 강조색3 4 3 5 2 3" xfId="14978"/>
    <cellStyle name="40% - 강조색3 4 3 5 2 4" xfId="14979"/>
    <cellStyle name="40% - 강조색3 4 3 5 3" xfId="14980"/>
    <cellStyle name="40% - 강조색3 4 3 5 3 2" xfId="14981"/>
    <cellStyle name="40% - 강조색3 4 3 5 3 3" xfId="14982"/>
    <cellStyle name="40% - 강조색3 4 3 5 4" xfId="14983"/>
    <cellStyle name="40% - 강조색3 4 3 5 5" xfId="14984"/>
    <cellStyle name="40% - 강조색3 4 3 6" xfId="14985"/>
    <cellStyle name="40% - 강조색3 4 3 6 2" xfId="14986"/>
    <cellStyle name="40% - 강조색3 4 3 6 2 2" xfId="14987"/>
    <cellStyle name="40% - 강조색3 4 3 6 2 2 2" xfId="14988"/>
    <cellStyle name="40% - 강조색3 4 3 6 2 2 3" xfId="14989"/>
    <cellStyle name="40% - 강조색3 4 3 6 2 3" xfId="14990"/>
    <cellStyle name="40% - 강조색3 4 3 6 2 4" xfId="14991"/>
    <cellStyle name="40% - 강조색3 4 3 6 3" xfId="14992"/>
    <cellStyle name="40% - 강조색3 4 3 6 3 2" xfId="14993"/>
    <cellStyle name="40% - 강조색3 4 3 6 3 3" xfId="14994"/>
    <cellStyle name="40% - 강조색3 4 3 6 4" xfId="14995"/>
    <cellStyle name="40% - 강조색3 4 3 6 5" xfId="14996"/>
    <cellStyle name="40% - 강조색3 4 3 7" xfId="14997"/>
    <cellStyle name="40% - 강조색3 4 3 7 2" xfId="14998"/>
    <cellStyle name="40% - 강조색3 4 3 7 2 2" xfId="14999"/>
    <cellStyle name="40% - 강조색3 4 3 7 2 3" xfId="15000"/>
    <cellStyle name="40% - 강조색3 4 3 7 3" xfId="15001"/>
    <cellStyle name="40% - 강조색3 4 3 7 4" xfId="15002"/>
    <cellStyle name="40% - 강조색3 4 3 8" xfId="15003"/>
    <cellStyle name="40% - 강조색3 4 3 8 2" xfId="15004"/>
    <cellStyle name="40% - 강조색3 4 3 8 3" xfId="15005"/>
    <cellStyle name="40% - 강조색3 4 3 9" xfId="15006"/>
    <cellStyle name="40% - 강조색3 4 4" xfId="15007"/>
    <cellStyle name="40% - 강조색3 4 4 10" xfId="15008"/>
    <cellStyle name="40% - 강조색3 4 4 2" xfId="15009"/>
    <cellStyle name="40% - 강조색3 4 4 2 2" xfId="15010"/>
    <cellStyle name="40% - 강조색3 4 4 2 2 2" xfId="15011"/>
    <cellStyle name="40% - 강조색3 4 4 2 2 2 2" xfId="15012"/>
    <cellStyle name="40% - 강조색3 4 4 2 2 2 2 2" xfId="15013"/>
    <cellStyle name="40% - 강조색3 4 4 2 2 2 2 3" xfId="15014"/>
    <cellStyle name="40% - 강조색3 4 4 2 2 2 3" xfId="15015"/>
    <cellStyle name="40% - 강조색3 4 4 2 2 2 4" xfId="15016"/>
    <cellStyle name="40% - 강조색3 4 4 2 2 3" xfId="15017"/>
    <cellStyle name="40% - 강조색3 4 4 2 2 3 2" xfId="15018"/>
    <cellStyle name="40% - 강조색3 4 4 2 2 3 3" xfId="15019"/>
    <cellStyle name="40% - 강조색3 4 4 2 2 4" xfId="15020"/>
    <cellStyle name="40% - 강조색3 4 4 2 2 5" xfId="15021"/>
    <cellStyle name="40% - 강조색3 4 4 2 3" xfId="15022"/>
    <cellStyle name="40% - 강조색3 4 4 2 3 2" xfId="15023"/>
    <cellStyle name="40% - 강조색3 4 4 2 3 2 2" xfId="15024"/>
    <cellStyle name="40% - 강조색3 4 4 2 3 2 2 2" xfId="15025"/>
    <cellStyle name="40% - 강조색3 4 4 2 3 2 2 3" xfId="15026"/>
    <cellStyle name="40% - 강조색3 4 4 2 3 2 3" xfId="15027"/>
    <cellStyle name="40% - 강조색3 4 4 2 3 2 4" xfId="15028"/>
    <cellStyle name="40% - 강조색3 4 4 2 3 3" xfId="15029"/>
    <cellStyle name="40% - 강조색3 4 4 2 3 3 2" xfId="15030"/>
    <cellStyle name="40% - 강조색3 4 4 2 3 3 3" xfId="15031"/>
    <cellStyle name="40% - 강조색3 4 4 2 3 4" xfId="15032"/>
    <cellStyle name="40% - 강조색3 4 4 2 3 5" xfId="15033"/>
    <cellStyle name="40% - 강조색3 4 4 2 4" xfId="15034"/>
    <cellStyle name="40% - 강조색3 4 4 2 4 2" xfId="15035"/>
    <cellStyle name="40% - 강조색3 4 4 2 4 2 2" xfId="15036"/>
    <cellStyle name="40% - 강조색3 4 4 2 4 2 3" xfId="15037"/>
    <cellStyle name="40% - 강조색3 4 4 2 4 3" xfId="15038"/>
    <cellStyle name="40% - 강조색3 4 4 2 4 4" xfId="15039"/>
    <cellStyle name="40% - 강조색3 4 4 2 5" xfId="15040"/>
    <cellStyle name="40% - 강조색3 4 4 2 5 2" xfId="15041"/>
    <cellStyle name="40% - 강조색3 4 4 2 5 3" xfId="15042"/>
    <cellStyle name="40% - 강조색3 4 4 2 6" xfId="15043"/>
    <cellStyle name="40% - 강조색3 4 4 2 7" xfId="15044"/>
    <cellStyle name="40% - 강조색3 4 4 3" xfId="15045"/>
    <cellStyle name="40% - 강조색3 4 4 3 2" xfId="15046"/>
    <cellStyle name="40% - 강조색3 4 4 3 2 2" xfId="15047"/>
    <cellStyle name="40% - 강조색3 4 4 3 2 2 2" xfId="15048"/>
    <cellStyle name="40% - 강조색3 4 4 3 2 2 2 2" xfId="15049"/>
    <cellStyle name="40% - 강조색3 4 4 3 2 2 2 3" xfId="15050"/>
    <cellStyle name="40% - 강조색3 4 4 3 2 2 3" xfId="15051"/>
    <cellStyle name="40% - 강조색3 4 4 3 2 2 4" xfId="15052"/>
    <cellStyle name="40% - 강조색3 4 4 3 2 3" xfId="15053"/>
    <cellStyle name="40% - 강조색3 4 4 3 2 3 2" xfId="15054"/>
    <cellStyle name="40% - 강조색3 4 4 3 2 3 3" xfId="15055"/>
    <cellStyle name="40% - 강조색3 4 4 3 2 4" xfId="15056"/>
    <cellStyle name="40% - 강조색3 4 4 3 2 5" xfId="15057"/>
    <cellStyle name="40% - 강조색3 4 4 3 3" xfId="15058"/>
    <cellStyle name="40% - 강조색3 4 4 3 3 2" xfId="15059"/>
    <cellStyle name="40% - 강조색3 4 4 3 3 2 2" xfId="15060"/>
    <cellStyle name="40% - 강조색3 4 4 3 3 2 2 2" xfId="15061"/>
    <cellStyle name="40% - 강조색3 4 4 3 3 2 2 3" xfId="15062"/>
    <cellStyle name="40% - 강조색3 4 4 3 3 2 3" xfId="15063"/>
    <cellStyle name="40% - 강조색3 4 4 3 3 2 4" xfId="15064"/>
    <cellStyle name="40% - 강조색3 4 4 3 3 3" xfId="15065"/>
    <cellStyle name="40% - 강조색3 4 4 3 3 3 2" xfId="15066"/>
    <cellStyle name="40% - 강조색3 4 4 3 3 3 3" xfId="15067"/>
    <cellStyle name="40% - 강조색3 4 4 3 3 4" xfId="15068"/>
    <cellStyle name="40% - 강조색3 4 4 3 3 5" xfId="15069"/>
    <cellStyle name="40% - 강조색3 4 4 3 4" xfId="15070"/>
    <cellStyle name="40% - 강조색3 4 4 3 4 2" xfId="15071"/>
    <cellStyle name="40% - 강조색3 4 4 3 4 2 2" xfId="15072"/>
    <cellStyle name="40% - 강조색3 4 4 3 4 2 3" xfId="15073"/>
    <cellStyle name="40% - 강조색3 4 4 3 4 3" xfId="15074"/>
    <cellStyle name="40% - 강조색3 4 4 3 4 4" xfId="15075"/>
    <cellStyle name="40% - 강조색3 4 4 3 5" xfId="15076"/>
    <cellStyle name="40% - 강조색3 4 4 3 5 2" xfId="15077"/>
    <cellStyle name="40% - 강조색3 4 4 3 5 3" xfId="15078"/>
    <cellStyle name="40% - 강조색3 4 4 3 6" xfId="15079"/>
    <cellStyle name="40% - 강조색3 4 4 3 7" xfId="15080"/>
    <cellStyle name="40% - 강조색3 4 4 4" xfId="15081"/>
    <cellStyle name="40% - 강조색3 4 4 4 2" xfId="15082"/>
    <cellStyle name="40% - 강조색3 4 4 4 2 2" xfId="15083"/>
    <cellStyle name="40% - 강조색3 4 4 4 2 2 2" xfId="15084"/>
    <cellStyle name="40% - 강조색3 4 4 4 2 2 3" xfId="15085"/>
    <cellStyle name="40% - 강조색3 4 4 4 2 3" xfId="15086"/>
    <cellStyle name="40% - 강조색3 4 4 4 2 4" xfId="15087"/>
    <cellStyle name="40% - 강조색3 4 4 4 3" xfId="15088"/>
    <cellStyle name="40% - 강조색3 4 4 4 3 2" xfId="15089"/>
    <cellStyle name="40% - 강조색3 4 4 4 3 3" xfId="15090"/>
    <cellStyle name="40% - 강조색3 4 4 4 4" xfId="15091"/>
    <cellStyle name="40% - 강조색3 4 4 4 5" xfId="15092"/>
    <cellStyle name="40% - 강조색3 4 4 5" xfId="15093"/>
    <cellStyle name="40% - 강조색3 4 4 5 2" xfId="15094"/>
    <cellStyle name="40% - 강조색3 4 4 5 2 2" xfId="15095"/>
    <cellStyle name="40% - 강조색3 4 4 5 2 2 2" xfId="15096"/>
    <cellStyle name="40% - 강조색3 4 4 5 2 2 3" xfId="15097"/>
    <cellStyle name="40% - 강조색3 4 4 5 2 3" xfId="15098"/>
    <cellStyle name="40% - 강조색3 4 4 5 2 4" xfId="15099"/>
    <cellStyle name="40% - 강조색3 4 4 5 3" xfId="15100"/>
    <cellStyle name="40% - 강조색3 4 4 5 3 2" xfId="15101"/>
    <cellStyle name="40% - 강조색3 4 4 5 3 3" xfId="15102"/>
    <cellStyle name="40% - 강조색3 4 4 5 4" xfId="15103"/>
    <cellStyle name="40% - 강조색3 4 4 5 5" xfId="15104"/>
    <cellStyle name="40% - 강조색3 4 4 6" xfId="15105"/>
    <cellStyle name="40% - 강조색3 4 4 6 2" xfId="15106"/>
    <cellStyle name="40% - 강조색3 4 4 6 2 2" xfId="15107"/>
    <cellStyle name="40% - 강조색3 4 4 6 2 2 2" xfId="15108"/>
    <cellStyle name="40% - 강조색3 4 4 6 2 2 3" xfId="15109"/>
    <cellStyle name="40% - 강조색3 4 4 6 2 3" xfId="15110"/>
    <cellStyle name="40% - 강조색3 4 4 6 2 4" xfId="15111"/>
    <cellStyle name="40% - 강조색3 4 4 6 3" xfId="15112"/>
    <cellStyle name="40% - 강조색3 4 4 6 3 2" xfId="15113"/>
    <cellStyle name="40% - 강조색3 4 4 6 3 3" xfId="15114"/>
    <cellStyle name="40% - 강조색3 4 4 6 4" xfId="15115"/>
    <cellStyle name="40% - 강조색3 4 4 6 5" xfId="15116"/>
    <cellStyle name="40% - 강조색3 4 4 7" xfId="15117"/>
    <cellStyle name="40% - 강조색3 4 4 7 2" xfId="15118"/>
    <cellStyle name="40% - 강조색3 4 4 7 2 2" xfId="15119"/>
    <cellStyle name="40% - 강조색3 4 4 7 2 3" xfId="15120"/>
    <cellStyle name="40% - 강조색3 4 4 7 3" xfId="15121"/>
    <cellStyle name="40% - 강조색3 4 4 7 4" xfId="15122"/>
    <cellStyle name="40% - 강조색3 4 4 8" xfId="15123"/>
    <cellStyle name="40% - 강조색3 4 4 8 2" xfId="15124"/>
    <cellStyle name="40% - 강조색3 4 4 8 3" xfId="15125"/>
    <cellStyle name="40% - 강조색3 4 4 9" xfId="15126"/>
    <cellStyle name="40% - 강조색3 4 5" xfId="15127"/>
    <cellStyle name="40% - 강조색3 4 5 2" xfId="15128"/>
    <cellStyle name="40% - 강조색3 4 5 2 2" xfId="15129"/>
    <cellStyle name="40% - 강조색3 4 5 2 2 2" xfId="15130"/>
    <cellStyle name="40% - 강조색3 4 5 2 2 2 2" xfId="15131"/>
    <cellStyle name="40% - 강조색3 4 5 2 2 2 3" xfId="15132"/>
    <cellStyle name="40% - 강조색3 4 5 2 2 3" xfId="15133"/>
    <cellStyle name="40% - 강조색3 4 5 2 2 4" xfId="15134"/>
    <cellStyle name="40% - 강조색3 4 5 2 3" xfId="15135"/>
    <cellStyle name="40% - 강조색3 4 5 2 3 2" xfId="15136"/>
    <cellStyle name="40% - 강조색3 4 5 2 3 3" xfId="15137"/>
    <cellStyle name="40% - 강조색3 4 5 2 4" xfId="15138"/>
    <cellStyle name="40% - 강조색3 4 5 2 5" xfId="15139"/>
    <cellStyle name="40% - 강조색3 4 5 3" xfId="15140"/>
    <cellStyle name="40% - 강조색3 4 5 3 2" xfId="15141"/>
    <cellStyle name="40% - 강조색3 4 5 3 2 2" xfId="15142"/>
    <cellStyle name="40% - 강조색3 4 5 3 2 2 2" xfId="15143"/>
    <cellStyle name="40% - 강조색3 4 5 3 2 2 3" xfId="15144"/>
    <cellStyle name="40% - 강조색3 4 5 3 2 3" xfId="15145"/>
    <cellStyle name="40% - 강조색3 4 5 3 2 4" xfId="15146"/>
    <cellStyle name="40% - 강조색3 4 5 3 3" xfId="15147"/>
    <cellStyle name="40% - 강조색3 4 5 3 3 2" xfId="15148"/>
    <cellStyle name="40% - 강조색3 4 5 3 3 3" xfId="15149"/>
    <cellStyle name="40% - 강조색3 4 5 3 4" xfId="15150"/>
    <cellStyle name="40% - 강조색3 4 5 3 5" xfId="15151"/>
    <cellStyle name="40% - 강조색3 4 5 4" xfId="15152"/>
    <cellStyle name="40% - 강조색3 4 5 4 2" xfId="15153"/>
    <cellStyle name="40% - 강조색3 4 5 4 2 2" xfId="15154"/>
    <cellStyle name="40% - 강조색3 4 5 4 2 3" xfId="15155"/>
    <cellStyle name="40% - 강조색3 4 5 4 3" xfId="15156"/>
    <cellStyle name="40% - 강조색3 4 5 4 4" xfId="15157"/>
    <cellStyle name="40% - 강조색3 4 5 5" xfId="15158"/>
    <cellStyle name="40% - 강조색3 4 5 5 2" xfId="15159"/>
    <cellStyle name="40% - 강조색3 4 5 5 3" xfId="15160"/>
    <cellStyle name="40% - 강조색3 4 5 6" xfId="15161"/>
    <cellStyle name="40% - 강조색3 4 5 7" xfId="15162"/>
    <cellStyle name="40% - 강조색3 4 6" xfId="15163"/>
    <cellStyle name="40% - 강조색3 4 6 2" xfId="15164"/>
    <cellStyle name="40% - 강조색3 4 6 2 2" xfId="15165"/>
    <cellStyle name="40% - 강조색3 4 6 2 2 2" xfId="15166"/>
    <cellStyle name="40% - 강조색3 4 6 2 2 2 2" xfId="15167"/>
    <cellStyle name="40% - 강조색3 4 6 2 2 2 3" xfId="15168"/>
    <cellStyle name="40% - 강조색3 4 6 2 2 3" xfId="15169"/>
    <cellStyle name="40% - 강조색3 4 6 2 2 4" xfId="15170"/>
    <cellStyle name="40% - 강조색3 4 6 2 3" xfId="15171"/>
    <cellStyle name="40% - 강조색3 4 6 2 3 2" xfId="15172"/>
    <cellStyle name="40% - 강조색3 4 6 2 3 3" xfId="15173"/>
    <cellStyle name="40% - 강조색3 4 6 2 4" xfId="15174"/>
    <cellStyle name="40% - 강조색3 4 6 2 5" xfId="15175"/>
    <cellStyle name="40% - 강조색3 4 6 3" xfId="15176"/>
    <cellStyle name="40% - 강조색3 4 6 3 2" xfId="15177"/>
    <cellStyle name="40% - 강조색3 4 6 3 2 2" xfId="15178"/>
    <cellStyle name="40% - 강조색3 4 6 3 2 2 2" xfId="15179"/>
    <cellStyle name="40% - 강조색3 4 6 3 2 2 3" xfId="15180"/>
    <cellStyle name="40% - 강조색3 4 6 3 2 3" xfId="15181"/>
    <cellStyle name="40% - 강조색3 4 6 3 2 4" xfId="15182"/>
    <cellStyle name="40% - 강조색3 4 6 3 3" xfId="15183"/>
    <cellStyle name="40% - 강조색3 4 6 3 3 2" xfId="15184"/>
    <cellStyle name="40% - 강조색3 4 6 3 3 3" xfId="15185"/>
    <cellStyle name="40% - 강조색3 4 6 3 4" xfId="15186"/>
    <cellStyle name="40% - 강조색3 4 6 3 5" xfId="15187"/>
    <cellStyle name="40% - 강조색3 4 6 4" xfId="15188"/>
    <cellStyle name="40% - 강조색3 4 6 4 2" xfId="15189"/>
    <cellStyle name="40% - 강조색3 4 6 4 2 2" xfId="15190"/>
    <cellStyle name="40% - 강조색3 4 6 4 2 3" xfId="15191"/>
    <cellStyle name="40% - 강조색3 4 6 4 3" xfId="15192"/>
    <cellStyle name="40% - 강조색3 4 6 4 4" xfId="15193"/>
    <cellStyle name="40% - 강조색3 4 6 5" xfId="15194"/>
    <cellStyle name="40% - 강조색3 4 6 5 2" xfId="15195"/>
    <cellStyle name="40% - 강조색3 4 6 5 3" xfId="15196"/>
    <cellStyle name="40% - 강조색3 4 6 6" xfId="15197"/>
    <cellStyle name="40% - 강조색3 4 6 7" xfId="15198"/>
    <cellStyle name="40% - 강조색3 4 7" xfId="15199"/>
    <cellStyle name="40% - 강조색3 4 7 2" xfId="15200"/>
    <cellStyle name="40% - 강조색3 4 7 2 2" xfId="15201"/>
    <cellStyle name="40% - 강조색3 4 7 2 2 2" xfId="15202"/>
    <cellStyle name="40% - 강조색3 4 7 2 2 3" xfId="15203"/>
    <cellStyle name="40% - 강조색3 4 7 2 3" xfId="15204"/>
    <cellStyle name="40% - 강조색3 4 7 2 4" xfId="15205"/>
    <cellStyle name="40% - 강조색3 4 7 3" xfId="15206"/>
    <cellStyle name="40% - 강조색3 4 7 3 2" xfId="15207"/>
    <cellStyle name="40% - 강조색3 4 7 3 3" xfId="15208"/>
    <cellStyle name="40% - 강조색3 4 7 4" xfId="15209"/>
    <cellStyle name="40% - 강조색3 4 7 5" xfId="15210"/>
    <cellStyle name="40% - 강조색3 4 8" xfId="15211"/>
    <cellStyle name="40% - 강조색3 4 8 2" xfId="15212"/>
    <cellStyle name="40% - 강조색3 4 8 2 2" xfId="15213"/>
    <cellStyle name="40% - 강조색3 4 8 2 2 2" xfId="15214"/>
    <cellStyle name="40% - 강조색3 4 8 2 2 3" xfId="15215"/>
    <cellStyle name="40% - 강조색3 4 8 2 3" xfId="15216"/>
    <cellStyle name="40% - 강조색3 4 8 2 4" xfId="15217"/>
    <cellStyle name="40% - 강조색3 4 8 3" xfId="15218"/>
    <cellStyle name="40% - 강조색3 4 8 3 2" xfId="15219"/>
    <cellStyle name="40% - 강조색3 4 8 3 3" xfId="15220"/>
    <cellStyle name="40% - 강조색3 4 8 4" xfId="15221"/>
    <cellStyle name="40% - 강조색3 4 8 5" xfId="15222"/>
    <cellStyle name="40% - 강조색3 4 9" xfId="15223"/>
    <cellStyle name="40% - 강조색3 4 9 2" xfId="15224"/>
    <cellStyle name="40% - 강조색3 4 9 2 2" xfId="15225"/>
    <cellStyle name="40% - 강조색3 4 9 2 2 2" xfId="15226"/>
    <cellStyle name="40% - 강조색3 4 9 2 2 3" xfId="15227"/>
    <cellStyle name="40% - 강조색3 4 9 2 3" xfId="15228"/>
    <cellStyle name="40% - 강조색3 4 9 2 4" xfId="15229"/>
    <cellStyle name="40% - 강조색3 4 9 3" xfId="15230"/>
    <cellStyle name="40% - 강조색3 4 9 3 2" xfId="15231"/>
    <cellStyle name="40% - 강조색3 4 9 3 3" xfId="15232"/>
    <cellStyle name="40% - 강조색3 4 9 4" xfId="15233"/>
    <cellStyle name="40% - 강조색3 4 9 5" xfId="15234"/>
    <cellStyle name="40% - 강조색3 40" xfId="15235"/>
    <cellStyle name="40% - 강조색3 41" xfId="15236"/>
    <cellStyle name="40% - 강조색3 42" xfId="15237"/>
    <cellStyle name="40% - 강조색3 43" xfId="15238"/>
    <cellStyle name="40% - 강조색3 44" xfId="15239"/>
    <cellStyle name="40% - 강조색3 45" xfId="15240"/>
    <cellStyle name="40% - 강조색3 46" xfId="15241"/>
    <cellStyle name="40% - 강조색3 47" xfId="15242"/>
    <cellStyle name="40% - 강조색3 48" xfId="15243"/>
    <cellStyle name="40% - 강조색3 49" xfId="15244"/>
    <cellStyle name="40% - 강조색3 5" xfId="15245"/>
    <cellStyle name="40% - 강조색3 5 10" xfId="15246"/>
    <cellStyle name="40% - 강조색3 5 11" xfId="15247"/>
    <cellStyle name="40% - 강조색3 5 2" xfId="15248"/>
    <cellStyle name="40% - 강조색3 5 2 2" xfId="15249"/>
    <cellStyle name="40% - 강조색3 5 2 2 2" xfId="15250"/>
    <cellStyle name="40% - 강조색3 5 2 2 2 2" xfId="15251"/>
    <cellStyle name="40% - 강조색3 5 2 2 2 2 2" xfId="15252"/>
    <cellStyle name="40% - 강조색3 5 2 2 2 2 3" xfId="15253"/>
    <cellStyle name="40% - 강조색3 5 2 2 2 3" xfId="15254"/>
    <cellStyle name="40% - 강조색3 5 2 2 2 4" xfId="15255"/>
    <cellStyle name="40% - 강조색3 5 2 2 3" xfId="15256"/>
    <cellStyle name="40% - 강조색3 5 2 2 3 2" xfId="15257"/>
    <cellStyle name="40% - 강조색3 5 2 2 3 3" xfId="15258"/>
    <cellStyle name="40% - 강조색3 5 2 2 4" xfId="15259"/>
    <cellStyle name="40% - 강조색3 5 2 2 5" xfId="15260"/>
    <cellStyle name="40% - 강조색3 5 2 3" xfId="15261"/>
    <cellStyle name="40% - 강조색3 5 2 3 2" xfId="15262"/>
    <cellStyle name="40% - 강조색3 5 2 3 2 2" xfId="15263"/>
    <cellStyle name="40% - 강조색3 5 2 3 2 2 2" xfId="15264"/>
    <cellStyle name="40% - 강조색3 5 2 3 2 2 3" xfId="15265"/>
    <cellStyle name="40% - 강조색3 5 2 3 2 3" xfId="15266"/>
    <cellStyle name="40% - 강조색3 5 2 3 2 4" xfId="15267"/>
    <cellStyle name="40% - 강조색3 5 2 3 3" xfId="15268"/>
    <cellStyle name="40% - 강조색3 5 2 3 3 2" xfId="15269"/>
    <cellStyle name="40% - 강조색3 5 2 3 3 3" xfId="15270"/>
    <cellStyle name="40% - 강조색3 5 2 3 4" xfId="15271"/>
    <cellStyle name="40% - 강조색3 5 2 3 5" xfId="15272"/>
    <cellStyle name="40% - 강조색3 5 2 4" xfId="15273"/>
    <cellStyle name="40% - 강조색3 5 2 4 2" xfId="15274"/>
    <cellStyle name="40% - 강조색3 5 2 4 2 2" xfId="15275"/>
    <cellStyle name="40% - 강조색3 5 2 4 2 3" xfId="15276"/>
    <cellStyle name="40% - 강조색3 5 2 4 3" xfId="15277"/>
    <cellStyle name="40% - 강조색3 5 2 4 4" xfId="15278"/>
    <cellStyle name="40% - 강조색3 5 2 5" xfId="15279"/>
    <cellStyle name="40% - 강조색3 5 2 5 2" xfId="15280"/>
    <cellStyle name="40% - 강조색3 5 2 5 3" xfId="15281"/>
    <cellStyle name="40% - 강조색3 5 2 6" xfId="15282"/>
    <cellStyle name="40% - 강조색3 5 2 7" xfId="15283"/>
    <cellStyle name="40% - 강조색3 5 3" xfId="15284"/>
    <cellStyle name="40% - 강조색3 5 3 2" xfId="15285"/>
    <cellStyle name="40% - 강조색3 5 3 2 2" xfId="15286"/>
    <cellStyle name="40% - 강조색3 5 3 2 2 2" xfId="15287"/>
    <cellStyle name="40% - 강조색3 5 3 2 2 2 2" xfId="15288"/>
    <cellStyle name="40% - 강조색3 5 3 2 2 2 3" xfId="15289"/>
    <cellStyle name="40% - 강조색3 5 3 2 2 3" xfId="15290"/>
    <cellStyle name="40% - 강조색3 5 3 2 2 4" xfId="15291"/>
    <cellStyle name="40% - 강조색3 5 3 2 3" xfId="15292"/>
    <cellStyle name="40% - 강조색3 5 3 2 3 2" xfId="15293"/>
    <cellStyle name="40% - 강조색3 5 3 2 3 3" xfId="15294"/>
    <cellStyle name="40% - 강조색3 5 3 2 4" xfId="15295"/>
    <cellStyle name="40% - 강조색3 5 3 2 5" xfId="15296"/>
    <cellStyle name="40% - 강조색3 5 3 3" xfId="15297"/>
    <cellStyle name="40% - 강조색3 5 3 3 2" xfId="15298"/>
    <cellStyle name="40% - 강조색3 5 3 3 2 2" xfId="15299"/>
    <cellStyle name="40% - 강조색3 5 3 3 2 2 2" xfId="15300"/>
    <cellStyle name="40% - 강조색3 5 3 3 2 2 3" xfId="15301"/>
    <cellStyle name="40% - 강조색3 5 3 3 2 3" xfId="15302"/>
    <cellStyle name="40% - 강조색3 5 3 3 2 4" xfId="15303"/>
    <cellStyle name="40% - 강조색3 5 3 3 3" xfId="15304"/>
    <cellStyle name="40% - 강조색3 5 3 3 3 2" xfId="15305"/>
    <cellStyle name="40% - 강조색3 5 3 3 3 3" xfId="15306"/>
    <cellStyle name="40% - 강조색3 5 3 3 4" xfId="15307"/>
    <cellStyle name="40% - 강조색3 5 3 3 5" xfId="15308"/>
    <cellStyle name="40% - 강조색3 5 3 4" xfId="15309"/>
    <cellStyle name="40% - 강조색3 5 3 4 2" xfId="15310"/>
    <cellStyle name="40% - 강조색3 5 3 4 2 2" xfId="15311"/>
    <cellStyle name="40% - 강조색3 5 3 4 2 3" xfId="15312"/>
    <cellStyle name="40% - 강조색3 5 3 4 3" xfId="15313"/>
    <cellStyle name="40% - 강조색3 5 3 4 4" xfId="15314"/>
    <cellStyle name="40% - 강조색3 5 3 5" xfId="15315"/>
    <cellStyle name="40% - 강조색3 5 3 5 2" xfId="15316"/>
    <cellStyle name="40% - 강조색3 5 3 5 3" xfId="15317"/>
    <cellStyle name="40% - 강조색3 5 3 6" xfId="15318"/>
    <cellStyle name="40% - 강조색3 5 3 7" xfId="15319"/>
    <cellStyle name="40% - 강조색3 5 4" xfId="15320"/>
    <cellStyle name="40% - 강조색3 5 4 2" xfId="15321"/>
    <cellStyle name="40% - 강조색3 5 4 2 2" xfId="15322"/>
    <cellStyle name="40% - 강조색3 5 4 2 2 2" xfId="15323"/>
    <cellStyle name="40% - 강조색3 5 4 2 2 3" xfId="15324"/>
    <cellStyle name="40% - 강조색3 5 4 2 3" xfId="15325"/>
    <cellStyle name="40% - 강조색3 5 4 2 4" xfId="15326"/>
    <cellStyle name="40% - 강조색3 5 4 3" xfId="15327"/>
    <cellStyle name="40% - 강조색3 5 4 3 2" xfId="15328"/>
    <cellStyle name="40% - 강조색3 5 4 3 3" xfId="15329"/>
    <cellStyle name="40% - 강조색3 5 4 4" xfId="15330"/>
    <cellStyle name="40% - 강조색3 5 4 5" xfId="15331"/>
    <cellStyle name="40% - 강조색3 5 5" xfId="15332"/>
    <cellStyle name="40% - 강조색3 5 5 2" xfId="15333"/>
    <cellStyle name="40% - 강조색3 5 5 2 2" xfId="15334"/>
    <cellStyle name="40% - 강조색3 5 5 2 2 2" xfId="15335"/>
    <cellStyle name="40% - 강조색3 5 5 2 2 3" xfId="15336"/>
    <cellStyle name="40% - 강조색3 5 5 2 3" xfId="15337"/>
    <cellStyle name="40% - 강조색3 5 5 2 4" xfId="15338"/>
    <cellStyle name="40% - 강조색3 5 5 3" xfId="15339"/>
    <cellStyle name="40% - 강조색3 5 5 3 2" xfId="15340"/>
    <cellStyle name="40% - 강조색3 5 5 3 3" xfId="15341"/>
    <cellStyle name="40% - 강조색3 5 5 4" xfId="15342"/>
    <cellStyle name="40% - 강조색3 5 5 5" xfId="15343"/>
    <cellStyle name="40% - 강조색3 5 6" xfId="15344"/>
    <cellStyle name="40% - 강조색3 5 6 2" xfId="15345"/>
    <cellStyle name="40% - 강조색3 5 6 2 2" xfId="15346"/>
    <cellStyle name="40% - 강조색3 5 6 2 2 2" xfId="15347"/>
    <cellStyle name="40% - 강조색3 5 6 2 2 3" xfId="15348"/>
    <cellStyle name="40% - 강조색3 5 6 2 3" xfId="15349"/>
    <cellStyle name="40% - 강조색3 5 6 2 4" xfId="15350"/>
    <cellStyle name="40% - 강조색3 5 6 3" xfId="15351"/>
    <cellStyle name="40% - 강조색3 5 6 3 2" xfId="15352"/>
    <cellStyle name="40% - 강조색3 5 6 3 3" xfId="15353"/>
    <cellStyle name="40% - 강조색3 5 6 4" xfId="15354"/>
    <cellStyle name="40% - 강조색3 5 6 5" xfId="15355"/>
    <cellStyle name="40% - 강조색3 5 7" xfId="15356"/>
    <cellStyle name="40% - 강조색3 5 7 2" xfId="15357"/>
    <cellStyle name="40% - 강조색3 5 7 2 2" xfId="15358"/>
    <cellStyle name="40% - 강조색3 5 7 2 3" xfId="15359"/>
    <cellStyle name="40% - 강조색3 5 7 3" xfId="15360"/>
    <cellStyle name="40% - 강조색3 5 7 4" xfId="15361"/>
    <cellStyle name="40% - 강조색3 5 8" xfId="15362"/>
    <cellStyle name="40% - 강조색3 5 8 2" xfId="15363"/>
    <cellStyle name="40% - 강조색3 5 8 3" xfId="15364"/>
    <cellStyle name="40% - 강조색3 5 9" xfId="15365"/>
    <cellStyle name="40% - 강조색3 50" xfId="15366"/>
    <cellStyle name="40% - 강조색3 51" xfId="15367"/>
    <cellStyle name="40% - 강조색3 52" xfId="15368"/>
    <cellStyle name="40% - 강조색3 53" xfId="15369"/>
    <cellStyle name="40% - 강조색3 54" xfId="15370"/>
    <cellStyle name="40% - 강조색3 55" xfId="15371"/>
    <cellStyle name="40% - 강조색3 56" xfId="15372"/>
    <cellStyle name="40% - 강조색3 57" xfId="15373"/>
    <cellStyle name="40% - 강조색3 58" xfId="15374"/>
    <cellStyle name="40% - 강조색3 59" xfId="15375"/>
    <cellStyle name="40% - 강조색3 6" xfId="15376"/>
    <cellStyle name="40% - 강조색3 6 10" xfId="15377"/>
    <cellStyle name="40% - 강조색3 6 2" xfId="15378"/>
    <cellStyle name="40% - 강조색3 6 2 2" xfId="15379"/>
    <cellStyle name="40% - 강조색3 6 2 2 2" xfId="15380"/>
    <cellStyle name="40% - 강조색3 6 2 2 2 2" xfId="15381"/>
    <cellStyle name="40% - 강조색3 6 2 2 2 2 2" xfId="15382"/>
    <cellStyle name="40% - 강조색3 6 2 2 2 2 3" xfId="15383"/>
    <cellStyle name="40% - 강조색3 6 2 2 2 3" xfId="15384"/>
    <cellStyle name="40% - 강조색3 6 2 2 2 4" xfId="15385"/>
    <cellStyle name="40% - 강조색3 6 2 2 3" xfId="15386"/>
    <cellStyle name="40% - 강조색3 6 2 2 3 2" xfId="15387"/>
    <cellStyle name="40% - 강조색3 6 2 2 3 3" xfId="15388"/>
    <cellStyle name="40% - 강조색3 6 2 2 4" xfId="15389"/>
    <cellStyle name="40% - 강조색3 6 2 2 5" xfId="15390"/>
    <cellStyle name="40% - 강조색3 6 2 3" xfId="15391"/>
    <cellStyle name="40% - 강조색3 6 2 3 2" xfId="15392"/>
    <cellStyle name="40% - 강조색3 6 2 3 2 2" xfId="15393"/>
    <cellStyle name="40% - 강조색3 6 2 3 2 2 2" xfId="15394"/>
    <cellStyle name="40% - 강조색3 6 2 3 2 2 3" xfId="15395"/>
    <cellStyle name="40% - 강조색3 6 2 3 2 3" xfId="15396"/>
    <cellStyle name="40% - 강조색3 6 2 3 2 4" xfId="15397"/>
    <cellStyle name="40% - 강조색3 6 2 3 3" xfId="15398"/>
    <cellStyle name="40% - 강조색3 6 2 3 3 2" xfId="15399"/>
    <cellStyle name="40% - 강조색3 6 2 3 3 3" xfId="15400"/>
    <cellStyle name="40% - 강조색3 6 2 3 4" xfId="15401"/>
    <cellStyle name="40% - 강조색3 6 2 3 5" xfId="15402"/>
    <cellStyle name="40% - 강조색3 6 2 4" xfId="15403"/>
    <cellStyle name="40% - 강조색3 6 2 4 2" xfId="15404"/>
    <cellStyle name="40% - 강조색3 6 2 4 2 2" xfId="15405"/>
    <cellStyle name="40% - 강조색3 6 2 4 2 3" xfId="15406"/>
    <cellStyle name="40% - 강조색3 6 2 4 3" xfId="15407"/>
    <cellStyle name="40% - 강조색3 6 2 4 4" xfId="15408"/>
    <cellStyle name="40% - 강조색3 6 2 5" xfId="15409"/>
    <cellStyle name="40% - 강조색3 6 2 5 2" xfId="15410"/>
    <cellStyle name="40% - 강조색3 6 2 5 3" xfId="15411"/>
    <cellStyle name="40% - 강조색3 6 2 6" xfId="15412"/>
    <cellStyle name="40% - 강조색3 6 2 7" xfId="15413"/>
    <cellStyle name="40% - 강조색3 6 3" xfId="15414"/>
    <cellStyle name="40% - 강조색3 6 3 2" xfId="15415"/>
    <cellStyle name="40% - 강조색3 6 3 2 2" xfId="15416"/>
    <cellStyle name="40% - 강조색3 6 3 2 2 2" xfId="15417"/>
    <cellStyle name="40% - 강조색3 6 3 2 2 2 2" xfId="15418"/>
    <cellStyle name="40% - 강조색3 6 3 2 2 2 3" xfId="15419"/>
    <cellStyle name="40% - 강조색3 6 3 2 2 3" xfId="15420"/>
    <cellStyle name="40% - 강조색3 6 3 2 2 4" xfId="15421"/>
    <cellStyle name="40% - 강조색3 6 3 2 3" xfId="15422"/>
    <cellStyle name="40% - 강조색3 6 3 2 3 2" xfId="15423"/>
    <cellStyle name="40% - 강조색3 6 3 2 3 3" xfId="15424"/>
    <cellStyle name="40% - 강조색3 6 3 2 4" xfId="15425"/>
    <cellStyle name="40% - 강조색3 6 3 2 5" xfId="15426"/>
    <cellStyle name="40% - 강조색3 6 3 3" xfId="15427"/>
    <cellStyle name="40% - 강조색3 6 3 3 2" xfId="15428"/>
    <cellStyle name="40% - 강조색3 6 3 3 2 2" xfId="15429"/>
    <cellStyle name="40% - 강조색3 6 3 3 2 2 2" xfId="15430"/>
    <cellStyle name="40% - 강조색3 6 3 3 2 2 3" xfId="15431"/>
    <cellStyle name="40% - 강조색3 6 3 3 2 3" xfId="15432"/>
    <cellStyle name="40% - 강조색3 6 3 3 2 4" xfId="15433"/>
    <cellStyle name="40% - 강조색3 6 3 3 3" xfId="15434"/>
    <cellStyle name="40% - 강조색3 6 3 3 3 2" xfId="15435"/>
    <cellStyle name="40% - 강조색3 6 3 3 3 3" xfId="15436"/>
    <cellStyle name="40% - 강조색3 6 3 3 4" xfId="15437"/>
    <cellStyle name="40% - 강조색3 6 3 3 5" xfId="15438"/>
    <cellStyle name="40% - 강조색3 6 3 4" xfId="15439"/>
    <cellStyle name="40% - 강조색3 6 3 4 2" xfId="15440"/>
    <cellStyle name="40% - 강조색3 6 3 4 2 2" xfId="15441"/>
    <cellStyle name="40% - 강조색3 6 3 4 2 3" xfId="15442"/>
    <cellStyle name="40% - 강조색3 6 3 4 3" xfId="15443"/>
    <cellStyle name="40% - 강조색3 6 3 4 4" xfId="15444"/>
    <cellStyle name="40% - 강조색3 6 3 5" xfId="15445"/>
    <cellStyle name="40% - 강조색3 6 3 5 2" xfId="15446"/>
    <cellStyle name="40% - 강조색3 6 3 5 3" xfId="15447"/>
    <cellStyle name="40% - 강조색3 6 3 6" xfId="15448"/>
    <cellStyle name="40% - 강조색3 6 3 7" xfId="15449"/>
    <cellStyle name="40% - 강조색3 6 4" xfId="15450"/>
    <cellStyle name="40% - 강조색3 6 4 2" xfId="15451"/>
    <cellStyle name="40% - 강조색3 6 4 2 2" xfId="15452"/>
    <cellStyle name="40% - 강조색3 6 4 2 2 2" xfId="15453"/>
    <cellStyle name="40% - 강조색3 6 4 2 2 3" xfId="15454"/>
    <cellStyle name="40% - 강조색3 6 4 2 3" xfId="15455"/>
    <cellStyle name="40% - 강조색3 6 4 2 4" xfId="15456"/>
    <cellStyle name="40% - 강조색3 6 4 3" xfId="15457"/>
    <cellStyle name="40% - 강조색3 6 4 3 2" xfId="15458"/>
    <cellStyle name="40% - 강조색3 6 4 3 3" xfId="15459"/>
    <cellStyle name="40% - 강조색3 6 4 4" xfId="15460"/>
    <cellStyle name="40% - 강조색3 6 4 5" xfId="15461"/>
    <cellStyle name="40% - 강조색3 6 5" xfId="15462"/>
    <cellStyle name="40% - 강조색3 6 5 2" xfId="15463"/>
    <cellStyle name="40% - 강조색3 6 5 2 2" xfId="15464"/>
    <cellStyle name="40% - 강조색3 6 5 2 2 2" xfId="15465"/>
    <cellStyle name="40% - 강조색3 6 5 2 2 3" xfId="15466"/>
    <cellStyle name="40% - 강조색3 6 5 2 3" xfId="15467"/>
    <cellStyle name="40% - 강조색3 6 5 2 4" xfId="15468"/>
    <cellStyle name="40% - 강조색3 6 5 3" xfId="15469"/>
    <cellStyle name="40% - 강조색3 6 5 3 2" xfId="15470"/>
    <cellStyle name="40% - 강조색3 6 5 3 3" xfId="15471"/>
    <cellStyle name="40% - 강조색3 6 5 4" xfId="15472"/>
    <cellStyle name="40% - 강조색3 6 5 5" xfId="15473"/>
    <cellStyle name="40% - 강조색3 6 6" xfId="15474"/>
    <cellStyle name="40% - 강조색3 6 6 2" xfId="15475"/>
    <cellStyle name="40% - 강조색3 6 6 2 2" xfId="15476"/>
    <cellStyle name="40% - 강조색3 6 6 2 2 2" xfId="15477"/>
    <cellStyle name="40% - 강조색3 6 6 2 2 3" xfId="15478"/>
    <cellStyle name="40% - 강조색3 6 6 2 3" xfId="15479"/>
    <cellStyle name="40% - 강조색3 6 6 2 4" xfId="15480"/>
    <cellStyle name="40% - 강조색3 6 6 3" xfId="15481"/>
    <cellStyle name="40% - 강조색3 6 6 3 2" xfId="15482"/>
    <cellStyle name="40% - 강조색3 6 6 3 3" xfId="15483"/>
    <cellStyle name="40% - 강조색3 6 6 4" xfId="15484"/>
    <cellStyle name="40% - 강조색3 6 6 5" xfId="15485"/>
    <cellStyle name="40% - 강조색3 6 7" xfId="15486"/>
    <cellStyle name="40% - 강조색3 6 7 2" xfId="15487"/>
    <cellStyle name="40% - 강조색3 6 7 2 2" xfId="15488"/>
    <cellStyle name="40% - 강조색3 6 7 2 3" xfId="15489"/>
    <cellStyle name="40% - 강조색3 6 7 3" xfId="15490"/>
    <cellStyle name="40% - 강조색3 6 7 4" xfId="15491"/>
    <cellStyle name="40% - 강조색3 6 8" xfId="15492"/>
    <cellStyle name="40% - 강조색3 6 8 2" xfId="15493"/>
    <cellStyle name="40% - 강조색3 6 8 3" xfId="15494"/>
    <cellStyle name="40% - 강조색3 6 9" xfId="15495"/>
    <cellStyle name="40% - 강조색3 60" xfId="15496"/>
    <cellStyle name="40% - 강조색3 61" xfId="15497"/>
    <cellStyle name="40% - 강조색3 62" xfId="15498"/>
    <cellStyle name="40% - 강조색3 63" xfId="15499"/>
    <cellStyle name="40% - 강조색3 64" xfId="15500"/>
    <cellStyle name="40% - 강조색3 65" xfId="15501"/>
    <cellStyle name="40% - 강조색3 66" xfId="15502"/>
    <cellStyle name="40% - 강조색3 67" xfId="15503"/>
    <cellStyle name="40% - 강조색3 68" xfId="15504"/>
    <cellStyle name="40% - 강조색3 69" xfId="15505"/>
    <cellStyle name="40% - 강조색3 7" xfId="15506"/>
    <cellStyle name="40% - 강조색3 7 10" xfId="15507"/>
    <cellStyle name="40% - 강조색3 7 2" xfId="15508"/>
    <cellStyle name="40% - 강조색3 7 2 2" xfId="15509"/>
    <cellStyle name="40% - 강조색3 7 2 2 2" xfId="15510"/>
    <cellStyle name="40% - 강조색3 7 2 2 2 2" xfId="15511"/>
    <cellStyle name="40% - 강조색3 7 2 2 2 2 2" xfId="15512"/>
    <cellStyle name="40% - 강조색3 7 2 2 2 2 3" xfId="15513"/>
    <cellStyle name="40% - 강조색3 7 2 2 2 3" xfId="15514"/>
    <cellStyle name="40% - 강조색3 7 2 2 2 4" xfId="15515"/>
    <cellStyle name="40% - 강조색3 7 2 2 3" xfId="15516"/>
    <cellStyle name="40% - 강조색3 7 2 2 3 2" xfId="15517"/>
    <cellStyle name="40% - 강조색3 7 2 2 3 3" xfId="15518"/>
    <cellStyle name="40% - 강조색3 7 2 2 4" xfId="15519"/>
    <cellStyle name="40% - 강조색3 7 2 2 5" xfId="15520"/>
    <cellStyle name="40% - 강조색3 7 2 3" xfId="15521"/>
    <cellStyle name="40% - 강조색3 7 2 3 2" xfId="15522"/>
    <cellStyle name="40% - 강조색3 7 2 3 2 2" xfId="15523"/>
    <cellStyle name="40% - 강조색3 7 2 3 2 2 2" xfId="15524"/>
    <cellStyle name="40% - 강조색3 7 2 3 2 2 3" xfId="15525"/>
    <cellStyle name="40% - 강조색3 7 2 3 2 3" xfId="15526"/>
    <cellStyle name="40% - 강조색3 7 2 3 2 4" xfId="15527"/>
    <cellStyle name="40% - 강조색3 7 2 3 3" xfId="15528"/>
    <cellStyle name="40% - 강조색3 7 2 3 3 2" xfId="15529"/>
    <cellStyle name="40% - 강조색3 7 2 3 3 3" xfId="15530"/>
    <cellStyle name="40% - 강조색3 7 2 3 4" xfId="15531"/>
    <cellStyle name="40% - 강조색3 7 2 3 5" xfId="15532"/>
    <cellStyle name="40% - 강조색3 7 2 4" xfId="15533"/>
    <cellStyle name="40% - 강조색3 7 2 4 2" xfId="15534"/>
    <cellStyle name="40% - 강조색3 7 2 4 2 2" xfId="15535"/>
    <cellStyle name="40% - 강조색3 7 2 4 2 3" xfId="15536"/>
    <cellStyle name="40% - 강조색3 7 2 4 3" xfId="15537"/>
    <cellStyle name="40% - 강조색3 7 2 4 4" xfId="15538"/>
    <cellStyle name="40% - 강조색3 7 2 5" xfId="15539"/>
    <cellStyle name="40% - 강조색3 7 2 5 2" xfId="15540"/>
    <cellStyle name="40% - 강조색3 7 2 5 3" xfId="15541"/>
    <cellStyle name="40% - 강조색3 7 2 6" xfId="15542"/>
    <cellStyle name="40% - 강조색3 7 2 7" xfId="15543"/>
    <cellStyle name="40% - 강조색3 7 3" xfId="15544"/>
    <cellStyle name="40% - 강조색3 7 3 2" xfId="15545"/>
    <cellStyle name="40% - 강조색3 7 3 2 2" xfId="15546"/>
    <cellStyle name="40% - 강조색3 7 3 2 2 2" xfId="15547"/>
    <cellStyle name="40% - 강조색3 7 3 2 2 2 2" xfId="15548"/>
    <cellStyle name="40% - 강조색3 7 3 2 2 2 3" xfId="15549"/>
    <cellStyle name="40% - 강조색3 7 3 2 2 3" xfId="15550"/>
    <cellStyle name="40% - 강조색3 7 3 2 2 4" xfId="15551"/>
    <cellStyle name="40% - 강조색3 7 3 2 3" xfId="15552"/>
    <cellStyle name="40% - 강조색3 7 3 2 3 2" xfId="15553"/>
    <cellStyle name="40% - 강조색3 7 3 2 3 3" xfId="15554"/>
    <cellStyle name="40% - 강조색3 7 3 2 4" xfId="15555"/>
    <cellStyle name="40% - 강조색3 7 3 2 5" xfId="15556"/>
    <cellStyle name="40% - 강조색3 7 3 3" xfId="15557"/>
    <cellStyle name="40% - 강조색3 7 3 3 2" xfId="15558"/>
    <cellStyle name="40% - 강조색3 7 3 3 2 2" xfId="15559"/>
    <cellStyle name="40% - 강조색3 7 3 3 2 2 2" xfId="15560"/>
    <cellStyle name="40% - 강조색3 7 3 3 2 2 3" xfId="15561"/>
    <cellStyle name="40% - 강조색3 7 3 3 2 3" xfId="15562"/>
    <cellStyle name="40% - 강조색3 7 3 3 2 4" xfId="15563"/>
    <cellStyle name="40% - 강조색3 7 3 3 3" xfId="15564"/>
    <cellStyle name="40% - 강조색3 7 3 3 3 2" xfId="15565"/>
    <cellStyle name="40% - 강조색3 7 3 3 3 3" xfId="15566"/>
    <cellStyle name="40% - 강조색3 7 3 3 4" xfId="15567"/>
    <cellStyle name="40% - 강조색3 7 3 3 5" xfId="15568"/>
    <cellStyle name="40% - 강조색3 7 3 4" xfId="15569"/>
    <cellStyle name="40% - 강조색3 7 3 4 2" xfId="15570"/>
    <cellStyle name="40% - 강조색3 7 3 4 2 2" xfId="15571"/>
    <cellStyle name="40% - 강조색3 7 3 4 2 3" xfId="15572"/>
    <cellStyle name="40% - 강조색3 7 3 4 3" xfId="15573"/>
    <cellStyle name="40% - 강조색3 7 3 4 4" xfId="15574"/>
    <cellStyle name="40% - 강조색3 7 3 5" xfId="15575"/>
    <cellStyle name="40% - 강조색3 7 3 5 2" xfId="15576"/>
    <cellStyle name="40% - 강조색3 7 3 5 3" xfId="15577"/>
    <cellStyle name="40% - 강조색3 7 3 6" xfId="15578"/>
    <cellStyle name="40% - 강조색3 7 3 7" xfId="15579"/>
    <cellStyle name="40% - 강조색3 7 4" xfId="15580"/>
    <cellStyle name="40% - 강조색3 7 4 2" xfId="15581"/>
    <cellStyle name="40% - 강조색3 7 4 2 2" xfId="15582"/>
    <cellStyle name="40% - 강조색3 7 4 2 2 2" xfId="15583"/>
    <cellStyle name="40% - 강조색3 7 4 2 2 3" xfId="15584"/>
    <cellStyle name="40% - 강조색3 7 4 2 3" xfId="15585"/>
    <cellStyle name="40% - 강조색3 7 4 2 4" xfId="15586"/>
    <cellStyle name="40% - 강조색3 7 4 3" xfId="15587"/>
    <cellStyle name="40% - 강조색3 7 4 3 2" xfId="15588"/>
    <cellStyle name="40% - 강조색3 7 4 3 3" xfId="15589"/>
    <cellStyle name="40% - 강조색3 7 4 4" xfId="15590"/>
    <cellStyle name="40% - 강조색3 7 4 5" xfId="15591"/>
    <cellStyle name="40% - 강조색3 7 5" xfId="15592"/>
    <cellStyle name="40% - 강조색3 7 5 2" xfId="15593"/>
    <cellStyle name="40% - 강조색3 7 5 2 2" xfId="15594"/>
    <cellStyle name="40% - 강조색3 7 5 2 2 2" xfId="15595"/>
    <cellStyle name="40% - 강조색3 7 5 2 2 3" xfId="15596"/>
    <cellStyle name="40% - 강조색3 7 5 2 3" xfId="15597"/>
    <cellStyle name="40% - 강조색3 7 5 2 4" xfId="15598"/>
    <cellStyle name="40% - 강조색3 7 5 3" xfId="15599"/>
    <cellStyle name="40% - 강조색3 7 5 3 2" xfId="15600"/>
    <cellStyle name="40% - 강조색3 7 5 3 3" xfId="15601"/>
    <cellStyle name="40% - 강조색3 7 5 4" xfId="15602"/>
    <cellStyle name="40% - 강조색3 7 5 5" xfId="15603"/>
    <cellStyle name="40% - 강조색3 7 6" xfId="15604"/>
    <cellStyle name="40% - 강조색3 7 6 2" xfId="15605"/>
    <cellStyle name="40% - 강조색3 7 6 2 2" xfId="15606"/>
    <cellStyle name="40% - 강조색3 7 6 2 2 2" xfId="15607"/>
    <cellStyle name="40% - 강조색3 7 6 2 2 3" xfId="15608"/>
    <cellStyle name="40% - 강조색3 7 6 2 3" xfId="15609"/>
    <cellStyle name="40% - 강조색3 7 6 2 4" xfId="15610"/>
    <cellStyle name="40% - 강조색3 7 6 3" xfId="15611"/>
    <cellStyle name="40% - 강조색3 7 6 3 2" xfId="15612"/>
    <cellStyle name="40% - 강조색3 7 6 3 3" xfId="15613"/>
    <cellStyle name="40% - 강조색3 7 6 4" xfId="15614"/>
    <cellStyle name="40% - 강조색3 7 6 5" xfId="15615"/>
    <cellStyle name="40% - 강조색3 7 7" xfId="15616"/>
    <cellStyle name="40% - 강조색3 7 7 2" xfId="15617"/>
    <cellStyle name="40% - 강조색3 7 7 2 2" xfId="15618"/>
    <cellStyle name="40% - 강조색3 7 7 2 3" xfId="15619"/>
    <cellStyle name="40% - 강조색3 7 7 3" xfId="15620"/>
    <cellStyle name="40% - 강조색3 7 7 4" xfId="15621"/>
    <cellStyle name="40% - 강조색3 7 8" xfId="15622"/>
    <cellStyle name="40% - 강조색3 7 8 2" xfId="15623"/>
    <cellStyle name="40% - 강조색3 7 8 3" xfId="15624"/>
    <cellStyle name="40% - 강조색3 7 9" xfId="15625"/>
    <cellStyle name="40% - 강조색3 8" xfId="15626"/>
    <cellStyle name="40% - 강조색3 8 2" xfId="15627"/>
    <cellStyle name="40% - 강조색3 8 2 2" xfId="15628"/>
    <cellStyle name="40% - 강조색3 8 2 2 2" xfId="15629"/>
    <cellStyle name="40% - 강조색3 8 2 2 2 2" xfId="15630"/>
    <cellStyle name="40% - 강조색3 8 2 2 2 3" xfId="15631"/>
    <cellStyle name="40% - 강조색3 8 2 2 3" xfId="15632"/>
    <cellStyle name="40% - 강조색3 8 2 2 4" xfId="15633"/>
    <cellStyle name="40% - 강조색3 8 2 3" xfId="15634"/>
    <cellStyle name="40% - 강조색3 8 2 3 2" xfId="15635"/>
    <cellStyle name="40% - 강조색3 8 2 3 3" xfId="15636"/>
    <cellStyle name="40% - 강조색3 8 2 4" xfId="15637"/>
    <cellStyle name="40% - 강조색3 8 2 5" xfId="15638"/>
    <cellStyle name="40% - 강조색3 8 3" xfId="15639"/>
    <cellStyle name="40% - 강조색3 8 3 2" xfId="15640"/>
    <cellStyle name="40% - 강조색3 8 3 2 2" xfId="15641"/>
    <cellStyle name="40% - 강조색3 8 3 2 2 2" xfId="15642"/>
    <cellStyle name="40% - 강조색3 8 3 2 2 3" xfId="15643"/>
    <cellStyle name="40% - 강조색3 8 3 2 3" xfId="15644"/>
    <cellStyle name="40% - 강조색3 8 3 2 4" xfId="15645"/>
    <cellStyle name="40% - 강조색3 8 3 3" xfId="15646"/>
    <cellStyle name="40% - 강조색3 8 3 3 2" xfId="15647"/>
    <cellStyle name="40% - 강조색3 8 3 3 3" xfId="15648"/>
    <cellStyle name="40% - 강조색3 8 3 4" xfId="15649"/>
    <cellStyle name="40% - 강조색3 8 3 5" xfId="15650"/>
    <cellStyle name="40% - 강조색3 8 4" xfId="15651"/>
    <cellStyle name="40% - 강조색3 8 4 2" xfId="15652"/>
    <cellStyle name="40% - 강조색3 8 4 2 2" xfId="15653"/>
    <cellStyle name="40% - 강조색3 8 4 2 3" xfId="15654"/>
    <cellStyle name="40% - 강조색3 8 4 3" xfId="15655"/>
    <cellStyle name="40% - 강조색3 8 4 4" xfId="15656"/>
    <cellStyle name="40% - 강조색3 8 5" xfId="15657"/>
    <cellStyle name="40% - 강조색3 8 5 2" xfId="15658"/>
    <cellStyle name="40% - 강조색3 8 5 3" xfId="15659"/>
    <cellStyle name="40% - 강조색3 8 6" xfId="15660"/>
    <cellStyle name="40% - 강조색3 8 7" xfId="15661"/>
    <cellStyle name="40% - 강조색3 9" xfId="15662"/>
    <cellStyle name="40% - 강조색3 9 2" xfId="15663"/>
    <cellStyle name="40% - 강조색3 9 2 2" xfId="15664"/>
    <cellStyle name="40% - 강조색3 9 2 2 2" xfId="15665"/>
    <cellStyle name="40% - 강조색3 9 2 2 2 2" xfId="15666"/>
    <cellStyle name="40% - 강조색3 9 2 2 2 3" xfId="15667"/>
    <cellStyle name="40% - 강조색3 9 2 2 3" xfId="15668"/>
    <cellStyle name="40% - 강조색3 9 2 2 4" xfId="15669"/>
    <cellStyle name="40% - 강조색3 9 2 3" xfId="15670"/>
    <cellStyle name="40% - 강조색3 9 2 3 2" xfId="15671"/>
    <cellStyle name="40% - 강조색3 9 2 3 3" xfId="15672"/>
    <cellStyle name="40% - 강조색3 9 2 4" xfId="15673"/>
    <cellStyle name="40% - 강조색3 9 2 5" xfId="15674"/>
    <cellStyle name="40% - 강조색3 9 3" xfId="15675"/>
    <cellStyle name="40% - 강조색3 9 3 2" xfId="15676"/>
    <cellStyle name="40% - 강조색3 9 3 2 2" xfId="15677"/>
    <cellStyle name="40% - 강조색3 9 3 2 2 2" xfId="15678"/>
    <cellStyle name="40% - 강조색3 9 3 2 2 3" xfId="15679"/>
    <cellStyle name="40% - 강조색3 9 3 2 3" xfId="15680"/>
    <cellStyle name="40% - 강조색3 9 3 2 4" xfId="15681"/>
    <cellStyle name="40% - 강조색3 9 3 3" xfId="15682"/>
    <cellStyle name="40% - 강조색3 9 3 3 2" xfId="15683"/>
    <cellStyle name="40% - 강조색3 9 3 3 3" xfId="15684"/>
    <cellStyle name="40% - 강조색3 9 3 4" xfId="15685"/>
    <cellStyle name="40% - 강조색3 9 3 5" xfId="15686"/>
    <cellStyle name="40% - 강조색3 9 4" xfId="15687"/>
    <cellStyle name="40% - 강조색3 9 4 2" xfId="15688"/>
    <cellStyle name="40% - 강조색3 9 4 2 2" xfId="15689"/>
    <cellStyle name="40% - 강조색3 9 4 2 3" xfId="15690"/>
    <cellStyle name="40% - 강조색3 9 4 3" xfId="15691"/>
    <cellStyle name="40% - 강조색3 9 4 4" xfId="15692"/>
    <cellStyle name="40% - 강조색3 9 5" xfId="15693"/>
    <cellStyle name="40% - 강조색3 9 5 2" xfId="15694"/>
    <cellStyle name="40% - 강조색3 9 5 3" xfId="15695"/>
    <cellStyle name="40% - 강조색3 9 6" xfId="15696"/>
    <cellStyle name="40% - 강조색3 9 7" xfId="15697"/>
    <cellStyle name="40% - 강조색4 10" xfId="15698"/>
    <cellStyle name="40% - 강조색4 10 2" xfId="15699"/>
    <cellStyle name="40% - 강조색4 10 2 2" xfId="15700"/>
    <cellStyle name="40% - 강조색4 10 2 2 2" xfId="15701"/>
    <cellStyle name="40% - 강조색4 10 2 2 2 2" xfId="15702"/>
    <cellStyle name="40% - 강조색4 10 2 2 2 3" xfId="15703"/>
    <cellStyle name="40% - 강조색4 10 2 2 3" xfId="15704"/>
    <cellStyle name="40% - 강조색4 10 2 2 4" xfId="15705"/>
    <cellStyle name="40% - 강조색4 10 2 3" xfId="15706"/>
    <cellStyle name="40% - 강조색4 10 2 3 2" xfId="15707"/>
    <cellStyle name="40% - 강조색4 10 2 3 3" xfId="15708"/>
    <cellStyle name="40% - 강조색4 10 2 4" xfId="15709"/>
    <cellStyle name="40% - 강조색4 10 2 5" xfId="15710"/>
    <cellStyle name="40% - 강조색4 10 3" xfId="15711"/>
    <cellStyle name="40% - 강조색4 10 3 2" xfId="15712"/>
    <cellStyle name="40% - 강조색4 10 3 2 2" xfId="15713"/>
    <cellStyle name="40% - 강조색4 10 3 2 2 2" xfId="15714"/>
    <cellStyle name="40% - 강조색4 10 3 2 2 3" xfId="15715"/>
    <cellStyle name="40% - 강조색4 10 3 2 3" xfId="15716"/>
    <cellStyle name="40% - 강조색4 10 3 2 4" xfId="15717"/>
    <cellStyle name="40% - 강조색4 10 3 3" xfId="15718"/>
    <cellStyle name="40% - 강조색4 10 3 3 2" xfId="15719"/>
    <cellStyle name="40% - 강조색4 10 3 3 3" xfId="15720"/>
    <cellStyle name="40% - 강조색4 10 3 4" xfId="15721"/>
    <cellStyle name="40% - 강조색4 10 3 5" xfId="15722"/>
    <cellStyle name="40% - 강조색4 10 4" xfId="15723"/>
    <cellStyle name="40% - 강조색4 10 4 2" xfId="15724"/>
    <cellStyle name="40% - 강조색4 10 4 2 2" xfId="15725"/>
    <cellStyle name="40% - 강조색4 10 4 2 3" xfId="15726"/>
    <cellStyle name="40% - 강조색4 10 4 3" xfId="15727"/>
    <cellStyle name="40% - 강조색4 10 4 4" xfId="15728"/>
    <cellStyle name="40% - 강조색4 10 5" xfId="15729"/>
    <cellStyle name="40% - 강조색4 10 5 2" xfId="15730"/>
    <cellStyle name="40% - 강조색4 10 5 3" xfId="15731"/>
    <cellStyle name="40% - 강조색4 10 6" xfId="15732"/>
    <cellStyle name="40% - 강조색4 10 7" xfId="15733"/>
    <cellStyle name="40% - 강조색4 11" xfId="15734"/>
    <cellStyle name="40% - 강조색4 11 2" xfId="15735"/>
    <cellStyle name="40% - 강조색4 11 2 2" xfId="15736"/>
    <cellStyle name="40% - 강조색4 11 2 2 2" xfId="15737"/>
    <cellStyle name="40% - 강조색4 11 2 2 3" xfId="15738"/>
    <cellStyle name="40% - 강조색4 11 2 3" xfId="15739"/>
    <cellStyle name="40% - 강조색4 11 2 4" xfId="15740"/>
    <cellStyle name="40% - 강조색4 11 3" xfId="15741"/>
    <cellStyle name="40% - 강조색4 11 3 2" xfId="15742"/>
    <cellStyle name="40% - 강조색4 11 3 3" xfId="15743"/>
    <cellStyle name="40% - 강조색4 11 4" xfId="15744"/>
    <cellStyle name="40% - 강조색4 11 5" xfId="15745"/>
    <cellStyle name="40% - 강조색4 12" xfId="15746"/>
    <cellStyle name="40% - 강조색4 12 2" xfId="15747"/>
    <cellStyle name="40% - 강조색4 12 2 2" xfId="15748"/>
    <cellStyle name="40% - 강조색4 12 2 2 2" xfId="15749"/>
    <cellStyle name="40% - 강조색4 12 2 2 3" xfId="15750"/>
    <cellStyle name="40% - 강조색4 12 2 3" xfId="15751"/>
    <cellStyle name="40% - 강조색4 12 2 4" xfId="15752"/>
    <cellStyle name="40% - 강조색4 12 3" xfId="15753"/>
    <cellStyle name="40% - 강조색4 12 3 2" xfId="15754"/>
    <cellStyle name="40% - 강조색4 12 3 3" xfId="15755"/>
    <cellStyle name="40% - 강조색4 12 4" xfId="15756"/>
    <cellStyle name="40% - 강조색4 12 5" xfId="15757"/>
    <cellStyle name="40% - 강조색4 13" xfId="15758"/>
    <cellStyle name="40% - 강조색4 13 2" xfId="15759"/>
    <cellStyle name="40% - 강조색4 13 2 2" xfId="15760"/>
    <cellStyle name="40% - 강조색4 13 2 3" xfId="15761"/>
    <cellStyle name="40% - 강조색4 13 3" xfId="15762"/>
    <cellStyle name="40% - 강조색4 13 4" xfId="15763"/>
    <cellStyle name="40% - 강조색4 14" xfId="15764"/>
    <cellStyle name="40% - 강조색4 14 2" xfId="15765"/>
    <cellStyle name="40% - 강조색4 14 2 2" xfId="15766"/>
    <cellStyle name="40% - 강조색4 14 2 3" xfId="15767"/>
    <cellStyle name="40% - 강조색4 14 3" xfId="15768"/>
    <cellStyle name="40% - 강조색4 14 4" xfId="15769"/>
    <cellStyle name="40% - 강조색4 15" xfId="15770"/>
    <cellStyle name="40% - 강조색4 15 2" xfId="15771"/>
    <cellStyle name="40% - 강조색4 15 3" xfId="15772"/>
    <cellStyle name="40% - 강조색4 16" xfId="15773"/>
    <cellStyle name="40% - 강조색4 16 2" xfId="15774"/>
    <cellStyle name="40% - 강조색4 16 3" xfId="15775"/>
    <cellStyle name="40% - 강조색4 16 4" xfId="15776"/>
    <cellStyle name="40% - 강조색4 17" xfId="15777"/>
    <cellStyle name="40% - 강조색4 17 2" xfId="15778"/>
    <cellStyle name="40% - 강조색4 17 3" xfId="15779"/>
    <cellStyle name="40% - 강조색4 18" xfId="15780"/>
    <cellStyle name="40% - 강조색4 18 2" xfId="15781"/>
    <cellStyle name="40% - 강조색4 18 3" xfId="15782"/>
    <cellStyle name="40% - 강조색4 19" xfId="15783"/>
    <cellStyle name="40% - 강조색4 19 2" xfId="15784"/>
    <cellStyle name="40% - 강조색4 19 3" xfId="15785"/>
    <cellStyle name="40% - 강조색4 2" xfId="15786"/>
    <cellStyle name="40% - 강조색4 2 2" xfId="15787"/>
    <cellStyle name="40% - 강조색4 2 2 2" xfId="15788"/>
    <cellStyle name="40% - 강조색4 2 2 2 2" xfId="15789"/>
    <cellStyle name="40% - 강조색4 2 2 3" xfId="15790"/>
    <cellStyle name="40% - 강조색4 2 3" xfId="15791"/>
    <cellStyle name="40% - 강조색4 2 3 2" xfId="15792"/>
    <cellStyle name="40% - 강조색4 2 3 2 2" xfId="15793"/>
    <cellStyle name="40% - 강조색4 2 3 3" xfId="15794"/>
    <cellStyle name="40% - 강조색4 2 4" xfId="15795"/>
    <cellStyle name="40% - 강조색4 2 4 2" xfId="15796"/>
    <cellStyle name="40% - 강조색4 2 5" xfId="15797"/>
    <cellStyle name="40% - 강조색4 2 6" xfId="15798"/>
    <cellStyle name="40% - 강조색4 20" xfId="15799"/>
    <cellStyle name="40% - 강조색4 20 2" xfId="15800"/>
    <cellStyle name="40% - 강조색4 20 3" xfId="15801"/>
    <cellStyle name="40% - 강조색4 21" xfId="15802"/>
    <cellStyle name="40% - 강조색4 21 2" xfId="15803"/>
    <cellStyle name="40% - 강조색4 21 3" xfId="15804"/>
    <cellStyle name="40% - 강조색4 22" xfId="15805"/>
    <cellStyle name="40% - 강조색4 22 2" xfId="15806"/>
    <cellStyle name="40% - 강조색4 22 3" xfId="15807"/>
    <cellStyle name="40% - 강조색4 23" xfId="15808"/>
    <cellStyle name="40% - 강조색4 23 2" xfId="15809"/>
    <cellStyle name="40% - 강조색4 23 3" xfId="15810"/>
    <cellStyle name="40% - 강조색4 24" xfId="15811"/>
    <cellStyle name="40% - 강조색4 24 2" xfId="15812"/>
    <cellStyle name="40% - 강조색4 25" xfId="15813"/>
    <cellStyle name="40% - 강조색4 25 2" xfId="15814"/>
    <cellStyle name="40% - 강조색4 26" xfId="15815"/>
    <cellStyle name="40% - 강조색4 26 2" xfId="15816"/>
    <cellStyle name="40% - 강조색4 27" xfId="15817"/>
    <cellStyle name="40% - 강조색4 27 2" xfId="15818"/>
    <cellStyle name="40% - 강조색4 28" xfId="15819"/>
    <cellStyle name="40% - 강조색4 28 2" xfId="15820"/>
    <cellStyle name="40% - 강조색4 29" xfId="15821"/>
    <cellStyle name="40% - 강조색4 29 2" xfId="15822"/>
    <cellStyle name="40% - 강조색4 3" xfId="15823"/>
    <cellStyle name="40% - 강조색4 3 10" xfId="15824"/>
    <cellStyle name="40% - 강조색4 3 10 2" xfId="15825"/>
    <cellStyle name="40% - 강조색4 3 10 2 2" xfId="15826"/>
    <cellStyle name="40% - 강조색4 3 10 2 3" xfId="15827"/>
    <cellStyle name="40% - 강조색4 3 10 3" xfId="15828"/>
    <cellStyle name="40% - 강조색4 3 10 4" xfId="15829"/>
    <cellStyle name="40% - 강조색4 3 11" xfId="15830"/>
    <cellStyle name="40% - 강조색4 3 11 2" xfId="15831"/>
    <cellStyle name="40% - 강조색4 3 11 3" xfId="15832"/>
    <cellStyle name="40% - 강조색4 3 12" xfId="15833"/>
    <cellStyle name="40% - 강조색4 3 13" xfId="15834"/>
    <cellStyle name="40% - 강조색4 3 14" xfId="15835"/>
    <cellStyle name="40% - 강조색4 3 15" xfId="15836"/>
    <cellStyle name="40% - 강조색4 3 2" xfId="15837"/>
    <cellStyle name="40% - 강조색4 3 2 10" xfId="15838"/>
    <cellStyle name="40% - 강조색4 3 2 11" xfId="15839"/>
    <cellStyle name="40% - 강조색4 3 2 12" xfId="15840"/>
    <cellStyle name="40% - 강조색4 3 2 2" xfId="15841"/>
    <cellStyle name="40% - 강조색4 3 2 2 2" xfId="15842"/>
    <cellStyle name="40% - 강조색4 3 2 2 2 2" xfId="15843"/>
    <cellStyle name="40% - 강조색4 3 2 2 2 2 2" xfId="15844"/>
    <cellStyle name="40% - 강조색4 3 2 2 2 2 2 2" xfId="15845"/>
    <cellStyle name="40% - 강조색4 3 2 2 2 2 2 3" xfId="15846"/>
    <cellStyle name="40% - 강조색4 3 2 2 2 2 3" xfId="15847"/>
    <cellStyle name="40% - 강조색4 3 2 2 2 2 4" xfId="15848"/>
    <cellStyle name="40% - 강조색4 3 2 2 2 3" xfId="15849"/>
    <cellStyle name="40% - 강조색4 3 2 2 2 3 2" xfId="15850"/>
    <cellStyle name="40% - 강조색4 3 2 2 2 3 3" xfId="15851"/>
    <cellStyle name="40% - 강조색4 3 2 2 2 4" xfId="15852"/>
    <cellStyle name="40% - 강조색4 3 2 2 2 5" xfId="15853"/>
    <cellStyle name="40% - 강조색4 3 2 2 3" xfId="15854"/>
    <cellStyle name="40% - 강조색4 3 2 2 3 2" xfId="15855"/>
    <cellStyle name="40% - 강조색4 3 2 2 3 2 2" xfId="15856"/>
    <cellStyle name="40% - 강조색4 3 2 2 3 2 2 2" xfId="15857"/>
    <cellStyle name="40% - 강조색4 3 2 2 3 2 2 3" xfId="15858"/>
    <cellStyle name="40% - 강조색4 3 2 2 3 2 3" xfId="15859"/>
    <cellStyle name="40% - 강조색4 3 2 2 3 2 4" xfId="15860"/>
    <cellStyle name="40% - 강조색4 3 2 2 3 3" xfId="15861"/>
    <cellStyle name="40% - 강조색4 3 2 2 3 3 2" xfId="15862"/>
    <cellStyle name="40% - 강조색4 3 2 2 3 3 3" xfId="15863"/>
    <cellStyle name="40% - 강조색4 3 2 2 3 4" xfId="15864"/>
    <cellStyle name="40% - 강조색4 3 2 2 3 5" xfId="15865"/>
    <cellStyle name="40% - 강조색4 3 2 2 4" xfId="15866"/>
    <cellStyle name="40% - 강조색4 3 2 2 4 2" xfId="15867"/>
    <cellStyle name="40% - 강조색4 3 2 2 4 2 2" xfId="15868"/>
    <cellStyle name="40% - 강조색4 3 2 2 4 2 3" xfId="15869"/>
    <cellStyle name="40% - 강조색4 3 2 2 4 3" xfId="15870"/>
    <cellStyle name="40% - 강조색4 3 2 2 4 4" xfId="15871"/>
    <cellStyle name="40% - 강조색4 3 2 2 5" xfId="15872"/>
    <cellStyle name="40% - 강조색4 3 2 2 5 2" xfId="15873"/>
    <cellStyle name="40% - 강조색4 3 2 2 5 3" xfId="15874"/>
    <cellStyle name="40% - 강조색4 3 2 2 6" xfId="15875"/>
    <cellStyle name="40% - 강조색4 3 2 2 7" xfId="15876"/>
    <cellStyle name="40% - 강조색4 3 2 2 8" xfId="15877"/>
    <cellStyle name="40% - 강조색4 3 2 2 9" xfId="15878"/>
    <cellStyle name="40% - 강조색4 3 2 3" xfId="15879"/>
    <cellStyle name="40% - 강조색4 3 2 3 2" xfId="15880"/>
    <cellStyle name="40% - 강조색4 3 2 3 2 2" xfId="15881"/>
    <cellStyle name="40% - 강조색4 3 2 3 2 2 2" xfId="15882"/>
    <cellStyle name="40% - 강조색4 3 2 3 2 2 2 2" xfId="15883"/>
    <cellStyle name="40% - 강조색4 3 2 3 2 2 2 3" xfId="15884"/>
    <cellStyle name="40% - 강조색4 3 2 3 2 2 3" xfId="15885"/>
    <cellStyle name="40% - 강조색4 3 2 3 2 2 4" xfId="15886"/>
    <cellStyle name="40% - 강조색4 3 2 3 2 3" xfId="15887"/>
    <cellStyle name="40% - 강조색4 3 2 3 2 3 2" xfId="15888"/>
    <cellStyle name="40% - 강조색4 3 2 3 2 3 3" xfId="15889"/>
    <cellStyle name="40% - 강조색4 3 2 3 2 4" xfId="15890"/>
    <cellStyle name="40% - 강조색4 3 2 3 2 5" xfId="15891"/>
    <cellStyle name="40% - 강조색4 3 2 3 3" xfId="15892"/>
    <cellStyle name="40% - 강조색4 3 2 3 3 2" xfId="15893"/>
    <cellStyle name="40% - 강조색4 3 2 3 3 2 2" xfId="15894"/>
    <cellStyle name="40% - 강조색4 3 2 3 3 2 2 2" xfId="15895"/>
    <cellStyle name="40% - 강조색4 3 2 3 3 2 2 3" xfId="15896"/>
    <cellStyle name="40% - 강조색4 3 2 3 3 2 3" xfId="15897"/>
    <cellStyle name="40% - 강조색4 3 2 3 3 2 4" xfId="15898"/>
    <cellStyle name="40% - 강조색4 3 2 3 3 3" xfId="15899"/>
    <cellStyle name="40% - 강조색4 3 2 3 3 3 2" xfId="15900"/>
    <cellStyle name="40% - 강조색4 3 2 3 3 3 3" xfId="15901"/>
    <cellStyle name="40% - 강조색4 3 2 3 3 4" xfId="15902"/>
    <cellStyle name="40% - 강조색4 3 2 3 3 5" xfId="15903"/>
    <cellStyle name="40% - 강조색4 3 2 3 4" xfId="15904"/>
    <cellStyle name="40% - 강조색4 3 2 3 4 2" xfId="15905"/>
    <cellStyle name="40% - 강조색4 3 2 3 4 2 2" xfId="15906"/>
    <cellStyle name="40% - 강조색4 3 2 3 4 2 3" xfId="15907"/>
    <cellStyle name="40% - 강조색4 3 2 3 4 3" xfId="15908"/>
    <cellStyle name="40% - 강조색4 3 2 3 4 4" xfId="15909"/>
    <cellStyle name="40% - 강조색4 3 2 3 5" xfId="15910"/>
    <cellStyle name="40% - 강조색4 3 2 3 5 2" xfId="15911"/>
    <cellStyle name="40% - 강조색4 3 2 3 5 3" xfId="15912"/>
    <cellStyle name="40% - 강조색4 3 2 3 6" xfId="15913"/>
    <cellStyle name="40% - 강조색4 3 2 3 7" xfId="15914"/>
    <cellStyle name="40% - 강조색4 3 2 4" xfId="15915"/>
    <cellStyle name="40% - 강조색4 3 2 4 2" xfId="15916"/>
    <cellStyle name="40% - 강조색4 3 2 4 2 2" xfId="15917"/>
    <cellStyle name="40% - 강조색4 3 2 4 2 2 2" xfId="15918"/>
    <cellStyle name="40% - 강조색4 3 2 4 2 2 3" xfId="15919"/>
    <cellStyle name="40% - 강조색4 3 2 4 2 3" xfId="15920"/>
    <cellStyle name="40% - 강조색4 3 2 4 2 4" xfId="15921"/>
    <cellStyle name="40% - 강조색4 3 2 4 3" xfId="15922"/>
    <cellStyle name="40% - 강조색4 3 2 4 3 2" xfId="15923"/>
    <cellStyle name="40% - 강조색4 3 2 4 3 3" xfId="15924"/>
    <cellStyle name="40% - 강조색4 3 2 4 4" xfId="15925"/>
    <cellStyle name="40% - 강조색4 3 2 4 5" xfId="15926"/>
    <cellStyle name="40% - 강조색4 3 2 5" xfId="15927"/>
    <cellStyle name="40% - 강조색4 3 2 5 2" xfId="15928"/>
    <cellStyle name="40% - 강조색4 3 2 5 2 2" xfId="15929"/>
    <cellStyle name="40% - 강조색4 3 2 5 2 2 2" xfId="15930"/>
    <cellStyle name="40% - 강조색4 3 2 5 2 2 3" xfId="15931"/>
    <cellStyle name="40% - 강조색4 3 2 5 2 3" xfId="15932"/>
    <cellStyle name="40% - 강조색4 3 2 5 2 4" xfId="15933"/>
    <cellStyle name="40% - 강조색4 3 2 5 3" xfId="15934"/>
    <cellStyle name="40% - 강조색4 3 2 5 3 2" xfId="15935"/>
    <cellStyle name="40% - 강조색4 3 2 5 3 3" xfId="15936"/>
    <cellStyle name="40% - 강조색4 3 2 5 4" xfId="15937"/>
    <cellStyle name="40% - 강조색4 3 2 5 5" xfId="15938"/>
    <cellStyle name="40% - 강조색4 3 2 6" xfId="15939"/>
    <cellStyle name="40% - 강조색4 3 2 6 2" xfId="15940"/>
    <cellStyle name="40% - 강조색4 3 2 6 2 2" xfId="15941"/>
    <cellStyle name="40% - 강조색4 3 2 6 2 2 2" xfId="15942"/>
    <cellStyle name="40% - 강조색4 3 2 6 2 2 3" xfId="15943"/>
    <cellStyle name="40% - 강조색4 3 2 6 2 3" xfId="15944"/>
    <cellStyle name="40% - 강조색4 3 2 6 2 4" xfId="15945"/>
    <cellStyle name="40% - 강조색4 3 2 6 3" xfId="15946"/>
    <cellStyle name="40% - 강조색4 3 2 6 3 2" xfId="15947"/>
    <cellStyle name="40% - 강조색4 3 2 6 3 3" xfId="15948"/>
    <cellStyle name="40% - 강조색4 3 2 6 4" xfId="15949"/>
    <cellStyle name="40% - 강조색4 3 2 6 5" xfId="15950"/>
    <cellStyle name="40% - 강조색4 3 2 7" xfId="15951"/>
    <cellStyle name="40% - 강조색4 3 2 7 2" xfId="15952"/>
    <cellStyle name="40% - 강조색4 3 2 7 2 2" xfId="15953"/>
    <cellStyle name="40% - 강조색4 3 2 7 2 3" xfId="15954"/>
    <cellStyle name="40% - 강조색4 3 2 7 3" xfId="15955"/>
    <cellStyle name="40% - 강조색4 3 2 7 4" xfId="15956"/>
    <cellStyle name="40% - 강조색4 3 2 8" xfId="15957"/>
    <cellStyle name="40% - 강조색4 3 2 8 2" xfId="15958"/>
    <cellStyle name="40% - 강조색4 3 2 8 3" xfId="15959"/>
    <cellStyle name="40% - 강조색4 3 2 9" xfId="15960"/>
    <cellStyle name="40% - 강조색4 3 3" xfId="15961"/>
    <cellStyle name="40% - 강조색4 3 3 10" xfId="15962"/>
    <cellStyle name="40% - 강조색4 3 3 11" xfId="15963"/>
    <cellStyle name="40% - 강조색4 3 3 12" xfId="15964"/>
    <cellStyle name="40% - 강조색4 3 3 2" xfId="15965"/>
    <cellStyle name="40% - 강조색4 3 3 2 2" xfId="15966"/>
    <cellStyle name="40% - 강조색4 3 3 2 2 2" xfId="15967"/>
    <cellStyle name="40% - 강조색4 3 3 2 2 2 2" xfId="15968"/>
    <cellStyle name="40% - 강조색4 3 3 2 2 2 2 2" xfId="15969"/>
    <cellStyle name="40% - 강조색4 3 3 2 2 2 2 3" xfId="15970"/>
    <cellStyle name="40% - 강조색4 3 3 2 2 2 3" xfId="15971"/>
    <cellStyle name="40% - 강조색4 3 3 2 2 2 4" xfId="15972"/>
    <cellStyle name="40% - 강조색4 3 3 2 2 3" xfId="15973"/>
    <cellStyle name="40% - 강조색4 3 3 2 2 3 2" xfId="15974"/>
    <cellStyle name="40% - 강조색4 3 3 2 2 3 3" xfId="15975"/>
    <cellStyle name="40% - 강조색4 3 3 2 2 4" xfId="15976"/>
    <cellStyle name="40% - 강조색4 3 3 2 2 5" xfId="15977"/>
    <cellStyle name="40% - 강조색4 3 3 2 3" xfId="15978"/>
    <cellStyle name="40% - 강조색4 3 3 2 3 2" xfId="15979"/>
    <cellStyle name="40% - 강조색4 3 3 2 3 2 2" xfId="15980"/>
    <cellStyle name="40% - 강조색4 3 3 2 3 2 2 2" xfId="15981"/>
    <cellStyle name="40% - 강조색4 3 3 2 3 2 2 3" xfId="15982"/>
    <cellStyle name="40% - 강조색4 3 3 2 3 2 3" xfId="15983"/>
    <cellStyle name="40% - 강조색4 3 3 2 3 2 4" xfId="15984"/>
    <cellStyle name="40% - 강조색4 3 3 2 3 3" xfId="15985"/>
    <cellStyle name="40% - 강조색4 3 3 2 3 3 2" xfId="15986"/>
    <cellStyle name="40% - 강조색4 3 3 2 3 3 3" xfId="15987"/>
    <cellStyle name="40% - 강조색4 3 3 2 3 4" xfId="15988"/>
    <cellStyle name="40% - 강조색4 3 3 2 3 5" xfId="15989"/>
    <cellStyle name="40% - 강조색4 3 3 2 4" xfId="15990"/>
    <cellStyle name="40% - 강조색4 3 3 2 4 2" xfId="15991"/>
    <cellStyle name="40% - 강조색4 3 3 2 4 2 2" xfId="15992"/>
    <cellStyle name="40% - 강조색4 3 3 2 4 2 3" xfId="15993"/>
    <cellStyle name="40% - 강조색4 3 3 2 4 3" xfId="15994"/>
    <cellStyle name="40% - 강조색4 3 3 2 4 4" xfId="15995"/>
    <cellStyle name="40% - 강조색4 3 3 2 5" xfId="15996"/>
    <cellStyle name="40% - 강조색4 3 3 2 5 2" xfId="15997"/>
    <cellStyle name="40% - 강조색4 3 3 2 5 3" xfId="15998"/>
    <cellStyle name="40% - 강조색4 3 3 2 6" xfId="15999"/>
    <cellStyle name="40% - 강조색4 3 3 2 7" xfId="16000"/>
    <cellStyle name="40% - 강조색4 3 3 2 8" xfId="16001"/>
    <cellStyle name="40% - 강조색4 3 3 2 9" xfId="16002"/>
    <cellStyle name="40% - 강조색4 3 3 3" xfId="16003"/>
    <cellStyle name="40% - 강조색4 3 3 3 2" xfId="16004"/>
    <cellStyle name="40% - 강조색4 3 3 3 2 2" xfId="16005"/>
    <cellStyle name="40% - 강조색4 3 3 3 2 2 2" xfId="16006"/>
    <cellStyle name="40% - 강조색4 3 3 3 2 2 2 2" xfId="16007"/>
    <cellStyle name="40% - 강조색4 3 3 3 2 2 2 3" xfId="16008"/>
    <cellStyle name="40% - 강조색4 3 3 3 2 2 3" xfId="16009"/>
    <cellStyle name="40% - 강조색4 3 3 3 2 2 4" xfId="16010"/>
    <cellStyle name="40% - 강조색4 3 3 3 2 3" xfId="16011"/>
    <cellStyle name="40% - 강조색4 3 3 3 2 3 2" xfId="16012"/>
    <cellStyle name="40% - 강조색4 3 3 3 2 3 3" xfId="16013"/>
    <cellStyle name="40% - 강조색4 3 3 3 2 4" xfId="16014"/>
    <cellStyle name="40% - 강조색4 3 3 3 2 5" xfId="16015"/>
    <cellStyle name="40% - 강조색4 3 3 3 3" xfId="16016"/>
    <cellStyle name="40% - 강조색4 3 3 3 3 2" xfId="16017"/>
    <cellStyle name="40% - 강조색4 3 3 3 3 2 2" xfId="16018"/>
    <cellStyle name="40% - 강조색4 3 3 3 3 2 2 2" xfId="16019"/>
    <cellStyle name="40% - 강조색4 3 3 3 3 2 2 3" xfId="16020"/>
    <cellStyle name="40% - 강조색4 3 3 3 3 2 3" xfId="16021"/>
    <cellStyle name="40% - 강조색4 3 3 3 3 2 4" xfId="16022"/>
    <cellStyle name="40% - 강조색4 3 3 3 3 3" xfId="16023"/>
    <cellStyle name="40% - 강조색4 3 3 3 3 3 2" xfId="16024"/>
    <cellStyle name="40% - 강조색4 3 3 3 3 3 3" xfId="16025"/>
    <cellStyle name="40% - 강조색4 3 3 3 3 4" xfId="16026"/>
    <cellStyle name="40% - 강조색4 3 3 3 3 5" xfId="16027"/>
    <cellStyle name="40% - 강조색4 3 3 3 4" xfId="16028"/>
    <cellStyle name="40% - 강조색4 3 3 3 4 2" xfId="16029"/>
    <cellStyle name="40% - 강조색4 3 3 3 4 2 2" xfId="16030"/>
    <cellStyle name="40% - 강조색4 3 3 3 4 2 3" xfId="16031"/>
    <cellStyle name="40% - 강조색4 3 3 3 4 3" xfId="16032"/>
    <cellStyle name="40% - 강조색4 3 3 3 4 4" xfId="16033"/>
    <cellStyle name="40% - 강조색4 3 3 3 5" xfId="16034"/>
    <cellStyle name="40% - 강조색4 3 3 3 5 2" xfId="16035"/>
    <cellStyle name="40% - 강조색4 3 3 3 5 3" xfId="16036"/>
    <cellStyle name="40% - 강조색4 3 3 3 6" xfId="16037"/>
    <cellStyle name="40% - 강조색4 3 3 3 7" xfId="16038"/>
    <cellStyle name="40% - 강조색4 3 3 4" xfId="16039"/>
    <cellStyle name="40% - 강조색4 3 3 4 2" xfId="16040"/>
    <cellStyle name="40% - 강조색4 3 3 4 2 2" xfId="16041"/>
    <cellStyle name="40% - 강조색4 3 3 4 2 2 2" xfId="16042"/>
    <cellStyle name="40% - 강조색4 3 3 4 2 2 3" xfId="16043"/>
    <cellStyle name="40% - 강조색4 3 3 4 2 3" xfId="16044"/>
    <cellStyle name="40% - 강조색4 3 3 4 2 4" xfId="16045"/>
    <cellStyle name="40% - 강조색4 3 3 4 3" xfId="16046"/>
    <cellStyle name="40% - 강조색4 3 3 4 3 2" xfId="16047"/>
    <cellStyle name="40% - 강조색4 3 3 4 3 3" xfId="16048"/>
    <cellStyle name="40% - 강조색4 3 3 4 4" xfId="16049"/>
    <cellStyle name="40% - 강조색4 3 3 4 5" xfId="16050"/>
    <cellStyle name="40% - 강조색4 3 3 5" xfId="16051"/>
    <cellStyle name="40% - 강조색4 3 3 5 2" xfId="16052"/>
    <cellStyle name="40% - 강조색4 3 3 5 2 2" xfId="16053"/>
    <cellStyle name="40% - 강조색4 3 3 5 2 2 2" xfId="16054"/>
    <cellStyle name="40% - 강조색4 3 3 5 2 2 3" xfId="16055"/>
    <cellStyle name="40% - 강조색4 3 3 5 2 3" xfId="16056"/>
    <cellStyle name="40% - 강조색4 3 3 5 2 4" xfId="16057"/>
    <cellStyle name="40% - 강조색4 3 3 5 3" xfId="16058"/>
    <cellStyle name="40% - 강조색4 3 3 5 3 2" xfId="16059"/>
    <cellStyle name="40% - 강조색4 3 3 5 3 3" xfId="16060"/>
    <cellStyle name="40% - 강조색4 3 3 5 4" xfId="16061"/>
    <cellStyle name="40% - 강조색4 3 3 5 5" xfId="16062"/>
    <cellStyle name="40% - 강조색4 3 3 6" xfId="16063"/>
    <cellStyle name="40% - 강조색4 3 3 6 2" xfId="16064"/>
    <cellStyle name="40% - 강조색4 3 3 6 2 2" xfId="16065"/>
    <cellStyle name="40% - 강조색4 3 3 6 2 2 2" xfId="16066"/>
    <cellStyle name="40% - 강조색4 3 3 6 2 2 3" xfId="16067"/>
    <cellStyle name="40% - 강조색4 3 3 6 2 3" xfId="16068"/>
    <cellStyle name="40% - 강조색4 3 3 6 2 4" xfId="16069"/>
    <cellStyle name="40% - 강조색4 3 3 6 3" xfId="16070"/>
    <cellStyle name="40% - 강조색4 3 3 6 3 2" xfId="16071"/>
    <cellStyle name="40% - 강조색4 3 3 6 3 3" xfId="16072"/>
    <cellStyle name="40% - 강조색4 3 3 6 4" xfId="16073"/>
    <cellStyle name="40% - 강조색4 3 3 6 5" xfId="16074"/>
    <cellStyle name="40% - 강조색4 3 3 7" xfId="16075"/>
    <cellStyle name="40% - 강조색4 3 3 7 2" xfId="16076"/>
    <cellStyle name="40% - 강조색4 3 3 7 2 2" xfId="16077"/>
    <cellStyle name="40% - 강조색4 3 3 7 2 3" xfId="16078"/>
    <cellStyle name="40% - 강조색4 3 3 7 3" xfId="16079"/>
    <cellStyle name="40% - 강조색4 3 3 7 4" xfId="16080"/>
    <cellStyle name="40% - 강조색4 3 3 8" xfId="16081"/>
    <cellStyle name="40% - 강조색4 3 3 8 2" xfId="16082"/>
    <cellStyle name="40% - 강조색4 3 3 8 3" xfId="16083"/>
    <cellStyle name="40% - 강조색4 3 3 9" xfId="16084"/>
    <cellStyle name="40% - 강조색4 3 4" xfId="16085"/>
    <cellStyle name="40% - 강조색4 3 4 10" xfId="16086"/>
    <cellStyle name="40% - 강조색4 3 4 11" xfId="16087"/>
    <cellStyle name="40% - 강조색4 3 4 12" xfId="16088"/>
    <cellStyle name="40% - 강조색4 3 4 2" xfId="16089"/>
    <cellStyle name="40% - 강조색4 3 4 2 2" xfId="16090"/>
    <cellStyle name="40% - 강조색4 3 4 2 2 2" xfId="16091"/>
    <cellStyle name="40% - 강조색4 3 4 2 2 2 2" xfId="16092"/>
    <cellStyle name="40% - 강조색4 3 4 2 2 2 2 2" xfId="16093"/>
    <cellStyle name="40% - 강조색4 3 4 2 2 2 2 3" xfId="16094"/>
    <cellStyle name="40% - 강조색4 3 4 2 2 2 3" xfId="16095"/>
    <cellStyle name="40% - 강조색4 3 4 2 2 2 4" xfId="16096"/>
    <cellStyle name="40% - 강조색4 3 4 2 2 3" xfId="16097"/>
    <cellStyle name="40% - 강조색4 3 4 2 2 3 2" xfId="16098"/>
    <cellStyle name="40% - 강조색4 3 4 2 2 3 3" xfId="16099"/>
    <cellStyle name="40% - 강조색4 3 4 2 2 4" xfId="16100"/>
    <cellStyle name="40% - 강조색4 3 4 2 2 5" xfId="16101"/>
    <cellStyle name="40% - 강조색4 3 4 2 3" xfId="16102"/>
    <cellStyle name="40% - 강조색4 3 4 2 3 2" xfId="16103"/>
    <cellStyle name="40% - 강조색4 3 4 2 3 2 2" xfId="16104"/>
    <cellStyle name="40% - 강조색4 3 4 2 3 2 2 2" xfId="16105"/>
    <cellStyle name="40% - 강조색4 3 4 2 3 2 2 3" xfId="16106"/>
    <cellStyle name="40% - 강조색4 3 4 2 3 2 3" xfId="16107"/>
    <cellStyle name="40% - 강조색4 3 4 2 3 2 4" xfId="16108"/>
    <cellStyle name="40% - 강조색4 3 4 2 3 3" xfId="16109"/>
    <cellStyle name="40% - 강조색4 3 4 2 3 3 2" xfId="16110"/>
    <cellStyle name="40% - 강조색4 3 4 2 3 3 3" xfId="16111"/>
    <cellStyle name="40% - 강조색4 3 4 2 3 4" xfId="16112"/>
    <cellStyle name="40% - 강조색4 3 4 2 3 5" xfId="16113"/>
    <cellStyle name="40% - 강조색4 3 4 2 4" xfId="16114"/>
    <cellStyle name="40% - 강조색4 3 4 2 4 2" xfId="16115"/>
    <cellStyle name="40% - 강조색4 3 4 2 4 2 2" xfId="16116"/>
    <cellStyle name="40% - 강조색4 3 4 2 4 2 3" xfId="16117"/>
    <cellStyle name="40% - 강조색4 3 4 2 4 3" xfId="16118"/>
    <cellStyle name="40% - 강조색4 3 4 2 4 4" xfId="16119"/>
    <cellStyle name="40% - 강조색4 3 4 2 5" xfId="16120"/>
    <cellStyle name="40% - 강조색4 3 4 2 5 2" xfId="16121"/>
    <cellStyle name="40% - 강조색4 3 4 2 5 3" xfId="16122"/>
    <cellStyle name="40% - 강조색4 3 4 2 6" xfId="16123"/>
    <cellStyle name="40% - 강조색4 3 4 2 7" xfId="16124"/>
    <cellStyle name="40% - 강조색4 3 4 3" xfId="16125"/>
    <cellStyle name="40% - 강조색4 3 4 3 2" xfId="16126"/>
    <cellStyle name="40% - 강조색4 3 4 3 2 2" xfId="16127"/>
    <cellStyle name="40% - 강조색4 3 4 3 2 2 2" xfId="16128"/>
    <cellStyle name="40% - 강조색4 3 4 3 2 2 2 2" xfId="16129"/>
    <cellStyle name="40% - 강조색4 3 4 3 2 2 2 3" xfId="16130"/>
    <cellStyle name="40% - 강조색4 3 4 3 2 2 3" xfId="16131"/>
    <cellStyle name="40% - 강조색4 3 4 3 2 2 4" xfId="16132"/>
    <cellStyle name="40% - 강조색4 3 4 3 2 3" xfId="16133"/>
    <cellStyle name="40% - 강조색4 3 4 3 2 3 2" xfId="16134"/>
    <cellStyle name="40% - 강조색4 3 4 3 2 3 3" xfId="16135"/>
    <cellStyle name="40% - 강조색4 3 4 3 2 4" xfId="16136"/>
    <cellStyle name="40% - 강조색4 3 4 3 2 5" xfId="16137"/>
    <cellStyle name="40% - 강조색4 3 4 3 3" xfId="16138"/>
    <cellStyle name="40% - 강조색4 3 4 3 3 2" xfId="16139"/>
    <cellStyle name="40% - 강조색4 3 4 3 3 2 2" xfId="16140"/>
    <cellStyle name="40% - 강조색4 3 4 3 3 2 2 2" xfId="16141"/>
    <cellStyle name="40% - 강조색4 3 4 3 3 2 2 3" xfId="16142"/>
    <cellStyle name="40% - 강조색4 3 4 3 3 2 3" xfId="16143"/>
    <cellStyle name="40% - 강조색4 3 4 3 3 2 4" xfId="16144"/>
    <cellStyle name="40% - 강조색4 3 4 3 3 3" xfId="16145"/>
    <cellStyle name="40% - 강조색4 3 4 3 3 3 2" xfId="16146"/>
    <cellStyle name="40% - 강조색4 3 4 3 3 3 3" xfId="16147"/>
    <cellStyle name="40% - 강조색4 3 4 3 3 4" xfId="16148"/>
    <cellStyle name="40% - 강조색4 3 4 3 3 5" xfId="16149"/>
    <cellStyle name="40% - 강조색4 3 4 3 4" xfId="16150"/>
    <cellStyle name="40% - 강조색4 3 4 3 4 2" xfId="16151"/>
    <cellStyle name="40% - 강조색4 3 4 3 4 2 2" xfId="16152"/>
    <cellStyle name="40% - 강조색4 3 4 3 4 2 3" xfId="16153"/>
    <cellStyle name="40% - 강조색4 3 4 3 4 3" xfId="16154"/>
    <cellStyle name="40% - 강조색4 3 4 3 4 4" xfId="16155"/>
    <cellStyle name="40% - 강조색4 3 4 3 5" xfId="16156"/>
    <cellStyle name="40% - 강조색4 3 4 3 5 2" xfId="16157"/>
    <cellStyle name="40% - 강조색4 3 4 3 5 3" xfId="16158"/>
    <cellStyle name="40% - 강조색4 3 4 3 6" xfId="16159"/>
    <cellStyle name="40% - 강조색4 3 4 3 7" xfId="16160"/>
    <cellStyle name="40% - 강조색4 3 4 4" xfId="16161"/>
    <cellStyle name="40% - 강조색4 3 4 4 2" xfId="16162"/>
    <cellStyle name="40% - 강조색4 3 4 4 2 2" xfId="16163"/>
    <cellStyle name="40% - 강조색4 3 4 4 2 2 2" xfId="16164"/>
    <cellStyle name="40% - 강조색4 3 4 4 2 2 3" xfId="16165"/>
    <cellStyle name="40% - 강조색4 3 4 4 2 3" xfId="16166"/>
    <cellStyle name="40% - 강조색4 3 4 4 2 4" xfId="16167"/>
    <cellStyle name="40% - 강조색4 3 4 4 3" xfId="16168"/>
    <cellStyle name="40% - 강조색4 3 4 4 3 2" xfId="16169"/>
    <cellStyle name="40% - 강조색4 3 4 4 3 3" xfId="16170"/>
    <cellStyle name="40% - 강조색4 3 4 4 4" xfId="16171"/>
    <cellStyle name="40% - 강조색4 3 4 4 5" xfId="16172"/>
    <cellStyle name="40% - 강조색4 3 4 5" xfId="16173"/>
    <cellStyle name="40% - 강조색4 3 4 5 2" xfId="16174"/>
    <cellStyle name="40% - 강조색4 3 4 5 2 2" xfId="16175"/>
    <cellStyle name="40% - 강조색4 3 4 5 2 2 2" xfId="16176"/>
    <cellStyle name="40% - 강조색4 3 4 5 2 2 3" xfId="16177"/>
    <cellStyle name="40% - 강조색4 3 4 5 2 3" xfId="16178"/>
    <cellStyle name="40% - 강조색4 3 4 5 2 4" xfId="16179"/>
    <cellStyle name="40% - 강조색4 3 4 5 3" xfId="16180"/>
    <cellStyle name="40% - 강조색4 3 4 5 3 2" xfId="16181"/>
    <cellStyle name="40% - 강조색4 3 4 5 3 3" xfId="16182"/>
    <cellStyle name="40% - 강조색4 3 4 5 4" xfId="16183"/>
    <cellStyle name="40% - 강조색4 3 4 5 5" xfId="16184"/>
    <cellStyle name="40% - 강조색4 3 4 6" xfId="16185"/>
    <cellStyle name="40% - 강조색4 3 4 6 2" xfId="16186"/>
    <cellStyle name="40% - 강조색4 3 4 6 2 2" xfId="16187"/>
    <cellStyle name="40% - 강조색4 3 4 6 2 2 2" xfId="16188"/>
    <cellStyle name="40% - 강조색4 3 4 6 2 2 3" xfId="16189"/>
    <cellStyle name="40% - 강조색4 3 4 6 2 3" xfId="16190"/>
    <cellStyle name="40% - 강조색4 3 4 6 2 4" xfId="16191"/>
    <cellStyle name="40% - 강조색4 3 4 6 3" xfId="16192"/>
    <cellStyle name="40% - 강조색4 3 4 6 3 2" xfId="16193"/>
    <cellStyle name="40% - 강조색4 3 4 6 3 3" xfId="16194"/>
    <cellStyle name="40% - 강조색4 3 4 6 4" xfId="16195"/>
    <cellStyle name="40% - 강조색4 3 4 6 5" xfId="16196"/>
    <cellStyle name="40% - 강조색4 3 4 7" xfId="16197"/>
    <cellStyle name="40% - 강조색4 3 4 7 2" xfId="16198"/>
    <cellStyle name="40% - 강조색4 3 4 7 2 2" xfId="16199"/>
    <cellStyle name="40% - 강조색4 3 4 7 2 3" xfId="16200"/>
    <cellStyle name="40% - 강조색4 3 4 7 3" xfId="16201"/>
    <cellStyle name="40% - 강조색4 3 4 7 4" xfId="16202"/>
    <cellStyle name="40% - 강조색4 3 4 8" xfId="16203"/>
    <cellStyle name="40% - 강조색4 3 4 8 2" xfId="16204"/>
    <cellStyle name="40% - 강조색4 3 4 8 3" xfId="16205"/>
    <cellStyle name="40% - 강조색4 3 4 9" xfId="16206"/>
    <cellStyle name="40% - 강조색4 3 5" xfId="16207"/>
    <cellStyle name="40% - 강조색4 3 5 2" xfId="16208"/>
    <cellStyle name="40% - 강조색4 3 5 2 2" xfId="16209"/>
    <cellStyle name="40% - 강조색4 3 5 2 2 2" xfId="16210"/>
    <cellStyle name="40% - 강조색4 3 5 2 2 2 2" xfId="16211"/>
    <cellStyle name="40% - 강조색4 3 5 2 2 2 3" xfId="16212"/>
    <cellStyle name="40% - 강조색4 3 5 2 2 3" xfId="16213"/>
    <cellStyle name="40% - 강조색4 3 5 2 2 4" xfId="16214"/>
    <cellStyle name="40% - 강조색4 3 5 2 3" xfId="16215"/>
    <cellStyle name="40% - 강조색4 3 5 2 3 2" xfId="16216"/>
    <cellStyle name="40% - 강조색4 3 5 2 3 3" xfId="16217"/>
    <cellStyle name="40% - 강조색4 3 5 2 4" xfId="16218"/>
    <cellStyle name="40% - 강조색4 3 5 2 5" xfId="16219"/>
    <cellStyle name="40% - 강조색4 3 5 3" xfId="16220"/>
    <cellStyle name="40% - 강조색4 3 5 3 2" xfId="16221"/>
    <cellStyle name="40% - 강조색4 3 5 3 2 2" xfId="16222"/>
    <cellStyle name="40% - 강조색4 3 5 3 2 2 2" xfId="16223"/>
    <cellStyle name="40% - 강조색4 3 5 3 2 2 3" xfId="16224"/>
    <cellStyle name="40% - 강조색4 3 5 3 2 3" xfId="16225"/>
    <cellStyle name="40% - 강조색4 3 5 3 2 4" xfId="16226"/>
    <cellStyle name="40% - 강조색4 3 5 3 3" xfId="16227"/>
    <cellStyle name="40% - 강조색4 3 5 3 3 2" xfId="16228"/>
    <cellStyle name="40% - 강조색4 3 5 3 3 3" xfId="16229"/>
    <cellStyle name="40% - 강조색4 3 5 3 4" xfId="16230"/>
    <cellStyle name="40% - 강조색4 3 5 3 5" xfId="16231"/>
    <cellStyle name="40% - 강조색4 3 5 4" xfId="16232"/>
    <cellStyle name="40% - 강조색4 3 5 4 2" xfId="16233"/>
    <cellStyle name="40% - 강조색4 3 5 4 2 2" xfId="16234"/>
    <cellStyle name="40% - 강조색4 3 5 4 2 3" xfId="16235"/>
    <cellStyle name="40% - 강조색4 3 5 4 3" xfId="16236"/>
    <cellStyle name="40% - 강조색4 3 5 4 4" xfId="16237"/>
    <cellStyle name="40% - 강조색4 3 5 5" xfId="16238"/>
    <cellStyle name="40% - 강조색4 3 5 5 2" xfId="16239"/>
    <cellStyle name="40% - 강조색4 3 5 5 3" xfId="16240"/>
    <cellStyle name="40% - 강조색4 3 5 6" xfId="16241"/>
    <cellStyle name="40% - 강조색4 3 5 7" xfId="16242"/>
    <cellStyle name="40% - 강조색4 3 5 8" xfId="16243"/>
    <cellStyle name="40% - 강조색4 3 6" xfId="16244"/>
    <cellStyle name="40% - 강조색4 3 6 2" xfId="16245"/>
    <cellStyle name="40% - 강조색4 3 6 2 2" xfId="16246"/>
    <cellStyle name="40% - 강조색4 3 6 2 2 2" xfId="16247"/>
    <cellStyle name="40% - 강조색4 3 6 2 2 2 2" xfId="16248"/>
    <cellStyle name="40% - 강조색4 3 6 2 2 2 3" xfId="16249"/>
    <cellStyle name="40% - 강조색4 3 6 2 2 3" xfId="16250"/>
    <cellStyle name="40% - 강조색4 3 6 2 2 4" xfId="16251"/>
    <cellStyle name="40% - 강조색4 3 6 2 3" xfId="16252"/>
    <cellStyle name="40% - 강조색4 3 6 2 3 2" xfId="16253"/>
    <cellStyle name="40% - 강조색4 3 6 2 3 3" xfId="16254"/>
    <cellStyle name="40% - 강조색4 3 6 2 4" xfId="16255"/>
    <cellStyle name="40% - 강조색4 3 6 2 5" xfId="16256"/>
    <cellStyle name="40% - 강조색4 3 6 3" xfId="16257"/>
    <cellStyle name="40% - 강조색4 3 6 3 2" xfId="16258"/>
    <cellStyle name="40% - 강조색4 3 6 3 2 2" xfId="16259"/>
    <cellStyle name="40% - 강조색4 3 6 3 2 2 2" xfId="16260"/>
    <cellStyle name="40% - 강조색4 3 6 3 2 2 3" xfId="16261"/>
    <cellStyle name="40% - 강조색4 3 6 3 2 3" xfId="16262"/>
    <cellStyle name="40% - 강조색4 3 6 3 2 4" xfId="16263"/>
    <cellStyle name="40% - 강조색4 3 6 3 3" xfId="16264"/>
    <cellStyle name="40% - 강조색4 3 6 3 3 2" xfId="16265"/>
    <cellStyle name="40% - 강조색4 3 6 3 3 3" xfId="16266"/>
    <cellStyle name="40% - 강조색4 3 6 3 4" xfId="16267"/>
    <cellStyle name="40% - 강조색4 3 6 3 5" xfId="16268"/>
    <cellStyle name="40% - 강조색4 3 6 4" xfId="16269"/>
    <cellStyle name="40% - 강조색4 3 6 4 2" xfId="16270"/>
    <cellStyle name="40% - 강조색4 3 6 4 2 2" xfId="16271"/>
    <cellStyle name="40% - 강조색4 3 6 4 2 3" xfId="16272"/>
    <cellStyle name="40% - 강조색4 3 6 4 3" xfId="16273"/>
    <cellStyle name="40% - 강조색4 3 6 4 4" xfId="16274"/>
    <cellStyle name="40% - 강조색4 3 6 5" xfId="16275"/>
    <cellStyle name="40% - 강조색4 3 6 5 2" xfId="16276"/>
    <cellStyle name="40% - 강조색4 3 6 5 3" xfId="16277"/>
    <cellStyle name="40% - 강조색4 3 6 6" xfId="16278"/>
    <cellStyle name="40% - 강조색4 3 6 7" xfId="16279"/>
    <cellStyle name="40% - 강조색4 3 7" xfId="16280"/>
    <cellStyle name="40% - 강조색4 3 7 2" xfId="16281"/>
    <cellStyle name="40% - 강조색4 3 7 2 2" xfId="16282"/>
    <cellStyle name="40% - 강조색4 3 7 2 2 2" xfId="16283"/>
    <cellStyle name="40% - 강조색4 3 7 2 2 3" xfId="16284"/>
    <cellStyle name="40% - 강조색4 3 7 2 3" xfId="16285"/>
    <cellStyle name="40% - 강조색4 3 7 2 4" xfId="16286"/>
    <cellStyle name="40% - 강조색4 3 7 3" xfId="16287"/>
    <cellStyle name="40% - 강조색4 3 7 3 2" xfId="16288"/>
    <cellStyle name="40% - 강조색4 3 7 3 3" xfId="16289"/>
    <cellStyle name="40% - 강조색4 3 7 4" xfId="16290"/>
    <cellStyle name="40% - 강조색4 3 7 5" xfId="16291"/>
    <cellStyle name="40% - 강조색4 3 8" xfId="16292"/>
    <cellStyle name="40% - 강조색4 3 8 2" xfId="16293"/>
    <cellStyle name="40% - 강조색4 3 8 2 2" xfId="16294"/>
    <cellStyle name="40% - 강조색4 3 8 2 2 2" xfId="16295"/>
    <cellStyle name="40% - 강조색4 3 8 2 2 3" xfId="16296"/>
    <cellStyle name="40% - 강조색4 3 8 2 3" xfId="16297"/>
    <cellStyle name="40% - 강조색4 3 8 2 4" xfId="16298"/>
    <cellStyle name="40% - 강조색4 3 8 3" xfId="16299"/>
    <cellStyle name="40% - 강조색4 3 8 3 2" xfId="16300"/>
    <cellStyle name="40% - 강조색4 3 8 3 3" xfId="16301"/>
    <cellStyle name="40% - 강조색4 3 8 4" xfId="16302"/>
    <cellStyle name="40% - 강조색4 3 8 5" xfId="16303"/>
    <cellStyle name="40% - 강조색4 3 9" xfId="16304"/>
    <cellStyle name="40% - 강조색4 3 9 2" xfId="16305"/>
    <cellStyle name="40% - 강조색4 3 9 2 2" xfId="16306"/>
    <cellStyle name="40% - 강조색4 3 9 2 2 2" xfId="16307"/>
    <cellStyle name="40% - 강조색4 3 9 2 2 3" xfId="16308"/>
    <cellStyle name="40% - 강조색4 3 9 2 3" xfId="16309"/>
    <cellStyle name="40% - 강조색4 3 9 2 4" xfId="16310"/>
    <cellStyle name="40% - 강조색4 3 9 3" xfId="16311"/>
    <cellStyle name="40% - 강조색4 3 9 3 2" xfId="16312"/>
    <cellStyle name="40% - 강조색4 3 9 3 3" xfId="16313"/>
    <cellStyle name="40% - 강조색4 3 9 4" xfId="16314"/>
    <cellStyle name="40% - 강조색4 3 9 5" xfId="16315"/>
    <cellStyle name="40% - 강조색4 30" xfId="16316"/>
    <cellStyle name="40% - 강조색4 30 2" xfId="16317"/>
    <cellStyle name="40% - 강조색4 31" xfId="16318"/>
    <cellStyle name="40% - 강조색4 31 2" xfId="16319"/>
    <cellStyle name="40% - 강조색4 32" xfId="16320"/>
    <cellStyle name="40% - 강조색4 32 2" xfId="16321"/>
    <cellStyle name="40% - 강조색4 33" xfId="16322"/>
    <cellStyle name="40% - 강조색4 33 2" xfId="16323"/>
    <cellStyle name="40% - 강조색4 34" xfId="16324"/>
    <cellStyle name="40% - 강조색4 34 2" xfId="16325"/>
    <cellStyle name="40% - 강조색4 35" xfId="16326"/>
    <cellStyle name="40% - 강조색4 36" xfId="16327"/>
    <cellStyle name="40% - 강조색4 37" xfId="16328"/>
    <cellStyle name="40% - 강조색4 38" xfId="16329"/>
    <cellStyle name="40% - 강조색4 39" xfId="16330"/>
    <cellStyle name="40% - 강조색4 4" xfId="16331"/>
    <cellStyle name="40% - 강조색4 4 10" xfId="16332"/>
    <cellStyle name="40% - 강조색4 4 10 2" xfId="16333"/>
    <cellStyle name="40% - 강조색4 4 10 2 2" xfId="16334"/>
    <cellStyle name="40% - 강조색4 4 10 2 3" xfId="16335"/>
    <cellStyle name="40% - 강조색4 4 10 3" xfId="16336"/>
    <cellStyle name="40% - 강조색4 4 10 4" xfId="16337"/>
    <cellStyle name="40% - 강조색4 4 11" xfId="16338"/>
    <cellStyle name="40% - 강조색4 4 11 2" xfId="16339"/>
    <cellStyle name="40% - 강조색4 4 11 3" xfId="16340"/>
    <cellStyle name="40% - 강조색4 4 12" xfId="16341"/>
    <cellStyle name="40% - 강조색4 4 13" xfId="16342"/>
    <cellStyle name="40% - 강조색4 4 14" xfId="16343"/>
    <cellStyle name="40% - 강조색4 4 2" xfId="16344"/>
    <cellStyle name="40% - 강조색4 4 2 10" xfId="16345"/>
    <cellStyle name="40% - 강조색4 4 2 2" xfId="16346"/>
    <cellStyle name="40% - 강조색4 4 2 2 2" xfId="16347"/>
    <cellStyle name="40% - 강조색4 4 2 2 2 2" xfId="16348"/>
    <cellStyle name="40% - 강조색4 4 2 2 2 2 2" xfId="16349"/>
    <cellStyle name="40% - 강조색4 4 2 2 2 2 2 2" xfId="16350"/>
    <cellStyle name="40% - 강조색4 4 2 2 2 2 2 3" xfId="16351"/>
    <cellStyle name="40% - 강조색4 4 2 2 2 2 3" xfId="16352"/>
    <cellStyle name="40% - 강조색4 4 2 2 2 2 4" xfId="16353"/>
    <cellStyle name="40% - 강조색4 4 2 2 2 3" xfId="16354"/>
    <cellStyle name="40% - 강조색4 4 2 2 2 3 2" xfId="16355"/>
    <cellStyle name="40% - 강조색4 4 2 2 2 3 3" xfId="16356"/>
    <cellStyle name="40% - 강조색4 4 2 2 2 4" xfId="16357"/>
    <cellStyle name="40% - 강조색4 4 2 2 2 5" xfId="16358"/>
    <cellStyle name="40% - 강조색4 4 2 2 3" xfId="16359"/>
    <cellStyle name="40% - 강조색4 4 2 2 3 2" xfId="16360"/>
    <cellStyle name="40% - 강조색4 4 2 2 3 2 2" xfId="16361"/>
    <cellStyle name="40% - 강조색4 4 2 2 3 2 2 2" xfId="16362"/>
    <cellStyle name="40% - 강조색4 4 2 2 3 2 2 3" xfId="16363"/>
    <cellStyle name="40% - 강조색4 4 2 2 3 2 3" xfId="16364"/>
    <cellStyle name="40% - 강조색4 4 2 2 3 2 4" xfId="16365"/>
    <cellStyle name="40% - 강조색4 4 2 2 3 3" xfId="16366"/>
    <cellStyle name="40% - 강조색4 4 2 2 3 3 2" xfId="16367"/>
    <cellStyle name="40% - 강조색4 4 2 2 3 3 3" xfId="16368"/>
    <cellStyle name="40% - 강조색4 4 2 2 3 4" xfId="16369"/>
    <cellStyle name="40% - 강조색4 4 2 2 3 5" xfId="16370"/>
    <cellStyle name="40% - 강조색4 4 2 2 4" xfId="16371"/>
    <cellStyle name="40% - 강조색4 4 2 2 4 2" xfId="16372"/>
    <cellStyle name="40% - 강조색4 4 2 2 4 2 2" xfId="16373"/>
    <cellStyle name="40% - 강조색4 4 2 2 4 2 3" xfId="16374"/>
    <cellStyle name="40% - 강조색4 4 2 2 4 3" xfId="16375"/>
    <cellStyle name="40% - 강조색4 4 2 2 4 4" xfId="16376"/>
    <cellStyle name="40% - 강조색4 4 2 2 5" xfId="16377"/>
    <cellStyle name="40% - 강조색4 4 2 2 5 2" xfId="16378"/>
    <cellStyle name="40% - 강조색4 4 2 2 5 3" xfId="16379"/>
    <cellStyle name="40% - 강조색4 4 2 2 6" xfId="16380"/>
    <cellStyle name="40% - 강조색4 4 2 2 7" xfId="16381"/>
    <cellStyle name="40% - 강조색4 4 2 3" xfId="16382"/>
    <cellStyle name="40% - 강조색4 4 2 3 2" xfId="16383"/>
    <cellStyle name="40% - 강조색4 4 2 3 2 2" xfId="16384"/>
    <cellStyle name="40% - 강조색4 4 2 3 2 2 2" xfId="16385"/>
    <cellStyle name="40% - 강조색4 4 2 3 2 2 2 2" xfId="16386"/>
    <cellStyle name="40% - 강조색4 4 2 3 2 2 2 3" xfId="16387"/>
    <cellStyle name="40% - 강조색4 4 2 3 2 2 3" xfId="16388"/>
    <cellStyle name="40% - 강조색4 4 2 3 2 2 4" xfId="16389"/>
    <cellStyle name="40% - 강조색4 4 2 3 2 3" xfId="16390"/>
    <cellStyle name="40% - 강조색4 4 2 3 2 3 2" xfId="16391"/>
    <cellStyle name="40% - 강조색4 4 2 3 2 3 3" xfId="16392"/>
    <cellStyle name="40% - 강조색4 4 2 3 2 4" xfId="16393"/>
    <cellStyle name="40% - 강조색4 4 2 3 2 5" xfId="16394"/>
    <cellStyle name="40% - 강조색4 4 2 3 3" xfId="16395"/>
    <cellStyle name="40% - 강조색4 4 2 3 3 2" xfId="16396"/>
    <cellStyle name="40% - 강조색4 4 2 3 3 2 2" xfId="16397"/>
    <cellStyle name="40% - 강조색4 4 2 3 3 2 2 2" xfId="16398"/>
    <cellStyle name="40% - 강조색4 4 2 3 3 2 2 3" xfId="16399"/>
    <cellStyle name="40% - 강조색4 4 2 3 3 2 3" xfId="16400"/>
    <cellStyle name="40% - 강조색4 4 2 3 3 2 4" xfId="16401"/>
    <cellStyle name="40% - 강조색4 4 2 3 3 3" xfId="16402"/>
    <cellStyle name="40% - 강조색4 4 2 3 3 3 2" xfId="16403"/>
    <cellStyle name="40% - 강조색4 4 2 3 3 3 3" xfId="16404"/>
    <cellStyle name="40% - 강조색4 4 2 3 3 4" xfId="16405"/>
    <cellStyle name="40% - 강조색4 4 2 3 3 5" xfId="16406"/>
    <cellStyle name="40% - 강조색4 4 2 3 4" xfId="16407"/>
    <cellStyle name="40% - 강조색4 4 2 3 4 2" xfId="16408"/>
    <cellStyle name="40% - 강조색4 4 2 3 4 2 2" xfId="16409"/>
    <cellStyle name="40% - 강조색4 4 2 3 4 2 3" xfId="16410"/>
    <cellStyle name="40% - 강조색4 4 2 3 4 3" xfId="16411"/>
    <cellStyle name="40% - 강조색4 4 2 3 4 4" xfId="16412"/>
    <cellStyle name="40% - 강조색4 4 2 3 5" xfId="16413"/>
    <cellStyle name="40% - 강조색4 4 2 3 5 2" xfId="16414"/>
    <cellStyle name="40% - 강조색4 4 2 3 5 3" xfId="16415"/>
    <cellStyle name="40% - 강조색4 4 2 3 6" xfId="16416"/>
    <cellStyle name="40% - 강조색4 4 2 3 7" xfId="16417"/>
    <cellStyle name="40% - 강조색4 4 2 4" xfId="16418"/>
    <cellStyle name="40% - 강조색4 4 2 4 2" xfId="16419"/>
    <cellStyle name="40% - 강조색4 4 2 4 2 2" xfId="16420"/>
    <cellStyle name="40% - 강조색4 4 2 4 2 2 2" xfId="16421"/>
    <cellStyle name="40% - 강조색4 4 2 4 2 2 3" xfId="16422"/>
    <cellStyle name="40% - 강조색4 4 2 4 2 3" xfId="16423"/>
    <cellStyle name="40% - 강조색4 4 2 4 2 4" xfId="16424"/>
    <cellStyle name="40% - 강조색4 4 2 4 3" xfId="16425"/>
    <cellStyle name="40% - 강조색4 4 2 4 3 2" xfId="16426"/>
    <cellStyle name="40% - 강조색4 4 2 4 3 3" xfId="16427"/>
    <cellStyle name="40% - 강조색4 4 2 4 4" xfId="16428"/>
    <cellStyle name="40% - 강조색4 4 2 4 5" xfId="16429"/>
    <cellStyle name="40% - 강조색4 4 2 5" xfId="16430"/>
    <cellStyle name="40% - 강조색4 4 2 5 2" xfId="16431"/>
    <cellStyle name="40% - 강조색4 4 2 5 2 2" xfId="16432"/>
    <cellStyle name="40% - 강조색4 4 2 5 2 2 2" xfId="16433"/>
    <cellStyle name="40% - 강조색4 4 2 5 2 2 3" xfId="16434"/>
    <cellStyle name="40% - 강조색4 4 2 5 2 3" xfId="16435"/>
    <cellStyle name="40% - 강조색4 4 2 5 2 4" xfId="16436"/>
    <cellStyle name="40% - 강조색4 4 2 5 3" xfId="16437"/>
    <cellStyle name="40% - 강조색4 4 2 5 3 2" xfId="16438"/>
    <cellStyle name="40% - 강조색4 4 2 5 3 3" xfId="16439"/>
    <cellStyle name="40% - 강조색4 4 2 5 4" xfId="16440"/>
    <cellStyle name="40% - 강조색4 4 2 5 5" xfId="16441"/>
    <cellStyle name="40% - 강조색4 4 2 6" xfId="16442"/>
    <cellStyle name="40% - 강조색4 4 2 6 2" xfId="16443"/>
    <cellStyle name="40% - 강조색4 4 2 6 2 2" xfId="16444"/>
    <cellStyle name="40% - 강조색4 4 2 6 2 2 2" xfId="16445"/>
    <cellStyle name="40% - 강조색4 4 2 6 2 2 3" xfId="16446"/>
    <cellStyle name="40% - 강조색4 4 2 6 2 3" xfId="16447"/>
    <cellStyle name="40% - 강조색4 4 2 6 2 4" xfId="16448"/>
    <cellStyle name="40% - 강조색4 4 2 6 3" xfId="16449"/>
    <cellStyle name="40% - 강조색4 4 2 6 3 2" xfId="16450"/>
    <cellStyle name="40% - 강조색4 4 2 6 3 3" xfId="16451"/>
    <cellStyle name="40% - 강조색4 4 2 6 4" xfId="16452"/>
    <cellStyle name="40% - 강조색4 4 2 6 5" xfId="16453"/>
    <cellStyle name="40% - 강조색4 4 2 7" xfId="16454"/>
    <cellStyle name="40% - 강조색4 4 2 7 2" xfId="16455"/>
    <cellStyle name="40% - 강조색4 4 2 7 2 2" xfId="16456"/>
    <cellStyle name="40% - 강조색4 4 2 7 2 3" xfId="16457"/>
    <cellStyle name="40% - 강조색4 4 2 7 3" xfId="16458"/>
    <cellStyle name="40% - 강조색4 4 2 7 4" xfId="16459"/>
    <cellStyle name="40% - 강조색4 4 2 8" xfId="16460"/>
    <cellStyle name="40% - 강조색4 4 2 8 2" xfId="16461"/>
    <cellStyle name="40% - 강조색4 4 2 8 3" xfId="16462"/>
    <cellStyle name="40% - 강조색4 4 2 9" xfId="16463"/>
    <cellStyle name="40% - 강조색4 4 3" xfId="16464"/>
    <cellStyle name="40% - 강조색4 4 3 10" xfId="16465"/>
    <cellStyle name="40% - 강조색4 4 3 2" xfId="16466"/>
    <cellStyle name="40% - 강조색4 4 3 2 2" xfId="16467"/>
    <cellStyle name="40% - 강조색4 4 3 2 2 2" xfId="16468"/>
    <cellStyle name="40% - 강조색4 4 3 2 2 2 2" xfId="16469"/>
    <cellStyle name="40% - 강조색4 4 3 2 2 2 2 2" xfId="16470"/>
    <cellStyle name="40% - 강조색4 4 3 2 2 2 2 3" xfId="16471"/>
    <cellStyle name="40% - 강조색4 4 3 2 2 2 3" xfId="16472"/>
    <cellStyle name="40% - 강조색4 4 3 2 2 2 4" xfId="16473"/>
    <cellStyle name="40% - 강조색4 4 3 2 2 3" xfId="16474"/>
    <cellStyle name="40% - 강조색4 4 3 2 2 3 2" xfId="16475"/>
    <cellStyle name="40% - 강조색4 4 3 2 2 3 3" xfId="16476"/>
    <cellStyle name="40% - 강조색4 4 3 2 2 4" xfId="16477"/>
    <cellStyle name="40% - 강조색4 4 3 2 2 5" xfId="16478"/>
    <cellStyle name="40% - 강조색4 4 3 2 3" xfId="16479"/>
    <cellStyle name="40% - 강조색4 4 3 2 3 2" xfId="16480"/>
    <cellStyle name="40% - 강조색4 4 3 2 3 2 2" xfId="16481"/>
    <cellStyle name="40% - 강조색4 4 3 2 3 2 2 2" xfId="16482"/>
    <cellStyle name="40% - 강조색4 4 3 2 3 2 2 3" xfId="16483"/>
    <cellStyle name="40% - 강조색4 4 3 2 3 2 3" xfId="16484"/>
    <cellStyle name="40% - 강조색4 4 3 2 3 2 4" xfId="16485"/>
    <cellStyle name="40% - 강조색4 4 3 2 3 3" xfId="16486"/>
    <cellStyle name="40% - 강조색4 4 3 2 3 3 2" xfId="16487"/>
    <cellStyle name="40% - 강조색4 4 3 2 3 3 3" xfId="16488"/>
    <cellStyle name="40% - 강조색4 4 3 2 3 4" xfId="16489"/>
    <cellStyle name="40% - 강조색4 4 3 2 3 5" xfId="16490"/>
    <cellStyle name="40% - 강조색4 4 3 2 4" xfId="16491"/>
    <cellStyle name="40% - 강조색4 4 3 2 4 2" xfId="16492"/>
    <cellStyle name="40% - 강조색4 4 3 2 4 2 2" xfId="16493"/>
    <cellStyle name="40% - 강조색4 4 3 2 4 2 3" xfId="16494"/>
    <cellStyle name="40% - 강조색4 4 3 2 4 3" xfId="16495"/>
    <cellStyle name="40% - 강조색4 4 3 2 4 4" xfId="16496"/>
    <cellStyle name="40% - 강조색4 4 3 2 5" xfId="16497"/>
    <cellStyle name="40% - 강조색4 4 3 2 5 2" xfId="16498"/>
    <cellStyle name="40% - 강조색4 4 3 2 5 3" xfId="16499"/>
    <cellStyle name="40% - 강조색4 4 3 2 6" xfId="16500"/>
    <cellStyle name="40% - 강조색4 4 3 2 7" xfId="16501"/>
    <cellStyle name="40% - 강조색4 4 3 3" xfId="16502"/>
    <cellStyle name="40% - 강조색4 4 3 3 2" xfId="16503"/>
    <cellStyle name="40% - 강조색4 4 3 3 2 2" xfId="16504"/>
    <cellStyle name="40% - 강조색4 4 3 3 2 2 2" xfId="16505"/>
    <cellStyle name="40% - 강조색4 4 3 3 2 2 2 2" xfId="16506"/>
    <cellStyle name="40% - 강조색4 4 3 3 2 2 2 3" xfId="16507"/>
    <cellStyle name="40% - 강조색4 4 3 3 2 2 3" xfId="16508"/>
    <cellStyle name="40% - 강조색4 4 3 3 2 2 4" xfId="16509"/>
    <cellStyle name="40% - 강조색4 4 3 3 2 3" xfId="16510"/>
    <cellStyle name="40% - 강조색4 4 3 3 2 3 2" xfId="16511"/>
    <cellStyle name="40% - 강조색4 4 3 3 2 3 3" xfId="16512"/>
    <cellStyle name="40% - 강조색4 4 3 3 2 4" xfId="16513"/>
    <cellStyle name="40% - 강조색4 4 3 3 2 5" xfId="16514"/>
    <cellStyle name="40% - 강조색4 4 3 3 3" xfId="16515"/>
    <cellStyle name="40% - 강조색4 4 3 3 3 2" xfId="16516"/>
    <cellStyle name="40% - 강조색4 4 3 3 3 2 2" xfId="16517"/>
    <cellStyle name="40% - 강조색4 4 3 3 3 2 2 2" xfId="16518"/>
    <cellStyle name="40% - 강조색4 4 3 3 3 2 2 3" xfId="16519"/>
    <cellStyle name="40% - 강조색4 4 3 3 3 2 3" xfId="16520"/>
    <cellStyle name="40% - 강조색4 4 3 3 3 2 4" xfId="16521"/>
    <cellStyle name="40% - 강조색4 4 3 3 3 3" xfId="16522"/>
    <cellStyle name="40% - 강조색4 4 3 3 3 3 2" xfId="16523"/>
    <cellStyle name="40% - 강조색4 4 3 3 3 3 3" xfId="16524"/>
    <cellStyle name="40% - 강조색4 4 3 3 3 4" xfId="16525"/>
    <cellStyle name="40% - 강조색4 4 3 3 3 5" xfId="16526"/>
    <cellStyle name="40% - 강조색4 4 3 3 4" xfId="16527"/>
    <cellStyle name="40% - 강조색4 4 3 3 4 2" xfId="16528"/>
    <cellStyle name="40% - 강조색4 4 3 3 4 2 2" xfId="16529"/>
    <cellStyle name="40% - 강조색4 4 3 3 4 2 3" xfId="16530"/>
    <cellStyle name="40% - 강조색4 4 3 3 4 3" xfId="16531"/>
    <cellStyle name="40% - 강조색4 4 3 3 4 4" xfId="16532"/>
    <cellStyle name="40% - 강조색4 4 3 3 5" xfId="16533"/>
    <cellStyle name="40% - 강조색4 4 3 3 5 2" xfId="16534"/>
    <cellStyle name="40% - 강조색4 4 3 3 5 3" xfId="16535"/>
    <cellStyle name="40% - 강조색4 4 3 3 6" xfId="16536"/>
    <cellStyle name="40% - 강조색4 4 3 3 7" xfId="16537"/>
    <cellStyle name="40% - 강조색4 4 3 4" xfId="16538"/>
    <cellStyle name="40% - 강조색4 4 3 4 2" xfId="16539"/>
    <cellStyle name="40% - 강조색4 4 3 4 2 2" xfId="16540"/>
    <cellStyle name="40% - 강조색4 4 3 4 2 2 2" xfId="16541"/>
    <cellStyle name="40% - 강조색4 4 3 4 2 2 3" xfId="16542"/>
    <cellStyle name="40% - 강조색4 4 3 4 2 3" xfId="16543"/>
    <cellStyle name="40% - 강조색4 4 3 4 2 4" xfId="16544"/>
    <cellStyle name="40% - 강조색4 4 3 4 3" xfId="16545"/>
    <cellStyle name="40% - 강조색4 4 3 4 3 2" xfId="16546"/>
    <cellStyle name="40% - 강조색4 4 3 4 3 3" xfId="16547"/>
    <cellStyle name="40% - 강조색4 4 3 4 4" xfId="16548"/>
    <cellStyle name="40% - 강조색4 4 3 4 5" xfId="16549"/>
    <cellStyle name="40% - 강조색4 4 3 5" xfId="16550"/>
    <cellStyle name="40% - 강조색4 4 3 5 2" xfId="16551"/>
    <cellStyle name="40% - 강조색4 4 3 5 2 2" xfId="16552"/>
    <cellStyle name="40% - 강조색4 4 3 5 2 2 2" xfId="16553"/>
    <cellStyle name="40% - 강조색4 4 3 5 2 2 3" xfId="16554"/>
    <cellStyle name="40% - 강조색4 4 3 5 2 3" xfId="16555"/>
    <cellStyle name="40% - 강조색4 4 3 5 2 4" xfId="16556"/>
    <cellStyle name="40% - 강조색4 4 3 5 3" xfId="16557"/>
    <cellStyle name="40% - 강조색4 4 3 5 3 2" xfId="16558"/>
    <cellStyle name="40% - 강조색4 4 3 5 3 3" xfId="16559"/>
    <cellStyle name="40% - 강조색4 4 3 5 4" xfId="16560"/>
    <cellStyle name="40% - 강조색4 4 3 5 5" xfId="16561"/>
    <cellStyle name="40% - 강조색4 4 3 6" xfId="16562"/>
    <cellStyle name="40% - 강조색4 4 3 6 2" xfId="16563"/>
    <cellStyle name="40% - 강조색4 4 3 6 2 2" xfId="16564"/>
    <cellStyle name="40% - 강조색4 4 3 6 2 2 2" xfId="16565"/>
    <cellStyle name="40% - 강조색4 4 3 6 2 2 3" xfId="16566"/>
    <cellStyle name="40% - 강조색4 4 3 6 2 3" xfId="16567"/>
    <cellStyle name="40% - 강조색4 4 3 6 2 4" xfId="16568"/>
    <cellStyle name="40% - 강조색4 4 3 6 3" xfId="16569"/>
    <cellStyle name="40% - 강조색4 4 3 6 3 2" xfId="16570"/>
    <cellStyle name="40% - 강조색4 4 3 6 3 3" xfId="16571"/>
    <cellStyle name="40% - 강조색4 4 3 6 4" xfId="16572"/>
    <cellStyle name="40% - 강조색4 4 3 6 5" xfId="16573"/>
    <cellStyle name="40% - 강조색4 4 3 7" xfId="16574"/>
    <cellStyle name="40% - 강조색4 4 3 7 2" xfId="16575"/>
    <cellStyle name="40% - 강조색4 4 3 7 2 2" xfId="16576"/>
    <cellStyle name="40% - 강조색4 4 3 7 2 3" xfId="16577"/>
    <cellStyle name="40% - 강조색4 4 3 7 3" xfId="16578"/>
    <cellStyle name="40% - 강조색4 4 3 7 4" xfId="16579"/>
    <cellStyle name="40% - 강조색4 4 3 8" xfId="16580"/>
    <cellStyle name="40% - 강조색4 4 3 8 2" xfId="16581"/>
    <cellStyle name="40% - 강조색4 4 3 8 3" xfId="16582"/>
    <cellStyle name="40% - 강조색4 4 3 9" xfId="16583"/>
    <cellStyle name="40% - 강조색4 4 4" xfId="16584"/>
    <cellStyle name="40% - 강조색4 4 4 10" xfId="16585"/>
    <cellStyle name="40% - 강조색4 4 4 2" xfId="16586"/>
    <cellStyle name="40% - 강조색4 4 4 2 2" xfId="16587"/>
    <cellStyle name="40% - 강조색4 4 4 2 2 2" xfId="16588"/>
    <cellStyle name="40% - 강조색4 4 4 2 2 2 2" xfId="16589"/>
    <cellStyle name="40% - 강조색4 4 4 2 2 2 2 2" xfId="16590"/>
    <cellStyle name="40% - 강조색4 4 4 2 2 2 2 3" xfId="16591"/>
    <cellStyle name="40% - 강조색4 4 4 2 2 2 3" xfId="16592"/>
    <cellStyle name="40% - 강조색4 4 4 2 2 2 4" xfId="16593"/>
    <cellStyle name="40% - 강조색4 4 4 2 2 3" xfId="16594"/>
    <cellStyle name="40% - 강조색4 4 4 2 2 3 2" xfId="16595"/>
    <cellStyle name="40% - 강조색4 4 4 2 2 3 3" xfId="16596"/>
    <cellStyle name="40% - 강조색4 4 4 2 2 4" xfId="16597"/>
    <cellStyle name="40% - 강조색4 4 4 2 2 5" xfId="16598"/>
    <cellStyle name="40% - 강조색4 4 4 2 3" xfId="16599"/>
    <cellStyle name="40% - 강조색4 4 4 2 3 2" xfId="16600"/>
    <cellStyle name="40% - 강조색4 4 4 2 3 2 2" xfId="16601"/>
    <cellStyle name="40% - 강조색4 4 4 2 3 2 2 2" xfId="16602"/>
    <cellStyle name="40% - 강조색4 4 4 2 3 2 2 3" xfId="16603"/>
    <cellStyle name="40% - 강조색4 4 4 2 3 2 3" xfId="16604"/>
    <cellStyle name="40% - 강조색4 4 4 2 3 2 4" xfId="16605"/>
    <cellStyle name="40% - 강조색4 4 4 2 3 3" xfId="16606"/>
    <cellStyle name="40% - 강조색4 4 4 2 3 3 2" xfId="16607"/>
    <cellStyle name="40% - 강조색4 4 4 2 3 3 3" xfId="16608"/>
    <cellStyle name="40% - 강조색4 4 4 2 3 4" xfId="16609"/>
    <cellStyle name="40% - 강조색4 4 4 2 3 5" xfId="16610"/>
    <cellStyle name="40% - 강조색4 4 4 2 4" xfId="16611"/>
    <cellStyle name="40% - 강조색4 4 4 2 4 2" xfId="16612"/>
    <cellStyle name="40% - 강조색4 4 4 2 4 2 2" xfId="16613"/>
    <cellStyle name="40% - 강조색4 4 4 2 4 2 3" xfId="16614"/>
    <cellStyle name="40% - 강조색4 4 4 2 4 3" xfId="16615"/>
    <cellStyle name="40% - 강조색4 4 4 2 4 4" xfId="16616"/>
    <cellStyle name="40% - 강조색4 4 4 2 5" xfId="16617"/>
    <cellStyle name="40% - 강조색4 4 4 2 5 2" xfId="16618"/>
    <cellStyle name="40% - 강조색4 4 4 2 5 3" xfId="16619"/>
    <cellStyle name="40% - 강조색4 4 4 2 6" xfId="16620"/>
    <cellStyle name="40% - 강조색4 4 4 2 7" xfId="16621"/>
    <cellStyle name="40% - 강조색4 4 4 3" xfId="16622"/>
    <cellStyle name="40% - 강조색4 4 4 3 2" xfId="16623"/>
    <cellStyle name="40% - 강조색4 4 4 3 2 2" xfId="16624"/>
    <cellStyle name="40% - 강조색4 4 4 3 2 2 2" xfId="16625"/>
    <cellStyle name="40% - 강조색4 4 4 3 2 2 2 2" xfId="16626"/>
    <cellStyle name="40% - 강조색4 4 4 3 2 2 2 3" xfId="16627"/>
    <cellStyle name="40% - 강조색4 4 4 3 2 2 3" xfId="16628"/>
    <cellStyle name="40% - 강조색4 4 4 3 2 2 4" xfId="16629"/>
    <cellStyle name="40% - 강조색4 4 4 3 2 3" xfId="16630"/>
    <cellStyle name="40% - 강조색4 4 4 3 2 3 2" xfId="16631"/>
    <cellStyle name="40% - 강조색4 4 4 3 2 3 3" xfId="16632"/>
    <cellStyle name="40% - 강조색4 4 4 3 2 4" xfId="16633"/>
    <cellStyle name="40% - 강조색4 4 4 3 2 5" xfId="16634"/>
    <cellStyle name="40% - 강조색4 4 4 3 3" xfId="16635"/>
    <cellStyle name="40% - 강조색4 4 4 3 3 2" xfId="16636"/>
    <cellStyle name="40% - 강조색4 4 4 3 3 2 2" xfId="16637"/>
    <cellStyle name="40% - 강조색4 4 4 3 3 2 2 2" xfId="16638"/>
    <cellStyle name="40% - 강조색4 4 4 3 3 2 2 3" xfId="16639"/>
    <cellStyle name="40% - 강조색4 4 4 3 3 2 3" xfId="16640"/>
    <cellStyle name="40% - 강조색4 4 4 3 3 2 4" xfId="16641"/>
    <cellStyle name="40% - 강조색4 4 4 3 3 3" xfId="16642"/>
    <cellStyle name="40% - 강조색4 4 4 3 3 3 2" xfId="16643"/>
    <cellStyle name="40% - 강조색4 4 4 3 3 3 3" xfId="16644"/>
    <cellStyle name="40% - 강조색4 4 4 3 3 4" xfId="16645"/>
    <cellStyle name="40% - 강조색4 4 4 3 3 5" xfId="16646"/>
    <cellStyle name="40% - 강조색4 4 4 3 4" xfId="16647"/>
    <cellStyle name="40% - 강조색4 4 4 3 4 2" xfId="16648"/>
    <cellStyle name="40% - 강조색4 4 4 3 4 2 2" xfId="16649"/>
    <cellStyle name="40% - 강조색4 4 4 3 4 2 3" xfId="16650"/>
    <cellStyle name="40% - 강조색4 4 4 3 4 3" xfId="16651"/>
    <cellStyle name="40% - 강조색4 4 4 3 4 4" xfId="16652"/>
    <cellStyle name="40% - 강조색4 4 4 3 5" xfId="16653"/>
    <cellStyle name="40% - 강조색4 4 4 3 5 2" xfId="16654"/>
    <cellStyle name="40% - 강조색4 4 4 3 5 3" xfId="16655"/>
    <cellStyle name="40% - 강조색4 4 4 3 6" xfId="16656"/>
    <cellStyle name="40% - 강조색4 4 4 3 7" xfId="16657"/>
    <cellStyle name="40% - 강조색4 4 4 4" xfId="16658"/>
    <cellStyle name="40% - 강조색4 4 4 4 2" xfId="16659"/>
    <cellStyle name="40% - 강조색4 4 4 4 2 2" xfId="16660"/>
    <cellStyle name="40% - 강조색4 4 4 4 2 2 2" xfId="16661"/>
    <cellStyle name="40% - 강조색4 4 4 4 2 2 3" xfId="16662"/>
    <cellStyle name="40% - 강조색4 4 4 4 2 3" xfId="16663"/>
    <cellStyle name="40% - 강조색4 4 4 4 2 4" xfId="16664"/>
    <cellStyle name="40% - 강조색4 4 4 4 3" xfId="16665"/>
    <cellStyle name="40% - 강조색4 4 4 4 3 2" xfId="16666"/>
    <cellStyle name="40% - 강조색4 4 4 4 3 3" xfId="16667"/>
    <cellStyle name="40% - 강조색4 4 4 4 4" xfId="16668"/>
    <cellStyle name="40% - 강조색4 4 4 4 5" xfId="16669"/>
    <cellStyle name="40% - 강조색4 4 4 5" xfId="16670"/>
    <cellStyle name="40% - 강조색4 4 4 5 2" xfId="16671"/>
    <cellStyle name="40% - 강조색4 4 4 5 2 2" xfId="16672"/>
    <cellStyle name="40% - 강조색4 4 4 5 2 2 2" xfId="16673"/>
    <cellStyle name="40% - 강조색4 4 4 5 2 2 3" xfId="16674"/>
    <cellStyle name="40% - 강조색4 4 4 5 2 3" xfId="16675"/>
    <cellStyle name="40% - 강조색4 4 4 5 2 4" xfId="16676"/>
    <cellStyle name="40% - 강조색4 4 4 5 3" xfId="16677"/>
    <cellStyle name="40% - 강조색4 4 4 5 3 2" xfId="16678"/>
    <cellStyle name="40% - 강조색4 4 4 5 3 3" xfId="16679"/>
    <cellStyle name="40% - 강조색4 4 4 5 4" xfId="16680"/>
    <cellStyle name="40% - 강조색4 4 4 5 5" xfId="16681"/>
    <cellStyle name="40% - 강조색4 4 4 6" xfId="16682"/>
    <cellStyle name="40% - 강조색4 4 4 6 2" xfId="16683"/>
    <cellStyle name="40% - 강조색4 4 4 6 2 2" xfId="16684"/>
    <cellStyle name="40% - 강조색4 4 4 6 2 2 2" xfId="16685"/>
    <cellStyle name="40% - 강조색4 4 4 6 2 2 3" xfId="16686"/>
    <cellStyle name="40% - 강조색4 4 4 6 2 3" xfId="16687"/>
    <cellStyle name="40% - 강조색4 4 4 6 2 4" xfId="16688"/>
    <cellStyle name="40% - 강조색4 4 4 6 3" xfId="16689"/>
    <cellStyle name="40% - 강조색4 4 4 6 3 2" xfId="16690"/>
    <cellStyle name="40% - 강조색4 4 4 6 3 3" xfId="16691"/>
    <cellStyle name="40% - 강조색4 4 4 6 4" xfId="16692"/>
    <cellStyle name="40% - 강조색4 4 4 6 5" xfId="16693"/>
    <cellStyle name="40% - 강조색4 4 4 7" xfId="16694"/>
    <cellStyle name="40% - 강조색4 4 4 7 2" xfId="16695"/>
    <cellStyle name="40% - 강조색4 4 4 7 2 2" xfId="16696"/>
    <cellStyle name="40% - 강조색4 4 4 7 2 3" xfId="16697"/>
    <cellStyle name="40% - 강조색4 4 4 7 3" xfId="16698"/>
    <cellStyle name="40% - 강조색4 4 4 7 4" xfId="16699"/>
    <cellStyle name="40% - 강조색4 4 4 8" xfId="16700"/>
    <cellStyle name="40% - 강조색4 4 4 8 2" xfId="16701"/>
    <cellStyle name="40% - 강조색4 4 4 8 3" xfId="16702"/>
    <cellStyle name="40% - 강조색4 4 4 9" xfId="16703"/>
    <cellStyle name="40% - 강조색4 4 5" xfId="16704"/>
    <cellStyle name="40% - 강조색4 4 5 2" xfId="16705"/>
    <cellStyle name="40% - 강조색4 4 5 2 2" xfId="16706"/>
    <cellStyle name="40% - 강조색4 4 5 2 2 2" xfId="16707"/>
    <cellStyle name="40% - 강조색4 4 5 2 2 2 2" xfId="16708"/>
    <cellStyle name="40% - 강조색4 4 5 2 2 2 3" xfId="16709"/>
    <cellStyle name="40% - 강조색4 4 5 2 2 3" xfId="16710"/>
    <cellStyle name="40% - 강조색4 4 5 2 2 4" xfId="16711"/>
    <cellStyle name="40% - 강조색4 4 5 2 3" xfId="16712"/>
    <cellStyle name="40% - 강조색4 4 5 2 3 2" xfId="16713"/>
    <cellStyle name="40% - 강조색4 4 5 2 3 3" xfId="16714"/>
    <cellStyle name="40% - 강조색4 4 5 2 4" xfId="16715"/>
    <cellStyle name="40% - 강조색4 4 5 2 5" xfId="16716"/>
    <cellStyle name="40% - 강조색4 4 5 3" xfId="16717"/>
    <cellStyle name="40% - 강조색4 4 5 3 2" xfId="16718"/>
    <cellStyle name="40% - 강조색4 4 5 3 2 2" xfId="16719"/>
    <cellStyle name="40% - 강조색4 4 5 3 2 2 2" xfId="16720"/>
    <cellStyle name="40% - 강조색4 4 5 3 2 2 3" xfId="16721"/>
    <cellStyle name="40% - 강조색4 4 5 3 2 3" xfId="16722"/>
    <cellStyle name="40% - 강조색4 4 5 3 2 4" xfId="16723"/>
    <cellStyle name="40% - 강조색4 4 5 3 3" xfId="16724"/>
    <cellStyle name="40% - 강조색4 4 5 3 3 2" xfId="16725"/>
    <cellStyle name="40% - 강조색4 4 5 3 3 3" xfId="16726"/>
    <cellStyle name="40% - 강조색4 4 5 3 4" xfId="16727"/>
    <cellStyle name="40% - 강조색4 4 5 3 5" xfId="16728"/>
    <cellStyle name="40% - 강조색4 4 5 4" xfId="16729"/>
    <cellStyle name="40% - 강조색4 4 5 4 2" xfId="16730"/>
    <cellStyle name="40% - 강조색4 4 5 4 2 2" xfId="16731"/>
    <cellStyle name="40% - 강조색4 4 5 4 2 3" xfId="16732"/>
    <cellStyle name="40% - 강조색4 4 5 4 3" xfId="16733"/>
    <cellStyle name="40% - 강조색4 4 5 4 4" xfId="16734"/>
    <cellStyle name="40% - 강조색4 4 5 5" xfId="16735"/>
    <cellStyle name="40% - 강조색4 4 5 5 2" xfId="16736"/>
    <cellStyle name="40% - 강조색4 4 5 5 3" xfId="16737"/>
    <cellStyle name="40% - 강조색4 4 5 6" xfId="16738"/>
    <cellStyle name="40% - 강조색4 4 5 7" xfId="16739"/>
    <cellStyle name="40% - 강조색4 4 6" xfId="16740"/>
    <cellStyle name="40% - 강조색4 4 6 2" xfId="16741"/>
    <cellStyle name="40% - 강조색4 4 6 2 2" xfId="16742"/>
    <cellStyle name="40% - 강조색4 4 6 2 2 2" xfId="16743"/>
    <cellStyle name="40% - 강조색4 4 6 2 2 2 2" xfId="16744"/>
    <cellStyle name="40% - 강조색4 4 6 2 2 2 3" xfId="16745"/>
    <cellStyle name="40% - 강조색4 4 6 2 2 3" xfId="16746"/>
    <cellStyle name="40% - 강조색4 4 6 2 2 4" xfId="16747"/>
    <cellStyle name="40% - 강조색4 4 6 2 3" xfId="16748"/>
    <cellStyle name="40% - 강조색4 4 6 2 3 2" xfId="16749"/>
    <cellStyle name="40% - 강조색4 4 6 2 3 3" xfId="16750"/>
    <cellStyle name="40% - 강조색4 4 6 2 4" xfId="16751"/>
    <cellStyle name="40% - 강조색4 4 6 2 5" xfId="16752"/>
    <cellStyle name="40% - 강조색4 4 6 3" xfId="16753"/>
    <cellStyle name="40% - 강조색4 4 6 3 2" xfId="16754"/>
    <cellStyle name="40% - 강조색4 4 6 3 2 2" xfId="16755"/>
    <cellStyle name="40% - 강조색4 4 6 3 2 2 2" xfId="16756"/>
    <cellStyle name="40% - 강조색4 4 6 3 2 2 3" xfId="16757"/>
    <cellStyle name="40% - 강조색4 4 6 3 2 3" xfId="16758"/>
    <cellStyle name="40% - 강조색4 4 6 3 2 4" xfId="16759"/>
    <cellStyle name="40% - 강조색4 4 6 3 3" xfId="16760"/>
    <cellStyle name="40% - 강조색4 4 6 3 3 2" xfId="16761"/>
    <cellStyle name="40% - 강조색4 4 6 3 3 3" xfId="16762"/>
    <cellStyle name="40% - 강조색4 4 6 3 4" xfId="16763"/>
    <cellStyle name="40% - 강조색4 4 6 3 5" xfId="16764"/>
    <cellStyle name="40% - 강조색4 4 6 4" xfId="16765"/>
    <cellStyle name="40% - 강조색4 4 6 4 2" xfId="16766"/>
    <cellStyle name="40% - 강조색4 4 6 4 2 2" xfId="16767"/>
    <cellStyle name="40% - 강조색4 4 6 4 2 3" xfId="16768"/>
    <cellStyle name="40% - 강조색4 4 6 4 3" xfId="16769"/>
    <cellStyle name="40% - 강조색4 4 6 4 4" xfId="16770"/>
    <cellStyle name="40% - 강조색4 4 6 5" xfId="16771"/>
    <cellStyle name="40% - 강조색4 4 6 5 2" xfId="16772"/>
    <cellStyle name="40% - 강조색4 4 6 5 3" xfId="16773"/>
    <cellStyle name="40% - 강조색4 4 6 6" xfId="16774"/>
    <cellStyle name="40% - 강조색4 4 6 7" xfId="16775"/>
    <cellStyle name="40% - 강조색4 4 7" xfId="16776"/>
    <cellStyle name="40% - 강조색4 4 7 2" xfId="16777"/>
    <cellStyle name="40% - 강조색4 4 7 2 2" xfId="16778"/>
    <cellStyle name="40% - 강조색4 4 7 2 2 2" xfId="16779"/>
    <cellStyle name="40% - 강조색4 4 7 2 2 3" xfId="16780"/>
    <cellStyle name="40% - 강조색4 4 7 2 3" xfId="16781"/>
    <cellStyle name="40% - 강조색4 4 7 2 4" xfId="16782"/>
    <cellStyle name="40% - 강조색4 4 7 3" xfId="16783"/>
    <cellStyle name="40% - 강조색4 4 7 3 2" xfId="16784"/>
    <cellStyle name="40% - 강조색4 4 7 3 3" xfId="16785"/>
    <cellStyle name="40% - 강조색4 4 7 4" xfId="16786"/>
    <cellStyle name="40% - 강조색4 4 7 5" xfId="16787"/>
    <cellStyle name="40% - 강조색4 4 8" xfId="16788"/>
    <cellStyle name="40% - 강조색4 4 8 2" xfId="16789"/>
    <cellStyle name="40% - 강조색4 4 8 2 2" xfId="16790"/>
    <cellStyle name="40% - 강조색4 4 8 2 2 2" xfId="16791"/>
    <cellStyle name="40% - 강조색4 4 8 2 2 3" xfId="16792"/>
    <cellStyle name="40% - 강조색4 4 8 2 3" xfId="16793"/>
    <cellStyle name="40% - 강조색4 4 8 2 4" xfId="16794"/>
    <cellStyle name="40% - 강조색4 4 8 3" xfId="16795"/>
    <cellStyle name="40% - 강조색4 4 8 3 2" xfId="16796"/>
    <cellStyle name="40% - 강조색4 4 8 3 3" xfId="16797"/>
    <cellStyle name="40% - 강조색4 4 8 4" xfId="16798"/>
    <cellStyle name="40% - 강조색4 4 8 5" xfId="16799"/>
    <cellStyle name="40% - 강조색4 4 9" xfId="16800"/>
    <cellStyle name="40% - 강조색4 4 9 2" xfId="16801"/>
    <cellStyle name="40% - 강조색4 4 9 2 2" xfId="16802"/>
    <cellStyle name="40% - 강조색4 4 9 2 2 2" xfId="16803"/>
    <cellStyle name="40% - 강조색4 4 9 2 2 3" xfId="16804"/>
    <cellStyle name="40% - 강조색4 4 9 2 3" xfId="16805"/>
    <cellStyle name="40% - 강조색4 4 9 2 4" xfId="16806"/>
    <cellStyle name="40% - 강조색4 4 9 3" xfId="16807"/>
    <cellStyle name="40% - 강조색4 4 9 3 2" xfId="16808"/>
    <cellStyle name="40% - 강조색4 4 9 3 3" xfId="16809"/>
    <cellStyle name="40% - 강조색4 4 9 4" xfId="16810"/>
    <cellStyle name="40% - 강조색4 4 9 5" xfId="16811"/>
    <cellStyle name="40% - 강조색4 40" xfId="16812"/>
    <cellStyle name="40% - 강조색4 41" xfId="16813"/>
    <cellStyle name="40% - 강조색4 42" xfId="16814"/>
    <cellStyle name="40% - 강조색4 43" xfId="16815"/>
    <cellStyle name="40% - 강조색4 44" xfId="16816"/>
    <cellStyle name="40% - 강조색4 45" xfId="16817"/>
    <cellStyle name="40% - 강조색4 46" xfId="16818"/>
    <cellStyle name="40% - 강조색4 47" xfId="16819"/>
    <cellStyle name="40% - 강조색4 48" xfId="16820"/>
    <cellStyle name="40% - 강조색4 49" xfId="16821"/>
    <cellStyle name="40% - 강조색4 5" xfId="16822"/>
    <cellStyle name="40% - 강조색4 5 10" xfId="16823"/>
    <cellStyle name="40% - 강조색4 5 11" xfId="16824"/>
    <cellStyle name="40% - 강조색4 5 2" xfId="16825"/>
    <cellStyle name="40% - 강조색4 5 2 2" xfId="16826"/>
    <cellStyle name="40% - 강조색4 5 2 2 2" xfId="16827"/>
    <cellStyle name="40% - 강조색4 5 2 2 2 2" xfId="16828"/>
    <cellStyle name="40% - 강조색4 5 2 2 2 2 2" xfId="16829"/>
    <cellStyle name="40% - 강조색4 5 2 2 2 2 3" xfId="16830"/>
    <cellStyle name="40% - 강조색4 5 2 2 2 3" xfId="16831"/>
    <cellStyle name="40% - 강조색4 5 2 2 2 4" xfId="16832"/>
    <cellStyle name="40% - 강조색4 5 2 2 3" xfId="16833"/>
    <cellStyle name="40% - 강조색4 5 2 2 3 2" xfId="16834"/>
    <cellStyle name="40% - 강조색4 5 2 2 3 3" xfId="16835"/>
    <cellStyle name="40% - 강조색4 5 2 2 4" xfId="16836"/>
    <cellStyle name="40% - 강조색4 5 2 2 5" xfId="16837"/>
    <cellStyle name="40% - 강조색4 5 2 3" xfId="16838"/>
    <cellStyle name="40% - 강조색4 5 2 3 2" xfId="16839"/>
    <cellStyle name="40% - 강조색4 5 2 3 2 2" xfId="16840"/>
    <cellStyle name="40% - 강조색4 5 2 3 2 2 2" xfId="16841"/>
    <cellStyle name="40% - 강조색4 5 2 3 2 2 3" xfId="16842"/>
    <cellStyle name="40% - 강조색4 5 2 3 2 3" xfId="16843"/>
    <cellStyle name="40% - 강조색4 5 2 3 2 4" xfId="16844"/>
    <cellStyle name="40% - 강조색4 5 2 3 3" xfId="16845"/>
    <cellStyle name="40% - 강조색4 5 2 3 3 2" xfId="16846"/>
    <cellStyle name="40% - 강조색4 5 2 3 3 3" xfId="16847"/>
    <cellStyle name="40% - 강조색4 5 2 3 4" xfId="16848"/>
    <cellStyle name="40% - 강조색4 5 2 3 5" xfId="16849"/>
    <cellStyle name="40% - 강조색4 5 2 4" xfId="16850"/>
    <cellStyle name="40% - 강조색4 5 2 4 2" xfId="16851"/>
    <cellStyle name="40% - 강조색4 5 2 4 2 2" xfId="16852"/>
    <cellStyle name="40% - 강조색4 5 2 4 2 3" xfId="16853"/>
    <cellStyle name="40% - 강조색4 5 2 4 3" xfId="16854"/>
    <cellStyle name="40% - 강조색4 5 2 4 4" xfId="16855"/>
    <cellStyle name="40% - 강조색4 5 2 5" xfId="16856"/>
    <cellStyle name="40% - 강조색4 5 2 5 2" xfId="16857"/>
    <cellStyle name="40% - 강조색4 5 2 5 3" xfId="16858"/>
    <cellStyle name="40% - 강조색4 5 2 6" xfId="16859"/>
    <cellStyle name="40% - 강조색4 5 2 7" xfId="16860"/>
    <cellStyle name="40% - 강조색4 5 3" xfId="16861"/>
    <cellStyle name="40% - 강조색4 5 3 2" xfId="16862"/>
    <cellStyle name="40% - 강조색4 5 3 2 2" xfId="16863"/>
    <cellStyle name="40% - 강조색4 5 3 2 2 2" xfId="16864"/>
    <cellStyle name="40% - 강조색4 5 3 2 2 2 2" xfId="16865"/>
    <cellStyle name="40% - 강조색4 5 3 2 2 2 3" xfId="16866"/>
    <cellStyle name="40% - 강조색4 5 3 2 2 3" xfId="16867"/>
    <cellStyle name="40% - 강조색4 5 3 2 2 4" xfId="16868"/>
    <cellStyle name="40% - 강조색4 5 3 2 3" xfId="16869"/>
    <cellStyle name="40% - 강조색4 5 3 2 3 2" xfId="16870"/>
    <cellStyle name="40% - 강조색4 5 3 2 3 3" xfId="16871"/>
    <cellStyle name="40% - 강조색4 5 3 2 4" xfId="16872"/>
    <cellStyle name="40% - 강조색4 5 3 2 5" xfId="16873"/>
    <cellStyle name="40% - 강조색4 5 3 3" xfId="16874"/>
    <cellStyle name="40% - 강조색4 5 3 3 2" xfId="16875"/>
    <cellStyle name="40% - 강조색4 5 3 3 2 2" xfId="16876"/>
    <cellStyle name="40% - 강조색4 5 3 3 2 2 2" xfId="16877"/>
    <cellStyle name="40% - 강조색4 5 3 3 2 2 3" xfId="16878"/>
    <cellStyle name="40% - 강조색4 5 3 3 2 3" xfId="16879"/>
    <cellStyle name="40% - 강조색4 5 3 3 2 4" xfId="16880"/>
    <cellStyle name="40% - 강조색4 5 3 3 3" xfId="16881"/>
    <cellStyle name="40% - 강조색4 5 3 3 3 2" xfId="16882"/>
    <cellStyle name="40% - 강조색4 5 3 3 3 3" xfId="16883"/>
    <cellStyle name="40% - 강조색4 5 3 3 4" xfId="16884"/>
    <cellStyle name="40% - 강조색4 5 3 3 5" xfId="16885"/>
    <cellStyle name="40% - 강조색4 5 3 4" xfId="16886"/>
    <cellStyle name="40% - 강조색4 5 3 4 2" xfId="16887"/>
    <cellStyle name="40% - 강조색4 5 3 4 2 2" xfId="16888"/>
    <cellStyle name="40% - 강조색4 5 3 4 2 3" xfId="16889"/>
    <cellStyle name="40% - 강조색4 5 3 4 3" xfId="16890"/>
    <cellStyle name="40% - 강조색4 5 3 4 4" xfId="16891"/>
    <cellStyle name="40% - 강조색4 5 3 5" xfId="16892"/>
    <cellStyle name="40% - 강조색4 5 3 5 2" xfId="16893"/>
    <cellStyle name="40% - 강조색4 5 3 5 3" xfId="16894"/>
    <cellStyle name="40% - 강조색4 5 3 6" xfId="16895"/>
    <cellStyle name="40% - 강조색4 5 3 7" xfId="16896"/>
    <cellStyle name="40% - 강조색4 5 4" xfId="16897"/>
    <cellStyle name="40% - 강조색4 5 4 2" xfId="16898"/>
    <cellStyle name="40% - 강조색4 5 4 2 2" xfId="16899"/>
    <cellStyle name="40% - 강조색4 5 4 2 2 2" xfId="16900"/>
    <cellStyle name="40% - 강조색4 5 4 2 2 3" xfId="16901"/>
    <cellStyle name="40% - 강조색4 5 4 2 3" xfId="16902"/>
    <cellStyle name="40% - 강조색4 5 4 2 4" xfId="16903"/>
    <cellStyle name="40% - 강조색4 5 4 3" xfId="16904"/>
    <cellStyle name="40% - 강조색4 5 4 3 2" xfId="16905"/>
    <cellStyle name="40% - 강조색4 5 4 3 3" xfId="16906"/>
    <cellStyle name="40% - 강조색4 5 4 4" xfId="16907"/>
    <cellStyle name="40% - 강조색4 5 4 5" xfId="16908"/>
    <cellStyle name="40% - 강조색4 5 5" xfId="16909"/>
    <cellStyle name="40% - 강조색4 5 5 2" xfId="16910"/>
    <cellStyle name="40% - 강조색4 5 5 2 2" xfId="16911"/>
    <cellStyle name="40% - 강조색4 5 5 2 2 2" xfId="16912"/>
    <cellStyle name="40% - 강조색4 5 5 2 2 3" xfId="16913"/>
    <cellStyle name="40% - 강조색4 5 5 2 3" xfId="16914"/>
    <cellStyle name="40% - 강조색4 5 5 2 4" xfId="16915"/>
    <cellStyle name="40% - 강조색4 5 5 3" xfId="16916"/>
    <cellStyle name="40% - 강조색4 5 5 3 2" xfId="16917"/>
    <cellStyle name="40% - 강조색4 5 5 3 3" xfId="16918"/>
    <cellStyle name="40% - 강조색4 5 5 4" xfId="16919"/>
    <cellStyle name="40% - 강조색4 5 5 5" xfId="16920"/>
    <cellStyle name="40% - 강조색4 5 6" xfId="16921"/>
    <cellStyle name="40% - 강조색4 5 6 2" xfId="16922"/>
    <cellStyle name="40% - 강조색4 5 6 2 2" xfId="16923"/>
    <cellStyle name="40% - 강조색4 5 6 2 2 2" xfId="16924"/>
    <cellStyle name="40% - 강조색4 5 6 2 2 3" xfId="16925"/>
    <cellStyle name="40% - 강조색4 5 6 2 3" xfId="16926"/>
    <cellStyle name="40% - 강조색4 5 6 2 4" xfId="16927"/>
    <cellStyle name="40% - 강조색4 5 6 3" xfId="16928"/>
    <cellStyle name="40% - 강조색4 5 6 3 2" xfId="16929"/>
    <cellStyle name="40% - 강조색4 5 6 3 3" xfId="16930"/>
    <cellStyle name="40% - 강조색4 5 6 4" xfId="16931"/>
    <cellStyle name="40% - 강조색4 5 6 5" xfId="16932"/>
    <cellStyle name="40% - 강조색4 5 7" xfId="16933"/>
    <cellStyle name="40% - 강조색4 5 7 2" xfId="16934"/>
    <cellStyle name="40% - 강조색4 5 7 2 2" xfId="16935"/>
    <cellStyle name="40% - 강조색4 5 7 2 3" xfId="16936"/>
    <cellStyle name="40% - 강조색4 5 7 3" xfId="16937"/>
    <cellStyle name="40% - 강조색4 5 7 4" xfId="16938"/>
    <cellStyle name="40% - 강조색4 5 8" xfId="16939"/>
    <cellStyle name="40% - 강조색4 5 8 2" xfId="16940"/>
    <cellStyle name="40% - 강조색4 5 8 3" xfId="16941"/>
    <cellStyle name="40% - 강조색4 5 9" xfId="16942"/>
    <cellStyle name="40% - 강조색4 50" xfId="16943"/>
    <cellStyle name="40% - 강조색4 51" xfId="16944"/>
    <cellStyle name="40% - 강조색4 52" xfId="16945"/>
    <cellStyle name="40% - 강조색4 53" xfId="16946"/>
    <cellStyle name="40% - 강조색4 54" xfId="16947"/>
    <cellStyle name="40% - 강조색4 55" xfId="16948"/>
    <cellStyle name="40% - 강조색4 56" xfId="16949"/>
    <cellStyle name="40% - 강조색4 57" xfId="16950"/>
    <cellStyle name="40% - 강조색4 58" xfId="16951"/>
    <cellStyle name="40% - 강조색4 59" xfId="16952"/>
    <cellStyle name="40% - 강조색4 6" xfId="16953"/>
    <cellStyle name="40% - 강조색4 6 10" xfId="16954"/>
    <cellStyle name="40% - 강조색4 6 2" xfId="16955"/>
    <cellStyle name="40% - 강조색4 6 2 2" xfId="16956"/>
    <cellStyle name="40% - 강조색4 6 2 2 2" xfId="16957"/>
    <cellStyle name="40% - 강조색4 6 2 2 2 2" xfId="16958"/>
    <cellStyle name="40% - 강조색4 6 2 2 2 2 2" xfId="16959"/>
    <cellStyle name="40% - 강조색4 6 2 2 2 2 3" xfId="16960"/>
    <cellStyle name="40% - 강조색4 6 2 2 2 3" xfId="16961"/>
    <cellStyle name="40% - 강조색4 6 2 2 2 4" xfId="16962"/>
    <cellStyle name="40% - 강조색4 6 2 2 3" xfId="16963"/>
    <cellStyle name="40% - 강조색4 6 2 2 3 2" xfId="16964"/>
    <cellStyle name="40% - 강조색4 6 2 2 3 3" xfId="16965"/>
    <cellStyle name="40% - 강조색4 6 2 2 4" xfId="16966"/>
    <cellStyle name="40% - 강조색4 6 2 2 5" xfId="16967"/>
    <cellStyle name="40% - 강조색4 6 2 3" xfId="16968"/>
    <cellStyle name="40% - 강조색4 6 2 3 2" xfId="16969"/>
    <cellStyle name="40% - 강조색4 6 2 3 2 2" xfId="16970"/>
    <cellStyle name="40% - 강조색4 6 2 3 2 2 2" xfId="16971"/>
    <cellStyle name="40% - 강조색4 6 2 3 2 2 3" xfId="16972"/>
    <cellStyle name="40% - 강조색4 6 2 3 2 3" xfId="16973"/>
    <cellStyle name="40% - 강조색4 6 2 3 2 4" xfId="16974"/>
    <cellStyle name="40% - 강조색4 6 2 3 3" xfId="16975"/>
    <cellStyle name="40% - 강조색4 6 2 3 3 2" xfId="16976"/>
    <cellStyle name="40% - 강조색4 6 2 3 3 3" xfId="16977"/>
    <cellStyle name="40% - 강조색4 6 2 3 4" xfId="16978"/>
    <cellStyle name="40% - 강조색4 6 2 3 5" xfId="16979"/>
    <cellStyle name="40% - 강조색4 6 2 4" xfId="16980"/>
    <cellStyle name="40% - 강조색4 6 2 4 2" xfId="16981"/>
    <cellStyle name="40% - 강조색4 6 2 4 2 2" xfId="16982"/>
    <cellStyle name="40% - 강조색4 6 2 4 2 3" xfId="16983"/>
    <cellStyle name="40% - 강조색4 6 2 4 3" xfId="16984"/>
    <cellStyle name="40% - 강조색4 6 2 4 4" xfId="16985"/>
    <cellStyle name="40% - 강조색4 6 2 5" xfId="16986"/>
    <cellStyle name="40% - 강조색4 6 2 5 2" xfId="16987"/>
    <cellStyle name="40% - 강조색4 6 2 5 3" xfId="16988"/>
    <cellStyle name="40% - 강조색4 6 2 6" xfId="16989"/>
    <cellStyle name="40% - 강조색4 6 2 7" xfId="16990"/>
    <cellStyle name="40% - 강조색4 6 3" xfId="16991"/>
    <cellStyle name="40% - 강조색4 6 3 2" xfId="16992"/>
    <cellStyle name="40% - 강조색4 6 3 2 2" xfId="16993"/>
    <cellStyle name="40% - 강조색4 6 3 2 2 2" xfId="16994"/>
    <cellStyle name="40% - 강조색4 6 3 2 2 2 2" xfId="16995"/>
    <cellStyle name="40% - 강조색4 6 3 2 2 2 3" xfId="16996"/>
    <cellStyle name="40% - 강조색4 6 3 2 2 3" xfId="16997"/>
    <cellStyle name="40% - 강조색4 6 3 2 2 4" xfId="16998"/>
    <cellStyle name="40% - 강조색4 6 3 2 3" xfId="16999"/>
    <cellStyle name="40% - 강조색4 6 3 2 3 2" xfId="17000"/>
    <cellStyle name="40% - 강조색4 6 3 2 3 3" xfId="17001"/>
    <cellStyle name="40% - 강조색4 6 3 2 4" xfId="17002"/>
    <cellStyle name="40% - 강조색4 6 3 2 5" xfId="17003"/>
    <cellStyle name="40% - 강조색4 6 3 3" xfId="17004"/>
    <cellStyle name="40% - 강조색4 6 3 3 2" xfId="17005"/>
    <cellStyle name="40% - 강조색4 6 3 3 2 2" xfId="17006"/>
    <cellStyle name="40% - 강조색4 6 3 3 2 2 2" xfId="17007"/>
    <cellStyle name="40% - 강조색4 6 3 3 2 2 3" xfId="17008"/>
    <cellStyle name="40% - 강조색4 6 3 3 2 3" xfId="17009"/>
    <cellStyle name="40% - 강조색4 6 3 3 2 4" xfId="17010"/>
    <cellStyle name="40% - 강조색4 6 3 3 3" xfId="17011"/>
    <cellStyle name="40% - 강조색4 6 3 3 3 2" xfId="17012"/>
    <cellStyle name="40% - 강조색4 6 3 3 3 3" xfId="17013"/>
    <cellStyle name="40% - 강조색4 6 3 3 4" xfId="17014"/>
    <cellStyle name="40% - 강조색4 6 3 3 5" xfId="17015"/>
    <cellStyle name="40% - 강조색4 6 3 4" xfId="17016"/>
    <cellStyle name="40% - 강조색4 6 3 4 2" xfId="17017"/>
    <cellStyle name="40% - 강조색4 6 3 4 2 2" xfId="17018"/>
    <cellStyle name="40% - 강조색4 6 3 4 2 3" xfId="17019"/>
    <cellStyle name="40% - 강조색4 6 3 4 3" xfId="17020"/>
    <cellStyle name="40% - 강조색4 6 3 4 4" xfId="17021"/>
    <cellStyle name="40% - 강조색4 6 3 5" xfId="17022"/>
    <cellStyle name="40% - 강조색4 6 3 5 2" xfId="17023"/>
    <cellStyle name="40% - 강조색4 6 3 5 3" xfId="17024"/>
    <cellStyle name="40% - 강조색4 6 3 6" xfId="17025"/>
    <cellStyle name="40% - 강조색4 6 3 7" xfId="17026"/>
    <cellStyle name="40% - 강조색4 6 4" xfId="17027"/>
    <cellStyle name="40% - 강조색4 6 4 2" xfId="17028"/>
    <cellStyle name="40% - 강조색4 6 4 2 2" xfId="17029"/>
    <cellStyle name="40% - 강조색4 6 4 2 2 2" xfId="17030"/>
    <cellStyle name="40% - 강조색4 6 4 2 2 3" xfId="17031"/>
    <cellStyle name="40% - 강조색4 6 4 2 3" xfId="17032"/>
    <cellStyle name="40% - 강조색4 6 4 2 4" xfId="17033"/>
    <cellStyle name="40% - 강조색4 6 4 3" xfId="17034"/>
    <cellStyle name="40% - 강조색4 6 4 3 2" xfId="17035"/>
    <cellStyle name="40% - 강조색4 6 4 3 3" xfId="17036"/>
    <cellStyle name="40% - 강조색4 6 4 4" xfId="17037"/>
    <cellStyle name="40% - 강조색4 6 4 5" xfId="17038"/>
    <cellStyle name="40% - 강조색4 6 5" xfId="17039"/>
    <cellStyle name="40% - 강조색4 6 5 2" xfId="17040"/>
    <cellStyle name="40% - 강조색4 6 5 2 2" xfId="17041"/>
    <cellStyle name="40% - 강조색4 6 5 2 2 2" xfId="17042"/>
    <cellStyle name="40% - 강조색4 6 5 2 2 3" xfId="17043"/>
    <cellStyle name="40% - 강조색4 6 5 2 3" xfId="17044"/>
    <cellStyle name="40% - 강조색4 6 5 2 4" xfId="17045"/>
    <cellStyle name="40% - 강조색4 6 5 3" xfId="17046"/>
    <cellStyle name="40% - 강조색4 6 5 3 2" xfId="17047"/>
    <cellStyle name="40% - 강조색4 6 5 3 3" xfId="17048"/>
    <cellStyle name="40% - 강조색4 6 5 4" xfId="17049"/>
    <cellStyle name="40% - 강조색4 6 5 5" xfId="17050"/>
    <cellStyle name="40% - 강조색4 6 6" xfId="17051"/>
    <cellStyle name="40% - 강조색4 6 6 2" xfId="17052"/>
    <cellStyle name="40% - 강조색4 6 6 2 2" xfId="17053"/>
    <cellStyle name="40% - 강조색4 6 6 2 2 2" xfId="17054"/>
    <cellStyle name="40% - 강조색4 6 6 2 2 3" xfId="17055"/>
    <cellStyle name="40% - 강조색4 6 6 2 3" xfId="17056"/>
    <cellStyle name="40% - 강조색4 6 6 2 4" xfId="17057"/>
    <cellStyle name="40% - 강조색4 6 6 3" xfId="17058"/>
    <cellStyle name="40% - 강조색4 6 6 3 2" xfId="17059"/>
    <cellStyle name="40% - 강조색4 6 6 3 3" xfId="17060"/>
    <cellStyle name="40% - 강조색4 6 6 4" xfId="17061"/>
    <cellStyle name="40% - 강조색4 6 6 5" xfId="17062"/>
    <cellStyle name="40% - 강조색4 6 7" xfId="17063"/>
    <cellStyle name="40% - 강조색4 6 7 2" xfId="17064"/>
    <cellStyle name="40% - 강조색4 6 7 2 2" xfId="17065"/>
    <cellStyle name="40% - 강조색4 6 7 2 3" xfId="17066"/>
    <cellStyle name="40% - 강조색4 6 7 3" xfId="17067"/>
    <cellStyle name="40% - 강조색4 6 7 4" xfId="17068"/>
    <cellStyle name="40% - 강조색4 6 8" xfId="17069"/>
    <cellStyle name="40% - 강조색4 6 8 2" xfId="17070"/>
    <cellStyle name="40% - 강조색4 6 8 3" xfId="17071"/>
    <cellStyle name="40% - 강조색4 6 9" xfId="17072"/>
    <cellStyle name="40% - 강조색4 60" xfId="17073"/>
    <cellStyle name="40% - 강조색4 61" xfId="17074"/>
    <cellStyle name="40% - 강조색4 62" xfId="17075"/>
    <cellStyle name="40% - 강조색4 63" xfId="17076"/>
    <cellStyle name="40% - 강조색4 64" xfId="17077"/>
    <cellStyle name="40% - 강조색4 65" xfId="17078"/>
    <cellStyle name="40% - 강조색4 66" xfId="17079"/>
    <cellStyle name="40% - 강조색4 67" xfId="17080"/>
    <cellStyle name="40% - 강조색4 68" xfId="17081"/>
    <cellStyle name="40% - 강조색4 69" xfId="17082"/>
    <cellStyle name="40% - 강조색4 7" xfId="17083"/>
    <cellStyle name="40% - 강조색4 7 10" xfId="17084"/>
    <cellStyle name="40% - 강조색4 7 2" xfId="17085"/>
    <cellStyle name="40% - 강조색4 7 2 2" xfId="17086"/>
    <cellStyle name="40% - 강조색4 7 2 2 2" xfId="17087"/>
    <cellStyle name="40% - 강조색4 7 2 2 2 2" xfId="17088"/>
    <cellStyle name="40% - 강조색4 7 2 2 2 2 2" xfId="17089"/>
    <cellStyle name="40% - 강조색4 7 2 2 2 2 3" xfId="17090"/>
    <cellStyle name="40% - 강조색4 7 2 2 2 3" xfId="17091"/>
    <cellStyle name="40% - 강조색4 7 2 2 2 4" xfId="17092"/>
    <cellStyle name="40% - 강조색4 7 2 2 3" xfId="17093"/>
    <cellStyle name="40% - 강조색4 7 2 2 3 2" xfId="17094"/>
    <cellStyle name="40% - 강조색4 7 2 2 3 3" xfId="17095"/>
    <cellStyle name="40% - 강조색4 7 2 2 4" xfId="17096"/>
    <cellStyle name="40% - 강조색4 7 2 2 5" xfId="17097"/>
    <cellStyle name="40% - 강조색4 7 2 3" xfId="17098"/>
    <cellStyle name="40% - 강조색4 7 2 3 2" xfId="17099"/>
    <cellStyle name="40% - 강조색4 7 2 3 2 2" xfId="17100"/>
    <cellStyle name="40% - 강조색4 7 2 3 2 2 2" xfId="17101"/>
    <cellStyle name="40% - 강조색4 7 2 3 2 2 3" xfId="17102"/>
    <cellStyle name="40% - 강조색4 7 2 3 2 3" xfId="17103"/>
    <cellStyle name="40% - 강조색4 7 2 3 2 4" xfId="17104"/>
    <cellStyle name="40% - 강조색4 7 2 3 3" xfId="17105"/>
    <cellStyle name="40% - 강조색4 7 2 3 3 2" xfId="17106"/>
    <cellStyle name="40% - 강조색4 7 2 3 3 3" xfId="17107"/>
    <cellStyle name="40% - 강조색4 7 2 3 4" xfId="17108"/>
    <cellStyle name="40% - 강조색4 7 2 3 5" xfId="17109"/>
    <cellStyle name="40% - 강조색4 7 2 4" xfId="17110"/>
    <cellStyle name="40% - 강조색4 7 2 4 2" xfId="17111"/>
    <cellStyle name="40% - 강조색4 7 2 4 2 2" xfId="17112"/>
    <cellStyle name="40% - 강조색4 7 2 4 2 3" xfId="17113"/>
    <cellStyle name="40% - 강조색4 7 2 4 3" xfId="17114"/>
    <cellStyle name="40% - 강조색4 7 2 4 4" xfId="17115"/>
    <cellStyle name="40% - 강조색4 7 2 5" xfId="17116"/>
    <cellStyle name="40% - 강조색4 7 2 5 2" xfId="17117"/>
    <cellStyle name="40% - 강조색4 7 2 5 3" xfId="17118"/>
    <cellStyle name="40% - 강조색4 7 2 6" xfId="17119"/>
    <cellStyle name="40% - 강조색4 7 2 7" xfId="17120"/>
    <cellStyle name="40% - 강조색4 7 3" xfId="17121"/>
    <cellStyle name="40% - 강조색4 7 3 2" xfId="17122"/>
    <cellStyle name="40% - 강조색4 7 3 2 2" xfId="17123"/>
    <cellStyle name="40% - 강조색4 7 3 2 2 2" xfId="17124"/>
    <cellStyle name="40% - 강조색4 7 3 2 2 2 2" xfId="17125"/>
    <cellStyle name="40% - 강조색4 7 3 2 2 2 3" xfId="17126"/>
    <cellStyle name="40% - 강조색4 7 3 2 2 3" xfId="17127"/>
    <cellStyle name="40% - 강조색4 7 3 2 2 4" xfId="17128"/>
    <cellStyle name="40% - 강조색4 7 3 2 3" xfId="17129"/>
    <cellStyle name="40% - 강조색4 7 3 2 3 2" xfId="17130"/>
    <cellStyle name="40% - 강조색4 7 3 2 3 3" xfId="17131"/>
    <cellStyle name="40% - 강조색4 7 3 2 4" xfId="17132"/>
    <cellStyle name="40% - 강조색4 7 3 2 5" xfId="17133"/>
    <cellStyle name="40% - 강조색4 7 3 3" xfId="17134"/>
    <cellStyle name="40% - 강조색4 7 3 3 2" xfId="17135"/>
    <cellStyle name="40% - 강조색4 7 3 3 2 2" xfId="17136"/>
    <cellStyle name="40% - 강조색4 7 3 3 2 2 2" xfId="17137"/>
    <cellStyle name="40% - 강조색4 7 3 3 2 2 3" xfId="17138"/>
    <cellStyle name="40% - 강조색4 7 3 3 2 3" xfId="17139"/>
    <cellStyle name="40% - 강조색4 7 3 3 2 4" xfId="17140"/>
    <cellStyle name="40% - 강조색4 7 3 3 3" xfId="17141"/>
    <cellStyle name="40% - 강조색4 7 3 3 3 2" xfId="17142"/>
    <cellStyle name="40% - 강조색4 7 3 3 3 3" xfId="17143"/>
    <cellStyle name="40% - 강조색4 7 3 3 4" xfId="17144"/>
    <cellStyle name="40% - 강조색4 7 3 3 5" xfId="17145"/>
    <cellStyle name="40% - 강조색4 7 3 4" xfId="17146"/>
    <cellStyle name="40% - 강조색4 7 3 4 2" xfId="17147"/>
    <cellStyle name="40% - 강조색4 7 3 4 2 2" xfId="17148"/>
    <cellStyle name="40% - 강조색4 7 3 4 2 3" xfId="17149"/>
    <cellStyle name="40% - 강조색4 7 3 4 3" xfId="17150"/>
    <cellStyle name="40% - 강조색4 7 3 4 4" xfId="17151"/>
    <cellStyle name="40% - 강조색4 7 3 5" xfId="17152"/>
    <cellStyle name="40% - 강조색4 7 3 5 2" xfId="17153"/>
    <cellStyle name="40% - 강조색4 7 3 5 3" xfId="17154"/>
    <cellStyle name="40% - 강조색4 7 3 6" xfId="17155"/>
    <cellStyle name="40% - 강조색4 7 3 7" xfId="17156"/>
    <cellStyle name="40% - 강조색4 7 4" xfId="17157"/>
    <cellStyle name="40% - 강조색4 7 4 2" xfId="17158"/>
    <cellStyle name="40% - 강조색4 7 4 2 2" xfId="17159"/>
    <cellStyle name="40% - 강조색4 7 4 2 2 2" xfId="17160"/>
    <cellStyle name="40% - 강조색4 7 4 2 2 3" xfId="17161"/>
    <cellStyle name="40% - 강조색4 7 4 2 3" xfId="17162"/>
    <cellStyle name="40% - 강조색4 7 4 2 4" xfId="17163"/>
    <cellStyle name="40% - 강조색4 7 4 3" xfId="17164"/>
    <cellStyle name="40% - 강조색4 7 4 3 2" xfId="17165"/>
    <cellStyle name="40% - 강조색4 7 4 3 3" xfId="17166"/>
    <cellStyle name="40% - 강조색4 7 4 4" xfId="17167"/>
    <cellStyle name="40% - 강조색4 7 4 5" xfId="17168"/>
    <cellStyle name="40% - 강조색4 7 5" xfId="17169"/>
    <cellStyle name="40% - 강조색4 7 5 2" xfId="17170"/>
    <cellStyle name="40% - 강조색4 7 5 2 2" xfId="17171"/>
    <cellStyle name="40% - 강조색4 7 5 2 2 2" xfId="17172"/>
    <cellStyle name="40% - 강조색4 7 5 2 2 3" xfId="17173"/>
    <cellStyle name="40% - 강조색4 7 5 2 3" xfId="17174"/>
    <cellStyle name="40% - 강조색4 7 5 2 4" xfId="17175"/>
    <cellStyle name="40% - 강조색4 7 5 3" xfId="17176"/>
    <cellStyle name="40% - 강조색4 7 5 3 2" xfId="17177"/>
    <cellStyle name="40% - 강조색4 7 5 3 3" xfId="17178"/>
    <cellStyle name="40% - 강조색4 7 5 4" xfId="17179"/>
    <cellStyle name="40% - 강조색4 7 5 5" xfId="17180"/>
    <cellStyle name="40% - 강조색4 7 6" xfId="17181"/>
    <cellStyle name="40% - 강조색4 7 6 2" xfId="17182"/>
    <cellStyle name="40% - 강조색4 7 6 2 2" xfId="17183"/>
    <cellStyle name="40% - 강조색4 7 6 2 2 2" xfId="17184"/>
    <cellStyle name="40% - 강조색4 7 6 2 2 3" xfId="17185"/>
    <cellStyle name="40% - 강조색4 7 6 2 3" xfId="17186"/>
    <cellStyle name="40% - 강조색4 7 6 2 4" xfId="17187"/>
    <cellStyle name="40% - 강조색4 7 6 3" xfId="17188"/>
    <cellStyle name="40% - 강조색4 7 6 3 2" xfId="17189"/>
    <cellStyle name="40% - 강조색4 7 6 3 3" xfId="17190"/>
    <cellStyle name="40% - 강조색4 7 6 4" xfId="17191"/>
    <cellStyle name="40% - 강조색4 7 6 5" xfId="17192"/>
    <cellStyle name="40% - 강조색4 7 7" xfId="17193"/>
    <cellStyle name="40% - 강조색4 7 7 2" xfId="17194"/>
    <cellStyle name="40% - 강조색4 7 7 2 2" xfId="17195"/>
    <cellStyle name="40% - 강조색4 7 7 2 3" xfId="17196"/>
    <cellStyle name="40% - 강조색4 7 7 3" xfId="17197"/>
    <cellStyle name="40% - 강조색4 7 7 4" xfId="17198"/>
    <cellStyle name="40% - 강조색4 7 8" xfId="17199"/>
    <cellStyle name="40% - 강조색4 7 8 2" xfId="17200"/>
    <cellStyle name="40% - 강조색4 7 8 3" xfId="17201"/>
    <cellStyle name="40% - 강조색4 7 9" xfId="17202"/>
    <cellStyle name="40% - 강조색4 8" xfId="17203"/>
    <cellStyle name="40% - 강조색4 8 2" xfId="17204"/>
    <cellStyle name="40% - 강조색4 8 2 2" xfId="17205"/>
    <cellStyle name="40% - 강조색4 8 2 2 2" xfId="17206"/>
    <cellStyle name="40% - 강조색4 8 2 2 2 2" xfId="17207"/>
    <cellStyle name="40% - 강조색4 8 2 2 2 3" xfId="17208"/>
    <cellStyle name="40% - 강조색4 8 2 2 3" xfId="17209"/>
    <cellStyle name="40% - 강조색4 8 2 2 4" xfId="17210"/>
    <cellStyle name="40% - 강조색4 8 2 3" xfId="17211"/>
    <cellStyle name="40% - 강조색4 8 2 3 2" xfId="17212"/>
    <cellStyle name="40% - 강조색4 8 2 3 3" xfId="17213"/>
    <cellStyle name="40% - 강조색4 8 2 4" xfId="17214"/>
    <cellStyle name="40% - 강조색4 8 2 5" xfId="17215"/>
    <cellStyle name="40% - 강조색4 8 3" xfId="17216"/>
    <cellStyle name="40% - 강조색4 8 3 2" xfId="17217"/>
    <cellStyle name="40% - 강조색4 8 3 2 2" xfId="17218"/>
    <cellStyle name="40% - 강조색4 8 3 2 2 2" xfId="17219"/>
    <cellStyle name="40% - 강조색4 8 3 2 2 3" xfId="17220"/>
    <cellStyle name="40% - 강조색4 8 3 2 3" xfId="17221"/>
    <cellStyle name="40% - 강조색4 8 3 2 4" xfId="17222"/>
    <cellStyle name="40% - 강조색4 8 3 3" xfId="17223"/>
    <cellStyle name="40% - 강조색4 8 3 3 2" xfId="17224"/>
    <cellStyle name="40% - 강조색4 8 3 3 3" xfId="17225"/>
    <cellStyle name="40% - 강조색4 8 3 4" xfId="17226"/>
    <cellStyle name="40% - 강조색4 8 3 5" xfId="17227"/>
    <cellStyle name="40% - 강조색4 8 4" xfId="17228"/>
    <cellStyle name="40% - 강조색4 8 4 2" xfId="17229"/>
    <cellStyle name="40% - 강조색4 8 4 2 2" xfId="17230"/>
    <cellStyle name="40% - 강조색4 8 4 2 3" xfId="17231"/>
    <cellStyle name="40% - 강조색4 8 4 3" xfId="17232"/>
    <cellStyle name="40% - 강조색4 8 4 4" xfId="17233"/>
    <cellStyle name="40% - 강조색4 8 5" xfId="17234"/>
    <cellStyle name="40% - 강조색4 8 5 2" xfId="17235"/>
    <cellStyle name="40% - 강조색4 8 5 3" xfId="17236"/>
    <cellStyle name="40% - 강조색4 8 6" xfId="17237"/>
    <cellStyle name="40% - 강조색4 8 7" xfId="17238"/>
    <cellStyle name="40% - 강조색4 9" xfId="17239"/>
    <cellStyle name="40% - 강조색4 9 2" xfId="17240"/>
    <cellStyle name="40% - 강조색4 9 2 2" xfId="17241"/>
    <cellStyle name="40% - 강조색4 9 2 2 2" xfId="17242"/>
    <cellStyle name="40% - 강조색4 9 2 2 2 2" xfId="17243"/>
    <cellStyle name="40% - 강조색4 9 2 2 2 3" xfId="17244"/>
    <cellStyle name="40% - 강조색4 9 2 2 3" xfId="17245"/>
    <cellStyle name="40% - 강조색4 9 2 2 4" xfId="17246"/>
    <cellStyle name="40% - 강조색4 9 2 3" xfId="17247"/>
    <cellStyle name="40% - 강조색4 9 2 3 2" xfId="17248"/>
    <cellStyle name="40% - 강조색4 9 2 3 3" xfId="17249"/>
    <cellStyle name="40% - 강조색4 9 2 4" xfId="17250"/>
    <cellStyle name="40% - 강조색4 9 2 5" xfId="17251"/>
    <cellStyle name="40% - 강조색4 9 3" xfId="17252"/>
    <cellStyle name="40% - 강조색4 9 3 2" xfId="17253"/>
    <cellStyle name="40% - 강조색4 9 3 2 2" xfId="17254"/>
    <cellStyle name="40% - 강조색4 9 3 2 2 2" xfId="17255"/>
    <cellStyle name="40% - 강조색4 9 3 2 2 3" xfId="17256"/>
    <cellStyle name="40% - 강조색4 9 3 2 3" xfId="17257"/>
    <cellStyle name="40% - 강조색4 9 3 2 4" xfId="17258"/>
    <cellStyle name="40% - 강조색4 9 3 3" xfId="17259"/>
    <cellStyle name="40% - 강조색4 9 3 3 2" xfId="17260"/>
    <cellStyle name="40% - 강조색4 9 3 3 3" xfId="17261"/>
    <cellStyle name="40% - 강조색4 9 3 4" xfId="17262"/>
    <cellStyle name="40% - 강조색4 9 3 5" xfId="17263"/>
    <cellStyle name="40% - 강조색4 9 4" xfId="17264"/>
    <cellStyle name="40% - 강조색4 9 4 2" xfId="17265"/>
    <cellStyle name="40% - 강조색4 9 4 2 2" xfId="17266"/>
    <cellStyle name="40% - 강조색4 9 4 2 3" xfId="17267"/>
    <cellStyle name="40% - 강조색4 9 4 3" xfId="17268"/>
    <cellStyle name="40% - 강조색4 9 4 4" xfId="17269"/>
    <cellStyle name="40% - 강조색4 9 5" xfId="17270"/>
    <cellStyle name="40% - 강조색4 9 5 2" xfId="17271"/>
    <cellStyle name="40% - 강조색4 9 5 3" xfId="17272"/>
    <cellStyle name="40% - 강조색4 9 6" xfId="17273"/>
    <cellStyle name="40% - 강조색4 9 7" xfId="17274"/>
    <cellStyle name="40% - 강조색5 10" xfId="17275"/>
    <cellStyle name="40% - 강조색5 10 2" xfId="17276"/>
    <cellStyle name="40% - 강조색5 10 2 2" xfId="17277"/>
    <cellStyle name="40% - 강조색5 10 2 2 2" xfId="17278"/>
    <cellStyle name="40% - 강조색5 10 2 2 2 2" xfId="17279"/>
    <cellStyle name="40% - 강조색5 10 2 2 2 3" xfId="17280"/>
    <cellStyle name="40% - 강조색5 10 2 2 3" xfId="17281"/>
    <cellStyle name="40% - 강조색5 10 2 2 4" xfId="17282"/>
    <cellStyle name="40% - 강조색5 10 2 3" xfId="17283"/>
    <cellStyle name="40% - 강조색5 10 2 3 2" xfId="17284"/>
    <cellStyle name="40% - 강조색5 10 2 3 3" xfId="17285"/>
    <cellStyle name="40% - 강조색5 10 2 4" xfId="17286"/>
    <cellStyle name="40% - 강조색5 10 2 5" xfId="17287"/>
    <cellStyle name="40% - 강조색5 10 3" xfId="17288"/>
    <cellStyle name="40% - 강조색5 10 3 2" xfId="17289"/>
    <cellStyle name="40% - 강조색5 10 3 2 2" xfId="17290"/>
    <cellStyle name="40% - 강조색5 10 3 2 2 2" xfId="17291"/>
    <cellStyle name="40% - 강조색5 10 3 2 2 3" xfId="17292"/>
    <cellStyle name="40% - 강조색5 10 3 2 3" xfId="17293"/>
    <cellStyle name="40% - 강조색5 10 3 2 4" xfId="17294"/>
    <cellStyle name="40% - 강조색5 10 3 3" xfId="17295"/>
    <cellStyle name="40% - 강조색5 10 3 3 2" xfId="17296"/>
    <cellStyle name="40% - 강조색5 10 3 3 3" xfId="17297"/>
    <cellStyle name="40% - 강조색5 10 3 4" xfId="17298"/>
    <cellStyle name="40% - 강조색5 10 3 5" xfId="17299"/>
    <cellStyle name="40% - 강조색5 10 4" xfId="17300"/>
    <cellStyle name="40% - 강조색5 10 4 2" xfId="17301"/>
    <cellStyle name="40% - 강조색5 10 4 2 2" xfId="17302"/>
    <cellStyle name="40% - 강조색5 10 4 2 3" xfId="17303"/>
    <cellStyle name="40% - 강조색5 10 4 3" xfId="17304"/>
    <cellStyle name="40% - 강조색5 10 4 4" xfId="17305"/>
    <cellStyle name="40% - 강조색5 10 5" xfId="17306"/>
    <cellStyle name="40% - 강조색5 10 5 2" xfId="17307"/>
    <cellStyle name="40% - 강조색5 10 5 3" xfId="17308"/>
    <cellStyle name="40% - 강조색5 10 6" xfId="17309"/>
    <cellStyle name="40% - 강조색5 10 7" xfId="17310"/>
    <cellStyle name="40% - 강조색5 11" xfId="17311"/>
    <cellStyle name="40% - 강조색5 11 2" xfId="17312"/>
    <cellStyle name="40% - 강조색5 11 2 2" xfId="17313"/>
    <cellStyle name="40% - 강조색5 11 2 2 2" xfId="17314"/>
    <cellStyle name="40% - 강조색5 11 2 2 3" xfId="17315"/>
    <cellStyle name="40% - 강조색5 11 2 3" xfId="17316"/>
    <cellStyle name="40% - 강조색5 11 2 4" xfId="17317"/>
    <cellStyle name="40% - 강조색5 11 3" xfId="17318"/>
    <cellStyle name="40% - 강조색5 11 3 2" xfId="17319"/>
    <cellStyle name="40% - 강조색5 11 3 3" xfId="17320"/>
    <cellStyle name="40% - 강조색5 11 4" xfId="17321"/>
    <cellStyle name="40% - 강조색5 11 5" xfId="17322"/>
    <cellStyle name="40% - 강조색5 12" xfId="17323"/>
    <cellStyle name="40% - 강조색5 12 2" xfId="17324"/>
    <cellStyle name="40% - 강조색5 12 2 2" xfId="17325"/>
    <cellStyle name="40% - 강조색5 12 2 2 2" xfId="17326"/>
    <cellStyle name="40% - 강조색5 12 2 2 3" xfId="17327"/>
    <cellStyle name="40% - 강조색5 12 2 3" xfId="17328"/>
    <cellStyle name="40% - 강조색5 12 2 4" xfId="17329"/>
    <cellStyle name="40% - 강조색5 12 3" xfId="17330"/>
    <cellStyle name="40% - 강조색5 12 3 2" xfId="17331"/>
    <cellStyle name="40% - 강조색5 12 3 3" xfId="17332"/>
    <cellStyle name="40% - 강조색5 12 4" xfId="17333"/>
    <cellStyle name="40% - 강조색5 12 5" xfId="17334"/>
    <cellStyle name="40% - 강조색5 13" xfId="17335"/>
    <cellStyle name="40% - 강조색5 13 2" xfId="17336"/>
    <cellStyle name="40% - 강조색5 13 2 2" xfId="17337"/>
    <cellStyle name="40% - 강조색5 13 2 3" xfId="17338"/>
    <cellStyle name="40% - 강조색5 13 3" xfId="17339"/>
    <cellStyle name="40% - 강조색5 13 4" xfId="17340"/>
    <cellStyle name="40% - 강조색5 14" xfId="17341"/>
    <cellStyle name="40% - 강조색5 14 2" xfId="17342"/>
    <cellStyle name="40% - 강조색5 14 2 2" xfId="17343"/>
    <cellStyle name="40% - 강조색5 14 2 3" xfId="17344"/>
    <cellStyle name="40% - 강조색5 14 3" xfId="17345"/>
    <cellStyle name="40% - 강조색5 14 4" xfId="17346"/>
    <cellStyle name="40% - 강조색5 15" xfId="17347"/>
    <cellStyle name="40% - 강조색5 15 2" xfId="17348"/>
    <cellStyle name="40% - 강조색5 15 3" xfId="17349"/>
    <cellStyle name="40% - 강조색5 16" xfId="17350"/>
    <cellStyle name="40% - 강조색5 16 2" xfId="17351"/>
    <cellStyle name="40% - 강조색5 16 3" xfId="17352"/>
    <cellStyle name="40% - 강조색5 16 4" xfId="17353"/>
    <cellStyle name="40% - 강조색5 17" xfId="17354"/>
    <cellStyle name="40% - 강조색5 17 2" xfId="17355"/>
    <cellStyle name="40% - 강조색5 17 3" xfId="17356"/>
    <cellStyle name="40% - 강조색5 18" xfId="17357"/>
    <cellStyle name="40% - 강조색5 18 2" xfId="17358"/>
    <cellStyle name="40% - 강조색5 18 3" xfId="17359"/>
    <cellStyle name="40% - 강조색5 19" xfId="17360"/>
    <cellStyle name="40% - 강조색5 19 2" xfId="17361"/>
    <cellStyle name="40% - 강조색5 19 3" xfId="17362"/>
    <cellStyle name="40% - 강조색5 2" xfId="17363"/>
    <cellStyle name="40% - 강조색5 2 2" xfId="17364"/>
    <cellStyle name="40% - 강조색5 2 2 2" xfId="17365"/>
    <cellStyle name="40% - 강조색5 2 2 2 2" xfId="17366"/>
    <cellStyle name="40% - 강조색5 2 2 3" xfId="17367"/>
    <cellStyle name="40% - 강조색5 2 3" xfId="17368"/>
    <cellStyle name="40% - 강조색5 2 3 2" xfId="17369"/>
    <cellStyle name="40% - 강조색5 2 3 2 2" xfId="17370"/>
    <cellStyle name="40% - 강조색5 2 3 3" xfId="17371"/>
    <cellStyle name="40% - 강조색5 2 4" xfId="17372"/>
    <cellStyle name="40% - 강조색5 2 4 2" xfId="17373"/>
    <cellStyle name="40% - 강조색5 2 5" xfId="17374"/>
    <cellStyle name="40% - 강조색5 2 6" xfId="17375"/>
    <cellStyle name="40% - 강조색5 20" xfId="17376"/>
    <cellStyle name="40% - 강조색5 20 2" xfId="17377"/>
    <cellStyle name="40% - 강조색5 20 3" xfId="17378"/>
    <cellStyle name="40% - 강조색5 21" xfId="17379"/>
    <cellStyle name="40% - 강조색5 21 2" xfId="17380"/>
    <cellStyle name="40% - 강조색5 21 3" xfId="17381"/>
    <cellStyle name="40% - 강조색5 22" xfId="17382"/>
    <cellStyle name="40% - 강조색5 22 2" xfId="17383"/>
    <cellStyle name="40% - 강조색5 22 3" xfId="17384"/>
    <cellStyle name="40% - 강조색5 23" xfId="17385"/>
    <cellStyle name="40% - 강조색5 23 2" xfId="17386"/>
    <cellStyle name="40% - 강조색5 23 3" xfId="17387"/>
    <cellStyle name="40% - 강조색5 24" xfId="17388"/>
    <cellStyle name="40% - 강조색5 24 2" xfId="17389"/>
    <cellStyle name="40% - 강조색5 25" xfId="17390"/>
    <cellStyle name="40% - 강조색5 25 2" xfId="17391"/>
    <cellStyle name="40% - 강조색5 26" xfId="17392"/>
    <cellStyle name="40% - 강조색5 26 2" xfId="17393"/>
    <cellStyle name="40% - 강조색5 27" xfId="17394"/>
    <cellStyle name="40% - 강조색5 27 2" xfId="17395"/>
    <cellStyle name="40% - 강조색5 28" xfId="17396"/>
    <cellStyle name="40% - 강조색5 28 2" xfId="17397"/>
    <cellStyle name="40% - 강조색5 29" xfId="17398"/>
    <cellStyle name="40% - 강조색5 29 2" xfId="17399"/>
    <cellStyle name="40% - 강조색5 3" xfId="17400"/>
    <cellStyle name="40% - 강조색5 3 10" xfId="17401"/>
    <cellStyle name="40% - 강조색5 3 10 2" xfId="17402"/>
    <cellStyle name="40% - 강조색5 3 10 2 2" xfId="17403"/>
    <cellStyle name="40% - 강조색5 3 10 2 3" xfId="17404"/>
    <cellStyle name="40% - 강조색5 3 10 3" xfId="17405"/>
    <cellStyle name="40% - 강조색5 3 10 4" xfId="17406"/>
    <cellStyle name="40% - 강조색5 3 11" xfId="17407"/>
    <cellStyle name="40% - 강조색5 3 11 2" xfId="17408"/>
    <cellStyle name="40% - 강조색5 3 11 3" xfId="17409"/>
    <cellStyle name="40% - 강조색5 3 12" xfId="17410"/>
    <cellStyle name="40% - 강조색5 3 13" xfId="17411"/>
    <cellStyle name="40% - 강조색5 3 14" xfId="17412"/>
    <cellStyle name="40% - 강조색5 3 15" xfId="17413"/>
    <cellStyle name="40% - 강조색5 3 2" xfId="17414"/>
    <cellStyle name="40% - 강조색5 3 2 10" xfId="17415"/>
    <cellStyle name="40% - 강조색5 3 2 11" xfId="17416"/>
    <cellStyle name="40% - 강조색5 3 2 12" xfId="17417"/>
    <cellStyle name="40% - 강조색5 3 2 2" xfId="17418"/>
    <cellStyle name="40% - 강조색5 3 2 2 2" xfId="17419"/>
    <cellStyle name="40% - 강조색5 3 2 2 2 2" xfId="17420"/>
    <cellStyle name="40% - 강조색5 3 2 2 2 2 2" xfId="17421"/>
    <cellStyle name="40% - 강조색5 3 2 2 2 2 2 2" xfId="17422"/>
    <cellStyle name="40% - 강조색5 3 2 2 2 2 2 3" xfId="17423"/>
    <cellStyle name="40% - 강조색5 3 2 2 2 2 3" xfId="17424"/>
    <cellStyle name="40% - 강조색5 3 2 2 2 2 4" xfId="17425"/>
    <cellStyle name="40% - 강조색5 3 2 2 2 3" xfId="17426"/>
    <cellStyle name="40% - 강조색5 3 2 2 2 3 2" xfId="17427"/>
    <cellStyle name="40% - 강조색5 3 2 2 2 3 3" xfId="17428"/>
    <cellStyle name="40% - 강조색5 3 2 2 2 4" xfId="17429"/>
    <cellStyle name="40% - 강조색5 3 2 2 2 5" xfId="17430"/>
    <cellStyle name="40% - 강조색5 3 2 2 3" xfId="17431"/>
    <cellStyle name="40% - 강조색5 3 2 2 3 2" xfId="17432"/>
    <cellStyle name="40% - 강조색5 3 2 2 3 2 2" xfId="17433"/>
    <cellStyle name="40% - 강조색5 3 2 2 3 2 2 2" xfId="17434"/>
    <cellStyle name="40% - 강조색5 3 2 2 3 2 2 3" xfId="17435"/>
    <cellStyle name="40% - 강조색5 3 2 2 3 2 3" xfId="17436"/>
    <cellStyle name="40% - 강조색5 3 2 2 3 2 4" xfId="17437"/>
    <cellStyle name="40% - 강조색5 3 2 2 3 3" xfId="17438"/>
    <cellStyle name="40% - 강조색5 3 2 2 3 3 2" xfId="17439"/>
    <cellStyle name="40% - 강조색5 3 2 2 3 3 3" xfId="17440"/>
    <cellStyle name="40% - 강조색5 3 2 2 3 4" xfId="17441"/>
    <cellStyle name="40% - 강조색5 3 2 2 3 5" xfId="17442"/>
    <cellStyle name="40% - 강조색5 3 2 2 4" xfId="17443"/>
    <cellStyle name="40% - 강조색5 3 2 2 4 2" xfId="17444"/>
    <cellStyle name="40% - 강조색5 3 2 2 4 2 2" xfId="17445"/>
    <cellStyle name="40% - 강조색5 3 2 2 4 2 3" xfId="17446"/>
    <cellStyle name="40% - 강조색5 3 2 2 4 3" xfId="17447"/>
    <cellStyle name="40% - 강조색5 3 2 2 4 4" xfId="17448"/>
    <cellStyle name="40% - 강조색5 3 2 2 5" xfId="17449"/>
    <cellStyle name="40% - 강조색5 3 2 2 5 2" xfId="17450"/>
    <cellStyle name="40% - 강조색5 3 2 2 5 3" xfId="17451"/>
    <cellStyle name="40% - 강조색5 3 2 2 6" xfId="17452"/>
    <cellStyle name="40% - 강조색5 3 2 2 7" xfId="17453"/>
    <cellStyle name="40% - 강조색5 3 2 2 8" xfId="17454"/>
    <cellStyle name="40% - 강조색5 3 2 2 9" xfId="17455"/>
    <cellStyle name="40% - 강조색5 3 2 3" xfId="17456"/>
    <cellStyle name="40% - 강조색5 3 2 3 2" xfId="17457"/>
    <cellStyle name="40% - 강조색5 3 2 3 2 2" xfId="17458"/>
    <cellStyle name="40% - 강조색5 3 2 3 2 2 2" xfId="17459"/>
    <cellStyle name="40% - 강조색5 3 2 3 2 2 2 2" xfId="17460"/>
    <cellStyle name="40% - 강조색5 3 2 3 2 2 2 3" xfId="17461"/>
    <cellStyle name="40% - 강조색5 3 2 3 2 2 3" xfId="17462"/>
    <cellStyle name="40% - 강조색5 3 2 3 2 2 4" xfId="17463"/>
    <cellStyle name="40% - 강조색5 3 2 3 2 3" xfId="17464"/>
    <cellStyle name="40% - 강조색5 3 2 3 2 3 2" xfId="17465"/>
    <cellStyle name="40% - 강조색5 3 2 3 2 3 3" xfId="17466"/>
    <cellStyle name="40% - 강조색5 3 2 3 2 4" xfId="17467"/>
    <cellStyle name="40% - 강조색5 3 2 3 2 5" xfId="17468"/>
    <cellStyle name="40% - 강조색5 3 2 3 3" xfId="17469"/>
    <cellStyle name="40% - 강조색5 3 2 3 3 2" xfId="17470"/>
    <cellStyle name="40% - 강조색5 3 2 3 3 2 2" xfId="17471"/>
    <cellStyle name="40% - 강조색5 3 2 3 3 2 2 2" xfId="17472"/>
    <cellStyle name="40% - 강조색5 3 2 3 3 2 2 3" xfId="17473"/>
    <cellStyle name="40% - 강조색5 3 2 3 3 2 3" xfId="17474"/>
    <cellStyle name="40% - 강조색5 3 2 3 3 2 4" xfId="17475"/>
    <cellStyle name="40% - 강조색5 3 2 3 3 3" xfId="17476"/>
    <cellStyle name="40% - 강조색5 3 2 3 3 3 2" xfId="17477"/>
    <cellStyle name="40% - 강조색5 3 2 3 3 3 3" xfId="17478"/>
    <cellStyle name="40% - 강조색5 3 2 3 3 4" xfId="17479"/>
    <cellStyle name="40% - 강조색5 3 2 3 3 5" xfId="17480"/>
    <cellStyle name="40% - 강조색5 3 2 3 4" xfId="17481"/>
    <cellStyle name="40% - 강조색5 3 2 3 4 2" xfId="17482"/>
    <cellStyle name="40% - 강조색5 3 2 3 4 2 2" xfId="17483"/>
    <cellStyle name="40% - 강조색5 3 2 3 4 2 3" xfId="17484"/>
    <cellStyle name="40% - 강조색5 3 2 3 4 3" xfId="17485"/>
    <cellStyle name="40% - 강조색5 3 2 3 4 4" xfId="17486"/>
    <cellStyle name="40% - 강조색5 3 2 3 5" xfId="17487"/>
    <cellStyle name="40% - 강조색5 3 2 3 5 2" xfId="17488"/>
    <cellStyle name="40% - 강조색5 3 2 3 5 3" xfId="17489"/>
    <cellStyle name="40% - 강조색5 3 2 3 6" xfId="17490"/>
    <cellStyle name="40% - 강조색5 3 2 3 7" xfId="17491"/>
    <cellStyle name="40% - 강조색5 3 2 4" xfId="17492"/>
    <cellStyle name="40% - 강조색5 3 2 4 2" xfId="17493"/>
    <cellStyle name="40% - 강조색5 3 2 4 2 2" xfId="17494"/>
    <cellStyle name="40% - 강조색5 3 2 4 2 2 2" xfId="17495"/>
    <cellStyle name="40% - 강조색5 3 2 4 2 2 3" xfId="17496"/>
    <cellStyle name="40% - 강조색5 3 2 4 2 3" xfId="17497"/>
    <cellStyle name="40% - 강조색5 3 2 4 2 4" xfId="17498"/>
    <cellStyle name="40% - 강조색5 3 2 4 3" xfId="17499"/>
    <cellStyle name="40% - 강조색5 3 2 4 3 2" xfId="17500"/>
    <cellStyle name="40% - 강조색5 3 2 4 3 3" xfId="17501"/>
    <cellStyle name="40% - 강조색5 3 2 4 4" xfId="17502"/>
    <cellStyle name="40% - 강조색5 3 2 4 5" xfId="17503"/>
    <cellStyle name="40% - 강조색5 3 2 5" xfId="17504"/>
    <cellStyle name="40% - 강조색5 3 2 5 2" xfId="17505"/>
    <cellStyle name="40% - 강조색5 3 2 5 2 2" xfId="17506"/>
    <cellStyle name="40% - 강조색5 3 2 5 2 2 2" xfId="17507"/>
    <cellStyle name="40% - 강조색5 3 2 5 2 2 3" xfId="17508"/>
    <cellStyle name="40% - 강조색5 3 2 5 2 3" xfId="17509"/>
    <cellStyle name="40% - 강조색5 3 2 5 2 4" xfId="17510"/>
    <cellStyle name="40% - 강조색5 3 2 5 3" xfId="17511"/>
    <cellStyle name="40% - 강조색5 3 2 5 3 2" xfId="17512"/>
    <cellStyle name="40% - 강조색5 3 2 5 3 3" xfId="17513"/>
    <cellStyle name="40% - 강조색5 3 2 5 4" xfId="17514"/>
    <cellStyle name="40% - 강조색5 3 2 5 5" xfId="17515"/>
    <cellStyle name="40% - 강조색5 3 2 6" xfId="17516"/>
    <cellStyle name="40% - 강조색5 3 2 6 2" xfId="17517"/>
    <cellStyle name="40% - 강조색5 3 2 6 2 2" xfId="17518"/>
    <cellStyle name="40% - 강조색5 3 2 6 2 2 2" xfId="17519"/>
    <cellStyle name="40% - 강조색5 3 2 6 2 2 3" xfId="17520"/>
    <cellStyle name="40% - 강조색5 3 2 6 2 3" xfId="17521"/>
    <cellStyle name="40% - 강조색5 3 2 6 2 4" xfId="17522"/>
    <cellStyle name="40% - 강조색5 3 2 6 3" xfId="17523"/>
    <cellStyle name="40% - 강조색5 3 2 6 3 2" xfId="17524"/>
    <cellStyle name="40% - 강조색5 3 2 6 3 3" xfId="17525"/>
    <cellStyle name="40% - 강조색5 3 2 6 4" xfId="17526"/>
    <cellStyle name="40% - 강조색5 3 2 6 5" xfId="17527"/>
    <cellStyle name="40% - 강조색5 3 2 7" xfId="17528"/>
    <cellStyle name="40% - 강조색5 3 2 7 2" xfId="17529"/>
    <cellStyle name="40% - 강조색5 3 2 7 2 2" xfId="17530"/>
    <cellStyle name="40% - 강조색5 3 2 7 2 3" xfId="17531"/>
    <cellStyle name="40% - 강조색5 3 2 7 3" xfId="17532"/>
    <cellStyle name="40% - 강조색5 3 2 7 4" xfId="17533"/>
    <cellStyle name="40% - 강조색5 3 2 8" xfId="17534"/>
    <cellStyle name="40% - 강조색5 3 2 8 2" xfId="17535"/>
    <cellStyle name="40% - 강조색5 3 2 8 3" xfId="17536"/>
    <cellStyle name="40% - 강조색5 3 2 9" xfId="17537"/>
    <cellStyle name="40% - 강조색5 3 3" xfId="17538"/>
    <cellStyle name="40% - 강조색5 3 3 10" xfId="17539"/>
    <cellStyle name="40% - 강조색5 3 3 11" xfId="17540"/>
    <cellStyle name="40% - 강조색5 3 3 12" xfId="17541"/>
    <cellStyle name="40% - 강조색5 3 3 2" xfId="17542"/>
    <cellStyle name="40% - 강조색5 3 3 2 2" xfId="17543"/>
    <cellStyle name="40% - 강조색5 3 3 2 2 2" xfId="17544"/>
    <cellStyle name="40% - 강조색5 3 3 2 2 2 2" xfId="17545"/>
    <cellStyle name="40% - 강조색5 3 3 2 2 2 2 2" xfId="17546"/>
    <cellStyle name="40% - 강조색5 3 3 2 2 2 2 3" xfId="17547"/>
    <cellStyle name="40% - 강조색5 3 3 2 2 2 3" xfId="17548"/>
    <cellStyle name="40% - 강조색5 3 3 2 2 2 4" xfId="17549"/>
    <cellStyle name="40% - 강조색5 3 3 2 2 3" xfId="17550"/>
    <cellStyle name="40% - 강조색5 3 3 2 2 3 2" xfId="17551"/>
    <cellStyle name="40% - 강조색5 3 3 2 2 3 3" xfId="17552"/>
    <cellStyle name="40% - 강조색5 3 3 2 2 4" xfId="17553"/>
    <cellStyle name="40% - 강조색5 3 3 2 2 5" xfId="17554"/>
    <cellStyle name="40% - 강조색5 3 3 2 3" xfId="17555"/>
    <cellStyle name="40% - 강조색5 3 3 2 3 2" xfId="17556"/>
    <cellStyle name="40% - 강조색5 3 3 2 3 2 2" xfId="17557"/>
    <cellStyle name="40% - 강조색5 3 3 2 3 2 2 2" xfId="17558"/>
    <cellStyle name="40% - 강조색5 3 3 2 3 2 2 3" xfId="17559"/>
    <cellStyle name="40% - 강조색5 3 3 2 3 2 3" xfId="17560"/>
    <cellStyle name="40% - 강조색5 3 3 2 3 2 4" xfId="17561"/>
    <cellStyle name="40% - 강조색5 3 3 2 3 3" xfId="17562"/>
    <cellStyle name="40% - 강조색5 3 3 2 3 3 2" xfId="17563"/>
    <cellStyle name="40% - 강조색5 3 3 2 3 3 3" xfId="17564"/>
    <cellStyle name="40% - 강조색5 3 3 2 3 4" xfId="17565"/>
    <cellStyle name="40% - 강조색5 3 3 2 3 5" xfId="17566"/>
    <cellStyle name="40% - 강조색5 3 3 2 4" xfId="17567"/>
    <cellStyle name="40% - 강조색5 3 3 2 4 2" xfId="17568"/>
    <cellStyle name="40% - 강조색5 3 3 2 4 2 2" xfId="17569"/>
    <cellStyle name="40% - 강조색5 3 3 2 4 2 3" xfId="17570"/>
    <cellStyle name="40% - 강조색5 3 3 2 4 3" xfId="17571"/>
    <cellStyle name="40% - 강조색5 3 3 2 4 4" xfId="17572"/>
    <cellStyle name="40% - 강조색5 3 3 2 5" xfId="17573"/>
    <cellStyle name="40% - 강조색5 3 3 2 5 2" xfId="17574"/>
    <cellStyle name="40% - 강조색5 3 3 2 5 3" xfId="17575"/>
    <cellStyle name="40% - 강조색5 3 3 2 6" xfId="17576"/>
    <cellStyle name="40% - 강조색5 3 3 2 7" xfId="17577"/>
    <cellStyle name="40% - 강조색5 3 3 2 8" xfId="17578"/>
    <cellStyle name="40% - 강조색5 3 3 2 9" xfId="17579"/>
    <cellStyle name="40% - 강조색5 3 3 3" xfId="17580"/>
    <cellStyle name="40% - 강조색5 3 3 3 2" xfId="17581"/>
    <cellStyle name="40% - 강조색5 3 3 3 2 2" xfId="17582"/>
    <cellStyle name="40% - 강조색5 3 3 3 2 2 2" xfId="17583"/>
    <cellStyle name="40% - 강조색5 3 3 3 2 2 2 2" xfId="17584"/>
    <cellStyle name="40% - 강조색5 3 3 3 2 2 2 3" xfId="17585"/>
    <cellStyle name="40% - 강조색5 3 3 3 2 2 3" xfId="17586"/>
    <cellStyle name="40% - 강조색5 3 3 3 2 2 4" xfId="17587"/>
    <cellStyle name="40% - 강조색5 3 3 3 2 3" xfId="17588"/>
    <cellStyle name="40% - 강조색5 3 3 3 2 3 2" xfId="17589"/>
    <cellStyle name="40% - 강조색5 3 3 3 2 3 3" xfId="17590"/>
    <cellStyle name="40% - 강조색5 3 3 3 2 4" xfId="17591"/>
    <cellStyle name="40% - 강조색5 3 3 3 2 5" xfId="17592"/>
    <cellStyle name="40% - 강조색5 3 3 3 3" xfId="17593"/>
    <cellStyle name="40% - 강조색5 3 3 3 3 2" xfId="17594"/>
    <cellStyle name="40% - 강조색5 3 3 3 3 2 2" xfId="17595"/>
    <cellStyle name="40% - 강조색5 3 3 3 3 2 2 2" xfId="17596"/>
    <cellStyle name="40% - 강조색5 3 3 3 3 2 2 3" xfId="17597"/>
    <cellStyle name="40% - 강조색5 3 3 3 3 2 3" xfId="17598"/>
    <cellStyle name="40% - 강조색5 3 3 3 3 2 4" xfId="17599"/>
    <cellStyle name="40% - 강조색5 3 3 3 3 3" xfId="17600"/>
    <cellStyle name="40% - 강조색5 3 3 3 3 3 2" xfId="17601"/>
    <cellStyle name="40% - 강조색5 3 3 3 3 3 3" xfId="17602"/>
    <cellStyle name="40% - 강조색5 3 3 3 3 4" xfId="17603"/>
    <cellStyle name="40% - 강조색5 3 3 3 3 5" xfId="17604"/>
    <cellStyle name="40% - 강조색5 3 3 3 4" xfId="17605"/>
    <cellStyle name="40% - 강조색5 3 3 3 4 2" xfId="17606"/>
    <cellStyle name="40% - 강조색5 3 3 3 4 2 2" xfId="17607"/>
    <cellStyle name="40% - 강조색5 3 3 3 4 2 3" xfId="17608"/>
    <cellStyle name="40% - 강조색5 3 3 3 4 3" xfId="17609"/>
    <cellStyle name="40% - 강조색5 3 3 3 4 4" xfId="17610"/>
    <cellStyle name="40% - 강조색5 3 3 3 5" xfId="17611"/>
    <cellStyle name="40% - 강조색5 3 3 3 5 2" xfId="17612"/>
    <cellStyle name="40% - 강조색5 3 3 3 5 3" xfId="17613"/>
    <cellStyle name="40% - 강조색5 3 3 3 6" xfId="17614"/>
    <cellStyle name="40% - 강조색5 3 3 3 7" xfId="17615"/>
    <cellStyle name="40% - 강조색5 3 3 4" xfId="17616"/>
    <cellStyle name="40% - 강조색5 3 3 4 2" xfId="17617"/>
    <cellStyle name="40% - 강조색5 3 3 4 2 2" xfId="17618"/>
    <cellStyle name="40% - 강조색5 3 3 4 2 2 2" xfId="17619"/>
    <cellStyle name="40% - 강조색5 3 3 4 2 2 3" xfId="17620"/>
    <cellStyle name="40% - 강조색5 3 3 4 2 3" xfId="17621"/>
    <cellStyle name="40% - 강조색5 3 3 4 2 4" xfId="17622"/>
    <cellStyle name="40% - 강조색5 3 3 4 3" xfId="17623"/>
    <cellStyle name="40% - 강조색5 3 3 4 3 2" xfId="17624"/>
    <cellStyle name="40% - 강조색5 3 3 4 3 3" xfId="17625"/>
    <cellStyle name="40% - 강조색5 3 3 4 4" xfId="17626"/>
    <cellStyle name="40% - 강조색5 3 3 4 5" xfId="17627"/>
    <cellStyle name="40% - 강조색5 3 3 5" xfId="17628"/>
    <cellStyle name="40% - 강조색5 3 3 5 2" xfId="17629"/>
    <cellStyle name="40% - 강조색5 3 3 5 2 2" xfId="17630"/>
    <cellStyle name="40% - 강조색5 3 3 5 2 2 2" xfId="17631"/>
    <cellStyle name="40% - 강조색5 3 3 5 2 2 3" xfId="17632"/>
    <cellStyle name="40% - 강조색5 3 3 5 2 3" xfId="17633"/>
    <cellStyle name="40% - 강조색5 3 3 5 2 4" xfId="17634"/>
    <cellStyle name="40% - 강조색5 3 3 5 3" xfId="17635"/>
    <cellStyle name="40% - 강조색5 3 3 5 3 2" xfId="17636"/>
    <cellStyle name="40% - 강조색5 3 3 5 3 3" xfId="17637"/>
    <cellStyle name="40% - 강조색5 3 3 5 4" xfId="17638"/>
    <cellStyle name="40% - 강조색5 3 3 5 5" xfId="17639"/>
    <cellStyle name="40% - 강조색5 3 3 6" xfId="17640"/>
    <cellStyle name="40% - 강조색5 3 3 6 2" xfId="17641"/>
    <cellStyle name="40% - 강조색5 3 3 6 2 2" xfId="17642"/>
    <cellStyle name="40% - 강조색5 3 3 6 2 2 2" xfId="17643"/>
    <cellStyle name="40% - 강조색5 3 3 6 2 2 3" xfId="17644"/>
    <cellStyle name="40% - 강조색5 3 3 6 2 3" xfId="17645"/>
    <cellStyle name="40% - 강조색5 3 3 6 2 4" xfId="17646"/>
    <cellStyle name="40% - 강조색5 3 3 6 3" xfId="17647"/>
    <cellStyle name="40% - 강조색5 3 3 6 3 2" xfId="17648"/>
    <cellStyle name="40% - 강조색5 3 3 6 3 3" xfId="17649"/>
    <cellStyle name="40% - 강조색5 3 3 6 4" xfId="17650"/>
    <cellStyle name="40% - 강조색5 3 3 6 5" xfId="17651"/>
    <cellStyle name="40% - 강조색5 3 3 7" xfId="17652"/>
    <cellStyle name="40% - 강조색5 3 3 7 2" xfId="17653"/>
    <cellStyle name="40% - 강조색5 3 3 7 2 2" xfId="17654"/>
    <cellStyle name="40% - 강조색5 3 3 7 2 3" xfId="17655"/>
    <cellStyle name="40% - 강조색5 3 3 7 3" xfId="17656"/>
    <cellStyle name="40% - 강조색5 3 3 7 4" xfId="17657"/>
    <cellStyle name="40% - 강조색5 3 3 8" xfId="17658"/>
    <cellStyle name="40% - 강조색5 3 3 8 2" xfId="17659"/>
    <cellStyle name="40% - 강조색5 3 3 8 3" xfId="17660"/>
    <cellStyle name="40% - 강조색5 3 3 9" xfId="17661"/>
    <cellStyle name="40% - 강조색5 3 4" xfId="17662"/>
    <cellStyle name="40% - 강조색5 3 4 10" xfId="17663"/>
    <cellStyle name="40% - 강조색5 3 4 11" xfId="17664"/>
    <cellStyle name="40% - 강조색5 3 4 12" xfId="17665"/>
    <cellStyle name="40% - 강조색5 3 4 2" xfId="17666"/>
    <cellStyle name="40% - 강조색5 3 4 2 2" xfId="17667"/>
    <cellStyle name="40% - 강조색5 3 4 2 2 2" xfId="17668"/>
    <cellStyle name="40% - 강조색5 3 4 2 2 2 2" xfId="17669"/>
    <cellStyle name="40% - 강조색5 3 4 2 2 2 2 2" xfId="17670"/>
    <cellStyle name="40% - 강조색5 3 4 2 2 2 2 3" xfId="17671"/>
    <cellStyle name="40% - 강조색5 3 4 2 2 2 3" xfId="17672"/>
    <cellStyle name="40% - 강조색5 3 4 2 2 2 4" xfId="17673"/>
    <cellStyle name="40% - 강조색5 3 4 2 2 3" xfId="17674"/>
    <cellStyle name="40% - 강조색5 3 4 2 2 3 2" xfId="17675"/>
    <cellStyle name="40% - 강조색5 3 4 2 2 3 3" xfId="17676"/>
    <cellStyle name="40% - 강조색5 3 4 2 2 4" xfId="17677"/>
    <cellStyle name="40% - 강조색5 3 4 2 2 5" xfId="17678"/>
    <cellStyle name="40% - 강조색5 3 4 2 3" xfId="17679"/>
    <cellStyle name="40% - 강조색5 3 4 2 3 2" xfId="17680"/>
    <cellStyle name="40% - 강조색5 3 4 2 3 2 2" xfId="17681"/>
    <cellStyle name="40% - 강조색5 3 4 2 3 2 2 2" xfId="17682"/>
    <cellStyle name="40% - 강조색5 3 4 2 3 2 2 3" xfId="17683"/>
    <cellStyle name="40% - 강조색5 3 4 2 3 2 3" xfId="17684"/>
    <cellStyle name="40% - 강조색5 3 4 2 3 2 4" xfId="17685"/>
    <cellStyle name="40% - 강조색5 3 4 2 3 3" xfId="17686"/>
    <cellStyle name="40% - 강조색5 3 4 2 3 3 2" xfId="17687"/>
    <cellStyle name="40% - 강조색5 3 4 2 3 3 3" xfId="17688"/>
    <cellStyle name="40% - 강조색5 3 4 2 3 4" xfId="17689"/>
    <cellStyle name="40% - 강조색5 3 4 2 3 5" xfId="17690"/>
    <cellStyle name="40% - 강조색5 3 4 2 4" xfId="17691"/>
    <cellStyle name="40% - 강조색5 3 4 2 4 2" xfId="17692"/>
    <cellStyle name="40% - 강조색5 3 4 2 4 2 2" xfId="17693"/>
    <cellStyle name="40% - 강조색5 3 4 2 4 2 3" xfId="17694"/>
    <cellStyle name="40% - 강조색5 3 4 2 4 3" xfId="17695"/>
    <cellStyle name="40% - 강조색5 3 4 2 4 4" xfId="17696"/>
    <cellStyle name="40% - 강조색5 3 4 2 5" xfId="17697"/>
    <cellStyle name="40% - 강조색5 3 4 2 5 2" xfId="17698"/>
    <cellStyle name="40% - 강조색5 3 4 2 5 3" xfId="17699"/>
    <cellStyle name="40% - 강조색5 3 4 2 6" xfId="17700"/>
    <cellStyle name="40% - 강조색5 3 4 2 7" xfId="17701"/>
    <cellStyle name="40% - 강조색5 3 4 3" xfId="17702"/>
    <cellStyle name="40% - 강조색5 3 4 3 2" xfId="17703"/>
    <cellStyle name="40% - 강조색5 3 4 3 2 2" xfId="17704"/>
    <cellStyle name="40% - 강조색5 3 4 3 2 2 2" xfId="17705"/>
    <cellStyle name="40% - 강조색5 3 4 3 2 2 2 2" xfId="17706"/>
    <cellStyle name="40% - 강조색5 3 4 3 2 2 2 3" xfId="17707"/>
    <cellStyle name="40% - 강조색5 3 4 3 2 2 3" xfId="17708"/>
    <cellStyle name="40% - 강조색5 3 4 3 2 2 4" xfId="17709"/>
    <cellStyle name="40% - 강조색5 3 4 3 2 3" xfId="17710"/>
    <cellStyle name="40% - 강조색5 3 4 3 2 3 2" xfId="17711"/>
    <cellStyle name="40% - 강조색5 3 4 3 2 3 3" xfId="17712"/>
    <cellStyle name="40% - 강조색5 3 4 3 2 4" xfId="17713"/>
    <cellStyle name="40% - 강조색5 3 4 3 2 5" xfId="17714"/>
    <cellStyle name="40% - 강조색5 3 4 3 3" xfId="17715"/>
    <cellStyle name="40% - 강조색5 3 4 3 3 2" xfId="17716"/>
    <cellStyle name="40% - 강조색5 3 4 3 3 2 2" xfId="17717"/>
    <cellStyle name="40% - 강조색5 3 4 3 3 2 2 2" xfId="17718"/>
    <cellStyle name="40% - 강조색5 3 4 3 3 2 2 3" xfId="17719"/>
    <cellStyle name="40% - 강조색5 3 4 3 3 2 3" xfId="17720"/>
    <cellStyle name="40% - 강조색5 3 4 3 3 2 4" xfId="17721"/>
    <cellStyle name="40% - 강조색5 3 4 3 3 3" xfId="17722"/>
    <cellStyle name="40% - 강조색5 3 4 3 3 3 2" xfId="17723"/>
    <cellStyle name="40% - 강조색5 3 4 3 3 3 3" xfId="17724"/>
    <cellStyle name="40% - 강조색5 3 4 3 3 4" xfId="17725"/>
    <cellStyle name="40% - 강조색5 3 4 3 3 5" xfId="17726"/>
    <cellStyle name="40% - 강조색5 3 4 3 4" xfId="17727"/>
    <cellStyle name="40% - 강조색5 3 4 3 4 2" xfId="17728"/>
    <cellStyle name="40% - 강조색5 3 4 3 4 2 2" xfId="17729"/>
    <cellStyle name="40% - 강조색5 3 4 3 4 2 3" xfId="17730"/>
    <cellStyle name="40% - 강조색5 3 4 3 4 3" xfId="17731"/>
    <cellStyle name="40% - 강조색5 3 4 3 4 4" xfId="17732"/>
    <cellStyle name="40% - 강조색5 3 4 3 5" xfId="17733"/>
    <cellStyle name="40% - 강조색5 3 4 3 5 2" xfId="17734"/>
    <cellStyle name="40% - 강조색5 3 4 3 5 3" xfId="17735"/>
    <cellStyle name="40% - 강조색5 3 4 3 6" xfId="17736"/>
    <cellStyle name="40% - 강조색5 3 4 3 7" xfId="17737"/>
    <cellStyle name="40% - 강조색5 3 4 4" xfId="17738"/>
    <cellStyle name="40% - 강조색5 3 4 4 2" xfId="17739"/>
    <cellStyle name="40% - 강조색5 3 4 4 2 2" xfId="17740"/>
    <cellStyle name="40% - 강조색5 3 4 4 2 2 2" xfId="17741"/>
    <cellStyle name="40% - 강조색5 3 4 4 2 2 3" xfId="17742"/>
    <cellStyle name="40% - 강조색5 3 4 4 2 3" xfId="17743"/>
    <cellStyle name="40% - 강조색5 3 4 4 2 4" xfId="17744"/>
    <cellStyle name="40% - 강조색5 3 4 4 3" xfId="17745"/>
    <cellStyle name="40% - 강조색5 3 4 4 3 2" xfId="17746"/>
    <cellStyle name="40% - 강조색5 3 4 4 3 3" xfId="17747"/>
    <cellStyle name="40% - 강조색5 3 4 4 4" xfId="17748"/>
    <cellStyle name="40% - 강조색5 3 4 4 5" xfId="17749"/>
    <cellStyle name="40% - 강조색5 3 4 5" xfId="17750"/>
    <cellStyle name="40% - 강조색5 3 4 5 2" xfId="17751"/>
    <cellStyle name="40% - 강조색5 3 4 5 2 2" xfId="17752"/>
    <cellStyle name="40% - 강조색5 3 4 5 2 2 2" xfId="17753"/>
    <cellStyle name="40% - 강조색5 3 4 5 2 2 3" xfId="17754"/>
    <cellStyle name="40% - 강조색5 3 4 5 2 3" xfId="17755"/>
    <cellStyle name="40% - 강조색5 3 4 5 2 4" xfId="17756"/>
    <cellStyle name="40% - 강조색5 3 4 5 3" xfId="17757"/>
    <cellStyle name="40% - 강조색5 3 4 5 3 2" xfId="17758"/>
    <cellStyle name="40% - 강조색5 3 4 5 3 3" xfId="17759"/>
    <cellStyle name="40% - 강조색5 3 4 5 4" xfId="17760"/>
    <cellStyle name="40% - 강조색5 3 4 5 5" xfId="17761"/>
    <cellStyle name="40% - 강조색5 3 4 6" xfId="17762"/>
    <cellStyle name="40% - 강조색5 3 4 6 2" xfId="17763"/>
    <cellStyle name="40% - 강조색5 3 4 6 2 2" xfId="17764"/>
    <cellStyle name="40% - 강조색5 3 4 6 2 2 2" xfId="17765"/>
    <cellStyle name="40% - 강조색5 3 4 6 2 2 3" xfId="17766"/>
    <cellStyle name="40% - 강조색5 3 4 6 2 3" xfId="17767"/>
    <cellStyle name="40% - 강조색5 3 4 6 2 4" xfId="17768"/>
    <cellStyle name="40% - 강조색5 3 4 6 3" xfId="17769"/>
    <cellStyle name="40% - 강조색5 3 4 6 3 2" xfId="17770"/>
    <cellStyle name="40% - 강조색5 3 4 6 3 3" xfId="17771"/>
    <cellStyle name="40% - 강조색5 3 4 6 4" xfId="17772"/>
    <cellStyle name="40% - 강조색5 3 4 6 5" xfId="17773"/>
    <cellStyle name="40% - 강조색5 3 4 7" xfId="17774"/>
    <cellStyle name="40% - 강조색5 3 4 7 2" xfId="17775"/>
    <cellStyle name="40% - 강조색5 3 4 7 2 2" xfId="17776"/>
    <cellStyle name="40% - 강조색5 3 4 7 2 3" xfId="17777"/>
    <cellStyle name="40% - 강조색5 3 4 7 3" xfId="17778"/>
    <cellStyle name="40% - 강조색5 3 4 7 4" xfId="17779"/>
    <cellStyle name="40% - 강조색5 3 4 8" xfId="17780"/>
    <cellStyle name="40% - 강조색5 3 4 8 2" xfId="17781"/>
    <cellStyle name="40% - 강조색5 3 4 8 3" xfId="17782"/>
    <cellStyle name="40% - 강조색5 3 4 9" xfId="17783"/>
    <cellStyle name="40% - 강조색5 3 5" xfId="17784"/>
    <cellStyle name="40% - 강조색5 3 5 2" xfId="17785"/>
    <cellStyle name="40% - 강조색5 3 5 2 2" xfId="17786"/>
    <cellStyle name="40% - 강조색5 3 5 2 2 2" xfId="17787"/>
    <cellStyle name="40% - 강조색5 3 5 2 2 2 2" xfId="17788"/>
    <cellStyle name="40% - 강조색5 3 5 2 2 2 3" xfId="17789"/>
    <cellStyle name="40% - 강조색5 3 5 2 2 3" xfId="17790"/>
    <cellStyle name="40% - 강조색5 3 5 2 2 4" xfId="17791"/>
    <cellStyle name="40% - 강조색5 3 5 2 3" xfId="17792"/>
    <cellStyle name="40% - 강조색5 3 5 2 3 2" xfId="17793"/>
    <cellStyle name="40% - 강조색5 3 5 2 3 3" xfId="17794"/>
    <cellStyle name="40% - 강조색5 3 5 2 4" xfId="17795"/>
    <cellStyle name="40% - 강조색5 3 5 2 5" xfId="17796"/>
    <cellStyle name="40% - 강조색5 3 5 3" xfId="17797"/>
    <cellStyle name="40% - 강조색5 3 5 3 2" xfId="17798"/>
    <cellStyle name="40% - 강조색5 3 5 3 2 2" xfId="17799"/>
    <cellStyle name="40% - 강조색5 3 5 3 2 2 2" xfId="17800"/>
    <cellStyle name="40% - 강조색5 3 5 3 2 2 3" xfId="17801"/>
    <cellStyle name="40% - 강조색5 3 5 3 2 3" xfId="17802"/>
    <cellStyle name="40% - 강조색5 3 5 3 2 4" xfId="17803"/>
    <cellStyle name="40% - 강조색5 3 5 3 3" xfId="17804"/>
    <cellStyle name="40% - 강조색5 3 5 3 3 2" xfId="17805"/>
    <cellStyle name="40% - 강조색5 3 5 3 3 3" xfId="17806"/>
    <cellStyle name="40% - 강조색5 3 5 3 4" xfId="17807"/>
    <cellStyle name="40% - 강조색5 3 5 3 5" xfId="17808"/>
    <cellStyle name="40% - 강조색5 3 5 4" xfId="17809"/>
    <cellStyle name="40% - 강조색5 3 5 4 2" xfId="17810"/>
    <cellStyle name="40% - 강조색5 3 5 4 2 2" xfId="17811"/>
    <cellStyle name="40% - 강조색5 3 5 4 2 3" xfId="17812"/>
    <cellStyle name="40% - 강조색5 3 5 4 3" xfId="17813"/>
    <cellStyle name="40% - 강조색5 3 5 4 4" xfId="17814"/>
    <cellStyle name="40% - 강조색5 3 5 5" xfId="17815"/>
    <cellStyle name="40% - 강조색5 3 5 5 2" xfId="17816"/>
    <cellStyle name="40% - 강조색5 3 5 5 3" xfId="17817"/>
    <cellStyle name="40% - 강조색5 3 5 6" xfId="17818"/>
    <cellStyle name="40% - 강조색5 3 5 7" xfId="17819"/>
    <cellStyle name="40% - 강조색5 3 5 8" xfId="17820"/>
    <cellStyle name="40% - 강조색5 3 6" xfId="17821"/>
    <cellStyle name="40% - 강조색5 3 6 2" xfId="17822"/>
    <cellStyle name="40% - 강조색5 3 6 2 2" xfId="17823"/>
    <cellStyle name="40% - 강조색5 3 6 2 2 2" xfId="17824"/>
    <cellStyle name="40% - 강조색5 3 6 2 2 2 2" xfId="17825"/>
    <cellStyle name="40% - 강조색5 3 6 2 2 2 3" xfId="17826"/>
    <cellStyle name="40% - 강조색5 3 6 2 2 3" xfId="17827"/>
    <cellStyle name="40% - 강조색5 3 6 2 2 4" xfId="17828"/>
    <cellStyle name="40% - 강조색5 3 6 2 3" xfId="17829"/>
    <cellStyle name="40% - 강조색5 3 6 2 3 2" xfId="17830"/>
    <cellStyle name="40% - 강조색5 3 6 2 3 3" xfId="17831"/>
    <cellStyle name="40% - 강조색5 3 6 2 4" xfId="17832"/>
    <cellStyle name="40% - 강조색5 3 6 2 5" xfId="17833"/>
    <cellStyle name="40% - 강조색5 3 6 3" xfId="17834"/>
    <cellStyle name="40% - 강조색5 3 6 3 2" xfId="17835"/>
    <cellStyle name="40% - 강조색5 3 6 3 2 2" xfId="17836"/>
    <cellStyle name="40% - 강조색5 3 6 3 2 2 2" xfId="17837"/>
    <cellStyle name="40% - 강조색5 3 6 3 2 2 3" xfId="17838"/>
    <cellStyle name="40% - 강조색5 3 6 3 2 3" xfId="17839"/>
    <cellStyle name="40% - 강조색5 3 6 3 2 4" xfId="17840"/>
    <cellStyle name="40% - 강조색5 3 6 3 3" xfId="17841"/>
    <cellStyle name="40% - 강조색5 3 6 3 3 2" xfId="17842"/>
    <cellStyle name="40% - 강조색5 3 6 3 3 3" xfId="17843"/>
    <cellStyle name="40% - 강조색5 3 6 3 4" xfId="17844"/>
    <cellStyle name="40% - 강조색5 3 6 3 5" xfId="17845"/>
    <cellStyle name="40% - 강조색5 3 6 4" xfId="17846"/>
    <cellStyle name="40% - 강조색5 3 6 4 2" xfId="17847"/>
    <cellStyle name="40% - 강조색5 3 6 4 2 2" xfId="17848"/>
    <cellStyle name="40% - 강조색5 3 6 4 2 3" xfId="17849"/>
    <cellStyle name="40% - 강조색5 3 6 4 3" xfId="17850"/>
    <cellStyle name="40% - 강조색5 3 6 4 4" xfId="17851"/>
    <cellStyle name="40% - 강조색5 3 6 5" xfId="17852"/>
    <cellStyle name="40% - 강조색5 3 6 5 2" xfId="17853"/>
    <cellStyle name="40% - 강조색5 3 6 5 3" xfId="17854"/>
    <cellStyle name="40% - 강조색5 3 6 6" xfId="17855"/>
    <cellStyle name="40% - 강조색5 3 6 7" xfId="17856"/>
    <cellStyle name="40% - 강조색5 3 7" xfId="17857"/>
    <cellStyle name="40% - 강조색5 3 7 2" xfId="17858"/>
    <cellStyle name="40% - 강조색5 3 7 2 2" xfId="17859"/>
    <cellStyle name="40% - 강조색5 3 7 2 2 2" xfId="17860"/>
    <cellStyle name="40% - 강조색5 3 7 2 2 3" xfId="17861"/>
    <cellStyle name="40% - 강조색5 3 7 2 3" xfId="17862"/>
    <cellStyle name="40% - 강조색5 3 7 2 4" xfId="17863"/>
    <cellStyle name="40% - 강조색5 3 7 3" xfId="17864"/>
    <cellStyle name="40% - 강조색5 3 7 3 2" xfId="17865"/>
    <cellStyle name="40% - 강조색5 3 7 3 3" xfId="17866"/>
    <cellStyle name="40% - 강조색5 3 7 4" xfId="17867"/>
    <cellStyle name="40% - 강조색5 3 7 5" xfId="17868"/>
    <cellStyle name="40% - 강조색5 3 8" xfId="17869"/>
    <cellStyle name="40% - 강조색5 3 8 2" xfId="17870"/>
    <cellStyle name="40% - 강조색5 3 8 2 2" xfId="17871"/>
    <cellStyle name="40% - 강조색5 3 8 2 2 2" xfId="17872"/>
    <cellStyle name="40% - 강조색5 3 8 2 2 3" xfId="17873"/>
    <cellStyle name="40% - 강조색5 3 8 2 3" xfId="17874"/>
    <cellStyle name="40% - 강조색5 3 8 2 4" xfId="17875"/>
    <cellStyle name="40% - 강조색5 3 8 3" xfId="17876"/>
    <cellStyle name="40% - 강조색5 3 8 3 2" xfId="17877"/>
    <cellStyle name="40% - 강조색5 3 8 3 3" xfId="17878"/>
    <cellStyle name="40% - 강조색5 3 8 4" xfId="17879"/>
    <cellStyle name="40% - 강조색5 3 8 5" xfId="17880"/>
    <cellStyle name="40% - 강조색5 3 9" xfId="17881"/>
    <cellStyle name="40% - 강조색5 3 9 2" xfId="17882"/>
    <cellStyle name="40% - 강조색5 3 9 2 2" xfId="17883"/>
    <cellStyle name="40% - 강조색5 3 9 2 2 2" xfId="17884"/>
    <cellStyle name="40% - 강조색5 3 9 2 2 3" xfId="17885"/>
    <cellStyle name="40% - 강조색5 3 9 2 3" xfId="17886"/>
    <cellStyle name="40% - 강조색5 3 9 2 4" xfId="17887"/>
    <cellStyle name="40% - 강조색5 3 9 3" xfId="17888"/>
    <cellStyle name="40% - 강조색5 3 9 3 2" xfId="17889"/>
    <cellStyle name="40% - 강조색5 3 9 3 3" xfId="17890"/>
    <cellStyle name="40% - 강조색5 3 9 4" xfId="17891"/>
    <cellStyle name="40% - 강조색5 3 9 5" xfId="17892"/>
    <cellStyle name="40% - 강조색5 30" xfId="17893"/>
    <cellStyle name="40% - 강조색5 30 2" xfId="17894"/>
    <cellStyle name="40% - 강조색5 31" xfId="17895"/>
    <cellStyle name="40% - 강조색5 31 2" xfId="17896"/>
    <cellStyle name="40% - 강조색5 32" xfId="17897"/>
    <cellStyle name="40% - 강조색5 32 2" xfId="17898"/>
    <cellStyle name="40% - 강조색5 33" xfId="17899"/>
    <cellStyle name="40% - 강조색5 33 2" xfId="17900"/>
    <cellStyle name="40% - 강조색5 34" xfId="17901"/>
    <cellStyle name="40% - 강조색5 34 2" xfId="17902"/>
    <cellStyle name="40% - 강조색5 35" xfId="17903"/>
    <cellStyle name="40% - 강조색5 36" xfId="17904"/>
    <cellStyle name="40% - 강조색5 37" xfId="17905"/>
    <cellStyle name="40% - 강조색5 38" xfId="17906"/>
    <cellStyle name="40% - 강조색5 39" xfId="17907"/>
    <cellStyle name="40% - 강조색5 4" xfId="17908"/>
    <cellStyle name="40% - 강조색5 4 10" xfId="17909"/>
    <cellStyle name="40% - 강조색5 4 10 2" xfId="17910"/>
    <cellStyle name="40% - 강조색5 4 10 2 2" xfId="17911"/>
    <cellStyle name="40% - 강조색5 4 10 2 3" xfId="17912"/>
    <cellStyle name="40% - 강조색5 4 10 3" xfId="17913"/>
    <cellStyle name="40% - 강조색5 4 10 4" xfId="17914"/>
    <cellStyle name="40% - 강조색5 4 11" xfId="17915"/>
    <cellStyle name="40% - 강조색5 4 11 2" xfId="17916"/>
    <cellStyle name="40% - 강조색5 4 11 3" xfId="17917"/>
    <cellStyle name="40% - 강조색5 4 12" xfId="17918"/>
    <cellStyle name="40% - 강조색5 4 13" xfId="17919"/>
    <cellStyle name="40% - 강조색5 4 14" xfId="17920"/>
    <cellStyle name="40% - 강조색5 4 2" xfId="17921"/>
    <cellStyle name="40% - 강조색5 4 2 10" xfId="17922"/>
    <cellStyle name="40% - 강조색5 4 2 2" xfId="17923"/>
    <cellStyle name="40% - 강조색5 4 2 2 2" xfId="17924"/>
    <cellStyle name="40% - 강조색5 4 2 2 2 2" xfId="17925"/>
    <cellStyle name="40% - 강조색5 4 2 2 2 2 2" xfId="17926"/>
    <cellStyle name="40% - 강조색5 4 2 2 2 2 2 2" xfId="17927"/>
    <cellStyle name="40% - 강조색5 4 2 2 2 2 2 3" xfId="17928"/>
    <cellStyle name="40% - 강조색5 4 2 2 2 2 3" xfId="17929"/>
    <cellStyle name="40% - 강조색5 4 2 2 2 2 4" xfId="17930"/>
    <cellStyle name="40% - 강조색5 4 2 2 2 3" xfId="17931"/>
    <cellStyle name="40% - 강조색5 4 2 2 2 3 2" xfId="17932"/>
    <cellStyle name="40% - 강조색5 4 2 2 2 3 3" xfId="17933"/>
    <cellStyle name="40% - 강조색5 4 2 2 2 4" xfId="17934"/>
    <cellStyle name="40% - 강조색5 4 2 2 2 5" xfId="17935"/>
    <cellStyle name="40% - 강조색5 4 2 2 3" xfId="17936"/>
    <cellStyle name="40% - 강조색5 4 2 2 3 2" xfId="17937"/>
    <cellStyle name="40% - 강조색5 4 2 2 3 2 2" xfId="17938"/>
    <cellStyle name="40% - 강조색5 4 2 2 3 2 2 2" xfId="17939"/>
    <cellStyle name="40% - 강조색5 4 2 2 3 2 2 3" xfId="17940"/>
    <cellStyle name="40% - 강조색5 4 2 2 3 2 3" xfId="17941"/>
    <cellStyle name="40% - 강조색5 4 2 2 3 2 4" xfId="17942"/>
    <cellStyle name="40% - 강조색5 4 2 2 3 3" xfId="17943"/>
    <cellStyle name="40% - 강조색5 4 2 2 3 3 2" xfId="17944"/>
    <cellStyle name="40% - 강조색5 4 2 2 3 3 3" xfId="17945"/>
    <cellStyle name="40% - 강조색5 4 2 2 3 4" xfId="17946"/>
    <cellStyle name="40% - 강조색5 4 2 2 3 5" xfId="17947"/>
    <cellStyle name="40% - 강조색5 4 2 2 4" xfId="17948"/>
    <cellStyle name="40% - 강조색5 4 2 2 4 2" xfId="17949"/>
    <cellStyle name="40% - 강조색5 4 2 2 4 2 2" xfId="17950"/>
    <cellStyle name="40% - 강조색5 4 2 2 4 2 3" xfId="17951"/>
    <cellStyle name="40% - 강조색5 4 2 2 4 3" xfId="17952"/>
    <cellStyle name="40% - 강조색5 4 2 2 4 4" xfId="17953"/>
    <cellStyle name="40% - 강조색5 4 2 2 5" xfId="17954"/>
    <cellStyle name="40% - 강조색5 4 2 2 5 2" xfId="17955"/>
    <cellStyle name="40% - 강조색5 4 2 2 5 3" xfId="17956"/>
    <cellStyle name="40% - 강조색5 4 2 2 6" xfId="17957"/>
    <cellStyle name="40% - 강조색5 4 2 2 7" xfId="17958"/>
    <cellStyle name="40% - 강조색5 4 2 3" xfId="17959"/>
    <cellStyle name="40% - 강조색5 4 2 3 2" xfId="17960"/>
    <cellStyle name="40% - 강조색5 4 2 3 2 2" xfId="17961"/>
    <cellStyle name="40% - 강조색5 4 2 3 2 2 2" xfId="17962"/>
    <cellStyle name="40% - 강조색5 4 2 3 2 2 2 2" xfId="17963"/>
    <cellStyle name="40% - 강조색5 4 2 3 2 2 2 3" xfId="17964"/>
    <cellStyle name="40% - 강조색5 4 2 3 2 2 3" xfId="17965"/>
    <cellStyle name="40% - 강조색5 4 2 3 2 2 4" xfId="17966"/>
    <cellStyle name="40% - 강조색5 4 2 3 2 3" xfId="17967"/>
    <cellStyle name="40% - 강조색5 4 2 3 2 3 2" xfId="17968"/>
    <cellStyle name="40% - 강조색5 4 2 3 2 3 3" xfId="17969"/>
    <cellStyle name="40% - 강조색5 4 2 3 2 4" xfId="17970"/>
    <cellStyle name="40% - 강조색5 4 2 3 2 5" xfId="17971"/>
    <cellStyle name="40% - 강조색5 4 2 3 3" xfId="17972"/>
    <cellStyle name="40% - 강조색5 4 2 3 3 2" xfId="17973"/>
    <cellStyle name="40% - 강조색5 4 2 3 3 2 2" xfId="17974"/>
    <cellStyle name="40% - 강조색5 4 2 3 3 2 2 2" xfId="17975"/>
    <cellStyle name="40% - 강조색5 4 2 3 3 2 2 3" xfId="17976"/>
    <cellStyle name="40% - 강조색5 4 2 3 3 2 3" xfId="17977"/>
    <cellStyle name="40% - 강조색5 4 2 3 3 2 4" xfId="17978"/>
    <cellStyle name="40% - 강조색5 4 2 3 3 3" xfId="17979"/>
    <cellStyle name="40% - 강조색5 4 2 3 3 3 2" xfId="17980"/>
    <cellStyle name="40% - 강조색5 4 2 3 3 3 3" xfId="17981"/>
    <cellStyle name="40% - 강조색5 4 2 3 3 4" xfId="17982"/>
    <cellStyle name="40% - 강조색5 4 2 3 3 5" xfId="17983"/>
    <cellStyle name="40% - 강조색5 4 2 3 4" xfId="17984"/>
    <cellStyle name="40% - 강조색5 4 2 3 4 2" xfId="17985"/>
    <cellStyle name="40% - 강조색5 4 2 3 4 2 2" xfId="17986"/>
    <cellStyle name="40% - 강조색5 4 2 3 4 2 3" xfId="17987"/>
    <cellStyle name="40% - 강조색5 4 2 3 4 3" xfId="17988"/>
    <cellStyle name="40% - 강조색5 4 2 3 4 4" xfId="17989"/>
    <cellStyle name="40% - 강조색5 4 2 3 5" xfId="17990"/>
    <cellStyle name="40% - 강조색5 4 2 3 5 2" xfId="17991"/>
    <cellStyle name="40% - 강조색5 4 2 3 5 3" xfId="17992"/>
    <cellStyle name="40% - 강조색5 4 2 3 6" xfId="17993"/>
    <cellStyle name="40% - 강조색5 4 2 3 7" xfId="17994"/>
    <cellStyle name="40% - 강조색5 4 2 4" xfId="17995"/>
    <cellStyle name="40% - 강조색5 4 2 4 2" xfId="17996"/>
    <cellStyle name="40% - 강조색5 4 2 4 2 2" xfId="17997"/>
    <cellStyle name="40% - 강조색5 4 2 4 2 2 2" xfId="17998"/>
    <cellStyle name="40% - 강조색5 4 2 4 2 2 3" xfId="17999"/>
    <cellStyle name="40% - 강조색5 4 2 4 2 3" xfId="18000"/>
    <cellStyle name="40% - 강조색5 4 2 4 2 4" xfId="18001"/>
    <cellStyle name="40% - 강조색5 4 2 4 3" xfId="18002"/>
    <cellStyle name="40% - 강조색5 4 2 4 3 2" xfId="18003"/>
    <cellStyle name="40% - 강조색5 4 2 4 3 3" xfId="18004"/>
    <cellStyle name="40% - 강조색5 4 2 4 4" xfId="18005"/>
    <cellStyle name="40% - 강조색5 4 2 4 5" xfId="18006"/>
    <cellStyle name="40% - 강조색5 4 2 5" xfId="18007"/>
    <cellStyle name="40% - 강조색5 4 2 5 2" xfId="18008"/>
    <cellStyle name="40% - 강조색5 4 2 5 2 2" xfId="18009"/>
    <cellStyle name="40% - 강조색5 4 2 5 2 2 2" xfId="18010"/>
    <cellStyle name="40% - 강조색5 4 2 5 2 2 3" xfId="18011"/>
    <cellStyle name="40% - 강조색5 4 2 5 2 3" xfId="18012"/>
    <cellStyle name="40% - 강조색5 4 2 5 2 4" xfId="18013"/>
    <cellStyle name="40% - 강조색5 4 2 5 3" xfId="18014"/>
    <cellStyle name="40% - 강조색5 4 2 5 3 2" xfId="18015"/>
    <cellStyle name="40% - 강조색5 4 2 5 3 3" xfId="18016"/>
    <cellStyle name="40% - 강조색5 4 2 5 4" xfId="18017"/>
    <cellStyle name="40% - 강조색5 4 2 5 5" xfId="18018"/>
    <cellStyle name="40% - 강조색5 4 2 6" xfId="18019"/>
    <cellStyle name="40% - 강조색5 4 2 6 2" xfId="18020"/>
    <cellStyle name="40% - 강조색5 4 2 6 2 2" xfId="18021"/>
    <cellStyle name="40% - 강조색5 4 2 6 2 2 2" xfId="18022"/>
    <cellStyle name="40% - 강조색5 4 2 6 2 2 3" xfId="18023"/>
    <cellStyle name="40% - 강조색5 4 2 6 2 3" xfId="18024"/>
    <cellStyle name="40% - 강조색5 4 2 6 2 4" xfId="18025"/>
    <cellStyle name="40% - 강조색5 4 2 6 3" xfId="18026"/>
    <cellStyle name="40% - 강조색5 4 2 6 3 2" xfId="18027"/>
    <cellStyle name="40% - 강조색5 4 2 6 3 3" xfId="18028"/>
    <cellStyle name="40% - 강조색5 4 2 6 4" xfId="18029"/>
    <cellStyle name="40% - 강조색5 4 2 6 5" xfId="18030"/>
    <cellStyle name="40% - 강조색5 4 2 7" xfId="18031"/>
    <cellStyle name="40% - 강조색5 4 2 7 2" xfId="18032"/>
    <cellStyle name="40% - 강조색5 4 2 7 2 2" xfId="18033"/>
    <cellStyle name="40% - 강조색5 4 2 7 2 3" xfId="18034"/>
    <cellStyle name="40% - 강조색5 4 2 7 3" xfId="18035"/>
    <cellStyle name="40% - 강조색5 4 2 7 4" xfId="18036"/>
    <cellStyle name="40% - 강조색5 4 2 8" xfId="18037"/>
    <cellStyle name="40% - 강조색5 4 2 8 2" xfId="18038"/>
    <cellStyle name="40% - 강조색5 4 2 8 3" xfId="18039"/>
    <cellStyle name="40% - 강조색5 4 2 9" xfId="18040"/>
    <cellStyle name="40% - 강조색5 4 3" xfId="18041"/>
    <cellStyle name="40% - 강조색5 4 3 10" xfId="18042"/>
    <cellStyle name="40% - 강조색5 4 3 2" xfId="18043"/>
    <cellStyle name="40% - 강조색5 4 3 2 2" xfId="18044"/>
    <cellStyle name="40% - 강조색5 4 3 2 2 2" xfId="18045"/>
    <cellStyle name="40% - 강조색5 4 3 2 2 2 2" xfId="18046"/>
    <cellStyle name="40% - 강조색5 4 3 2 2 2 2 2" xfId="18047"/>
    <cellStyle name="40% - 강조색5 4 3 2 2 2 2 3" xfId="18048"/>
    <cellStyle name="40% - 강조색5 4 3 2 2 2 3" xfId="18049"/>
    <cellStyle name="40% - 강조색5 4 3 2 2 2 4" xfId="18050"/>
    <cellStyle name="40% - 강조색5 4 3 2 2 3" xfId="18051"/>
    <cellStyle name="40% - 강조색5 4 3 2 2 3 2" xfId="18052"/>
    <cellStyle name="40% - 강조색5 4 3 2 2 3 3" xfId="18053"/>
    <cellStyle name="40% - 강조색5 4 3 2 2 4" xfId="18054"/>
    <cellStyle name="40% - 강조색5 4 3 2 2 5" xfId="18055"/>
    <cellStyle name="40% - 강조색5 4 3 2 3" xfId="18056"/>
    <cellStyle name="40% - 강조색5 4 3 2 3 2" xfId="18057"/>
    <cellStyle name="40% - 강조색5 4 3 2 3 2 2" xfId="18058"/>
    <cellStyle name="40% - 강조색5 4 3 2 3 2 2 2" xfId="18059"/>
    <cellStyle name="40% - 강조색5 4 3 2 3 2 2 3" xfId="18060"/>
    <cellStyle name="40% - 강조색5 4 3 2 3 2 3" xfId="18061"/>
    <cellStyle name="40% - 강조색5 4 3 2 3 2 4" xfId="18062"/>
    <cellStyle name="40% - 강조색5 4 3 2 3 3" xfId="18063"/>
    <cellStyle name="40% - 강조색5 4 3 2 3 3 2" xfId="18064"/>
    <cellStyle name="40% - 강조색5 4 3 2 3 3 3" xfId="18065"/>
    <cellStyle name="40% - 강조색5 4 3 2 3 4" xfId="18066"/>
    <cellStyle name="40% - 강조색5 4 3 2 3 5" xfId="18067"/>
    <cellStyle name="40% - 강조색5 4 3 2 4" xfId="18068"/>
    <cellStyle name="40% - 강조색5 4 3 2 4 2" xfId="18069"/>
    <cellStyle name="40% - 강조색5 4 3 2 4 2 2" xfId="18070"/>
    <cellStyle name="40% - 강조색5 4 3 2 4 2 3" xfId="18071"/>
    <cellStyle name="40% - 강조색5 4 3 2 4 3" xfId="18072"/>
    <cellStyle name="40% - 강조색5 4 3 2 4 4" xfId="18073"/>
    <cellStyle name="40% - 강조색5 4 3 2 5" xfId="18074"/>
    <cellStyle name="40% - 강조색5 4 3 2 5 2" xfId="18075"/>
    <cellStyle name="40% - 강조색5 4 3 2 5 3" xfId="18076"/>
    <cellStyle name="40% - 강조색5 4 3 2 6" xfId="18077"/>
    <cellStyle name="40% - 강조색5 4 3 2 7" xfId="18078"/>
    <cellStyle name="40% - 강조색5 4 3 3" xfId="18079"/>
    <cellStyle name="40% - 강조색5 4 3 3 2" xfId="18080"/>
    <cellStyle name="40% - 강조색5 4 3 3 2 2" xfId="18081"/>
    <cellStyle name="40% - 강조색5 4 3 3 2 2 2" xfId="18082"/>
    <cellStyle name="40% - 강조색5 4 3 3 2 2 2 2" xfId="18083"/>
    <cellStyle name="40% - 강조색5 4 3 3 2 2 2 3" xfId="18084"/>
    <cellStyle name="40% - 강조색5 4 3 3 2 2 3" xfId="18085"/>
    <cellStyle name="40% - 강조색5 4 3 3 2 2 4" xfId="18086"/>
    <cellStyle name="40% - 강조색5 4 3 3 2 3" xfId="18087"/>
    <cellStyle name="40% - 강조색5 4 3 3 2 3 2" xfId="18088"/>
    <cellStyle name="40% - 강조색5 4 3 3 2 3 3" xfId="18089"/>
    <cellStyle name="40% - 강조색5 4 3 3 2 4" xfId="18090"/>
    <cellStyle name="40% - 강조색5 4 3 3 2 5" xfId="18091"/>
    <cellStyle name="40% - 강조색5 4 3 3 3" xfId="18092"/>
    <cellStyle name="40% - 강조색5 4 3 3 3 2" xfId="18093"/>
    <cellStyle name="40% - 강조색5 4 3 3 3 2 2" xfId="18094"/>
    <cellStyle name="40% - 강조색5 4 3 3 3 2 2 2" xfId="18095"/>
    <cellStyle name="40% - 강조색5 4 3 3 3 2 2 3" xfId="18096"/>
    <cellStyle name="40% - 강조색5 4 3 3 3 2 3" xfId="18097"/>
    <cellStyle name="40% - 강조색5 4 3 3 3 2 4" xfId="18098"/>
    <cellStyle name="40% - 강조색5 4 3 3 3 3" xfId="18099"/>
    <cellStyle name="40% - 강조색5 4 3 3 3 3 2" xfId="18100"/>
    <cellStyle name="40% - 강조색5 4 3 3 3 3 3" xfId="18101"/>
    <cellStyle name="40% - 강조색5 4 3 3 3 4" xfId="18102"/>
    <cellStyle name="40% - 강조색5 4 3 3 3 5" xfId="18103"/>
    <cellStyle name="40% - 강조색5 4 3 3 4" xfId="18104"/>
    <cellStyle name="40% - 강조색5 4 3 3 4 2" xfId="18105"/>
    <cellStyle name="40% - 강조색5 4 3 3 4 2 2" xfId="18106"/>
    <cellStyle name="40% - 강조색5 4 3 3 4 2 3" xfId="18107"/>
    <cellStyle name="40% - 강조색5 4 3 3 4 3" xfId="18108"/>
    <cellStyle name="40% - 강조색5 4 3 3 4 4" xfId="18109"/>
    <cellStyle name="40% - 강조색5 4 3 3 5" xfId="18110"/>
    <cellStyle name="40% - 강조색5 4 3 3 5 2" xfId="18111"/>
    <cellStyle name="40% - 강조색5 4 3 3 5 3" xfId="18112"/>
    <cellStyle name="40% - 강조색5 4 3 3 6" xfId="18113"/>
    <cellStyle name="40% - 강조색5 4 3 3 7" xfId="18114"/>
    <cellStyle name="40% - 강조색5 4 3 4" xfId="18115"/>
    <cellStyle name="40% - 강조색5 4 3 4 2" xfId="18116"/>
    <cellStyle name="40% - 강조색5 4 3 4 2 2" xfId="18117"/>
    <cellStyle name="40% - 강조색5 4 3 4 2 2 2" xfId="18118"/>
    <cellStyle name="40% - 강조색5 4 3 4 2 2 3" xfId="18119"/>
    <cellStyle name="40% - 강조색5 4 3 4 2 3" xfId="18120"/>
    <cellStyle name="40% - 강조색5 4 3 4 2 4" xfId="18121"/>
    <cellStyle name="40% - 강조색5 4 3 4 3" xfId="18122"/>
    <cellStyle name="40% - 강조색5 4 3 4 3 2" xfId="18123"/>
    <cellStyle name="40% - 강조색5 4 3 4 3 3" xfId="18124"/>
    <cellStyle name="40% - 강조색5 4 3 4 4" xfId="18125"/>
    <cellStyle name="40% - 강조색5 4 3 4 5" xfId="18126"/>
    <cellStyle name="40% - 강조색5 4 3 5" xfId="18127"/>
    <cellStyle name="40% - 강조색5 4 3 5 2" xfId="18128"/>
    <cellStyle name="40% - 강조색5 4 3 5 2 2" xfId="18129"/>
    <cellStyle name="40% - 강조색5 4 3 5 2 2 2" xfId="18130"/>
    <cellStyle name="40% - 강조색5 4 3 5 2 2 3" xfId="18131"/>
    <cellStyle name="40% - 강조색5 4 3 5 2 3" xfId="18132"/>
    <cellStyle name="40% - 강조색5 4 3 5 2 4" xfId="18133"/>
    <cellStyle name="40% - 강조색5 4 3 5 3" xfId="18134"/>
    <cellStyle name="40% - 강조색5 4 3 5 3 2" xfId="18135"/>
    <cellStyle name="40% - 강조색5 4 3 5 3 3" xfId="18136"/>
    <cellStyle name="40% - 강조색5 4 3 5 4" xfId="18137"/>
    <cellStyle name="40% - 강조색5 4 3 5 5" xfId="18138"/>
    <cellStyle name="40% - 강조색5 4 3 6" xfId="18139"/>
    <cellStyle name="40% - 강조색5 4 3 6 2" xfId="18140"/>
    <cellStyle name="40% - 강조색5 4 3 6 2 2" xfId="18141"/>
    <cellStyle name="40% - 강조색5 4 3 6 2 2 2" xfId="18142"/>
    <cellStyle name="40% - 강조색5 4 3 6 2 2 3" xfId="18143"/>
    <cellStyle name="40% - 강조색5 4 3 6 2 3" xfId="18144"/>
    <cellStyle name="40% - 강조색5 4 3 6 2 4" xfId="18145"/>
    <cellStyle name="40% - 강조색5 4 3 6 3" xfId="18146"/>
    <cellStyle name="40% - 강조색5 4 3 6 3 2" xfId="18147"/>
    <cellStyle name="40% - 강조색5 4 3 6 3 3" xfId="18148"/>
    <cellStyle name="40% - 강조색5 4 3 6 4" xfId="18149"/>
    <cellStyle name="40% - 강조색5 4 3 6 5" xfId="18150"/>
    <cellStyle name="40% - 강조색5 4 3 7" xfId="18151"/>
    <cellStyle name="40% - 강조색5 4 3 7 2" xfId="18152"/>
    <cellStyle name="40% - 강조색5 4 3 7 2 2" xfId="18153"/>
    <cellStyle name="40% - 강조색5 4 3 7 2 3" xfId="18154"/>
    <cellStyle name="40% - 강조색5 4 3 7 3" xfId="18155"/>
    <cellStyle name="40% - 강조색5 4 3 7 4" xfId="18156"/>
    <cellStyle name="40% - 강조색5 4 3 8" xfId="18157"/>
    <cellStyle name="40% - 강조색5 4 3 8 2" xfId="18158"/>
    <cellStyle name="40% - 강조색5 4 3 8 3" xfId="18159"/>
    <cellStyle name="40% - 강조색5 4 3 9" xfId="18160"/>
    <cellStyle name="40% - 강조색5 4 4" xfId="18161"/>
    <cellStyle name="40% - 강조색5 4 4 10" xfId="18162"/>
    <cellStyle name="40% - 강조색5 4 4 2" xfId="18163"/>
    <cellStyle name="40% - 강조색5 4 4 2 2" xfId="18164"/>
    <cellStyle name="40% - 강조색5 4 4 2 2 2" xfId="18165"/>
    <cellStyle name="40% - 강조색5 4 4 2 2 2 2" xfId="18166"/>
    <cellStyle name="40% - 강조색5 4 4 2 2 2 2 2" xfId="18167"/>
    <cellStyle name="40% - 강조색5 4 4 2 2 2 2 3" xfId="18168"/>
    <cellStyle name="40% - 강조색5 4 4 2 2 2 3" xfId="18169"/>
    <cellStyle name="40% - 강조색5 4 4 2 2 2 4" xfId="18170"/>
    <cellStyle name="40% - 강조색5 4 4 2 2 3" xfId="18171"/>
    <cellStyle name="40% - 강조색5 4 4 2 2 3 2" xfId="18172"/>
    <cellStyle name="40% - 강조색5 4 4 2 2 3 3" xfId="18173"/>
    <cellStyle name="40% - 강조색5 4 4 2 2 4" xfId="18174"/>
    <cellStyle name="40% - 강조색5 4 4 2 2 5" xfId="18175"/>
    <cellStyle name="40% - 강조색5 4 4 2 3" xfId="18176"/>
    <cellStyle name="40% - 강조색5 4 4 2 3 2" xfId="18177"/>
    <cellStyle name="40% - 강조색5 4 4 2 3 2 2" xfId="18178"/>
    <cellStyle name="40% - 강조색5 4 4 2 3 2 2 2" xfId="18179"/>
    <cellStyle name="40% - 강조색5 4 4 2 3 2 2 3" xfId="18180"/>
    <cellStyle name="40% - 강조색5 4 4 2 3 2 3" xfId="18181"/>
    <cellStyle name="40% - 강조색5 4 4 2 3 2 4" xfId="18182"/>
    <cellStyle name="40% - 강조색5 4 4 2 3 3" xfId="18183"/>
    <cellStyle name="40% - 강조색5 4 4 2 3 3 2" xfId="18184"/>
    <cellStyle name="40% - 강조색5 4 4 2 3 3 3" xfId="18185"/>
    <cellStyle name="40% - 강조색5 4 4 2 3 4" xfId="18186"/>
    <cellStyle name="40% - 강조색5 4 4 2 3 5" xfId="18187"/>
    <cellStyle name="40% - 강조색5 4 4 2 4" xfId="18188"/>
    <cellStyle name="40% - 강조색5 4 4 2 4 2" xfId="18189"/>
    <cellStyle name="40% - 강조색5 4 4 2 4 2 2" xfId="18190"/>
    <cellStyle name="40% - 강조색5 4 4 2 4 2 3" xfId="18191"/>
    <cellStyle name="40% - 강조색5 4 4 2 4 3" xfId="18192"/>
    <cellStyle name="40% - 강조색5 4 4 2 4 4" xfId="18193"/>
    <cellStyle name="40% - 강조색5 4 4 2 5" xfId="18194"/>
    <cellStyle name="40% - 강조색5 4 4 2 5 2" xfId="18195"/>
    <cellStyle name="40% - 강조색5 4 4 2 5 3" xfId="18196"/>
    <cellStyle name="40% - 강조색5 4 4 2 6" xfId="18197"/>
    <cellStyle name="40% - 강조색5 4 4 2 7" xfId="18198"/>
    <cellStyle name="40% - 강조색5 4 4 3" xfId="18199"/>
    <cellStyle name="40% - 강조색5 4 4 3 2" xfId="18200"/>
    <cellStyle name="40% - 강조색5 4 4 3 2 2" xfId="18201"/>
    <cellStyle name="40% - 강조색5 4 4 3 2 2 2" xfId="18202"/>
    <cellStyle name="40% - 강조색5 4 4 3 2 2 2 2" xfId="18203"/>
    <cellStyle name="40% - 강조색5 4 4 3 2 2 2 3" xfId="18204"/>
    <cellStyle name="40% - 강조색5 4 4 3 2 2 3" xfId="18205"/>
    <cellStyle name="40% - 강조색5 4 4 3 2 2 4" xfId="18206"/>
    <cellStyle name="40% - 강조색5 4 4 3 2 3" xfId="18207"/>
    <cellStyle name="40% - 강조색5 4 4 3 2 3 2" xfId="18208"/>
    <cellStyle name="40% - 강조색5 4 4 3 2 3 3" xfId="18209"/>
    <cellStyle name="40% - 강조색5 4 4 3 2 4" xfId="18210"/>
    <cellStyle name="40% - 강조색5 4 4 3 2 5" xfId="18211"/>
    <cellStyle name="40% - 강조색5 4 4 3 3" xfId="18212"/>
    <cellStyle name="40% - 강조색5 4 4 3 3 2" xfId="18213"/>
    <cellStyle name="40% - 강조색5 4 4 3 3 2 2" xfId="18214"/>
    <cellStyle name="40% - 강조색5 4 4 3 3 2 2 2" xfId="18215"/>
    <cellStyle name="40% - 강조색5 4 4 3 3 2 2 3" xfId="18216"/>
    <cellStyle name="40% - 강조색5 4 4 3 3 2 3" xfId="18217"/>
    <cellStyle name="40% - 강조색5 4 4 3 3 2 4" xfId="18218"/>
    <cellStyle name="40% - 강조색5 4 4 3 3 3" xfId="18219"/>
    <cellStyle name="40% - 강조색5 4 4 3 3 3 2" xfId="18220"/>
    <cellStyle name="40% - 강조색5 4 4 3 3 3 3" xfId="18221"/>
    <cellStyle name="40% - 강조색5 4 4 3 3 4" xfId="18222"/>
    <cellStyle name="40% - 강조색5 4 4 3 3 5" xfId="18223"/>
    <cellStyle name="40% - 강조색5 4 4 3 4" xfId="18224"/>
    <cellStyle name="40% - 강조색5 4 4 3 4 2" xfId="18225"/>
    <cellStyle name="40% - 강조색5 4 4 3 4 2 2" xfId="18226"/>
    <cellStyle name="40% - 강조색5 4 4 3 4 2 3" xfId="18227"/>
    <cellStyle name="40% - 강조색5 4 4 3 4 3" xfId="18228"/>
    <cellStyle name="40% - 강조색5 4 4 3 4 4" xfId="18229"/>
    <cellStyle name="40% - 강조색5 4 4 3 5" xfId="18230"/>
    <cellStyle name="40% - 강조색5 4 4 3 5 2" xfId="18231"/>
    <cellStyle name="40% - 강조색5 4 4 3 5 3" xfId="18232"/>
    <cellStyle name="40% - 강조색5 4 4 3 6" xfId="18233"/>
    <cellStyle name="40% - 강조색5 4 4 3 7" xfId="18234"/>
    <cellStyle name="40% - 강조색5 4 4 4" xfId="18235"/>
    <cellStyle name="40% - 강조색5 4 4 4 2" xfId="18236"/>
    <cellStyle name="40% - 강조색5 4 4 4 2 2" xfId="18237"/>
    <cellStyle name="40% - 강조색5 4 4 4 2 2 2" xfId="18238"/>
    <cellStyle name="40% - 강조색5 4 4 4 2 2 3" xfId="18239"/>
    <cellStyle name="40% - 강조색5 4 4 4 2 3" xfId="18240"/>
    <cellStyle name="40% - 강조색5 4 4 4 2 4" xfId="18241"/>
    <cellStyle name="40% - 강조색5 4 4 4 3" xfId="18242"/>
    <cellStyle name="40% - 강조색5 4 4 4 3 2" xfId="18243"/>
    <cellStyle name="40% - 강조색5 4 4 4 3 3" xfId="18244"/>
    <cellStyle name="40% - 강조색5 4 4 4 4" xfId="18245"/>
    <cellStyle name="40% - 강조색5 4 4 4 5" xfId="18246"/>
    <cellStyle name="40% - 강조색5 4 4 5" xfId="18247"/>
    <cellStyle name="40% - 강조색5 4 4 5 2" xfId="18248"/>
    <cellStyle name="40% - 강조색5 4 4 5 2 2" xfId="18249"/>
    <cellStyle name="40% - 강조색5 4 4 5 2 2 2" xfId="18250"/>
    <cellStyle name="40% - 강조색5 4 4 5 2 2 3" xfId="18251"/>
    <cellStyle name="40% - 강조색5 4 4 5 2 3" xfId="18252"/>
    <cellStyle name="40% - 강조색5 4 4 5 2 4" xfId="18253"/>
    <cellStyle name="40% - 강조색5 4 4 5 3" xfId="18254"/>
    <cellStyle name="40% - 강조색5 4 4 5 3 2" xfId="18255"/>
    <cellStyle name="40% - 강조색5 4 4 5 3 3" xfId="18256"/>
    <cellStyle name="40% - 강조색5 4 4 5 4" xfId="18257"/>
    <cellStyle name="40% - 강조색5 4 4 5 5" xfId="18258"/>
    <cellStyle name="40% - 강조색5 4 4 6" xfId="18259"/>
    <cellStyle name="40% - 강조색5 4 4 6 2" xfId="18260"/>
    <cellStyle name="40% - 강조색5 4 4 6 2 2" xfId="18261"/>
    <cellStyle name="40% - 강조색5 4 4 6 2 2 2" xfId="18262"/>
    <cellStyle name="40% - 강조색5 4 4 6 2 2 3" xfId="18263"/>
    <cellStyle name="40% - 강조색5 4 4 6 2 3" xfId="18264"/>
    <cellStyle name="40% - 강조색5 4 4 6 2 4" xfId="18265"/>
    <cellStyle name="40% - 강조색5 4 4 6 3" xfId="18266"/>
    <cellStyle name="40% - 강조색5 4 4 6 3 2" xfId="18267"/>
    <cellStyle name="40% - 강조색5 4 4 6 3 3" xfId="18268"/>
    <cellStyle name="40% - 강조색5 4 4 6 4" xfId="18269"/>
    <cellStyle name="40% - 강조색5 4 4 6 5" xfId="18270"/>
    <cellStyle name="40% - 강조색5 4 4 7" xfId="18271"/>
    <cellStyle name="40% - 강조색5 4 4 7 2" xfId="18272"/>
    <cellStyle name="40% - 강조색5 4 4 7 2 2" xfId="18273"/>
    <cellStyle name="40% - 강조색5 4 4 7 2 3" xfId="18274"/>
    <cellStyle name="40% - 강조색5 4 4 7 3" xfId="18275"/>
    <cellStyle name="40% - 강조색5 4 4 7 4" xfId="18276"/>
    <cellStyle name="40% - 강조색5 4 4 8" xfId="18277"/>
    <cellStyle name="40% - 강조색5 4 4 8 2" xfId="18278"/>
    <cellStyle name="40% - 강조색5 4 4 8 3" xfId="18279"/>
    <cellStyle name="40% - 강조색5 4 4 9" xfId="18280"/>
    <cellStyle name="40% - 강조색5 4 5" xfId="18281"/>
    <cellStyle name="40% - 강조색5 4 5 2" xfId="18282"/>
    <cellStyle name="40% - 강조색5 4 5 2 2" xfId="18283"/>
    <cellStyle name="40% - 강조색5 4 5 2 2 2" xfId="18284"/>
    <cellStyle name="40% - 강조색5 4 5 2 2 2 2" xfId="18285"/>
    <cellStyle name="40% - 강조색5 4 5 2 2 2 3" xfId="18286"/>
    <cellStyle name="40% - 강조색5 4 5 2 2 3" xfId="18287"/>
    <cellStyle name="40% - 강조색5 4 5 2 2 4" xfId="18288"/>
    <cellStyle name="40% - 강조색5 4 5 2 3" xfId="18289"/>
    <cellStyle name="40% - 강조색5 4 5 2 3 2" xfId="18290"/>
    <cellStyle name="40% - 강조색5 4 5 2 3 3" xfId="18291"/>
    <cellStyle name="40% - 강조색5 4 5 2 4" xfId="18292"/>
    <cellStyle name="40% - 강조색5 4 5 2 5" xfId="18293"/>
    <cellStyle name="40% - 강조색5 4 5 3" xfId="18294"/>
    <cellStyle name="40% - 강조색5 4 5 3 2" xfId="18295"/>
    <cellStyle name="40% - 강조색5 4 5 3 2 2" xfId="18296"/>
    <cellStyle name="40% - 강조색5 4 5 3 2 2 2" xfId="18297"/>
    <cellStyle name="40% - 강조색5 4 5 3 2 2 3" xfId="18298"/>
    <cellStyle name="40% - 강조색5 4 5 3 2 3" xfId="18299"/>
    <cellStyle name="40% - 강조색5 4 5 3 2 4" xfId="18300"/>
    <cellStyle name="40% - 강조색5 4 5 3 3" xfId="18301"/>
    <cellStyle name="40% - 강조색5 4 5 3 3 2" xfId="18302"/>
    <cellStyle name="40% - 강조색5 4 5 3 3 3" xfId="18303"/>
    <cellStyle name="40% - 강조색5 4 5 3 4" xfId="18304"/>
    <cellStyle name="40% - 강조색5 4 5 3 5" xfId="18305"/>
    <cellStyle name="40% - 강조색5 4 5 4" xfId="18306"/>
    <cellStyle name="40% - 강조색5 4 5 4 2" xfId="18307"/>
    <cellStyle name="40% - 강조색5 4 5 4 2 2" xfId="18308"/>
    <cellStyle name="40% - 강조색5 4 5 4 2 3" xfId="18309"/>
    <cellStyle name="40% - 강조색5 4 5 4 3" xfId="18310"/>
    <cellStyle name="40% - 강조색5 4 5 4 4" xfId="18311"/>
    <cellStyle name="40% - 강조색5 4 5 5" xfId="18312"/>
    <cellStyle name="40% - 강조색5 4 5 5 2" xfId="18313"/>
    <cellStyle name="40% - 강조색5 4 5 5 3" xfId="18314"/>
    <cellStyle name="40% - 강조색5 4 5 6" xfId="18315"/>
    <cellStyle name="40% - 강조색5 4 5 7" xfId="18316"/>
    <cellStyle name="40% - 강조색5 4 6" xfId="18317"/>
    <cellStyle name="40% - 강조색5 4 6 2" xfId="18318"/>
    <cellStyle name="40% - 강조색5 4 6 2 2" xfId="18319"/>
    <cellStyle name="40% - 강조색5 4 6 2 2 2" xfId="18320"/>
    <cellStyle name="40% - 강조색5 4 6 2 2 2 2" xfId="18321"/>
    <cellStyle name="40% - 강조색5 4 6 2 2 2 3" xfId="18322"/>
    <cellStyle name="40% - 강조색5 4 6 2 2 3" xfId="18323"/>
    <cellStyle name="40% - 강조색5 4 6 2 2 4" xfId="18324"/>
    <cellStyle name="40% - 강조색5 4 6 2 3" xfId="18325"/>
    <cellStyle name="40% - 강조색5 4 6 2 3 2" xfId="18326"/>
    <cellStyle name="40% - 강조색5 4 6 2 3 3" xfId="18327"/>
    <cellStyle name="40% - 강조색5 4 6 2 4" xfId="18328"/>
    <cellStyle name="40% - 강조색5 4 6 2 5" xfId="18329"/>
    <cellStyle name="40% - 강조색5 4 6 3" xfId="18330"/>
    <cellStyle name="40% - 강조색5 4 6 3 2" xfId="18331"/>
    <cellStyle name="40% - 강조색5 4 6 3 2 2" xfId="18332"/>
    <cellStyle name="40% - 강조색5 4 6 3 2 2 2" xfId="18333"/>
    <cellStyle name="40% - 강조색5 4 6 3 2 2 3" xfId="18334"/>
    <cellStyle name="40% - 강조색5 4 6 3 2 3" xfId="18335"/>
    <cellStyle name="40% - 강조색5 4 6 3 2 4" xfId="18336"/>
    <cellStyle name="40% - 강조색5 4 6 3 3" xfId="18337"/>
    <cellStyle name="40% - 강조색5 4 6 3 3 2" xfId="18338"/>
    <cellStyle name="40% - 강조색5 4 6 3 3 3" xfId="18339"/>
    <cellStyle name="40% - 강조색5 4 6 3 4" xfId="18340"/>
    <cellStyle name="40% - 강조색5 4 6 3 5" xfId="18341"/>
    <cellStyle name="40% - 강조색5 4 6 4" xfId="18342"/>
    <cellStyle name="40% - 강조색5 4 6 4 2" xfId="18343"/>
    <cellStyle name="40% - 강조색5 4 6 4 2 2" xfId="18344"/>
    <cellStyle name="40% - 강조색5 4 6 4 2 3" xfId="18345"/>
    <cellStyle name="40% - 강조색5 4 6 4 3" xfId="18346"/>
    <cellStyle name="40% - 강조색5 4 6 4 4" xfId="18347"/>
    <cellStyle name="40% - 강조색5 4 6 5" xfId="18348"/>
    <cellStyle name="40% - 강조색5 4 6 5 2" xfId="18349"/>
    <cellStyle name="40% - 강조색5 4 6 5 3" xfId="18350"/>
    <cellStyle name="40% - 강조색5 4 6 6" xfId="18351"/>
    <cellStyle name="40% - 강조색5 4 6 7" xfId="18352"/>
    <cellStyle name="40% - 강조색5 4 7" xfId="18353"/>
    <cellStyle name="40% - 강조색5 4 7 2" xfId="18354"/>
    <cellStyle name="40% - 강조색5 4 7 2 2" xfId="18355"/>
    <cellStyle name="40% - 강조색5 4 7 2 2 2" xfId="18356"/>
    <cellStyle name="40% - 강조색5 4 7 2 2 3" xfId="18357"/>
    <cellStyle name="40% - 강조색5 4 7 2 3" xfId="18358"/>
    <cellStyle name="40% - 강조색5 4 7 2 4" xfId="18359"/>
    <cellStyle name="40% - 강조색5 4 7 3" xfId="18360"/>
    <cellStyle name="40% - 강조색5 4 7 3 2" xfId="18361"/>
    <cellStyle name="40% - 강조색5 4 7 3 3" xfId="18362"/>
    <cellStyle name="40% - 강조색5 4 7 4" xfId="18363"/>
    <cellStyle name="40% - 강조색5 4 7 5" xfId="18364"/>
    <cellStyle name="40% - 강조색5 4 8" xfId="18365"/>
    <cellStyle name="40% - 강조색5 4 8 2" xfId="18366"/>
    <cellStyle name="40% - 강조색5 4 8 2 2" xfId="18367"/>
    <cellStyle name="40% - 강조색5 4 8 2 2 2" xfId="18368"/>
    <cellStyle name="40% - 강조색5 4 8 2 2 3" xfId="18369"/>
    <cellStyle name="40% - 강조색5 4 8 2 3" xfId="18370"/>
    <cellStyle name="40% - 강조색5 4 8 2 4" xfId="18371"/>
    <cellStyle name="40% - 강조색5 4 8 3" xfId="18372"/>
    <cellStyle name="40% - 강조색5 4 8 3 2" xfId="18373"/>
    <cellStyle name="40% - 강조색5 4 8 3 3" xfId="18374"/>
    <cellStyle name="40% - 강조색5 4 8 4" xfId="18375"/>
    <cellStyle name="40% - 강조색5 4 8 5" xfId="18376"/>
    <cellStyle name="40% - 강조색5 4 9" xfId="18377"/>
    <cellStyle name="40% - 강조색5 4 9 2" xfId="18378"/>
    <cellStyle name="40% - 강조색5 4 9 2 2" xfId="18379"/>
    <cellStyle name="40% - 강조색5 4 9 2 2 2" xfId="18380"/>
    <cellStyle name="40% - 강조색5 4 9 2 2 3" xfId="18381"/>
    <cellStyle name="40% - 강조색5 4 9 2 3" xfId="18382"/>
    <cellStyle name="40% - 강조색5 4 9 2 4" xfId="18383"/>
    <cellStyle name="40% - 강조색5 4 9 3" xfId="18384"/>
    <cellStyle name="40% - 강조색5 4 9 3 2" xfId="18385"/>
    <cellStyle name="40% - 강조색5 4 9 3 3" xfId="18386"/>
    <cellStyle name="40% - 강조색5 4 9 4" xfId="18387"/>
    <cellStyle name="40% - 강조색5 4 9 5" xfId="18388"/>
    <cellStyle name="40% - 강조색5 40" xfId="18389"/>
    <cellStyle name="40% - 강조색5 41" xfId="18390"/>
    <cellStyle name="40% - 강조색5 42" xfId="18391"/>
    <cellStyle name="40% - 강조색5 43" xfId="18392"/>
    <cellStyle name="40% - 강조색5 44" xfId="18393"/>
    <cellStyle name="40% - 강조색5 45" xfId="18394"/>
    <cellStyle name="40% - 강조색5 46" xfId="18395"/>
    <cellStyle name="40% - 강조색5 47" xfId="18396"/>
    <cellStyle name="40% - 강조색5 48" xfId="18397"/>
    <cellStyle name="40% - 강조색5 49" xfId="18398"/>
    <cellStyle name="40% - 강조색5 5" xfId="18399"/>
    <cellStyle name="40% - 강조색5 5 10" xfId="18400"/>
    <cellStyle name="40% - 강조색5 5 11" xfId="18401"/>
    <cellStyle name="40% - 강조색5 5 2" xfId="18402"/>
    <cellStyle name="40% - 강조색5 5 2 2" xfId="18403"/>
    <cellStyle name="40% - 강조색5 5 2 2 2" xfId="18404"/>
    <cellStyle name="40% - 강조색5 5 2 2 2 2" xfId="18405"/>
    <cellStyle name="40% - 강조색5 5 2 2 2 2 2" xfId="18406"/>
    <cellStyle name="40% - 강조색5 5 2 2 2 2 3" xfId="18407"/>
    <cellStyle name="40% - 강조색5 5 2 2 2 3" xfId="18408"/>
    <cellStyle name="40% - 강조색5 5 2 2 2 4" xfId="18409"/>
    <cellStyle name="40% - 강조색5 5 2 2 3" xfId="18410"/>
    <cellStyle name="40% - 강조색5 5 2 2 3 2" xfId="18411"/>
    <cellStyle name="40% - 강조색5 5 2 2 3 3" xfId="18412"/>
    <cellStyle name="40% - 강조색5 5 2 2 4" xfId="18413"/>
    <cellStyle name="40% - 강조색5 5 2 2 5" xfId="18414"/>
    <cellStyle name="40% - 강조색5 5 2 3" xfId="18415"/>
    <cellStyle name="40% - 강조색5 5 2 3 2" xfId="18416"/>
    <cellStyle name="40% - 강조색5 5 2 3 2 2" xfId="18417"/>
    <cellStyle name="40% - 강조색5 5 2 3 2 2 2" xfId="18418"/>
    <cellStyle name="40% - 강조색5 5 2 3 2 2 3" xfId="18419"/>
    <cellStyle name="40% - 강조색5 5 2 3 2 3" xfId="18420"/>
    <cellStyle name="40% - 강조색5 5 2 3 2 4" xfId="18421"/>
    <cellStyle name="40% - 강조색5 5 2 3 3" xfId="18422"/>
    <cellStyle name="40% - 강조색5 5 2 3 3 2" xfId="18423"/>
    <cellStyle name="40% - 강조색5 5 2 3 3 3" xfId="18424"/>
    <cellStyle name="40% - 강조색5 5 2 3 4" xfId="18425"/>
    <cellStyle name="40% - 강조색5 5 2 3 5" xfId="18426"/>
    <cellStyle name="40% - 강조색5 5 2 4" xfId="18427"/>
    <cellStyle name="40% - 강조색5 5 2 4 2" xfId="18428"/>
    <cellStyle name="40% - 강조색5 5 2 4 2 2" xfId="18429"/>
    <cellStyle name="40% - 강조색5 5 2 4 2 3" xfId="18430"/>
    <cellStyle name="40% - 강조색5 5 2 4 3" xfId="18431"/>
    <cellStyle name="40% - 강조색5 5 2 4 4" xfId="18432"/>
    <cellStyle name="40% - 강조색5 5 2 5" xfId="18433"/>
    <cellStyle name="40% - 강조색5 5 2 5 2" xfId="18434"/>
    <cellStyle name="40% - 강조색5 5 2 5 3" xfId="18435"/>
    <cellStyle name="40% - 강조색5 5 2 6" xfId="18436"/>
    <cellStyle name="40% - 강조색5 5 2 7" xfId="18437"/>
    <cellStyle name="40% - 강조색5 5 3" xfId="18438"/>
    <cellStyle name="40% - 강조색5 5 3 2" xfId="18439"/>
    <cellStyle name="40% - 강조색5 5 3 2 2" xfId="18440"/>
    <cellStyle name="40% - 강조색5 5 3 2 2 2" xfId="18441"/>
    <cellStyle name="40% - 강조색5 5 3 2 2 2 2" xfId="18442"/>
    <cellStyle name="40% - 강조색5 5 3 2 2 2 3" xfId="18443"/>
    <cellStyle name="40% - 강조색5 5 3 2 2 3" xfId="18444"/>
    <cellStyle name="40% - 강조색5 5 3 2 2 4" xfId="18445"/>
    <cellStyle name="40% - 강조색5 5 3 2 3" xfId="18446"/>
    <cellStyle name="40% - 강조색5 5 3 2 3 2" xfId="18447"/>
    <cellStyle name="40% - 강조색5 5 3 2 3 3" xfId="18448"/>
    <cellStyle name="40% - 강조색5 5 3 2 4" xfId="18449"/>
    <cellStyle name="40% - 강조색5 5 3 2 5" xfId="18450"/>
    <cellStyle name="40% - 강조색5 5 3 3" xfId="18451"/>
    <cellStyle name="40% - 강조색5 5 3 3 2" xfId="18452"/>
    <cellStyle name="40% - 강조색5 5 3 3 2 2" xfId="18453"/>
    <cellStyle name="40% - 강조색5 5 3 3 2 2 2" xfId="18454"/>
    <cellStyle name="40% - 강조색5 5 3 3 2 2 3" xfId="18455"/>
    <cellStyle name="40% - 강조색5 5 3 3 2 3" xfId="18456"/>
    <cellStyle name="40% - 강조색5 5 3 3 2 4" xfId="18457"/>
    <cellStyle name="40% - 강조색5 5 3 3 3" xfId="18458"/>
    <cellStyle name="40% - 강조색5 5 3 3 3 2" xfId="18459"/>
    <cellStyle name="40% - 강조색5 5 3 3 3 3" xfId="18460"/>
    <cellStyle name="40% - 강조색5 5 3 3 4" xfId="18461"/>
    <cellStyle name="40% - 강조색5 5 3 3 5" xfId="18462"/>
    <cellStyle name="40% - 강조색5 5 3 4" xfId="18463"/>
    <cellStyle name="40% - 강조색5 5 3 4 2" xfId="18464"/>
    <cellStyle name="40% - 강조색5 5 3 4 2 2" xfId="18465"/>
    <cellStyle name="40% - 강조색5 5 3 4 2 3" xfId="18466"/>
    <cellStyle name="40% - 강조색5 5 3 4 3" xfId="18467"/>
    <cellStyle name="40% - 강조색5 5 3 4 4" xfId="18468"/>
    <cellStyle name="40% - 강조색5 5 3 5" xfId="18469"/>
    <cellStyle name="40% - 강조색5 5 3 5 2" xfId="18470"/>
    <cellStyle name="40% - 강조색5 5 3 5 3" xfId="18471"/>
    <cellStyle name="40% - 강조색5 5 3 6" xfId="18472"/>
    <cellStyle name="40% - 강조색5 5 3 7" xfId="18473"/>
    <cellStyle name="40% - 강조색5 5 4" xfId="18474"/>
    <cellStyle name="40% - 강조색5 5 4 2" xfId="18475"/>
    <cellStyle name="40% - 강조색5 5 4 2 2" xfId="18476"/>
    <cellStyle name="40% - 강조색5 5 4 2 2 2" xfId="18477"/>
    <cellStyle name="40% - 강조색5 5 4 2 2 3" xfId="18478"/>
    <cellStyle name="40% - 강조색5 5 4 2 3" xfId="18479"/>
    <cellStyle name="40% - 강조색5 5 4 2 4" xfId="18480"/>
    <cellStyle name="40% - 강조색5 5 4 3" xfId="18481"/>
    <cellStyle name="40% - 강조색5 5 4 3 2" xfId="18482"/>
    <cellStyle name="40% - 강조색5 5 4 3 3" xfId="18483"/>
    <cellStyle name="40% - 강조색5 5 4 4" xfId="18484"/>
    <cellStyle name="40% - 강조색5 5 4 5" xfId="18485"/>
    <cellStyle name="40% - 강조색5 5 5" xfId="18486"/>
    <cellStyle name="40% - 강조색5 5 5 2" xfId="18487"/>
    <cellStyle name="40% - 강조색5 5 5 2 2" xfId="18488"/>
    <cellStyle name="40% - 강조색5 5 5 2 2 2" xfId="18489"/>
    <cellStyle name="40% - 강조색5 5 5 2 2 3" xfId="18490"/>
    <cellStyle name="40% - 강조색5 5 5 2 3" xfId="18491"/>
    <cellStyle name="40% - 강조색5 5 5 2 4" xfId="18492"/>
    <cellStyle name="40% - 강조색5 5 5 3" xfId="18493"/>
    <cellStyle name="40% - 강조색5 5 5 3 2" xfId="18494"/>
    <cellStyle name="40% - 강조색5 5 5 3 3" xfId="18495"/>
    <cellStyle name="40% - 강조색5 5 5 4" xfId="18496"/>
    <cellStyle name="40% - 강조색5 5 5 5" xfId="18497"/>
    <cellStyle name="40% - 강조색5 5 6" xfId="18498"/>
    <cellStyle name="40% - 강조색5 5 6 2" xfId="18499"/>
    <cellStyle name="40% - 강조색5 5 6 2 2" xfId="18500"/>
    <cellStyle name="40% - 강조색5 5 6 2 2 2" xfId="18501"/>
    <cellStyle name="40% - 강조색5 5 6 2 2 3" xfId="18502"/>
    <cellStyle name="40% - 강조색5 5 6 2 3" xfId="18503"/>
    <cellStyle name="40% - 강조색5 5 6 2 4" xfId="18504"/>
    <cellStyle name="40% - 강조색5 5 6 3" xfId="18505"/>
    <cellStyle name="40% - 강조색5 5 6 3 2" xfId="18506"/>
    <cellStyle name="40% - 강조색5 5 6 3 3" xfId="18507"/>
    <cellStyle name="40% - 강조색5 5 6 4" xfId="18508"/>
    <cellStyle name="40% - 강조색5 5 6 5" xfId="18509"/>
    <cellStyle name="40% - 강조색5 5 7" xfId="18510"/>
    <cellStyle name="40% - 강조색5 5 7 2" xfId="18511"/>
    <cellStyle name="40% - 강조색5 5 7 2 2" xfId="18512"/>
    <cellStyle name="40% - 강조색5 5 7 2 3" xfId="18513"/>
    <cellStyle name="40% - 강조색5 5 7 3" xfId="18514"/>
    <cellStyle name="40% - 강조색5 5 7 4" xfId="18515"/>
    <cellStyle name="40% - 강조색5 5 8" xfId="18516"/>
    <cellStyle name="40% - 강조색5 5 8 2" xfId="18517"/>
    <cellStyle name="40% - 강조색5 5 8 3" xfId="18518"/>
    <cellStyle name="40% - 강조색5 5 9" xfId="18519"/>
    <cellStyle name="40% - 강조색5 50" xfId="18520"/>
    <cellStyle name="40% - 강조색5 51" xfId="18521"/>
    <cellStyle name="40% - 강조색5 52" xfId="18522"/>
    <cellStyle name="40% - 강조색5 53" xfId="18523"/>
    <cellStyle name="40% - 강조색5 54" xfId="18524"/>
    <cellStyle name="40% - 강조색5 55" xfId="18525"/>
    <cellStyle name="40% - 강조색5 56" xfId="18526"/>
    <cellStyle name="40% - 강조색5 57" xfId="18527"/>
    <cellStyle name="40% - 강조색5 58" xfId="18528"/>
    <cellStyle name="40% - 강조색5 59" xfId="18529"/>
    <cellStyle name="40% - 강조색5 6" xfId="18530"/>
    <cellStyle name="40% - 강조색5 6 10" xfId="18531"/>
    <cellStyle name="40% - 강조색5 6 2" xfId="18532"/>
    <cellStyle name="40% - 강조색5 6 2 2" xfId="18533"/>
    <cellStyle name="40% - 강조색5 6 2 2 2" xfId="18534"/>
    <cellStyle name="40% - 강조색5 6 2 2 2 2" xfId="18535"/>
    <cellStyle name="40% - 강조색5 6 2 2 2 2 2" xfId="18536"/>
    <cellStyle name="40% - 강조색5 6 2 2 2 2 3" xfId="18537"/>
    <cellStyle name="40% - 강조색5 6 2 2 2 3" xfId="18538"/>
    <cellStyle name="40% - 강조색5 6 2 2 2 4" xfId="18539"/>
    <cellStyle name="40% - 강조색5 6 2 2 3" xfId="18540"/>
    <cellStyle name="40% - 강조색5 6 2 2 3 2" xfId="18541"/>
    <cellStyle name="40% - 강조색5 6 2 2 3 3" xfId="18542"/>
    <cellStyle name="40% - 강조색5 6 2 2 4" xfId="18543"/>
    <cellStyle name="40% - 강조색5 6 2 2 5" xfId="18544"/>
    <cellStyle name="40% - 강조색5 6 2 3" xfId="18545"/>
    <cellStyle name="40% - 강조색5 6 2 3 2" xfId="18546"/>
    <cellStyle name="40% - 강조색5 6 2 3 2 2" xfId="18547"/>
    <cellStyle name="40% - 강조색5 6 2 3 2 2 2" xfId="18548"/>
    <cellStyle name="40% - 강조색5 6 2 3 2 2 3" xfId="18549"/>
    <cellStyle name="40% - 강조색5 6 2 3 2 3" xfId="18550"/>
    <cellStyle name="40% - 강조색5 6 2 3 2 4" xfId="18551"/>
    <cellStyle name="40% - 강조색5 6 2 3 3" xfId="18552"/>
    <cellStyle name="40% - 강조색5 6 2 3 3 2" xfId="18553"/>
    <cellStyle name="40% - 강조색5 6 2 3 3 3" xfId="18554"/>
    <cellStyle name="40% - 강조색5 6 2 3 4" xfId="18555"/>
    <cellStyle name="40% - 강조색5 6 2 3 5" xfId="18556"/>
    <cellStyle name="40% - 강조색5 6 2 4" xfId="18557"/>
    <cellStyle name="40% - 강조색5 6 2 4 2" xfId="18558"/>
    <cellStyle name="40% - 강조색5 6 2 4 2 2" xfId="18559"/>
    <cellStyle name="40% - 강조색5 6 2 4 2 3" xfId="18560"/>
    <cellStyle name="40% - 강조색5 6 2 4 3" xfId="18561"/>
    <cellStyle name="40% - 강조색5 6 2 4 4" xfId="18562"/>
    <cellStyle name="40% - 강조색5 6 2 5" xfId="18563"/>
    <cellStyle name="40% - 강조색5 6 2 5 2" xfId="18564"/>
    <cellStyle name="40% - 강조색5 6 2 5 3" xfId="18565"/>
    <cellStyle name="40% - 강조색5 6 2 6" xfId="18566"/>
    <cellStyle name="40% - 강조색5 6 2 7" xfId="18567"/>
    <cellStyle name="40% - 강조색5 6 3" xfId="18568"/>
    <cellStyle name="40% - 강조색5 6 3 2" xfId="18569"/>
    <cellStyle name="40% - 강조색5 6 3 2 2" xfId="18570"/>
    <cellStyle name="40% - 강조색5 6 3 2 2 2" xfId="18571"/>
    <cellStyle name="40% - 강조색5 6 3 2 2 2 2" xfId="18572"/>
    <cellStyle name="40% - 강조색5 6 3 2 2 2 3" xfId="18573"/>
    <cellStyle name="40% - 강조색5 6 3 2 2 3" xfId="18574"/>
    <cellStyle name="40% - 강조색5 6 3 2 2 4" xfId="18575"/>
    <cellStyle name="40% - 강조색5 6 3 2 3" xfId="18576"/>
    <cellStyle name="40% - 강조색5 6 3 2 3 2" xfId="18577"/>
    <cellStyle name="40% - 강조색5 6 3 2 3 3" xfId="18578"/>
    <cellStyle name="40% - 강조색5 6 3 2 4" xfId="18579"/>
    <cellStyle name="40% - 강조색5 6 3 2 5" xfId="18580"/>
    <cellStyle name="40% - 강조색5 6 3 3" xfId="18581"/>
    <cellStyle name="40% - 강조색5 6 3 3 2" xfId="18582"/>
    <cellStyle name="40% - 강조색5 6 3 3 2 2" xfId="18583"/>
    <cellStyle name="40% - 강조색5 6 3 3 2 2 2" xfId="18584"/>
    <cellStyle name="40% - 강조색5 6 3 3 2 2 3" xfId="18585"/>
    <cellStyle name="40% - 강조색5 6 3 3 2 3" xfId="18586"/>
    <cellStyle name="40% - 강조색5 6 3 3 2 4" xfId="18587"/>
    <cellStyle name="40% - 강조색5 6 3 3 3" xfId="18588"/>
    <cellStyle name="40% - 강조색5 6 3 3 3 2" xfId="18589"/>
    <cellStyle name="40% - 강조색5 6 3 3 3 3" xfId="18590"/>
    <cellStyle name="40% - 강조색5 6 3 3 4" xfId="18591"/>
    <cellStyle name="40% - 강조색5 6 3 3 5" xfId="18592"/>
    <cellStyle name="40% - 강조색5 6 3 4" xfId="18593"/>
    <cellStyle name="40% - 강조색5 6 3 4 2" xfId="18594"/>
    <cellStyle name="40% - 강조색5 6 3 4 2 2" xfId="18595"/>
    <cellStyle name="40% - 강조색5 6 3 4 2 3" xfId="18596"/>
    <cellStyle name="40% - 강조색5 6 3 4 3" xfId="18597"/>
    <cellStyle name="40% - 강조색5 6 3 4 4" xfId="18598"/>
    <cellStyle name="40% - 강조색5 6 3 5" xfId="18599"/>
    <cellStyle name="40% - 강조색5 6 3 5 2" xfId="18600"/>
    <cellStyle name="40% - 강조색5 6 3 5 3" xfId="18601"/>
    <cellStyle name="40% - 강조색5 6 3 6" xfId="18602"/>
    <cellStyle name="40% - 강조색5 6 3 7" xfId="18603"/>
    <cellStyle name="40% - 강조색5 6 4" xfId="18604"/>
    <cellStyle name="40% - 강조색5 6 4 2" xfId="18605"/>
    <cellStyle name="40% - 강조색5 6 4 2 2" xfId="18606"/>
    <cellStyle name="40% - 강조색5 6 4 2 2 2" xfId="18607"/>
    <cellStyle name="40% - 강조색5 6 4 2 2 3" xfId="18608"/>
    <cellStyle name="40% - 강조색5 6 4 2 3" xfId="18609"/>
    <cellStyle name="40% - 강조색5 6 4 2 4" xfId="18610"/>
    <cellStyle name="40% - 강조색5 6 4 3" xfId="18611"/>
    <cellStyle name="40% - 강조색5 6 4 3 2" xfId="18612"/>
    <cellStyle name="40% - 강조색5 6 4 3 3" xfId="18613"/>
    <cellStyle name="40% - 강조색5 6 4 4" xfId="18614"/>
    <cellStyle name="40% - 강조색5 6 4 5" xfId="18615"/>
    <cellStyle name="40% - 강조색5 6 5" xfId="18616"/>
    <cellStyle name="40% - 강조색5 6 5 2" xfId="18617"/>
    <cellStyle name="40% - 강조색5 6 5 2 2" xfId="18618"/>
    <cellStyle name="40% - 강조색5 6 5 2 2 2" xfId="18619"/>
    <cellStyle name="40% - 강조색5 6 5 2 2 3" xfId="18620"/>
    <cellStyle name="40% - 강조색5 6 5 2 3" xfId="18621"/>
    <cellStyle name="40% - 강조색5 6 5 2 4" xfId="18622"/>
    <cellStyle name="40% - 강조색5 6 5 3" xfId="18623"/>
    <cellStyle name="40% - 강조색5 6 5 3 2" xfId="18624"/>
    <cellStyle name="40% - 강조색5 6 5 3 3" xfId="18625"/>
    <cellStyle name="40% - 강조색5 6 5 4" xfId="18626"/>
    <cellStyle name="40% - 강조색5 6 5 5" xfId="18627"/>
    <cellStyle name="40% - 강조색5 6 6" xfId="18628"/>
    <cellStyle name="40% - 강조색5 6 6 2" xfId="18629"/>
    <cellStyle name="40% - 강조색5 6 6 2 2" xfId="18630"/>
    <cellStyle name="40% - 강조색5 6 6 2 2 2" xfId="18631"/>
    <cellStyle name="40% - 강조색5 6 6 2 2 3" xfId="18632"/>
    <cellStyle name="40% - 강조색5 6 6 2 3" xfId="18633"/>
    <cellStyle name="40% - 강조색5 6 6 2 4" xfId="18634"/>
    <cellStyle name="40% - 강조색5 6 6 3" xfId="18635"/>
    <cellStyle name="40% - 강조색5 6 6 3 2" xfId="18636"/>
    <cellStyle name="40% - 강조색5 6 6 3 3" xfId="18637"/>
    <cellStyle name="40% - 강조색5 6 6 4" xfId="18638"/>
    <cellStyle name="40% - 강조색5 6 6 5" xfId="18639"/>
    <cellStyle name="40% - 강조색5 6 7" xfId="18640"/>
    <cellStyle name="40% - 강조색5 6 7 2" xfId="18641"/>
    <cellStyle name="40% - 강조색5 6 7 2 2" xfId="18642"/>
    <cellStyle name="40% - 강조색5 6 7 2 3" xfId="18643"/>
    <cellStyle name="40% - 강조색5 6 7 3" xfId="18644"/>
    <cellStyle name="40% - 강조색5 6 7 4" xfId="18645"/>
    <cellStyle name="40% - 강조색5 6 8" xfId="18646"/>
    <cellStyle name="40% - 강조색5 6 8 2" xfId="18647"/>
    <cellStyle name="40% - 강조색5 6 8 3" xfId="18648"/>
    <cellStyle name="40% - 강조색5 6 9" xfId="18649"/>
    <cellStyle name="40% - 강조색5 60" xfId="18650"/>
    <cellStyle name="40% - 강조색5 61" xfId="18651"/>
    <cellStyle name="40% - 강조색5 62" xfId="18652"/>
    <cellStyle name="40% - 강조색5 63" xfId="18653"/>
    <cellStyle name="40% - 강조색5 64" xfId="18654"/>
    <cellStyle name="40% - 강조색5 65" xfId="18655"/>
    <cellStyle name="40% - 강조색5 66" xfId="18656"/>
    <cellStyle name="40% - 강조색5 67" xfId="18657"/>
    <cellStyle name="40% - 강조색5 68" xfId="18658"/>
    <cellStyle name="40% - 강조색5 69" xfId="18659"/>
    <cellStyle name="40% - 강조색5 7" xfId="18660"/>
    <cellStyle name="40% - 강조색5 7 10" xfId="18661"/>
    <cellStyle name="40% - 강조색5 7 2" xfId="18662"/>
    <cellStyle name="40% - 강조색5 7 2 2" xfId="18663"/>
    <cellStyle name="40% - 강조색5 7 2 2 2" xfId="18664"/>
    <cellStyle name="40% - 강조색5 7 2 2 2 2" xfId="18665"/>
    <cellStyle name="40% - 강조색5 7 2 2 2 2 2" xfId="18666"/>
    <cellStyle name="40% - 강조색5 7 2 2 2 2 3" xfId="18667"/>
    <cellStyle name="40% - 강조색5 7 2 2 2 3" xfId="18668"/>
    <cellStyle name="40% - 강조색5 7 2 2 2 4" xfId="18669"/>
    <cellStyle name="40% - 강조색5 7 2 2 3" xfId="18670"/>
    <cellStyle name="40% - 강조색5 7 2 2 3 2" xfId="18671"/>
    <cellStyle name="40% - 강조색5 7 2 2 3 3" xfId="18672"/>
    <cellStyle name="40% - 강조색5 7 2 2 4" xfId="18673"/>
    <cellStyle name="40% - 강조색5 7 2 2 5" xfId="18674"/>
    <cellStyle name="40% - 강조색5 7 2 3" xfId="18675"/>
    <cellStyle name="40% - 강조색5 7 2 3 2" xfId="18676"/>
    <cellStyle name="40% - 강조색5 7 2 3 2 2" xfId="18677"/>
    <cellStyle name="40% - 강조색5 7 2 3 2 2 2" xfId="18678"/>
    <cellStyle name="40% - 강조색5 7 2 3 2 2 3" xfId="18679"/>
    <cellStyle name="40% - 강조색5 7 2 3 2 3" xfId="18680"/>
    <cellStyle name="40% - 강조색5 7 2 3 2 4" xfId="18681"/>
    <cellStyle name="40% - 강조색5 7 2 3 3" xfId="18682"/>
    <cellStyle name="40% - 강조색5 7 2 3 3 2" xfId="18683"/>
    <cellStyle name="40% - 강조색5 7 2 3 3 3" xfId="18684"/>
    <cellStyle name="40% - 강조색5 7 2 3 4" xfId="18685"/>
    <cellStyle name="40% - 강조색5 7 2 3 5" xfId="18686"/>
    <cellStyle name="40% - 강조색5 7 2 4" xfId="18687"/>
    <cellStyle name="40% - 강조색5 7 2 4 2" xfId="18688"/>
    <cellStyle name="40% - 강조색5 7 2 4 2 2" xfId="18689"/>
    <cellStyle name="40% - 강조색5 7 2 4 2 3" xfId="18690"/>
    <cellStyle name="40% - 강조색5 7 2 4 3" xfId="18691"/>
    <cellStyle name="40% - 강조색5 7 2 4 4" xfId="18692"/>
    <cellStyle name="40% - 강조색5 7 2 5" xfId="18693"/>
    <cellStyle name="40% - 강조색5 7 2 5 2" xfId="18694"/>
    <cellStyle name="40% - 강조색5 7 2 5 3" xfId="18695"/>
    <cellStyle name="40% - 강조색5 7 2 6" xfId="18696"/>
    <cellStyle name="40% - 강조색5 7 2 7" xfId="18697"/>
    <cellStyle name="40% - 강조색5 7 3" xfId="18698"/>
    <cellStyle name="40% - 강조색5 7 3 2" xfId="18699"/>
    <cellStyle name="40% - 강조색5 7 3 2 2" xfId="18700"/>
    <cellStyle name="40% - 강조색5 7 3 2 2 2" xfId="18701"/>
    <cellStyle name="40% - 강조색5 7 3 2 2 2 2" xfId="18702"/>
    <cellStyle name="40% - 강조색5 7 3 2 2 2 3" xfId="18703"/>
    <cellStyle name="40% - 강조색5 7 3 2 2 3" xfId="18704"/>
    <cellStyle name="40% - 강조색5 7 3 2 2 4" xfId="18705"/>
    <cellStyle name="40% - 강조색5 7 3 2 3" xfId="18706"/>
    <cellStyle name="40% - 강조색5 7 3 2 3 2" xfId="18707"/>
    <cellStyle name="40% - 강조색5 7 3 2 3 3" xfId="18708"/>
    <cellStyle name="40% - 강조색5 7 3 2 4" xfId="18709"/>
    <cellStyle name="40% - 강조색5 7 3 2 5" xfId="18710"/>
    <cellStyle name="40% - 강조색5 7 3 3" xfId="18711"/>
    <cellStyle name="40% - 강조색5 7 3 3 2" xfId="18712"/>
    <cellStyle name="40% - 강조색5 7 3 3 2 2" xfId="18713"/>
    <cellStyle name="40% - 강조색5 7 3 3 2 2 2" xfId="18714"/>
    <cellStyle name="40% - 강조색5 7 3 3 2 2 3" xfId="18715"/>
    <cellStyle name="40% - 강조색5 7 3 3 2 3" xfId="18716"/>
    <cellStyle name="40% - 강조색5 7 3 3 2 4" xfId="18717"/>
    <cellStyle name="40% - 강조색5 7 3 3 3" xfId="18718"/>
    <cellStyle name="40% - 강조색5 7 3 3 3 2" xfId="18719"/>
    <cellStyle name="40% - 강조색5 7 3 3 3 3" xfId="18720"/>
    <cellStyle name="40% - 강조색5 7 3 3 4" xfId="18721"/>
    <cellStyle name="40% - 강조색5 7 3 3 5" xfId="18722"/>
    <cellStyle name="40% - 강조색5 7 3 4" xfId="18723"/>
    <cellStyle name="40% - 강조색5 7 3 4 2" xfId="18724"/>
    <cellStyle name="40% - 강조색5 7 3 4 2 2" xfId="18725"/>
    <cellStyle name="40% - 강조색5 7 3 4 2 3" xfId="18726"/>
    <cellStyle name="40% - 강조색5 7 3 4 3" xfId="18727"/>
    <cellStyle name="40% - 강조색5 7 3 4 4" xfId="18728"/>
    <cellStyle name="40% - 강조색5 7 3 5" xfId="18729"/>
    <cellStyle name="40% - 강조색5 7 3 5 2" xfId="18730"/>
    <cellStyle name="40% - 강조색5 7 3 5 3" xfId="18731"/>
    <cellStyle name="40% - 강조색5 7 3 6" xfId="18732"/>
    <cellStyle name="40% - 강조색5 7 3 7" xfId="18733"/>
    <cellStyle name="40% - 강조색5 7 4" xfId="18734"/>
    <cellStyle name="40% - 강조색5 7 4 2" xfId="18735"/>
    <cellStyle name="40% - 강조색5 7 4 2 2" xfId="18736"/>
    <cellStyle name="40% - 강조색5 7 4 2 2 2" xfId="18737"/>
    <cellStyle name="40% - 강조색5 7 4 2 2 3" xfId="18738"/>
    <cellStyle name="40% - 강조색5 7 4 2 3" xfId="18739"/>
    <cellStyle name="40% - 강조색5 7 4 2 4" xfId="18740"/>
    <cellStyle name="40% - 강조색5 7 4 3" xfId="18741"/>
    <cellStyle name="40% - 강조색5 7 4 3 2" xfId="18742"/>
    <cellStyle name="40% - 강조색5 7 4 3 3" xfId="18743"/>
    <cellStyle name="40% - 강조색5 7 4 4" xfId="18744"/>
    <cellStyle name="40% - 강조색5 7 4 5" xfId="18745"/>
    <cellStyle name="40% - 강조색5 7 5" xfId="18746"/>
    <cellStyle name="40% - 강조색5 7 5 2" xfId="18747"/>
    <cellStyle name="40% - 강조색5 7 5 2 2" xfId="18748"/>
    <cellStyle name="40% - 강조색5 7 5 2 2 2" xfId="18749"/>
    <cellStyle name="40% - 강조색5 7 5 2 2 3" xfId="18750"/>
    <cellStyle name="40% - 강조색5 7 5 2 3" xfId="18751"/>
    <cellStyle name="40% - 강조색5 7 5 2 4" xfId="18752"/>
    <cellStyle name="40% - 강조색5 7 5 3" xfId="18753"/>
    <cellStyle name="40% - 강조색5 7 5 3 2" xfId="18754"/>
    <cellStyle name="40% - 강조색5 7 5 3 3" xfId="18755"/>
    <cellStyle name="40% - 강조색5 7 5 4" xfId="18756"/>
    <cellStyle name="40% - 강조색5 7 5 5" xfId="18757"/>
    <cellStyle name="40% - 강조색5 7 6" xfId="18758"/>
    <cellStyle name="40% - 강조색5 7 6 2" xfId="18759"/>
    <cellStyle name="40% - 강조색5 7 6 2 2" xfId="18760"/>
    <cellStyle name="40% - 강조색5 7 6 2 2 2" xfId="18761"/>
    <cellStyle name="40% - 강조색5 7 6 2 2 3" xfId="18762"/>
    <cellStyle name="40% - 강조색5 7 6 2 3" xfId="18763"/>
    <cellStyle name="40% - 강조색5 7 6 2 4" xfId="18764"/>
    <cellStyle name="40% - 강조색5 7 6 3" xfId="18765"/>
    <cellStyle name="40% - 강조색5 7 6 3 2" xfId="18766"/>
    <cellStyle name="40% - 강조색5 7 6 3 3" xfId="18767"/>
    <cellStyle name="40% - 강조색5 7 6 4" xfId="18768"/>
    <cellStyle name="40% - 강조색5 7 6 5" xfId="18769"/>
    <cellStyle name="40% - 강조색5 7 7" xfId="18770"/>
    <cellStyle name="40% - 강조색5 7 7 2" xfId="18771"/>
    <cellStyle name="40% - 강조색5 7 7 2 2" xfId="18772"/>
    <cellStyle name="40% - 강조색5 7 7 2 3" xfId="18773"/>
    <cellStyle name="40% - 강조색5 7 7 3" xfId="18774"/>
    <cellStyle name="40% - 강조색5 7 7 4" xfId="18775"/>
    <cellStyle name="40% - 강조색5 7 8" xfId="18776"/>
    <cellStyle name="40% - 강조색5 7 8 2" xfId="18777"/>
    <cellStyle name="40% - 강조색5 7 8 3" xfId="18778"/>
    <cellStyle name="40% - 강조색5 7 9" xfId="18779"/>
    <cellStyle name="40% - 강조색5 8" xfId="18780"/>
    <cellStyle name="40% - 강조색5 8 2" xfId="18781"/>
    <cellStyle name="40% - 강조색5 8 2 2" xfId="18782"/>
    <cellStyle name="40% - 강조색5 8 2 2 2" xfId="18783"/>
    <cellStyle name="40% - 강조색5 8 2 2 2 2" xfId="18784"/>
    <cellStyle name="40% - 강조색5 8 2 2 2 3" xfId="18785"/>
    <cellStyle name="40% - 강조색5 8 2 2 3" xfId="18786"/>
    <cellStyle name="40% - 강조색5 8 2 2 4" xfId="18787"/>
    <cellStyle name="40% - 강조색5 8 2 3" xfId="18788"/>
    <cellStyle name="40% - 강조색5 8 2 3 2" xfId="18789"/>
    <cellStyle name="40% - 강조색5 8 2 3 3" xfId="18790"/>
    <cellStyle name="40% - 강조색5 8 2 4" xfId="18791"/>
    <cellStyle name="40% - 강조색5 8 2 5" xfId="18792"/>
    <cellStyle name="40% - 강조색5 8 3" xfId="18793"/>
    <cellStyle name="40% - 강조색5 8 3 2" xfId="18794"/>
    <cellStyle name="40% - 강조색5 8 3 2 2" xfId="18795"/>
    <cellStyle name="40% - 강조색5 8 3 2 2 2" xfId="18796"/>
    <cellStyle name="40% - 강조색5 8 3 2 2 3" xfId="18797"/>
    <cellStyle name="40% - 강조색5 8 3 2 3" xfId="18798"/>
    <cellStyle name="40% - 강조색5 8 3 2 4" xfId="18799"/>
    <cellStyle name="40% - 강조색5 8 3 3" xfId="18800"/>
    <cellStyle name="40% - 강조색5 8 3 3 2" xfId="18801"/>
    <cellStyle name="40% - 강조색5 8 3 3 3" xfId="18802"/>
    <cellStyle name="40% - 강조색5 8 3 4" xfId="18803"/>
    <cellStyle name="40% - 강조색5 8 3 5" xfId="18804"/>
    <cellStyle name="40% - 강조색5 8 4" xfId="18805"/>
    <cellStyle name="40% - 강조색5 8 4 2" xfId="18806"/>
    <cellStyle name="40% - 강조색5 8 4 2 2" xfId="18807"/>
    <cellStyle name="40% - 강조색5 8 4 2 3" xfId="18808"/>
    <cellStyle name="40% - 강조색5 8 4 3" xfId="18809"/>
    <cellStyle name="40% - 강조색5 8 4 4" xfId="18810"/>
    <cellStyle name="40% - 강조색5 8 5" xfId="18811"/>
    <cellStyle name="40% - 강조색5 8 5 2" xfId="18812"/>
    <cellStyle name="40% - 강조색5 8 5 3" xfId="18813"/>
    <cellStyle name="40% - 강조색5 8 6" xfId="18814"/>
    <cellStyle name="40% - 강조색5 8 7" xfId="18815"/>
    <cellStyle name="40% - 강조색5 9" xfId="18816"/>
    <cellStyle name="40% - 강조색5 9 2" xfId="18817"/>
    <cellStyle name="40% - 강조색5 9 2 2" xfId="18818"/>
    <cellStyle name="40% - 강조색5 9 2 2 2" xfId="18819"/>
    <cellStyle name="40% - 강조색5 9 2 2 2 2" xfId="18820"/>
    <cellStyle name="40% - 강조색5 9 2 2 2 3" xfId="18821"/>
    <cellStyle name="40% - 강조색5 9 2 2 3" xfId="18822"/>
    <cellStyle name="40% - 강조색5 9 2 2 4" xfId="18823"/>
    <cellStyle name="40% - 강조색5 9 2 3" xfId="18824"/>
    <cellStyle name="40% - 강조색5 9 2 3 2" xfId="18825"/>
    <cellStyle name="40% - 강조색5 9 2 3 3" xfId="18826"/>
    <cellStyle name="40% - 강조색5 9 2 4" xfId="18827"/>
    <cellStyle name="40% - 강조색5 9 2 5" xfId="18828"/>
    <cellStyle name="40% - 강조색5 9 3" xfId="18829"/>
    <cellStyle name="40% - 강조색5 9 3 2" xfId="18830"/>
    <cellStyle name="40% - 강조색5 9 3 2 2" xfId="18831"/>
    <cellStyle name="40% - 강조색5 9 3 2 2 2" xfId="18832"/>
    <cellStyle name="40% - 강조색5 9 3 2 2 3" xfId="18833"/>
    <cellStyle name="40% - 강조색5 9 3 2 3" xfId="18834"/>
    <cellStyle name="40% - 강조색5 9 3 2 4" xfId="18835"/>
    <cellStyle name="40% - 강조색5 9 3 3" xfId="18836"/>
    <cellStyle name="40% - 강조색5 9 3 3 2" xfId="18837"/>
    <cellStyle name="40% - 강조색5 9 3 3 3" xfId="18838"/>
    <cellStyle name="40% - 강조색5 9 3 4" xfId="18839"/>
    <cellStyle name="40% - 강조색5 9 3 5" xfId="18840"/>
    <cellStyle name="40% - 강조색5 9 4" xfId="18841"/>
    <cellStyle name="40% - 강조색5 9 4 2" xfId="18842"/>
    <cellStyle name="40% - 강조색5 9 4 2 2" xfId="18843"/>
    <cellStyle name="40% - 강조색5 9 4 2 3" xfId="18844"/>
    <cellStyle name="40% - 강조색5 9 4 3" xfId="18845"/>
    <cellStyle name="40% - 강조색5 9 4 4" xfId="18846"/>
    <cellStyle name="40% - 강조색5 9 5" xfId="18847"/>
    <cellStyle name="40% - 강조색5 9 5 2" xfId="18848"/>
    <cellStyle name="40% - 강조색5 9 5 3" xfId="18849"/>
    <cellStyle name="40% - 강조색5 9 6" xfId="18850"/>
    <cellStyle name="40% - 강조색5 9 7" xfId="18851"/>
    <cellStyle name="40% - 강조색6 10" xfId="18852"/>
    <cellStyle name="40% - 강조색6 10 2" xfId="18853"/>
    <cellStyle name="40% - 강조색6 10 2 2" xfId="18854"/>
    <cellStyle name="40% - 강조색6 10 2 2 2" xfId="18855"/>
    <cellStyle name="40% - 강조색6 10 2 2 2 2" xfId="18856"/>
    <cellStyle name="40% - 강조색6 10 2 2 2 3" xfId="18857"/>
    <cellStyle name="40% - 강조색6 10 2 2 3" xfId="18858"/>
    <cellStyle name="40% - 강조색6 10 2 2 4" xfId="18859"/>
    <cellStyle name="40% - 강조색6 10 2 3" xfId="18860"/>
    <cellStyle name="40% - 강조색6 10 2 3 2" xfId="18861"/>
    <cellStyle name="40% - 강조색6 10 2 3 3" xfId="18862"/>
    <cellStyle name="40% - 강조색6 10 2 4" xfId="18863"/>
    <cellStyle name="40% - 강조색6 10 2 5" xfId="18864"/>
    <cellStyle name="40% - 강조색6 10 3" xfId="18865"/>
    <cellStyle name="40% - 강조색6 10 3 2" xfId="18866"/>
    <cellStyle name="40% - 강조색6 10 3 2 2" xfId="18867"/>
    <cellStyle name="40% - 강조색6 10 3 2 2 2" xfId="18868"/>
    <cellStyle name="40% - 강조색6 10 3 2 2 3" xfId="18869"/>
    <cellStyle name="40% - 강조색6 10 3 2 3" xfId="18870"/>
    <cellStyle name="40% - 강조색6 10 3 2 4" xfId="18871"/>
    <cellStyle name="40% - 강조색6 10 3 3" xfId="18872"/>
    <cellStyle name="40% - 강조색6 10 3 3 2" xfId="18873"/>
    <cellStyle name="40% - 강조색6 10 3 3 3" xfId="18874"/>
    <cellStyle name="40% - 강조색6 10 3 4" xfId="18875"/>
    <cellStyle name="40% - 강조색6 10 3 5" xfId="18876"/>
    <cellStyle name="40% - 강조색6 10 4" xfId="18877"/>
    <cellStyle name="40% - 강조색6 10 4 2" xfId="18878"/>
    <cellStyle name="40% - 강조색6 10 4 2 2" xfId="18879"/>
    <cellStyle name="40% - 강조색6 10 4 2 3" xfId="18880"/>
    <cellStyle name="40% - 강조색6 10 4 3" xfId="18881"/>
    <cellStyle name="40% - 강조색6 10 4 4" xfId="18882"/>
    <cellStyle name="40% - 강조색6 10 5" xfId="18883"/>
    <cellStyle name="40% - 강조색6 10 5 2" xfId="18884"/>
    <cellStyle name="40% - 강조색6 10 5 3" xfId="18885"/>
    <cellStyle name="40% - 강조색6 10 6" xfId="18886"/>
    <cellStyle name="40% - 강조색6 10 7" xfId="18887"/>
    <cellStyle name="40% - 강조색6 11" xfId="18888"/>
    <cellStyle name="40% - 강조색6 11 2" xfId="18889"/>
    <cellStyle name="40% - 강조색6 11 2 2" xfId="18890"/>
    <cellStyle name="40% - 강조색6 11 2 2 2" xfId="18891"/>
    <cellStyle name="40% - 강조색6 11 2 2 3" xfId="18892"/>
    <cellStyle name="40% - 강조색6 11 2 3" xfId="18893"/>
    <cellStyle name="40% - 강조색6 11 2 4" xfId="18894"/>
    <cellStyle name="40% - 강조색6 11 3" xfId="18895"/>
    <cellStyle name="40% - 강조색6 11 3 2" xfId="18896"/>
    <cellStyle name="40% - 강조색6 11 3 3" xfId="18897"/>
    <cellStyle name="40% - 강조색6 11 4" xfId="18898"/>
    <cellStyle name="40% - 강조색6 11 5" xfId="18899"/>
    <cellStyle name="40% - 강조색6 12" xfId="18900"/>
    <cellStyle name="40% - 강조색6 12 2" xfId="18901"/>
    <cellStyle name="40% - 강조색6 12 2 2" xfId="18902"/>
    <cellStyle name="40% - 강조색6 12 2 2 2" xfId="18903"/>
    <cellStyle name="40% - 강조색6 12 2 2 3" xfId="18904"/>
    <cellStyle name="40% - 강조색6 12 2 3" xfId="18905"/>
    <cellStyle name="40% - 강조색6 12 2 4" xfId="18906"/>
    <cellStyle name="40% - 강조색6 12 3" xfId="18907"/>
    <cellStyle name="40% - 강조색6 12 3 2" xfId="18908"/>
    <cellStyle name="40% - 강조색6 12 3 3" xfId="18909"/>
    <cellStyle name="40% - 강조색6 12 4" xfId="18910"/>
    <cellStyle name="40% - 강조색6 12 5" xfId="18911"/>
    <cellStyle name="40% - 강조색6 13" xfId="18912"/>
    <cellStyle name="40% - 강조색6 13 2" xfId="18913"/>
    <cellStyle name="40% - 강조색6 13 2 2" xfId="18914"/>
    <cellStyle name="40% - 강조색6 13 2 3" xfId="18915"/>
    <cellStyle name="40% - 강조색6 13 3" xfId="18916"/>
    <cellStyle name="40% - 강조색6 13 4" xfId="18917"/>
    <cellStyle name="40% - 강조색6 14" xfId="18918"/>
    <cellStyle name="40% - 강조색6 14 2" xfId="18919"/>
    <cellStyle name="40% - 강조색6 14 2 2" xfId="18920"/>
    <cellStyle name="40% - 강조색6 14 2 3" xfId="18921"/>
    <cellStyle name="40% - 강조색6 14 3" xfId="18922"/>
    <cellStyle name="40% - 강조색6 14 4" xfId="18923"/>
    <cellStyle name="40% - 강조색6 15" xfId="18924"/>
    <cellStyle name="40% - 강조색6 15 2" xfId="18925"/>
    <cellStyle name="40% - 강조색6 15 3" xfId="18926"/>
    <cellStyle name="40% - 강조색6 16" xfId="18927"/>
    <cellStyle name="40% - 강조색6 16 2" xfId="18928"/>
    <cellStyle name="40% - 강조색6 16 3" xfId="18929"/>
    <cellStyle name="40% - 강조색6 16 4" xfId="18930"/>
    <cellStyle name="40% - 강조색6 17" xfId="18931"/>
    <cellStyle name="40% - 강조색6 17 2" xfId="18932"/>
    <cellStyle name="40% - 강조색6 17 3" xfId="18933"/>
    <cellStyle name="40% - 강조색6 18" xfId="18934"/>
    <cellStyle name="40% - 강조색6 18 2" xfId="18935"/>
    <cellStyle name="40% - 강조색6 18 3" xfId="18936"/>
    <cellStyle name="40% - 강조색6 19" xfId="18937"/>
    <cellStyle name="40% - 강조색6 19 2" xfId="18938"/>
    <cellStyle name="40% - 강조색6 19 3" xfId="18939"/>
    <cellStyle name="40% - 강조색6 2" xfId="18940"/>
    <cellStyle name="40% - 강조색6 2 2" xfId="18941"/>
    <cellStyle name="40% - 강조색6 2 2 2" xfId="18942"/>
    <cellStyle name="40% - 강조색6 2 2 2 2" xfId="18943"/>
    <cellStyle name="40% - 강조색6 2 2 3" xfId="18944"/>
    <cellStyle name="40% - 강조색6 2 3" xfId="18945"/>
    <cellStyle name="40% - 강조색6 2 3 2" xfId="18946"/>
    <cellStyle name="40% - 강조색6 2 3 2 2" xfId="18947"/>
    <cellStyle name="40% - 강조색6 2 3 3" xfId="18948"/>
    <cellStyle name="40% - 강조색6 2 4" xfId="18949"/>
    <cellStyle name="40% - 강조색6 2 4 2" xfId="18950"/>
    <cellStyle name="40% - 강조색6 2 5" xfId="18951"/>
    <cellStyle name="40% - 강조색6 2 6" xfId="18952"/>
    <cellStyle name="40% - 강조색6 20" xfId="18953"/>
    <cellStyle name="40% - 강조색6 20 2" xfId="18954"/>
    <cellStyle name="40% - 강조색6 20 3" xfId="18955"/>
    <cellStyle name="40% - 강조색6 21" xfId="18956"/>
    <cellStyle name="40% - 강조색6 21 2" xfId="18957"/>
    <cellStyle name="40% - 강조색6 21 3" xfId="18958"/>
    <cellStyle name="40% - 강조색6 22" xfId="18959"/>
    <cellStyle name="40% - 강조색6 22 2" xfId="18960"/>
    <cellStyle name="40% - 강조색6 22 3" xfId="18961"/>
    <cellStyle name="40% - 강조색6 23" xfId="18962"/>
    <cellStyle name="40% - 강조색6 23 2" xfId="18963"/>
    <cellStyle name="40% - 강조색6 23 3" xfId="18964"/>
    <cellStyle name="40% - 강조색6 24" xfId="18965"/>
    <cellStyle name="40% - 강조색6 24 2" xfId="18966"/>
    <cellStyle name="40% - 강조색6 25" xfId="18967"/>
    <cellStyle name="40% - 강조색6 25 2" xfId="18968"/>
    <cellStyle name="40% - 강조색6 26" xfId="18969"/>
    <cellStyle name="40% - 강조색6 26 2" xfId="18970"/>
    <cellStyle name="40% - 강조색6 27" xfId="18971"/>
    <cellStyle name="40% - 강조색6 27 2" xfId="18972"/>
    <cellStyle name="40% - 강조색6 28" xfId="18973"/>
    <cellStyle name="40% - 강조색6 28 2" xfId="18974"/>
    <cellStyle name="40% - 강조색6 29" xfId="18975"/>
    <cellStyle name="40% - 강조색6 29 2" xfId="18976"/>
    <cellStyle name="40% - 강조색6 3" xfId="18977"/>
    <cellStyle name="40% - 강조색6 3 10" xfId="18978"/>
    <cellStyle name="40% - 강조색6 3 10 2" xfId="18979"/>
    <cellStyle name="40% - 강조색6 3 10 2 2" xfId="18980"/>
    <cellStyle name="40% - 강조색6 3 10 2 3" xfId="18981"/>
    <cellStyle name="40% - 강조색6 3 10 3" xfId="18982"/>
    <cellStyle name="40% - 강조색6 3 10 4" xfId="18983"/>
    <cellStyle name="40% - 강조색6 3 11" xfId="18984"/>
    <cellStyle name="40% - 강조색6 3 11 2" xfId="18985"/>
    <cellStyle name="40% - 강조색6 3 11 3" xfId="18986"/>
    <cellStyle name="40% - 강조색6 3 12" xfId="18987"/>
    <cellStyle name="40% - 강조색6 3 13" xfId="18988"/>
    <cellStyle name="40% - 강조색6 3 14" xfId="18989"/>
    <cellStyle name="40% - 강조색6 3 15" xfId="18990"/>
    <cellStyle name="40% - 강조색6 3 2" xfId="18991"/>
    <cellStyle name="40% - 강조색6 3 2 10" xfId="18992"/>
    <cellStyle name="40% - 강조색6 3 2 11" xfId="18993"/>
    <cellStyle name="40% - 강조색6 3 2 12" xfId="18994"/>
    <cellStyle name="40% - 강조색6 3 2 2" xfId="18995"/>
    <cellStyle name="40% - 강조색6 3 2 2 2" xfId="18996"/>
    <cellStyle name="40% - 강조색6 3 2 2 2 2" xfId="18997"/>
    <cellStyle name="40% - 강조색6 3 2 2 2 2 2" xfId="18998"/>
    <cellStyle name="40% - 강조색6 3 2 2 2 2 2 2" xfId="18999"/>
    <cellStyle name="40% - 강조색6 3 2 2 2 2 2 3" xfId="19000"/>
    <cellStyle name="40% - 강조색6 3 2 2 2 2 3" xfId="19001"/>
    <cellStyle name="40% - 강조색6 3 2 2 2 2 4" xfId="19002"/>
    <cellStyle name="40% - 강조색6 3 2 2 2 3" xfId="19003"/>
    <cellStyle name="40% - 강조색6 3 2 2 2 3 2" xfId="19004"/>
    <cellStyle name="40% - 강조색6 3 2 2 2 3 3" xfId="19005"/>
    <cellStyle name="40% - 강조색6 3 2 2 2 4" xfId="19006"/>
    <cellStyle name="40% - 강조색6 3 2 2 2 5" xfId="19007"/>
    <cellStyle name="40% - 강조색6 3 2 2 3" xfId="19008"/>
    <cellStyle name="40% - 강조색6 3 2 2 3 2" xfId="19009"/>
    <cellStyle name="40% - 강조색6 3 2 2 3 2 2" xfId="19010"/>
    <cellStyle name="40% - 강조색6 3 2 2 3 2 2 2" xfId="19011"/>
    <cellStyle name="40% - 강조색6 3 2 2 3 2 2 3" xfId="19012"/>
    <cellStyle name="40% - 강조색6 3 2 2 3 2 3" xfId="19013"/>
    <cellStyle name="40% - 강조색6 3 2 2 3 2 4" xfId="19014"/>
    <cellStyle name="40% - 강조색6 3 2 2 3 3" xfId="19015"/>
    <cellStyle name="40% - 강조색6 3 2 2 3 3 2" xfId="19016"/>
    <cellStyle name="40% - 강조색6 3 2 2 3 3 3" xfId="19017"/>
    <cellStyle name="40% - 강조색6 3 2 2 3 4" xfId="19018"/>
    <cellStyle name="40% - 강조색6 3 2 2 3 5" xfId="19019"/>
    <cellStyle name="40% - 강조색6 3 2 2 4" xfId="19020"/>
    <cellStyle name="40% - 강조색6 3 2 2 4 2" xfId="19021"/>
    <cellStyle name="40% - 강조색6 3 2 2 4 2 2" xfId="19022"/>
    <cellStyle name="40% - 강조색6 3 2 2 4 2 3" xfId="19023"/>
    <cellStyle name="40% - 강조색6 3 2 2 4 3" xfId="19024"/>
    <cellStyle name="40% - 강조색6 3 2 2 4 4" xfId="19025"/>
    <cellStyle name="40% - 강조색6 3 2 2 5" xfId="19026"/>
    <cellStyle name="40% - 강조색6 3 2 2 5 2" xfId="19027"/>
    <cellStyle name="40% - 강조색6 3 2 2 5 3" xfId="19028"/>
    <cellStyle name="40% - 강조색6 3 2 2 6" xfId="19029"/>
    <cellStyle name="40% - 강조색6 3 2 2 7" xfId="19030"/>
    <cellStyle name="40% - 강조색6 3 2 2 8" xfId="19031"/>
    <cellStyle name="40% - 강조색6 3 2 2 9" xfId="19032"/>
    <cellStyle name="40% - 강조색6 3 2 3" xfId="19033"/>
    <cellStyle name="40% - 강조색6 3 2 3 2" xfId="19034"/>
    <cellStyle name="40% - 강조색6 3 2 3 2 2" xfId="19035"/>
    <cellStyle name="40% - 강조색6 3 2 3 2 2 2" xfId="19036"/>
    <cellStyle name="40% - 강조색6 3 2 3 2 2 2 2" xfId="19037"/>
    <cellStyle name="40% - 강조색6 3 2 3 2 2 2 3" xfId="19038"/>
    <cellStyle name="40% - 강조색6 3 2 3 2 2 3" xfId="19039"/>
    <cellStyle name="40% - 강조색6 3 2 3 2 2 4" xfId="19040"/>
    <cellStyle name="40% - 강조색6 3 2 3 2 3" xfId="19041"/>
    <cellStyle name="40% - 강조색6 3 2 3 2 3 2" xfId="19042"/>
    <cellStyle name="40% - 강조색6 3 2 3 2 3 3" xfId="19043"/>
    <cellStyle name="40% - 강조색6 3 2 3 2 4" xfId="19044"/>
    <cellStyle name="40% - 강조색6 3 2 3 2 5" xfId="19045"/>
    <cellStyle name="40% - 강조색6 3 2 3 3" xfId="19046"/>
    <cellStyle name="40% - 강조색6 3 2 3 3 2" xfId="19047"/>
    <cellStyle name="40% - 강조색6 3 2 3 3 2 2" xfId="19048"/>
    <cellStyle name="40% - 강조색6 3 2 3 3 2 2 2" xfId="19049"/>
    <cellStyle name="40% - 강조색6 3 2 3 3 2 2 3" xfId="19050"/>
    <cellStyle name="40% - 강조색6 3 2 3 3 2 3" xfId="19051"/>
    <cellStyle name="40% - 강조색6 3 2 3 3 2 4" xfId="19052"/>
    <cellStyle name="40% - 강조색6 3 2 3 3 3" xfId="19053"/>
    <cellStyle name="40% - 강조색6 3 2 3 3 3 2" xfId="19054"/>
    <cellStyle name="40% - 강조색6 3 2 3 3 3 3" xfId="19055"/>
    <cellStyle name="40% - 강조색6 3 2 3 3 4" xfId="19056"/>
    <cellStyle name="40% - 강조색6 3 2 3 3 5" xfId="19057"/>
    <cellStyle name="40% - 강조색6 3 2 3 4" xfId="19058"/>
    <cellStyle name="40% - 강조색6 3 2 3 4 2" xfId="19059"/>
    <cellStyle name="40% - 강조색6 3 2 3 4 2 2" xfId="19060"/>
    <cellStyle name="40% - 강조색6 3 2 3 4 2 3" xfId="19061"/>
    <cellStyle name="40% - 강조색6 3 2 3 4 3" xfId="19062"/>
    <cellStyle name="40% - 강조색6 3 2 3 4 4" xfId="19063"/>
    <cellStyle name="40% - 강조색6 3 2 3 5" xfId="19064"/>
    <cellStyle name="40% - 강조색6 3 2 3 5 2" xfId="19065"/>
    <cellStyle name="40% - 강조색6 3 2 3 5 3" xfId="19066"/>
    <cellStyle name="40% - 강조색6 3 2 3 6" xfId="19067"/>
    <cellStyle name="40% - 강조색6 3 2 3 7" xfId="19068"/>
    <cellStyle name="40% - 강조색6 3 2 4" xfId="19069"/>
    <cellStyle name="40% - 강조색6 3 2 4 2" xfId="19070"/>
    <cellStyle name="40% - 강조색6 3 2 4 2 2" xfId="19071"/>
    <cellStyle name="40% - 강조색6 3 2 4 2 2 2" xfId="19072"/>
    <cellStyle name="40% - 강조색6 3 2 4 2 2 3" xfId="19073"/>
    <cellStyle name="40% - 강조색6 3 2 4 2 3" xfId="19074"/>
    <cellStyle name="40% - 강조색6 3 2 4 2 4" xfId="19075"/>
    <cellStyle name="40% - 강조색6 3 2 4 3" xfId="19076"/>
    <cellStyle name="40% - 강조색6 3 2 4 3 2" xfId="19077"/>
    <cellStyle name="40% - 강조색6 3 2 4 3 3" xfId="19078"/>
    <cellStyle name="40% - 강조색6 3 2 4 4" xfId="19079"/>
    <cellStyle name="40% - 강조색6 3 2 4 5" xfId="19080"/>
    <cellStyle name="40% - 강조색6 3 2 5" xfId="19081"/>
    <cellStyle name="40% - 강조색6 3 2 5 2" xfId="19082"/>
    <cellStyle name="40% - 강조색6 3 2 5 2 2" xfId="19083"/>
    <cellStyle name="40% - 강조색6 3 2 5 2 2 2" xfId="19084"/>
    <cellStyle name="40% - 강조색6 3 2 5 2 2 3" xfId="19085"/>
    <cellStyle name="40% - 강조색6 3 2 5 2 3" xfId="19086"/>
    <cellStyle name="40% - 강조색6 3 2 5 2 4" xfId="19087"/>
    <cellStyle name="40% - 강조색6 3 2 5 3" xfId="19088"/>
    <cellStyle name="40% - 강조색6 3 2 5 3 2" xfId="19089"/>
    <cellStyle name="40% - 강조색6 3 2 5 3 3" xfId="19090"/>
    <cellStyle name="40% - 강조색6 3 2 5 4" xfId="19091"/>
    <cellStyle name="40% - 강조색6 3 2 5 5" xfId="19092"/>
    <cellStyle name="40% - 강조색6 3 2 6" xfId="19093"/>
    <cellStyle name="40% - 강조색6 3 2 6 2" xfId="19094"/>
    <cellStyle name="40% - 강조색6 3 2 6 2 2" xfId="19095"/>
    <cellStyle name="40% - 강조색6 3 2 6 2 2 2" xfId="19096"/>
    <cellStyle name="40% - 강조색6 3 2 6 2 2 3" xfId="19097"/>
    <cellStyle name="40% - 강조색6 3 2 6 2 3" xfId="19098"/>
    <cellStyle name="40% - 강조색6 3 2 6 2 4" xfId="19099"/>
    <cellStyle name="40% - 강조색6 3 2 6 3" xfId="19100"/>
    <cellStyle name="40% - 강조색6 3 2 6 3 2" xfId="19101"/>
    <cellStyle name="40% - 강조색6 3 2 6 3 3" xfId="19102"/>
    <cellStyle name="40% - 강조색6 3 2 6 4" xfId="19103"/>
    <cellStyle name="40% - 강조색6 3 2 6 5" xfId="19104"/>
    <cellStyle name="40% - 강조색6 3 2 7" xfId="19105"/>
    <cellStyle name="40% - 강조색6 3 2 7 2" xfId="19106"/>
    <cellStyle name="40% - 강조색6 3 2 7 2 2" xfId="19107"/>
    <cellStyle name="40% - 강조색6 3 2 7 2 3" xfId="19108"/>
    <cellStyle name="40% - 강조색6 3 2 7 3" xfId="19109"/>
    <cellStyle name="40% - 강조색6 3 2 7 4" xfId="19110"/>
    <cellStyle name="40% - 강조색6 3 2 8" xfId="19111"/>
    <cellStyle name="40% - 강조색6 3 2 8 2" xfId="19112"/>
    <cellStyle name="40% - 강조색6 3 2 8 3" xfId="19113"/>
    <cellStyle name="40% - 강조색6 3 2 9" xfId="19114"/>
    <cellStyle name="40% - 강조색6 3 3" xfId="19115"/>
    <cellStyle name="40% - 강조색6 3 3 10" xfId="19116"/>
    <cellStyle name="40% - 강조색6 3 3 11" xfId="19117"/>
    <cellStyle name="40% - 강조색6 3 3 12" xfId="19118"/>
    <cellStyle name="40% - 강조색6 3 3 2" xfId="19119"/>
    <cellStyle name="40% - 강조색6 3 3 2 2" xfId="19120"/>
    <cellStyle name="40% - 강조색6 3 3 2 2 2" xfId="19121"/>
    <cellStyle name="40% - 강조색6 3 3 2 2 2 2" xfId="19122"/>
    <cellStyle name="40% - 강조색6 3 3 2 2 2 2 2" xfId="19123"/>
    <cellStyle name="40% - 강조색6 3 3 2 2 2 2 3" xfId="19124"/>
    <cellStyle name="40% - 강조색6 3 3 2 2 2 3" xfId="19125"/>
    <cellStyle name="40% - 강조색6 3 3 2 2 2 4" xfId="19126"/>
    <cellStyle name="40% - 강조색6 3 3 2 2 3" xfId="19127"/>
    <cellStyle name="40% - 강조색6 3 3 2 2 3 2" xfId="19128"/>
    <cellStyle name="40% - 강조색6 3 3 2 2 3 3" xfId="19129"/>
    <cellStyle name="40% - 강조색6 3 3 2 2 4" xfId="19130"/>
    <cellStyle name="40% - 강조색6 3 3 2 2 5" xfId="19131"/>
    <cellStyle name="40% - 강조색6 3 3 2 3" xfId="19132"/>
    <cellStyle name="40% - 강조색6 3 3 2 3 2" xfId="19133"/>
    <cellStyle name="40% - 강조색6 3 3 2 3 2 2" xfId="19134"/>
    <cellStyle name="40% - 강조색6 3 3 2 3 2 2 2" xfId="19135"/>
    <cellStyle name="40% - 강조색6 3 3 2 3 2 2 3" xfId="19136"/>
    <cellStyle name="40% - 강조색6 3 3 2 3 2 3" xfId="19137"/>
    <cellStyle name="40% - 강조색6 3 3 2 3 2 4" xfId="19138"/>
    <cellStyle name="40% - 강조색6 3 3 2 3 3" xfId="19139"/>
    <cellStyle name="40% - 강조색6 3 3 2 3 3 2" xfId="19140"/>
    <cellStyle name="40% - 강조색6 3 3 2 3 3 3" xfId="19141"/>
    <cellStyle name="40% - 강조색6 3 3 2 3 4" xfId="19142"/>
    <cellStyle name="40% - 강조색6 3 3 2 3 5" xfId="19143"/>
    <cellStyle name="40% - 강조색6 3 3 2 4" xfId="19144"/>
    <cellStyle name="40% - 강조색6 3 3 2 4 2" xfId="19145"/>
    <cellStyle name="40% - 강조색6 3 3 2 4 2 2" xfId="19146"/>
    <cellStyle name="40% - 강조색6 3 3 2 4 2 3" xfId="19147"/>
    <cellStyle name="40% - 강조색6 3 3 2 4 3" xfId="19148"/>
    <cellStyle name="40% - 강조색6 3 3 2 4 4" xfId="19149"/>
    <cellStyle name="40% - 강조색6 3 3 2 5" xfId="19150"/>
    <cellStyle name="40% - 강조색6 3 3 2 5 2" xfId="19151"/>
    <cellStyle name="40% - 강조색6 3 3 2 5 3" xfId="19152"/>
    <cellStyle name="40% - 강조색6 3 3 2 6" xfId="19153"/>
    <cellStyle name="40% - 강조색6 3 3 2 7" xfId="19154"/>
    <cellStyle name="40% - 강조색6 3 3 2 8" xfId="19155"/>
    <cellStyle name="40% - 강조색6 3 3 2 9" xfId="19156"/>
    <cellStyle name="40% - 강조색6 3 3 3" xfId="19157"/>
    <cellStyle name="40% - 강조색6 3 3 3 2" xfId="19158"/>
    <cellStyle name="40% - 강조색6 3 3 3 2 2" xfId="19159"/>
    <cellStyle name="40% - 강조색6 3 3 3 2 2 2" xfId="19160"/>
    <cellStyle name="40% - 강조색6 3 3 3 2 2 2 2" xfId="19161"/>
    <cellStyle name="40% - 강조색6 3 3 3 2 2 2 3" xfId="19162"/>
    <cellStyle name="40% - 강조색6 3 3 3 2 2 3" xfId="19163"/>
    <cellStyle name="40% - 강조색6 3 3 3 2 2 4" xfId="19164"/>
    <cellStyle name="40% - 강조색6 3 3 3 2 3" xfId="19165"/>
    <cellStyle name="40% - 강조색6 3 3 3 2 3 2" xfId="19166"/>
    <cellStyle name="40% - 강조색6 3 3 3 2 3 3" xfId="19167"/>
    <cellStyle name="40% - 강조색6 3 3 3 2 4" xfId="19168"/>
    <cellStyle name="40% - 강조색6 3 3 3 2 5" xfId="19169"/>
    <cellStyle name="40% - 강조색6 3 3 3 3" xfId="19170"/>
    <cellStyle name="40% - 강조색6 3 3 3 3 2" xfId="19171"/>
    <cellStyle name="40% - 강조색6 3 3 3 3 2 2" xfId="19172"/>
    <cellStyle name="40% - 강조색6 3 3 3 3 2 2 2" xfId="19173"/>
    <cellStyle name="40% - 강조색6 3 3 3 3 2 2 3" xfId="19174"/>
    <cellStyle name="40% - 강조색6 3 3 3 3 2 3" xfId="19175"/>
    <cellStyle name="40% - 강조색6 3 3 3 3 2 4" xfId="19176"/>
    <cellStyle name="40% - 강조색6 3 3 3 3 3" xfId="19177"/>
    <cellStyle name="40% - 강조색6 3 3 3 3 3 2" xfId="19178"/>
    <cellStyle name="40% - 강조색6 3 3 3 3 3 3" xfId="19179"/>
    <cellStyle name="40% - 강조색6 3 3 3 3 4" xfId="19180"/>
    <cellStyle name="40% - 강조색6 3 3 3 3 5" xfId="19181"/>
    <cellStyle name="40% - 강조색6 3 3 3 4" xfId="19182"/>
    <cellStyle name="40% - 강조색6 3 3 3 4 2" xfId="19183"/>
    <cellStyle name="40% - 강조색6 3 3 3 4 2 2" xfId="19184"/>
    <cellStyle name="40% - 강조색6 3 3 3 4 2 3" xfId="19185"/>
    <cellStyle name="40% - 강조색6 3 3 3 4 3" xfId="19186"/>
    <cellStyle name="40% - 강조색6 3 3 3 4 4" xfId="19187"/>
    <cellStyle name="40% - 강조색6 3 3 3 5" xfId="19188"/>
    <cellStyle name="40% - 강조색6 3 3 3 5 2" xfId="19189"/>
    <cellStyle name="40% - 강조색6 3 3 3 5 3" xfId="19190"/>
    <cellStyle name="40% - 강조색6 3 3 3 6" xfId="19191"/>
    <cellStyle name="40% - 강조색6 3 3 3 7" xfId="19192"/>
    <cellStyle name="40% - 강조색6 3 3 4" xfId="19193"/>
    <cellStyle name="40% - 강조색6 3 3 4 2" xfId="19194"/>
    <cellStyle name="40% - 강조색6 3 3 4 2 2" xfId="19195"/>
    <cellStyle name="40% - 강조색6 3 3 4 2 2 2" xfId="19196"/>
    <cellStyle name="40% - 강조색6 3 3 4 2 2 3" xfId="19197"/>
    <cellStyle name="40% - 강조색6 3 3 4 2 3" xfId="19198"/>
    <cellStyle name="40% - 강조색6 3 3 4 2 4" xfId="19199"/>
    <cellStyle name="40% - 강조색6 3 3 4 3" xfId="19200"/>
    <cellStyle name="40% - 강조색6 3 3 4 3 2" xfId="19201"/>
    <cellStyle name="40% - 강조색6 3 3 4 3 3" xfId="19202"/>
    <cellStyle name="40% - 강조색6 3 3 4 4" xfId="19203"/>
    <cellStyle name="40% - 강조색6 3 3 4 5" xfId="19204"/>
    <cellStyle name="40% - 강조색6 3 3 5" xfId="19205"/>
    <cellStyle name="40% - 강조색6 3 3 5 2" xfId="19206"/>
    <cellStyle name="40% - 강조색6 3 3 5 2 2" xfId="19207"/>
    <cellStyle name="40% - 강조색6 3 3 5 2 2 2" xfId="19208"/>
    <cellStyle name="40% - 강조색6 3 3 5 2 2 3" xfId="19209"/>
    <cellStyle name="40% - 강조색6 3 3 5 2 3" xfId="19210"/>
    <cellStyle name="40% - 강조색6 3 3 5 2 4" xfId="19211"/>
    <cellStyle name="40% - 강조색6 3 3 5 3" xfId="19212"/>
    <cellStyle name="40% - 강조색6 3 3 5 3 2" xfId="19213"/>
    <cellStyle name="40% - 강조색6 3 3 5 3 3" xfId="19214"/>
    <cellStyle name="40% - 강조색6 3 3 5 4" xfId="19215"/>
    <cellStyle name="40% - 강조색6 3 3 5 5" xfId="19216"/>
    <cellStyle name="40% - 강조색6 3 3 6" xfId="19217"/>
    <cellStyle name="40% - 강조색6 3 3 6 2" xfId="19218"/>
    <cellStyle name="40% - 강조색6 3 3 6 2 2" xfId="19219"/>
    <cellStyle name="40% - 강조색6 3 3 6 2 2 2" xfId="19220"/>
    <cellStyle name="40% - 강조색6 3 3 6 2 2 3" xfId="19221"/>
    <cellStyle name="40% - 강조색6 3 3 6 2 3" xfId="19222"/>
    <cellStyle name="40% - 강조색6 3 3 6 2 4" xfId="19223"/>
    <cellStyle name="40% - 강조색6 3 3 6 3" xfId="19224"/>
    <cellStyle name="40% - 강조색6 3 3 6 3 2" xfId="19225"/>
    <cellStyle name="40% - 강조색6 3 3 6 3 3" xfId="19226"/>
    <cellStyle name="40% - 강조색6 3 3 6 4" xfId="19227"/>
    <cellStyle name="40% - 강조색6 3 3 6 5" xfId="19228"/>
    <cellStyle name="40% - 강조색6 3 3 7" xfId="19229"/>
    <cellStyle name="40% - 강조색6 3 3 7 2" xfId="19230"/>
    <cellStyle name="40% - 강조색6 3 3 7 2 2" xfId="19231"/>
    <cellStyle name="40% - 강조색6 3 3 7 2 3" xfId="19232"/>
    <cellStyle name="40% - 강조색6 3 3 7 3" xfId="19233"/>
    <cellStyle name="40% - 강조색6 3 3 7 4" xfId="19234"/>
    <cellStyle name="40% - 강조색6 3 3 8" xfId="19235"/>
    <cellStyle name="40% - 강조색6 3 3 8 2" xfId="19236"/>
    <cellStyle name="40% - 강조색6 3 3 8 3" xfId="19237"/>
    <cellStyle name="40% - 강조색6 3 3 9" xfId="19238"/>
    <cellStyle name="40% - 강조색6 3 4" xfId="19239"/>
    <cellStyle name="40% - 강조색6 3 4 10" xfId="19240"/>
    <cellStyle name="40% - 강조색6 3 4 11" xfId="19241"/>
    <cellStyle name="40% - 강조색6 3 4 12" xfId="19242"/>
    <cellStyle name="40% - 강조색6 3 4 2" xfId="19243"/>
    <cellStyle name="40% - 강조색6 3 4 2 2" xfId="19244"/>
    <cellStyle name="40% - 강조색6 3 4 2 2 2" xfId="19245"/>
    <cellStyle name="40% - 강조색6 3 4 2 2 2 2" xfId="19246"/>
    <cellStyle name="40% - 강조색6 3 4 2 2 2 2 2" xfId="19247"/>
    <cellStyle name="40% - 강조색6 3 4 2 2 2 2 3" xfId="19248"/>
    <cellStyle name="40% - 강조색6 3 4 2 2 2 3" xfId="19249"/>
    <cellStyle name="40% - 강조색6 3 4 2 2 2 4" xfId="19250"/>
    <cellStyle name="40% - 강조색6 3 4 2 2 3" xfId="19251"/>
    <cellStyle name="40% - 강조색6 3 4 2 2 3 2" xfId="19252"/>
    <cellStyle name="40% - 강조색6 3 4 2 2 3 3" xfId="19253"/>
    <cellStyle name="40% - 강조색6 3 4 2 2 4" xfId="19254"/>
    <cellStyle name="40% - 강조색6 3 4 2 2 5" xfId="19255"/>
    <cellStyle name="40% - 강조색6 3 4 2 3" xfId="19256"/>
    <cellStyle name="40% - 강조색6 3 4 2 3 2" xfId="19257"/>
    <cellStyle name="40% - 강조색6 3 4 2 3 2 2" xfId="19258"/>
    <cellStyle name="40% - 강조색6 3 4 2 3 2 2 2" xfId="19259"/>
    <cellStyle name="40% - 강조색6 3 4 2 3 2 2 3" xfId="19260"/>
    <cellStyle name="40% - 강조색6 3 4 2 3 2 3" xfId="19261"/>
    <cellStyle name="40% - 강조색6 3 4 2 3 2 4" xfId="19262"/>
    <cellStyle name="40% - 강조색6 3 4 2 3 3" xfId="19263"/>
    <cellStyle name="40% - 강조색6 3 4 2 3 3 2" xfId="19264"/>
    <cellStyle name="40% - 강조색6 3 4 2 3 3 3" xfId="19265"/>
    <cellStyle name="40% - 강조색6 3 4 2 3 4" xfId="19266"/>
    <cellStyle name="40% - 강조색6 3 4 2 3 5" xfId="19267"/>
    <cellStyle name="40% - 강조색6 3 4 2 4" xfId="19268"/>
    <cellStyle name="40% - 강조색6 3 4 2 4 2" xfId="19269"/>
    <cellStyle name="40% - 강조색6 3 4 2 4 2 2" xfId="19270"/>
    <cellStyle name="40% - 강조색6 3 4 2 4 2 3" xfId="19271"/>
    <cellStyle name="40% - 강조색6 3 4 2 4 3" xfId="19272"/>
    <cellStyle name="40% - 강조색6 3 4 2 4 4" xfId="19273"/>
    <cellStyle name="40% - 강조색6 3 4 2 5" xfId="19274"/>
    <cellStyle name="40% - 강조색6 3 4 2 5 2" xfId="19275"/>
    <cellStyle name="40% - 강조색6 3 4 2 5 3" xfId="19276"/>
    <cellStyle name="40% - 강조색6 3 4 2 6" xfId="19277"/>
    <cellStyle name="40% - 강조색6 3 4 2 7" xfId="19278"/>
    <cellStyle name="40% - 강조색6 3 4 3" xfId="19279"/>
    <cellStyle name="40% - 강조색6 3 4 3 2" xfId="19280"/>
    <cellStyle name="40% - 강조색6 3 4 3 2 2" xfId="19281"/>
    <cellStyle name="40% - 강조색6 3 4 3 2 2 2" xfId="19282"/>
    <cellStyle name="40% - 강조색6 3 4 3 2 2 2 2" xfId="19283"/>
    <cellStyle name="40% - 강조색6 3 4 3 2 2 2 3" xfId="19284"/>
    <cellStyle name="40% - 강조색6 3 4 3 2 2 3" xfId="19285"/>
    <cellStyle name="40% - 강조색6 3 4 3 2 2 4" xfId="19286"/>
    <cellStyle name="40% - 강조색6 3 4 3 2 3" xfId="19287"/>
    <cellStyle name="40% - 강조색6 3 4 3 2 3 2" xfId="19288"/>
    <cellStyle name="40% - 강조색6 3 4 3 2 3 3" xfId="19289"/>
    <cellStyle name="40% - 강조색6 3 4 3 2 4" xfId="19290"/>
    <cellStyle name="40% - 강조색6 3 4 3 2 5" xfId="19291"/>
    <cellStyle name="40% - 강조색6 3 4 3 3" xfId="19292"/>
    <cellStyle name="40% - 강조색6 3 4 3 3 2" xfId="19293"/>
    <cellStyle name="40% - 강조색6 3 4 3 3 2 2" xfId="19294"/>
    <cellStyle name="40% - 강조색6 3 4 3 3 2 2 2" xfId="19295"/>
    <cellStyle name="40% - 강조색6 3 4 3 3 2 2 3" xfId="19296"/>
    <cellStyle name="40% - 강조색6 3 4 3 3 2 3" xfId="19297"/>
    <cellStyle name="40% - 강조색6 3 4 3 3 2 4" xfId="19298"/>
    <cellStyle name="40% - 강조색6 3 4 3 3 3" xfId="19299"/>
    <cellStyle name="40% - 강조색6 3 4 3 3 3 2" xfId="19300"/>
    <cellStyle name="40% - 강조색6 3 4 3 3 3 3" xfId="19301"/>
    <cellStyle name="40% - 강조색6 3 4 3 3 4" xfId="19302"/>
    <cellStyle name="40% - 강조색6 3 4 3 3 5" xfId="19303"/>
    <cellStyle name="40% - 강조색6 3 4 3 4" xfId="19304"/>
    <cellStyle name="40% - 강조색6 3 4 3 4 2" xfId="19305"/>
    <cellStyle name="40% - 강조색6 3 4 3 4 2 2" xfId="19306"/>
    <cellStyle name="40% - 강조색6 3 4 3 4 2 3" xfId="19307"/>
    <cellStyle name="40% - 강조색6 3 4 3 4 3" xfId="19308"/>
    <cellStyle name="40% - 강조색6 3 4 3 4 4" xfId="19309"/>
    <cellStyle name="40% - 강조색6 3 4 3 5" xfId="19310"/>
    <cellStyle name="40% - 강조색6 3 4 3 5 2" xfId="19311"/>
    <cellStyle name="40% - 강조색6 3 4 3 5 3" xfId="19312"/>
    <cellStyle name="40% - 강조색6 3 4 3 6" xfId="19313"/>
    <cellStyle name="40% - 강조색6 3 4 3 7" xfId="19314"/>
    <cellStyle name="40% - 강조색6 3 4 4" xfId="19315"/>
    <cellStyle name="40% - 강조색6 3 4 4 2" xfId="19316"/>
    <cellStyle name="40% - 강조색6 3 4 4 2 2" xfId="19317"/>
    <cellStyle name="40% - 강조색6 3 4 4 2 2 2" xfId="19318"/>
    <cellStyle name="40% - 강조색6 3 4 4 2 2 3" xfId="19319"/>
    <cellStyle name="40% - 강조색6 3 4 4 2 3" xfId="19320"/>
    <cellStyle name="40% - 강조색6 3 4 4 2 4" xfId="19321"/>
    <cellStyle name="40% - 강조색6 3 4 4 3" xfId="19322"/>
    <cellStyle name="40% - 강조색6 3 4 4 3 2" xfId="19323"/>
    <cellStyle name="40% - 강조색6 3 4 4 3 3" xfId="19324"/>
    <cellStyle name="40% - 강조색6 3 4 4 4" xfId="19325"/>
    <cellStyle name="40% - 강조색6 3 4 4 5" xfId="19326"/>
    <cellStyle name="40% - 강조색6 3 4 5" xfId="19327"/>
    <cellStyle name="40% - 강조색6 3 4 5 2" xfId="19328"/>
    <cellStyle name="40% - 강조색6 3 4 5 2 2" xfId="19329"/>
    <cellStyle name="40% - 강조색6 3 4 5 2 2 2" xfId="19330"/>
    <cellStyle name="40% - 강조색6 3 4 5 2 2 3" xfId="19331"/>
    <cellStyle name="40% - 강조색6 3 4 5 2 3" xfId="19332"/>
    <cellStyle name="40% - 강조색6 3 4 5 2 4" xfId="19333"/>
    <cellStyle name="40% - 강조색6 3 4 5 3" xfId="19334"/>
    <cellStyle name="40% - 강조색6 3 4 5 3 2" xfId="19335"/>
    <cellStyle name="40% - 강조색6 3 4 5 3 3" xfId="19336"/>
    <cellStyle name="40% - 강조색6 3 4 5 4" xfId="19337"/>
    <cellStyle name="40% - 강조색6 3 4 5 5" xfId="19338"/>
    <cellStyle name="40% - 강조색6 3 4 6" xfId="19339"/>
    <cellStyle name="40% - 강조색6 3 4 6 2" xfId="19340"/>
    <cellStyle name="40% - 강조색6 3 4 6 2 2" xfId="19341"/>
    <cellStyle name="40% - 강조색6 3 4 6 2 2 2" xfId="19342"/>
    <cellStyle name="40% - 강조색6 3 4 6 2 2 3" xfId="19343"/>
    <cellStyle name="40% - 강조색6 3 4 6 2 3" xfId="19344"/>
    <cellStyle name="40% - 강조색6 3 4 6 2 4" xfId="19345"/>
    <cellStyle name="40% - 강조색6 3 4 6 3" xfId="19346"/>
    <cellStyle name="40% - 강조색6 3 4 6 3 2" xfId="19347"/>
    <cellStyle name="40% - 강조색6 3 4 6 3 3" xfId="19348"/>
    <cellStyle name="40% - 강조색6 3 4 6 4" xfId="19349"/>
    <cellStyle name="40% - 강조색6 3 4 6 5" xfId="19350"/>
    <cellStyle name="40% - 강조색6 3 4 7" xfId="19351"/>
    <cellStyle name="40% - 강조색6 3 4 7 2" xfId="19352"/>
    <cellStyle name="40% - 강조색6 3 4 7 2 2" xfId="19353"/>
    <cellStyle name="40% - 강조색6 3 4 7 2 3" xfId="19354"/>
    <cellStyle name="40% - 강조색6 3 4 7 3" xfId="19355"/>
    <cellStyle name="40% - 강조색6 3 4 7 4" xfId="19356"/>
    <cellStyle name="40% - 강조색6 3 4 8" xfId="19357"/>
    <cellStyle name="40% - 강조색6 3 4 8 2" xfId="19358"/>
    <cellStyle name="40% - 강조색6 3 4 8 3" xfId="19359"/>
    <cellStyle name="40% - 강조색6 3 4 9" xfId="19360"/>
    <cellStyle name="40% - 강조색6 3 5" xfId="19361"/>
    <cellStyle name="40% - 강조색6 3 5 2" xfId="19362"/>
    <cellStyle name="40% - 강조색6 3 5 2 2" xfId="19363"/>
    <cellStyle name="40% - 강조색6 3 5 2 2 2" xfId="19364"/>
    <cellStyle name="40% - 강조색6 3 5 2 2 2 2" xfId="19365"/>
    <cellStyle name="40% - 강조색6 3 5 2 2 2 3" xfId="19366"/>
    <cellStyle name="40% - 강조색6 3 5 2 2 3" xfId="19367"/>
    <cellStyle name="40% - 강조색6 3 5 2 2 4" xfId="19368"/>
    <cellStyle name="40% - 강조색6 3 5 2 3" xfId="19369"/>
    <cellStyle name="40% - 강조색6 3 5 2 3 2" xfId="19370"/>
    <cellStyle name="40% - 강조색6 3 5 2 3 3" xfId="19371"/>
    <cellStyle name="40% - 강조색6 3 5 2 4" xfId="19372"/>
    <cellStyle name="40% - 강조색6 3 5 2 5" xfId="19373"/>
    <cellStyle name="40% - 강조색6 3 5 3" xfId="19374"/>
    <cellStyle name="40% - 강조색6 3 5 3 2" xfId="19375"/>
    <cellStyle name="40% - 강조색6 3 5 3 2 2" xfId="19376"/>
    <cellStyle name="40% - 강조색6 3 5 3 2 2 2" xfId="19377"/>
    <cellStyle name="40% - 강조색6 3 5 3 2 2 3" xfId="19378"/>
    <cellStyle name="40% - 강조색6 3 5 3 2 3" xfId="19379"/>
    <cellStyle name="40% - 강조색6 3 5 3 2 4" xfId="19380"/>
    <cellStyle name="40% - 강조색6 3 5 3 3" xfId="19381"/>
    <cellStyle name="40% - 강조색6 3 5 3 3 2" xfId="19382"/>
    <cellStyle name="40% - 강조색6 3 5 3 3 3" xfId="19383"/>
    <cellStyle name="40% - 강조색6 3 5 3 4" xfId="19384"/>
    <cellStyle name="40% - 강조색6 3 5 3 5" xfId="19385"/>
    <cellStyle name="40% - 강조색6 3 5 4" xfId="19386"/>
    <cellStyle name="40% - 강조색6 3 5 4 2" xfId="19387"/>
    <cellStyle name="40% - 강조색6 3 5 4 2 2" xfId="19388"/>
    <cellStyle name="40% - 강조색6 3 5 4 2 3" xfId="19389"/>
    <cellStyle name="40% - 강조색6 3 5 4 3" xfId="19390"/>
    <cellStyle name="40% - 강조색6 3 5 4 4" xfId="19391"/>
    <cellStyle name="40% - 강조색6 3 5 5" xfId="19392"/>
    <cellStyle name="40% - 강조색6 3 5 5 2" xfId="19393"/>
    <cellStyle name="40% - 강조색6 3 5 5 3" xfId="19394"/>
    <cellStyle name="40% - 강조색6 3 5 6" xfId="19395"/>
    <cellStyle name="40% - 강조색6 3 5 7" xfId="19396"/>
    <cellStyle name="40% - 강조색6 3 5 8" xfId="19397"/>
    <cellStyle name="40% - 강조색6 3 6" xfId="19398"/>
    <cellStyle name="40% - 강조색6 3 6 2" xfId="19399"/>
    <cellStyle name="40% - 강조색6 3 6 2 2" xfId="19400"/>
    <cellStyle name="40% - 강조색6 3 6 2 2 2" xfId="19401"/>
    <cellStyle name="40% - 강조색6 3 6 2 2 2 2" xfId="19402"/>
    <cellStyle name="40% - 강조색6 3 6 2 2 2 3" xfId="19403"/>
    <cellStyle name="40% - 강조색6 3 6 2 2 3" xfId="19404"/>
    <cellStyle name="40% - 강조색6 3 6 2 2 4" xfId="19405"/>
    <cellStyle name="40% - 강조색6 3 6 2 3" xfId="19406"/>
    <cellStyle name="40% - 강조색6 3 6 2 3 2" xfId="19407"/>
    <cellStyle name="40% - 강조색6 3 6 2 3 3" xfId="19408"/>
    <cellStyle name="40% - 강조색6 3 6 2 4" xfId="19409"/>
    <cellStyle name="40% - 강조색6 3 6 2 5" xfId="19410"/>
    <cellStyle name="40% - 강조색6 3 6 3" xfId="19411"/>
    <cellStyle name="40% - 강조색6 3 6 3 2" xfId="19412"/>
    <cellStyle name="40% - 강조색6 3 6 3 2 2" xfId="19413"/>
    <cellStyle name="40% - 강조색6 3 6 3 2 2 2" xfId="19414"/>
    <cellStyle name="40% - 강조색6 3 6 3 2 2 3" xfId="19415"/>
    <cellStyle name="40% - 강조색6 3 6 3 2 3" xfId="19416"/>
    <cellStyle name="40% - 강조색6 3 6 3 2 4" xfId="19417"/>
    <cellStyle name="40% - 강조색6 3 6 3 3" xfId="19418"/>
    <cellStyle name="40% - 강조색6 3 6 3 3 2" xfId="19419"/>
    <cellStyle name="40% - 강조색6 3 6 3 3 3" xfId="19420"/>
    <cellStyle name="40% - 강조색6 3 6 3 4" xfId="19421"/>
    <cellStyle name="40% - 강조색6 3 6 3 5" xfId="19422"/>
    <cellStyle name="40% - 강조색6 3 6 4" xfId="19423"/>
    <cellStyle name="40% - 강조색6 3 6 4 2" xfId="19424"/>
    <cellStyle name="40% - 강조색6 3 6 4 2 2" xfId="19425"/>
    <cellStyle name="40% - 강조색6 3 6 4 2 3" xfId="19426"/>
    <cellStyle name="40% - 강조색6 3 6 4 3" xfId="19427"/>
    <cellStyle name="40% - 강조색6 3 6 4 4" xfId="19428"/>
    <cellStyle name="40% - 강조색6 3 6 5" xfId="19429"/>
    <cellStyle name="40% - 강조색6 3 6 5 2" xfId="19430"/>
    <cellStyle name="40% - 강조색6 3 6 5 3" xfId="19431"/>
    <cellStyle name="40% - 강조색6 3 6 6" xfId="19432"/>
    <cellStyle name="40% - 강조색6 3 6 7" xfId="19433"/>
    <cellStyle name="40% - 강조색6 3 7" xfId="19434"/>
    <cellStyle name="40% - 강조색6 3 7 2" xfId="19435"/>
    <cellStyle name="40% - 강조색6 3 7 2 2" xfId="19436"/>
    <cellStyle name="40% - 강조색6 3 7 2 2 2" xfId="19437"/>
    <cellStyle name="40% - 강조색6 3 7 2 2 3" xfId="19438"/>
    <cellStyle name="40% - 강조색6 3 7 2 3" xfId="19439"/>
    <cellStyle name="40% - 강조색6 3 7 2 4" xfId="19440"/>
    <cellStyle name="40% - 강조색6 3 7 3" xfId="19441"/>
    <cellStyle name="40% - 강조색6 3 7 3 2" xfId="19442"/>
    <cellStyle name="40% - 강조색6 3 7 3 3" xfId="19443"/>
    <cellStyle name="40% - 강조색6 3 7 4" xfId="19444"/>
    <cellStyle name="40% - 강조색6 3 7 5" xfId="19445"/>
    <cellStyle name="40% - 강조색6 3 8" xfId="19446"/>
    <cellStyle name="40% - 강조색6 3 8 2" xfId="19447"/>
    <cellStyle name="40% - 강조색6 3 8 2 2" xfId="19448"/>
    <cellStyle name="40% - 강조색6 3 8 2 2 2" xfId="19449"/>
    <cellStyle name="40% - 강조색6 3 8 2 2 3" xfId="19450"/>
    <cellStyle name="40% - 강조색6 3 8 2 3" xfId="19451"/>
    <cellStyle name="40% - 강조색6 3 8 2 4" xfId="19452"/>
    <cellStyle name="40% - 강조색6 3 8 3" xfId="19453"/>
    <cellStyle name="40% - 강조색6 3 8 3 2" xfId="19454"/>
    <cellStyle name="40% - 강조색6 3 8 3 3" xfId="19455"/>
    <cellStyle name="40% - 강조색6 3 8 4" xfId="19456"/>
    <cellStyle name="40% - 강조색6 3 8 5" xfId="19457"/>
    <cellStyle name="40% - 강조색6 3 9" xfId="19458"/>
    <cellStyle name="40% - 강조색6 3 9 2" xfId="19459"/>
    <cellStyle name="40% - 강조색6 3 9 2 2" xfId="19460"/>
    <cellStyle name="40% - 강조색6 3 9 2 2 2" xfId="19461"/>
    <cellStyle name="40% - 강조색6 3 9 2 2 3" xfId="19462"/>
    <cellStyle name="40% - 강조색6 3 9 2 3" xfId="19463"/>
    <cellStyle name="40% - 강조색6 3 9 2 4" xfId="19464"/>
    <cellStyle name="40% - 강조색6 3 9 3" xfId="19465"/>
    <cellStyle name="40% - 강조색6 3 9 3 2" xfId="19466"/>
    <cellStyle name="40% - 강조색6 3 9 3 3" xfId="19467"/>
    <cellStyle name="40% - 강조색6 3 9 4" xfId="19468"/>
    <cellStyle name="40% - 강조색6 3 9 5" xfId="19469"/>
    <cellStyle name="40% - 강조색6 30" xfId="19470"/>
    <cellStyle name="40% - 강조색6 30 2" xfId="19471"/>
    <cellStyle name="40% - 강조색6 31" xfId="19472"/>
    <cellStyle name="40% - 강조색6 31 2" xfId="19473"/>
    <cellStyle name="40% - 강조색6 32" xfId="19474"/>
    <cellStyle name="40% - 강조색6 32 2" xfId="19475"/>
    <cellStyle name="40% - 강조색6 33" xfId="19476"/>
    <cellStyle name="40% - 강조색6 33 2" xfId="19477"/>
    <cellStyle name="40% - 강조색6 34" xfId="19478"/>
    <cellStyle name="40% - 강조색6 34 2" xfId="19479"/>
    <cellStyle name="40% - 강조색6 35" xfId="19480"/>
    <cellStyle name="40% - 강조색6 36" xfId="19481"/>
    <cellStyle name="40% - 강조색6 37" xfId="19482"/>
    <cellStyle name="40% - 강조색6 38" xfId="19483"/>
    <cellStyle name="40% - 강조색6 39" xfId="19484"/>
    <cellStyle name="40% - 강조색6 4" xfId="19485"/>
    <cellStyle name="40% - 강조색6 4 10" xfId="19486"/>
    <cellStyle name="40% - 강조색6 4 10 2" xfId="19487"/>
    <cellStyle name="40% - 강조색6 4 10 2 2" xfId="19488"/>
    <cellStyle name="40% - 강조색6 4 10 2 3" xfId="19489"/>
    <cellStyle name="40% - 강조색6 4 10 3" xfId="19490"/>
    <cellStyle name="40% - 강조색6 4 10 4" xfId="19491"/>
    <cellStyle name="40% - 강조색6 4 11" xfId="19492"/>
    <cellStyle name="40% - 강조색6 4 11 2" xfId="19493"/>
    <cellStyle name="40% - 강조색6 4 11 3" xfId="19494"/>
    <cellStyle name="40% - 강조색6 4 12" xfId="19495"/>
    <cellStyle name="40% - 강조색6 4 13" xfId="19496"/>
    <cellStyle name="40% - 강조색6 4 14" xfId="19497"/>
    <cellStyle name="40% - 강조색6 4 2" xfId="19498"/>
    <cellStyle name="40% - 강조색6 4 2 10" xfId="19499"/>
    <cellStyle name="40% - 강조색6 4 2 2" xfId="19500"/>
    <cellStyle name="40% - 강조색6 4 2 2 2" xfId="19501"/>
    <cellStyle name="40% - 강조색6 4 2 2 2 2" xfId="19502"/>
    <cellStyle name="40% - 강조색6 4 2 2 2 2 2" xfId="19503"/>
    <cellStyle name="40% - 강조색6 4 2 2 2 2 2 2" xfId="19504"/>
    <cellStyle name="40% - 강조색6 4 2 2 2 2 2 3" xfId="19505"/>
    <cellStyle name="40% - 강조색6 4 2 2 2 2 3" xfId="19506"/>
    <cellStyle name="40% - 강조색6 4 2 2 2 2 4" xfId="19507"/>
    <cellStyle name="40% - 강조색6 4 2 2 2 3" xfId="19508"/>
    <cellStyle name="40% - 강조색6 4 2 2 2 3 2" xfId="19509"/>
    <cellStyle name="40% - 강조색6 4 2 2 2 3 3" xfId="19510"/>
    <cellStyle name="40% - 강조색6 4 2 2 2 4" xfId="19511"/>
    <cellStyle name="40% - 강조색6 4 2 2 2 5" xfId="19512"/>
    <cellStyle name="40% - 강조색6 4 2 2 3" xfId="19513"/>
    <cellStyle name="40% - 강조색6 4 2 2 3 2" xfId="19514"/>
    <cellStyle name="40% - 강조색6 4 2 2 3 2 2" xfId="19515"/>
    <cellStyle name="40% - 강조색6 4 2 2 3 2 2 2" xfId="19516"/>
    <cellStyle name="40% - 강조색6 4 2 2 3 2 2 3" xfId="19517"/>
    <cellStyle name="40% - 강조색6 4 2 2 3 2 3" xfId="19518"/>
    <cellStyle name="40% - 강조색6 4 2 2 3 2 4" xfId="19519"/>
    <cellStyle name="40% - 강조색6 4 2 2 3 3" xfId="19520"/>
    <cellStyle name="40% - 강조색6 4 2 2 3 3 2" xfId="19521"/>
    <cellStyle name="40% - 강조색6 4 2 2 3 3 3" xfId="19522"/>
    <cellStyle name="40% - 강조색6 4 2 2 3 4" xfId="19523"/>
    <cellStyle name="40% - 강조색6 4 2 2 3 5" xfId="19524"/>
    <cellStyle name="40% - 강조색6 4 2 2 4" xfId="19525"/>
    <cellStyle name="40% - 강조색6 4 2 2 4 2" xfId="19526"/>
    <cellStyle name="40% - 강조색6 4 2 2 4 2 2" xfId="19527"/>
    <cellStyle name="40% - 강조색6 4 2 2 4 2 3" xfId="19528"/>
    <cellStyle name="40% - 강조색6 4 2 2 4 3" xfId="19529"/>
    <cellStyle name="40% - 강조색6 4 2 2 4 4" xfId="19530"/>
    <cellStyle name="40% - 강조색6 4 2 2 5" xfId="19531"/>
    <cellStyle name="40% - 강조색6 4 2 2 5 2" xfId="19532"/>
    <cellStyle name="40% - 강조색6 4 2 2 5 3" xfId="19533"/>
    <cellStyle name="40% - 강조색6 4 2 2 6" xfId="19534"/>
    <cellStyle name="40% - 강조색6 4 2 2 7" xfId="19535"/>
    <cellStyle name="40% - 강조색6 4 2 3" xfId="19536"/>
    <cellStyle name="40% - 강조색6 4 2 3 2" xfId="19537"/>
    <cellStyle name="40% - 강조색6 4 2 3 2 2" xfId="19538"/>
    <cellStyle name="40% - 강조색6 4 2 3 2 2 2" xfId="19539"/>
    <cellStyle name="40% - 강조색6 4 2 3 2 2 2 2" xfId="19540"/>
    <cellStyle name="40% - 강조색6 4 2 3 2 2 2 3" xfId="19541"/>
    <cellStyle name="40% - 강조색6 4 2 3 2 2 3" xfId="19542"/>
    <cellStyle name="40% - 강조색6 4 2 3 2 2 4" xfId="19543"/>
    <cellStyle name="40% - 강조색6 4 2 3 2 3" xfId="19544"/>
    <cellStyle name="40% - 강조색6 4 2 3 2 3 2" xfId="19545"/>
    <cellStyle name="40% - 강조색6 4 2 3 2 3 3" xfId="19546"/>
    <cellStyle name="40% - 강조색6 4 2 3 2 4" xfId="19547"/>
    <cellStyle name="40% - 강조색6 4 2 3 2 5" xfId="19548"/>
    <cellStyle name="40% - 강조색6 4 2 3 3" xfId="19549"/>
    <cellStyle name="40% - 강조색6 4 2 3 3 2" xfId="19550"/>
    <cellStyle name="40% - 강조색6 4 2 3 3 2 2" xfId="19551"/>
    <cellStyle name="40% - 강조색6 4 2 3 3 2 2 2" xfId="19552"/>
    <cellStyle name="40% - 강조색6 4 2 3 3 2 2 3" xfId="19553"/>
    <cellStyle name="40% - 강조색6 4 2 3 3 2 3" xfId="19554"/>
    <cellStyle name="40% - 강조색6 4 2 3 3 2 4" xfId="19555"/>
    <cellStyle name="40% - 강조색6 4 2 3 3 3" xfId="19556"/>
    <cellStyle name="40% - 강조색6 4 2 3 3 3 2" xfId="19557"/>
    <cellStyle name="40% - 강조색6 4 2 3 3 3 3" xfId="19558"/>
    <cellStyle name="40% - 강조색6 4 2 3 3 4" xfId="19559"/>
    <cellStyle name="40% - 강조색6 4 2 3 3 5" xfId="19560"/>
    <cellStyle name="40% - 강조색6 4 2 3 4" xfId="19561"/>
    <cellStyle name="40% - 강조색6 4 2 3 4 2" xfId="19562"/>
    <cellStyle name="40% - 강조색6 4 2 3 4 2 2" xfId="19563"/>
    <cellStyle name="40% - 강조색6 4 2 3 4 2 3" xfId="19564"/>
    <cellStyle name="40% - 강조색6 4 2 3 4 3" xfId="19565"/>
    <cellStyle name="40% - 강조색6 4 2 3 4 4" xfId="19566"/>
    <cellStyle name="40% - 강조색6 4 2 3 5" xfId="19567"/>
    <cellStyle name="40% - 강조색6 4 2 3 5 2" xfId="19568"/>
    <cellStyle name="40% - 강조색6 4 2 3 5 3" xfId="19569"/>
    <cellStyle name="40% - 강조색6 4 2 3 6" xfId="19570"/>
    <cellStyle name="40% - 강조색6 4 2 3 7" xfId="19571"/>
    <cellStyle name="40% - 강조색6 4 2 4" xfId="19572"/>
    <cellStyle name="40% - 강조색6 4 2 4 2" xfId="19573"/>
    <cellStyle name="40% - 강조색6 4 2 4 2 2" xfId="19574"/>
    <cellStyle name="40% - 강조색6 4 2 4 2 2 2" xfId="19575"/>
    <cellStyle name="40% - 강조색6 4 2 4 2 2 3" xfId="19576"/>
    <cellStyle name="40% - 강조색6 4 2 4 2 3" xfId="19577"/>
    <cellStyle name="40% - 강조색6 4 2 4 2 4" xfId="19578"/>
    <cellStyle name="40% - 강조색6 4 2 4 3" xfId="19579"/>
    <cellStyle name="40% - 강조색6 4 2 4 3 2" xfId="19580"/>
    <cellStyle name="40% - 강조색6 4 2 4 3 3" xfId="19581"/>
    <cellStyle name="40% - 강조색6 4 2 4 4" xfId="19582"/>
    <cellStyle name="40% - 강조색6 4 2 4 5" xfId="19583"/>
    <cellStyle name="40% - 강조색6 4 2 5" xfId="19584"/>
    <cellStyle name="40% - 강조색6 4 2 5 2" xfId="19585"/>
    <cellStyle name="40% - 강조색6 4 2 5 2 2" xfId="19586"/>
    <cellStyle name="40% - 강조색6 4 2 5 2 2 2" xfId="19587"/>
    <cellStyle name="40% - 강조색6 4 2 5 2 2 3" xfId="19588"/>
    <cellStyle name="40% - 강조색6 4 2 5 2 3" xfId="19589"/>
    <cellStyle name="40% - 강조색6 4 2 5 2 4" xfId="19590"/>
    <cellStyle name="40% - 강조색6 4 2 5 3" xfId="19591"/>
    <cellStyle name="40% - 강조색6 4 2 5 3 2" xfId="19592"/>
    <cellStyle name="40% - 강조색6 4 2 5 3 3" xfId="19593"/>
    <cellStyle name="40% - 강조색6 4 2 5 4" xfId="19594"/>
    <cellStyle name="40% - 강조색6 4 2 5 5" xfId="19595"/>
    <cellStyle name="40% - 강조색6 4 2 6" xfId="19596"/>
    <cellStyle name="40% - 강조색6 4 2 6 2" xfId="19597"/>
    <cellStyle name="40% - 강조색6 4 2 6 2 2" xfId="19598"/>
    <cellStyle name="40% - 강조색6 4 2 6 2 2 2" xfId="19599"/>
    <cellStyle name="40% - 강조색6 4 2 6 2 2 3" xfId="19600"/>
    <cellStyle name="40% - 강조색6 4 2 6 2 3" xfId="19601"/>
    <cellStyle name="40% - 강조색6 4 2 6 2 4" xfId="19602"/>
    <cellStyle name="40% - 강조색6 4 2 6 3" xfId="19603"/>
    <cellStyle name="40% - 강조색6 4 2 6 3 2" xfId="19604"/>
    <cellStyle name="40% - 강조색6 4 2 6 3 3" xfId="19605"/>
    <cellStyle name="40% - 강조색6 4 2 6 4" xfId="19606"/>
    <cellStyle name="40% - 강조색6 4 2 6 5" xfId="19607"/>
    <cellStyle name="40% - 강조색6 4 2 7" xfId="19608"/>
    <cellStyle name="40% - 강조색6 4 2 7 2" xfId="19609"/>
    <cellStyle name="40% - 강조색6 4 2 7 2 2" xfId="19610"/>
    <cellStyle name="40% - 강조색6 4 2 7 2 3" xfId="19611"/>
    <cellStyle name="40% - 강조색6 4 2 7 3" xfId="19612"/>
    <cellStyle name="40% - 강조색6 4 2 7 4" xfId="19613"/>
    <cellStyle name="40% - 강조색6 4 2 8" xfId="19614"/>
    <cellStyle name="40% - 강조색6 4 2 8 2" xfId="19615"/>
    <cellStyle name="40% - 강조색6 4 2 8 3" xfId="19616"/>
    <cellStyle name="40% - 강조색6 4 2 9" xfId="19617"/>
    <cellStyle name="40% - 강조색6 4 3" xfId="19618"/>
    <cellStyle name="40% - 강조색6 4 3 10" xfId="19619"/>
    <cellStyle name="40% - 강조색6 4 3 2" xfId="19620"/>
    <cellStyle name="40% - 강조색6 4 3 2 2" xfId="19621"/>
    <cellStyle name="40% - 강조색6 4 3 2 2 2" xfId="19622"/>
    <cellStyle name="40% - 강조색6 4 3 2 2 2 2" xfId="19623"/>
    <cellStyle name="40% - 강조색6 4 3 2 2 2 2 2" xfId="19624"/>
    <cellStyle name="40% - 강조색6 4 3 2 2 2 2 3" xfId="19625"/>
    <cellStyle name="40% - 강조색6 4 3 2 2 2 3" xfId="19626"/>
    <cellStyle name="40% - 강조색6 4 3 2 2 2 4" xfId="19627"/>
    <cellStyle name="40% - 강조색6 4 3 2 2 3" xfId="19628"/>
    <cellStyle name="40% - 강조색6 4 3 2 2 3 2" xfId="19629"/>
    <cellStyle name="40% - 강조색6 4 3 2 2 3 3" xfId="19630"/>
    <cellStyle name="40% - 강조색6 4 3 2 2 4" xfId="19631"/>
    <cellStyle name="40% - 강조색6 4 3 2 2 5" xfId="19632"/>
    <cellStyle name="40% - 강조색6 4 3 2 3" xfId="19633"/>
    <cellStyle name="40% - 강조색6 4 3 2 3 2" xfId="19634"/>
    <cellStyle name="40% - 강조색6 4 3 2 3 2 2" xfId="19635"/>
    <cellStyle name="40% - 강조색6 4 3 2 3 2 2 2" xfId="19636"/>
    <cellStyle name="40% - 강조색6 4 3 2 3 2 2 3" xfId="19637"/>
    <cellStyle name="40% - 강조색6 4 3 2 3 2 3" xfId="19638"/>
    <cellStyle name="40% - 강조색6 4 3 2 3 2 4" xfId="19639"/>
    <cellStyle name="40% - 강조색6 4 3 2 3 3" xfId="19640"/>
    <cellStyle name="40% - 강조색6 4 3 2 3 3 2" xfId="19641"/>
    <cellStyle name="40% - 강조색6 4 3 2 3 3 3" xfId="19642"/>
    <cellStyle name="40% - 강조색6 4 3 2 3 4" xfId="19643"/>
    <cellStyle name="40% - 강조색6 4 3 2 3 5" xfId="19644"/>
    <cellStyle name="40% - 강조색6 4 3 2 4" xfId="19645"/>
    <cellStyle name="40% - 강조색6 4 3 2 4 2" xfId="19646"/>
    <cellStyle name="40% - 강조색6 4 3 2 4 2 2" xfId="19647"/>
    <cellStyle name="40% - 강조색6 4 3 2 4 2 3" xfId="19648"/>
    <cellStyle name="40% - 강조색6 4 3 2 4 3" xfId="19649"/>
    <cellStyle name="40% - 강조색6 4 3 2 4 4" xfId="19650"/>
    <cellStyle name="40% - 강조색6 4 3 2 5" xfId="19651"/>
    <cellStyle name="40% - 강조색6 4 3 2 5 2" xfId="19652"/>
    <cellStyle name="40% - 강조색6 4 3 2 5 3" xfId="19653"/>
    <cellStyle name="40% - 강조색6 4 3 2 6" xfId="19654"/>
    <cellStyle name="40% - 강조색6 4 3 2 7" xfId="19655"/>
    <cellStyle name="40% - 강조색6 4 3 3" xfId="19656"/>
    <cellStyle name="40% - 강조색6 4 3 3 2" xfId="19657"/>
    <cellStyle name="40% - 강조색6 4 3 3 2 2" xfId="19658"/>
    <cellStyle name="40% - 강조색6 4 3 3 2 2 2" xfId="19659"/>
    <cellStyle name="40% - 강조색6 4 3 3 2 2 2 2" xfId="19660"/>
    <cellStyle name="40% - 강조색6 4 3 3 2 2 2 3" xfId="19661"/>
    <cellStyle name="40% - 강조색6 4 3 3 2 2 3" xfId="19662"/>
    <cellStyle name="40% - 강조색6 4 3 3 2 2 4" xfId="19663"/>
    <cellStyle name="40% - 강조색6 4 3 3 2 3" xfId="19664"/>
    <cellStyle name="40% - 강조색6 4 3 3 2 3 2" xfId="19665"/>
    <cellStyle name="40% - 강조색6 4 3 3 2 3 3" xfId="19666"/>
    <cellStyle name="40% - 강조색6 4 3 3 2 4" xfId="19667"/>
    <cellStyle name="40% - 강조색6 4 3 3 2 5" xfId="19668"/>
    <cellStyle name="40% - 강조색6 4 3 3 3" xfId="19669"/>
    <cellStyle name="40% - 강조색6 4 3 3 3 2" xfId="19670"/>
    <cellStyle name="40% - 강조색6 4 3 3 3 2 2" xfId="19671"/>
    <cellStyle name="40% - 강조색6 4 3 3 3 2 2 2" xfId="19672"/>
    <cellStyle name="40% - 강조색6 4 3 3 3 2 2 3" xfId="19673"/>
    <cellStyle name="40% - 강조색6 4 3 3 3 2 3" xfId="19674"/>
    <cellStyle name="40% - 강조색6 4 3 3 3 2 4" xfId="19675"/>
    <cellStyle name="40% - 강조색6 4 3 3 3 3" xfId="19676"/>
    <cellStyle name="40% - 강조색6 4 3 3 3 3 2" xfId="19677"/>
    <cellStyle name="40% - 강조색6 4 3 3 3 3 3" xfId="19678"/>
    <cellStyle name="40% - 강조색6 4 3 3 3 4" xfId="19679"/>
    <cellStyle name="40% - 강조색6 4 3 3 3 5" xfId="19680"/>
    <cellStyle name="40% - 강조색6 4 3 3 4" xfId="19681"/>
    <cellStyle name="40% - 강조색6 4 3 3 4 2" xfId="19682"/>
    <cellStyle name="40% - 강조색6 4 3 3 4 2 2" xfId="19683"/>
    <cellStyle name="40% - 강조색6 4 3 3 4 2 3" xfId="19684"/>
    <cellStyle name="40% - 강조색6 4 3 3 4 3" xfId="19685"/>
    <cellStyle name="40% - 강조색6 4 3 3 4 4" xfId="19686"/>
    <cellStyle name="40% - 강조색6 4 3 3 5" xfId="19687"/>
    <cellStyle name="40% - 강조색6 4 3 3 5 2" xfId="19688"/>
    <cellStyle name="40% - 강조색6 4 3 3 5 3" xfId="19689"/>
    <cellStyle name="40% - 강조색6 4 3 3 6" xfId="19690"/>
    <cellStyle name="40% - 강조색6 4 3 3 7" xfId="19691"/>
    <cellStyle name="40% - 강조색6 4 3 4" xfId="19692"/>
    <cellStyle name="40% - 강조색6 4 3 4 2" xfId="19693"/>
    <cellStyle name="40% - 강조색6 4 3 4 2 2" xfId="19694"/>
    <cellStyle name="40% - 강조색6 4 3 4 2 2 2" xfId="19695"/>
    <cellStyle name="40% - 강조색6 4 3 4 2 2 3" xfId="19696"/>
    <cellStyle name="40% - 강조색6 4 3 4 2 3" xfId="19697"/>
    <cellStyle name="40% - 강조색6 4 3 4 2 4" xfId="19698"/>
    <cellStyle name="40% - 강조색6 4 3 4 3" xfId="19699"/>
    <cellStyle name="40% - 강조색6 4 3 4 3 2" xfId="19700"/>
    <cellStyle name="40% - 강조색6 4 3 4 3 3" xfId="19701"/>
    <cellStyle name="40% - 강조색6 4 3 4 4" xfId="19702"/>
    <cellStyle name="40% - 강조색6 4 3 4 5" xfId="19703"/>
    <cellStyle name="40% - 강조색6 4 3 5" xfId="19704"/>
    <cellStyle name="40% - 강조색6 4 3 5 2" xfId="19705"/>
    <cellStyle name="40% - 강조색6 4 3 5 2 2" xfId="19706"/>
    <cellStyle name="40% - 강조색6 4 3 5 2 2 2" xfId="19707"/>
    <cellStyle name="40% - 강조색6 4 3 5 2 2 3" xfId="19708"/>
    <cellStyle name="40% - 강조색6 4 3 5 2 3" xfId="19709"/>
    <cellStyle name="40% - 강조색6 4 3 5 2 4" xfId="19710"/>
    <cellStyle name="40% - 강조색6 4 3 5 3" xfId="19711"/>
    <cellStyle name="40% - 강조색6 4 3 5 3 2" xfId="19712"/>
    <cellStyle name="40% - 강조색6 4 3 5 3 3" xfId="19713"/>
    <cellStyle name="40% - 강조색6 4 3 5 4" xfId="19714"/>
    <cellStyle name="40% - 강조색6 4 3 5 5" xfId="19715"/>
    <cellStyle name="40% - 강조색6 4 3 6" xfId="19716"/>
    <cellStyle name="40% - 강조색6 4 3 6 2" xfId="19717"/>
    <cellStyle name="40% - 강조색6 4 3 6 2 2" xfId="19718"/>
    <cellStyle name="40% - 강조색6 4 3 6 2 2 2" xfId="19719"/>
    <cellStyle name="40% - 강조색6 4 3 6 2 2 3" xfId="19720"/>
    <cellStyle name="40% - 강조색6 4 3 6 2 3" xfId="19721"/>
    <cellStyle name="40% - 강조색6 4 3 6 2 4" xfId="19722"/>
    <cellStyle name="40% - 강조색6 4 3 6 3" xfId="19723"/>
    <cellStyle name="40% - 강조색6 4 3 6 3 2" xfId="19724"/>
    <cellStyle name="40% - 강조색6 4 3 6 3 3" xfId="19725"/>
    <cellStyle name="40% - 강조색6 4 3 6 4" xfId="19726"/>
    <cellStyle name="40% - 강조색6 4 3 6 5" xfId="19727"/>
    <cellStyle name="40% - 강조색6 4 3 7" xfId="19728"/>
    <cellStyle name="40% - 강조색6 4 3 7 2" xfId="19729"/>
    <cellStyle name="40% - 강조색6 4 3 7 2 2" xfId="19730"/>
    <cellStyle name="40% - 강조색6 4 3 7 2 3" xfId="19731"/>
    <cellStyle name="40% - 강조색6 4 3 7 3" xfId="19732"/>
    <cellStyle name="40% - 강조색6 4 3 7 4" xfId="19733"/>
    <cellStyle name="40% - 강조색6 4 3 8" xfId="19734"/>
    <cellStyle name="40% - 강조색6 4 3 8 2" xfId="19735"/>
    <cellStyle name="40% - 강조색6 4 3 8 3" xfId="19736"/>
    <cellStyle name="40% - 강조색6 4 3 9" xfId="19737"/>
    <cellStyle name="40% - 강조색6 4 4" xfId="19738"/>
    <cellStyle name="40% - 강조색6 4 4 10" xfId="19739"/>
    <cellStyle name="40% - 강조색6 4 4 2" xfId="19740"/>
    <cellStyle name="40% - 강조색6 4 4 2 2" xfId="19741"/>
    <cellStyle name="40% - 강조색6 4 4 2 2 2" xfId="19742"/>
    <cellStyle name="40% - 강조색6 4 4 2 2 2 2" xfId="19743"/>
    <cellStyle name="40% - 강조색6 4 4 2 2 2 2 2" xfId="19744"/>
    <cellStyle name="40% - 강조색6 4 4 2 2 2 2 3" xfId="19745"/>
    <cellStyle name="40% - 강조색6 4 4 2 2 2 3" xfId="19746"/>
    <cellStyle name="40% - 강조색6 4 4 2 2 2 4" xfId="19747"/>
    <cellStyle name="40% - 강조색6 4 4 2 2 3" xfId="19748"/>
    <cellStyle name="40% - 강조색6 4 4 2 2 3 2" xfId="19749"/>
    <cellStyle name="40% - 강조색6 4 4 2 2 3 3" xfId="19750"/>
    <cellStyle name="40% - 강조색6 4 4 2 2 4" xfId="19751"/>
    <cellStyle name="40% - 강조색6 4 4 2 2 5" xfId="19752"/>
    <cellStyle name="40% - 강조색6 4 4 2 3" xfId="19753"/>
    <cellStyle name="40% - 강조색6 4 4 2 3 2" xfId="19754"/>
    <cellStyle name="40% - 강조색6 4 4 2 3 2 2" xfId="19755"/>
    <cellStyle name="40% - 강조색6 4 4 2 3 2 2 2" xfId="19756"/>
    <cellStyle name="40% - 강조색6 4 4 2 3 2 2 3" xfId="19757"/>
    <cellStyle name="40% - 강조색6 4 4 2 3 2 3" xfId="19758"/>
    <cellStyle name="40% - 강조색6 4 4 2 3 2 4" xfId="19759"/>
    <cellStyle name="40% - 강조색6 4 4 2 3 3" xfId="19760"/>
    <cellStyle name="40% - 강조색6 4 4 2 3 3 2" xfId="19761"/>
    <cellStyle name="40% - 강조색6 4 4 2 3 3 3" xfId="19762"/>
    <cellStyle name="40% - 강조색6 4 4 2 3 4" xfId="19763"/>
    <cellStyle name="40% - 강조색6 4 4 2 3 5" xfId="19764"/>
    <cellStyle name="40% - 강조색6 4 4 2 4" xfId="19765"/>
    <cellStyle name="40% - 강조색6 4 4 2 4 2" xfId="19766"/>
    <cellStyle name="40% - 강조색6 4 4 2 4 2 2" xfId="19767"/>
    <cellStyle name="40% - 강조색6 4 4 2 4 2 3" xfId="19768"/>
    <cellStyle name="40% - 강조색6 4 4 2 4 3" xfId="19769"/>
    <cellStyle name="40% - 강조색6 4 4 2 4 4" xfId="19770"/>
    <cellStyle name="40% - 강조색6 4 4 2 5" xfId="19771"/>
    <cellStyle name="40% - 강조색6 4 4 2 5 2" xfId="19772"/>
    <cellStyle name="40% - 강조색6 4 4 2 5 3" xfId="19773"/>
    <cellStyle name="40% - 강조색6 4 4 2 6" xfId="19774"/>
    <cellStyle name="40% - 강조색6 4 4 2 7" xfId="19775"/>
    <cellStyle name="40% - 강조색6 4 4 3" xfId="19776"/>
    <cellStyle name="40% - 강조색6 4 4 3 2" xfId="19777"/>
    <cellStyle name="40% - 강조색6 4 4 3 2 2" xfId="19778"/>
    <cellStyle name="40% - 강조색6 4 4 3 2 2 2" xfId="19779"/>
    <cellStyle name="40% - 강조색6 4 4 3 2 2 2 2" xfId="19780"/>
    <cellStyle name="40% - 강조색6 4 4 3 2 2 2 3" xfId="19781"/>
    <cellStyle name="40% - 강조색6 4 4 3 2 2 3" xfId="19782"/>
    <cellStyle name="40% - 강조색6 4 4 3 2 2 4" xfId="19783"/>
    <cellStyle name="40% - 강조색6 4 4 3 2 3" xfId="19784"/>
    <cellStyle name="40% - 강조색6 4 4 3 2 3 2" xfId="19785"/>
    <cellStyle name="40% - 강조색6 4 4 3 2 3 3" xfId="19786"/>
    <cellStyle name="40% - 강조색6 4 4 3 2 4" xfId="19787"/>
    <cellStyle name="40% - 강조색6 4 4 3 2 5" xfId="19788"/>
    <cellStyle name="40% - 강조색6 4 4 3 3" xfId="19789"/>
    <cellStyle name="40% - 강조색6 4 4 3 3 2" xfId="19790"/>
    <cellStyle name="40% - 강조색6 4 4 3 3 2 2" xfId="19791"/>
    <cellStyle name="40% - 강조색6 4 4 3 3 2 2 2" xfId="19792"/>
    <cellStyle name="40% - 강조색6 4 4 3 3 2 2 3" xfId="19793"/>
    <cellStyle name="40% - 강조색6 4 4 3 3 2 3" xfId="19794"/>
    <cellStyle name="40% - 강조색6 4 4 3 3 2 4" xfId="19795"/>
    <cellStyle name="40% - 강조색6 4 4 3 3 3" xfId="19796"/>
    <cellStyle name="40% - 강조색6 4 4 3 3 3 2" xfId="19797"/>
    <cellStyle name="40% - 강조색6 4 4 3 3 3 3" xfId="19798"/>
    <cellStyle name="40% - 강조색6 4 4 3 3 4" xfId="19799"/>
    <cellStyle name="40% - 강조색6 4 4 3 3 5" xfId="19800"/>
    <cellStyle name="40% - 강조색6 4 4 3 4" xfId="19801"/>
    <cellStyle name="40% - 강조색6 4 4 3 4 2" xfId="19802"/>
    <cellStyle name="40% - 강조색6 4 4 3 4 2 2" xfId="19803"/>
    <cellStyle name="40% - 강조색6 4 4 3 4 2 3" xfId="19804"/>
    <cellStyle name="40% - 강조색6 4 4 3 4 3" xfId="19805"/>
    <cellStyle name="40% - 강조색6 4 4 3 4 4" xfId="19806"/>
    <cellStyle name="40% - 강조색6 4 4 3 5" xfId="19807"/>
    <cellStyle name="40% - 강조색6 4 4 3 5 2" xfId="19808"/>
    <cellStyle name="40% - 강조색6 4 4 3 5 3" xfId="19809"/>
    <cellStyle name="40% - 강조색6 4 4 3 6" xfId="19810"/>
    <cellStyle name="40% - 강조색6 4 4 3 7" xfId="19811"/>
    <cellStyle name="40% - 강조색6 4 4 4" xfId="19812"/>
    <cellStyle name="40% - 강조색6 4 4 4 2" xfId="19813"/>
    <cellStyle name="40% - 강조색6 4 4 4 2 2" xfId="19814"/>
    <cellStyle name="40% - 강조색6 4 4 4 2 2 2" xfId="19815"/>
    <cellStyle name="40% - 강조색6 4 4 4 2 2 3" xfId="19816"/>
    <cellStyle name="40% - 강조색6 4 4 4 2 3" xfId="19817"/>
    <cellStyle name="40% - 강조색6 4 4 4 2 4" xfId="19818"/>
    <cellStyle name="40% - 강조색6 4 4 4 3" xfId="19819"/>
    <cellStyle name="40% - 강조색6 4 4 4 3 2" xfId="19820"/>
    <cellStyle name="40% - 강조색6 4 4 4 3 3" xfId="19821"/>
    <cellStyle name="40% - 강조색6 4 4 4 4" xfId="19822"/>
    <cellStyle name="40% - 강조색6 4 4 4 5" xfId="19823"/>
    <cellStyle name="40% - 강조색6 4 4 5" xfId="19824"/>
    <cellStyle name="40% - 강조색6 4 4 5 2" xfId="19825"/>
    <cellStyle name="40% - 강조색6 4 4 5 2 2" xfId="19826"/>
    <cellStyle name="40% - 강조색6 4 4 5 2 2 2" xfId="19827"/>
    <cellStyle name="40% - 강조색6 4 4 5 2 2 3" xfId="19828"/>
    <cellStyle name="40% - 강조색6 4 4 5 2 3" xfId="19829"/>
    <cellStyle name="40% - 강조색6 4 4 5 2 4" xfId="19830"/>
    <cellStyle name="40% - 강조색6 4 4 5 3" xfId="19831"/>
    <cellStyle name="40% - 강조색6 4 4 5 3 2" xfId="19832"/>
    <cellStyle name="40% - 강조색6 4 4 5 3 3" xfId="19833"/>
    <cellStyle name="40% - 강조색6 4 4 5 4" xfId="19834"/>
    <cellStyle name="40% - 강조색6 4 4 5 5" xfId="19835"/>
    <cellStyle name="40% - 강조색6 4 4 6" xfId="19836"/>
    <cellStyle name="40% - 강조색6 4 4 6 2" xfId="19837"/>
    <cellStyle name="40% - 강조색6 4 4 6 2 2" xfId="19838"/>
    <cellStyle name="40% - 강조색6 4 4 6 2 2 2" xfId="19839"/>
    <cellStyle name="40% - 강조색6 4 4 6 2 2 3" xfId="19840"/>
    <cellStyle name="40% - 강조색6 4 4 6 2 3" xfId="19841"/>
    <cellStyle name="40% - 강조색6 4 4 6 2 4" xfId="19842"/>
    <cellStyle name="40% - 강조색6 4 4 6 3" xfId="19843"/>
    <cellStyle name="40% - 강조색6 4 4 6 3 2" xfId="19844"/>
    <cellStyle name="40% - 강조색6 4 4 6 3 3" xfId="19845"/>
    <cellStyle name="40% - 강조색6 4 4 6 4" xfId="19846"/>
    <cellStyle name="40% - 강조색6 4 4 6 5" xfId="19847"/>
    <cellStyle name="40% - 강조색6 4 4 7" xfId="19848"/>
    <cellStyle name="40% - 강조색6 4 4 7 2" xfId="19849"/>
    <cellStyle name="40% - 강조색6 4 4 7 2 2" xfId="19850"/>
    <cellStyle name="40% - 강조색6 4 4 7 2 3" xfId="19851"/>
    <cellStyle name="40% - 강조색6 4 4 7 3" xfId="19852"/>
    <cellStyle name="40% - 강조색6 4 4 7 4" xfId="19853"/>
    <cellStyle name="40% - 강조색6 4 4 8" xfId="19854"/>
    <cellStyle name="40% - 강조색6 4 4 8 2" xfId="19855"/>
    <cellStyle name="40% - 강조색6 4 4 8 3" xfId="19856"/>
    <cellStyle name="40% - 강조색6 4 4 9" xfId="19857"/>
    <cellStyle name="40% - 강조색6 4 5" xfId="19858"/>
    <cellStyle name="40% - 강조색6 4 5 2" xfId="19859"/>
    <cellStyle name="40% - 강조색6 4 5 2 2" xfId="19860"/>
    <cellStyle name="40% - 강조색6 4 5 2 2 2" xfId="19861"/>
    <cellStyle name="40% - 강조색6 4 5 2 2 2 2" xfId="19862"/>
    <cellStyle name="40% - 강조색6 4 5 2 2 2 3" xfId="19863"/>
    <cellStyle name="40% - 강조색6 4 5 2 2 3" xfId="19864"/>
    <cellStyle name="40% - 강조색6 4 5 2 2 4" xfId="19865"/>
    <cellStyle name="40% - 강조색6 4 5 2 3" xfId="19866"/>
    <cellStyle name="40% - 강조색6 4 5 2 3 2" xfId="19867"/>
    <cellStyle name="40% - 강조색6 4 5 2 3 3" xfId="19868"/>
    <cellStyle name="40% - 강조색6 4 5 2 4" xfId="19869"/>
    <cellStyle name="40% - 강조색6 4 5 2 5" xfId="19870"/>
    <cellStyle name="40% - 강조색6 4 5 3" xfId="19871"/>
    <cellStyle name="40% - 강조색6 4 5 3 2" xfId="19872"/>
    <cellStyle name="40% - 강조색6 4 5 3 2 2" xfId="19873"/>
    <cellStyle name="40% - 강조색6 4 5 3 2 2 2" xfId="19874"/>
    <cellStyle name="40% - 강조색6 4 5 3 2 2 3" xfId="19875"/>
    <cellStyle name="40% - 강조색6 4 5 3 2 3" xfId="19876"/>
    <cellStyle name="40% - 강조색6 4 5 3 2 4" xfId="19877"/>
    <cellStyle name="40% - 강조색6 4 5 3 3" xfId="19878"/>
    <cellStyle name="40% - 강조색6 4 5 3 3 2" xfId="19879"/>
    <cellStyle name="40% - 강조색6 4 5 3 3 3" xfId="19880"/>
    <cellStyle name="40% - 강조색6 4 5 3 4" xfId="19881"/>
    <cellStyle name="40% - 강조색6 4 5 3 5" xfId="19882"/>
    <cellStyle name="40% - 강조색6 4 5 4" xfId="19883"/>
    <cellStyle name="40% - 강조색6 4 5 4 2" xfId="19884"/>
    <cellStyle name="40% - 강조색6 4 5 4 2 2" xfId="19885"/>
    <cellStyle name="40% - 강조색6 4 5 4 2 3" xfId="19886"/>
    <cellStyle name="40% - 강조색6 4 5 4 3" xfId="19887"/>
    <cellStyle name="40% - 강조색6 4 5 4 4" xfId="19888"/>
    <cellStyle name="40% - 강조색6 4 5 5" xfId="19889"/>
    <cellStyle name="40% - 강조색6 4 5 5 2" xfId="19890"/>
    <cellStyle name="40% - 강조색6 4 5 5 3" xfId="19891"/>
    <cellStyle name="40% - 강조색6 4 5 6" xfId="19892"/>
    <cellStyle name="40% - 강조색6 4 5 7" xfId="19893"/>
    <cellStyle name="40% - 강조색6 4 6" xfId="19894"/>
    <cellStyle name="40% - 강조색6 4 6 2" xfId="19895"/>
    <cellStyle name="40% - 강조색6 4 6 2 2" xfId="19896"/>
    <cellStyle name="40% - 강조색6 4 6 2 2 2" xfId="19897"/>
    <cellStyle name="40% - 강조색6 4 6 2 2 2 2" xfId="19898"/>
    <cellStyle name="40% - 강조색6 4 6 2 2 2 3" xfId="19899"/>
    <cellStyle name="40% - 강조색6 4 6 2 2 3" xfId="19900"/>
    <cellStyle name="40% - 강조색6 4 6 2 2 4" xfId="19901"/>
    <cellStyle name="40% - 강조색6 4 6 2 3" xfId="19902"/>
    <cellStyle name="40% - 강조색6 4 6 2 3 2" xfId="19903"/>
    <cellStyle name="40% - 강조색6 4 6 2 3 3" xfId="19904"/>
    <cellStyle name="40% - 강조색6 4 6 2 4" xfId="19905"/>
    <cellStyle name="40% - 강조색6 4 6 2 5" xfId="19906"/>
    <cellStyle name="40% - 강조색6 4 6 3" xfId="19907"/>
    <cellStyle name="40% - 강조색6 4 6 3 2" xfId="19908"/>
    <cellStyle name="40% - 강조색6 4 6 3 2 2" xfId="19909"/>
    <cellStyle name="40% - 강조색6 4 6 3 2 2 2" xfId="19910"/>
    <cellStyle name="40% - 강조색6 4 6 3 2 2 3" xfId="19911"/>
    <cellStyle name="40% - 강조색6 4 6 3 2 3" xfId="19912"/>
    <cellStyle name="40% - 강조색6 4 6 3 2 4" xfId="19913"/>
    <cellStyle name="40% - 강조색6 4 6 3 3" xfId="19914"/>
    <cellStyle name="40% - 강조색6 4 6 3 3 2" xfId="19915"/>
    <cellStyle name="40% - 강조색6 4 6 3 3 3" xfId="19916"/>
    <cellStyle name="40% - 강조색6 4 6 3 4" xfId="19917"/>
    <cellStyle name="40% - 강조색6 4 6 3 5" xfId="19918"/>
    <cellStyle name="40% - 강조색6 4 6 4" xfId="19919"/>
    <cellStyle name="40% - 강조색6 4 6 4 2" xfId="19920"/>
    <cellStyle name="40% - 강조색6 4 6 4 2 2" xfId="19921"/>
    <cellStyle name="40% - 강조색6 4 6 4 2 3" xfId="19922"/>
    <cellStyle name="40% - 강조색6 4 6 4 3" xfId="19923"/>
    <cellStyle name="40% - 강조색6 4 6 4 4" xfId="19924"/>
    <cellStyle name="40% - 강조색6 4 6 5" xfId="19925"/>
    <cellStyle name="40% - 강조색6 4 6 5 2" xfId="19926"/>
    <cellStyle name="40% - 강조색6 4 6 5 3" xfId="19927"/>
    <cellStyle name="40% - 강조색6 4 6 6" xfId="19928"/>
    <cellStyle name="40% - 강조색6 4 6 7" xfId="19929"/>
    <cellStyle name="40% - 강조색6 4 7" xfId="19930"/>
    <cellStyle name="40% - 강조색6 4 7 2" xfId="19931"/>
    <cellStyle name="40% - 강조색6 4 7 2 2" xfId="19932"/>
    <cellStyle name="40% - 강조색6 4 7 2 2 2" xfId="19933"/>
    <cellStyle name="40% - 강조색6 4 7 2 2 3" xfId="19934"/>
    <cellStyle name="40% - 강조색6 4 7 2 3" xfId="19935"/>
    <cellStyle name="40% - 강조색6 4 7 2 4" xfId="19936"/>
    <cellStyle name="40% - 강조색6 4 7 3" xfId="19937"/>
    <cellStyle name="40% - 강조색6 4 7 3 2" xfId="19938"/>
    <cellStyle name="40% - 강조색6 4 7 3 3" xfId="19939"/>
    <cellStyle name="40% - 강조색6 4 7 4" xfId="19940"/>
    <cellStyle name="40% - 강조색6 4 7 5" xfId="19941"/>
    <cellStyle name="40% - 강조색6 4 8" xfId="19942"/>
    <cellStyle name="40% - 강조색6 4 8 2" xfId="19943"/>
    <cellStyle name="40% - 강조색6 4 8 2 2" xfId="19944"/>
    <cellStyle name="40% - 강조색6 4 8 2 2 2" xfId="19945"/>
    <cellStyle name="40% - 강조색6 4 8 2 2 3" xfId="19946"/>
    <cellStyle name="40% - 강조색6 4 8 2 3" xfId="19947"/>
    <cellStyle name="40% - 강조색6 4 8 2 4" xfId="19948"/>
    <cellStyle name="40% - 강조색6 4 8 3" xfId="19949"/>
    <cellStyle name="40% - 강조색6 4 8 3 2" xfId="19950"/>
    <cellStyle name="40% - 강조색6 4 8 3 3" xfId="19951"/>
    <cellStyle name="40% - 강조색6 4 8 4" xfId="19952"/>
    <cellStyle name="40% - 강조색6 4 8 5" xfId="19953"/>
    <cellStyle name="40% - 강조색6 4 9" xfId="19954"/>
    <cellStyle name="40% - 강조색6 4 9 2" xfId="19955"/>
    <cellStyle name="40% - 강조색6 4 9 2 2" xfId="19956"/>
    <cellStyle name="40% - 강조색6 4 9 2 2 2" xfId="19957"/>
    <cellStyle name="40% - 강조색6 4 9 2 2 3" xfId="19958"/>
    <cellStyle name="40% - 강조색6 4 9 2 3" xfId="19959"/>
    <cellStyle name="40% - 강조색6 4 9 2 4" xfId="19960"/>
    <cellStyle name="40% - 강조색6 4 9 3" xfId="19961"/>
    <cellStyle name="40% - 강조색6 4 9 3 2" xfId="19962"/>
    <cellStyle name="40% - 강조색6 4 9 3 3" xfId="19963"/>
    <cellStyle name="40% - 강조색6 4 9 4" xfId="19964"/>
    <cellStyle name="40% - 강조색6 4 9 5" xfId="19965"/>
    <cellStyle name="40% - 강조색6 40" xfId="19966"/>
    <cellStyle name="40% - 강조색6 41" xfId="19967"/>
    <cellStyle name="40% - 강조색6 42" xfId="19968"/>
    <cellStyle name="40% - 강조색6 43" xfId="19969"/>
    <cellStyle name="40% - 강조색6 44" xfId="19970"/>
    <cellStyle name="40% - 강조색6 45" xfId="19971"/>
    <cellStyle name="40% - 강조색6 46" xfId="19972"/>
    <cellStyle name="40% - 강조색6 47" xfId="19973"/>
    <cellStyle name="40% - 강조색6 48" xfId="19974"/>
    <cellStyle name="40% - 강조색6 49" xfId="19975"/>
    <cellStyle name="40% - 강조색6 5" xfId="19976"/>
    <cellStyle name="40% - 강조색6 5 10" xfId="19977"/>
    <cellStyle name="40% - 강조색6 5 11" xfId="19978"/>
    <cellStyle name="40% - 강조색6 5 2" xfId="19979"/>
    <cellStyle name="40% - 강조색6 5 2 2" xfId="19980"/>
    <cellStyle name="40% - 강조색6 5 2 2 2" xfId="19981"/>
    <cellStyle name="40% - 강조색6 5 2 2 2 2" xfId="19982"/>
    <cellStyle name="40% - 강조색6 5 2 2 2 2 2" xfId="19983"/>
    <cellStyle name="40% - 강조색6 5 2 2 2 2 3" xfId="19984"/>
    <cellStyle name="40% - 강조색6 5 2 2 2 3" xfId="19985"/>
    <cellStyle name="40% - 강조색6 5 2 2 2 4" xfId="19986"/>
    <cellStyle name="40% - 강조색6 5 2 2 3" xfId="19987"/>
    <cellStyle name="40% - 강조색6 5 2 2 3 2" xfId="19988"/>
    <cellStyle name="40% - 강조색6 5 2 2 3 3" xfId="19989"/>
    <cellStyle name="40% - 강조색6 5 2 2 4" xfId="19990"/>
    <cellStyle name="40% - 강조색6 5 2 2 5" xfId="19991"/>
    <cellStyle name="40% - 강조색6 5 2 3" xfId="19992"/>
    <cellStyle name="40% - 강조색6 5 2 3 2" xfId="19993"/>
    <cellStyle name="40% - 강조색6 5 2 3 2 2" xfId="19994"/>
    <cellStyle name="40% - 강조색6 5 2 3 2 2 2" xfId="19995"/>
    <cellStyle name="40% - 강조색6 5 2 3 2 2 3" xfId="19996"/>
    <cellStyle name="40% - 강조색6 5 2 3 2 3" xfId="19997"/>
    <cellStyle name="40% - 강조색6 5 2 3 2 4" xfId="19998"/>
    <cellStyle name="40% - 강조색6 5 2 3 3" xfId="19999"/>
    <cellStyle name="40% - 강조색6 5 2 3 3 2" xfId="20000"/>
    <cellStyle name="40% - 강조색6 5 2 3 3 3" xfId="20001"/>
    <cellStyle name="40% - 강조색6 5 2 3 4" xfId="20002"/>
    <cellStyle name="40% - 강조색6 5 2 3 5" xfId="20003"/>
    <cellStyle name="40% - 강조색6 5 2 4" xfId="20004"/>
    <cellStyle name="40% - 강조색6 5 2 4 2" xfId="20005"/>
    <cellStyle name="40% - 강조색6 5 2 4 2 2" xfId="20006"/>
    <cellStyle name="40% - 강조색6 5 2 4 2 3" xfId="20007"/>
    <cellStyle name="40% - 강조색6 5 2 4 3" xfId="20008"/>
    <cellStyle name="40% - 강조색6 5 2 4 4" xfId="20009"/>
    <cellStyle name="40% - 강조색6 5 2 5" xfId="20010"/>
    <cellStyle name="40% - 강조색6 5 2 5 2" xfId="20011"/>
    <cellStyle name="40% - 강조색6 5 2 5 3" xfId="20012"/>
    <cellStyle name="40% - 강조색6 5 2 6" xfId="20013"/>
    <cellStyle name="40% - 강조색6 5 2 7" xfId="20014"/>
    <cellStyle name="40% - 강조색6 5 3" xfId="20015"/>
    <cellStyle name="40% - 강조색6 5 3 2" xfId="20016"/>
    <cellStyle name="40% - 강조색6 5 3 2 2" xfId="20017"/>
    <cellStyle name="40% - 강조색6 5 3 2 2 2" xfId="20018"/>
    <cellStyle name="40% - 강조색6 5 3 2 2 2 2" xfId="20019"/>
    <cellStyle name="40% - 강조색6 5 3 2 2 2 3" xfId="20020"/>
    <cellStyle name="40% - 강조색6 5 3 2 2 3" xfId="20021"/>
    <cellStyle name="40% - 강조색6 5 3 2 2 4" xfId="20022"/>
    <cellStyle name="40% - 강조색6 5 3 2 3" xfId="20023"/>
    <cellStyle name="40% - 강조색6 5 3 2 3 2" xfId="20024"/>
    <cellStyle name="40% - 강조색6 5 3 2 3 3" xfId="20025"/>
    <cellStyle name="40% - 강조색6 5 3 2 4" xfId="20026"/>
    <cellStyle name="40% - 강조색6 5 3 2 5" xfId="20027"/>
    <cellStyle name="40% - 강조색6 5 3 3" xfId="20028"/>
    <cellStyle name="40% - 강조색6 5 3 3 2" xfId="20029"/>
    <cellStyle name="40% - 강조색6 5 3 3 2 2" xfId="20030"/>
    <cellStyle name="40% - 강조색6 5 3 3 2 2 2" xfId="20031"/>
    <cellStyle name="40% - 강조색6 5 3 3 2 2 3" xfId="20032"/>
    <cellStyle name="40% - 강조색6 5 3 3 2 3" xfId="20033"/>
    <cellStyle name="40% - 강조색6 5 3 3 2 4" xfId="20034"/>
    <cellStyle name="40% - 강조색6 5 3 3 3" xfId="20035"/>
    <cellStyle name="40% - 강조색6 5 3 3 3 2" xfId="20036"/>
    <cellStyle name="40% - 강조색6 5 3 3 3 3" xfId="20037"/>
    <cellStyle name="40% - 강조색6 5 3 3 4" xfId="20038"/>
    <cellStyle name="40% - 강조색6 5 3 3 5" xfId="20039"/>
    <cellStyle name="40% - 강조색6 5 3 4" xfId="20040"/>
    <cellStyle name="40% - 강조색6 5 3 4 2" xfId="20041"/>
    <cellStyle name="40% - 강조색6 5 3 4 2 2" xfId="20042"/>
    <cellStyle name="40% - 강조색6 5 3 4 2 3" xfId="20043"/>
    <cellStyle name="40% - 강조색6 5 3 4 3" xfId="20044"/>
    <cellStyle name="40% - 강조색6 5 3 4 4" xfId="20045"/>
    <cellStyle name="40% - 강조색6 5 3 5" xfId="20046"/>
    <cellStyle name="40% - 강조색6 5 3 5 2" xfId="20047"/>
    <cellStyle name="40% - 강조색6 5 3 5 3" xfId="20048"/>
    <cellStyle name="40% - 강조색6 5 3 6" xfId="20049"/>
    <cellStyle name="40% - 강조색6 5 3 7" xfId="20050"/>
    <cellStyle name="40% - 강조색6 5 4" xfId="20051"/>
    <cellStyle name="40% - 강조색6 5 4 2" xfId="20052"/>
    <cellStyle name="40% - 강조색6 5 4 2 2" xfId="20053"/>
    <cellStyle name="40% - 강조색6 5 4 2 2 2" xfId="20054"/>
    <cellStyle name="40% - 강조색6 5 4 2 2 3" xfId="20055"/>
    <cellStyle name="40% - 강조색6 5 4 2 3" xfId="20056"/>
    <cellStyle name="40% - 강조색6 5 4 2 4" xfId="20057"/>
    <cellStyle name="40% - 강조색6 5 4 3" xfId="20058"/>
    <cellStyle name="40% - 강조색6 5 4 3 2" xfId="20059"/>
    <cellStyle name="40% - 강조색6 5 4 3 3" xfId="20060"/>
    <cellStyle name="40% - 강조색6 5 4 4" xfId="20061"/>
    <cellStyle name="40% - 강조색6 5 4 5" xfId="20062"/>
    <cellStyle name="40% - 강조색6 5 5" xfId="20063"/>
    <cellStyle name="40% - 강조색6 5 5 2" xfId="20064"/>
    <cellStyle name="40% - 강조색6 5 5 2 2" xfId="20065"/>
    <cellStyle name="40% - 강조색6 5 5 2 2 2" xfId="20066"/>
    <cellStyle name="40% - 강조색6 5 5 2 2 3" xfId="20067"/>
    <cellStyle name="40% - 강조색6 5 5 2 3" xfId="20068"/>
    <cellStyle name="40% - 강조색6 5 5 2 4" xfId="20069"/>
    <cellStyle name="40% - 강조색6 5 5 3" xfId="20070"/>
    <cellStyle name="40% - 강조색6 5 5 3 2" xfId="20071"/>
    <cellStyle name="40% - 강조색6 5 5 3 3" xfId="20072"/>
    <cellStyle name="40% - 강조색6 5 5 4" xfId="20073"/>
    <cellStyle name="40% - 강조색6 5 5 5" xfId="20074"/>
    <cellStyle name="40% - 강조색6 5 6" xfId="20075"/>
    <cellStyle name="40% - 강조색6 5 6 2" xfId="20076"/>
    <cellStyle name="40% - 강조색6 5 6 2 2" xfId="20077"/>
    <cellStyle name="40% - 강조색6 5 6 2 2 2" xfId="20078"/>
    <cellStyle name="40% - 강조색6 5 6 2 2 3" xfId="20079"/>
    <cellStyle name="40% - 강조색6 5 6 2 3" xfId="20080"/>
    <cellStyle name="40% - 강조색6 5 6 2 4" xfId="20081"/>
    <cellStyle name="40% - 강조색6 5 6 3" xfId="20082"/>
    <cellStyle name="40% - 강조색6 5 6 3 2" xfId="20083"/>
    <cellStyle name="40% - 강조색6 5 6 3 3" xfId="20084"/>
    <cellStyle name="40% - 강조색6 5 6 4" xfId="20085"/>
    <cellStyle name="40% - 강조색6 5 6 5" xfId="20086"/>
    <cellStyle name="40% - 강조색6 5 7" xfId="20087"/>
    <cellStyle name="40% - 강조색6 5 7 2" xfId="20088"/>
    <cellStyle name="40% - 강조색6 5 7 2 2" xfId="20089"/>
    <cellStyle name="40% - 강조색6 5 7 2 3" xfId="20090"/>
    <cellStyle name="40% - 강조색6 5 7 3" xfId="20091"/>
    <cellStyle name="40% - 강조색6 5 7 4" xfId="20092"/>
    <cellStyle name="40% - 강조색6 5 8" xfId="20093"/>
    <cellStyle name="40% - 강조색6 5 8 2" xfId="20094"/>
    <cellStyle name="40% - 강조색6 5 8 3" xfId="20095"/>
    <cellStyle name="40% - 강조색6 5 9" xfId="20096"/>
    <cellStyle name="40% - 강조색6 50" xfId="20097"/>
    <cellStyle name="40% - 강조색6 51" xfId="20098"/>
    <cellStyle name="40% - 강조색6 52" xfId="20099"/>
    <cellStyle name="40% - 강조색6 53" xfId="20100"/>
    <cellStyle name="40% - 강조색6 54" xfId="20101"/>
    <cellStyle name="40% - 강조색6 55" xfId="20102"/>
    <cellStyle name="40% - 강조색6 56" xfId="20103"/>
    <cellStyle name="40% - 강조색6 57" xfId="20104"/>
    <cellStyle name="40% - 강조색6 58" xfId="20105"/>
    <cellStyle name="40% - 강조색6 59" xfId="20106"/>
    <cellStyle name="40% - 강조색6 6" xfId="20107"/>
    <cellStyle name="40% - 강조색6 6 10" xfId="20108"/>
    <cellStyle name="40% - 강조색6 6 2" xfId="20109"/>
    <cellStyle name="40% - 강조색6 6 2 2" xfId="20110"/>
    <cellStyle name="40% - 강조색6 6 2 2 2" xfId="20111"/>
    <cellStyle name="40% - 강조색6 6 2 2 2 2" xfId="20112"/>
    <cellStyle name="40% - 강조색6 6 2 2 2 2 2" xfId="20113"/>
    <cellStyle name="40% - 강조색6 6 2 2 2 2 3" xfId="20114"/>
    <cellStyle name="40% - 강조색6 6 2 2 2 3" xfId="20115"/>
    <cellStyle name="40% - 강조색6 6 2 2 2 4" xfId="20116"/>
    <cellStyle name="40% - 강조색6 6 2 2 3" xfId="20117"/>
    <cellStyle name="40% - 강조색6 6 2 2 3 2" xfId="20118"/>
    <cellStyle name="40% - 강조색6 6 2 2 3 3" xfId="20119"/>
    <cellStyle name="40% - 강조색6 6 2 2 4" xfId="20120"/>
    <cellStyle name="40% - 강조색6 6 2 2 5" xfId="20121"/>
    <cellStyle name="40% - 강조색6 6 2 3" xfId="20122"/>
    <cellStyle name="40% - 강조색6 6 2 3 2" xfId="20123"/>
    <cellStyle name="40% - 강조색6 6 2 3 2 2" xfId="20124"/>
    <cellStyle name="40% - 강조색6 6 2 3 2 2 2" xfId="20125"/>
    <cellStyle name="40% - 강조색6 6 2 3 2 2 3" xfId="20126"/>
    <cellStyle name="40% - 강조색6 6 2 3 2 3" xfId="20127"/>
    <cellStyle name="40% - 강조색6 6 2 3 2 4" xfId="20128"/>
    <cellStyle name="40% - 강조색6 6 2 3 3" xfId="20129"/>
    <cellStyle name="40% - 강조색6 6 2 3 3 2" xfId="20130"/>
    <cellStyle name="40% - 강조색6 6 2 3 3 3" xfId="20131"/>
    <cellStyle name="40% - 강조색6 6 2 3 4" xfId="20132"/>
    <cellStyle name="40% - 강조색6 6 2 3 5" xfId="20133"/>
    <cellStyle name="40% - 강조색6 6 2 4" xfId="20134"/>
    <cellStyle name="40% - 강조색6 6 2 4 2" xfId="20135"/>
    <cellStyle name="40% - 강조색6 6 2 4 2 2" xfId="20136"/>
    <cellStyle name="40% - 강조색6 6 2 4 2 3" xfId="20137"/>
    <cellStyle name="40% - 강조색6 6 2 4 3" xfId="20138"/>
    <cellStyle name="40% - 강조색6 6 2 4 4" xfId="20139"/>
    <cellStyle name="40% - 강조색6 6 2 5" xfId="20140"/>
    <cellStyle name="40% - 강조색6 6 2 5 2" xfId="20141"/>
    <cellStyle name="40% - 강조색6 6 2 5 3" xfId="20142"/>
    <cellStyle name="40% - 강조색6 6 2 6" xfId="20143"/>
    <cellStyle name="40% - 강조색6 6 2 7" xfId="20144"/>
    <cellStyle name="40% - 강조색6 6 3" xfId="20145"/>
    <cellStyle name="40% - 강조색6 6 3 2" xfId="20146"/>
    <cellStyle name="40% - 강조색6 6 3 2 2" xfId="20147"/>
    <cellStyle name="40% - 강조색6 6 3 2 2 2" xfId="20148"/>
    <cellStyle name="40% - 강조색6 6 3 2 2 2 2" xfId="20149"/>
    <cellStyle name="40% - 강조색6 6 3 2 2 2 3" xfId="20150"/>
    <cellStyle name="40% - 강조색6 6 3 2 2 3" xfId="20151"/>
    <cellStyle name="40% - 강조색6 6 3 2 2 4" xfId="20152"/>
    <cellStyle name="40% - 강조색6 6 3 2 3" xfId="20153"/>
    <cellStyle name="40% - 강조색6 6 3 2 3 2" xfId="20154"/>
    <cellStyle name="40% - 강조색6 6 3 2 3 3" xfId="20155"/>
    <cellStyle name="40% - 강조색6 6 3 2 4" xfId="20156"/>
    <cellStyle name="40% - 강조색6 6 3 2 5" xfId="20157"/>
    <cellStyle name="40% - 강조색6 6 3 3" xfId="20158"/>
    <cellStyle name="40% - 강조색6 6 3 3 2" xfId="20159"/>
    <cellStyle name="40% - 강조색6 6 3 3 2 2" xfId="20160"/>
    <cellStyle name="40% - 강조색6 6 3 3 2 2 2" xfId="20161"/>
    <cellStyle name="40% - 강조색6 6 3 3 2 2 3" xfId="20162"/>
    <cellStyle name="40% - 강조색6 6 3 3 2 3" xfId="20163"/>
    <cellStyle name="40% - 강조색6 6 3 3 2 4" xfId="20164"/>
    <cellStyle name="40% - 강조색6 6 3 3 3" xfId="20165"/>
    <cellStyle name="40% - 강조색6 6 3 3 3 2" xfId="20166"/>
    <cellStyle name="40% - 강조색6 6 3 3 3 3" xfId="20167"/>
    <cellStyle name="40% - 강조색6 6 3 3 4" xfId="20168"/>
    <cellStyle name="40% - 강조색6 6 3 3 5" xfId="20169"/>
    <cellStyle name="40% - 강조색6 6 3 4" xfId="20170"/>
    <cellStyle name="40% - 강조색6 6 3 4 2" xfId="20171"/>
    <cellStyle name="40% - 강조색6 6 3 4 2 2" xfId="20172"/>
    <cellStyle name="40% - 강조색6 6 3 4 2 3" xfId="20173"/>
    <cellStyle name="40% - 강조색6 6 3 4 3" xfId="20174"/>
    <cellStyle name="40% - 강조색6 6 3 4 4" xfId="20175"/>
    <cellStyle name="40% - 강조색6 6 3 5" xfId="20176"/>
    <cellStyle name="40% - 강조색6 6 3 5 2" xfId="20177"/>
    <cellStyle name="40% - 강조색6 6 3 5 3" xfId="20178"/>
    <cellStyle name="40% - 강조색6 6 3 6" xfId="20179"/>
    <cellStyle name="40% - 강조색6 6 3 7" xfId="20180"/>
    <cellStyle name="40% - 강조색6 6 4" xfId="20181"/>
    <cellStyle name="40% - 강조색6 6 4 2" xfId="20182"/>
    <cellStyle name="40% - 강조색6 6 4 2 2" xfId="20183"/>
    <cellStyle name="40% - 강조색6 6 4 2 2 2" xfId="20184"/>
    <cellStyle name="40% - 강조색6 6 4 2 2 3" xfId="20185"/>
    <cellStyle name="40% - 강조색6 6 4 2 3" xfId="20186"/>
    <cellStyle name="40% - 강조색6 6 4 2 4" xfId="20187"/>
    <cellStyle name="40% - 강조색6 6 4 3" xfId="20188"/>
    <cellStyle name="40% - 강조색6 6 4 3 2" xfId="20189"/>
    <cellStyle name="40% - 강조색6 6 4 3 3" xfId="20190"/>
    <cellStyle name="40% - 강조색6 6 4 4" xfId="20191"/>
    <cellStyle name="40% - 강조색6 6 4 5" xfId="20192"/>
    <cellStyle name="40% - 강조색6 6 5" xfId="20193"/>
    <cellStyle name="40% - 강조색6 6 5 2" xfId="20194"/>
    <cellStyle name="40% - 강조색6 6 5 2 2" xfId="20195"/>
    <cellStyle name="40% - 강조색6 6 5 2 2 2" xfId="20196"/>
    <cellStyle name="40% - 강조색6 6 5 2 2 3" xfId="20197"/>
    <cellStyle name="40% - 강조색6 6 5 2 3" xfId="20198"/>
    <cellStyle name="40% - 강조색6 6 5 2 4" xfId="20199"/>
    <cellStyle name="40% - 강조색6 6 5 3" xfId="20200"/>
    <cellStyle name="40% - 강조색6 6 5 3 2" xfId="20201"/>
    <cellStyle name="40% - 강조색6 6 5 3 3" xfId="20202"/>
    <cellStyle name="40% - 강조색6 6 5 4" xfId="20203"/>
    <cellStyle name="40% - 강조색6 6 5 5" xfId="20204"/>
    <cellStyle name="40% - 강조색6 6 6" xfId="20205"/>
    <cellStyle name="40% - 강조색6 6 6 2" xfId="20206"/>
    <cellStyle name="40% - 강조색6 6 6 2 2" xfId="20207"/>
    <cellStyle name="40% - 강조색6 6 6 2 2 2" xfId="20208"/>
    <cellStyle name="40% - 강조색6 6 6 2 2 3" xfId="20209"/>
    <cellStyle name="40% - 강조색6 6 6 2 3" xfId="20210"/>
    <cellStyle name="40% - 강조색6 6 6 2 4" xfId="20211"/>
    <cellStyle name="40% - 강조색6 6 6 3" xfId="20212"/>
    <cellStyle name="40% - 강조색6 6 6 3 2" xfId="20213"/>
    <cellStyle name="40% - 강조색6 6 6 3 3" xfId="20214"/>
    <cellStyle name="40% - 강조색6 6 6 4" xfId="20215"/>
    <cellStyle name="40% - 강조색6 6 6 5" xfId="20216"/>
    <cellStyle name="40% - 강조색6 6 7" xfId="20217"/>
    <cellStyle name="40% - 강조색6 6 7 2" xfId="20218"/>
    <cellStyle name="40% - 강조색6 6 7 2 2" xfId="20219"/>
    <cellStyle name="40% - 강조색6 6 7 2 3" xfId="20220"/>
    <cellStyle name="40% - 강조색6 6 7 3" xfId="20221"/>
    <cellStyle name="40% - 강조색6 6 7 4" xfId="20222"/>
    <cellStyle name="40% - 강조색6 6 8" xfId="20223"/>
    <cellStyle name="40% - 강조색6 6 8 2" xfId="20224"/>
    <cellStyle name="40% - 강조색6 6 8 3" xfId="20225"/>
    <cellStyle name="40% - 강조색6 6 9" xfId="20226"/>
    <cellStyle name="40% - 강조색6 60" xfId="20227"/>
    <cellStyle name="40% - 강조색6 61" xfId="20228"/>
    <cellStyle name="40% - 강조색6 62" xfId="20229"/>
    <cellStyle name="40% - 강조색6 63" xfId="20230"/>
    <cellStyle name="40% - 강조색6 64" xfId="20231"/>
    <cellStyle name="40% - 강조색6 65" xfId="20232"/>
    <cellStyle name="40% - 강조색6 66" xfId="20233"/>
    <cellStyle name="40% - 강조색6 67" xfId="20234"/>
    <cellStyle name="40% - 강조색6 68" xfId="20235"/>
    <cellStyle name="40% - 강조색6 69" xfId="20236"/>
    <cellStyle name="40% - 강조색6 7" xfId="20237"/>
    <cellStyle name="40% - 강조색6 7 10" xfId="20238"/>
    <cellStyle name="40% - 강조색6 7 2" xfId="20239"/>
    <cellStyle name="40% - 강조색6 7 2 2" xfId="20240"/>
    <cellStyle name="40% - 강조색6 7 2 2 2" xfId="20241"/>
    <cellStyle name="40% - 강조색6 7 2 2 2 2" xfId="20242"/>
    <cellStyle name="40% - 강조색6 7 2 2 2 2 2" xfId="20243"/>
    <cellStyle name="40% - 강조색6 7 2 2 2 2 3" xfId="20244"/>
    <cellStyle name="40% - 강조색6 7 2 2 2 3" xfId="20245"/>
    <cellStyle name="40% - 강조색6 7 2 2 2 4" xfId="20246"/>
    <cellStyle name="40% - 강조색6 7 2 2 3" xfId="20247"/>
    <cellStyle name="40% - 강조색6 7 2 2 3 2" xfId="20248"/>
    <cellStyle name="40% - 강조색6 7 2 2 3 3" xfId="20249"/>
    <cellStyle name="40% - 강조색6 7 2 2 4" xfId="20250"/>
    <cellStyle name="40% - 강조색6 7 2 2 5" xfId="20251"/>
    <cellStyle name="40% - 강조색6 7 2 3" xfId="20252"/>
    <cellStyle name="40% - 강조색6 7 2 3 2" xfId="20253"/>
    <cellStyle name="40% - 강조색6 7 2 3 2 2" xfId="20254"/>
    <cellStyle name="40% - 강조색6 7 2 3 2 2 2" xfId="20255"/>
    <cellStyle name="40% - 강조색6 7 2 3 2 2 3" xfId="20256"/>
    <cellStyle name="40% - 강조색6 7 2 3 2 3" xfId="20257"/>
    <cellStyle name="40% - 강조색6 7 2 3 2 4" xfId="20258"/>
    <cellStyle name="40% - 강조색6 7 2 3 3" xfId="20259"/>
    <cellStyle name="40% - 강조색6 7 2 3 3 2" xfId="20260"/>
    <cellStyle name="40% - 강조색6 7 2 3 3 3" xfId="20261"/>
    <cellStyle name="40% - 강조색6 7 2 3 4" xfId="20262"/>
    <cellStyle name="40% - 강조색6 7 2 3 5" xfId="20263"/>
    <cellStyle name="40% - 강조색6 7 2 4" xfId="20264"/>
    <cellStyle name="40% - 강조색6 7 2 4 2" xfId="20265"/>
    <cellStyle name="40% - 강조색6 7 2 4 2 2" xfId="20266"/>
    <cellStyle name="40% - 강조색6 7 2 4 2 3" xfId="20267"/>
    <cellStyle name="40% - 강조색6 7 2 4 3" xfId="20268"/>
    <cellStyle name="40% - 강조색6 7 2 4 4" xfId="20269"/>
    <cellStyle name="40% - 강조색6 7 2 5" xfId="20270"/>
    <cellStyle name="40% - 강조색6 7 2 5 2" xfId="20271"/>
    <cellStyle name="40% - 강조색6 7 2 5 3" xfId="20272"/>
    <cellStyle name="40% - 강조색6 7 2 6" xfId="20273"/>
    <cellStyle name="40% - 강조색6 7 2 7" xfId="20274"/>
    <cellStyle name="40% - 강조색6 7 3" xfId="20275"/>
    <cellStyle name="40% - 강조색6 7 3 2" xfId="20276"/>
    <cellStyle name="40% - 강조색6 7 3 2 2" xfId="20277"/>
    <cellStyle name="40% - 강조색6 7 3 2 2 2" xfId="20278"/>
    <cellStyle name="40% - 강조색6 7 3 2 2 2 2" xfId="20279"/>
    <cellStyle name="40% - 강조색6 7 3 2 2 2 3" xfId="20280"/>
    <cellStyle name="40% - 강조색6 7 3 2 2 3" xfId="20281"/>
    <cellStyle name="40% - 강조색6 7 3 2 2 4" xfId="20282"/>
    <cellStyle name="40% - 강조색6 7 3 2 3" xfId="20283"/>
    <cellStyle name="40% - 강조색6 7 3 2 3 2" xfId="20284"/>
    <cellStyle name="40% - 강조색6 7 3 2 3 3" xfId="20285"/>
    <cellStyle name="40% - 강조색6 7 3 2 4" xfId="20286"/>
    <cellStyle name="40% - 강조색6 7 3 2 5" xfId="20287"/>
    <cellStyle name="40% - 강조색6 7 3 3" xfId="20288"/>
    <cellStyle name="40% - 강조색6 7 3 3 2" xfId="20289"/>
    <cellStyle name="40% - 강조색6 7 3 3 2 2" xfId="20290"/>
    <cellStyle name="40% - 강조색6 7 3 3 2 2 2" xfId="20291"/>
    <cellStyle name="40% - 강조색6 7 3 3 2 2 3" xfId="20292"/>
    <cellStyle name="40% - 강조색6 7 3 3 2 3" xfId="20293"/>
    <cellStyle name="40% - 강조색6 7 3 3 2 4" xfId="20294"/>
    <cellStyle name="40% - 강조색6 7 3 3 3" xfId="20295"/>
    <cellStyle name="40% - 강조색6 7 3 3 3 2" xfId="20296"/>
    <cellStyle name="40% - 강조색6 7 3 3 3 3" xfId="20297"/>
    <cellStyle name="40% - 강조색6 7 3 3 4" xfId="20298"/>
    <cellStyle name="40% - 강조색6 7 3 3 5" xfId="20299"/>
    <cellStyle name="40% - 강조색6 7 3 4" xfId="20300"/>
    <cellStyle name="40% - 강조색6 7 3 4 2" xfId="20301"/>
    <cellStyle name="40% - 강조색6 7 3 4 2 2" xfId="20302"/>
    <cellStyle name="40% - 강조색6 7 3 4 2 3" xfId="20303"/>
    <cellStyle name="40% - 강조색6 7 3 4 3" xfId="20304"/>
    <cellStyle name="40% - 강조색6 7 3 4 4" xfId="20305"/>
    <cellStyle name="40% - 강조색6 7 3 5" xfId="20306"/>
    <cellStyle name="40% - 강조색6 7 3 5 2" xfId="20307"/>
    <cellStyle name="40% - 강조색6 7 3 5 3" xfId="20308"/>
    <cellStyle name="40% - 강조색6 7 3 6" xfId="20309"/>
    <cellStyle name="40% - 강조색6 7 3 7" xfId="20310"/>
    <cellStyle name="40% - 강조색6 7 4" xfId="20311"/>
    <cellStyle name="40% - 강조색6 7 4 2" xfId="20312"/>
    <cellStyle name="40% - 강조색6 7 4 2 2" xfId="20313"/>
    <cellStyle name="40% - 강조색6 7 4 2 2 2" xfId="20314"/>
    <cellStyle name="40% - 강조색6 7 4 2 2 3" xfId="20315"/>
    <cellStyle name="40% - 강조색6 7 4 2 3" xfId="20316"/>
    <cellStyle name="40% - 강조색6 7 4 2 4" xfId="20317"/>
    <cellStyle name="40% - 강조색6 7 4 3" xfId="20318"/>
    <cellStyle name="40% - 강조색6 7 4 3 2" xfId="20319"/>
    <cellStyle name="40% - 강조색6 7 4 3 3" xfId="20320"/>
    <cellStyle name="40% - 강조색6 7 4 4" xfId="20321"/>
    <cellStyle name="40% - 강조색6 7 4 5" xfId="20322"/>
    <cellStyle name="40% - 강조색6 7 5" xfId="20323"/>
    <cellStyle name="40% - 강조색6 7 5 2" xfId="20324"/>
    <cellStyle name="40% - 강조색6 7 5 2 2" xfId="20325"/>
    <cellStyle name="40% - 강조색6 7 5 2 2 2" xfId="20326"/>
    <cellStyle name="40% - 강조색6 7 5 2 2 3" xfId="20327"/>
    <cellStyle name="40% - 강조색6 7 5 2 3" xfId="20328"/>
    <cellStyle name="40% - 강조색6 7 5 2 4" xfId="20329"/>
    <cellStyle name="40% - 강조색6 7 5 3" xfId="20330"/>
    <cellStyle name="40% - 강조색6 7 5 3 2" xfId="20331"/>
    <cellStyle name="40% - 강조색6 7 5 3 3" xfId="20332"/>
    <cellStyle name="40% - 강조색6 7 5 4" xfId="20333"/>
    <cellStyle name="40% - 강조색6 7 5 5" xfId="20334"/>
    <cellStyle name="40% - 강조색6 7 6" xfId="20335"/>
    <cellStyle name="40% - 강조색6 7 6 2" xfId="20336"/>
    <cellStyle name="40% - 강조색6 7 6 2 2" xfId="20337"/>
    <cellStyle name="40% - 강조색6 7 6 2 2 2" xfId="20338"/>
    <cellStyle name="40% - 강조색6 7 6 2 2 3" xfId="20339"/>
    <cellStyle name="40% - 강조색6 7 6 2 3" xfId="20340"/>
    <cellStyle name="40% - 강조색6 7 6 2 4" xfId="20341"/>
    <cellStyle name="40% - 강조색6 7 6 3" xfId="20342"/>
    <cellStyle name="40% - 강조색6 7 6 3 2" xfId="20343"/>
    <cellStyle name="40% - 강조색6 7 6 3 3" xfId="20344"/>
    <cellStyle name="40% - 강조색6 7 6 4" xfId="20345"/>
    <cellStyle name="40% - 강조색6 7 6 5" xfId="20346"/>
    <cellStyle name="40% - 강조색6 7 7" xfId="20347"/>
    <cellStyle name="40% - 강조색6 7 7 2" xfId="20348"/>
    <cellStyle name="40% - 강조색6 7 7 2 2" xfId="20349"/>
    <cellStyle name="40% - 강조색6 7 7 2 3" xfId="20350"/>
    <cellStyle name="40% - 강조색6 7 7 3" xfId="20351"/>
    <cellStyle name="40% - 강조색6 7 7 4" xfId="20352"/>
    <cellStyle name="40% - 강조색6 7 8" xfId="20353"/>
    <cellStyle name="40% - 강조색6 7 8 2" xfId="20354"/>
    <cellStyle name="40% - 강조색6 7 8 3" xfId="20355"/>
    <cellStyle name="40% - 강조색6 7 9" xfId="20356"/>
    <cellStyle name="40% - 강조색6 8" xfId="20357"/>
    <cellStyle name="40% - 강조색6 8 2" xfId="20358"/>
    <cellStyle name="40% - 강조색6 8 2 2" xfId="20359"/>
    <cellStyle name="40% - 강조색6 8 2 2 2" xfId="20360"/>
    <cellStyle name="40% - 강조색6 8 2 2 2 2" xfId="20361"/>
    <cellStyle name="40% - 강조색6 8 2 2 2 3" xfId="20362"/>
    <cellStyle name="40% - 강조색6 8 2 2 3" xfId="20363"/>
    <cellStyle name="40% - 강조색6 8 2 2 4" xfId="20364"/>
    <cellStyle name="40% - 강조색6 8 2 3" xfId="20365"/>
    <cellStyle name="40% - 강조색6 8 2 3 2" xfId="20366"/>
    <cellStyle name="40% - 강조색6 8 2 3 3" xfId="20367"/>
    <cellStyle name="40% - 강조색6 8 2 4" xfId="20368"/>
    <cellStyle name="40% - 강조색6 8 2 5" xfId="20369"/>
    <cellStyle name="40% - 강조색6 8 3" xfId="20370"/>
    <cellStyle name="40% - 강조색6 8 3 2" xfId="20371"/>
    <cellStyle name="40% - 강조색6 8 3 2 2" xfId="20372"/>
    <cellStyle name="40% - 강조색6 8 3 2 2 2" xfId="20373"/>
    <cellStyle name="40% - 강조색6 8 3 2 2 3" xfId="20374"/>
    <cellStyle name="40% - 강조색6 8 3 2 3" xfId="20375"/>
    <cellStyle name="40% - 강조색6 8 3 2 4" xfId="20376"/>
    <cellStyle name="40% - 강조색6 8 3 3" xfId="20377"/>
    <cellStyle name="40% - 강조색6 8 3 3 2" xfId="20378"/>
    <cellStyle name="40% - 강조색6 8 3 3 3" xfId="20379"/>
    <cellStyle name="40% - 강조색6 8 3 4" xfId="20380"/>
    <cellStyle name="40% - 강조색6 8 3 5" xfId="20381"/>
    <cellStyle name="40% - 강조색6 8 4" xfId="20382"/>
    <cellStyle name="40% - 강조색6 8 4 2" xfId="20383"/>
    <cellStyle name="40% - 강조색6 8 4 2 2" xfId="20384"/>
    <cellStyle name="40% - 강조색6 8 4 2 3" xfId="20385"/>
    <cellStyle name="40% - 강조색6 8 4 3" xfId="20386"/>
    <cellStyle name="40% - 강조색6 8 4 4" xfId="20387"/>
    <cellStyle name="40% - 강조색6 8 5" xfId="20388"/>
    <cellStyle name="40% - 강조색6 8 5 2" xfId="20389"/>
    <cellStyle name="40% - 강조색6 8 5 3" xfId="20390"/>
    <cellStyle name="40% - 강조색6 8 6" xfId="20391"/>
    <cellStyle name="40% - 강조색6 8 7" xfId="20392"/>
    <cellStyle name="40% - 강조색6 9" xfId="20393"/>
    <cellStyle name="40% - 강조색6 9 2" xfId="20394"/>
    <cellStyle name="40% - 강조색6 9 2 2" xfId="20395"/>
    <cellStyle name="40% - 강조색6 9 2 2 2" xfId="20396"/>
    <cellStyle name="40% - 강조색6 9 2 2 2 2" xfId="20397"/>
    <cellStyle name="40% - 강조색6 9 2 2 2 3" xfId="20398"/>
    <cellStyle name="40% - 강조색6 9 2 2 3" xfId="20399"/>
    <cellStyle name="40% - 강조색6 9 2 2 4" xfId="20400"/>
    <cellStyle name="40% - 강조색6 9 2 3" xfId="20401"/>
    <cellStyle name="40% - 강조색6 9 2 3 2" xfId="20402"/>
    <cellStyle name="40% - 강조색6 9 2 3 3" xfId="20403"/>
    <cellStyle name="40% - 강조색6 9 2 4" xfId="20404"/>
    <cellStyle name="40% - 강조색6 9 2 5" xfId="20405"/>
    <cellStyle name="40% - 강조색6 9 3" xfId="20406"/>
    <cellStyle name="40% - 강조색6 9 3 2" xfId="20407"/>
    <cellStyle name="40% - 강조색6 9 3 2 2" xfId="20408"/>
    <cellStyle name="40% - 강조색6 9 3 2 2 2" xfId="20409"/>
    <cellStyle name="40% - 강조색6 9 3 2 2 3" xfId="20410"/>
    <cellStyle name="40% - 강조색6 9 3 2 3" xfId="20411"/>
    <cellStyle name="40% - 강조색6 9 3 2 4" xfId="20412"/>
    <cellStyle name="40% - 강조색6 9 3 3" xfId="20413"/>
    <cellStyle name="40% - 강조색6 9 3 3 2" xfId="20414"/>
    <cellStyle name="40% - 강조색6 9 3 3 3" xfId="20415"/>
    <cellStyle name="40% - 강조색6 9 3 4" xfId="20416"/>
    <cellStyle name="40% - 강조색6 9 3 5" xfId="20417"/>
    <cellStyle name="40% - 강조색6 9 4" xfId="20418"/>
    <cellStyle name="40% - 강조색6 9 4 2" xfId="20419"/>
    <cellStyle name="40% - 강조색6 9 4 2 2" xfId="20420"/>
    <cellStyle name="40% - 강조색6 9 4 2 3" xfId="20421"/>
    <cellStyle name="40% - 강조색6 9 4 3" xfId="20422"/>
    <cellStyle name="40% - 강조색6 9 4 4" xfId="20423"/>
    <cellStyle name="40% - 강조색6 9 5" xfId="20424"/>
    <cellStyle name="40% - 강조색6 9 5 2" xfId="20425"/>
    <cellStyle name="40% - 강조색6 9 5 3" xfId="20426"/>
    <cellStyle name="40% - 강조색6 9 6" xfId="20427"/>
    <cellStyle name="40% - 강조색6 9 7" xfId="20428"/>
    <cellStyle name="513l1ussendz_lbsouy`6ussendz_lbsouy`6_622k" xfId="20429"/>
    <cellStyle name="60% - Accent1 2" xfId="20431"/>
    <cellStyle name="60% - Accent1 2 2" xfId="20432"/>
    <cellStyle name="60% - Accent1 3" xfId="20433"/>
    <cellStyle name="60% - Accent1 3 2" xfId="20434"/>
    <cellStyle name="60% - Accent1 3 2 2" xfId="20435"/>
    <cellStyle name="60% - Accent1 4" xfId="20436"/>
    <cellStyle name="60% - Accent1 5" xfId="20430"/>
    <cellStyle name="60% - Accent2 2" xfId="20438"/>
    <cellStyle name="60% - Accent2 2 2" xfId="20439"/>
    <cellStyle name="60% - Accent2 3" xfId="20440"/>
    <cellStyle name="60% - Accent2 3 2" xfId="20441"/>
    <cellStyle name="60% - Accent2 3 2 2" xfId="20442"/>
    <cellStyle name="60% - Accent2 4" xfId="20443"/>
    <cellStyle name="60% - Accent2 5" xfId="20437"/>
    <cellStyle name="60% - Accent3 2" xfId="20445"/>
    <cellStyle name="60% - Accent3 2 2" xfId="20446"/>
    <cellStyle name="60% - Accent3 3" xfId="20447"/>
    <cellStyle name="60% - Accent3 3 2" xfId="20448"/>
    <cellStyle name="60% - Accent3 3 2 2" xfId="20449"/>
    <cellStyle name="60% - Accent3 4" xfId="20450"/>
    <cellStyle name="60% - Accent3 5" xfId="20444"/>
    <cellStyle name="60% - Accent4 2" xfId="20452"/>
    <cellStyle name="60% - Accent4 2 2" xfId="20453"/>
    <cellStyle name="60% - Accent4 3" xfId="20454"/>
    <cellStyle name="60% - Accent4 3 2" xfId="20455"/>
    <cellStyle name="60% - Accent4 3 2 2" xfId="20456"/>
    <cellStyle name="60% - Accent4 4" xfId="20457"/>
    <cellStyle name="60% - Accent4 5" xfId="20451"/>
    <cellStyle name="60% - Accent5 2" xfId="20459"/>
    <cellStyle name="60% - Accent5 2 2" xfId="20460"/>
    <cellStyle name="60% - Accent5 3" xfId="20461"/>
    <cellStyle name="60% - Accent5 3 2" xfId="20462"/>
    <cellStyle name="60% - Accent5 3 2 2" xfId="20463"/>
    <cellStyle name="60% - Accent5 4" xfId="20464"/>
    <cellStyle name="60% - Accent5 5" xfId="20458"/>
    <cellStyle name="60% - Accent6 2" xfId="20466"/>
    <cellStyle name="60% - Accent6 2 2" xfId="20467"/>
    <cellStyle name="60% - Accent6 3" xfId="20468"/>
    <cellStyle name="60% - Accent6 3 2" xfId="20469"/>
    <cellStyle name="60% - Accent6 3 2 2" xfId="20470"/>
    <cellStyle name="60% - Accent6 4" xfId="20471"/>
    <cellStyle name="60% - Accent6 5" xfId="20465"/>
    <cellStyle name="60% - 강조색1 10" xfId="20472"/>
    <cellStyle name="60% - 강조색1 11" xfId="20473"/>
    <cellStyle name="60% - 강조색1 12" xfId="20474"/>
    <cellStyle name="60% - 강조색1 13" xfId="20475"/>
    <cellStyle name="60% - 강조색1 14" xfId="20476"/>
    <cellStyle name="60% - 강조색1 15" xfId="20477"/>
    <cellStyle name="60% - 강조색1 2" xfId="20478"/>
    <cellStyle name="60% - 강조색1 2 2" xfId="20479"/>
    <cellStyle name="60% - 강조색1 2 2 2" xfId="20480"/>
    <cellStyle name="60% - 강조색1 2 3" xfId="20481"/>
    <cellStyle name="60% - 강조색1 3" xfId="20482"/>
    <cellStyle name="60% - 강조색1 3 2" xfId="20483"/>
    <cellStyle name="60% - 강조색1 3 3" xfId="20484"/>
    <cellStyle name="60% - 강조색1 4" xfId="20485"/>
    <cellStyle name="60% - 강조색1 4 2" xfId="20486"/>
    <cellStyle name="60% - 강조색1 5" xfId="20487"/>
    <cellStyle name="60% - 강조색1 6" xfId="20488"/>
    <cellStyle name="60% - 강조색1 7" xfId="20489"/>
    <cellStyle name="60% - 강조색1 8" xfId="20490"/>
    <cellStyle name="60% - 강조색1 9" xfId="20491"/>
    <cellStyle name="60% - 강조색2 10" xfId="20492"/>
    <cellStyle name="60% - 강조색2 11" xfId="20493"/>
    <cellStyle name="60% - 강조색2 12" xfId="20494"/>
    <cellStyle name="60% - 강조색2 13" xfId="20495"/>
    <cellStyle name="60% - 강조색2 14" xfId="20496"/>
    <cellStyle name="60% - 강조색2 15" xfId="20497"/>
    <cellStyle name="60% - 강조색2 2" xfId="20498"/>
    <cellStyle name="60% - 강조색2 2 2" xfId="20499"/>
    <cellStyle name="60% - 강조색2 2 2 2" xfId="20500"/>
    <cellStyle name="60% - 강조색2 2 3" xfId="20501"/>
    <cellStyle name="60% - 강조색2 3" xfId="20502"/>
    <cellStyle name="60% - 강조색2 3 2" xfId="20503"/>
    <cellStyle name="60% - 강조색2 3 3" xfId="20504"/>
    <cellStyle name="60% - 강조색2 4" xfId="20505"/>
    <cellStyle name="60% - 강조색2 4 2" xfId="20506"/>
    <cellStyle name="60% - 강조색2 5" xfId="20507"/>
    <cellStyle name="60% - 강조색2 6" xfId="20508"/>
    <cellStyle name="60% - 강조색2 7" xfId="20509"/>
    <cellStyle name="60% - 강조색2 8" xfId="20510"/>
    <cellStyle name="60% - 강조색2 9" xfId="20511"/>
    <cellStyle name="60% - 강조색3 10" xfId="20512"/>
    <cellStyle name="60% - 강조색3 11" xfId="20513"/>
    <cellStyle name="60% - 강조색3 12" xfId="20514"/>
    <cellStyle name="60% - 강조색3 13" xfId="20515"/>
    <cellStyle name="60% - 강조색3 14" xfId="20516"/>
    <cellStyle name="60% - 강조색3 15" xfId="20517"/>
    <cellStyle name="60% - 강조색3 2" xfId="20518"/>
    <cellStyle name="60% - 강조색3 2 2" xfId="20519"/>
    <cellStyle name="60% - 강조색3 2 2 2" xfId="20520"/>
    <cellStyle name="60% - 강조색3 2 3" xfId="20521"/>
    <cellStyle name="60% - 강조색3 3" xfId="20522"/>
    <cellStyle name="60% - 강조색3 3 2" xfId="20523"/>
    <cellStyle name="60% - 강조색3 3 3" xfId="20524"/>
    <cellStyle name="60% - 강조색3 4" xfId="20525"/>
    <cellStyle name="60% - 강조색3 4 2" xfId="20526"/>
    <cellStyle name="60% - 강조색3 5" xfId="20527"/>
    <cellStyle name="60% - 강조색3 6" xfId="20528"/>
    <cellStyle name="60% - 강조색3 7" xfId="20529"/>
    <cellStyle name="60% - 강조색3 8" xfId="20530"/>
    <cellStyle name="60% - 강조색3 9" xfId="20531"/>
    <cellStyle name="60% - 강조색4 10" xfId="20532"/>
    <cellStyle name="60% - 강조색4 11" xfId="20533"/>
    <cellStyle name="60% - 강조색4 12" xfId="20534"/>
    <cellStyle name="60% - 강조색4 13" xfId="20535"/>
    <cellStyle name="60% - 강조색4 14" xfId="20536"/>
    <cellStyle name="60% - 강조색4 15" xfId="20537"/>
    <cellStyle name="60% - 강조색4 2" xfId="20538"/>
    <cellStyle name="60% - 강조색4 2 2" xfId="20539"/>
    <cellStyle name="60% - 강조색4 2 2 2" xfId="20540"/>
    <cellStyle name="60% - 강조색4 2 3" xfId="20541"/>
    <cellStyle name="60% - 강조색4 3" xfId="20542"/>
    <cellStyle name="60% - 강조색4 3 2" xfId="20543"/>
    <cellStyle name="60% - 강조색4 3 3" xfId="20544"/>
    <cellStyle name="60% - 강조색4 4" xfId="20545"/>
    <cellStyle name="60% - 강조색4 4 2" xfId="20546"/>
    <cellStyle name="60% - 강조색4 5" xfId="20547"/>
    <cellStyle name="60% - 강조색4 6" xfId="20548"/>
    <cellStyle name="60% - 강조색4 7" xfId="20549"/>
    <cellStyle name="60% - 강조색4 8" xfId="20550"/>
    <cellStyle name="60% - 강조색4 9" xfId="20551"/>
    <cellStyle name="60% - 강조색5 10" xfId="20552"/>
    <cellStyle name="60% - 강조색5 11" xfId="20553"/>
    <cellStyle name="60% - 강조색5 12" xfId="20554"/>
    <cellStyle name="60% - 강조색5 13" xfId="20555"/>
    <cellStyle name="60% - 강조색5 14" xfId="20556"/>
    <cellStyle name="60% - 강조색5 15" xfId="20557"/>
    <cellStyle name="60% - 강조색5 2" xfId="20558"/>
    <cellStyle name="60% - 강조색5 2 2" xfId="20559"/>
    <cellStyle name="60% - 강조색5 2 2 2" xfId="20560"/>
    <cellStyle name="60% - 강조색5 2 3" xfId="20561"/>
    <cellStyle name="60% - 강조색5 3" xfId="20562"/>
    <cellStyle name="60% - 강조색5 3 2" xfId="20563"/>
    <cellStyle name="60% - 강조색5 3 3" xfId="20564"/>
    <cellStyle name="60% - 강조색5 4" xfId="20565"/>
    <cellStyle name="60% - 강조색5 4 2" xfId="20566"/>
    <cellStyle name="60% - 강조색5 5" xfId="20567"/>
    <cellStyle name="60% - 강조색5 6" xfId="20568"/>
    <cellStyle name="60% - 강조색5 7" xfId="20569"/>
    <cellStyle name="60% - 강조색5 8" xfId="20570"/>
    <cellStyle name="60% - 강조색5 9" xfId="20571"/>
    <cellStyle name="60% - 강조색6 10" xfId="20572"/>
    <cellStyle name="60% - 강조색6 11" xfId="20573"/>
    <cellStyle name="60% - 강조색6 12" xfId="20574"/>
    <cellStyle name="60% - 강조색6 13" xfId="20575"/>
    <cellStyle name="60% - 강조색6 14" xfId="20576"/>
    <cellStyle name="60% - 강조색6 15" xfId="20577"/>
    <cellStyle name="60% - 강조색6 2" xfId="20578"/>
    <cellStyle name="60% - 강조색6 2 2" xfId="20579"/>
    <cellStyle name="60% - 강조색6 2 2 2" xfId="20580"/>
    <cellStyle name="60% - 강조색6 2 3" xfId="20581"/>
    <cellStyle name="60% - 강조색6 3" xfId="20582"/>
    <cellStyle name="60% - 강조색6 3 2" xfId="20583"/>
    <cellStyle name="60% - 강조색6 3 3" xfId="20584"/>
    <cellStyle name="60% - 강조색6 4" xfId="20585"/>
    <cellStyle name="60% - 강조색6 4 2" xfId="20586"/>
    <cellStyle name="60% - 강조색6 5" xfId="20587"/>
    <cellStyle name="60% - 강조색6 6" xfId="20588"/>
    <cellStyle name="60% - 강조색6 7" xfId="20589"/>
    <cellStyle name="60% - 강조색6 8" xfId="20590"/>
    <cellStyle name="60% - 강조색6 9" xfId="20591"/>
    <cellStyle name="A¡§¡ⓒ¡E¡þ¡EO [0]_￠R¨¡¨I￠RAi￠RicAc￠R¨¡i " xfId="20592"/>
    <cellStyle name="A¡§¡ⓒ¡E¡þ¡EO_￠R¨¡¨I￠RAi￠RicAc￠R¨¡i " xfId="20593"/>
    <cellStyle name="A¡ER￠R¡¿¡ER¡§I¡ERE¡ER¨I¡ⓒ¡EREO [0]_  A¡ER￠R¡¿u  CO  " xfId="20594"/>
    <cellStyle name="A¡ER￠R¡¿¡ER¡§I¡ERE¡ER¨I¡ⓒ¡EREO_  A¡ER￠R¡¿u  CO  " xfId="20595"/>
    <cellStyle name="A¡ER￠R¡¿¡E臘??¡ERE¡ER¨I¡ⓒ¡EREO_27E¡ERE¡ER¨I¡ⓒ￠RERiy¡ER￠R¡¿￠RERC11¡ERE?u " xfId="20596"/>
    <cellStyle name="A¨­???? [0]_AoAUAy¡ÆeC¡? " xfId="20597"/>
    <cellStyle name="A¨­????_AoAUAy¡ÆeC¡? " xfId="20598"/>
    <cellStyle name="A¨­¢¬¢Ò [0]_  RANGE " xfId="20599"/>
    <cellStyle name="A¨­￠￢￠O [0]_¡Æ￠Rⓒø¨￡￠￥U " xfId="20600"/>
    <cellStyle name="A¨­¢¬¢Ò [0]_AoAUAy¡ÆeC¡Í " xfId="20601"/>
    <cellStyle name="A¨­￠￢￠O [0]_M107CDT " xfId="20602"/>
    <cellStyle name="A¨­¢¬¢Ò [0]_M107CDT " xfId="20603"/>
    <cellStyle name="A¨­￠￢￠O [0]_M107CDT  2" xfId="20604"/>
    <cellStyle name="A¨­¢¬¢Ò [0]_M107CDT  2" xfId="20605"/>
    <cellStyle name="A¨­¢¬¢Ò_  RANGE " xfId="20606"/>
    <cellStyle name="A¨­￠￢￠O_¡Æu￠￢RC¡I " xfId="20607"/>
    <cellStyle name="A¨­¢¬¢Ò_AoAUAy¡ÆeC¡Í " xfId="20608"/>
    <cellStyle name="A¨­￠￢￠O_INQUIRY ￠?￥i¨u¡AAⓒ￢Aⓒª " xfId="20609"/>
    <cellStyle name="A¨­¢¬¢Ò_M107CDT " xfId="20610"/>
    <cellStyle name="A￠R¡×￠R¨I￠RE￠Rⓒ­￠REO [0]_¡ER¡§￠R¡§I¡ERAi¡ERicAc¡ER¡§￠Ri " xfId="20611"/>
    <cellStyle name="A￠R¡×￠R¨I￠RE￠Rⓒ­￠REO_¡ER¡§￠R¡§I¡ERAi¡ERicAc¡ER¡§￠Ri " xfId="20612"/>
    <cellStyle name="A￠RER¡ER￠R￠?￠RER￠R¡×I￠RERE￠RER¡§I￠R¨I￠REREO [0]_¡ER￠R¡¿IoY￠RERIi￠RERIiA￠RER¡ER￠R￠?u_￠RER¡ER￠R￠?uOAIAo¡ERER¡ER￠R¡¿￠RER¡ERER￠RER¡ER¡E? " xfId="20613"/>
    <cellStyle name="A￠RER¡ER￠R￠?￠RER￠R¡×I￠RERE￠RER¡§I￠R¨I￠REREO_¡ER￠R¡¿IoY￠RERIi￠RERIiA￠RER¡ER￠R￠?u_￠RER¡ER￠R￠?uOAIAo¡ERER¡ER￠R¡¿￠RER¡ERER￠RER¡ER¡E? " xfId="20614"/>
    <cellStyle name="Accent1 - 20%" xfId="20616"/>
    <cellStyle name="Accent1 - 40%" xfId="20617"/>
    <cellStyle name="Accent1 - 60%" xfId="20618"/>
    <cellStyle name="Accent1 2" xfId="20619"/>
    <cellStyle name="Accent1 2 2" xfId="20620"/>
    <cellStyle name="Accent1 3" xfId="20621"/>
    <cellStyle name="Accent1 3 2" xfId="20622"/>
    <cellStyle name="Accent1 3 2 2" xfId="20623"/>
    <cellStyle name="Accent1 4" xfId="20624"/>
    <cellStyle name="Accent1 5" xfId="20625"/>
    <cellStyle name="Accent1 6" xfId="20615"/>
    <cellStyle name="Accent2 - 20%" xfId="20627"/>
    <cellStyle name="Accent2 - 40%" xfId="20628"/>
    <cellStyle name="Accent2 - 60%" xfId="20629"/>
    <cellStyle name="Accent2 2" xfId="20630"/>
    <cellStyle name="Accent2 2 2" xfId="20631"/>
    <cellStyle name="Accent2 3" xfId="20632"/>
    <cellStyle name="Accent2 3 2" xfId="20633"/>
    <cellStyle name="Accent2 3 2 2" xfId="20634"/>
    <cellStyle name="Accent2 4" xfId="20635"/>
    <cellStyle name="Accent2 5" xfId="20636"/>
    <cellStyle name="Accent2 6" xfId="20626"/>
    <cellStyle name="Accent3 - 20%" xfId="20638"/>
    <cellStyle name="Accent3 - 40%" xfId="20639"/>
    <cellStyle name="Accent3 - 60%" xfId="20640"/>
    <cellStyle name="Accent3 2" xfId="20641"/>
    <cellStyle name="Accent3 2 2" xfId="20642"/>
    <cellStyle name="Accent3 3" xfId="20643"/>
    <cellStyle name="Accent3 3 2" xfId="20644"/>
    <cellStyle name="Accent3 3 2 2" xfId="20645"/>
    <cellStyle name="Accent3 4" xfId="20646"/>
    <cellStyle name="Accent3 5" xfId="20647"/>
    <cellStyle name="Accent3 6" xfId="20637"/>
    <cellStyle name="Accent4 - 20%" xfId="20649"/>
    <cellStyle name="Accent4 - 40%" xfId="20650"/>
    <cellStyle name="Accent4 - 60%" xfId="20651"/>
    <cellStyle name="Accent4 2" xfId="20652"/>
    <cellStyle name="Accent4 2 2" xfId="20653"/>
    <cellStyle name="Accent4 3" xfId="20654"/>
    <cellStyle name="Accent4 3 2" xfId="20655"/>
    <cellStyle name="Accent4 3 2 2" xfId="20656"/>
    <cellStyle name="Accent4 4" xfId="20657"/>
    <cellStyle name="Accent4 5" xfId="20658"/>
    <cellStyle name="Accent4 6" xfId="20648"/>
    <cellStyle name="Accent5 - 20%" xfId="20660"/>
    <cellStyle name="Accent5 - 40%" xfId="20661"/>
    <cellStyle name="Accent5 - 60%" xfId="20662"/>
    <cellStyle name="Accent5 2" xfId="20663"/>
    <cellStyle name="Accent5 2 2" xfId="20664"/>
    <cellStyle name="Accent5 3" xfId="20665"/>
    <cellStyle name="Accent5 3 2" xfId="20666"/>
    <cellStyle name="Accent5 3 2 2" xfId="20667"/>
    <cellStyle name="Accent5 4" xfId="20668"/>
    <cellStyle name="Accent5 5" xfId="20669"/>
    <cellStyle name="Accent5 6" xfId="20659"/>
    <cellStyle name="Accent6 - 20%" xfId="20671"/>
    <cellStyle name="Accent6 - 40%" xfId="20672"/>
    <cellStyle name="Accent6 - 60%" xfId="20673"/>
    <cellStyle name="Accent6 2" xfId="20674"/>
    <cellStyle name="Accent6 2 2" xfId="20675"/>
    <cellStyle name="Accent6 3" xfId="20676"/>
    <cellStyle name="Accent6 3 2" xfId="20677"/>
    <cellStyle name="Accent6 3 2 2" xfId="20678"/>
    <cellStyle name="Accent6 4" xfId="20679"/>
    <cellStyle name="Accent6 5" xfId="20680"/>
    <cellStyle name="Accent6 6" xfId="20670"/>
    <cellStyle name="ACSP1.YMMlbso_x0002_" xfId="20681"/>
    <cellStyle name="Actual Date" xfId="20682"/>
    <cellStyle name="AeE­ [0]_ PLAN97 " xfId="20683"/>
    <cellStyle name="AeE- [0]_?c?A " xfId="20684"/>
    <cellStyle name="AeE­ [0]_¡U¾EU￢ A¾COºn±³ " xfId="20685"/>
    <cellStyle name="ÅëÈ­ [0]_¡Ú¾ÈÜ¬ Á¾ÇÕºñ±³ " xfId="20686"/>
    <cellStyle name="AeE­ [0]_´eCu≫cAa" xfId="20687"/>
    <cellStyle name="ÅëÈ­ [0]_¸ÅÃâ" xfId="20688"/>
    <cellStyle name="AeE­ [0]_¸nC￥°C¼o " xfId="20689"/>
    <cellStyle name="ÅëÈ­ [0]_¿ä¾àµµ" xfId="20690"/>
    <cellStyle name="AeE­ [0]_±aA¸" xfId="20691"/>
    <cellStyle name="ÅëÈ­ [0]_±âÅ¸_¼ÕÀÍÇ¥ (³â°è 83¾ï) " xfId="20692"/>
    <cellStyle name="AeE­ [0]_°eE¹_11¿a½A " xfId="20693"/>
    <cellStyle name="ÅëÈ­ [0]_°ü¸®Ç×¸ñ_¾÷Á¾º° " xfId="20694"/>
    <cellStyle name="AeE­ [0]_°u¸RC×¸n_¾÷A¾º° " xfId="20695"/>
    <cellStyle name="ÅëÈ­ [0]_¼­½ÄÃ¼01_ÅõÀÔ°èÈ¹ " xfId="20696"/>
    <cellStyle name="AeE­ [0]_¼­½AAI¶÷_AoAO°eE¹ " xfId="20697"/>
    <cellStyle name="ÅëÈ­ [0]_¼­½ÄÀÏ¶÷_ÅõÀÔ°èÈ¹ " xfId="20698"/>
    <cellStyle name="AeE­ [0]_¼­½AAI¶÷_AoAO°eE¹  2" xfId="20699"/>
    <cellStyle name="ÅëÈ­ [0]_¼­½ÄÀÏ¶÷_ÅõÀÔ°èÈ¹  2" xfId="20700"/>
    <cellStyle name="AeE­ [0]_½C¿¹PL " xfId="20701"/>
    <cellStyle name="ÅëÈ­ [0]_½Ç¿¹PL " xfId="20702"/>
    <cellStyle name="AeE­ [0]_½C¿¹PL _1031상품손익(채)" xfId="20703"/>
    <cellStyle name="ÅëÈ­ [0]_¾÷Á¾º° " xfId="20704"/>
    <cellStyle name="AeE­ [0]_¾c½A " xfId="20705"/>
    <cellStyle name="ÅëÈ­ [0]_1.ÆÇ¸Å½ÇÀû " xfId="20706"/>
    <cellStyle name="AeE­ [0]_1.SUMMARY " xfId="20707"/>
    <cellStyle name="ÅëÈ­ [0]_1.SUMMARY " xfId="20708"/>
    <cellStyle name="AeE­ [0]_1.SUMMARY  2" xfId="20709"/>
    <cellStyle name="ÅëÈ­ [0]_1.SUMMARY  2" xfId="20710"/>
    <cellStyle name="AeE­ [0]_11¿a½A " xfId="20711"/>
    <cellStyle name="ÅëÈ­ [0]_2.CONCEPT " xfId="20712"/>
    <cellStyle name="AeE­ [0]_3.MSCHEDULE¿μ¹R " xfId="20713"/>
    <cellStyle name="ÅëÈ­ [0]_3PJTR°èÈ¹ " xfId="20714"/>
    <cellStyle name="AeE­ [0]_4 " xfId="20715"/>
    <cellStyle name="ÅëÈ­ [0]_4 " xfId="20716"/>
    <cellStyle name="AeE­ [0]_4  2" xfId="20717"/>
    <cellStyle name="ÅëÈ­ [0]_4  2" xfId="20718"/>
    <cellStyle name="AeE- [0]_4PART " xfId="20719"/>
    <cellStyle name="AeE­ [0]_6¿u2A°AO " xfId="20720"/>
    <cellStyle name="ÅëÈ­ [0]_6-3°æÀï·Â " xfId="20721"/>
    <cellStyle name="AeE- [0]_64-C STEPPER 줩!줩o?A줩줗(PHOTO) " xfId="20722"/>
    <cellStyle name="AeE­ [0]_7.MASTER SCHEDULE " xfId="20723"/>
    <cellStyle name="ÅëÈ­ [0]_7.MASTER SCHEDULE " xfId="20724"/>
    <cellStyle name="AeE­ [0]_7.MASTER SCHEDULE  2" xfId="20725"/>
    <cellStyle name="ÅëÈ­ [0]_7.MASTER SCHEDULE  2" xfId="20726"/>
    <cellStyle name="AeE­ [0]_95³aAN°y¼o·R " xfId="20727"/>
    <cellStyle name="AeE- [0]_953aAN줩y?o좵R " xfId="20728"/>
    <cellStyle name="AeE­ [0]_96¾Æ½OBD " xfId="20729"/>
    <cellStyle name="ÅëÈ­ [0]_Á¦Á¶1ºÎ1°ú ÇöÈ² " xfId="20730"/>
    <cellStyle name="AeE­ [0]_Ac°i°u¸R " xfId="20731"/>
    <cellStyle name="ÅëÈ­ [0]_ÀÎ¿ø°èÈ¹ " xfId="20732"/>
    <cellStyle name="AeE­ [0]_AN°yº¸°i-Aß°¡Ay°¨ " xfId="20733"/>
    <cellStyle name="ÅëÈ­ [0]_Áö]¿Ï¼ºÂ÷ " xfId="20734"/>
    <cellStyle name="AeE­ [0]_AoAUAy°eC￥ " xfId="20735"/>
    <cellStyle name="ÅëÈ­ [0]_ÅõÀÚÁý°èÇ¥ " xfId="20736"/>
    <cellStyle name="AeE­ [0]_AoAUAy°eC￥ _1031상품손익(채)" xfId="20737"/>
    <cellStyle name="ÅëÈ­ [0]_Ç¥Áö_ÅõÀÚÁý°èÇ¥ " xfId="20738"/>
    <cellStyle name="AeE­ [0]_C￥Ao_AoAUAy°eC￥ _경통외주가공비인상검토" xfId="20739"/>
    <cellStyle name="AeE- [0]_C줩좲no줩 " xfId="20740"/>
    <cellStyle name="ÅëÈ­ [0]_INQUIRY ¿µ¾÷ÃßÁø " xfId="20741"/>
    <cellStyle name="AeE­ [0]_INQUIRY ¿μ¾÷AßAø " xfId="20742"/>
    <cellStyle name="ÅëÈ­ [0]_lx-taxi " xfId="20743"/>
    <cellStyle name="AeE­ [0]_M105CDT " xfId="20744"/>
    <cellStyle name="ÅëÈ­ [0]_MKN-M1.1 " xfId="20745"/>
    <cellStyle name="AeE­ [0]_ºÐ·u±a01_AoAO°eE¹ " xfId="20746"/>
    <cellStyle name="ÅëÈ­ [0]_ºÐ·ù±â01_ÅõÀÔ°èÈ¹ " xfId="20747"/>
    <cellStyle name="AeE­ [0]_ºÐ·u±a01_AoAO°eE¹  2" xfId="20748"/>
    <cellStyle name="ÅëÈ­ [0]_ºÐ·ù±â01_ÅõÀÔ°èÈ¹  2" xfId="20749"/>
    <cellStyle name="AeE­ [0]_ºÐ·u±a02_AoAO°eE¹ " xfId="20750"/>
    <cellStyle name="ÅëÈ­ [0]_ºÐ·ù±â02_ÅõÀÔ°èÈ¹ " xfId="20751"/>
    <cellStyle name="AeE­ [0]_ºÐ·u±a02_AoAO°eE¹  2" xfId="20752"/>
    <cellStyle name="ÅëÈ­ [0]_ºÐ·ù±â02_ÅõÀÔ°èÈ¹  2" xfId="20753"/>
    <cellStyle name="AeE­ [0]_ºÐ·u±a03_AoAO°eE¹ " xfId="20754"/>
    <cellStyle name="ÅëÈ­ [0]_ºÐ·ù±â03_ÅõÀÔ°èÈ¹ " xfId="20755"/>
    <cellStyle name="AeE­ [0]_ºÐ·u±a03_AoAO°eE¹  2" xfId="20756"/>
    <cellStyle name="ÅëÈ­ [0]_ºÐ·ù±â03_ÅõÀÔ°èÈ¹  2" xfId="20757"/>
    <cellStyle name="AeE­ [0]_ºÐ·u±aAØ_AoAO°eE¹ " xfId="20758"/>
    <cellStyle name="ÅëÈ­ [0]_ºÐ·ù±âÁØ_ÅõÀÔ°èÈ¹ " xfId="20759"/>
    <cellStyle name="AeE­ [0]_ºÐ·u±aAØ_AoAO°eE¹  2" xfId="20760"/>
    <cellStyle name="ÅëÈ­ [0]_ºÐ·ù±âÁØ_ÅõÀÔ°èÈ¹  2" xfId="20761"/>
    <cellStyle name="AeE­ [0]_ºÐ·u±aE￡_AoAO°eE¹ " xfId="20762"/>
    <cellStyle name="ÅëÈ­ [0]_ºÐ·ù±âÈ£_ÅõÀÔ°èÈ¹ " xfId="20763"/>
    <cellStyle name="AeE­ [0]_ºÐ·u±aE￡_AoAO°eE¹  2" xfId="20764"/>
    <cellStyle name="ÅëÈ­ [0]_ºÐ·ù±âÈ£_ÅõÀÔ°èÈ¹  2" xfId="20765"/>
    <cellStyle name="AeE­ [0]_SAMPLE " xfId="20766"/>
    <cellStyle name="ÅëÈ­ [0]_SAMPLE " xfId="20767"/>
    <cellStyle name="AeE­ [0]_SAMPLE  2" xfId="20768"/>
    <cellStyle name="ÅëÈ­ [0]_SAMPLE  2" xfId="20769"/>
    <cellStyle name="AeE­ [0]_Sheet1 (2)_1.SUMMARY " xfId="20770"/>
    <cellStyle name="ÅëÈ­ [0]_Sheet1 (2)_1.SUMMARY " xfId="20771"/>
    <cellStyle name="AeE­ [0]_Sheet1 (2)_1.SUMMARY  2" xfId="20772"/>
    <cellStyle name="ÅëÈ­ [0]_Sheet1 (2)_1.SUMMARY  2" xfId="20773"/>
    <cellStyle name="AeE­ [0]_Sheet1_XD AOA¾AIA¤ " xfId="20774"/>
    <cellStyle name="ÅëÈ­ [0]_Sheet1_XD ÃÖÁ¾ÀÏÁ¤ " xfId="20775"/>
    <cellStyle name="AeE­ [0]_Sheet1_XD AOA¾AIA¤  2" xfId="20776"/>
    <cellStyle name="ÅëÈ­ [0]_Sheet1_XD ÃÖÁ¾ÀÏÁ¤  2" xfId="20777"/>
    <cellStyle name="AeE­ [0]_SMG-CKD-d1.1 " xfId="20778"/>
    <cellStyle name="ÅëÈ­ [0]_SMG-CKD-d1.1 " xfId="20779"/>
    <cellStyle name="AeE­ [0]_SMG-CKD-d1.1  2" xfId="20780"/>
    <cellStyle name="ÅëÈ­ [0]_SMG-CKD-d1.1  2" xfId="20781"/>
    <cellStyle name="AeE­ [0]_SP ¹°μ¿¹× ¿UAO " xfId="20782"/>
    <cellStyle name="AeE-_?c?A " xfId="20783"/>
    <cellStyle name="AeE­_¡U¾EU￢ A¾COºn±³ " xfId="20784"/>
    <cellStyle name="ÅëÈ­_¡Ú¾ÈÜ¬ Á¾ÇÕºñ±³ " xfId="20785"/>
    <cellStyle name="AeE­_¡U¾EU￢ A¾COºn±³  2" xfId="20786"/>
    <cellStyle name="ÅëÈ­_¡Ú¾ÈÜ¬ Á¾ÇÕºñ±³  2" xfId="20787"/>
    <cellStyle name="AeE­_´eCu≫cAa" xfId="20788"/>
    <cellStyle name="ÅëÈ­_¸ÅÃâ" xfId="20789"/>
    <cellStyle name="AeE­_¸AAa°eE¹(¿U)_¼OAIC￥ (³a°e 83¾i) " xfId="20790"/>
    <cellStyle name="ÅëÈ­_¸ñÂ÷ " xfId="20791"/>
    <cellStyle name="AeE­_¸nC￥°C¼o " xfId="20792"/>
    <cellStyle name="ÅëÈ­_¿ä¾àµµ" xfId="20793"/>
    <cellStyle name="AeE­_±aA¸" xfId="20794"/>
    <cellStyle name="ÅëÈ­_±âÅ¸_¼ÕÀÍÇ¥ (³â°è 83¾ï) " xfId="20795"/>
    <cellStyle name="AeE­_°eE¹_11¿a½A " xfId="20796"/>
    <cellStyle name="ÅëÈ­_°ü¸®Ç×¸ñ_¾÷Á¾º° " xfId="20797"/>
    <cellStyle name="AeE­_°u¸RC×¸n_¾÷A¾º° " xfId="20798"/>
    <cellStyle name="ÅëÈ­_¼­½ÄÃ¼01_ÅõÀÔ°èÈ¹ " xfId="20799"/>
    <cellStyle name="AeE­_¼­½AAI¶÷_AoAO°eE¹ " xfId="20800"/>
    <cellStyle name="ÅëÈ­_¼­½ÄÀÏ¶÷_ÅõÀÔ°èÈ¹ " xfId="20801"/>
    <cellStyle name="AeE­_¼­½AAI¶÷_AoAO°eE¹  2" xfId="20802"/>
    <cellStyle name="ÅëÈ­_¼­½ÄÀÏ¶÷_ÅõÀÔ°èÈ¹  2" xfId="20803"/>
    <cellStyle name="AeE­_½C¿¹PL " xfId="20804"/>
    <cellStyle name="ÅëÈ­_½Ç¿¹PL " xfId="20805"/>
    <cellStyle name="AeE­_½C¿¹PL _1031상품손익(채)" xfId="20806"/>
    <cellStyle name="ÅëÈ­_¾÷Á¾º° " xfId="20807"/>
    <cellStyle name="AeE­_¾c½A " xfId="20808"/>
    <cellStyle name="ÅëÈ­_1.ÆÇ¸Å½ÇÀû " xfId="20809"/>
    <cellStyle name="AeE­_1.SUMMARY " xfId="20810"/>
    <cellStyle name="ÅëÈ­_1.SUMMARY " xfId="20811"/>
    <cellStyle name="AeE­_1.SUMMARY  2" xfId="20812"/>
    <cellStyle name="ÅëÈ­_1.SUMMARY  2" xfId="20813"/>
    <cellStyle name="AeE­_11¿a½A " xfId="20814"/>
    <cellStyle name="ÅëÈ­_2.CONCEPT " xfId="20815"/>
    <cellStyle name="AeE­_3.MSCHEDULE¿μ¹R " xfId="20816"/>
    <cellStyle name="ÅëÈ­_3PJTR°èÈ¹ " xfId="20817"/>
    <cellStyle name="AeE­_4 " xfId="20818"/>
    <cellStyle name="ÅëÈ­_4 " xfId="20819"/>
    <cellStyle name="AeE­_4  2" xfId="20820"/>
    <cellStyle name="ÅëÈ­_4  2" xfId="20821"/>
    <cellStyle name="AeE-_4PART " xfId="20822"/>
    <cellStyle name="AeE­_6¿u2A°AO " xfId="20823"/>
    <cellStyle name="ÅëÈ­_6-3°æÀï·Â " xfId="20824"/>
    <cellStyle name="AeE-_64-C STEPPER 줩!줩o?A줩줗(PHOTO) " xfId="20825"/>
    <cellStyle name="AeE­_7.MASTER SCHEDULE " xfId="20826"/>
    <cellStyle name="ÅëÈ­_7.MASTER SCHEDULE " xfId="20827"/>
    <cellStyle name="AeE­_7.MASTER SCHEDULE  2" xfId="20828"/>
    <cellStyle name="ÅëÈ­_7.MASTER SCHEDULE  2" xfId="20829"/>
    <cellStyle name="AeE­_95³aAN°y¼o·R " xfId="20830"/>
    <cellStyle name="AeE-_953aAN줩y?o좵R " xfId="20831"/>
    <cellStyle name="AeE­_96¾Æ½OBD " xfId="20832"/>
    <cellStyle name="ÅëÈ­_Á¦Á¶1ºÎ1°ú ÇöÈ² " xfId="20833"/>
    <cellStyle name="AeE­_Ac°i°u¸R " xfId="20834"/>
    <cellStyle name="ÅëÈ­_ÀÎ¿ø°èÈ¹ " xfId="20835"/>
    <cellStyle name="AeE­_AN°yº¸°i-Aß°¡Ay°¨ " xfId="20836"/>
    <cellStyle name="ÅëÈ­_Áö]¿Ï¼ºÂ÷ " xfId="20837"/>
    <cellStyle name="AeE­_AoAUAy°eC￥ " xfId="20838"/>
    <cellStyle name="ÅëÈ­_ÅõÀÚÁý°èÇ¥ " xfId="20839"/>
    <cellStyle name="AeE­_AoAUAy°eC￥ _1031상품손익(채)" xfId="20840"/>
    <cellStyle name="ÅëÈ­_Ç¥Áö_ÅõÀÚÁý°èÇ¥ " xfId="20841"/>
    <cellStyle name="AeE­_C￥Ao_AoAUAy°eC￥ _경통외주가공비인상검토" xfId="20842"/>
    <cellStyle name="AeE-_C줩좲no줩 " xfId="20843"/>
    <cellStyle name="ÅëÈ­_INQUIRY ¿µ¾÷ÃßÁø " xfId="20844"/>
    <cellStyle name="AeE­_INQUIRY ¿μ¾÷AßAø " xfId="20845"/>
    <cellStyle name="ÅëÈ­_lx-taxi " xfId="20846"/>
    <cellStyle name="AeE­_M105CDT " xfId="20847"/>
    <cellStyle name="ÅëÈ­_MKN-M1.1 " xfId="20848"/>
    <cellStyle name="AeE­_ºÐ·u±a01_AoAO°eE¹ " xfId="20849"/>
    <cellStyle name="ÅëÈ­_ºÐ·ù±â01_ÅõÀÔ°èÈ¹ " xfId="20850"/>
    <cellStyle name="AeE­_ºÐ·u±a01_AoAO°eE¹  2" xfId="20851"/>
    <cellStyle name="ÅëÈ­_ºÐ·ù±â01_ÅõÀÔ°èÈ¹  2" xfId="20852"/>
    <cellStyle name="AeE­_ºÐ·u±a02_AoAO°eE¹ " xfId="20853"/>
    <cellStyle name="ÅëÈ­_ºÐ·ù±â02_ÅõÀÔ°èÈ¹ " xfId="20854"/>
    <cellStyle name="AeE­_ºÐ·u±a02_AoAO°eE¹  2" xfId="20855"/>
    <cellStyle name="ÅëÈ­_ºÐ·ù±â02_ÅõÀÔ°èÈ¹  2" xfId="20856"/>
    <cellStyle name="AeE­_ºÐ·u±a03_AoAO°eE¹ " xfId="20857"/>
    <cellStyle name="ÅëÈ­_ºÐ·ù±â03_ÅõÀÔ°èÈ¹ " xfId="20858"/>
    <cellStyle name="AeE­_ºÐ·u±a03_AoAO°eE¹  2" xfId="20859"/>
    <cellStyle name="ÅëÈ­_ºÐ·ù±â03_ÅõÀÔ°èÈ¹  2" xfId="20860"/>
    <cellStyle name="AeE­_ºÐ·u±aAØ_AoAO°eE¹ " xfId="20861"/>
    <cellStyle name="ÅëÈ­_ºÐ·ù±âÁØ_ÅõÀÔ°èÈ¹ " xfId="20862"/>
    <cellStyle name="AeE­_ºÐ·u±aAØ_AoAO°eE¹  2" xfId="20863"/>
    <cellStyle name="ÅëÈ­_ºÐ·ù±âÁØ_ÅõÀÔ°èÈ¹  2" xfId="20864"/>
    <cellStyle name="AeE­_ºÐ·u±aE￡_AoAO°eE¹ " xfId="20865"/>
    <cellStyle name="ÅëÈ­_ºÐ·ù±âÈ£_ÅõÀÔ°èÈ¹ " xfId="20866"/>
    <cellStyle name="AeE­_ºÐ·u±aE￡_AoAO°eE¹  2" xfId="20867"/>
    <cellStyle name="ÅëÈ­_ºÐ·ù±âÈ£_ÅõÀÔ°èÈ¹  2" xfId="20868"/>
    <cellStyle name="AeE­_SAMPLE " xfId="20869"/>
    <cellStyle name="ÅëÈ­_SAMPLE " xfId="20870"/>
    <cellStyle name="AeE­_SAMPLE  2" xfId="20871"/>
    <cellStyle name="ÅëÈ­_SAMPLE  2" xfId="20872"/>
    <cellStyle name="AeE­_Sheet1 (2)_1.SUMMARY " xfId="20873"/>
    <cellStyle name="ÅëÈ­_Sheet1 (2)_1.SUMMARY " xfId="20874"/>
    <cellStyle name="AeE­_Sheet1 (2)_1.SUMMARY  2" xfId="20875"/>
    <cellStyle name="ÅëÈ­_Sheet1 (2)_1.SUMMARY  2" xfId="20876"/>
    <cellStyle name="AeE­_Sheet1_XD AOA¾AIA¤ " xfId="20877"/>
    <cellStyle name="ÅëÈ­_Sheet1_XD ÃÖÁ¾ÀÏÁ¤ " xfId="20878"/>
    <cellStyle name="AeE­_Sheet1_XD AOA¾AIA¤  2" xfId="20879"/>
    <cellStyle name="ÅëÈ­_Sheet1_XD ÃÖÁ¾ÀÏÁ¤  2" xfId="20880"/>
    <cellStyle name="AeE­_SMG-CKD-d1.1 " xfId="20881"/>
    <cellStyle name="ÅëÈ­_SMG-CKD-d1.1 " xfId="20882"/>
    <cellStyle name="AeE­_SMG-CKD-d1.1  2" xfId="20883"/>
    <cellStyle name="ÅëÈ­_SMG-CKD-d1.1  2" xfId="20884"/>
    <cellStyle name="AeE­_SP ¹°μ¿¹× ¿UAO " xfId="20885"/>
    <cellStyle name="AeE¡? [0]_AoAUAy¡ÆeC¡? " xfId="20886"/>
    <cellStyle name="AeE¡?_AoAUAy¡ÆeC¡? " xfId="20887"/>
    <cellStyle name="AeE¡© [0]_  RANGE " xfId="20888"/>
    <cellStyle name="AeE¡©_  RANGE " xfId="20889"/>
    <cellStyle name="AeE¡ⓒ [0]_¡Æu￠￢RC¡I " xfId="20890"/>
    <cellStyle name="AeE¡ⓒ_¡Æu￠￢RC¡I " xfId="20891"/>
    <cellStyle name="AeE¡ER¡§I [0]_¡ER¡§￠R¡§I¡ERAi¡ERicAc¡ER¡§￠Ri " xfId="20892"/>
    <cellStyle name="AeE¡ER¡§I_¡ER¡§￠R¡§I¡ERAi¡ERicAc¡ER¡§￠Ri " xfId="20893"/>
    <cellStyle name="AeE¡ERER¡ER￠R¡¿I [0]_¡ER￠R¡¿IoY￠RERIi￠RERIiA￠RER¡ER￠R￠?u_￠RER¡ER￠R￠?uOAIAo¡ERER¡ER￠R¡¿￠RER¡ERER￠RER¡ER¡E? " xfId="20894"/>
    <cellStyle name="AeE¡ERER¡ER￠R¡¿I_¡ER￠R¡¿IoY￠RERIi￠RERIiA￠RER¡ER￠R￠?u_￠RER¡ER￠R￠?uOAIAo¡ERER¡ER￠R¡¿￠RER¡ERER￠RER¡ER¡E? " xfId="20895"/>
    <cellStyle name="AeE￠R¨I [0]_￠R¨¡¨I￠RAi￠RicAc￠R¨¡i " xfId="20896"/>
    <cellStyle name="AeE￠R¨I_￠R¨¡¨I￠RAi￠RicAc￠R¨¡i " xfId="20897"/>
    <cellStyle name="AeE￠RER￠R¡×I [0]_  A¡ER￠R¡¿u  CO  " xfId="20898"/>
    <cellStyle name="AeE￠RER￠R¡×I_  A¡ER￠R¡¿u  CO  " xfId="20899"/>
    <cellStyle name="ALIGNMENT" xfId="20900"/>
    <cellStyle name="AÞ¸¶ [0]_ PLAN97 " xfId="20901"/>
    <cellStyle name="ÄÞ¸¶ [0]_¡Ú¾ÈÜ¬ Á¾ÇÕºñ±³ " xfId="20902"/>
    <cellStyle name="AÞ¸¶ [0]_´eCu≫cAa" xfId="20903"/>
    <cellStyle name="ÄÞ¸¶ [0]_¸ÅÃâ" xfId="20904"/>
    <cellStyle name="AÞ¸¶ [0]_¸i¼¼C￥ " xfId="20905"/>
    <cellStyle name="ÄÞ¸¶ [0]_¸ñÂ÷ " xfId="20906"/>
    <cellStyle name="AÞ¸¶ [0]_±aA¸" xfId="20907"/>
    <cellStyle name="ÄÞ¸¶ [0]_°ü¸®BS('98) " xfId="20908"/>
    <cellStyle name="AÞ¸¶ [0]_°u¸RBS('98) " xfId="20909"/>
    <cellStyle name="ÄÞ¸¶ [0]_¼öÁÖ°èÈ¹(SMD) " xfId="20910"/>
    <cellStyle name="AÞ¸¶ [0]_½C¿¹PL " xfId="20911"/>
    <cellStyle name="ÄÞ¸¶ [0]_½Ç¿¹PL " xfId="20912"/>
    <cellStyle name="AÞ¸¶ [0]_¾÷A¾º° " xfId="20913"/>
    <cellStyle name="ÄÞ¸¶ [0]_1.ÆÇ¸Å½ÇÀû " xfId="20914"/>
    <cellStyle name="AÞ¸¶ [0]_1.SUMMARY " xfId="20915"/>
    <cellStyle name="ÄÞ¸¶ [0]_1.SUMMARY " xfId="20916"/>
    <cellStyle name="AÞ¸¶ [0]_1.SUMMARY  2" xfId="20917"/>
    <cellStyle name="ÄÞ¸¶ [0]_1.SUMMARY  2" xfId="20918"/>
    <cellStyle name="AÞ¸¶ [0]_11¿a½A " xfId="20919"/>
    <cellStyle name="ÄÞ¸¶ [0]_2.CONCEPT " xfId="20920"/>
    <cellStyle name="AÞ¸¶ [0]_3.MSCHEDULE¿μ¹R " xfId="20921"/>
    <cellStyle name="ÄÞ¸¶ [0]_3PJTR°èÈ¹ " xfId="20922"/>
    <cellStyle name="AÞ¸¶ [0]_4 " xfId="20923"/>
    <cellStyle name="ÄÞ¸¶ [0]_4 " xfId="20924"/>
    <cellStyle name="AÞ¸¶ [0]_4  2" xfId="20925"/>
    <cellStyle name="ÄÞ¸¶ [0]_4  2" xfId="20926"/>
    <cellStyle name="AÞ¸¶ [0]_6-3°æAi·A " xfId="20927"/>
    <cellStyle name="ÄÞ¸¶ [0]_6-3°æÀï·Â " xfId="20928"/>
    <cellStyle name="AÞ¸¶ [0]_6-3°æAi·A  2" xfId="20929"/>
    <cellStyle name="ÄÞ¸¶ [0]_6-3°æÀï·Â  2" xfId="20930"/>
    <cellStyle name="AÞ¸¶ [0]_7.MASTER SCHEDULE " xfId="20931"/>
    <cellStyle name="ÄÞ¸¶ [0]_7.MASTER SCHEDULE " xfId="20932"/>
    <cellStyle name="AÞ¸¶ [0]_7.MASTER SCHEDULE  2" xfId="20933"/>
    <cellStyle name="ÄÞ¸¶ [0]_7.MASTER SCHEDULE  2" xfId="20934"/>
    <cellStyle name="AÞ¸¶ [0]_96¾Æ½OBD " xfId="20935"/>
    <cellStyle name="ÄÞ¸¶ [0]_Á¦Á¶1ºÎ1°ú ÇöÈ² " xfId="20936"/>
    <cellStyle name="AÞ¸¶ [0]_Ac°i°u¸R " xfId="20937"/>
    <cellStyle name="ÄÞ¸¶ [0]_ÀÎ¿ø°èÈ¹ " xfId="20938"/>
    <cellStyle name="AÞ¸¶ [0]_AN°yº¸°i-Aß°¡Ay°¨ " xfId="20939"/>
    <cellStyle name="ÄÞ¸¶ [0]_ÃÖÁ¾ÀÏÁ¤ " xfId="20940"/>
    <cellStyle name="AÞ¸¶ [0]_AoAUAy°eC￥ _경통외주가공비인상검토" xfId="20941"/>
    <cellStyle name="ÄÞ¸¶ [0]_Ç¥Áö_ÅõÀÚÁý°èÇ¥ " xfId="20942"/>
    <cellStyle name="AÞ¸¶ [0]_C￥Ao_AoAUAy°eC￥ _경통외주가공비인상검토" xfId="20943"/>
    <cellStyle name="ÄÞ¸¶ [0]_lx-taxi " xfId="20944"/>
    <cellStyle name="AÞ¸¶ [0]_M105CDT " xfId="20945"/>
    <cellStyle name="ÄÞ¸¶ [0]_MKN-M1.1 " xfId="20946"/>
    <cellStyle name="AÞ¸¶ [0]_SAMPLE " xfId="20947"/>
    <cellStyle name="ÄÞ¸¶ [0]_SAMPLE " xfId="20948"/>
    <cellStyle name="AÞ¸¶ [0]_SAMPLE  2" xfId="20949"/>
    <cellStyle name="ÄÞ¸¶ [0]_SAMPLE  2" xfId="20950"/>
    <cellStyle name="AÞ¸¶ [0]_Sheet1 (2)_1.SUMMARY " xfId="20951"/>
    <cellStyle name="ÄÞ¸¶ [0]_Sheet1 (2)_1.SUMMARY " xfId="20952"/>
    <cellStyle name="AÞ¸¶ [0]_Sheet1 (2)_1.SUMMARY  2" xfId="20953"/>
    <cellStyle name="ÄÞ¸¶ [0]_Sheet1 (2)_1.SUMMARY  2" xfId="20954"/>
    <cellStyle name="AÞ¸¶ [0]_Sheet1_XD AOA¾AIA¤ " xfId="20955"/>
    <cellStyle name="ÄÞ¸¶ [0]_Sheet1_XD ÃÖÁ¾ÀÏÁ¤ " xfId="20956"/>
    <cellStyle name="AÞ¸¶ [0]_Sheet1_XD AOA¾AIA¤  2" xfId="20957"/>
    <cellStyle name="ÄÞ¸¶ [0]_Sheet1_XD ÃÖÁ¾ÀÏÁ¤  2" xfId="20958"/>
    <cellStyle name="AÞ¸¶ [0]_SMG-CKD-d1.1 " xfId="20959"/>
    <cellStyle name="ÄÞ¸¶ [0]_SMG-CKD-d1.1 " xfId="20960"/>
    <cellStyle name="AÞ¸¶ [0]_SMG-CKD-d1.1  2" xfId="20961"/>
    <cellStyle name="ÄÞ¸¶ [0]_SMG-CKD-d1.1  2" xfId="20962"/>
    <cellStyle name="AÞ¸¶ [0]_SP ¹°μ¿¹× ¿UAO " xfId="20963"/>
    <cellStyle name="AÞ¸¶_¡U¾EU￢ A¾COºn±³ " xfId="20964"/>
    <cellStyle name="ÄÞ¸¶_¡Ú¾ÈÜ¬ Á¾ÇÕºñ±³ " xfId="20965"/>
    <cellStyle name="AÞ¸¶_¡U¾EU￢ A¾COºn±³  2" xfId="20966"/>
    <cellStyle name="ÄÞ¸¶_¡Ú¾ÈÜ¬ Á¾ÇÕºñ±³  2" xfId="20967"/>
    <cellStyle name="AÞ¸¶_´eCu≫cAa" xfId="20968"/>
    <cellStyle name="ÄÞ¸¶_¸ÅÃâ" xfId="20969"/>
    <cellStyle name="AÞ¸¶_¸AAa°eE¹(¿U)_¼OAIC￥ (³a°e 83¾i) " xfId="20970"/>
    <cellStyle name="ÄÞ¸¶_¸ñÂ÷ " xfId="20971"/>
    <cellStyle name="AÞ¸¶_¸nC￥°C¼o " xfId="20972"/>
    <cellStyle name="ÄÞ¸¶_¿ä¾àµµ" xfId="20973"/>
    <cellStyle name="AÞ¸¶_±aA¸" xfId="20974"/>
    <cellStyle name="ÄÞ¸¶_±âÅ¸_¼ÕÀÍÇ¥ (³â°è 83¾ï) " xfId="20975"/>
    <cellStyle name="AÞ¸¶_°eE¹_11¿a½A " xfId="20976"/>
    <cellStyle name="ÄÞ¸¶_°ü¸®Ç×¸ñ_¾÷Á¾º° " xfId="20977"/>
    <cellStyle name="AÞ¸¶_°u¸RC×¸n_¾÷A¾º° " xfId="20978"/>
    <cellStyle name="ÄÞ¸¶_¼öÁÖ°èÈ¹(SMD) " xfId="20979"/>
    <cellStyle name="AÞ¸¶_½C¿¹PL " xfId="20980"/>
    <cellStyle name="ÄÞ¸¶_½Ç¿¹PL " xfId="20981"/>
    <cellStyle name="AÞ¸¶_½C¿¹PL _1031상품손익(채)" xfId="20982"/>
    <cellStyle name="ÄÞ¸¶_¾÷Á¾º° " xfId="20983"/>
    <cellStyle name="AÞ¸¶_¾c½A " xfId="20984"/>
    <cellStyle name="ÄÞ¸¶_1.ÆÇ¸Å½ÇÀû " xfId="20985"/>
    <cellStyle name="AÞ¸¶_1.SUMMARY " xfId="20986"/>
    <cellStyle name="ÄÞ¸¶_1.SUMMARY " xfId="20987"/>
    <cellStyle name="AÞ¸¶_1.SUMMARY  2" xfId="20988"/>
    <cellStyle name="ÄÞ¸¶_1.SUMMARY  2" xfId="20989"/>
    <cellStyle name="AÞ¸¶_11¿a½A " xfId="20990"/>
    <cellStyle name="ÄÞ¸¶_2.CONCEPT " xfId="20991"/>
    <cellStyle name="AÞ¸¶_3.MSCHEDULE¿μ¹R " xfId="20992"/>
    <cellStyle name="ÄÞ¸¶_3PJTR°èÈ¹ " xfId="20993"/>
    <cellStyle name="AÞ¸¶_4 " xfId="20994"/>
    <cellStyle name="ÄÞ¸¶_4 " xfId="20995"/>
    <cellStyle name="AÞ¸¶_4  2" xfId="20996"/>
    <cellStyle name="ÄÞ¸¶_4  2" xfId="20997"/>
    <cellStyle name="AÞ¸¶_6-3°æAi·A " xfId="20998"/>
    <cellStyle name="ÄÞ¸¶_6-3°æÀï·Â " xfId="20999"/>
    <cellStyle name="AÞ¸¶_6-3°æAi·A  2" xfId="21000"/>
    <cellStyle name="ÄÞ¸¶_6-3°æÀï·Â  2" xfId="21001"/>
    <cellStyle name="AÞ¸¶_7.MASTER SCHEDULE " xfId="21002"/>
    <cellStyle name="ÄÞ¸¶_7.MASTER SCHEDULE " xfId="21003"/>
    <cellStyle name="AÞ¸¶_7.MASTER SCHEDULE  2" xfId="21004"/>
    <cellStyle name="ÄÞ¸¶_7.MASTER SCHEDULE  2" xfId="21005"/>
    <cellStyle name="AÞ¸¶_96¾Æ½OBD " xfId="21006"/>
    <cellStyle name="ÄÞ¸¶_Á¦Á¶1ºÎ1°ú ÇöÈ² " xfId="21007"/>
    <cellStyle name="AÞ¸¶_Ac°i°u¸R " xfId="21008"/>
    <cellStyle name="ÄÞ¸¶_ÀÎ¿ø°èÈ¹ " xfId="21009"/>
    <cellStyle name="AÞ¸¶_AN°yº¸°i-Aß°¡Ay°¨ " xfId="21010"/>
    <cellStyle name="ÄÞ¸¶_Áö]¿Ï¼ºÂ÷ " xfId="21011"/>
    <cellStyle name="AÞ¸¶_AoAUAy°eC￥ " xfId="21012"/>
    <cellStyle name="ÄÞ¸¶_ÅõÀÚÁý°èÇ¥ " xfId="21013"/>
    <cellStyle name="AÞ¸¶_AoAUAy°eC￥ _1031상품손익(채)" xfId="21014"/>
    <cellStyle name="ÄÞ¸¶_Ç¥Áö_ÅõÀÚÁý°èÇ¥ " xfId="21015"/>
    <cellStyle name="AÞ¸¶_C￥Ao_AoAUAy°eC￥ _경통외주가공비인상검토" xfId="21016"/>
    <cellStyle name="ÄÞ¸¶_lx-taxi " xfId="21017"/>
    <cellStyle name="AÞ¸¶_M105CDT " xfId="21018"/>
    <cellStyle name="ÄÞ¸¶_MKN-M1.1 " xfId="21019"/>
    <cellStyle name="AÞ¸¶_SAMPLE " xfId="21020"/>
    <cellStyle name="ÄÞ¸¶_SAMPLE " xfId="21021"/>
    <cellStyle name="AÞ¸¶_SAMPLE  2" xfId="21022"/>
    <cellStyle name="ÄÞ¸¶_SAMPLE  2" xfId="21023"/>
    <cellStyle name="AÞ¸¶_Sheet1 (2)_1.SUMMARY " xfId="21024"/>
    <cellStyle name="ÄÞ¸¶_Sheet1 (2)_1.SUMMARY " xfId="21025"/>
    <cellStyle name="AÞ¸¶_Sheet1 (2)_1.SUMMARY  2" xfId="21026"/>
    <cellStyle name="ÄÞ¸¶_Sheet1 (2)_1.SUMMARY  2" xfId="21027"/>
    <cellStyle name="AÞ¸¶_Sheet1_XD AOA¾AIA¤ " xfId="21028"/>
    <cellStyle name="ÄÞ¸¶_Sheet1_XD ÃÖÁ¾ÀÏÁ¤ " xfId="21029"/>
    <cellStyle name="AÞ¸¶_Sheet1_XD AOA¾AIA¤  2" xfId="21030"/>
    <cellStyle name="ÄÞ¸¶_Sheet1_XD ÃÖÁ¾ÀÏÁ¤  2" xfId="21031"/>
    <cellStyle name="AÞ¸¶_SMG-CKD-d1.1 " xfId="21032"/>
    <cellStyle name="ÄÞ¸¶_SMG-CKD-d1.1 " xfId="21033"/>
    <cellStyle name="AÞ¸¶_SMG-CKD-d1.1  2" xfId="21034"/>
    <cellStyle name="ÄÞ¸¶_SMG-CKD-d1.1  2" xfId="21035"/>
    <cellStyle name="AÞ¸¶_SP ¹°μ¿¹× ¿UAO " xfId="21036"/>
    <cellStyle name="AT좲? [0]_?c?A " xfId="21037"/>
    <cellStyle name="AT좲?_?c?A " xfId="21038"/>
    <cellStyle name="_x0001_b" xfId="21039"/>
    <cellStyle name="_x0001_b 2" xfId="21040"/>
    <cellStyle name="Bad 2" xfId="21042"/>
    <cellStyle name="Bad 2 2" xfId="21043"/>
    <cellStyle name="Bad 3" xfId="21044"/>
    <cellStyle name="Bad 3 2" xfId="21045"/>
    <cellStyle name="Bad 3 2 2" xfId="21046"/>
    <cellStyle name="Bad 4" xfId="21047"/>
    <cellStyle name="Bad 5" xfId="21048"/>
    <cellStyle name="Bad 6" xfId="21041"/>
    <cellStyle name="Body" xfId="21049"/>
    <cellStyle name="Body 2" xfId="21050"/>
    <cellStyle name="C¡?A¨ª_?ø¡?AU¨??ø¨?n " xfId="21051"/>
    <cellStyle name="C¡ERERIA￠RER¡ER￠R￠?¡ER￠R¡¿¡ERI_¡ERER¡ER￠R¡¿￠RER¡ER￠R¡¿I¡ER￠R¡¿¡ERI¡ER￠R¡¿IoR5 " xfId="21052"/>
    <cellStyle name="C¡ERIA￠R¡×¡§¡I_¡ER¡§￠R¡§I¡ERAi¡ERicAc¡ER¡§￠Ri " xfId="21053"/>
    <cellStyle name="C¡ÍA¨ª_   " xfId="21054"/>
    <cellStyle name="C¡IA¨ª_¡¾ⓒo¨¡C_`96.9￠?u¨ªC " xfId="21055"/>
    <cellStyle name="C¡ÍA¨ª_©ø¡íAU¨ù©ø¨¬n " xfId="21056"/>
    <cellStyle name="C¡IA¨ª_M105CDT " xfId="21057"/>
    <cellStyle name="C¡ÍA¨ª_M105CDT " xfId="21058"/>
    <cellStyle name="C¡IA¨ª_M105CDT  2" xfId="21059"/>
    <cellStyle name="C¡ÍA¨ª_M105CDT  2" xfId="21060"/>
    <cellStyle name="C¡IA¨ª_M107CDT " xfId="21061"/>
    <cellStyle name="C¡ÍA¨ª_M107CDT " xfId="21062"/>
    <cellStyle name="C¡IA¨ª_M107CDT  2" xfId="21063"/>
    <cellStyle name="C¡ÍA¨ª_M107CDT  2" xfId="21064"/>
    <cellStyle name="C￠RERIA¡ER￠R¡¿￠R¡×￠RI_   " xfId="21065"/>
    <cellStyle name="C￠RIA¡§¨￡_￠R¨¡¨I￠RAi￠RicAc￠R¨¡i " xfId="21066"/>
    <cellStyle name="C￥AØ_  FAB AIA¤  " xfId="21067"/>
    <cellStyle name="Ç¥ÁØ_#5  3A2475 (v2500)" xfId="21068"/>
    <cellStyle name="C￥AØ_¸AAa.¼OAI " xfId="21069"/>
    <cellStyle name="Ç¥ÁØ_¿¬±¸°³¹ßºñ(°èÁ¤º°) " xfId="21070"/>
    <cellStyle name="C￥AØ_¿¹≫e¿aA≫ " xfId="21071"/>
    <cellStyle name="Ç¥ÁØ_¿ù»ý»ê(È®Á¤°è¾à)_1_ÁÖ°£ÀÏÁ¤ " xfId="21072"/>
    <cellStyle name="C￥AØ_¿μ¾÷CoE² " xfId="21073"/>
    <cellStyle name="Ç¥ÁØ_±¹ÆÇ_`96.9¿ùØÇ " xfId="21074"/>
    <cellStyle name="C￥AØ_≫c¾÷ºIº° AN°e " xfId="21075"/>
    <cellStyle name="Ç¥ÁØ_°¡¼Ö¸°ÀÏÁ¤_µðÁ©ÀÏÁ¤ " xfId="21076"/>
    <cellStyle name="C￥AØ_°¡¼O¸°AIA¤_μðAⓒAIA¤ " xfId="21077"/>
    <cellStyle name="Ç¥ÁØ_°³¹ßÀÏÁ¤ " xfId="21078"/>
    <cellStyle name="C￥AØ_°³¹ßAIA¤  (2)_°³¹ßAIA¤ " xfId="21079"/>
    <cellStyle name="Ç¥ÁØ_°³¹ßÀÏÁ¤  (2)_°³¹ßÀÏÁ¤ " xfId="21080"/>
    <cellStyle name="C￥AØ_°³¹ßAIA¤  (2)_°³¹ßAIA¤  2" xfId="21081"/>
    <cellStyle name="Ç¥ÁØ_°³¹ßÀÏÁ¤  (2)_°³¹ßÀÏÁ¤  2" xfId="21082"/>
    <cellStyle name="C￥AØ_°ø¹R5 " xfId="21083"/>
    <cellStyle name="Ç¥ÁØ_°ü¸®Ç¥ " xfId="21084"/>
    <cellStyle name="C￥AØ_°u¸RBS('98) " xfId="21085"/>
    <cellStyle name="Ç¥ÁØ_0N-HANDLING " xfId="21086"/>
    <cellStyle name="C￥AØ_¼±AoAc°i_1_³≫ºI°eE¹´e AßA¤A÷AI " xfId="21087"/>
    <cellStyle name="Ç¥ÁØ_¼ÕÀÍÂ÷ÀÌ ¿øÀÎ " xfId="21088"/>
    <cellStyle name="C￥AØ_½C¿¹PL " xfId="21089"/>
    <cellStyle name="Ç¥ÁØ_¾÷Á¾º° " xfId="21090"/>
    <cellStyle name="C￥AØ_1.ÆC¸A½CAu " xfId="21091"/>
    <cellStyle name="Ç¥ÁØ_1.ÆÇ¸Å½ÇÀû " xfId="21092"/>
    <cellStyle name="C￥AØ_1.SUMMARY " xfId="21093"/>
    <cellStyle name="Ç¥ÁØ_1.SUMMARY " xfId="21094"/>
    <cellStyle name="C￥AØ_1.SUMMARY  2" xfId="21095"/>
    <cellStyle name="Ç¥ÁØ_1.SUMMARY  2" xfId="21096"/>
    <cellStyle name="C￥AØ_1~7¿u ´e¸RA¡ ¸AAa ¼oAO ½CAu_1~8¿u ´e¸RA¡ ¸AAa " xfId="21097"/>
    <cellStyle name="Ç¥ÁØ_12¿ù " xfId="21098"/>
    <cellStyle name="C￥AØ_12AO " xfId="21099"/>
    <cellStyle name="Ç¥ÁØ_3PJTR°èÈ¹ " xfId="21100"/>
    <cellStyle name="C￥AØ_4 " xfId="21101"/>
    <cellStyle name="Ç¥ÁØ_4 " xfId="21102"/>
    <cellStyle name="C￥AØ_4  2" xfId="21103"/>
    <cellStyle name="Ç¥ÁØ_4  2" xfId="21104"/>
    <cellStyle name="C￥AØ_5-1±¤°i " xfId="21105"/>
    <cellStyle name="Ç¥ÁØ_5-1±¤°í " xfId="21106"/>
    <cellStyle name="C￥AØ_5-1±¤°i  2" xfId="21107"/>
    <cellStyle name="Ç¥ÁØ_5-1±¤°í  2" xfId="21108"/>
    <cellStyle name="C￥AØ_5-1±¤°i _6RCB1 " xfId="21109"/>
    <cellStyle name="Ç¥ÁØ_6-3°æÀï·Â " xfId="21110"/>
    <cellStyle name="C￥AØ_7.MASTER SCHEDULE " xfId="21111"/>
    <cellStyle name="Ç¥ÁØ_7.MASTER SCHEDULE " xfId="21112"/>
    <cellStyle name="C￥AØ_7.MASTER SCHEDULE  2" xfId="21113"/>
    <cellStyle name="Ç¥ÁØ_7.MASTER SCHEDULE  2" xfId="21114"/>
    <cellStyle name="C￥AØ_7¿u~12¿u Aa°i ¿¹≫o " xfId="21115"/>
    <cellStyle name="Ç¥ÁØ_96ÀÎ¿ø°è2 " xfId="21116"/>
    <cellStyle name="C￥AØ_96AI¿ø°O 3 " xfId="21117"/>
    <cellStyle name="Ç¥ÁØ_96ÀÎ¿ø°Ô 3 " xfId="21118"/>
    <cellStyle name="C￥AØ_96AI¿ø°O 3  2" xfId="21119"/>
    <cellStyle name="Ç¥ÁØ_96ÀÎ¿ø°Ô 3  2" xfId="21120"/>
    <cellStyle name="C￥AØ_A≪¸Þ¶o °iA¤AU≫e(°³¹ß½C) " xfId="21121"/>
    <cellStyle name="Ç¥ÁØ_Ã·ºÎ2 " xfId="21122"/>
    <cellStyle name="C￥AØ_A³ºÐ¾E " xfId="21123"/>
    <cellStyle name="Ç¥ÁØ_Àç°í°ü¸® " xfId="21124"/>
    <cellStyle name="C￥AØ_Ac°i°u¸R " xfId="21125"/>
    <cellStyle name="Ç¥ÁØ_ÀÏÁ¤°ËÅä¾È" xfId="21126"/>
    <cellStyle name="C￥AØ_ANCO°e " xfId="21127"/>
    <cellStyle name="Ç¥ÁØ_Áö]¿Ï¼ºÂ÷ " xfId="21128"/>
    <cellStyle name="C￥AØ_AoAUAy°eC￥ " xfId="21129"/>
    <cellStyle name="Ç¥ÁØ_ÅõÀÚÁý°èÇ¥ " xfId="21130"/>
    <cellStyle name="C￥AØ_AoAUºn(ºI¼­º°,°eA¤º°) " xfId="21131"/>
    <cellStyle name="Ç¥ÁØ_ÅõÀÚºñ(ºÎ¼­º°,°èÁ¤º°) " xfId="21132"/>
    <cellStyle name="C￥AØ_AoAUºn(ºI¼­º°,°eA¤º°)  2" xfId="21133"/>
    <cellStyle name="Ç¥ÁØ_ÅõÀÚºñ(ºÎ¼­º°,°èÁ¤º°)  2" xfId="21134"/>
    <cellStyle name="C￥AØ_Aß±a≫y≫e°eE¹ " xfId="21135"/>
    <cellStyle name="Ç¥ÁØ_Áý°èÇ¥(2¿ù) " xfId="21136"/>
    <cellStyle name="C￥AØ_CoAo¹yAI °A¾×¿ⓒ½A " xfId="21137"/>
    <cellStyle name="Ç¥ÁØ_ÇùÁ¶Àü_ÅõÀÔ°èÈ¹ " xfId="21138"/>
    <cellStyle name="C￥AØ_lx-taxi " xfId="21139"/>
    <cellStyle name="Ç¥ÁØ_lx-taxi " xfId="21140"/>
    <cellStyle name="C￥AØ_lx-taxi  2" xfId="21141"/>
    <cellStyle name="Ç¥ÁØ_lx-taxi  2" xfId="21142"/>
    <cellStyle name="C￥AØ_MKN-M1.1 " xfId="21143"/>
    <cellStyle name="Ç¥ÁØ_MKN-M1.1 " xfId="21144"/>
    <cellStyle name="C￥AØ_MKN-M1.1  2" xfId="21145"/>
    <cellStyle name="Ç¥ÁØ_MKN-M1.1  2" xfId="21146"/>
    <cellStyle name="C￥AØ_RDTR99ML " xfId="21147"/>
    <cellStyle name="Ç¥ÁØ_RDTR99ML " xfId="21148"/>
    <cellStyle name="C￥AØ_RDTR99ML  2" xfId="21149"/>
    <cellStyle name="Ç¥ÁØ_RDTR99ML  2" xfId="21150"/>
    <cellStyle name="C￥AØ_Sheet1_4PART " xfId="21151"/>
    <cellStyle name="Ç¥ÁØ_SMG-CKD-d1.1 " xfId="21152"/>
    <cellStyle name="C￥AØ_trr-runsheet . full . final " xfId="21153"/>
    <cellStyle name="Ç¥ÁØ_trr-runsheet . full . final " xfId="21154"/>
    <cellStyle name="C￥AØ_WIPER " xfId="21155"/>
    <cellStyle name="Ç¥ÁØ_WIPER " xfId="21156"/>
    <cellStyle name="C￥AØ_WIPER  2" xfId="21157"/>
    <cellStyle name="Ç¥ÁØ_WIPER  2" xfId="21158"/>
    <cellStyle name="C￥AØ_XD AOA¾AIA¤ " xfId="21159"/>
    <cellStyle name="Ç¥ÁØ_XD ÃÖÁ¾ÀÏÁ¤ " xfId="21160"/>
    <cellStyle name="C￥AØ_XD AOA¾AIA¤  2" xfId="21161"/>
    <cellStyle name="Ç¥ÁØ_XD ÃÖÁ¾ÀÏÁ¤  2" xfId="21162"/>
    <cellStyle name="C￥AØ_μðAⓒAIA¤ " xfId="21163"/>
    <cellStyle name="Calc Currency (0)" xfId="21164"/>
    <cellStyle name="Calc Currency (2)" xfId="21165"/>
    <cellStyle name="Calc Percent (0)" xfId="21166"/>
    <cellStyle name="Calc Percent (1)" xfId="21167"/>
    <cellStyle name="Calc Percent (2)" xfId="21168"/>
    <cellStyle name="Calc Units (0)" xfId="21169"/>
    <cellStyle name="Calc Units (1)" xfId="21170"/>
    <cellStyle name="Calc Units (2)" xfId="21171"/>
    <cellStyle name="Calculation 10" xfId="21173"/>
    <cellStyle name="Calculation 10 2" xfId="21174"/>
    <cellStyle name="Calculation 10 2 2" xfId="21175"/>
    <cellStyle name="Calculation 10 2 3" xfId="21176"/>
    <cellStyle name="Calculation 10 2 4" xfId="21177"/>
    <cellStyle name="Calculation 10 3" xfId="21178"/>
    <cellStyle name="Calculation 10 3 2" xfId="21179"/>
    <cellStyle name="Calculation 10 3 3" xfId="21180"/>
    <cellStyle name="Calculation 10 4" xfId="21181"/>
    <cellStyle name="Calculation 10 5" xfId="21182"/>
    <cellStyle name="Calculation 11" xfId="21183"/>
    <cellStyle name="Calculation 11 2" xfId="21184"/>
    <cellStyle name="Calculation 11 2 2" xfId="21185"/>
    <cellStyle name="Calculation 11 2 3" xfId="21186"/>
    <cellStyle name="Calculation 11 2 4" xfId="21187"/>
    <cellStyle name="Calculation 11 3" xfId="21188"/>
    <cellStyle name="Calculation 11 3 2" xfId="21189"/>
    <cellStyle name="Calculation 11 3 3" xfId="21190"/>
    <cellStyle name="Calculation 11 4" xfId="21191"/>
    <cellStyle name="Calculation 11 5" xfId="21192"/>
    <cellStyle name="Calculation 12" xfId="21193"/>
    <cellStyle name="Calculation 12 2" xfId="21194"/>
    <cellStyle name="Calculation 12 2 2" xfId="21195"/>
    <cellStyle name="Calculation 12 2 3" xfId="21196"/>
    <cellStyle name="Calculation 12 3" xfId="21197"/>
    <cellStyle name="Calculation 12 3 2" xfId="21198"/>
    <cellStyle name="Calculation 12 4" xfId="21199"/>
    <cellStyle name="Calculation 12 5" xfId="21200"/>
    <cellStyle name="Calculation 13" xfId="21201"/>
    <cellStyle name="Calculation 13 2" xfId="21202"/>
    <cellStyle name="Calculation 13 2 2" xfId="21203"/>
    <cellStyle name="Calculation 13 2 3" xfId="21204"/>
    <cellStyle name="Calculation 13 3" xfId="21205"/>
    <cellStyle name="Calculation 13 3 2" xfId="21206"/>
    <cellStyle name="Calculation 13 4" xfId="21207"/>
    <cellStyle name="Calculation 13 5" xfId="21208"/>
    <cellStyle name="Calculation 14" xfId="21209"/>
    <cellStyle name="Calculation 14 2" xfId="21210"/>
    <cellStyle name="Calculation 14 3" xfId="21211"/>
    <cellStyle name="Calculation 15" xfId="21212"/>
    <cellStyle name="Calculation 16" xfId="21213"/>
    <cellStyle name="Calculation 17" xfId="21214"/>
    <cellStyle name="Calculation 18" xfId="21172"/>
    <cellStyle name="Calculation 2" xfId="21215"/>
    <cellStyle name="Calculation 2 10" xfId="21216"/>
    <cellStyle name="Calculation 2 10 2" xfId="21217"/>
    <cellStyle name="Calculation 2 10 2 2" xfId="21218"/>
    <cellStyle name="Calculation 2 10 2 3" xfId="21219"/>
    <cellStyle name="Calculation 2 10 3" xfId="21220"/>
    <cellStyle name="Calculation 2 10 3 2" xfId="21221"/>
    <cellStyle name="Calculation 2 10 4" xfId="21222"/>
    <cellStyle name="Calculation 2 11" xfId="21223"/>
    <cellStyle name="Calculation 2 11 2" xfId="21224"/>
    <cellStyle name="Calculation 2 11 2 2" xfId="21225"/>
    <cellStyle name="Calculation 2 11 2 3" xfId="21226"/>
    <cellStyle name="Calculation 2 11 3" xfId="21227"/>
    <cellStyle name="Calculation 2 11 3 2" xfId="21228"/>
    <cellStyle name="Calculation 2 11 4" xfId="21229"/>
    <cellStyle name="Calculation 2 12" xfId="21230"/>
    <cellStyle name="Calculation 2 12 2" xfId="21231"/>
    <cellStyle name="Calculation 2 12 3" xfId="21232"/>
    <cellStyle name="Calculation 2 13" xfId="21233"/>
    <cellStyle name="Calculation 2 14" xfId="21234"/>
    <cellStyle name="Calculation 2 15" xfId="21235"/>
    <cellStyle name="Calculation 2 2" xfId="21236"/>
    <cellStyle name="Calculation 2 2 10" xfId="21237"/>
    <cellStyle name="Calculation 2 2 10 2" xfId="21238"/>
    <cellStyle name="Calculation 2 2 10 2 2" xfId="21239"/>
    <cellStyle name="Calculation 2 2 10 2 3" xfId="21240"/>
    <cellStyle name="Calculation 2 2 10 3" xfId="21241"/>
    <cellStyle name="Calculation 2 2 10 3 2" xfId="21242"/>
    <cellStyle name="Calculation 2 2 10 4" xfId="21243"/>
    <cellStyle name="Calculation 2 2 11" xfId="21244"/>
    <cellStyle name="Calculation 2 2 11 2" xfId="21245"/>
    <cellStyle name="Calculation 2 2 11 3" xfId="21246"/>
    <cellStyle name="Calculation 2 2 12" xfId="21247"/>
    <cellStyle name="Calculation 2 2 13" xfId="21248"/>
    <cellStyle name="Calculation 2 2 14" xfId="21249"/>
    <cellStyle name="Calculation 2 2 2" xfId="21250"/>
    <cellStyle name="Calculation 2 2 2 2" xfId="21251"/>
    <cellStyle name="Calculation 2 2 2 2 2" xfId="21252"/>
    <cellStyle name="Calculation 2 2 2 2 3" xfId="21253"/>
    <cellStyle name="Calculation 2 2 2 3" xfId="21254"/>
    <cellStyle name="Calculation 2 2 2 3 2" xfId="21255"/>
    <cellStyle name="Calculation 2 2 2 4" xfId="21256"/>
    <cellStyle name="Calculation 2 2 3" xfId="21257"/>
    <cellStyle name="Calculation 2 2 3 2" xfId="21258"/>
    <cellStyle name="Calculation 2 2 3 2 2" xfId="21259"/>
    <cellStyle name="Calculation 2 2 3 2 3" xfId="21260"/>
    <cellStyle name="Calculation 2 2 3 3" xfId="21261"/>
    <cellStyle name="Calculation 2 2 3 3 2" xfId="21262"/>
    <cellStyle name="Calculation 2 2 3 4" xfId="21263"/>
    <cellStyle name="Calculation 2 2 4" xfId="21264"/>
    <cellStyle name="Calculation 2 2 4 2" xfId="21265"/>
    <cellStyle name="Calculation 2 2 4 2 2" xfId="21266"/>
    <cellStyle name="Calculation 2 2 4 2 3" xfId="21267"/>
    <cellStyle name="Calculation 2 2 4 3" xfId="21268"/>
    <cellStyle name="Calculation 2 2 4 3 2" xfId="21269"/>
    <cellStyle name="Calculation 2 2 4 4" xfId="21270"/>
    <cellStyle name="Calculation 2 2 5" xfId="21271"/>
    <cellStyle name="Calculation 2 2 5 2" xfId="21272"/>
    <cellStyle name="Calculation 2 2 5 2 2" xfId="21273"/>
    <cellStyle name="Calculation 2 2 5 2 3" xfId="21274"/>
    <cellStyle name="Calculation 2 2 5 3" xfId="21275"/>
    <cellStyle name="Calculation 2 2 5 3 2" xfId="21276"/>
    <cellStyle name="Calculation 2 2 5 4" xfId="21277"/>
    <cellStyle name="Calculation 2 2 6" xfId="21278"/>
    <cellStyle name="Calculation 2 2 6 2" xfId="21279"/>
    <cellStyle name="Calculation 2 2 6 2 2" xfId="21280"/>
    <cellStyle name="Calculation 2 2 6 2 3" xfId="21281"/>
    <cellStyle name="Calculation 2 2 6 3" xfId="21282"/>
    <cellStyle name="Calculation 2 2 6 3 2" xfId="21283"/>
    <cellStyle name="Calculation 2 2 6 4" xfId="21284"/>
    <cellStyle name="Calculation 2 2 7" xfId="21285"/>
    <cellStyle name="Calculation 2 2 7 2" xfId="21286"/>
    <cellStyle name="Calculation 2 2 7 2 2" xfId="21287"/>
    <cellStyle name="Calculation 2 2 7 2 3" xfId="21288"/>
    <cellStyle name="Calculation 2 2 7 3" xfId="21289"/>
    <cellStyle name="Calculation 2 2 7 3 2" xfId="21290"/>
    <cellStyle name="Calculation 2 2 7 4" xfId="21291"/>
    <cellStyle name="Calculation 2 2 8" xfId="21292"/>
    <cellStyle name="Calculation 2 2 8 2" xfId="21293"/>
    <cellStyle name="Calculation 2 2 8 2 2" xfId="21294"/>
    <cellStyle name="Calculation 2 2 8 2 3" xfId="21295"/>
    <cellStyle name="Calculation 2 2 8 3" xfId="21296"/>
    <cellStyle name="Calculation 2 2 8 3 2" xfId="21297"/>
    <cellStyle name="Calculation 2 2 8 4" xfId="21298"/>
    <cellStyle name="Calculation 2 2 9" xfId="21299"/>
    <cellStyle name="Calculation 2 2 9 2" xfId="21300"/>
    <cellStyle name="Calculation 2 2 9 2 2" xfId="21301"/>
    <cellStyle name="Calculation 2 2 9 2 3" xfId="21302"/>
    <cellStyle name="Calculation 2 2 9 3" xfId="21303"/>
    <cellStyle name="Calculation 2 2 9 3 2" xfId="21304"/>
    <cellStyle name="Calculation 2 2 9 4" xfId="21305"/>
    <cellStyle name="Calculation 2 3" xfId="21306"/>
    <cellStyle name="Calculation 2 3 2" xfId="21307"/>
    <cellStyle name="Calculation 2 3 2 2" xfId="21308"/>
    <cellStyle name="Calculation 2 3 2 3" xfId="21309"/>
    <cellStyle name="Calculation 2 3 3" xfId="21310"/>
    <cellStyle name="Calculation 2 3 3 2" xfId="21311"/>
    <cellStyle name="Calculation 2 3 4" xfId="21312"/>
    <cellStyle name="Calculation 2 4" xfId="21313"/>
    <cellStyle name="Calculation 2 4 2" xfId="21314"/>
    <cellStyle name="Calculation 2 4 2 2" xfId="21315"/>
    <cellStyle name="Calculation 2 4 2 3" xfId="21316"/>
    <cellStyle name="Calculation 2 4 3" xfId="21317"/>
    <cellStyle name="Calculation 2 4 3 2" xfId="21318"/>
    <cellStyle name="Calculation 2 4 4" xfId="21319"/>
    <cellStyle name="Calculation 2 5" xfId="21320"/>
    <cellStyle name="Calculation 2 5 2" xfId="21321"/>
    <cellStyle name="Calculation 2 5 2 2" xfId="21322"/>
    <cellStyle name="Calculation 2 5 2 3" xfId="21323"/>
    <cellStyle name="Calculation 2 5 3" xfId="21324"/>
    <cellStyle name="Calculation 2 5 3 2" xfId="21325"/>
    <cellStyle name="Calculation 2 5 4" xfId="21326"/>
    <cellStyle name="Calculation 2 6" xfId="21327"/>
    <cellStyle name="Calculation 2 6 2" xfId="21328"/>
    <cellStyle name="Calculation 2 6 2 2" xfId="21329"/>
    <cellStyle name="Calculation 2 6 2 3" xfId="21330"/>
    <cellStyle name="Calculation 2 6 3" xfId="21331"/>
    <cellStyle name="Calculation 2 6 3 2" xfId="21332"/>
    <cellStyle name="Calculation 2 6 4" xfId="21333"/>
    <cellStyle name="Calculation 2 7" xfId="21334"/>
    <cellStyle name="Calculation 2 7 2" xfId="21335"/>
    <cellStyle name="Calculation 2 7 2 2" xfId="21336"/>
    <cellStyle name="Calculation 2 7 2 3" xfId="21337"/>
    <cellStyle name="Calculation 2 7 3" xfId="21338"/>
    <cellStyle name="Calculation 2 7 3 2" xfId="21339"/>
    <cellStyle name="Calculation 2 7 4" xfId="21340"/>
    <cellStyle name="Calculation 2 8" xfId="21341"/>
    <cellStyle name="Calculation 2 8 2" xfId="21342"/>
    <cellStyle name="Calculation 2 8 2 2" xfId="21343"/>
    <cellStyle name="Calculation 2 8 2 3" xfId="21344"/>
    <cellStyle name="Calculation 2 8 3" xfId="21345"/>
    <cellStyle name="Calculation 2 8 3 2" xfId="21346"/>
    <cellStyle name="Calculation 2 8 4" xfId="21347"/>
    <cellStyle name="Calculation 2 9" xfId="21348"/>
    <cellStyle name="Calculation 2 9 2" xfId="21349"/>
    <cellStyle name="Calculation 2 9 2 2" xfId="21350"/>
    <cellStyle name="Calculation 2 9 2 3" xfId="21351"/>
    <cellStyle name="Calculation 2 9 3" xfId="21352"/>
    <cellStyle name="Calculation 2 9 3 2" xfId="21353"/>
    <cellStyle name="Calculation 2 9 4" xfId="21354"/>
    <cellStyle name="Calculation 3" xfId="21355"/>
    <cellStyle name="Calculation 3 10" xfId="21356"/>
    <cellStyle name="Calculation 3 10 2" xfId="21357"/>
    <cellStyle name="Calculation 3 10 2 2" xfId="21358"/>
    <cellStyle name="Calculation 3 10 2 3" xfId="21359"/>
    <cellStyle name="Calculation 3 10 3" xfId="21360"/>
    <cellStyle name="Calculation 3 10 3 2" xfId="21361"/>
    <cellStyle name="Calculation 3 10 4" xfId="21362"/>
    <cellStyle name="Calculation 3 10 5" xfId="21363"/>
    <cellStyle name="Calculation 3 10 6" xfId="21364"/>
    <cellStyle name="Calculation 3 11" xfId="21365"/>
    <cellStyle name="Calculation 3 11 2" xfId="21366"/>
    <cellStyle name="Calculation 3 11 2 2" xfId="21367"/>
    <cellStyle name="Calculation 3 11 2 3" xfId="21368"/>
    <cellStyle name="Calculation 3 11 3" xfId="21369"/>
    <cellStyle name="Calculation 3 11 3 2" xfId="21370"/>
    <cellStyle name="Calculation 3 11 4" xfId="21371"/>
    <cellStyle name="Calculation 3 11 5" xfId="21372"/>
    <cellStyle name="Calculation 3 11 6" xfId="21373"/>
    <cellStyle name="Calculation 3 12" xfId="21374"/>
    <cellStyle name="Calculation 3 12 2" xfId="21375"/>
    <cellStyle name="Calculation 3 12 2 2" xfId="21376"/>
    <cellStyle name="Calculation 3 12 3" xfId="21377"/>
    <cellStyle name="Calculation 3 12 4" xfId="21378"/>
    <cellStyle name="Calculation 3 13" xfId="21379"/>
    <cellStyle name="Calculation 3 13 2" xfId="21380"/>
    <cellStyle name="Calculation 3 14" xfId="21381"/>
    <cellStyle name="Calculation 3 15" xfId="21382"/>
    <cellStyle name="Calculation 3 16" xfId="21383"/>
    <cellStyle name="Calculation 3 2" xfId="21384"/>
    <cellStyle name="Calculation 3 2 10" xfId="21385"/>
    <cellStyle name="Calculation 3 2 10 2" xfId="21386"/>
    <cellStyle name="Calculation 3 2 10 2 2" xfId="21387"/>
    <cellStyle name="Calculation 3 2 10 2 3" xfId="21388"/>
    <cellStyle name="Calculation 3 2 10 3" xfId="21389"/>
    <cellStyle name="Calculation 3 2 10 3 2" xfId="21390"/>
    <cellStyle name="Calculation 3 2 10 4" xfId="21391"/>
    <cellStyle name="Calculation 3 2 10 5" xfId="21392"/>
    <cellStyle name="Calculation 3 2 10 6" xfId="21393"/>
    <cellStyle name="Calculation 3 2 11" xfId="21394"/>
    <cellStyle name="Calculation 3 2 11 2" xfId="21395"/>
    <cellStyle name="Calculation 3 2 11 2 2" xfId="21396"/>
    <cellStyle name="Calculation 3 2 11 3" xfId="21397"/>
    <cellStyle name="Calculation 3 2 11 4" xfId="21398"/>
    <cellStyle name="Calculation 3 2 12" xfId="21399"/>
    <cellStyle name="Calculation 3 2 12 2" xfId="21400"/>
    <cellStyle name="Calculation 3 2 13" xfId="21401"/>
    <cellStyle name="Calculation 3 2 14" xfId="21402"/>
    <cellStyle name="Calculation 3 2 15" xfId="21403"/>
    <cellStyle name="Calculation 3 2 2" xfId="21404"/>
    <cellStyle name="Calculation 3 2 2 2" xfId="21405"/>
    <cellStyle name="Calculation 3 2 2 2 2" xfId="21406"/>
    <cellStyle name="Calculation 3 2 2 2 3" xfId="21407"/>
    <cellStyle name="Calculation 3 2 2 3" xfId="21408"/>
    <cellStyle name="Calculation 3 2 2 3 2" xfId="21409"/>
    <cellStyle name="Calculation 3 2 2 4" xfId="21410"/>
    <cellStyle name="Calculation 3 2 2 5" xfId="21411"/>
    <cellStyle name="Calculation 3 2 2 6" xfId="21412"/>
    <cellStyle name="Calculation 3 2 3" xfId="21413"/>
    <cellStyle name="Calculation 3 2 3 2" xfId="21414"/>
    <cellStyle name="Calculation 3 2 3 2 2" xfId="21415"/>
    <cellStyle name="Calculation 3 2 3 2 3" xfId="21416"/>
    <cellStyle name="Calculation 3 2 3 3" xfId="21417"/>
    <cellStyle name="Calculation 3 2 3 3 2" xfId="21418"/>
    <cellStyle name="Calculation 3 2 3 4" xfId="21419"/>
    <cellStyle name="Calculation 3 2 3 5" xfId="21420"/>
    <cellStyle name="Calculation 3 2 3 6" xfId="21421"/>
    <cellStyle name="Calculation 3 2 4" xfId="21422"/>
    <cellStyle name="Calculation 3 2 4 2" xfId="21423"/>
    <cellStyle name="Calculation 3 2 4 2 2" xfId="21424"/>
    <cellStyle name="Calculation 3 2 4 2 3" xfId="21425"/>
    <cellStyle name="Calculation 3 2 4 3" xfId="21426"/>
    <cellStyle name="Calculation 3 2 4 3 2" xfId="21427"/>
    <cellStyle name="Calculation 3 2 4 4" xfId="21428"/>
    <cellStyle name="Calculation 3 2 4 5" xfId="21429"/>
    <cellStyle name="Calculation 3 2 4 6" xfId="21430"/>
    <cellStyle name="Calculation 3 2 5" xfId="21431"/>
    <cellStyle name="Calculation 3 2 5 2" xfId="21432"/>
    <cellStyle name="Calculation 3 2 5 2 2" xfId="21433"/>
    <cellStyle name="Calculation 3 2 5 2 3" xfId="21434"/>
    <cellStyle name="Calculation 3 2 5 3" xfId="21435"/>
    <cellStyle name="Calculation 3 2 5 3 2" xfId="21436"/>
    <cellStyle name="Calculation 3 2 5 4" xfId="21437"/>
    <cellStyle name="Calculation 3 2 5 5" xfId="21438"/>
    <cellStyle name="Calculation 3 2 5 6" xfId="21439"/>
    <cellStyle name="Calculation 3 2 6" xfId="21440"/>
    <cellStyle name="Calculation 3 2 6 2" xfId="21441"/>
    <cellStyle name="Calculation 3 2 6 2 2" xfId="21442"/>
    <cellStyle name="Calculation 3 2 6 2 3" xfId="21443"/>
    <cellStyle name="Calculation 3 2 6 3" xfId="21444"/>
    <cellStyle name="Calculation 3 2 6 3 2" xfId="21445"/>
    <cellStyle name="Calculation 3 2 6 4" xfId="21446"/>
    <cellStyle name="Calculation 3 2 6 5" xfId="21447"/>
    <cellStyle name="Calculation 3 2 6 6" xfId="21448"/>
    <cellStyle name="Calculation 3 2 7" xfId="21449"/>
    <cellStyle name="Calculation 3 2 7 2" xfId="21450"/>
    <cellStyle name="Calculation 3 2 7 2 2" xfId="21451"/>
    <cellStyle name="Calculation 3 2 7 2 3" xfId="21452"/>
    <cellStyle name="Calculation 3 2 7 3" xfId="21453"/>
    <cellStyle name="Calculation 3 2 7 3 2" xfId="21454"/>
    <cellStyle name="Calculation 3 2 7 4" xfId="21455"/>
    <cellStyle name="Calculation 3 2 7 5" xfId="21456"/>
    <cellStyle name="Calculation 3 2 7 6" xfId="21457"/>
    <cellStyle name="Calculation 3 2 8" xfId="21458"/>
    <cellStyle name="Calculation 3 2 8 2" xfId="21459"/>
    <cellStyle name="Calculation 3 2 8 2 2" xfId="21460"/>
    <cellStyle name="Calculation 3 2 8 2 3" xfId="21461"/>
    <cellStyle name="Calculation 3 2 8 3" xfId="21462"/>
    <cellStyle name="Calculation 3 2 8 3 2" xfId="21463"/>
    <cellStyle name="Calculation 3 2 8 4" xfId="21464"/>
    <cellStyle name="Calculation 3 2 8 5" xfId="21465"/>
    <cellStyle name="Calculation 3 2 8 6" xfId="21466"/>
    <cellStyle name="Calculation 3 2 9" xfId="21467"/>
    <cellStyle name="Calculation 3 2 9 2" xfId="21468"/>
    <cellStyle name="Calculation 3 2 9 2 2" xfId="21469"/>
    <cellStyle name="Calculation 3 2 9 2 3" xfId="21470"/>
    <cellStyle name="Calculation 3 2 9 3" xfId="21471"/>
    <cellStyle name="Calculation 3 2 9 3 2" xfId="21472"/>
    <cellStyle name="Calculation 3 2 9 4" xfId="21473"/>
    <cellStyle name="Calculation 3 2 9 5" xfId="21474"/>
    <cellStyle name="Calculation 3 2 9 6" xfId="21475"/>
    <cellStyle name="Calculation 3 3" xfId="21476"/>
    <cellStyle name="Calculation 3 3 2" xfId="21477"/>
    <cellStyle name="Calculation 3 3 2 2" xfId="21478"/>
    <cellStyle name="Calculation 3 3 2 3" xfId="21479"/>
    <cellStyle name="Calculation 3 3 3" xfId="21480"/>
    <cellStyle name="Calculation 3 3 3 2" xfId="21481"/>
    <cellStyle name="Calculation 3 3 4" xfId="21482"/>
    <cellStyle name="Calculation 3 3 5" xfId="21483"/>
    <cellStyle name="Calculation 3 3 6" xfId="21484"/>
    <cellStyle name="Calculation 3 4" xfId="21485"/>
    <cellStyle name="Calculation 3 4 2" xfId="21486"/>
    <cellStyle name="Calculation 3 4 2 2" xfId="21487"/>
    <cellStyle name="Calculation 3 4 2 3" xfId="21488"/>
    <cellStyle name="Calculation 3 4 3" xfId="21489"/>
    <cellStyle name="Calculation 3 4 3 2" xfId="21490"/>
    <cellStyle name="Calculation 3 4 4" xfId="21491"/>
    <cellStyle name="Calculation 3 4 5" xfId="21492"/>
    <cellStyle name="Calculation 3 4 6" xfId="21493"/>
    <cellStyle name="Calculation 3 5" xfId="21494"/>
    <cellStyle name="Calculation 3 5 2" xfId="21495"/>
    <cellStyle name="Calculation 3 5 2 2" xfId="21496"/>
    <cellStyle name="Calculation 3 5 2 3" xfId="21497"/>
    <cellStyle name="Calculation 3 5 3" xfId="21498"/>
    <cellStyle name="Calculation 3 5 3 2" xfId="21499"/>
    <cellStyle name="Calculation 3 5 4" xfId="21500"/>
    <cellStyle name="Calculation 3 5 5" xfId="21501"/>
    <cellStyle name="Calculation 3 5 6" xfId="21502"/>
    <cellStyle name="Calculation 3 6" xfId="21503"/>
    <cellStyle name="Calculation 3 6 2" xfId="21504"/>
    <cellStyle name="Calculation 3 6 2 2" xfId="21505"/>
    <cellStyle name="Calculation 3 6 2 3" xfId="21506"/>
    <cellStyle name="Calculation 3 6 3" xfId="21507"/>
    <cellStyle name="Calculation 3 6 3 2" xfId="21508"/>
    <cellStyle name="Calculation 3 6 4" xfId="21509"/>
    <cellStyle name="Calculation 3 6 5" xfId="21510"/>
    <cellStyle name="Calculation 3 6 6" xfId="21511"/>
    <cellStyle name="Calculation 3 7" xfId="21512"/>
    <cellStyle name="Calculation 3 7 2" xfId="21513"/>
    <cellStyle name="Calculation 3 7 2 2" xfId="21514"/>
    <cellStyle name="Calculation 3 7 2 3" xfId="21515"/>
    <cellStyle name="Calculation 3 7 3" xfId="21516"/>
    <cellStyle name="Calculation 3 7 3 2" xfId="21517"/>
    <cellStyle name="Calculation 3 7 4" xfId="21518"/>
    <cellStyle name="Calculation 3 7 5" xfId="21519"/>
    <cellStyle name="Calculation 3 7 6" xfId="21520"/>
    <cellStyle name="Calculation 3 8" xfId="21521"/>
    <cellStyle name="Calculation 3 8 2" xfId="21522"/>
    <cellStyle name="Calculation 3 8 2 2" xfId="21523"/>
    <cellStyle name="Calculation 3 8 2 3" xfId="21524"/>
    <cellStyle name="Calculation 3 8 3" xfId="21525"/>
    <cellStyle name="Calculation 3 8 3 2" xfId="21526"/>
    <cellStyle name="Calculation 3 8 4" xfId="21527"/>
    <cellStyle name="Calculation 3 8 5" xfId="21528"/>
    <cellStyle name="Calculation 3 8 6" xfId="21529"/>
    <cellStyle name="Calculation 3 9" xfId="21530"/>
    <cellStyle name="Calculation 3 9 2" xfId="21531"/>
    <cellStyle name="Calculation 3 9 2 2" xfId="21532"/>
    <cellStyle name="Calculation 3 9 2 3" xfId="21533"/>
    <cellStyle name="Calculation 3 9 3" xfId="21534"/>
    <cellStyle name="Calculation 3 9 3 2" xfId="21535"/>
    <cellStyle name="Calculation 3 9 4" xfId="21536"/>
    <cellStyle name="Calculation 3 9 5" xfId="21537"/>
    <cellStyle name="Calculation 3 9 6" xfId="21538"/>
    <cellStyle name="Calculation 4" xfId="21539"/>
    <cellStyle name="Calculation 4 10" xfId="21540"/>
    <cellStyle name="Calculation 4 10 2" xfId="21541"/>
    <cellStyle name="Calculation 4 10 2 2" xfId="21542"/>
    <cellStyle name="Calculation 4 10 2 3" xfId="21543"/>
    <cellStyle name="Calculation 4 10 3" xfId="21544"/>
    <cellStyle name="Calculation 4 10 3 2" xfId="21545"/>
    <cellStyle name="Calculation 4 10 4" xfId="21546"/>
    <cellStyle name="Calculation 4 11" xfId="21547"/>
    <cellStyle name="Calculation 4 11 2" xfId="21548"/>
    <cellStyle name="Calculation 4 11 3" xfId="21549"/>
    <cellStyle name="Calculation 4 12" xfId="21550"/>
    <cellStyle name="Calculation 4 13" xfId="21551"/>
    <cellStyle name="Calculation 4 14" xfId="21552"/>
    <cellStyle name="Calculation 4 2" xfId="21553"/>
    <cellStyle name="Calculation 4 2 2" xfId="21554"/>
    <cellStyle name="Calculation 4 2 2 2" xfId="21555"/>
    <cellStyle name="Calculation 4 2 2 3" xfId="21556"/>
    <cellStyle name="Calculation 4 2 3" xfId="21557"/>
    <cellStyle name="Calculation 4 2 3 2" xfId="21558"/>
    <cellStyle name="Calculation 4 2 4" xfId="21559"/>
    <cellStyle name="Calculation 4 2 5" xfId="21560"/>
    <cellStyle name="Calculation 4 3" xfId="21561"/>
    <cellStyle name="Calculation 4 3 2" xfId="21562"/>
    <cellStyle name="Calculation 4 3 2 2" xfId="21563"/>
    <cellStyle name="Calculation 4 3 2 3" xfId="21564"/>
    <cellStyle name="Calculation 4 3 3" xfId="21565"/>
    <cellStyle name="Calculation 4 3 3 2" xfId="21566"/>
    <cellStyle name="Calculation 4 3 4" xfId="21567"/>
    <cellStyle name="Calculation 4 4" xfId="21568"/>
    <cellStyle name="Calculation 4 4 2" xfId="21569"/>
    <cellStyle name="Calculation 4 4 2 2" xfId="21570"/>
    <cellStyle name="Calculation 4 4 2 3" xfId="21571"/>
    <cellStyle name="Calculation 4 4 3" xfId="21572"/>
    <cellStyle name="Calculation 4 4 3 2" xfId="21573"/>
    <cellStyle name="Calculation 4 4 4" xfId="21574"/>
    <cellStyle name="Calculation 4 5" xfId="21575"/>
    <cellStyle name="Calculation 4 5 2" xfId="21576"/>
    <cellStyle name="Calculation 4 5 2 2" xfId="21577"/>
    <cellStyle name="Calculation 4 5 2 3" xfId="21578"/>
    <cellStyle name="Calculation 4 5 3" xfId="21579"/>
    <cellStyle name="Calculation 4 5 3 2" xfId="21580"/>
    <cellStyle name="Calculation 4 5 4" xfId="21581"/>
    <cellStyle name="Calculation 4 6" xfId="21582"/>
    <cellStyle name="Calculation 4 6 2" xfId="21583"/>
    <cellStyle name="Calculation 4 6 2 2" xfId="21584"/>
    <cellStyle name="Calculation 4 6 2 3" xfId="21585"/>
    <cellStyle name="Calculation 4 6 3" xfId="21586"/>
    <cellStyle name="Calculation 4 6 3 2" xfId="21587"/>
    <cellStyle name="Calculation 4 6 4" xfId="21588"/>
    <cellStyle name="Calculation 4 7" xfId="21589"/>
    <cellStyle name="Calculation 4 7 2" xfId="21590"/>
    <cellStyle name="Calculation 4 7 2 2" xfId="21591"/>
    <cellStyle name="Calculation 4 7 2 3" xfId="21592"/>
    <cellStyle name="Calculation 4 7 3" xfId="21593"/>
    <cellStyle name="Calculation 4 7 3 2" xfId="21594"/>
    <cellStyle name="Calculation 4 7 4" xfId="21595"/>
    <cellStyle name="Calculation 4 8" xfId="21596"/>
    <cellStyle name="Calculation 4 8 2" xfId="21597"/>
    <cellStyle name="Calculation 4 8 2 2" xfId="21598"/>
    <cellStyle name="Calculation 4 8 2 3" xfId="21599"/>
    <cellStyle name="Calculation 4 8 3" xfId="21600"/>
    <cellStyle name="Calculation 4 8 3 2" xfId="21601"/>
    <cellStyle name="Calculation 4 8 4" xfId="21602"/>
    <cellStyle name="Calculation 4 9" xfId="21603"/>
    <cellStyle name="Calculation 4 9 2" xfId="21604"/>
    <cellStyle name="Calculation 4 9 2 2" xfId="21605"/>
    <cellStyle name="Calculation 4 9 2 3" xfId="21606"/>
    <cellStyle name="Calculation 4 9 3" xfId="21607"/>
    <cellStyle name="Calculation 4 9 3 2" xfId="21608"/>
    <cellStyle name="Calculation 4 9 4" xfId="21609"/>
    <cellStyle name="Calculation 5" xfId="21610"/>
    <cellStyle name="Calculation 5 2" xfId="21611"/>
    <cellStyle name="Calculation 5 2 2" xfId="21612"/>
    <cellStyle name="Calculation 5 2 3" xfId="21613"/>
    <cellStyle name="Calculation 5 2 4" xfId="21614"/>
    <cellStyle name="Calculation 5 3" xfId="21615"/>
    <cellStyle name="Calculation 5 3 2" xfId="21616"/>
    <cellStyle name="Calculation 5 4" xfId="21617"/>
    <cellStyle name="Calculation 5 5" xfId="21618"/>
    <cellStyle name="Calculation 6" xfId="21619"/>
    <cellStyle name="Calculation 6 2" xfId="21620"/>
    <cellStyle name="Calculation 6 2 2" xfId="21621"/>
    <cellStyle name="Calculation 6 2 3" xfId="21622"/>
    <cellStyle name="Calculation 6 2 4" xfId="21623"/>
    <cellStyle name="Calculation 6 3" xfId="21624"/>
    <cellStyle name="Calculation 6 3 2" xfId="21625"/>
    <cellStyle name="Calculation 6 3 3" xfId="21626"/>
    <cellStyle name="Calculation 6 4" xfId="21627"/>
    <cellStyle name="Calculation 6 5" xfId="21628"/>
    <cellStyle name="Calculation 7" xfId="21629"/>
    <cellStyle name="Calculation 7 2" xfId="21630"/>
    <cellStyle name="Calculation 7 2 2" xfId="21631"/>
    <cellStyle name="Calculation 7 2 3" xfId="21632"/>
    <cellStyle name="Calculation 7 2 4" xfId="21633"/>
    <cellStyle name="Calculation 7 3" xfId="21634"/>
    <cellStyle name="Calculation 7 3 2" xfId="21635"/>
    <cellStyle name="Calculation 7 3 3" xfId="21636"/>
    <cellStyle name="Calculation 7 4" xfId="21637"/>
    <cellStyle name="Calculation 7 5" xfId="21638"/>
    <cellStyle name="Calculation 8" xfId="21639"/>
    <cellStyle name="Calculation 8 2" xfId="21640"/>
    <cellStyle name="Calculation 8 2 2" xfId="21641"/>
    <cellStyle name="Calculation 8 2 3" xfId="21642"/>
    <cellStyle name="Calculation 8 2 4" xfId="21643"/>
    <cellStyle name="Calculation 8 3" xfId="21644"/>
    <cellStyle name="Calculation 8 3 2" xfId="21645"/>
    <cellStyle name="Calculation 8 3 3" xfId="21646"/>
    <cellStyle name="Calculation 8 4" xfId="21647"/>
    <cellStyle name="Calculation 8 5" xfId="21648"/>
    <cellStyle name="Calculation 9" xfId="21649"/>
    <cellStyle name="Calculation 9 2" xfId="21650"/>
    <cellStyle name="Calculation 9 2 2" xfId="21651"/>
    <cellStyle name="Calculation 9 2 3" xfId="21652"/>
    <cellStyle name="Calculation 9 2 4" xfId="21653"/>
    <cellStyle name="Calculation 9 3" xfId="21654"/>
    <cellStyle name="Calculation 9 3 2" xfId="21655"/>
    <cellStyle name="Calculation 9 3 3" xfId="21656"/>
    <cellStyle name="Calculation 9 4" xfId="21657"/>
    <cellStyle name="Calculation 9 5" xfId="21658"/>
    <cellStyle name="category" xfId="21659"/>
    <cellStyle name="category 2" xfId="21660"/>
    <cellStyle name="Check Cell 2" xfId="21662"/>
    <cellStyle name="Check Cell 2 2" xfId="21663"/>
    <cellStyle name="Check Cell 2 3" xfId="21664"/>
    <cellStyle name="Check Cell 3" xfId="21665"/>
    <cellStyle name="Check Cell 3 2" xfId="21666"/>
    <cellStyle name="Check Cell 3 2 2" xfId="21667"/>
    <cellStyle name="Check Cell 4" xfId="21668"/>
    <cellStyle name="Check Cell 5" xfId="21669"/>
    <cellStyle name="Check Cell 6" xfId="21661"/>
    <cellStyle name="CIAI¡ER￠R¡¿￠RERU¡ERE¡ER¨I¡ⓒ¡ERIiA¡ER￠R¡¿I" xfId="21670"/>
    <cellStyle name="ⓒoe¨￢¨￠Aⓒ÷_AIAIC¡ÆAuCoEⓒ÷ " xfId="21671"/>
    <cellStyle name="Comma  - Style1" xfId="21673"/>
    <cellStyle name="Comma  - Style2" xfId="21674"/>
    <cellStyle name="Comma  - Style3" xfId="21675"/>
    <cellStyle name="Comma  - Style4" xfId="21676"/>
    <cellStyle name="Comma  - Style5" xfId="21677"/>
    <cellStyle name="Comma  - Style6" xfId="21678"/>
    <cellStyle name="Comma  - Style7" xfId="21679"/>
    <cellStyle name="Comma  - Style8" xfId="21680"/>
    <cellStyle name="Comma [0] 2" xfId="51154"/>
    <cellStyle name="Comma [0] 3" xfId="5"/>
    <cellStyle name="Comma [00]" xfId="21681"/>
    <cellStyle name="Comma 2" xfId="21672"/>
    <cellStyle name="comma zerodec" xfId="21682"/>
    <cellStyle name="Comme [0]_laroux_3_수주계획(SMD) " xfId="21683"/>
    <cellStyle name="Currency [0] 2" xfId="21686"/>
    <cellStyle name="Currency [0] 3" xfId="21685"/>
    <cellStyle name="Currency [00]" xfId="21687"/>
    <cellStyle name="Currency 2" xfId="21684"/>
    <cellStyle name="Currency1" xfId="21688"/>
    <cellStyle name="Currency1 2" xfId="21689"/>
    <cellStyle name="custom" xfId="21690"/>
    <cellStyle name="C줔AO_  FAB AIA?  " xfId="21691"/>
    <cellStyle name="Date" xfId="21692"/>
    <cellStyle name="Date 2" xfId="21693"/>
    <cellStyle name="Date Short" xfId="21694"/>
    <cellStyle name="Date:dd.mm.yyyy" xfId="21695"/>
    <cellStyle name="Date_PJT원가정리 " xfId="21696"/>
    <cellStyle name="days" xfId="21697"/>
    <cellStyle name="DELTA" xfId="21698"/>
    <cellStyle name="Dollar (zero dec)" xfId="21699"/>
    <cellStyle name="dz_lbsouy`TA622KA" xfId="21700"/>
    <cellStyle name="Emphasis 1" xfId="21701"/>
    <cellStyle name="Emphasis 2" xfId="21702"/>
    <cellStyle name="Emphasis 3" xfId="21703"/>
    <cellStyle name="endz_lbsouy`6_622k" xfId="21704"/>
    <cellStyle name="Enter Currency (0)" xfId="21705"/>
    <cellStyle name="Enter Currency (2)" xfId="21706"/>
    <cellStyle name="Enter Units (0)" xfId="21707"/>
    <cellStyle name="Enter Units (1)" xfId="21708"/>
    <cellStyle name="Enter Units (2)" xfId="21709"/>
    <cellStyle name="entry" xfId="21710"/>
    <cellStyle name="Euro" xfId="21711"/>
    <cellStyle name="Excel Built-in Normal" xfId="21712"/>
    <cellStyle name="Excel Built-in Normal 1" xfId="21713"/>
    <cellStyle name="Excel Built-in Normal 1 2" xfId="21714"/>
    <cellStyle name="Excel Built-in Normal 2" xfId="21715"/>
    <cellStyle name="Excel Built-in Normal 2 2" xfId="21716"/>
    <cellStyle name="Excel Built-in Normal 3" xfId="21717"/>
    <cellStyle name="Excel Built-in Normal 3 2" xfId="21718"/>
    <cellStyle name="Excel Built-in Normal 4" xfId="21719"/>
    <cellStyle name="Explanatory Text 2" xfId="21721"/>
    <cellStyle name="Explanatory Text 2 2" xfId="21722"/>
    <cellStyle name="Explanatory Text 3" xfId="21723"/>
    <cellStyle name="Explanatory Text 3 2" xfId="21724"/>
    <cellStyle name="Explanatory Text 3 2 2" xfId="21725"/>
    <cellStyle name="Explanatory Text 4" xfId="21726"/>
    <cellStyle name="Explanatory Text 5" xfId="21720"/>
    <cellStyle name="F2" xfId="21727"/>
    <cellStyle name="F3" xfId="21728"/>
    <cellStyle name="F4" xfId="21729"/>
    <cellStyle name="F5" xfId="21730"/>
    <cellStyle name="F6" xfId="21731"/>
    <cellStyle name="F7" xfId="21732"/>
    <cellStyle name="F8" xfId="21733"/>
    <cellStyle name="Fixed" xfId="21734"/>
    <cellStyle name="Fixed 2" xfId="21735"/>
    <cellStyle name="G95-181" xfId="21736"/>
    <cellStyle name="Good 2" xfId="21738"/>
    <cellStyle name="Good 2 2" xfId="21739"/>
    <cellStyle name="Good 3" xfId="21740"/>
    <cellStyle name="Good 3 2" xfId="21741"/>
    <cellStyle name="Good 3 2 2" xfId="21742"/>
    <cellStyle name="Good 4" xfId="21743"/>
    <cellStyle name="Good 5" xfId="21744"/>
    <cellStyle name="Good 6" xfId="21737"/>
    <cellStyle name="Grey" xfId="21745"/>
    <cellStyle name="HEADER" xfId="21746"/>
    <cellStyle name="HEADER 2" xfId="21747"/>
    <cellStyle name="Header1" xfId="21748"/>
    <cellStyle name="Header1 2" xfId="21749"/>
    <cellStyle name="Header2" xfId="21750"/>
    <cellStyle name="Header2 2" xfId="21751"/>
    <cellStyle name="Header2 2 2" xfId="21752"/>
    <cellStyle name="Header2 2 2 2" xfId="21753"/>
    <cellStyle name="Header2 2 3" xfId="21754"/>
    <cellStyle name="Header2 2 3 2" xfId="21755"/>
    <cellStyle name="Header2 2 3 3" xfId="21756"/>
    <cellStyle name="Header2 2 4" xfId="21757"/>
    <cellStyle name="Header2 2 4 2" xfId="21758"/>
    <cellStyle name="Header2 2 4 3" xfId="21759"/>
    <cellStyle name="Header2 2 5" xfId="21760"/>
    <cellStyle name="Header2 2 5 2" xfId="21761"/>
    <cellStyle name="Header2 2 6" xfId="21762"/>
    <cellStyle name="Header2 2 6 2" xfId="21763"/>
    <cellStyle name="Header2 2 6 3" xfId="21764"/>
    <cellStyle name="Header2 2 7" xfId="21765"/>
    <cellStyle name="Header2 2 8" xfId="21766"/>
    <cellStyle name="Header2 3" xfId="21767"/>
    <cellStyle name="Header2 3 2" xfId="21768"/>
    <cellStyle name="Header2 4" xfId="21769"/>
    <cellStyle name="Header2 4 2" xfId="21770"/>
    <cellStyle name="Header2 4 3" xfId="21771"/>
    <cellStyle name="Header2 5" xfId="21772"/>
    <cellStyle name="Header2 5 2" xfId="21773"/>
    <cellStyle name="Header2 5 3" xfId="21774"/>
    <cellStyle name="Header2 6" xfId="21775"/>
    <cellStyle name="Header2 6 2" xfId="21776"/>
    <cellStyle name="Header2 7" xfId="21777"/>
    <cellStyle name="Header2 7 2" xfId="21778"/>
    <cellStyle name="Header2 7 3" xfId="21779"/>
    <cellStyle name="Header2 8" xfId="21780"/>
    <cellStyle name="Header2 9" xfId="21781"/>
    <cellStyle name="Heading 1 2" xfId="21783"/>
    <cellStyle name="Heading 1 2 2" xfId="21784"/>
    <cellStyle name="Heading 1 3" xfId="21785"/>
    <cellStyle name="Heading 1 3 2" xfId="21786"/>
    <cellStyle name="Heading 1 3 2 2" xfId="21787"/>
    <cellStyle name="Heading 1 4" xfId="21788"/>
    <cellStyle name="Heading 1 5" xfId="21789"/>
    <cellStyle name="Heading 1 6" xfId="21782"/>
    <cellStyle name="Heading 2 2" xfId="21791"/>
    <cellStyle name="Heading 2 2 2" xfId="21792"/>
    <cellStyle name="Heading 2 3" xfId="21793"/>
    <cellStyle name="Heading 2 3 2" xfId="21794"/>
    <cellStyle name="Heading 2 3 2 2" xfId="21795"/>
    <cellStyle name="Heading 2 4" xfId="21796"/>
    <cellStyle name="Heading 2 5" xfId="21797"/>
    <cellStyle name="Heading 2 6" xfId="21790"/>
    <cellStyle name="Heading 3 10" xfId="21799"/>
    <cellStyle name="Heading 3 11" xfId="21798"/>
    <cellStyle name="Heading 3 2" xfId="21800"/>
    <cellStyle name="Heading 3 2 2" xfId="21801"/>
    <cellStyle name="Heading 3 2 2 2" xfId="21802"/>
    <cellStyle name="Heading 3 2 3" xfId="21803"/>
    <cellStyle name="Heading 3 3" xfId="21804"/>
    <cellStyle name="Heading 3 3 2" xfId="21805"/>
    <cellStyle name="Heading 3 3 2 2" xfId="21806"/>
    <cellStyle name="Heading 3 3 2 3" xfId="21807"/>
    <cellStyle name="Heading 3 3 3" xfId="21808"/>
    <cellStyle name="Heading 3 4" xfId="21809"/>
    <cellStyle name="Heading 3 4 2" xfId="21810"/>
    <cellStyle name="Heading 3 4 3" xfId="21811"/>
    <cellStyle name="Heading 3 5" xfId="21812"/>
    <cellStyle name="Heading 3 5 2" xfId="21813"/>
    <cellStyle name="Heading 3 6" xfId="21814"/>
    <cellStyle name="Heading 3 6 2" xfId="21815"/>
    <cellStyle name="Heading 3 7" xfId="21816"/>
    <cellStyle name="Heading 3 7 2" xfId="21817"/>
    <cellStyle name="Heading 3 8" xfId="21818"/>
    <cellStyle name="Heading 3 8 2" xfId="21819"/>
    <cellStyle name="Heading 3 9" xfId="21820"/>
    <cellStyle name="Heading 3 9 2" xfId="21821"/>
    <cellStyle name="Heading 4 2" xfId="21823"/>
    <cellStyle name="Heading 4 2 2" xfId="21824"/>
    <cellStyle name="Heading 4 3" xfId="21825"/>
    <cellStyle name="Heading 4 3 2" xfId="21826"/>
    <cellStyle name="Heading 4 3 2 2" xfId="21827"/>
    <cellStyle name="Heading 4 4" xfId="21828"/>
    <cellStyle name="Heading 4 5" xfId="21829"/>
    <cellStyle name="Heading 4 6" xfId="21822"/>
    <cellStyle name="Heading1" xfId="21830"/>
    <cellStyle name="Heading1 2" xfId="21831"/>
    <cellStyle name="Heading2" xfId="21832"/>
    <cellStyle name="Heading2 2" xfId="21833"/>
    <cellStyle name="_x0001_H_x0001_H_x0001_H_x0001_H_x0001_" xfId="21834"/>
    <cellStyle name="_x0001_H_x0001_H_x0001_H_x0001_H_x0001_H_x0001_H_x0001_H_x0001_H_x0001_H_x0001_" xfId="21835"/>
    <cellStyle name="_x0001_H_x0001_H_x0001_H_x0001_H_x0001_H_x0001_H_x0001_H_x0001_H_x0001_H_x0001_H_x0001_H_x0001_H_x0001_H_x0001_H_x0001_" xfId="21836"/>
    <cellStyle name="_x0001_H_x0001_H_x0001_H_x0001_H_x0001_H_x0001_H_x0001_H_x0001_H_x0001_H_x0001_H_x0001_H_x0001_H_x0001_H_x0001_H_x0001_H_x0001_H_x0001_H_x0001_H_x0001_H_x0001_" xfId="21837"/>
    <cellStyle name="_x0001_H_x0001_H_x0001_H_x0001_H_x0001_H_x0001_H_x0001_H_x0001_H_x0001_H_x0001_H_x0001_H_x0001_H_x0001_H_x0001_H_x0001_H_x0001_H_x0001_H_x0001_H_x0001_H_x0001_H_x0001_H_x0001_H_x0001_H_x0001_H_x0001_H_x0001_H_x0001_" xfId="21838"/>
    <cellStyle name="_x0001_H_x0001_H_x0001_H_x0001_H_x0001_H_x0001_H_x0001_H_x0001_H_x0001_H_x0001_H_x0001_H_x0001_H_x0001_H_x0001_H_x0001_H_x0001_H_x0001_H_x0001_H_x0001_H_x0001_H_x0001_H_x0001_H_x0001_H_x0001_H_x0001_H_x0001_H_x0001_H_x0001_H_x0001_H_x0001_H_x0001_H_x0001_" xfId="21839"/>
    <cellStyle name="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 xfId="21840"/>
    <cellStyle name="Hide Errors" xfId="21841"/>
    <cellStyle name="HIGHLIGHT" xfId="21842"/>
    <cellStyle name="holiday" xfId="21843"/>
    <cellStyle name="I±?_TO_x000c_?" xfId="21844"/>
    <cellStyle name="iles|_x0005_h" xfId="21845"/>
    <cellStyle name="iles|_x0005_h 2" xfId="21846"/>
    <cellStyle name="Input [yellow]" xfId="21848"/>
    <cellStyle name="Input [yellow] 2" xfId="21849"/>
    <cellStyle name="Input [yellow] 2 2" xfId="21850"/>
    <cellStyle name="Input [yellow] 2 2 2" xfId="21851"/>
    <cellStyle name="Input [yellow] 2 3" xfId="21852"/>
    <cellStyle name="Input [yellow] 2 3 2" xfId="21853"/>
    <cellStyle name="Input [yellow] 2 4" xfId="21854"/>
    <cellStyle name="Input [yellow] 2 4 2" xfId="21855"/>
    <cellStyle name="Input [yellow] 2 5" xfId="21856"/>
    <cellStyle name="Input [yellow] 2 5 2" xfId="21857"/>
    <cellStyle name="Input [yellow] 2 5 3" xfId="21858"/>
    <cellStyle name="Input [yellow] 2 6" xfId="21859"/>
    <cellStyle name="Input [yellow] 2 7" xfId="21860"/>
    <cellStyle name="Input [yellow] 3" xfId="21861"/>
    <cellStyle name="Input [yellow] 3 2" xfId="21862"/>
    <cellStyle name="Input [yellow] 4" xfId="21863"/>
    <cellStyle name="Input [yellow] 4 2" xfId="21864"/>
    <cellStyle name="Input [yellow] 5" xfId="21865"/>
    <cellStyle name="Input [yellow] 5 2" xfId="21866"/>
    <cellStyle name="Input [yellow] 6" xfId="21867"/>
    <cellStyle name="Input [yellow] 6 2" xfId="21868"/>
    <cellStyle name="Input [yellow] 6 3" xfId="21869"/>
    <cellStyle name="Input [yellow] 7" xfId="21870"/>
    <cellStyle name="Input [yellow] 8" xfId="21871"/>
    <cellStyle name="Input 10" xfId="21872"/>
    <cellStyle name="Input 10 2" xfId="21873"/>
    <cellStyle name="Input 10 2 2" xfId="21874"/>
    <cellStyle name="Input 10 2 3" xfId="21875"/>
    <cellStyle name="Input 10 2 4" xfId="21876"/>
    <cellStyle name="Input 10 3" xfId="21877"/>
    <cellStyle name="Input 10 3 2" xfId="21878"/>
    <cellStyle name="Input 10 3 3" xfId="21879"/>
    <cellStyle name="Input 10 4" xfId="21880"/>
    <cellStyle name="Input 10 5" xfId="21881"/>
    <cellStyle name="Input 11" xfId="21882"/>
    <cellStyle name="Input 11 2" xfId="21883"/>
    <cellStyle name="Input 11 2 2" xfId="21884"/>
    <cellStyle name="Input 11 2 3" xfId="21885"/>
    <cellStyle name="Input 11 2 4" xfId="21886"/>
    <cellStyle name="Input 11 3" xfId="21887"/>
    <cellStyle name="Input 11 3 2" xfId="21888"/>
    <cellStyle name="Input 11 3 3" xfId="21889"/>
    <cellStyle name="Input 11 4" xfId="21890"/>
    <cellStyle name="Input 11 5" xfId="21891"/>
    <cellStyle name="Input 12" xfId="21892"/>
    <cellStyle name="Input 12 2" xfId="21893"/>
    <cellStyle name="Input 12 2 2" xfId="21894"/>
    <cellStyle name="Input 12 2 3" xfId="21895"/>
    <cellStyle name="Input 12 3" xfId="21896"/>
    <cellStyle name="Input 12 3 2" xfId="21897"/>
    <cellStyle name="Input 12 4" xfId="21898"/>
    <cellStyle name="Input 12 5" xfId="21899"/>
    <cellStyle name="Input 13" xfId="21900"/>
    <cellStyle name="Input 13 2" xfId="21901"/>
    <cellStyle name="Input 13 2 2" xfId="21902"/>
    <cellStyle name="Input 13 2 3" xfId="21903"/>
    <cellStyle name="Input 13 3" xfId="21904"/>
    <cellStyle name="Input 13 3 2" xfId="21905"/>
    <cellStyle name="Input 13 4" xfId="21906"/>
    <cellStyle name="Input 13 5" xfId="21907"/>
    <cellStyle name="Input 14" xfId="21908"/>
    <cellStyle name="Input 14 2" xfId="21909"/>
    <cellStyle name="Input 14 3" xfId="21910"/>
    <cellStyle name="Input 14 4" xfId="21911"/>
    <cellStyle name="Input 15" xfId="21912"/>
    <cellStyle name="Input 16" xfId="21913"/>
    <cellStyle name="Input 17" xfId="21914"/>
    <cellStyle name="Input 18" xfId="21915"/>
    <cellStyle name="Input 19" xfId="21916"/>
    <cellStyle name="Input 2" xfId="21917"/>
    <cellStyle name="Input 2 10" xfId="21918"/>
    <cellStyle name="Input 2 10 2" xfId="21919"/>
    <cellStyle name="Input 2 10 2 2" xfId="21920"/>
    <cellStyle name="Input 2 10 2 3" xfId="21921"/>
    <cellStyle name="Input 2 10 3" xfId="21922"/>
    <cellStyle name="Input 2 10 3 2" xfId="21923"/>
    <cellStyle name="Input 2 10 4" xfId="21924"/>
    <cellStyle name="Input 2 11" xfId="21925"/>
    <cellStyle name="Input 2 11 2" xfId="21926"/>
    <cellStyle name="Input 2 11 2 2" xfId="21927"/>
    <cellStyle name="Input 2 11 2 3" xfId="21928"/>
    <cellStyle name="Input 2 11 3" xfId="21929"/>
    <cellStyle name="Input 2 11 3 2" xfId="21930"/>
    <cellStyle name="Input 2 11 4" xfId="21931"/>
    <cellStyle name="Input 2 12" xfId="21932"/>
    <cellStyle name="Input 2 12 2" xfId="21933"/>
    <cellStyle name="Input 2 12 3" xfId="21934"/>
    <cellStyle name="Input 2 13" xfId="21935"/>
    <cellStyle name="Input 2 14" xfId="21936"/>
    <cellStyle name="Input 2 15" xfId="21937"/>
    <cellStyle name="Input 2 2" xfId="21938"/>
    <cellStyle name="Input 2 2 10" xfId="21939"/>
    <cellStyle name="Input 2 2 10 2" xfId="21940"/>
    <cellStyle name="Input 2 2 10 2 2" xfId="21941"/>
    <cellStyle name="Input 2 2 10 2 3" xfId="21942"/>
    <cellStyle name="Input 2 2 10 3" xfId="21943"/>
    <cellStyle name="Input 2 2 10 3 2" xfId="21944"/>
    <cellStyle name="Input 2 2 10 4" xfId="21945"/>
    <cellStyle name="Input 2 2 11" xfId="21946"/>
    <cellStyle name="Input 2 2 11 2" xfId="21947"/>
    <cellStyle name="Input 2 2 11 3" xfId="21948"/>
    <cellStyle name="Input 2 2 12" xfId="21949"/>
    <cellStyle name="Input 2 2 13" xfId="21950"/>
    <cellStyle name="Input 2 2 14" xfId="21951"/>
    <cellStyle name="Input 2 2 2" xfId="21952"/>
    <cellStyle name="Input 2 2 2 2" xfId="21953"/>
    <cellStyle name="Input 2 2 2 2 2" xfId="21954"/>
    <cellStyle name="Input 2 2 2 2 3" xfId="21955"/>
    <cellStyle name="Input 2 2 2 3" xfId="21956"/>
    <cellStyle name="Input 2 2 2 3 2" xfId="21957"/>
    <cellStyle name="Input 2 2 2 4" xfId="21958"/>
    <cellStyle name="Input 2 2 3" xfId="21959"/>
    <cellStyle name="Input 2 2 3 2" xfId="21960"/>
    <cellStyle name="Input 2 2 3 2 2" xfId="21961"/>
    <cellStyle name="Input 2 2 3 2 3" xfId="21962"/>
    <cellStyle name="Input 2 2 3 3" xfId="21963"/>
    <cellStyle name="Input 2 2 3 3 2" xfId="21964"/>
    <cellStyle name="Input 2 2 3 4" xfId="21965"/>
    <cellStyle name="Input 2 2 4" xfId="21966"/>
    <cellStyle name="Input 2 2 4 2" xfId="21967"/>
    <cellStyle name="Input 2 2 4 2 2" xfId="21968"/>
    <cellStyle name="Input 2 2 4 2 3" xfId="21969"/>
    <cellStyle name="Input 2 2 4 3" xfId="21970"/>
    <cellStyle name="Input 2 2 4 3 2" xfId="21971"/>
    <cellStyle name="Input 2 2 4 4" xfId="21972"/>
    <cellStyle name="Input 2 2 5" xfId="21973"/>
    <cellStyle name="Input 2 2 5 2" xfId="21974"/>
    <cellStyle name="Input 2 2 5 2 2" xfId="21975"/>
    <cellStyle name="Input 2 2 5 2 3" xfId="21976"/>
    <cellStyle name="Input 2 2 5 3" xfId="21977"/>
    <cellStyle name="Input 2 2 5 3 2" xfId="21978"/>
    <cellStyle name="Input 2 2 5 4" xfId="21979"/>
    <cellStyle name="Input 2 2 6" xfId="21980"/>
    <cellStyle name="Input 2 2 6 2" xfId="21981"/>
    <cellStyle name="Input 2 2 6 2 2" xfId="21982"/>
    <cellStyle name="Input 2 2 6 2 3" xfId="21983"/>
    <cellStyle name="Input 2 2 6 3" xfId="21984"/>
    <cellStyle name="Input 2 2 6 3 2" xfId="21985"/>
    <cellStyle name="Input 2 2 6 4" xfId="21986"/>
    <cellStyle name="Input 2 2 7" xfId="21987"/>
    <cellStyle name="Input 2 2 7 2" xfId="21988"/>
    <cellStyle name="Input 2 2 7 2 2" xfId="21989"/>
    <cellStyle name="Input 2 2 7 2 3" xfId="21990"/>
    <cellStyle name="Input 2 2 7 3" xfId="21991"/>
    <cellStyle name="Input 2 2 7 3 2" xfId="21992"/>
    <cellStyle name="Input 2 2 7 4" xfId="21993"/>
    <cellStyle name="Input 2 2 8" xfId="21994"/>
    <cellStyle name="Input 2 2 8 2" xfId="21995"/>
    <cellStyle name="Input 2 2 8 2 2" xfId="21996"/>
    <cellStyle name="Input 2 2 8 2 3" xfId="21997"/>
    <cellStyle name="Input 2 2 8 3" xfId="21998"/>
    <cellStyle name="Input 2 2 8 3 2" xfId="21999"/>
    <cellStyle name="Input 2 2 8 4" xfId="22000"/>
    <cellStyle name="Input 2 2 9" xfId="22001"/>
    <cellStyle name="Input 2 2 9 2" xfId="22002"/>
    <cellStyle name="Input 2 2 9 2 2" xfId="22003"/>
    <cellStyle name="Input 2 2 9 2 3" xfId="22004"/>
    <cellStyle name="Input 2 2 9 3" xfId="22005"/>
    <cellStyle name="Input 2 2 9 3 2" xfId="22006"/>
    <cellStyle name="Input 2 2 9 4" xfId="22007"/>
    <cellStyle name="Input 2 3" xfId="22008"/>
    <cellStyle name="Input 2 3 2" xfId="22009"/>
    <cellStyle name="Input 2 3 2 2" xfId="22010"/>
    <cellStyle name="Input 2 3 2 3" xfId="22011"/>
    <cellStyle name="Input 2 3 3" xfId="22012"/>
    <cellStyle name="Input 2 3 3 2" xfId="22013"/>
    <cellStyle name="Input 2 3 4" xfId="22014"/>
    <cellStyle name="Input 2 4" xfId="22015"/>
    <cellStyle name="Input 2 4 2" xfId="22016"/>
    <cellStyle name="Input 2 4 2 2" xfId="22017"/>
    <cellStyle name="Input 2 4 2 3" xfId="22018"/>
    <cellStyle name="Input 2 4 3" xfId="22019"/>
    <cellStyle name="Input 2 4 3 2" xfId="22020"/>
    <cellStyle name="Input 2 4 4" xfId="22021"/>
    <cellStyle name="Input 2 5" xfId="22022"/>
    <cellStyle name="Input 2 5 2" xfId="22023"/>
    <cellStyle name="Input 2 5 2 2" xfId="22024"/>
    <cellStyle name="Input 2 5 2 3" xfId="22025"/>
    <cellStyle name="Input 2 5 3" xfId="22026"/>
    <cellStyle name="Input 2 5 3 2" xfId="22027"/>
    <cellStyle name="Input 2 5 4" xfId="22028"/>
    <cellStyle name="Input 2 6" xfId="22029"/>
    <cellStyle name="Input 2 6 2" xfId="22030"/>
    <cellStyle name="Input 2 6 2 2" xfId="22031"/>
    <cellStyle name="Input 2 6 2 3" xfId="22032"/>
    <cellStyle name="Input 2 6 3" xfId="22033"/>
    <cellStyle name="Input 2 6 3 2" xfId="22034"/>
    <cellStyle name="Input 2 6 4" xfId="22035"/>
    <cellStyle name="Input 2 7" xfId="22036"/>
    <cellStyle name="Input 2 7 2" xfId="22037"/>
    <cellStyle name="Input 2 7 2 2" xfId="22038"/>
    <cellStyle name="Input 2 7 2 3" xfId="22039"/>
    <cellStyle name="Input 2 7 3" xfId="22040"/>
    <cellStyle name="Input 2 7 3 2" xfId="22041"/>
    <cellStyle name="Input 2 7 4" xfId="22042"/>
    <cellStyle name="Input 2 8" xfId="22043"/>
    <cellStyle name="Input 2 8 2" xfId="22044"/>
    <cellStyle name="Input 2 8 2 2" xfId="22045"/>
    <cellStyle name="Input 2 8 2 3" xfId="22046"/>
    <cellStyle name="Input 2 8 3" xfId="22047"/>
    <cellStyle name="Input 2 8 3 2" xfId="22048"/>
    <cellStyle name="Input 2 8 4" xfId="22049"/>
    <cellStyle name="Input 2 9" xfId="22050"/>
    <cellStyle name="Input 2 9 2" xfId="22051"/>
    <cellStyle name="Input 2 9 2 2" xfId="22052"/>
    <cellStyle name="Input 2 9 2 3" xfId="22053"/>
    <cellStyle name="Input 2 9 3" xfId="22054"/>
    <cellStyle name="Input 2 9 3 2" xfId="22055"/>
    <cellStyle name="Input 2 9 4" xfId="22056"/>
    <cellStyle name="Input 20" xfId="22057"/>
    <cellStyle name="Input 21" xfId="22058"/>
    <cellStyle name="Input 22" xfId="22059"/>
    <cellStyle name="Input 23" xfId="22060"/>
    <cellStyle name="Input 24" xfId="22061"/>
    <cellStyle name="Input 25" xfId="22062"/>
    <cellStyle name="Input 26" xfId="22063"/>
    <cellStyle name="Input 27" xfId="22064"/>
    <cellStyle name="Input 28" xfId="22065"/>
    <cellStyle name="Input 29" xfId="22066"/>
    <cellStyle name="Input 3" xfId="22067"/>
    <cellStyle name="Input 3 10" xfId="22068"/>
    <cellStyle name="Input 3 10 2" xfId="22069"/>
    <cellStyle name="Input 3 10 2 2" xfId="22070"/>
    <cellStyle name="Input 3 10 2 3" xfId="22071"/>
    <cellStyle name="Input 3 10 3" xfId="22072"/>
    <cellStyle name="Input 3 10 3 2" xfId="22073"/>
    <cellStyle name="Input 3 10 4" xfId="22074"/>
    <cellStyle name="Input 3 10 5" xfId="22075"/>
    <cellStyle name="Input 3 10 6" xfId="22076"/>
    <cellStyle name="Input 3 11" xfId="22077"/>
    <cellStyle name="Input 3 11 2" xfId="22078"/>
    <cellStyle name="Input 3 11 2 2" xfId="22079"/>
    <cellStyle name="Input 3 11 2 3" xfId="22080"/>
    <cellStyle name="Input 3 11 3" xfId="22081"/>
    <cellStyle name="Input 3 11 3 2" xfId="22082"/>
    <cellStyle name="Input 3 11 4" xfId="22083"/>
    <cellStyle name="Input 3 11 5" xfId="22084"/>
    <cellStyle name="Input 3 11 6" xfId="22085"/>
    <cellStyle name="Input 3 12" xfId="22086"/>
    <cellStyle name="Input 3 12 2" xfId="22087"/>
    <cellStyle name="Input 3 12 2 2" xfId="22088"/>
    <cellStyle name="Input 3 12 3" xfId="22089"/>
    <cellStyle name="Input 3 12 4" xfId="22090"/>
    <cellStyle name="Input 3 13" xfId="22091"/>
    <cellStyle name="Input 3 13 2" xfId="22092"/>
    <cellStyle name="Input 3 14" xfId="22093"/>
    <cellStyle name="Input 3 15" xfId="22094"/>
    <cellStyle name="Input 3 16" xfId="22095"/>
    <cellStyle name="Input 3 2" xfId="22096"/>
    <cellStyle name="Input 3 2 10" xfId="22097"/>
    <cellStyle name="Input 3 2 10 2" xfId="22098"/>
    <cellStyle name="Input 3 2 10 2 2" xfId="22099"/>
    <cellStyle name="Input 3 2 10 2 3" xfId="22100"/>
    <cellStyle name="Input 3 2 10 3" xfId="22101"/>
    <cellStyle name="Input 3 2 10 3 2" xfId="22102"/>
    <cellStyle name="Input 3 2 10 4" xfId="22103"/>
    <cellStyle name="Input 3 2 10 5" xfId="22104"/>
    <cellStyle name="Input 3 2 10 6" xfId="22105"/>
    <cellStyle name="Input 3 2 11" xfId="22106"/>
    <cellStyle name="Input 3 2 11 2" xfId="22107"/>
    <cellStyle name="Input 3 2 11 2 2" xfId="22108"/>
    <cellStyle name="Input 3 2 11 3" xfId="22109"/>
    <cellStyle name="Input 3 2 11 4" xfId="22110"/>
    <cellStyle name="Input 3 2 12" xfId="22111"/>
    <cellStyle name="Input 3 2 12 2" xfId="22112"/>
    <cellStyle name="Input 3 2 13" xfId="22113"/>
    <cellStyle name="Input 3 2 14" xfId="22114"/>
    <cellStyle name="Input 3 2 15" xfId="22115"/>
    <cellStyle name="Input 3 2 2" xfId="22116"/>
    <cellStyle name="Input 3 2 2 2" xfId="22117"/>
    <cellStyle name="Input 3 2 2 2 2" xfId="22118"/>
    <cellStyle name="Input 3 2 2 2 3" xfId="22119"/>
    <cellStyle name="Input 3 2 2 3" xfId="22120"/>
    <cellStyle name="Input 3 2 2 3 2" xfId="22121"/>
    <cellStyle name="Input 3 2 2 4" xfId="22122"/>
    <cellStyle name="Input 3 2 2 5" xfId="22123"/>
    <cellStyle name="Input 3 2 2 6" xfId="22124"/>
    <cellStyle name="Input 3 2 3" xfId="22125"/>
    <cellStyle name="Input 3 2 3 2" xfId="22126"/>
    <cellStyle name="Input 3 2 3 2 2" xfId="22127"/>
    <cellStyle name="Input 3 2 3 2 3" xfId="22128"/>
    <cellStyle name="Input 3 2 3 3" xfId="22129"/>
    <cellStyle name="Input 3 2 3 3 2" xfId="22130"/>
    <cellStyle name="Input 3 2 3 4" xfId="22131"/>
    <cellStyle name="Input 3 2 3 5" xfId="22132"/>
    <cellStyle name="Input 3 2 3 6" xfId="22133"/>
    <cellStyle name="Input 3 2 4" xfId="22134"/>
    <cellStyle name="Input 3 2 4 2" xfId="22135"/>
    <cellStyle name="Input 3 2 4 2 2" xfId="22136"/>
    <cellStyle name="Input 3 2 4 2 3" xfId="22137"/>
    <cellStyle name="Input 3 2 4 3" xfId="22138"/>
    <cellStyle name="Input 3 2 4 3 2" xfId="22139"/>
    <cellStyle name="Input 3 2 4 4" xfId="22140"/>
    <cellStyle name="Input 3 2 4 5" xfId="22141"/>
    <cellStyle name="Input 3 2 4 6" xfId="22142"/>
    <cellStyle name="Input 3 2 5" xfId="22143"/>
    <cellStyle name="Input 3 2 5 2" xfId="22144"/>
    <cellStyle name="Input 3 2 5 2 2" xfId="22145"/>
    <cellStyle name="Input 3 2 5 2 3" xfId="22146"/>
    <cellStyle name="Input 3 2 5 3" xfId="22147"/>
    <cellStyle name="Input 3 2 5 3 2" xfId="22148"/>
    <cellStyle name="Input 3 2 5 4" xfId="22149"/>
    <cellStyle name="Input 3 2 5 5" xfId="22150"/>
    <cellStyle name="Input 3 2 5 6" xfId="22151"/>
    <cellStyle name="Input 3 2 6" xfId="22152"/>
    <cellStyle name="Input 3 2 6 2" xfId="22153"/>
    <cellStyle name="Input 3 2 6 2 2" xfId="22154"/>
    <cellStyle name="Input 3 2 6 2 3" xfId="22155"/>
    <cellStyle name="Input 3 2 6 3" xfId="22156"/>
    <cellStyle name="Input 3 2 6 3 2" xfId="22157"/>
    <cellStyle name="Input 3 2 6 4" xfId="22158"/>
    <cellStyle name="Input 3 2 6 5" xfId="22159"/>
    <cellStyle name="Input 3 2 6 6" xfId="22160"/>
    <cellStyle name="Input 3 2 7" xfId="22161"/>
    <cellStyle name="Input 3 2 7 2" xfId="22162"/>
    <cellStyle name="Input 3 2 7 2 2" xfId="22163"/>
    <cellStyle name="Input 3 2 7 2 3" xfId="22164"/>
    <cellStyle name="Input 3 2 7 3" xfId="22165"/>
    <cellStyle name="Input 3 2 7 3 2" xfId="22166"/>
    <cellStyle name="Input 3 2 7 4" xfId="22167"/>
    <cellStyle name="Input 3 2 7 5" xfId="22168"/>
    <cellStyle name="Input 3 2 7 6" xfId="22169"/>
    <cellStyle name="Input 3 2 8" xfId="22170"/>
    <cellStyle name="Input 3 2 8 2" xfId="22171"/>
    <cellStyle name="Input 3 2 8 2 2" xfId="22172"/>
    <cellStyle name="Input 3 2 8 2 3" xfId="22173"/>
    <cellStyle name="Input 3 2 8 3" xfId="22174"/>
    <cellStyle name="Input 3 2 8 3 2" xfId="22175"/>
    <cellStyle name="Input 3 2 8 4" xfId="22176"/>
    <cellStyle name="Input 3 2 8 5" xfId="22177"/>
    <cellStyle name="Input 3 2 8 6" xfId="22178"/>
    <cellStyle name="Input 3 2 9" xfId="22179"/>
    <cellStyle name="Input 3 2 9 2" xfId="22180"/>
    <cellStyle name="Input 3 2 9 2 2" xfId="22181"/>
    <cellStyle name="Input 3 2 9 2 3" xfId="22182"/>
    <cellStyle name="Input 3 2 9 3" xfId="22183"/>
    <cellStyle name="Input 3 2 9 3 2" xfId="22184"/>
    <cellStyle name="Input 3 2 9 4" xfId="22185"/>
    <cellStyle name="Input 3 2 9 5" xfId="22186"/>
    <cellStyle name="Input 3 2 9 6" xfId="22187"/>
    <cellStyle name="Input 3 3" xfId="22188"/>
    <cellStyle name="Input 3 3 2" xfId="22189"/>
    <cellStyle name="Input 3 3 2 2" xfId="22190"/>
    <cellStyle name="Input 3 3 2 3" xfId="22191"/>
    <cellStyle name="Input 3 3 3" xfId="22192"/>
    <cellStyle name="Input 3 3 3 2" xfId="22193"/>
    <cellStyle name="Input 3 3 4" xfId="22194"/>
    <cellStyle name="Input 3 3 5" xfId="22195"/>
    <cellStyle name="Input 3 3 6" xfId="22196"/>
    <cellStyle name="Input 3 4" xfId="22197"/>
    <cellStyle name="Input 3 4 2" xfId="22198"/>
    <cellStyle name="Input 3 4 2 2" xfId="22199"/>
    <cellStyle name="Input 3 4 2 3" xfId="22200"/>
    <cellStyle name="Input 3 4 3" xfId="22201"/>
    <cellStyle name="Input 3 4 3 2" xfId="22202"/>
    <cellStyle name="Input 3 4 4" xfId="22203"/>
    <cellStyle name="Input 3 4 5" xfId="22204"/>
    <cellStyle name="Input 3 4 6" xfId="22205"/>
    <cellStyle name="Input 3 5" xfId="22206"/>
    <cellStyle name="Input 3 5 2" xfId="22207"/>
    <cellStyle name="Input 3 5 2 2" xfId="22208"/>
    <cellStyle name="Input 3 5 2 3" xfId="22209"/>
    <cellStyle name="Input 3 5 3" xfId="22210"/>
    <cellStyle name="Input 3 5 3 2" xfId="22211"/>
    <cellStyle name="Input 3 5 4" xfId="22212"/>
    <cellStyle name="Input 3 5 5" xfId="22213"/>
    <cellStyle name="Input 3 5 6" xfId="22214"/>
    <cellStyle name="Input 3 6" xfId="22215"/>
    <cellStyle name="Input 3 6 2" xfId="22216"/>
    <cellStyle name="Input 3 6 2 2" xfId="22217"/>
    <cellStyle name="Input 3 6 2 3" xfId="22218"/>
    <cellStyle name="Input 3 6 3" xfId="22219"/>
    <cellStyle name="Input 3 6 3 2" xfId="22220"/>
    <cellStyle name="Input 3 6 4" xfId="22221"/>
    <cellStyle name="Input 3 6 5" xfId="22222"/>
    <cellStyle name="Input 3 6 6" xfId="22223"/>
    <cellStyle name="Input 3 7" xfId="22224"/>
    <cellStyle name="Input 3 7 2" xfId="22225"/>
    <cellStyle name="Input 3 7 2 2" xfId="22226"/>
    <cellStyle name="Input 3 7 2 3" xfId="22227"/>
    <cellStyle name="Input 3 7 3" xfId="22228"/>
    <cellStyle name="Input 3 7 3 2" xfId="22229"/>
    <cellStyle name="Input 3 7 4" xfId="22230"/>
    <cellStyle name="Input 3 7 5" xfId="22231"/>
    <cellStyle name="Input 3 7 6" xfId="22232"/>
    <cellStyle name="Input 3 8" xfId="22233"/>
    <cellStyle name="Input 3 8 2" xfId="22234"/>
    <cellStyle name="Input 3 8 2 2" xfId="22235"/>
    <cellStyle name="Input 3 8 2 3" xfId="22236"/>
    <cellStyle name="Input 3 8 3" xfId="22237"/>
    <cellStyle name="Input 3 8 3 2" xfId="22238"/>
    <cellStyle name="Input 3 8 4" xfId="22239"/>
    <cellStyle name="Input 3 8 5" xfId="22240"/>
    <cellStyle name="Input 3 8 6" xfId="22241"/>
    <cellStyle name="Input 3 9" xfId="22242"/>
    <cellStyle name="Input 3 9 2" xfId="22243"/>
    <cellStyle name="Input 3 9 2 2" xfId="22244"/>
    <cellStyle name="Input 3 9 2 3" xfId="22245"/>
    <cellStyle name="Input 3 9 3" xfId="22246"/>
    <cellStyle name="Input 3 9 3 2" xfId="22247"/>
    <cellStyle name="Input 3 9 4" xfId="22248"/>
    <cellStyle name="Input 3 9 5" xfId="22249"/>
    <cellStyle name="Input 3 9 6" xfId="22250"/>
    <cellStyle name="Input 30" xfId="22251"/>
    <cellStyle name="Input 31" xfId="22252"/>
    <cellStyle name="Input 32" xfId="22253"/>
    <cellStyle name="Input 33" xfId="22254"/>
    <cellStyle name="Input 34" xfId="22255"/>
    <cellStyle name="Input 35" xfId="22256"/>
    <cellStyle name="Input 36" xfId="22257"/>
    <cellStyle name="Input 37" xfId="22258"/>
    <cellStyle name="Input 38" xfId="22259"/>
    <cellStyle name="Input 39" xfId="22260"/>
    <cellStyle name="Input 4" xfId="22261"/>
    <cellStyle name="Input 4 10" xfId="22262"/>
    <cellStyle name="Input 4 10 2" xfId="22263"/>
    <cellStyle name="Input 4 10 2 2" xfId="22264"/>
    <cellStyle name="Input 4 10 2 3" xfId="22265"/>
    <cellStyle name="Input 4 10 3" xfId="22266"/>
    <cellStyle name="Input 4 10 3 2" xfId="22267"/>
    <cellStyle name="Input 4 10 4" xfId="22268"/>
    <cellStyle name="Input 4 11" xfId="22269"/>
    <cellStyle name="Input 4 11 2" xfId="22270"/>
    <cellStyle name="Input 4 11 3" xfId="22271"/>
    <cellStyle name="Input 4 12" xfId="22272"/>
    <cellStyle name="Input 4 13" xfId="22273"/>
    <cellStyle name="Input 4 14" xfId="22274"/>
    <cellStyle name="Input 4 2" xfId="22275"/>
    <cellStyle name="Input 4 2 2" xfId="22276"/>
    <cellStyle name="Input 4 2 2 2" xfId="22277"/>
    <cellStyle name="Input 4 2 2 3" xfId="22278"/>
    <cellStyle name="Input 4 2 3" xfId="22279"/>
    <cellStyle name="Input 4 2 3 2" xfId="22280"/>
    <cellStyle name="Input 4 2 4" xfId="22281"/>
    <cellStyle name="Input 4 2 5" xfId="22282"/>
    <cellStyle name="Input 4 3" xfId="22283"/>
    <cellStyle name="Input 4 3 2" xfId="22284"/>
    <cellStyle name="Input 4 3 2 2" xfId="22285"/>
    <cellStyle name="Input 4 3 2 3" xfId="22286"/>
    <cellStyle name="Input 4 3 3" xfId="22287"/>
    <cellStyle name="Input 4 3 3 2" xfId="22288"/>
    <cellStyle name="Input 4 3 4" xfId="22289"/>
    <cellStyle name="Input 4 4" xfId="22290"/>
    <cellStyle name="Input 4 4 2" xfId="22291"/>
    <cellStyle name="Input 4 4 2 2" xfId="22292"/>
    <cellStyle name="Input 4 4 2 3" xfId="22293"/>
    <cellStyle name="Input 4 4 3" xfId="22294"/>
    <cellStyle name="Input 4 4 3 2" xfId="22295"/>
    <cellStyle name="Input 4 4 4" xfId="22296"/>
    <cellStyle name="Input 4 5" xfId="22297"/>
    <cellStyle name="Input 4 5 2" xfId="22298"/>
    <cellStyle name="Input 4 5 2 2" xfId="22299"/>
    <cellStyle name="Input 4 5 2 3" xfId="22300"/>
    <cellStyle name="Input 4 5 3" xfId="22301"/>
    <cellStyle name="Input 4 5 3 2" xfId="22302"/>
    <cellStyle name="Input 4 5 4" xfId="22303"/>
    <cellStyle name="Input 4 6" xfId="22304"/>
    <cellStyle name="Input 4 6 2" xfId="22305"/>
    <cellStyle name="Input 4 6 2 2" xfId="22306"/>
    <cellStyle name="Input 4 6 2 3" xfId="22307"/>
    <cellStyle name="Input 4 6 3" xfId="22308"/>
    <cellStyle name="Input 4 6 3 2" xfId="22309"/>
    <cellStyle name="Input 4 6 4" xfId="22310"/>
    <cellStyle name="Input 4 7" xfId="22311"/>
    <cellStyle name="Input 4 7 2" xfId="22312"/>
    <cellStyle name="Input 4 7 2 2" xfId="22313"/>
    <cellStyle name="Input 4 7 2 3" xfId="22314"/>
    <cellStyle name="Input 4 7 3" xfId="22315"/>
    <cellStyle name="Input 4 7 3 2" xfId="22316"/>
    <cellStyle name="Input 4 7 4" xfId="22317"/>
    <cellStyle name="Input 4 8" xfId="22318"/>
    <cellStyle name="Input 4 8 2" xfId="22319"/>
    <cellStyle name="Input 4 8 2 2" xfId="22320"/>
    <cellStyle name="Input 4 8 2 3" xfId="22321"/>
    <cellStyle name="Input 4 8 3" xfId="22322"/>
    <cellStyle name="Input 4 8 3 2" xfId="22323"/>
    <cellStyle name="Input 4 8 4" xfId="22324"/>
    <cellStyle name="Input 4 9" xfId="22325"/>
    <cellStyle name="Input 4 9 2" xfId="22326"/>
    <cellStyle name="Input 4 9 2 2" xfId="22327"/>
    <cellStyle name="Input 4 9 2 3" xfId="22328"/>
    <cellStyle name="Input 4 9 3" xfId="22329"/>
    <cellStyle name="Input 4 9 3 2" xfId="22330"/>
    <cellStyle name="Input 4 9 4" xfId="22331"/>
    <cellStyle name="Input 40" xfId="21847"/>
    <cellStyle name="Input 5" xfId="22332"/>
    <cellStyle name="Input 5 2" xfId="22333"/>
    <cellStyle name="Input 5 2 2" xfId="22334"/>
    <cellStyle name="Input 5 2 3" xfId="22335"/>
    <cellStyle name="Input 5 2 4" xfId="22336"/>
    <cellStyle name="Input 5 3" xfId="22337"/>
    <cellStyle name="Input 5 3 2" xfId="22338"/>
    <cellStyle name="Input 5 4" xfId="22339"/>
    <cellStyle name="Input 5 5" xfId="22340"/>
    <cellStyle name="Input 6" xfId="22341"/>
    <cellStyle name="Input 6 2" xfId="22342"/>
    <cellStyle name="Input 6 2 2" xfId="22343"/>
    <cellStyle name="Input 6 2 3" xfId="22344"/>
    <cellStyle name="Input 6 2 4" xfId="22345"/>
    <cellStyle name="Input 6 3" xfId="22346"/>
    <cellStyle name="Input 6 3 2" xfId="22347"/>
    <cellStyle name="Input 6 3 3" xfId="22348"/>
    <cellStyle name="Input 6 4" xfId="22349"/>
    <cellStyle name="Input 6 5" xfId="22350"/>
    <cellStyle name="Input 7" xfId="22351"/>
    <cellStyle name="Input 7 2" xfId="22352"/>
    <cellStyle name="Input 7 2 2" xfId="22353"/>
    <cellStyle name="Input 7 2 3" xfId="22354"/>
    <cellStyle name="Input 7 2 4" xfId="22355"/>
    <cellStyle name="Input 7 3" xfId="22356"/>
    <cellStyle name="Input 7 3 2" xfId="22357"/>
    <cellStyle name="Input 7 3 3" xfId="22358"/>
    <cellStyle name="Input 7 4" xfId="22359"/>
    <cellStyle name="Input 7 5" xfId="22360"/>
    <cellStyle name="Input 8" xfId="22361"/>
    <cellStyle name="Input 8 2" xfId="22362"/>
    <cellStyle name="Input 8 2 2" xfId="22363"/>
    <cellStyle name="Input 8 2 3" xfId="22364"/>
    <cellStyle name="Input 8 2 4" xfId="22365"/>
    <cellStyle name="Input 8 3" xfId="22366"/>
    <cellStyle name="Input 8 3 2" xfId="22367"/>
    <cellStyle name="Input 8 3 3" xfId="22368"/>
    <cellStyle name="Input 8 4" xfId="22369"/>
    <cellStyle name="Input 8 5" xfId="22370"/>
    <cellStyle name="Input 9" xfId="22371"/>
    <cellStyle name="Input 9 2" xfId="22372"/>
    <cellStyle name="Input 9 2 2" xfId="22373"/>
    <cellStyle name="Input 9 2 3" xfId="22374"/>
    <cellStyle name="Input 9 2 4" xfId="22375"/>
    <cellStyle name="Input 9 3" xfId="22376"/>
    <cellStyle name="Input 9 3 2" xfId="22377"/>
    <cellStyle name="Input 9 3 3" xfId="22378"/>
    <cellStyle name="Input 9 4" xfId="22379"/>
    <cellStyle name="Input 9 5" xfId="22380"/>
    <cellStyle name="KAGE" xfId="22381"/>
    <cellStyle name="KAGE 2" xfId="22382"/>
    <cellStyle name="Leading Zero" xfId="22383"/>
    <cellStyle name="les" xfId="22384"/>
    <cellStyle name="les 2" xfId="22385"/>
    <cellStyle name="Link Currency (0)" xfId="22386"/>
    <cellStyle name="Link Currency (2)" xfId="22387"/>
    <cellStyle name="Link Units (0)" xfId="22388"/>
    <cellStyle name="Link Units (1)" xfId="22389"/>
    <cellStyle name="Link Units (2)" xfId="22390"/>
    <cellStyle name="Linked Cell 2" xfId="22392"/>
    <cellStyle name="Linked Cell 2 2" xfId="22393"/>
    <cellStyle name="Linked Cell 3" xfId="22394"/>
    <cellStyle name="Linked Cell 3 2" xfId="22395"/>
    <cellStyle name="Linked Cell 3 2 2" xfId="22396"/>
    <cellStyle name="Linked Cell 4" xfId="22397"/>
    <cellStyle name="Linked Cell 5" xfId="22398"/>
    <cellStyle name="Linked Cell 6" xfId="22391"/>
    <cellStyle name="m9" xfId="22399"/>
    <cellStyle name="MFAAS_FOOTER" xfId="22400"/>
    <cellStyle name="Millares [0]_PERSONAL" xfId="22401"/>
    <cellStyle name="Millares_PERSONAL" xfId="22402"/>
    <cellStyle name="Milliers [0]_AR1194" xfId="22403"/>
    <cellStyle name="Milliers_CASH1194" xfId="22404"/>
    <cellStyle name="Minus (0)" xfId="22405"/>
    <cellStyle name="Minus (0.0)" xfId="22406"/>
    <cellStyle name="Minus (0.00)" xfId="22407"/>
    <cellStyle name="Model" xfId="22408"/>
    <cellStyle name="Model 10" xfId="22409"/>
    <cellStyle name="Model 2" xfId="22410"/>
    <cellStyle name="Model 2 2" xfId="22411"/>
    <cellStyle name="Model 3" xfId="22412"/>
    <cellStyle name="Model 3 2" xfId="22413"/>
    <cellStyle name="Model 4" xfId="22414"/>
    <cellStyle name="Model 4 2" xfId="22415"/>
    <cellStyle name="Model 5" xfId="22416"/>
    <cellStyle name="Model 5 2" xfId="22417"/>
    <cellStyle name="Model 6" xfId="22418"/>
    <cellStyle name="Model 6 2" xfId="22419"/>
    <cellStyle name="Model 7" xfId="22420"/>
    <cellStyle name="Model 7 2" xfId="22421"/>
    <cellStyle name="Model 8" xfId="22422"/>
    <cellStyle name="Model 8 2" xfId="22423"/>
    <cellStyle name="Model 9" xfId="22424"/>
    <cellStyle name="Model 9 2" xfId="22425"/>
    <cellStyle name="Moneda [0]_CONTENCION CONDELL 25.051" xfId="22426"/>
    <cellStyle name="Moneda_CONTENCION CONDELL 25.051" xfId="22427"/>
    <cellStyle name="Monétaire [0]_AR1194" xfId="22428"/>
    <cellStyle name="Monétaire_CASH1194" xfId="22429"/>
    <cellStyle name="month" xfId="22430"/>
    <cellStyle name="n" xfId="22431"/>
    <cellStyle name="Neutral 2" xfId="22433"/>
    <cellStyle name="Neutral 2 2" xfId="22434"/>
    <cellStyle name="Neutral 3" xfId="22435"/>
    <cellStyle name="Neutral 3 2" xfId="22436"/>
    <cellStyle name="Neutral 3 2 2" xfId="22437"/>
    <cellStyle name="Neutral 4" xfId="22438"/>
    <cellStyle name="Neutral 5" xfId="22439"/>
    <cellStyle name="Neutral 6" xfId="22432"/>
    <cellStyle name="no dec" xfId="22440"/>
    <cellStyle name="no dec 2" xfId="22441"/>
    <cellStyle name="Non défini" xfId="22442"/>
    <cellStyle name="Non défini 2" xfId="22443"/>
    <cellStyle name="Normal" xfId="0" builtinId="0"/>
    <cellStyle name="Normal - Style1" xfId="22444"/>
    <cellStyle name="Normal - Style1 2" xfId="22445"/>
    <cellStyle name="Normal - Style1 2 2" xfId="22446"/>
    <cellStyle name="Normal - Style1 3" xfId="22447"/>
    <cellStyle name="Normal - Style1 4" xfId="22448"/>
    <cellStyle name="Normal 2" xfId="51152"/>
    <cellStyle name="Normal 3" xfId="51155"/>
    <cellStyle name="Normal 4" xfId="51156"/>
    <cellStyle name="Normal 5" xfId="4"/>
    <cellStyle name="Normal忈OTD thru NOR " xfId="22449"/>
    <cellStyle name="Normal忈OTD thru NOR  2" xfId="22450"/>
    <cellStyle name="Note 10" xfId="22452"/>
    <cellStyle name="Note 10 2" xfId="22453"/>
    <cellStyle name="Note 10 2 2" xfId="22454"/>
    <cellStyle name="Note 10 2 3" xfId="22455"/>
    <cellStyle name="Note 10 2 4" xfId="22456"/>
    <cellStyle name="Note 10 3" xfId="22457"/>
    <cellStyle name="Note 10 3 2" xfId="22458"/>
    <cellStyle name="Note 10 3 3" xfId="22459"/>
    <cellStyle name="Note 10 4" xfId="22460"/>
    <cellStyle name="Note 10 5" xfId="22461"/>
    <cellStyle name="Note 11" xfId="22462"/>
    <cellStyle name="Note 11 2" xfId="22463"/>
    <cellStyle name="Note 11 2 2" xfId="22464"/>
    <cellStyle name="Note 11 2 3" xfId="22465"/>
    <cellStyle name="Note 11 2 4" xfId="22466"/>
    <cellStyle name="Note 11 3" xfId="22467"/>
    <cellStyle name="Note 11 3 2" xfId="22468"/>
    <cellStyle name="Note 11 3 3" xfId="22469"/>
    <cellStyle name="Note 11 4" xfId="22470"/>
    <cellStyle name="Note 11 5" xfId="22471"/>
    <cellStyle name="Note 12" xfId="22472"/>
    <cellStyle name="Note 12 2" xfId="22473"/>
    <cellStyle name="Note 12 2 2" xfId="22474"/>
    <cellStyle name="Note 12 2 3" xfId="22475"/>
    <cellStyle name="Note 12 3" xfId="22476"/>
    <cellStyle name="Note 12 3 2" xfId="22477"/>
    <cellStyle name="Note 12 4" xfId="22478"/>
    <cellStyle name="Note 12 5" xfId="22479"/>
    <cellStyle name="Note 13" xfId="22480"/>
    <cellStyle name="Note 13 2" xfId="22481"/>
    <cellStyle name="Note 13 3" xfId="22482"/>
    <cellStyle name="Note 13 4" xfId="22483"/>
    <cellStyle name="Note 14" xfId="22484"/>
    <cellStyle name="Note 15" xfId="22485"/>
    <cellStyle name="Note 16" xfId="22486"/>
    <cellStyle name="Note 17" xfId="22451"/>
    <cellStyle name="Note 2" xfId="22487"/>
    <cellStyle name="Note 2 10" xfId="22488"/>
    <cellStyle name="Note 2 10 2" xfId="22489"/>
    <cellStyle name="Note 2 10 2 2" xfId="22490"/>
    <cellStyle name="Note 2 10 2 3" xfId="22491"/>
    <cellStyle name="Note 2 10 3" xfId="22492"/>
    <cellStyle name="Note 2 10 3 2" xfId="22493"/>
    <cellStyle name="Note 2 10 4" xfId="22494"/>
    <cellStyle name="Note 2 11" xfId="22495"/>
    <cellStyle name="Note 2 11 2" xfId="22496"/>
    <cellStyle name="Note 2 11 2 2" xfId="22497"/>
    <cellStyle name="Note 2 11 2 3" xfId="22498"/>
    <cellStyle name="Note 2 11 3" xfId="22499"/>
    <cellStyle name="Note 2 11 3 2" xfId="22500"/>
    <cellStyle name="Note 2 11 4" xfId="22501"/>
    <cellStyle name="Note 2 12" xfId="22502"/>
    <cellStyle name="Note 2 12 2" xfId="22503"/>
    <cellStyle name="Note 2 12 3" xfId="22504"/>
    <cellStyle name="Note 2 13" xfId="22505"/>
    <cellStyle name="Note 2 14" xfId="22506"/>
    <cellStyle name="Note 2 15" xfId="22507"/>
    <cellStyle name="Note 2 2" xfId="22508"/>
    <cellStyle name="Note 2 2 10" xfId="22509"/>
    <cellStyle name="Note 2 2 10 2" xfId="22510"/>
    <cellStyle name="Note 2 2 10 2 2" xfId="22511"/>
    <cellStyle name="Note 2 2 10 2 3" xfId="22512"/>
    <cellStyle name="Note 2 2 10 3" xfId="22513"/>
    <cellStyle name="Note 2 2 10 3 2" xfId="22514"/>
    <cellStyle name="Note 2 2 10 4" xfId="22515"/>
    <cellStyle name="Note 2 2 11" xfId="22516"/>
    <cellStyle name="Note 2 2 11 2" xfId="22517"/>
    <cellStyle name="Note 2 2 11 3" xfId="22518"/>
    <cellStyle name="Note 2 2 12" xfId="22519"/>
    <cellStyle name="Note 2 2 13" xfId="22520"/>
    <cellStyle name="Note 2 2 14" xfId="22521"/>
    <cellStyle name="Note 2 2 2" xfId="22522"/>
    <cellStyle name="Note 2 2 2 2" xfId="22523"/>
    <cellStyle name="Note 2 2 2 2 2" xfId="22524"/>
    <cellStyle name="Note 2 2 2 2 3" xfId="22525"/>
    <cellStyle name="Note 2 2 2 3" xfId="22526"/>
    <cellStyle name="Note 2 2 2 3 2" xfId="22527"/>
    <cellStyle name="Note 2 2 2 4" xfId="22528"/>
    <cellStyle name="Note 2 2 3" xfId="22529"/>
    <cellStyle name="Note 2 2 3 2" xfId="22530"/>
    <cellStyle name="Note 2 2 3 2 2" xfId="22531"/>
    <cellStyle name="Note 2 2 3 2 3" xfId="22532"/>
    <cellStyle name="Note 2 2 3 3" xfId="22533"/>
    <cellStyle name="Note 2 2 3 3 2" xfId="22534"/>
    <cellStyle name="Note 2 2 3 4" xfId="22535"/>
    <cellStyle name="Note 2 2 4" xfId="22536"/>
    <cellStyle name="Note 2 2 4 2" xfId="22537"/>
    <cellStyle name="Note 2 2 4 2 2" xfId="22538"/>
    <cellStyle name="Note 2 2 4 2 3" xfId="22539"/>
    <cellStyle name="Note 2 2 4 3" xfId="22540"/>
    <cellStyle name="Note 2 2 4 3 2" xfId="22541"/>
    <cellStyle name="Note 2 2 4 4" xfId="22542"/>
    <cellStyle name="Note 2 2 5" xfId="22543"/>
    <cellStyle name="Note 2 2 5 2" xfId="22544"/>
    <cellStyle name="Note 2 2 5 2 2" xfId="22545"/>
    <cellStyle name="Note 2 2 5 2 3" xfId="22546"/>
    <cellStyle name="Note 2 2 5 3" xfId="22547"/>
    <cellStyle name="Note 2 2 5 3 2" xfId="22548"/>
    <cellStyle name="Note 2 2 5 4" xfId="22549"/>
    <cellStyle name="Note 2 2 6" xfId="22550"/>
    <cellStyle name="Note 2 2 6 2" xfId="22551"/>
    <cellStyle name="Note 2 2 6 2 2" xfId="22552"/>
    <cellStyle name="Note 2 2 6 2 3" xfId="22553"/>
    <cellStyle name="Note 2 2 6 3" xfId="22554"/>
    <cellStyle name="Note 2 2 6 3 2" xfId="22555"/>
    <cellStyle name="Note 2 2 6 4" xfId="22556"/>
    <cellStyle name="Note 2 2 7" xfId="22557"/>
    <cellStyle name="Note 2 2 7 2" xfId="22558"/>
    <cellStyle name="Note 2 2 7 2 2" xfId="22559"/>
    <cellStyle name="Note 2 2 7 2 3" xfId="22560"/>
    <cellStyle name="Note 2 2 7 3" xfId="22561"/>
    <cellStyle name="Note 2 2 7 3 2" xfId="22562"/>
    <cellStyle name="Note 2 2 7 4" xfId="22563"/>
    <cellStyle name="Note 2 2 8" xfId="22564"/>
    <cellStyle name="Note 2 2 8 2" xfId="22565"/>
    <cellStyle name="Note 2 2 8 2 2" xfId="22566"/>
    <cellStyle name="Note 2 2 8 2 3" xfId="22567"/>
    <cellStyle name="Note 2 2 8 3" xfId="22568"/>
    <cellStyle name="Note 2 2 8 3 2" xfId="22569"/>
    <cellStyle name="Note 2 2 8 4" xfId="22570"/>
    <cellStyle name="Note 2 2 9" xfId="22571"/>
    <cellStyle name="Note 2 2 9 2" xfId="22572"/>
    <cellStyle name="Note 2 2 9 2 2" xfId="22573"/>
    <cellStyle name="Note 2 2 9 2 3" xfId="22574"/>
    <cellStyle name="Note 2 2 9 3" xfId="22575"/>
    <cellStyle name="Note 2 2 9 3 2" xfId="22576"/>
    <cellStyle name="Note 2 2 9 4" xfId="22577"/>
    <cellStyle name="Note 2 3" xfId="22578"/>
    <cellStyle name="Note 2 3 2" xfId="22579"/>
    <cellStyle name="Note 2 3 2 2" xfId="22580"/>
    <cellStyle name="Note 2 3 2 3" xfId="22581"/>
    <cellStyle name="Note 2 3 3" xfId="22582"/>
    <cellStyle name="Note 2 3 3 2" xfId="22583"/>
    <cellStyle name="Note 2 3 4" xfId="22584"/>
    <cellStyle name="Note 2 4" xfId="22585"/>
    <cellStyle name="Note 2 4 2" xfId="22586"/>
    <cellStyle name="Note 2 4 2 2" xfId="22587"/>
    <cellStyle name="Note 2 4 2 3" xfId="22588"/>
    <cellStyle name="Note 2 4 3" xfId="22589"/>
    <cellStyle name="Note 2 4 3 2" xfId="22590"/>
    <cellStyle name="Note 2 4 4" xfId="22591"/>
    <cellStyle name="Note 2 5" xfId="22592"/>
    <cellStyle name="Note 2 5 2" xfId="22593"/>
    <cellStyle name="Note 2 5 2 2" xfId="22594"/>
    <cellStyle name="Note 2 5 2 3" xfId="22595"/>
    <cellStyle name="Note 2 5 3" xfId="22596"/>
    <cellStyle name="Note 2 5 3 2" xfId="22597"/>
    <cellStyle name="Note 2 5 4" xfId="22598"/>
    <cellStyle name="Note 2 6" xfId="22599"/>
    <cellStyle name="Note 2 6 2" xfId="22600"/>
    <cellStyle name="Note 2 6 2 2" xfId="22601"/>
    <cellStyle name="Note 2 6 2 3" xfId="22602"/>
    <cellStyle name="Note 2 6 3" xfId="22603"/>
    <cellStyle name="Note 2 6 3 2" xfId="22604"/>
    <cellStyle name="Note 2 6 4" xfId="22605"/>
    <cellStyle name="Note 2 7" xfId="22606"/>
    <cellStyle name="Note 2 7 2" xfId="22607"/>
    <cellStyle name="Note 2 7 2 2" xfId="22608"/>
    <cellStyle name="Note 2 7 2 3" xfId="22609"/>
    <cellStyle name="Note 2 7 3" xfId="22610"/>
    <cellStyle name="Note 2 7 3 2" xfId="22611"/>
    <cellStyle name="Note 2 7 4" xfId="22612"/>
    <cellStyle name="Note 2 8" xfId="22613"/>
    <cellStyle name="Note 2 8 2" xfId="22614"/>
    <cellStyle name="Note 2 8 2 2" xfId="22615"/>
    <cellStyle name="Note 2 8 2 3" xfId="22616"/>
    <cellStyle name="Note 2 8 3" xfId="22617"/>
    <cellStyle name="Note 2 8 3 2" xfId="22618"/>
    <cellStyle name="Note 2 8 4" xfId="22619"/>
    <cellStyle name="Note 2 9" xfId="22620"/>
    <cellStyle name="Note 2 9 2" xfId="22621"/>
    <cellStyle name="Note 2 9 2 2" xfId="22622"/>
    <cellStyle name="Note 2 9 2 3" xfId="22623"/>
    <cellStyle name="Note 2 9 3" xfId="22624"/>
    <cellStyle name="Note 2 9 3 2" xfId="22625"/>
    <cellStyle name="Note 2 9 4" xfId="22626"/>
    <cellStyle name="Note 3" xfId="22627"/>
    <cellStyle name="Note 3 10" xfId="22628"/>
    <cellStyle name="Note 3 10 2" xfId="22629"/>
    <cellStyle name="Note 3 10 2 2" xfId="22630"/>
    <cellStyle name="Note 3 10 2 3" xfId="22631"/>
    <cellStyle name="Note 3 10 3" xfId="22632"/>
    <cellStyle name="Note 3 10 3 2" xfId="22633"/>
    <cellStyle name="Note 3 10 4" xfId="22634"/>
    <cellStyle name="Note 3 11" xfId="22635"/>
    <cellStyle name="Note 3 11 2" xfId="22636"/>
    <cellStyle name="Note 3 11 3" xfId="22637"/>
    <cellStyle name="Note 3 12" xfId="22638"/>
    <cellStyle name="Note 3 13" xfId="22639"/>
    <cellStyle name="Note 3 14" xfId="22640"/>
    <cellStyle name="Note 3 2" xfId="22641"/>
    <cellStyle name="Note 3 2 2" xfId="22642"/>
    <cellStyle name="Note 3 2 2 2" xfId="22643"/>
    <cellStyle name="Note 3 2 2 3" xfId="22644"/>
    <cellStyle name="Note 3 2 3" xfId="22645"/>
    <cellStyle name="Note 3 2 3 2" xfId="22646"/>
    <cellStyle name="Note 3 2 4" xfId="22647"/>
    <cellStyle name="Note 3 2 5" xfId="22648"/>
    <cellStyle name="Note 3 3" xfId="22649"/>
    <cellStyle name="Note 3 3 2" xfId="22650"/>
    <cellStyle name="Note 3 3 2 2" xfId="22651"/>
    <cellStyle name="Note 3 3 2 3" xfId="22652"/>
    <cellStyle name="Note 3 3 3" xfId="22653"/>
    <cellStyle name="Note 3 3 3 2" xfId="22654"/>
    <cellStyle name="Note 3 3 4" xfId="22655"/>
    <cellStyle name="Note 3 4" xfId="22656"/>
    <cellStyle name="Note 3 4 2" xfId="22657"/>
    <cellStyle name="Note 3 4 2 2" xfId="22658"/>
    <cellStyle name="Note 3 4 2 3" xfId="22659"/>
    <cellStyle name="Note 3 4 3" xfId="22660"/>
    <cellStyle name="Note 3 4 3 2" xfId="22661"/>
    <cellStyle name="Note 3 4 4" xfId="22662"/>
    <cellStyle name="Note 3 5" xfId="22663"/>
    <cellStyle name="Note 3 5 2" xfId="22664"/>
    <cellStyle name="Note 3 5 2 2" xfId="22665"/>
    <cellStyle name="Note 3 5 2 3" xfId="22666"/>
    <cellStyle name="Note 3 5 3" xfId="22667"/>
    <cellStyle name="Note 3 5 3 2" xfId="22668"/>
    <cellStyle name="Note 3 5 4" xfId="22669"/>
    <cellStyle name="Note 3 6" xfId="22670"/>
    <cellStyle name="Note 3 6 2" xfId="22671"/>
    <cellStyle name="Note 3 6 2 2" xfId="22672"/>
    <cellStyle name="Note 3 6 2 3" xfId="22673"/>
    <cellStyle name="Note 3 6 3" xfId="22674"/>
    <cellStyle name="Note 3 6 3 2" xfId="22675"/>
    <cellStyle name="Note 3 6 4" xfId="22676"/>
    <cellStyle name="Note 3 7" xfId="22677"/>
    <cellStyle name="Note 3 7 2" xfId="22678"/>
    <cellStyle name="Note 3 7 2 2" xfId="22679"/>
    <cellStyle name="Note 3 7 2 3" xfId="22680"/>
    <cellStyle name="Note 3 7 3" xfId="22681"/>
    <cellStyle name="Note 3 7 3 2" xfId="22682"/>
    <cellStyle name="Note 3 7 4" xfId="22683"/>
    <cellStyle name="Note 3 8" xfId="22684"/>
    <cellStyle name="Note 3 8 2" xfId="22685"/>
    <cellStyle name="Note 3 8 2 2" xfId="22686"/>
    <cellStyle name="Note 3 8 2 3" xfId="22687"/>
    <cellStyle name="Note 3 8 3" xfId="22688"/>
    <cellStyle name="Note 3 8 3 2" xfId="22689"/>
    <cellStyle name="Note 3 8 4" xfId="22690"/>
    <cellStyle name="Note 3 9" xfId="22691"/>
    <cellStyle name="Note 3 9 2" xfId="22692"/>
    <cellStyle name="Note 3 9 2 2" xfId="22693"/>
    <cellStyle name="Note 3 9 2 3" xfId="22694"/>
    <cellStyle name="Note 3 9 3" xfId="22695"/>
    <cellStyle name="Note 3 9 3 2" xfId="22696"/>
    <cellStyle name="Note 3 9 4" xfId="22697"/>
    <cellStyle name="Note 4" xfId="22698"/>
    <cellStyle name="Note 4 2" xfId="22699"/>
    <cellStyle name="Note 4 2 2" xfId="22700"/>
    <cellStyle name="Note 4 2 3" xfId="22701"/>
    <cellStyle name="Note 4 2 4" xfId="22702"/>
    <cellStyle name="Note 4 3" xfId="22703"/>
    <cellStyle name="Note 4 3 2" xfId="22704"/>
    <cellStyle name="Note 4 4" xfId="22705"/>
    <cellStyle name="Note 4 5" xfId="22706"/>
    <cellStyle name="Note 5" xfId="22707"/>
    <cellStyle name="Note 5 2" xfId="22708"/>
    <cellStyle name="Note 5 2 2" xfId="22709"/>
    <cellStyle name="Note 5 2 3" xfId="22710"/>
    <cellStyle name="Note 5 2 4" xfId="22711"/>
    <cellStyle name="Note 5 3" xfId="22712"/>
    <cellStyle name="Note 5 3 2" xfId="22713"/>
    <cellStyle name="Note 5 4" xfId="22714"/>
    <cellStyle name="Note 5 5" xfId="22715"/>
    <cellStyle name="Note 6" xfId="22716"/>
    <cellStyle name="Note 6 2" xfId="22717"/>
    <cellStyle name="Note 6 2 2" xfId="22718"/>
    <cellStyle name="Note 6 2 3" xfId="22719"/>
    <cellStyle name="Note 6 2 4" xfId="22720"/>
    <cellStyle name="Note 6 3" xfId="22721"/>
    <cellStyle name="Note 6 3 2" xfId="22722"/>
    <cellStyle name="Note 6 3 3" xfId="22723"/>
    <cellStyle name="Note 6 4" xfId="22724"/>
    <cellStyle name="Note 6 5" xfId="22725"/>
    <cellStyle name="Note 7" xfId="22726"/>
    <cellStyle name="Note 7 2" xfId="22727"/>
    <cellStyle name="Note 7 2 2" xfId="22728"/>
    <cellStyle name="Note 7 2 3" xfId="22729"/>
    <cellStyle name="Note 7 2 4" xfId="22730"/>
    <cellStyle name="Note 7 3" xfId="22731"/>
    <cellStyle name="Note 7 3 2" xfId="22732"/>
    <cellStyle name="Note 7 3 3" xfId="22733"/>
    <cellStyle name="Note 7 4" xfId="22734"/>
    <cellStyle name="Note 7 5" xfId="22735"/>
    <cellStyle name="Note 8" xfId="22736"/>
    <cellStyle name="Note 8 2" xfId="22737"/>
    <cellStyle name="Note 8 2 2" xfId="22738"/>
    <cellStyle name="Note 8 2 3" xfId="22739"/>
    <cellStyle name="Note 8 2 4" xfId="22740"/>
    <cellStyle name="Note 8 3" xfId="22741"/>
    <cellStyle name="Note 8 3 2" xfId="22742"/>
    <cellStyle name="Note 8 3 3" xfId="22743"/>
    <cellStyle name="Note 8 4" xfId="22744"/>
    <cellStyle name="Note 8 5" xfId="22745"/>
    <cellStyle name="Note 9" xfId="22746"/>
    <cellStyle name="Note 9 2" xfId="22747"/>
    <cellStyle name="Note 9 2 2" xfId="22748"/>
    <cellStyle name="Note 9 2 3" xfId="22749"/>
    <cellStyle name="Note 9 2 4" xfId="22750"/>
    <cellStyle name="Note 9 3" xfId="22751"/>
    <cellStyle name="Note 9 3 2" xfId="22752"/>
    <cellStyle name="Note 9 3 3" xfId="22753"/>
    <cellStyle name="Note 9 4" xfId="22754"/>
    <cellStyle name="Note 9 5" xfId="22755"/>
    <cellStyle name="Œ…?æ맖?e [0.00]_laroux" xfId="22756"/>
    <cellStyle name="Œ…?æ맖?e_laroux" xfId="22757"/>
    <cellStyle name="Output 10" xfId="22759"/>
    <cellStyle name="Output 10 2" xfId="22760"/>
    <cellStyle name="Output 10 3" xfId="22761"/>
    <cellStyle name="Output 11" xfId="22762"/>
    <cellStyle name="Output 11 2" xfId="22763"/>
    <cellStyle name="Output 11 3" xfId="22764"/>
    <cellStyle name="Output 12" xfId="22765"/>
    <cellStyle name="Output 13" xfId="22766"/>
    <cellStyle name="Output 14" xfId="22767"/>
    <cellStyle name="Output 15" xfId="22758"/>
    <cellStyle name="Output 2" xfId="22768"/>
    <cellStyle name="Output 2 2" xfId="22769"/>
    <cellStyle name="Output 2 2 10" xfId="22770"/>
    <cellStyle name="Output 2 2 10 2" xfId="22771"/>
    <cellStyle name="Output 2 2 10 2 2" xfId="22772"/>
    <cellStyle name="Output 2 2 10 2 3" xfId="22773"/>
    <cellStyle name="Output 2 2 10 3" xfId="22774"/>
    <cellStyle name="Output 2 2 10 3 2" xfId="22775"/>
    <cellStyle name="Output 2 2 10 4" xfId="22776"/>
    <cellStyle name="Output 2 2 11" xfId="22777"/>
    <cellStyle name="Output 2 2 11 2" xfId="22778"/>
    <cellStyle name="Output 2 2 11 2 2" xfId="22779"/>
    <cellStyle name="Output 2 2 11 2 3" xfId="22780"/>
    <cellStyle name="Output 2 2 11 3" xfId="22781"/>
    <cellStyle name="Output 2 2 11 3 2" xfId="22782"/>
    <cellStyle name="Output 2 2 11 4" xfId="22783"/>
    <cellStyle name="Output 2 2 12" xfId="22784"/>
    <cellStyle name="Output 2 2 12 2" xfId="22785"/>
    <cellStyle name="Output 2 2 12 3" xfId="22786"/>
    <cellStyle name="Output 2 2 13" xfId="22787"/>
    <cellStyle name="Output 2 2 14" xfId="22788"/>
    <cellStyle name="Output 2 2 15" xfId="22789"/>
    <cellStyle name="Output 2 2 2" xfId="22790"/>
    <cellStyle name="Output 2 2 2 2" xfId="22791"/>
    <cellStyle name="Output 2 2 2 2 2" xfId="22792"/>
    <cellStyle name="Output 2 2 2 2 3" xfId="22793"/>
    <cellStyle name="Output 2 2 2 3" xfId="22794"/>
    <cellStyle name="Output 2 2 2 3 2" xfId="22795"/>
    <cellStyle name="Output 2 2 2 4" xfId="22796"/>
    <cellStyle name="Output 2 2 3" xfId="22797"/>
    <cellStyle name="Output 2 2 3 2" xfId="22798"/>
    <cellStyle name="Output 2 2 3 2 2" xfId="22799"/>
    <cellStyle name="Output 2 2 3 2 3" xfId="22800"/>
    <cellStyle name="Output 2 2 3 3" xfId="22801"/>
    <cellStyle name="Output 2 2 3 3 2" xfId="22802"/>
    <cellStyle name="Output 2 2 3 4" xfId="22803"/>
    <cellStyle name="Output 2 2 4" xfId="22804"/>
    <cellStyle name="Output 2 2 4 2" xfId="22805"/>
    <cellStyle name="Output 2 2 4 2 2" xfId="22806"/>
    <cellStyle name="Output 2 2 4 2 3" xfId="22807"/>
    <cellStyle name="Output 2 2 4 3" xfId="22808"/>
    <cellStyle name="Output 2 2 4 3 2" xfId="22809"/>
    <cellStyle name="Output 2 2 4 4" xfId="22810"/>
    <cellStyle name="Output 2 2 5" xfId="22811"/>
    <cellStyle name="Output 2 2 5 2" xfId="22812"/>
    <cellStyle name="Output 2 2 5 2 2" xfId="22813"/>
    <cellStyle name="Output 2 2 5 2 3" xfId="22814"/>
    <cellStyle name="Output 2 2 5 3" xfId="22815"/>
    <cellStyle name="Output 2 2 5 3 2" xfId="22816"/>
    <cellStyle name="Output 2 2 5 4" xfId="22817"/>
    <cellStyle name="Output 2 2 6" xfId="22818"/>
    <cellStyle name="Output 2 2 6 2" xfId="22819"/>
    <cellStyle name="Output 2 2 6 2 2" xfId="22820"/>
    <cellStyle name="Output 2 2 6 2 3" xfId="22821"/>
    <cellStyle name="Output 2 2 6 3" xfId="22822"/>
    <cellStyle name="Output 2 2 6 3 2" xfId="22823"/>
    <cellStyle name="Output 2 2 6 4" xfId="22824"/>
    <cellStyle name="Output 2 2 7" xfId="22825"/>
    <cellStyle name="Output 2 2 7 2" xfId="22826"/>
    <cellStyle name="Output 2 2 7 2 2" xfId="22827"/>
    <cellStyle name="Output 2 2 7 2 3" xfId="22828"/>
    <cellStyle name="Output 2 2 7 3" xfId="22829"/>
    <cellStyle name="Output 2 2 7 3 2" xfId="22830"/>
    <cellStyle name="Output 2 2 7 4" xfId="22831"/>
    <cellStyle name="Output 2 2 8" xfId="22832"/>
    <cellStyle name="Output 2 2 8 2" xfId="22833"/>
    <cellStyle name="Output 2 2 8 2 2" xfId="22834"/>
    <cellStyle name="Output 2 2 8 2 3" xfId="22835"/>
    <cellStyle name="Output 2 2 8 3" xfId="22836"/>
    <cellStyle name="Output 2 2 8 3 2" xfId="22837"/>
    <cellStyle name="Output 2 2 8 4" xfId="22838"/>
    <cellStyle name="Output 2 2 9" xfId="22839"/>
    <cellStyle name="Output 2 2 9 2" xfId="22840"/>
    <cellStyle name="Output 2 2 9 2 2" xfId="22841"/>
    <cellStyle name="Output 2 2 9 2 3" xfId="22842"/>
    <cellStyle name="Output 2 2 9 3" xfId="22843"/>
    <cellStyle name="Output 2 2 9 3 2" xfId="22844"/>
    <cellStyle name="Output 2 2 9 4" xfId="22845"/>
    <cellStyle name="Output 2 3" xfId="22846"/>
    <cellStyle name="Output 2 4" xfId="22847"/>
    <cellStyle name="Output 2 5" xfId="22848"/>
    <cellStyle name="Output 3" xfId="22849"/>
    <cellStyle name="Output 3 2" xfId="22850"/>
    <cellStyle name="Output 3 2 10" xfId="22851"/>
    <cellStyle name="Output 3 2 10 2" xfId="22852"/>
    <cellStyle name="Output 3 2 10 2 2" xfId="22853"/>
    <cellStyle name="Output 3 2 10 2 3" xfId="22854"/>
    <cellStyle name="Output 3 2 10 3" xfId="22855"/>
    <cellStyle name="Output 3 2 10 3 2" xfId="22856"/>
    <cellStyle name="Output 3 2 10 4" xfId="22857"/>
    <cellStyle name="Output 3 2 10 5" xfId="22858"/>
    <cellStyle name="Output 3 2 10 6" xfId="22859"/>
    <cellStyle name="Output 3 2 11" xfId="22860"/>
    <cellStyle name="Output 3 2 11 2" xfId="22861"/>
    <cellStyle name="Output 3 2 11 2 2" xfId="22862"/>
    <cellStyle name="Output 3 2 11 2 3" xfId="22863"/>
    <cellStyle name="Output 3 2 11 3" xfId="22864"/>
    <cellStyle name="Output 3 2 11 3 2" xfId="22865"/>
    <cellStyle name="Output 3 2 11 4" xfId="22866"/>
    <cellStyle name="Output 3 2 11 5" xfId="22867"/>
    <cellStyle name="Output 3 2 11 6" xfId="22868"/>
    <cellStyle name="Output 3 2 12" xfId="22869"/>
    <cellStyle name="Output 3 2 12 2" xfId="22870"/>
    <cellStyle name="Output 3 2 12 2 2" xfId="22871"/>
    <cellStyle name="Output 3 2 12 3" xfId="22872"/>
    <cellStyle name="Output 3 2 12 4" xfId="22873"/>
    <cellStyle name="Output 3 2 13" xfId="22874"/>
    <cellStyle name="Output 3 2 13 2" xfId="22875"/>
    <cellStyle name="Output 3 2 14" xfId="22876"/>
    <cellStyle name="Output 3 2 15" xfId="22877"/>
    <cellStyle name="Output 3 2 16" xfId="22878"/>
    <cellStyle name="Output 3 2 2" xfId="22879"/>
    <cellStyle name="Output 3 2 2 2" xfId="22880"/>
    <cellStyle name="Output 3 2 2 2 2" xfId="22881"/>
    <cellStyle name="Output 3 2 2 2 3" xfId="22882"/>
    <cellStyle name="Output 3 2 2 3" xfId="22883"/>
    <cellStyle name="Output 3 2 2 3 2" xfId="22884"/>
    <cellStyle name="Output 3 2 2 4" xfId="22885"/>
    <cellStyle name="Output 3 2 2 5" xfId="22886"/>
    <cellStyle name="Output 3 2 2 6" xfId="22887"/>
    <cellStyle name="Output 3 2 3" xfId="22888"/>
    <cellStyle name="Output 3 2 3 2" xfId="22889"/>
    <cellStyle name="Output 3 2 3 2 2" xfId="22890"/>
    <cellStyle name="Output 3 2 3 2 3" xfId="22891"/>
    <cellStyle name="Output 3 2 3 3" xfId="22892"/>
    <cellStyle name="Output 3 2 3 3 2" xfId="22893"/>
    <cellStyle name="Output 3 2 3 4" xfId="22894"/>
    <cellStyle name="Output 3 2 3 5" xfId="22895"/>
    <cellStyle name="Output 3 2 3 6" xfId="22896"/>
    <cellStyle name="Output 3 2 4" xfId="22897"/>
    <cellStyle name="Output 3 2 4 2" xfId="22898"/>
    <cellStyle name="Output 3 2 4 2 2" xfId="22899"/>
    <cellStyle name="Output 3 2 4 2 3" xfId="22900"/>
    <cellStyle name="Output 3 2 4 3" xfId="22901"/>
    <cellStyle name="Output 3 2 4 3 2" xfId="22902"/>
    <cellStyle name="Output 3 2 4 4" xfId="22903"/>
    <cellStyle name="Output 3 2 4 5" xfId="22904"/>
    <cellStyle name="Output 3 2 4 6" xfId="22905"/>
    <cellStyle name="Output 3 2 5" xfId="22906"/>
    <cellStyle name="Output 3 2 5 2" xfId="22907"/>
    <cellStyle name="Output 3 2 5 2 2" xfId="22908"/>
    <cellStyle name="Output 3 2 5 2 3" xfId="22909"/>
    <cellStyle name="Output 3 2 5 3" xfId="22910"/>
    <cellStyle name="Output 3 2 5 3 2" xfId="22911"/>
    <cellStyle name="Output 3 2 5 4" xfId="22912"/>
    <cellStyle name="Output 3 2 5 5" xfId="22913"/>
    <cellStyle name="Output 3 2 5 6" xfId="22914"/>
    <cellStyle name="Output 3 2 6" xfId="22915"/>
    <cellStyle name="Output 3 2 6 2" xfId="22916"/>
    <cellStyle name="Output 3 2 6 2 2" xfId="22917"/>
    <cellStyle name="Output 3 2 6 2 3" xfId="22918"/>
    <cellStyle name="Output 3 2 6 3" xfId="22919"/>
    <cellStyle name="Output 3 2 6 3 2" xfId="22920"/>
    <cellStyle name="Output 3 2 6 4" xfId="22921"/>
    <cellStyle name="Output 3 2 6 5" xfId="22922"/>
    <cellStyle name="Output 3 2 6 6" xfId="22923"/>
    <cellStyle name="Output 3 2 7" xfId="22924"/>
    <cellStyle name="Output 3 2 7 2" xfId="22925"/>
    <cellStyle name="Output 3 2 7 2 2" xfId="22926"/>
    <cellStyle name="Output 3 2 7 2 3" xfId="22927"/>
    <cellStyle name="Output 3 2 7 3" xfId="22928"/>
    <cellStyle name="Output 3 2 7 3 2" xfId="22929"/>
    <cellStyle name="Output 3 2 7 4" xfId="22930"/>
    <cellStyle name="Output 3 2 7 5" xfId="22931"/>
    <cellStyle name="Output 3 2 7 6" xfId="22932"/>
    <cellStyle name="Output 3 2 8" xfId="22933"/>
    <cellStyle name="Output 3 2 8 2" xfId="22934"/>
    <cellStyle name="Output 3 2 8 2 2" xfId="22935"/>
    <cellStyle name="Output 3 2 8 2 3" xfId="22936"/>
    <cellStyle name="Output 3 2 8 3" xfId="22937"/>
    <cellStyle name="Output 3 2 8 3 2" xfId="22938"/>
    <cellStyle name="Output 3 2 8 4" xfId="22939"/>
    <cellStyle name="Output 3 2 8 5" xfId="22940"/>
    <cellStyle name="Output 3 2 8 6" xfId="22941"/>
    <cellStyle name="Output 3 2 9" xfId="22942"/>
    <cellStyle name="Output 3 2 9 2" xfId="22943"/>
    <cellStyle name="Output 3 2 9 2 2" xfId="22944"/>
    <cellStyle name="Output 3 2 9 2 3" xfId="22945"/>
    <cellStyle name="Output 3 2 9 3" xfId="22946"/>
    <cellStyle name="Output 3 2 9 3 2" xfId="22947"/>
    <cellStyle name="Output 3 2 9 4" xfId="22948"/>
    <cellStyle name="Output 3 2 9 5" xfId="22949"/>
    <cellStyle name="Output 3 2 9 6" xfId="22950"/>
    <cellStyle name="Output 3 3" xfId="22951"/>
    <cellStyle name="Output 3 3 2" xfId="22952"/>
    <cellStyle name="Output 3 4" xfId="22953"/>
    <cellStyle name="Output 3 5" xfId="22954"/>
    <cellStyle name="Output 3 6" xfId="22955"/>
    <cellStyle name="Output 4" xfId="22956"/>
    <cellStyle name="Output 4 10" xfId="22957"/>
    <cellStyle name="Output 4 10 2" xfId="22958"/>
    <cellStyle name="Output 4 10 2 2" xfId="22959"/>
    <cellStyle name="Output 4 10 2 3" xfId="22960"/>
    <cellStyle name="Output 4 10 3" xfId="22961"/>
    <cellStyle name="Output 4 10 3 2" xfId="22962"/>
    <cellStyle name="Output 4 10 4" xfId="22963"/>
    <cellStyle name="Output 4 11" xfId="22964"/>
    <cellStyle name="Output 4 11 2" xfId="22965"/>
    <cellStyle name="Output 4 11 2 2" xfId="22966"/>
    <cellStyle name="Output 4 11 2 3" xfId="22967"/>
    <cellStyle name="Output 4 11 3" xfId="22968"/>
    <cellStyle name="Output 4 11 3 2" xfId="22969"/>
    <cellStyle name="Output 4 11 4" xfId="22970"/>
    <cellStyle name="Output 4 12" xfId="22971"/>
    <cellStyle name="Output 4 12 2" xfId="22972"/>
    <cellStyle name="Output 4 12 3" xfId="22973"/>
    <cellStyle name="Output 4 13" xfId="22974"/>
    <cellStyle name="Output 4 14" xfId="22975"/>
    <cellStyle name="Output 4 15" xfId="22976"/>
    <cellStyle name="Output 4 2" xfId="22977"/>
    <cellStyle name="Output 4 2 2" xfId="22978"/>
    <cellStyle name="Output 4 2 2 2" xfId="22979"/>
    <cellStyle name="Output 4 2 2 3" xfId="22980"/>
    <cellStyle name="Output 4 2 3" xfId="22981"/>
    <cellStyle name="Output 4 2 3 2" xfId="22982"/>
    <cellStyle name="Output 4 2 4" xfId="22983"/>
    <cellStyle name="Output 4 2 5" xfId="22984"/>
    <cellStyle name="Output 4 3" xfId="22985"/>
    <cellStyle name="Output 4 3 2" xfId="22986"/>
    <cellStyle name="Output 4 3 2 2" xfId="22987"/>
    <cellStyle name="Output 4 3 2 3" xfId="22988"/>
    <cellStyle name="Output 4 3 3" xfId="22989"/>
    <cellStyle name="Output 4 3 3 2" xfId="22990"/>
    <cellStyle name="Output 4 3 4" xfId="22991"/>
    <cellStyle name="Output 4 4" xfId="22992"/>
    <cellStyle name="Output 4 4 2" xfId="22993"/>
    <cellStyle name="Output 4 4 2 2" xfId="22994"/>
    <cellStyle name="Output 4 4 2 3" xfId="22995"/>
    <cellStyle name="Output 4 4 3" xfId="22996"/>
    <cellStyle name="Output 4 4 3 2" xfId="22997"/>
    <cellStyle name="Output 4 4 4" xfId="22998"/>
    <cellStyle name="Output 4 5" xfId="22999"/>
    <cellStyle name="Output 4 5 2" xfId="23000"/>
    <cellStyle name="Output 4 5 2 2" xfId="23001"/>
    <cellStyle name="Output 4 5 2 3" xfId="23002"/>
    <cellStyle name="Output 4 5 3" xfId="23003"/>
    <cellStyle name="Output 4 5 3 2" xfId="23004"/>
    <cellStyle name="Output 4 5 4" xfId="23005"/>
    <cellStyle name="Output 4 6" xfId="23006"/>
    <cellStyle name="Output 4 6 2" xfId="23007"/>
    <cellStyle name="Output 4 6 2 2" xfId="23008"/>
    <cellStyle name="Output 4 6 2 3" xfId="23009"/>
    <cellStyle name="Output 4 6 3" xfId="23010"/>
    <cellStyle name="Output 4 6 3 2" xfId="23011"/>
    <cellStyle name="Output 4 6 4" xfId="23012"/>
    <cellStyle name="Output 4 7" xfId="23013"/>
    <cellStyle name="Output 4 7 2" xfId="23014"/>
    <cellStyle name="Output 4 7 2 2" xfId="23015"/>
    <cellStyle name="Output 4 7 2 3" xfId="23016"/>
    <cellStyle name="Output 4 7 3" xfId="23017"/>
    <cellStyle name="Output 4 7 3 2" xfId="23018"/>
    <cellStyle name="Output 4 7 4" xfId="23019"/>
    <cellStyle name="Output 4 8" xfId="23020"/>
    <cellStyle name="Output 4 8 2" xfId="23021"/>
    <cellStyle name="Output 4 8 2 2" xfId="23022"/>
    <cellStyle name="Output 4 8 2 3" xfId="23023"/>
    <cellStyle name="Output 4 8 3" xfId="23024"/>
    <cellStyle name="Output 4 8 3 2" xfId="23025"/>
    <cellStyle name="Output 4 8 4" xfId="23026"/>
    <cellStyle name="Output 4 9" xfId="23027"/>
    <cellStyle name="Output 4 9 2" xfId="23028"/>
    <cellStyle name="Output 4 9 2 2" xfId="23029"/>
    <cellStyle name="Output 4 9 2 3" xfId="23030"/>
    <cellStyle name="Output 4 9 3" xfId="23031"/>
    <cellStyle name="Output 4 9 3 2" xfId="23032"/>
    <cellStyle name="Output 4 9 4" xfId="23033"/>
    <cellStyle name="Output 5" xfId="23034"/>
    <cellStyle name="Output 5 2" xfId="23035"/>
    <cellStyle name="Output 5 3" xfId="23036"/>
    <cellStyle name="Output 6" xfId="23037"/>
    <cellStyle name="Output 6 2" xfId="23038"/>
    <cellStyle name="Output 6 3" xfId="23039"/>
    <cellStyle name="Output 6 4" xfId="23040"/>
    <cellStyle name="Output 7" xfId="23041"/>
    <cellStyle name="Output 7 2" xfId="23042"/>
    <cellStyle name="Output 7 3" xfId="23043"/>
    <cellStyle name="Output 8" xfId="23044"/>
    <cellStyle name="Output 8 2" xfId="23045"/>
    <cellStyle name="Output 8 3" xfId="23046"/>
    <cellStyle name="Output 9" xfId="23047"/>
    <cellStyle name="Output 9 2" xfId="23048"/>
    <cellStyle name="Output 9 3" xfId="23049"/>
    <cellStyle name="Percent" xfId="1" builtinId="5"/>
    <cellStyle name="Percent [0]" xfId="23050"/>
    <cellStyle name="Percent [00]" xfId="23051"/>
    <cellStyle name="Percent [2]" xfId="23052"/>
    <cellStyle name="Percent 2" xfId="51153"/>
    <cellStyle name="Percent 3" xfId="6"/>
    <cellStyle name="PERCENTAGE" xfId="23053"/>
    <cellStyle name="PrePop Currency (0)" xfId="23054"/>
    <cellStyle name="PrePop Currency (2)" xfId="23055"/>
    <cellStyle name="PrePop Units (0)" xfId="23056"/>
    <cellStyle name="PrePop Units (1)" xfId="23057"/>
    <cellStyle name="PrePop Units (2)" xfId="23058"/>
    <cellStyle name="r_x0010_" xfId="23059"/>
    <cellStyle name="r_x0010_ 2" xfId="23060"/>
    <cellStyle name="R?" xfId="23061"/>
    <cellStyle name="R? 2" xfId="23062"/>
    <cellStyle name="rrfocy`marpvx_622k" xfId="23063"/>
    <cellStyle name="rrfocy`MCvt/ASP" xfId="23064"/>
    <cellStyle name="SAP" xfId="23065"/>
    <cellStyle name="SAP 2" xfId="23066"/>
    <cellStyle name="SAPBEXchaText" xfId="23067"/>
    <cellStyle name="SAPBEXstdData" xfId="23068"/>
    <cellStyle name="SAPBEXstdData 2" xfId="23069"/>
    <cellStyle name="SAPBEXstdItem" xfId="23070"/>
    <cellStyle name="SAPBEXstdItem 2" xfId="23071"/>
    <cellStyle name="SAPBEXstdItemX" xfId="23072"/>
    <cellStyle name="SAPBEXstdItemX 2" xfId="23073"/>
    <cellStyle name="sche|_x0005_" xfId="23074"/>
    <cellStyle name="sche|_x0005_ 2" xfId="23075"/>
    <cellStyle name="Sheet Title" xfId="23076"/>
    <cellStyle name="ssendz_lbsouy`5ussendz_lbsouy`5_622k" xfId="23077"/>
    <cellStyle name="subhead" xfId="23078"/>
    <cellStyle name="subhead 2" xfId="23079"/>
    <cellStyle name="Text Indent A" xfId="23080"/>
    <cellStyle name="Text Indent B" xfId="23081"/>
    <cellStyle name="Text Indent C" xfId="23082"/>
    <cellStyle name="þ_x001d_ð'&amp;Oy?Hy9_x0008__x000f__x0007_æ_x0007__x0007__x0001__x0001_" xfId="23083"/>
    <cellStyle name="þ_x001d_ð'&amp;Oy?Hy9_x0008__x000f__x0007_æ_x0007__x0007__x0001__x0001_ 2" xfId="23084"/>
    <cellStyle name="Title 2" xfId="23086"/>
    <cellStyle name="Title 2 2" xfId="23087"/>
    <cellStyle name="Title 3" xfId="23088"/>
    <cellStyle name="Title 3 2" xfId="23089"/>
    <cellStyle name="Title 3 2 2" xfId="23090"/>
    <cellStyle name="Title 4" xfId="23091"/>
    <cellStyle name="Title 5" xfId="23085"/>
    <cellStyle name="Total 10" xfId="23093"/>
    <cellStyle name="Total 10 2" xfId="23094"/>
    <cellStyle name="Total 10 2 2" xfId="23095"/>
    <cellStyle name="Total 10 2 3" xfId="23096"/>
    <cellStyle name="Total 10 3" xfId="23097"/>
    <cellStyle name="Total 10 3 2" xfId="23098"/>
    <cellStyle name="Total 10 4" xfId="23099"/>
    <cellStyle name="Total 11" xfId="23100"/>
    <cellStyle name="Total 11 2" xfId="23101"/>
    <cellStyle name="Total 11 2 2" xfId="23102"/>
    <cellStyle name="Total 11 2 3" xfId="23103"/>
    <cellStyle name="Total 11 3" xfId="23104"/>
    <cellStyle name="Total 11 3 2" xfId="23105"/>
    <cellStyle name="Total 11 4" xfId="23106"/>
    <cellStyle name="Total 12" xfId="23107"/>
    <cellStyle name="Total 12 2" xfId="23108"/>
    <cellStyle name="Total 12 2 2" xfId="23109"/>
    <cellStyle name="Total 12 2 3" xfId="23110"/>
    <cellStyle name="Total 12 3" xfId="23111"/>
    <cellStyle name="Total 12 3 2" xfId="23112"/>
    <cellStyle name="Total 12 4" xfId="23113"/>
    <cellStyle name="Total 13" xfId="23114"/>
    <cellStyle name="Total 13 2" xfId="23115"/>
    <cellStyle name="Total 13 2 2" xfId="23116"/>
    <cellStyle name="Total 13 2 3" xfId="23117"/>
    <cellStyle name="Total 13 3" xfId="23118"/>
    <cellStyle name="Total 13 3 2" xfId="23119"/>
    <cellStyle name="Total 13 4" xfId="23120"/>
    <cellStyle name="Total 14" xfId="23121"/>
    <cellStyle name="Total 14 2" xfId="23122"/>
    <cellStyle name="Total 14 3" xfId="23123"/>
    <cellStyle name="Total 15" xfId="23124"/>
    <cellStyle name="Total 16" xfId="23125"/>
    <cellStyle name="Total 17" xfId="23126"/>
    <cellStyle name="Total 18" xfId="23092"/>
    <cellStyle name="Total 2" xfId="23127"/>
    <cellStyle name="Total 2 10" xfId="23128"/>
    <cellStyle name="Total 2 10 2" xfId="23129"/>
    <cellStyle name="Total 2 10 2 2" xfId="23130"/>
    <cellStyle name="Total 2 10 2 3" xfId="23131"/>
    <cellStyle name="Total 2 10 2 4" xfId="23132"/>
    <cellStyle name="Total 2 10 3" xfId="23133"/>
    <cellStyle name="Total 2 10 3 2" xfId="23134"/>
    <cellStyle name="Total 2 10 3 3" xfId="23135"/>
    <cellStyle name="Total 2 10 4" xfId="23136"/>
    <cellStyle name="Total 2 10 5" xfId="23137"/>
    <cellStyle name="Total 2 11" xfId="23138"/>
    <cellStyle name="Total 2 11 2" xfId="23139"/>
    <cellStyle name="Total 2 11 2 2" xfId="23140"/>
    <cellStyle name="Total 2 11 2 3" xfId="23141"/>
    <cellStyle name="Total 2 11 2 4" xfId="23142"/>
    <cellStyle name="Total 2 11 3" xfId="23143"/>
    <cellStyle name="Total 2 11 3 2" xfId="23144"/>
    <cellStyle name="Total 2 11 3 3" xfId="23145"/>
    <cellStyle name="Total 2 11 4" xfId="23146"/>
    <cellStyle name="Total 2 11 5" xfId="23147"/>
    <cellStyle name="Total 2 12" xfId="23148"/>
    <cellStyle name="Total 2 12 2" xfId="23149"/>
    <cellStyle name="Total 2 12 3" xfId="23150"/>
    <cellStyle name="Total 2 12 4" xfId="23151"/>
    <cellStyle name="Total 2 13" xfId="23152"/>
    <cellStyle name="Total 2 13 2" xfId="23153"/>
    <cellStyle name="Total 2 14" xfId="23154"/>
    <cellStyle name="Total 2 15" xfId="23155"/>
    <cellStyle name="Total 2 2" xfId="23156"/>
    <cellStyle name="Total 2 2 10" xfId="23157"/>
    <cellStyle name="Total 2 2 10 2" xfId="23158"/>
    <cellStyle name="Total 2 2 10 2 2" xfId="23159"/>
    <cellStyle name="Total 2 2 10 2 3" xfId="23160"/>
    <cellStyle name="Total 2 2 10 3" xfId="23161"/>
    <cellStyle name="Total 2 2 10 3 2" xfId="23162"/>
    <cellStyle name="Total 2 2 10 4" xfId="23163"/>
    <cellStyle name="Total 2 2 11" xfId="23164"/>
    <cellStyle name="Total 2 2 11 2" xfId="23165"/>
    <cellStyle name="Total 2 2 11 3" xfId="23166"/>
    <cellStyle name="Total 2 2 12" xfId="23167"/>
    <cellStyle name="Total 2 2 13" xfId="23168"/>
    <cellStyle name="Total 2 2 14" xfId="23169"/>
    <cellStyle name="Total 2 2 2" xfId="23170"/>
    <cellStyle name="Total 2 2 2 2" xfId="23171"/>
    <cellStyle name="Total 2 2 2 2 2" xfId="23172"/>
    <cellStyle name="Total 2 2 2 2 3" xfId="23173"/>
    <cellStyle name="Total 2 2 2 3" xfId="23174"/>
    <cellStyle name="Total 2 2 2 3 2" xfId="23175"/>
    <cellStyle name="Total 2 2 2 4" xfId="23176"/>
    <cellStyle name="Total 2 2 2 5" xfId="23177"/>
    <cellStyle name="Total 2 2 3" xfId="23178"/>
    <cellStyle name="Total 2 2 3 2" xfId="23179"/>
    <cellStyle name="Total 2 2 3 2 2" xfId="23180"/>
    <cellStyle name="Total 2 2 3 2 3" xfId="23181"/>
    <cellStyle name="Total 2 2 3 3" xfId="23182"/>
    <cellStyle name="Total 2 2 3 3 2" xfId="23183"/>
    <cellStyle name="Total 2 2 3 4" xfId="23184"/>
    <cellStyle name="Total 2 2 4" xfId="23185"/>
    <cellStyle name="Total 2 2 4 2" xfId="23186"/>
    <cellStyle name="Total 2 2 4 2 2" xfId="23187"/>
    <cellStyle name="Total 2 2 4 2 3" xfId="23188"/>
    <cellStyle name="Total 2 2 4 3" xfId="23189"/>
    <cellStyle name="Total 2 2 4 3 2" xfId="23190"/>
    <cellStyle name="Total 2 2 4 4" xfId="23191"/>
    <cellStyle name="Total 2 2 5" xfId="23192"/>
    <cellStyle name="Total 2 2 5 2" xfId="23193"/>
    <cellStyle name="Total 2 2 5 2 2" xfId="23194"/>
    <cellStyle name="Total 2 2 5 2 3" xfId="23195"/>
    <cellStyle name="Total 2 2 5 3" xfId="23196"/>
    <cellStyle name="Total 2 2 5 3 2" xfId="23197"/>
    <cellStyle name="Total 2 2 5 4" xfId="23198"/>
    <cellStyle name="Total 2 2 6" xfId="23199"/>
    <cellStyle name="Total 2 2 6 2" xfId="23200"/>
    <cellStyle name="Total 2 2 6 2 2" xfId="23201"/>
    <cellStyle name="Total 2 2 6 2 3" xfId="23202"/>
    <cellStyle name="Total 2 2 6 3" xfId="23203"/>
    <cellStyle name="Total 2 2 6 3 2" xfId="23204"/>
    <cellStyle name="Total 2 2 6 4" xfId="23205"/>
    <cellStyle name="Total 2 2 7" xfId="23206"/>
    <cellStyle name="Total 2 2 7 2" xfId="23207"/>
    <cellStyle name="Total 2 2 7 2 2" xfId="23208"/>
    <cellStyle name="Total 2 2 7 2 3" xfId="23209"/>
    <cellStyle name="Total 2 2 7 3" xfId="23210"/>
    <cellStyle name="Total 2 2 7 3 2" xfId="23211"/>
    <cellStyle name="Total 2 2 7 4" xfId="23212"/>
    <cellStyle name="Total 2 2 8" xfId="23213"/>
    <cellStyle name="Total 2 2 8 2" xfId="23214"/>
    <cellStyle name="Total 2 2 8 2 2" xfId="23215"/>
    <cellStyle name="Total 2 2 8 2 3" xfId="23216"/>
    <cellStyle name="Total 2 2 8 3" xfId="23217"/>
    <cellStyle name="Total 2 2 8 3 2" xfId="23218"/>
    <cellStyle name="Total 2 2 8 4" xfId="23219"/>
    <cellStyle name="Total 2 2 9" xfId="23220"/>
    <cellStyle name="Total 2 2 9 2" xfId="23221"/>
    <cellStyle name="Total 2 2 9 2 2" xfId="23222"/>
    <cellStyle name="Total 2 2 9 2 3" xfId="23223"/>
    <cellStyle name="Total 2 2 9 3" xfId="23224"/>
    <cellStyle name="Total 2 2 9 3 2" xfId="23225"/>
    <cellStyle name="Total 2 2 9 4" xfId="23226"/>
    <cellStyle name="Total 2 3" xfId="23227"/>
    <cellStyle name="Total 2 3 2" xfId="23228"/>
    <cellStyle name="Total 2 3 2 2" xfId="23229"/>
    <cellStyle name="Total 2 3 2 3" xfId="23230"/>
    <cellStyle name="Total 2 3 2 4" xfId="23231"/>
    <cellStyle name="Total 2 3 3" xfId="23232"/>
    <cellStyle name="Total 2 3 3 2" xfId="23233"/>
    <cellStyle name="Total 2 3 4" xfId="23234"/>
    <cellStyle name="Total 2 3 5" xfId="23235"/>
    <cellStyle name="Total 2 4" xfId="23236"/>
    <cellStyle name="Total 2 4 2" xfId="23237"/>
    <cellStyle name="Total 2 4 2 2" xfId="23238"/>
    <cellStyle name="Total 2 4 2 3" xfId="23239"/>
    <cellStyle name="Total 2 4 2 4" xfId="23240"/>
    <cellStyle name="Total 2 4 3" xfId="23241"/>
    <cellStyle name="Total 2 4 3 2" xfId="23242"/>
    <cellStyle name="Total 2 4 4" xfId="23243"/>
    <cellStyle name="Total 2 4 5" xfId="23244"/>
    <cellStyle name="Total 2 5" xfId="23245"/>
    <cellStyle name="Total 2 5 2" xfId="23246"/>
    <cellStyle name="Total 2 5 2 2" xfId="23247"/>
    <cellStyle name="Total 2 5 2 3" xfId="23248"/>
    <cellStyle name="Total 2 5 2 4" xfId="23249"/>
    <cellStyle name="Total 2 5 3" xfId="23250"/>
    <cellStyle name="Total 2 5 3 2" xfId="23251"/>
    <cellStyle name="Total 2 5 4" xfId="23252"/>
    <cellStyle name="Total 2 5 5" xfId="23253"/>
    <cellStyle name="Total 2 6" xfId="23254"/>
    <cellStyle name="Total 2 6 2" xfId="23255"/>
    <cellStyle name="Total 2 6 2 2" xfId="23256"/>
    <cellStyle name="Total 2 6 2 3" xfId="23257"/>
    <cellStyle name="Total 2 6 2 4" xfId="23258"/>
    <cellStyle name="Total 2 6 3" xfId="23259"/>
    <cellStyle name="Total 2 6 3 2" xfId="23260"/>
    <cellStyle name="Total 2 6 4" xfId="23261"/>
    <cellStyle name="Total 2 6 5" xfId="23262"/>
    <cellStyle name="Total 2 7" xfId="23263"/>
    <cellStyle name="Total 2 7 2" xfId="23264"/>
    <cellStyle name="Total 2 7 2 2" xfId="23265"/>
    <cellStyle name="Total 2 7 2 3" xfId="23266"/>
    <cellStyle name="Total 2 7 2 4" xfId="23267"/>
    <cellStyle name="Total 2 7 3" xfId="23268"/>
    <cellStyle name="Total 2 7 3 2" xfId="23269"/>
    <cellStyle name="Total 2 7 4" xfId="23270"/>
    <cellStyle name="Total 2 7 5" xfId="23271"/>
    <cellStyle name="Total 2 8" xfId="23272"/>
    <cellStyle name="Total 2 8 2" xfId="23273"/>
    <cellStyle name="Total 2 8 2 2" xfId="23274"/>
    <cellStyle name="Total 2 8 2 3" xfId="23275"/>
    <cellStyle name="Total 2 8 2 4" xfId="23276"/>
    <cellStyle name="Total 2 8 3" xfId="23277"/>
    <cellStyle name="Total 2 8 3 2" xfId="23278"/>
    <cellStyle name="Total 2 8 3 3" xfId="23279"/>
    <cellStyle name="Total 2 8 4" xfId="23280"/>
    <cellStyle name="Total 2 8 5" xfId="23281"/>
    <cellStyle name="Total 2 9" xfId="23282"/>
    <cellStyle name="Total 2 9 2" xfId="23283"/>
    <cellStyle name="Total 2 9 2 2" xfId="23284"/>
    <cellStyle name="Total 2 9 2 3" xfId="23285"/>
    <cellStyle name="Total 2 9 2 4" xfId="23286"/>
    <cellStyle name="Total 2 9 3" xfId="23287"/>
    <cellStyle name="Total 2 9 3 2" xfId="23288"/>
    <cellStyle name="Total 2 9 3 3" xfId="23289"/>
    <cellStyle name="Total 2 9 4" xfId="23290"/>
    <cellStyle name="Total 2 9 5" xfId="23291"/>
    <cellStyle name="Total 3" xfId="23292"/>
    <cellStyle name="Total 3 10" xfId="23293"/>
    <cellStyle name="Total 3 10 2" xfId="23294"/>
    <cellStyle name="Total 3 10 2 2" xfId="23295"/>
    <cellStyle name="Total 3 10 2 3" xfId="23296"/>
    <cellStyle name="Total 3 10 3" xfId="23297"/>
    <cellStyle name="Total 3 10 3 2" xfId="23298"/>
    <cellStyle name="Total 3 10 4" xfId="23299"/>
    <cellStyle name="Total 3 10 5" xfId="23300"/>
    <cellStyle name="Total 3 10 6" xfId="23301"/>
    <cellStyle name="Total 3 11" xfId="23302"/>
    <cellStyle name="Total 3 11 2" xfId="23303"/>
    <cellStyle name="Total 3 11 2 2" xfId="23304"/>
    <cellStyle name="Total 3 11 2 3" xfId="23305"/>
    <cellStyle name="Total 3 11 3" xfId="23306"/>
    <cellStyle name="Total 3 11 3 2" xfId="23307"/>
    <cellStyle name="Total 3 11 4" xfId="23308"/>
    <cellStyle name="Total 3 11 5" xfId="23309"/>
    <cellStyle name="Total 3 11 6" xfId="23310"/>
    <cellStyle name="Total 3 12" xfId="23311"/>
    <cellStyle name="Total 3 12 2" xfId="23312"/>
    <cellStyle name="Total 3 12 2 2" xfId="23313"/>
    <cellStyle name="Total 3 12 3" xfId="23314"/>
    <cellStyle name="Total 3 12 4" xfId="23315"/>
    <cellStyle name="Total 3 13" xfId="23316"/>
    <cellStyle name="Total 3 13 2" xfId="23317"/>
    <cellStyle name="Total 3 14" xfId="23318"/>
    <cellStyle name="Total 3 15" xfId="23319"/>
    <cellStyle name="Total 3 2" xfId="23320"/>
    <cellStyle name="Total 3 2 10" xfId="23321"/>
    <cellStyle name="Total 3 2 10 2" xfId="23322"/>
    <cellStyle name="Total 3 2 10 2 2" xfId="23323"/>
    <cellStyle name="Total 3 2 10 2 3" xfId="23324"/>
    <cellStyle name="Total 3 2 10 3" xfId="23325"/>
    <cellStyle name="Total 3 2 10 3 2" xfId="23326"/>
    <cellStyle name="Total 3 2 10 4" xfId="23327"/>
    <cellStyle name="Total 3 2 10 5" xfId="23328"/>
    <cellStyle name="Total 3 2 10 6" xfId="23329"/>
    <cellStyle name="Total 3 2 11" xfId="23330"/>
    <cellStyle name="Total 3 2 11 2" xfId="23331"/>
    <cellStyle name="Total 3 2 11 2 2" xfId="23332"/>
    <cellStyle name="Total 3 2 11 3" xfId="23333"/>
    <cellStyle name="Total 3 2 11 4" xfId="23334"/>
    <cellStyle name="Total 3 2 12" xfId="23335"/>
    <cellStyle name="Total 3 2 12 2" xfId="23336"/>
    <cellStyle name="Total 3 2 13" xfId="23337"/>
    <cellStyle name="Total 3 2 14" xfId="23338"/>
    <cellStyle name="Total 3 2 2" xfId="23339"/>
    <cellStyle name="Total 3 2 2 2" xfId="23340"/>
    <cellStyle name="Total 3 2 2 2 2" xfId="23341"/>
    <cellStyle name="Total 3 2 2 2 3" xfId="23342"/>
    <cellStyle name="Total 3 2 2 3" xfId="23343"/>
    <cellStyle name="Total 3 2 2 3 2" xfId="23344"/>
    <cellStyle name="Total 3 2 2 4" xfId="23345"/>
    <cellStyle name="Total 3 2 2 5" xfId="23346"/>
    <cellStyle name="Total 3 2 2 6" xfId="23347"/>
    <cellStyle name="Total 3 2 3" xfId="23348"/>
    <cellStyle name="Total 3 2 3 2" xfId="23349"/>
    <cellStyle name="Total 3 2 3 2 2" xfId="23350"/>
    <cellStyle name="Total 3 2 3 2 3" xfId="23351"/>
    <cellStyle name="Total 3 2 3 3" xfId="23352"/>
    <cellStyle name="Total 3 2 3 3 2" xfId="23353"/>
    <cellStyle name="Total 3 2 3 4" xfId="23354"/>
    <cellStyle name="Total 3 2 3 5" xfId="23355"/>
    <cellStyle name="Total 3 2 3 6" xfId="23356"/>
    <cellStyle name="Total 3 2 4" xfId="23357"/>
    <cellStyle name="Total 3 2 4 2" xfId="23358"/>
    <cellStyle name="Total 3 2 4 2 2" xfId="23359"/>
    <cellStyle name="Total 3 2 4 2 3" xfId="23360"/>
    <cellStyle name="Total 3 2 4 3" xfId="23361"/>
    <cellStyle name="Total 3 2 4 3 2" xfId="23362"/>
    <cellStyle name="Total 3 2 4 4" xfId="23363"/>
    <cellStyle name="Total 3 2 4 5" xfId="23364"/>
    <cellStyle name="Total 3 2 4 6" xfId="23365"/>
    <cellStyle name="Total 3 2 5" xfId="23366"/>
    <cellStyle name="Total 3 2 5 2" xfId="23367"/>
    <cellStyle name="Total 3 2 5 2 2" xfId="23368"/>
    <cellStyle name="Total 3 2 5 2 3" xfId="23369"/>
    <cellStyle name="Total 3 2 5 3" xfId="23370"/>
    <cellStyle name="Total 3 2 5 3 2" xfId="23371"/>
    <cellStyle name="Total 3 2 5 4" xfId="23372"/>
    <cellStyle name="Total 3 2 5 5" xfId="23373"/>
    <cellStyle name="Total 3 2 5 6" xfId="23374"/>
    <cellStyle name="Total 3 2 6" xfId="23375"/>
    <cellStyle name="Total 3 2 6 2" xfId="23376"/>
    <cellStyle name="Total 3 2 6 2 2" xfId="23377"/>
    <cellStyle name="Total 3 2 6 2 3" xfId="23378"/>
    <cellStyle name="Total 3 2 6 3" xfId="23379"/>
    <cellStyle name="Total 3 2 6 3 2" xfId="23380"/>
    <cellStyle name="Total 3 2 6 4" xfId="23381"/>
    <cellStyle name="Total 3 2 6 5" xfId="23382"/>
    <cellStyle name="Total 3 2 6 6" xfId="23383"/>
    <cellStyle name="Total 3 2 7" xfId="23384"/>
    <cellStyle name="Total 3 2 7 2" xfId="23385"/>
    <cellStyle name="Total 3 2 7 2 2" xfId="23386"/>
    <cellStyle name="Total 3 2 7 2 3" xfId="23387"/>
    <cellStyle name="Total 3 2 7 3" xfId="23388"/>
    <cellStyle name="Total 3 2 7 3 2" xfId="23389"/>
    <cellStyle name="Total 3 2 7 4" xfId="23390"/>
    <cellStyle name="Total 3 2 7 5" xfId="23391"/>
    <cellStyle name="Total 3 2 7 6" xfId="23392"/>
    <cellStyle name="Total 3 2 8" xfId="23393"/>
    <cellStyle name="Total 3 2 8 2" xfId="23394"/>
    <cellStyle name="Total 3 2 8 2 2" xfId="23395"/>
    <cellStyle name="Total 3 2 8 2 3" xfId="23396"/>
    <cellStyle name="Total 3 2 8 3" xfId="23397"/>
    <cellStyle name="Total 3 2 8 3 2" xfId="23398"/>
    <cellStyle name="Total 3 2 8 4" xfId="23399"/>
    <cellStyle name="Total 3 2 8 5" xfId="23400"/>
    <cellStyle name="Total 3 2 8 6" xfId="23401"/>
    <cellStyle name="Total 3 2 9" xfId="23402"/>
    <cellStyle name="Total 3 2 9 2" xfId="23403"/>
    <cellStyle name="Total 3 2 9 2 2" xfId="23404"/>
    <cellStyle name="Total 3 2 9 2 3" xfId="23405"/>
    <cellStyle name="Total 3 2 9 3" xfId="23406"/>
    <cellStyle name="Total 3 2 9 3 2" xfId="23407"/>
    <cellStyle name="Total 3 2 9 4" xfId="23408"/>
    <cellStyle name="Total 3 2 9 5" xfId="23409"/>
    <cellStyle name="Total 3 2 9 6" xfId="23410"/>
    <cellStyle name="Total 3 3" xfId="23411"/>
    <cellStyle name="Total 3 3 2" xfId="23412"/>
    <cellStyle name="Total 3 3 2 2" xfId="23413"/>
    <cellStyle name="Total 3 3 2 3" xfId="23414"/>
    <cellStyle name="Total 3 3 3" xfId="23415"/>
    <cellStyle name="Total 3 3 3 2" xfId="23416"/>
    <cellStyle name="Total 3 3 4" xfId="23417"/>
    <cellStyle name="Total 3 3 5" xfId="23418"/>
    <cellStyle name="Total 3 3 6" xfId="23419"/>
    <cellStyle name="Total 3 4" xfId="23420"/>
    <cellStyle name="Total 3 4 2" xfId="23421"/>
    <cellStyle name="Total 3 4 2 2" xfId="23422"/>
    <cellStyle name="Total 3 4 2 3" xfId="23423"/>
    <cellStyle name="Total 3 4 3" xfId="23424"/>
    <cellStyle name="Total 3 4 3 2" xfId="23425"/>
    <cellStyle name="Total 3 4 4" xfId="23426"/>
    <cellStyle name="Total 3 4 5" xfId="23427"/>
    <cellStyle name="Total 3 4 6" xfId="23428"/>
    <cellStyle name="Total 3 5" xfId="23429"/>
    <cellStyle name="Total 3 5 2" xfId="23430"/>
    <cellStyle name="Total 3 5 2 2" xfId="23431"/>
    <cellStyle name="Total 3 5 2 3" xfId="23432"/>
    <cellStyle name="Total 3 5 3" xfId="23433"/>
    <cellStyle name="Total 3 5 3 2" xfId="23434"/>
    <cellStyle name="Total 3 5 4" xfId="23435"/>
    <cellStyle name="Total 3 5 5" xfId="23436"/>
    <cellStyle name="Total 3 5 6" xfId="23437"/>
    <cellStyle name="Total 3 6" xfId="23438"/>
    <cellStyle name="Total 3 6 2" xfId="23439"/>
    <cellStyle name="Total 3 6 2 2" xfId="23440"/>
    <cellStyle name="Total 3 6 2 3" xfId="23441"/>
    <cellStyle name="Total 3 6 3" xfId="23442"/>
    <cellStyle name="Total 3 6 3 2" xfId="23443"/>
    <cellStyle name="Total 3 6 4" xfId="23444"/>
    <cellStyle name="Total 3 6 5" xfId="23445"/>
    <cellStyle name="Total 3 6 6" xfId="23446"/>
    <cellStyle name="Total 3 7" xfId="23447"/>
    <cellStyle name="Total 3 7 2" xfId="23448"/>
    <cellStyle name="Total 3 7 2 2" xfId="23449"/>
    <cellStyle name="Total 3 7 2 3" xfId="23450"/>
    <cellStyle name="Total 3 7 3" xfId="23451"/>
    <cellStyle name="Total 3 7 3 2" xfId="23452"/>
    <cellStyle name="Total 3 7 4" xfId="23453"/>
    <cellStyle name="Total 3 7 5" xfId="23454"/>
    <cellStyle name="Total 3 7 6" xfId="23455"/>
    <cellStyle name="Total 3 8" xfId="23456"/>
    <cellStyle name="Total 3 8 2" xfId="23457"/>
    <cellStyle name="Total 3 8 2 2" xfId="23458"/>
    <cellStyle name="Total 3 8 2 3" xfId="23459"/>
    <cellStyle name="Total 3 8 3" xfId="23460"/>
    <cellStyle name="Total 3 8 3 2" xfId="23461"/>
    <cellStyle name="Total 3 8 4" xfId="23462"/>
    <cellStyle name="Total 3 8 5" xfId="23463"/>
    <cellStyle name="Total 3 8 6" xfId="23464"/>
    <cellStyle name="Total 3 9" xfId="23465"/>
    <cellStyle name="Total 3 9 2" xfId="23466"/>
    <cellStyle name="Total 3 9 2 2" xfId="23467"/>
    <cellStyle name="Total 3 9 2 3" xfId="23468"/>
    <cellStyle name="Total 3 9 3" xfId="23469"/>
    <cellStyle name="Total 3 9 3 2" xfId="23470"/>
    <cellStyle name="Total 3 9 4" xfId="23471"/>
    <cellStyle name="Total 3 9 5" xfId="23472"/>
    <cellStyle name="Total 3 9 6" xfId="23473"/>
    <cellStyle name="Total 4" xfId="23474"/>
    <cellStyle name="Total 4 10" xfId="23475"/>
    <cellStyle name="Total 4 10 2" xfId="23476"/>
    <cellStyle name="Total 4 10 2 2" xfId="23477"/>
    <cellStyle name="Total 4 10 2 3" xfId="23478"/>
    <cellStyle name="Total 4 10 3" xfId="23479"/>
    <cellStyle name="Total 4 10 3 2" xfId="23480"/>
    <cellStyle name="Total 4 10 4" xfId="23481"/>
    <cellStyle name="Total 4 11" xfId="23482"/>
    <cellStyle name="Total 4 11 2" xfId="23483"/>
    <cellStyle name="Total 4 11 3" xfId="23484"/>
    <cellStyle name="Total 4 12" xfId="23485"/>
    <cellStyle name="Total 4 13" xfId="23486"/>
    <cellStyle name="Total 4 2" xfId="23487"/>
    <cellStyle name="Total 4 2 2" xfId="23488"/>
    <cellStyle name="Total 4 2 2 2" xfId="23489"/>
    <cellStyle name="Total 4 2 2 3" xfId="23490"/>
    <cellStyle name="Total 4 2 3" xfId="23491"/>
    <cellStyle name="Total 4 2 3 2" xfId="23492"/>
    <cellStyle name="Total 4 2 4" xfId="23493"/>
    <cellStyle name="Total 4 3" xfId="23494"/>
    <cellStyle name="Total 4 3 2" xfId="23495"/>
    <cellStyle name="Total 4 3 2 2" xfId="23496"/>
    <cellStyle name="Total 4 3 2 3" xfId="23497"/>
    <cellStyle name="Total 4 3 3" xfId="23498"/>
    <cellStyle name="Total 4 3 3 2" xfId="23499"/>
    <cellStyle name="Total 4 3 4" xfId="23500"/>
    <cellStyle name="Total 4 4" xfId="23501"/>
    <cellStyle name="Total 4 4 2" xfId="23502"/>
    <cellStyle name="Total 4 4 2 2" xfId="23503"/>
    <cellStyle name="Total 4 4 2 3" xfId="23504"/>
    <cellStyle name="Total 4 4 3" xfId="23505"/>
    <cellStyle name="Total 4 4 3 2" xfId="23506"/>
    <cellStyle name="Total 4 4 4" xfId="23507"/>
    <cellStyle name="Total 4 5" xfId="23508"/>
    <cellStyle name="Total 4 5 2" xfId="23509"/>
    <cellStyle name="Total 4 5 2 2" xfId="23510"/>
    <cellStyle name="Total 4 5 2 3" xfId="23511"/>
    <cellStyle name="Total 4 5 3" xfId="23512"/>
    <cellStyle name="Total 4 5 3 2" xfId="23513"/>
    <cellStyle name="Total 4 5 4" xfId="23514"/>
    <cellStyle name="Total 4 6" xfId="23515"/>
    <cellStyle name="Total 4 6 2" xfId="23516"/>
    <cellStyle name="Total 4 6 2 2" xfId="23517"/>
    <cellStyle name="Total 4 6 2 3" xfId="23518"/>
    <cellStyle name="Total 4 6 3" xfId="23519"/>
    <cellStyle name="Total 4 6 3 2" xfId="23520"/>
    <cellStyle name="Total 4 6 4" xfId="23521"/>
    <cellStyle name="Total 4 7" xfId="23522"/>
    <cellStyle name="Total 4 7 2" xfId="23523"/>
    <cellStyle name="Total 4 7 2 2" xfId="23524"/>
    <cellStyle name="Total 4 7 2 3" xfId="23525"/>
    <cellStyle name="Total 4 7 3" xfId="23526"/>
    <cellStyle name="Total 4 7 3 2" xfId="23527"/>
    <cellStyle name="Total 4 7 4" xfId="23528"/>
    <cellStyle name="Total 4 8" xfId="23529"/>
    <cellStyle name="Total 4 8 2" xfId="23530"/>
    <cellStyle name="Total 4 8 2 2" xfId="23531"/>
    <cellStyle name="Total 4 8 2 3" xfId="23532"/>
    <cellStyle name="Total 4 8 3" xfId="23533"/>
    <cellStyle name="Total 4 8 3 2" xfId="23534"/>
    <cellStyle name="Total 4 8 4" xfId="23535"/>
    <cellStyle name="Total 4 9" xfId="23536"/>
    <cellStyle name="Total 4 9 2" xfId="23537"/>
    <cellStyle name="Total 4 9 2 2" xfId="23538"/>
    <cellStyle name="Total 4 9 2 3" xfId="23539"/>
    <cellStyle name="Total 4 9 3" xfId="23540"/>
    <cellStyle name="Total 4 9 3 2" xfId="23541"/>
    <cellStyle name="Total 4 9 4" xfId="23542"/>
    <cellStyle name="Total 5" xfId="23543"/>
    <cellStyle name="Total 5 2" xfId="23544"/>
    <cellStyle name="Total 5 2 2" xfId="23545"/>
    <cellStyle name="Total 5 2 3" xfId="23546"/>
    <cellStyle name="Total 5 3" xfId="23547"/>
    <cellStyle name="Total 5 3 2" xfId="23548"/>
    <cellStyle name="Total 5 4" xfId="23549"/>
    <cellStyle name="Total 6" xfId="23550"/>
    <cellStyle name="Total 6 2" xfId="23551"/>
    <cellStyle name="Total 6 2 2" xfId="23552"/>
    <cellStyle name="Total 6 2 3" xfId="23553"/>
    <cellStyle name="Total 6 3" xfId="23554"/>
    <cellStyle name="Total 6 3 2" xfId="23555"/>
    <cellStyle name="Total 6 4" xfId="23556"/>
    <cellStyle name="Total 7" xfId="23557"/>
    <cellStyle name="Total 7 2" xfId="23558"/>
    <cellStyle name="Total 7 2 2" xfId="23559"/>
    <cellStyle name="Total 7 2 3" xfId="23560"/>
    <cellStyle name="Total 7 3" xfId="23561"/>
    <cellStyle name="Total 7 3 2" xfId="23562"/>
    <cellStyle name="Total 7 4" xfId="23563"/>
    <cellStyle name="Total 8" xfId="23564"/>
    <cellStyle name="Total 8 2" xfId="23565"/>
    <cellStyle name="Total 8 2 2" xfId="23566"/>
    <cellStyle name="Total 8 2 3" xfId="23567"/>
    <cellStyle name="Total 8 3" xfId="23568"/>
    <cellStyle name="Total 8 3 2" xfId="23569"/>
    <cellStyle name="Total 8 4" xfId="23570"/>
    <cellStyle name="Total 9" xfId="23571"/>
    <cellStyle name="Total 9 2" xfId="23572"/>
    <cellStyle name="Total 9 2 2" xfId="23573"/>
    <cellStyle name="Total 9 2 3" xfId="23574"/>
    <cellStyle name="Total 9 3" xfId="23575"/>
    <cellStyle name="Total 9 3 2" xfId="23576"/>
    <cellStyle name="Total 9 4" xfId="23577"/>
    <cellStyle name="Tusental (0)_pldt" xfId="23578"/>
    <cellStyle name="Tusental_pldt" xfId="23579"/>
    <cellStyle name="Unprot" xfId="23580"/>
    <cellStyle name="Unprot$" xfId="23581"/>
    <cellStyle name="Unprotect" xfId="23582"/>
    <cellStyle name="Valuta (0)_pldt" xfId="23583"/>
    <cellStyle name="Valuta_pldt" xfId="23584"/>
    <cellStyle name="wafer" xfId="23585"/>
    <cellStyle name="Warning Text 2" xfId="23587"/>
    <cellStyle name="Warning Text 2 2" xfId="23588"/>
    <cellStyle name="Warning Text 3" xfId="23589"/>
    <cellStyle name="Warning Text 3 2" xfId="23590"/>
    <cellStyle name="Warning Text 3 2 2" xfId="23591"/>
    <cellStyle name="Warning Text 4" xfId="23592"/>
    <cellStyle name="Warning Text 5" xfId="23593"/>
    <cellStyle name="Warning Text 6" xfId="23586"/>
    <cellStyle name="weekdays" xfId="23594"/>
    <cellStyle name="weekend" xfId="23595"/>
    <cellStyle name="XLS'|_x0005_t" xfId="23596"/>
    <cellStyle name="XLS'|_x0005_t 2" xfId="23597"/>
    <cellStyle name="y`5_622k" xfId="23598"/>
    <cellStyle name="Α?xls 파일을 저장하시겠습니까?_TO_x000c_?" xfId="23599"/>
    <cellStyle name="ハイパーリンク_Book1 グラフ 22" xfId="23600"/>
    <cellStyle name="遽_laroux" xfId="23601"/>
    <cellStyle name="" xfId="23602"/>
    <cellStyle name=" 2" xfId="23603"/>
    <cellStyle name="" xfId="23604"/>
    <cellStyle name="강조색1 10" xfId="23605"/>
    <cellStyle name="강조색1 11" xfId="23606"/>
    <cellStyle name="강조색1 12" xfId="23607"/>
    <cellStyle name="강조색1 13" xfId="23608"/>
    <cellStyle name="강조색1 14" xfId="23609"/>
    <cellStyle name="강조색1 15" xfId="23610"/>
    <cellStyle name="강조색1 2" xfId="23611"/>
    <cellStyle name="강조색1 2 2" xfId="23612"/>
    <cellStyle name="강조색1 2 2 2" xfId="23613"/>
    <cellStyle name="강조색1 2 3" xfId="23614"/>
    <cellStyle name="강조색1 3" xfId="23615"/>
    <cellStyle name="강조색1 3 2" xfId="23616"/>
    <cellStyle name="강조색1 3 3" xfId="23617"/>
    <cellStyle name="강조색1 4" xfId="23618"/>
    <cellStyle name="강조색1 4 2" xfId="23619"/>
    <cellStyle name="강조색1 5" xfId="23620"/>
    <cellStyle name="강조색1 6" xfId="23621"/>
    <cellStyle name="강조색1 7" xfId="23622"/>
    <cellStyle name="강조색1 8" xfId="23623"/>
    <cellStyle name="강조색1 9" xfId="23624"/>
    <cellStyle name="강조색2 10" xfId="23625"/>
    <cellStyle name="강조색2 11" xfId="23626"/>
    <cellStyle name="강조색2 12" xfId="23627"/>
    <cellStyle name="강조색2 13" xfId="23628"/>
    <cellStyle name="강조색2 14" xfId="23629"/>
    <cellStyle name="강조색2 15" xfId="23630"/>
    <cellStyle name="강조색2 2" xfId="23631"/>
    <cellStyle name="강조색2 2 2" xfId="23632"/>
    <cellStyle name="강조색2 2 2 2" xfId="23633"/>
    <cellStyle name="강조색2 2 3" xfId="23634"/>
    <cellStyle name="강조색2 3" xfId="23635"/>
    <cellStyle name="강조색2 3 2" xfId="23636"/>
    <cellStyle name="강조색2 3 3" xfId="23637"/>
    <cellStyle name="강조색2 4" xfId="23638"/>
    <cellStyle name="강조색2 4 2" xfId="23639"/>
    <cellStyle name="강조색2 5" xfId="23640"/>
    <cellStyle name="강조색2 6" xfId="23641"/>
    <cellStyle name="강조색2 7" xfId="23642"/>
    <cellStyle name="강조색2 8" xfId="23643"/>
    <cellStyle name="강조색2 9" xfId="23644"/>
    <cellStyle name="강조색3 10" xfId="23645"/>
    <cellStyle name="강조색3 11" xfId="23646"/>
    <cellStyle name="강조색3 12" xfId="23647"/>
    <cellStyle name="강조색3 13" xfId="23648"/>
    <cellStyle name="강조색3 14" xfId="23649"/>
    <cellStyle name="강조색3 15" xfId="23650"/>
    <cellStyle name="강조색3 2" xfId="23651"/>
    <cellStyle name="강조색3 2 2" xfId="23652"/>
    <cellStyle name="강조색3 2 2 2" xfId="23653"/>
    <cellStyle name="강조색3 2 3" xfId="23654"/>
    <cellStyle name="강조색3 3" xfId="23655"/>
    <cellStyle name="강조색3 3 2" xfId="23656"/>
    <cellStyle name="강조색3 3 3" xfId="23657"/>
    <cellStyle name="강조색3 4" xfId="23658"/>
    <cellStyle name="강조색3 4 2" xfId="23659"/>
    <cellStyle name="강조색3 5" xfId="23660"/>
    <cellStyle name="강조색3 6" xfId="23661"/>
    <cellStyle name="강조색3 7" xfId="23662"/>
    <cellStyle name="강조색3 8" xfId="23663"/>
    <cellStyle name="강조색3 9" xfId="23664"/>
    <cellStyle name="강조색4 10" xfId="23665"/>
    <cellStyle name="강조색4 11" xfId="23666"/>
    <cellStyle name="강조색4 12" xfId="23667"/>
    <cellStyle name="강조색4 13" xfId="23668"/>
    <cellStyle name="강조색4 14" xfId="23669"/>
    <cellStyle name="강조색4 15" xfId="23670"/>
    <cellStyle name="강조색4 2" xfId="23671"/>
    <cellStyle name="강조색4 2 2" xfId="23672"/>
    <cellStyle name="강조색4 2 2 2" xfId="23673"/>
    <cellStyle name="강조색4 2 3" xfId="23674"/>
    <cellStyle name="강조색4 3" xfId="23675"/>
    <cellStyle name="강조색4 3 2" xfId="23676"/>
    <cellStyle name="강조색4 3 3" xfId="23677"/>
    <cellStyle name="강조색4 4" xfId="23678"/>
    <cellStyle name="강조색4 4 2" xfId="23679"/>
    <cellStyle name="강조색4 5" xfId="23680"/>
    <cellStyle name="강조색4 6" xfId="23681"/>
    <cellStyle name="강조색4 7" xfId="23682"/>
    <cellStyle name="강조색4 8" xfId="23683"/>
    <cellStyle name="강조색4 9" xfId="23684"/>
    <cellStyle name="강조색5 10" xfId="23685"/>
    <cellStyle name="강조색5 11" xfId="23686"/>
    <cellStyle name="강조색5 12" xfId="23687"/>
    <cellStyle name="강조색5 13" xfId="23688"/>
    <cellStyle name="강조색5 14" xfId="23689"/>
    <cellStyle name="강조색5 15" xfId="23690"/>
    <cellStyle name="강조색5 2" xfId="23691"/>
    <cellStyle name="강조색5 2 2" xfId="23692"/>
    <cellStyle name="강조색5 2 2 2" xfId="23693"/>
    <cellStyle name="강조색5 2 3" xfId="23694"/>
    <cellStyle name="강조색5 3" xfId="23695"/>
    <cellStyle name="강조색5 3 2" xfId="23696"/>
    <cellStyle name="강조색5 4" xfId="23697"/>
    <cellStyle name="강조색5 4 2" xfId="23698"/>
    <cellStyle name="강조색5 5" xfId="23699"/>
    <cellStyle name="강조색5 6" xfId="23700"/>
    <cellStyle name="강조색5 7" xfId="23701"/>
    <cellStyle name="강조색5 8" xfId="23702"/>
    <cellStyle name="강조색5 9" xfId="23703"/>
    <cellStyle name="강조색6 10" xfId="23704"/>
    <cellStyle name="강조색6 11" xfId="23705"/>
    <cellStyle name="강조색6 12" xfId="23706"/>
    <cellStyle name="강조색6 13" xfId="23707"/>
    <cellStyle name="강조색6 14" xfId="23708"/>
    <cellStyle name="강조색6 15" xfId="23709"/>
    <cellStyle name="강조색6 2" xfId="23710"/>
    <cellStyle name="강조색6 2 2" xfId="23711"/>
    <cellStyle name="강조색6 2 2 2" xfId="23712"/>
    <cellStyle name="강조색6 2 3" xfId="23713"/>
    <cellStyle name="강조색6 3" xfId="23714"/>
    <cellStyle name="강조색6 3 2" xfId="23715"/>
    <cellStyle name="강조색6 3 3" xfId="23716"/>
    <cellStyle name="강조색6 4" xfId="23717"/>
    <cellStyle name="강조색6 4 2" xfId="23718"/>
    <cellStyle name="강조색6 5" xfId="23719"/>
    <cellStyle name="강조색6 6" xfId="23720"/>
    <cellStyle name="강조색6 7" xfId="23721"/>
    <cellStyle name="강조색6 8" xfId="23722"/>
    <cellStyle name="강조색6 9" xfId="23723"/>
    <cellStyle name="경고문 10" xfId="23724"/>
    <cellStyle name="경고문 11" xfId="23725"/>
    <cellStyle name="경고문 12" xfId="23726"/>
    <cellStyle name="경고문 13" xfId="23727"/>
    <cellStyle name="경고문 14" xfId="23728"/>
    <cellStyle name="경고문 15" xfId="23729"/>
    <cellStyle name="경고문 2" xfId="23730"/>
    <cellStyle name="경고문 2 2" xfId="23731"/>
    <cellStyle name="경고문 2 2 2" xfId="23732"/>
    <cellStyle name="경고문 2 3" xfId="23733"/>
    <cellStyle name="경고문 3" xfId="23734"/>
    <cellStyle name="경고문 3 2" xfId="23735"/>
    <cellStyle name="경고문 4" xfId="23736"/>
    <cellStyle name="경고문 4 2" xfId="23737"/>
    <cellStyle name="경고문 5" xfId="23738"/>
    <cellStyle name="경고문 6" xfId="23739"/>
    <cellStyle name="경고문 7" xfId="23740"/>
    <cellStyle name="경고문 8" xfId="23741"/>
    <cellStyle name="경고문 9" xfId="23742"/>
    <cellStyle name="계산 10" xfId="23743"/>
    <cellStyle name="계산 11" xfId="23744"/>
    <cellStyle name="계산 12" xfId="23745"/>
    <cellStyle name="계산 13" xfId="23746"/>
    <cellStyle name="계산 14" xfId="23747"/>
    <cellStyle name="계산 15" xfId="23748"/>
    <cellStyle name="계산 2" xfId="23749"/>
    <cellStyle name="계산 2 2" xfId="23750"/>
    <cellStyle name="계산 2 2 10" xfId="23751"/>
    <cellStyle name="계산 2 2 10 2" xfId="23752"/>
    <cellStyle name="계산 2 2 10 3" xfId="23753"/>
    <cellStyle name="계산 2 2 11" xfId="23754"/>
    <cellStyle name="계산 2 2 11 2" xfId="23755"/>
    <cellStyle name="계산 2 2 11 3" xfId="23756"/>
    <cellStyle name="계산 2 2 12" xfId="23757"/>
    <cellStyle name="계산 2 2 13" xfId="23758"/>
    <cellStyle name="계산 2 2 14" xfId="23759"/>
    <cellStyle name="계산 2 2 2" xfId="23760"/>
    <cellStyle name="계산 2 2 2 2" xfId="23761"/>
    <cellStyle name="계산 2 2 3" xfId="23762"/>
    <cellStyle name="계산 2 2 3 2" xfId="23763"/>
    <cellStyle name="계산 2 2 4" xfId="23764"/>
    <cellStyle name="계산 2 2 4 2" xfId="23765"/>
    <cellStyle name="계산 2 2 5" xfId="23766"/>
    <cellStyle name="계산 2 2 5 2" xfId="23767"/>
    <cellStyle name="계산 2 2 6" xfId="23768"/>
    <cellStyle name="계산 2 2 6 2" xfId="23769"/>
    <cellStyle name="계산 2 2 7" xfId="23770"/>
    <cellStyle name="계산 2 2 7 2" xfId="23771"/>
    <cellStyle name="계산 2 2 8" xfId="23772"/>
    <cellStyle name="계산 2 2 8 2" xfId="23773"/>
    <cellStyle name="계산 2 2 8 3" xfId="23774"/>
    <cellStyle name="계산 2 2 9" xfId="23775"/>
    <cellStyle name="계산 2 2 9 2" xfId="23776"/>
    <cellStyle name="계산 2 2 9 3" xfId="23777"/>
    <cellStyle name="계산 2 3" xfId="23778"/>
    <cellStyle name="계산 2 4" xfId="23779"/>
    <cellStyle name="계산 3" xfId="23780"/>
    <cellStyle name="계산 3 2" xfId="23781"/>
    <cellStyle name="계산 3 2 10" xfId="23782"/>
    <cellStyle name="계산 3 2 10 2" xfId="23783"/>
    <cellStyle name="계산 3 2 10 3" xfId="23784"/>
    <cellStyle name="계산 3 2 11" xfId="23785"/>
    <cellStyle name="계산 3 2 11 2" xfId="23786"/>
    <cellStyle name="계산 3 2 11 3" xfId="23787"/>
    <cellStyle name="계산 3 2 12" xfId="23788"/>
    <cellStyle name="계산 3 2 13" xfId="23789"/>
    <cellStyle name="계산 3 2 2" xfId="23790"/>
    <cellStyle name="계산 3 2 2 2" xfId="23791"/>
    <cellStyle name="계산 3 2 3" xfId="23792"/>
    <cellStyle name="계산 3 2 3 2" xfId="23793"/>
    <cellStyle name="계산 3 2 4" xfId="23794"/>
    <cellStyle name="계산 3 2 4 2" xfId="23795"/>
    <cellStyle name="계산 3 2 5" xfId="23796"/>
    <cellStyle name="계산 3 2 5 2" xfId="23797"/>
    <cellStyle name="계산 3 2 6" xfId="23798"/>
    <cellStyle name="계산 3 2 6 2" xfId="23799"/>
    <cellStyle name="계산 3 2 7" xfId="23800"/>
    <cellStyle name="계산 3 2 7 2" xfId="23801"/>
    <cellStyle name="계산 3 2 8" xfId="23802"/>
    <cellStyle name="계산 3 2 8 2" xfId="23803"/>
    <cellStyle name="계산 3 2 8 3" xfId="23804"/>
    <cellStyle name="계산 3 2 9" xfId="23805"/>
    <cellStyle name="계산 3 2 9 2" xfId="23806"/>
    <cellStyle name="계산 3 2 9 3" xfId="23807"/>
    <cellStyle name="계산 3 3" xfId="23808"/>
    <cellStyle name="계산 4" xfId="23809"/>
    <cellStyle name="계산 4 2" xfId="23810"/>
    <cellStyle name="계산 5" xfId="23811"/>
    <cellStyle name="계산 6" xfId="23812"/>
    <cellStyle name="계산 7" xfId="23813"/>
    <cellStyle name="계산 8" xfId="23814"/>
    <cellStyle name="계산 9" xfId="23815"/>
    <cellStyle name="고딕" xfId="23816"/>
    <cellStyle name="고정소숫점" xfId="23817"/>
    <cellStyle name="고정소숫점 2" xfId="23818"/>
    <cellStyle name="고정소숫점 2 2" xfId="23819"/>
    <cellStyle name="고정소숫점 3" xfId="23820"/>
    <cellStyle name="고정출력1" xfId="23821"/>
    <cellStyle name="고정출력1 2" xfId="23822"/>
    <cellStyle name="고정출력1 2 2" xfId="23823"/>
    <cellStyle name="고정출력1 3" xfId="23824"/>
    <cellStyle name="고정출력2" xfId="23825"/>
    <cellStyle name="고정출력2 2" xfId="23826"/>
    <cellStyle name="고정출력2 2 2" xfId="23827"/>
    <cellStyle name="고정출력2 3" xfId="23828"/>
    <cellStyle name="궩" xfId="23840"/>
    <cellStyle name="껵_x0003_" xfId="23842"/>
    <cellStyle name="나쁨 10" xfId="23843"/>
    <cellStyle name="나쁨 11" xfId="23844"/>
    <cellStyle name="나쁨 12" xfId="23845"/>
    <cellStyle name="나쁨 13" xfId="23846"/>
    <cellStyle name="나쁨 14" xfId="23847"/>
    <cellStyle name="나쁨 15" xfId="23848"/>
    <cellStyle name="나쁨 2" xfId="23849"/>
    <cellStyle name="나쁨 2 2" xfId="23850"/>
    <cellStyle name="나쁨 2 2 2" xfId="23851"/>
    <cellStyle name="나쁨 2 3" xfId="23852"/>
    <cellStyle name="나쁨 3" xfId="23853"/>
    <cellStyle name="나쁨 3 2" xfId="23854"/>
    <cellStyle name="나쁨 3 3" xfId="23855"/>
    <cellStyle name="나쁨 4" xfId="23856"/>
    <cellStyle name="나쁨 4 2" xfId="23857"/>
    <cellStyle name="나쁨 5" xfId="23858"/>
    <cellStyle name="나쁨 6" xfId="23859"/>
    <cellStyle name="나쁨 7" xfId="23860"/>
    <cellStyle name="나쁨 8" xfId="23861"/>
    <cellStyle name="나쁨 9" xfId="23862"/>
    <cellStyle name="날짜" xfId="23863"/>
    <cellStyle name="날짜 2" xfId="23864"/>
    <cellStyle name="날짜 2 2" xfId="23865"/>
    <cellStyle name="날짜 3" xfId="23866"/>
    <cellStyle name="달러" xfId="23869"/>
    <cellStyle name="달러 2" xfId="23870"/>
    <cellStyle name="달러 2 2" xfId="23871"/>
    <cellStyle name="달러 3" xfId="23872"/>
    <cellStyle name="뒤에 오는 하이퍼링크" xfId="23873"/>
    <cellStyle name="뒤에 오는 하이퍼링크 2" xfId="23874"/>
    <cellStyle name="뒤에 오는 하이퍼링크 2 2" xfId="23875"/>
    <cellStyle name="뒤에 오는 하이퍼링크 3" xfId="23876"/>
    <cellStyle name="뒤에 오는 하이퍼링크 4" xfId="23877"/>
    <cellStyle name="똿떓죶Ø괻 [0.00]_PRODUCT DETAIL Q1" xfId="23878"/>
    <cellStyle name="똿떓죶Ø괻_PRODUCT DETAIL Q1" xfId="23879"/>
    <cellStyle name="똿뗦먛귟 [0.00]_NT Server " xfId="23880"/>
    <cellStyle name="똿뗦먛귟_NT Server " xfId="23881"/>
    <cellStyle name="메모 10" xfId="23882"/>
    <cellStyle name="메모 10 2" xfId="23883"/>
    <cellStyle name="메모 10 3" xfId="23884"/>
    <cellStyle name="메모 11" xfId="23885"/>
    <cellStyle name="메모 11 2" xfId="23886"/>
    <cellStyle name="메모 11 3" xfId="23887"/>
    <cellStyle name="메모 12" xfId="23888"/>
    <cellStyle name="메모 12 2" xfId="23889"/>
    <cellStyle name="메모 12 3" xfId="23890"/>
    <cellStyle name="메모 13" xfId="23891"/>
    <cellStyle name="메모 13 2" xfId="23892"/>
    <cellStyle name="메모 13 3" xfId="23893"/>
    <cellStyle name="메모 14" xfId="23894"/>
    <cellStyle name="메모 14 2" xfId="23895"/>
    <cellStyle name="메모 14 3" xfId="23896"/>
    <cellStyle name="메모 15" xfId="23897"/>
    <cellStyle name="메모 15 2" xfId="23898"/>
    <cellStyle name="메모 15 3" xfId="23899"/>
    <cellStyle name="메모 16" xfId="23900"/>
    <cellStyle name="메모 16 2" xfId="23901"/>
    <cellStyle name="메모 17" xfId="23902"/>
    <cellStyle name="메모 17 2" xfId="23903"/>
    <cellStyle name="메모 18" xfId="23904"/>
    <cellStyle name="메모 18 2" xfId="23905"/>
    <cellStyle name="메모 19" xfId="23906"/>
    <cellStyle name="메모 19 2" xfId="23907"/>
    <cellStyle name="메모 2" xfId="23908"/>
    <cellStyle name="메모 2 10" xfId="23909"/>
    <cellStyle name="메모 2 11" xfId="23910"/>
    <cellStyle name="메모 2 12" xfId="23911"/>
    <cellStyle name="메모 2 13" xfId="23912"/>
    <cellStyle name="메모 2 14" xfId="23913"/>
    <cellStyle name="메모 2 15" xfId="23914"/>
    <cellStyle name="메모 2 16" xfId="23915"/>
    <cellStyle name="메모 2 16 2" xfId="23916"/>
    <cellStyle name="메모 2 16 3" xfId="23917"/>
    <cellStyle name="메모 2 17" xfId="23918"/>
    <cellStyle name="메모 2 18" xfId="23919"/>
    <cellStyle name="메모 2 19" xfId="23920"/>
    <cellStyle name="메모 2 2" xfId="23921"/>
    <cellStyle name="메모 2 2 10" xfId="23922"/>
    <cellStyle name="메모 2 2 10 2" xfId="23923"/>
    <cellStyle name="메모 2 2 10 3" xfId="23924"/>
    <cellStyle name="메모 2 2 11" xfId="23925"/>
    <cellStyle name="메모 2 2 11 2" xfId="23926"/>
    <cellStyle name="메모 2 2 11 3" xfId="23927"/>
    <cellStyle name="메모 2 2 12" xfId="23928"/>
    <cellStyle name="메모 2 2 13" xfId="23929"/>
    <cellStyle name="메모 2 2 14" xfId="23930"/>
    <cellStyle name="메모 2 2 15" xfId="23931"/>
    <cellStyle name="메모 2 2 2" xfId="23932"/>
    <cellStyle name="메모 2 2 2 2" xfId="23933"/>
    <cellStyle name="메모 2 2 2 2 2" xfId="23934"/>
    <cellStyle name="메모 2 2 2 2 3" xfId="23935"/>
    <cellStyle name="메모 2 2 2 3" xfId="23936"/>
    <cellStyle name="메모 2 2 2 4" xfId="23937"/>
    <cellStyle name="메모 2 2 2 5" xfId="23938"/>
    <cellStyle name="메모 2 2 3" xfId="23939"/>
    <cellStyle name="메모 2 2 3 2" xfId="23940"/>
    <cellStyle name="메모 2 2 3 3" xfId="23941"/>
    <cellStyle name="메모 2 2 4" xfId="23942"/>
    <cellStyle name="메모 2 2 4 2" xfId="23943"/>
    <cellStyle name="메모 2 2 5" xfId="23944"/>
    <cellStyle name="메모 2 2 5 2" xfId="23945"/>
    <cellStyle name="메모 2 2 6" xfId="23946"/>
    <cellStyle name="메모 2 2 6 2" xfId="23947"/>
    <cellStyle name="메모 2 2 7" xfId="23948"/>
    <cellStyle name="메모 2 2 7 2" xfId="23949"/>
    <cellStyle name="메모 2 2 8" xfId="23950"/>
    <cellStyle name="메모 2 2 8 2" xfId="23951"/>
    <cellStyle name="메모 2 2 8 3" xfId="23952"/>
    <cellStyle name="메모 2 2 9" xfId="23953"/>
    <cellStyle name="메모 2 2 9 2" xfId="23954"/>
    <cellStyle name="메모 2 2 9 3" xfId="23955"/>
    <cellStyle name="메모 2 3" xfId="23956"/>
    <cellStyle name="메모 2 3 2" xfId="23957"/>
    <cellStyle name="메모 2 3 2 2" xfId="23958"/>
    <cellStyle name="메모 2 3 2 2 2" xfId="23959"/>
    <cellStyle name="메모 2 3 2 2 3" xfId="23960"/>
    <cellStyle name="메모 2 3 2 3" xfId="23961"/>
    <cellStyle name="메모 2 3 2 4" xfId="23962"/>
    <cellStyle name="메모 2 3 2 5" xfId="23963"/>
    <cellStyle name="메모 2 3 3" xfId="23964"/>
    <cellStyle name="메모 2 4" xfId="23965"/>
    <cellStyle name="메모 2 4 2" xfId="23966"/>
    <cellStyle name="메모 2 4 2 2" xfId="23967"/>
    <cellStyle name="메모 2 4 2 2 2" xfId="23968"/>
    <cellStyle name="메모 2 4 2 2 3" xfId="23969"/>
    <cellStyle name="메모 2 4 2 3" xfId="23970"/>
    <cellStyle name="메모 2 4 2 4" xfId="23971"/>
    <cellStyle name="메모 2 4 2 5" xfId="23972"/>
    <cellStyle name="메모 2 4 3" xfId="23973"/>
    <cellStyle name="메모 2 5" xfId="23974"/>
    <cellStyle name="메모 2 6" xfId="23975"/>
    <cellStyle name="메모 2 7" xfId="23976"/>
    <cellStyle name="메모 2 8" xfId="23977"/>
    <cellStyle name="메모 2 9" xfId="23978"/>
    <cellStyle name="메모 20" xfId="23979"/>
    <cellStyle name="메모 20 2" xfId="23980"/>
    <cellStyle name="메모 21" xfId="23981"/>
    <cellStyle name="메모 21 2" xfId="23982"/>
    <cellStyle name="메모 22" xfId="23983"/>
    <cellStyle name="메모 22 2" xfId="23984"/>
    <cellStyle name="메모 23" xfId="23985"/>
    <cellStyle name="메모 23 2" xfId="23986"/>
    <cellStyle name="메모 24" xfId="23987"/>
    <cellStyle name="메모 24 2" xfId="23988"/>
    <cellStyle name="메모 25" xfId="23989"/>
    <cellStyle name="메모 25 2" xfId="23990"/>
    <cellStyle name="메모 26" xfId="23991"/>
    <cellStyle name="메모 26 2" xfId="23992"/>
    <cellStyle name="메모 27" xfId="23993"/>
    <cellStyle name="메모 28" xfId="23994"/>
    <cellStyle name="메모 29" xfId="23995"/>
    <cellStyle name="메모 3" xfId="23996"/>
    <cellStyle name="메모 3 10" xfId="23997"/>
    <cellStyle name="메모 3 10 2" xfId="23998"/>
    <cellStyle name="메모 3 10 2 2" xfId="23999"/>
    <cellStyle name="메모 3 10 2 2 2" xfId="24000"/>
    <cellStyle name="메모 3 10 2 2 3" xfId="24001"/>
    <cellStyle name="메모 3 10 2 3" xfId="24002"/>
    <cellStyle name="메모 3 10 2 4" xfId="24003"/>
    <cellStyle name="메모 3 10 3" xfId="24004"/>
    <cellStyle name="메모 3 10 3 2" xfId="24005"/>
    <cellStyle name="메모 3 10 3 3" xfId="24006"/>
    <cellStyle name="메모 3 10 4" xfId="24007"/>
    <cellStyle name="메모 3 10 5" xfId="24008"/>
    <cellStyle name="메모 3 11" xfId="24009"/>
    <cellStyle name="메모 3 11 2" xfId="24010"/>
    <cellStyle name="메모 3 11 2 2" xfId="24011"/>
    <cellStyle name="메모 3 11 2 3" xfId="24012"/>
    <cellStyle name="메모 3 11 3" xfId="24013"/>
    <cellStyle name="메모 3 11 4" xfId="24014"/>
    <cellStyle name="메모 3 12" xfId="24015"/>
    <cellStyle name="메모 3 12 2" xfId="24016"/>
    <cellStyle name="메모 3 12 3" xfId="24017"/>
    <cellStyle name="메모 3 13" xfId="24018"/>
    <cellStyle name="메모 3 14" xfId="24019"/>
    <cellStyle name="메모 3 15" xfId="24020"/>
    <cellStyle name="메모 3 16" xfId="24021"/>
    <cellStyle name="메모 3 2" xfId="24022"/>
    <cellStyle name="메모 3 2 10" xfId="24023"/>
    <cellStyle name="메모 3 2 10 2" xfId="24024"/>
    <cellStyle name="메모 3 2 10 2 2" xfId="24025"/>
    <cellStyle name="메모 3 2 10 2 3" xfId="24026"/>
    <cellStyle name="메모 3 2 10 3" xfId="24027"/>
    <cellStyle name="메모 3 2 10 4" xfId="24028"/>
    <cellStyle name="메모 3 2 11" xfId="24029"/>
    <cellStyle name="메모 3 2 11 2" xfId="24030"/>
    <cellStyle name="메모 3 2 11 3" xfId="24031"/>
    <cellStyle name="메모 3 2 12" xfId="24032"/>
    <cellStyle name="메모 3 2 13" xfId="24033"/>
    <cellStyle name="메모 3 2 14" xfId="24034"/>
    <cellStyle name="메모 3 2 15" xfId="24035"/>
    <cellStyle name="메모 3 2 2" xfId="24036"/>
    <cellStyle name="메모 3 2 2 10" xfId="24037"/>
    <cellStyle name="메모 3 2 2 11" xfId="24038"/>
    <cellStyle name="메모 3 2 2 12" xfId="24039"/>
    <cellStyle name="메모 3 2 2 2" xfId="24040"/>
    <cellStyle name="메모 3 2 2 2 2" xfId="24041"/>
    <cellStyle name="메모 3 2 2 2 2 2" xfId="24042"/>
    <cellStyle name="메모 3 2 2 2 2 2 2" xfId="24043"/>
    <cellStyle name="메모 3 2 2 2 2 2 2 2" xfId="24044"/>
    <cellStyle name="메모 3 2 2 2 2 2 2 3" xfId="24045"/>
    <cellStyle name="메모 3 2 2 2 2 2 3" xfId="24046"/>
    <cellStyle name="메모 3 2 2 2 2 2 4" xfId="24047"/>
    <cellStyle name="메모 3 2 2 2 2 3" xfId="24048"/>
    <cellStyle name="메모 3 2 2 2 2 3 2" xfId="24049"/>
    <cellStyle name="메모 3 2 2 2 2 3 3" xfId="24050"/>
    <cellStyle name="메모 3 2 2 2 2 4" xfId="24051"/>
    <cellStyle name="메모 3 2 2 2 2 5" xfId="24052"/>
    <cellStyle name="메모 3 2 2 2 3" xfId="24053"/>
    <cellStyle name="메모 3 2 2 2 3 2" xfId="24054"/>
    <cellStyle name="메모 3 2 2 2 3 2 2" xfId="24055"/>
    <cellStyle name="메모 3 2 2 2 3 2 2 2" xfId="24056"/>
    <cellStyle name="메모 3 2 2 2 3 2 2 3" xfId="24057"/>
    <cellStyle name="메모 3 2 2 2 3 2 3" xfId="24058"/>
    <cellStyle name="메모 3 2 2 2 3 2 4" xfId="24059"/>
    <cellStyle name="메모 3 2 2 2 3 3" xfId="24060"/>
    <cellStyle name="메모 3 2 2 2 3 3 2" xfId="24061"/>
    <cellStyle name="메모 3 2 2 2 3 3 3" xfId="24062"/>
    <cellStyle name="메모 3 2 2 2 3 4" xfId="24063"/>
    <cellStyle name="메모 3 2 2 2 3 5" xfId="24064"/>
    <cellStyle name="메모 3 2 2 2 4" xfId="24065"/>
    <cellStyle name="메모 3 2 2 2 4 2" xfId="24066"/>
    <cellStyle name="메모 3 2 2 2 4 2 2" xfId="24067"/>
    <cellStyle name="메모 3 2 2 2 4 2 3" xfId="24068"/>
    <cellStyle name="메모 3 2 2 2 4 3" xfId="24069"/>
    <cellStyle name="메모 3 2 2 2 4 4" xfId="24070"/>
    <cellStyle name="메모 3 2 2 2 5" xfId="24071"/>
    <cellStyle name="메모 3 2 2 2 5 2" xfId="24072"/>
    <cellStyle name="메모 3 2 2 2 5 3" xfId="24073"/>
    <cellStyle name="메모 3 2 2 2 6" xfId="24074"/>
    <cellStyle name="메모 3 2 2 2 7" xfId="24075"/>
    <cellStyle name="메모 3 2 2 3" xfId="24076"/>
    <cellStyle name="메모 3 2 2 3 2" xfId="24077"/>
    <cellStyle name="메모 3 2 2 3 2 2" xfId="24078"/>
    <cellStyle name="메모 3 2 2 3 2 2 2" xfId="24079"/>
    <cellStyle name="메모 3 2 2 3 2 2 2 2" xfId="24080"/>
    <cellStyle name="메모 3 2 2 3 2 2 2 3" xfId="24081"/>
    <cellStyle name="메모 3 2 2 3 2 2 3" xfId="24082"/>
    <cellStyle name="메모 3 2 2 3 2 2 4" xfId="24083"/>
    <cellStyle name="메모 3 2 2 3 2 3" xfId="24084"/>
    <cellStyle name="메모 3 2 2 3 2 3 2" xfId="24085"/>
    <cellStyle name="메모 3 2 2 3 2 3 3" xfId="24086"/>
    <cellStyle name="메모 3 2 2 3 2 4" xfId="24087"/>
    <cellStyle name="메모 3 2 2 3 2 5" xfId="24088"/>
    <cellStyle name="메모 3 2 2 3 3" xfId="24089"/>
    <cellStyle name="메모 3 2 2 3 3 2" xfId="24090"/>
    <cellStyle name="메모 3 2 2 3 3 2 2" xfId="24091"/>
    <cellStyle name="메모 3 2 2 3 3 2 2 2" xfId="24092"/>
    <cellStyle name="메모 3 2 2 3 3 2 2 3" xfId="24093"/>
    <cellStyle name="메모 3 2 2 3 3 2 3" xfId="24094"/>
    <cellStyle name="메모 3 2 2 3 3 2 4" xfId="24095"/>
    <cellStyle name="메모 3 2 2 3 3 3" xfId="24096"/>
    <cellStyle name="메모 3 2 2 3 3 3 2" xfId="24097"/>
    <cellStyle name="메모 3 2 2 3 3 3 3" xfId="24098"/>
    <cellStyle name="메모 3 2 2 3 3 4" xfId="24099"/>
    <cellStyle name="메모 3 2 2 3 3 5" xfId="24100"/>
    <cellStyle name="메모 3 2 2 3 4" xfId="24101"/>
    <cellStyle name="메모 3 2 2 3 4 2" xfId="24102"/>
    <cellStyle name="메모 3 2 2 3 4 2 2" xfId="24103"/>
    <cellStyle name="메모 3 2 2 3 4 2 3" xfId="24104"/>
    <cellStyle name="메모 3 2 2 3 4 3" xfId="24105"/>
    <cellStyle name="메모 3 2 2 3 4 4" xfId="24106"/>
    <cellStyle name="메모 3 2 2 3 5" xfId="24107"/>
    <cellStyle name="메모 3 2 2 3 5 2" xfId="24108"/>
    <cellStyle name="메모 3 2 2 3 5 3" xfId="24109"/>
    <cellStyle name="메모 3 2 2 3 6" xfId="24110"/>
    <cellStyle name="메모 3 2 2 3 7" xfId="24111"/>
    <cellStyle name="메모 3 2 2 4" xfId="24112"/>
    <cellStyle name="메모 3 2 2 4 2" xfId="24113"/>
    <cellStyle name="메모 3 2 2 4 2 2" xfId="24114"/>
    <cellStyle name="메모 3 2 2 4 2 2 2" xfId="24115"/>
    <cellStyle name="메모 3 2 2 4 2 2 3" xfId="24116"/>
    <cellStyle name="메모 3 2 2 4 2 3" xfId="24117"/>
    <cellStyle name="메모 3 2 2 4 2 4" xfId="24118"/>
    <cellStyle name="메모 3 2 2 4 3" xfId="24119"/>
    <cellStyle name="메모 3 2 2 4 3 2" xfId="24120"/>
    <cellStyle name="메모 3 2 2 4 3 3" xfId="24121"/>
    <cellStyle name="메모 3 2 2 4 4" xfId="24122"/>
    <cellStyle name="메모 3 2 2 4 5" xfId="24123"/>
    <cellStyle name="메모 3 2 2 5" xfId="24124"/>
    <cellStyle name="메모 3 2 2 5 2" xfId="24125"/>
    <cellStyle name="메모 3 2 2 5 2 2" xfId="24126"/>
    <cellStyle name="메모 3 2 2 5 2 2 2" xfId="24127"/>
    <cellStyle name="메모 3 2 2 5 2 2 3" xfId="24128"/>
    <cellStyle name="메모 3 2 2 5 2 3" xfId="24129"/>
    <cellStyle name="메모 3 2 2 5 2 4" xfId="24130"/>
    <cellStyle name="메모 3 2 2 5 3" xfId="24131"/>
    <cellStyle name="메모 3 2 2 5 3 2" xfId="24132"/>
    <cellStyle name="메모 3 2 2 5 3 3" xfId="24133"/>
    <cellStyle name="메모 3 2 2 5 4" xfId="24134"/>
    <cellStyle name="메모 3 2 2 5 5" xfId="24135"/>
    <cellStyle name="메모 3 2 2 6" xfId="24136"/>
    <cellStyle name="메모 3 2 2 6 2" xfId="24137"/>
    <cellStyle name="메모 3 2 2 6 2 2" xfId="24138"/>
    <cellStyle name="메모 3 2 2 6 2 2 2" xfId="24139"/>
    <cellStyle name="메모 3 2 2 6 2 2 3" xfId="24140"/>
    <cellStyle name="메모 3 2 2 6 2 3" xfId="24141"/>
    <cellStyle name="메모 3 2 2 6 2 4" xfId="24142"/>
    <cellStyle name="메모 3 2 2 6 3" xfId="24143"/>
    <cellStyle name="메모 3 2 2 6 3 2" xfId="24144"/>
    <cellStyle name="메모 3 2 2 6 3 3" xfId="24145"/>
    <cellStyle name="메모 3 2 2 6 4" xfId="24146"/>
    <cellStyle name="메모 3 2 2 6 5" xfId="24147"/>
    <cellStyle name="메모 3 2 2 7" xfId="24148"/>
    <cellStyle name="메모 3 2 2 7 2" xfId="24149"/>
    <cellStyle name="메모 3 2 2 7 2 2" xfId="24150"/>
    <cellStyle name="메모 3 2 2 7 2 3" xfId="24151"/>
    <cellStyle name="메모 3 2 2 7 3" xfId="24152"/>
    <cellStyle name="메모 3 2 2 7 4" xfId="24153"/>
    <cellStyle name="메모 3 2 2 8" xfId="24154"/>
    <cellStyle name="메모 3 2 2 8 2" xfId="24155"/>
    <cellStyle name="메모 3 2 2 8 3" xfId="24156"/>
    <cellStyle name="메모 3 2 2 9" xfId="24157"/>
    <cellStyle name="메모 3 2 3" xfId="24158"/>
    <cellStyle name="메모 3 2 3 10" xfId="24159"/>
    <cellStyle name="메모 3 2 3 2" xfId="24160"/>
    <cellStyle name="메모 3 2 3 2 2" xfId="24161"/>
    <cellStyle name="메모 3 2 3 2 2 2" xfId="24162"/>
    <cellStyle name="메모 3 2 3 2 2 2 2" xfId="24163"/>
    <cellStyle name="메모 3 2 3 2 2 2 2 2" xfId="24164"/>
    <cellStyle name="메모 3 2 3 2 2 2 2 3" xfId="24165"/>
    <cellStyle name="메모 3 2 3 2 2 2 3" xfId="24166"/>
    <cellStyle name="메모 3 2 3 2 2 2 4" xfId="24167"/>
    <cellStyle name="메모 3 2 3 2 2 3" xfId="24168"/>
    <cellStyle name="메모 3 2 3 2 2 3 2" xfId="24169"/>
    <cellStyle name="메모 3 2 3 2 2 3 3" xfId="24170"/>
    <cellStyle name="메모 3 2 3 2 2 4" xfId="24171"/>
    <cellStyle name="메모 3 2 3 2 2 5" xfId="24172"/>
    <cellStyle name="메모 3 2 3 2 3" xfId="24173"/>
    <cellStyle name="메모 3 2 3 2 3 2" xfId="24174"/>
    <cellStyle name="메모 3 2 3 2 3 2 2" xfId="24175"/>
    <cellStyle name="메모 3 2 3 2 3 2 2 2" xfId="24176"/>
    <cellStyle name="메모 3 2 3 2 3 2 2 3" xfId="24177"/>
    <cellStyle name="메모 3 2 3 2 3 2 3" xfId="24178"/>
    <cellStyle name="메모 3 2 3 2 3 2 4" xfId="24179"/>
    <cellStyle name="메모 3 2 3 2 3 3" xfId="24180"/>
    <cellStyle name="메모 3 2 3 2 3 3 2" xfId="24181"/>
    <cellStyle name="메모 3 2 3 2 3 3 3" xfId="24182"/>
    <cellStyle name="메모 3 2 3 2 3 4" xfId="24183"/>
    <cellStyle name="메모 3 2 3 2 3 5" xfId="24184"/>
    <cellStyle name="메모 3 2 3 2 4" xfId="24185"/>
    <cellStyle name="메모 3 2 3 2 4 2" xfId="24186"/>
    <cellStyle name="메모 3 2 3 2 4 2 2" xfId="24187"/>
    <cellStyle name="메모 3 2 3 2 4 2 3" xfId="24188"/>
    <cellStyle name="메모 3 2 3 2 4 3" xfId="24189"/>
    <cellStyle name="메모 3 2 3 2 4 4" xfId="24190"/>
    <cellStyle name="메모 3 2 3 2 5" xfId="24191"/>
    <cellStyle name="메모 3 2 3 2 5 2" xfId="24192"/>
    <cellStyle name="메모 3 2 3 2 5 3" xfId="24193"/>
    <cellStyle name="메모 3 2 3 2 6" xfId="24194"/>
    <cellStyle name="메모 3 2 3 2 7" xfId="24195"/>
    <cellStyle name="메모 3 2 3 3" xfId="24196"/>
    <cellStyle name="메모 3 2 3 3 2" xfId="24197"/>
    <cellStyle name="메모 3 2 3 3 2 2" xfId="24198"/>
    <cellStyle name="메모 3 2 3 3 2 2 2" xfId="24199"/>
    <cellStyle name="메모 3 2 3 3 2 2 2 2" xfId="24200"/>
    <cellStyle name="메모 3 2 3 3 2 2 2 3" xfId="24201"/>
    <cellStyle name="메모 3 2 3 3 2 2 3" xfId="24202"/>
    <cellStyle name="메모 3 2 3 3 2 2 4" xfId="24203"/>
    <cellStyle name="메모 3 2 3 3 2 3" xfId="24204"/>
    <cellStyle name="메모 3 2 3 3 2 3 2" xfId="24205"/>
    <cellStyle name="메모 3 2 3 3 2 3 3" xfId="24206"/>
    <cellStyle name="메모 3 2 3 3 2 4" xfId="24207"/>
    <cellStyle name="메모 3 2 3 3 2 5" xfId="24208"/>
    <cellStyle name="메모 3 2 3 3 3" xfId="24209"/>
    <cellStyle name="메모 3 2 3 3 3 2" xfId="24210"/>
    <cellStyle name="메모 3 2 3 3 3 2 2" xfId="24211"/>
    <cellStyle name="메모 3 2 3 3 3 2 2 2" xfId="24212"/>
    <cellStyle name="메모 3 2 3 3 3 2 2 3" xfId="24213"/>
    <cellStyle name="메모 3 2 3 3 3 2 3" xfId="24214"/>
    <cellStyle name="메모 3 2 3 3 3 2 4" xfId="24215"/>
    <cellStyle name="메모 3 2 3 3 3 3" xfId="24216"/>
    <cellStyle name="메모 3 2 3 3 3 3 2" xfId="24217"/>
    <cellStyle name="메모 3 2 3 3 3 3 3" xfId="24218"/>
    <cellStyle name="메모 3 2 3 3 3 4" xfId="24219"/>
    <cellStyle name="메모 3 2 3 3 3 5" xfId="24220"/>
    <cellStyle name="메모 3 2 3 3 4" xfId="24221"/>
    <cellStyle name="메모 3 2 3 3 4 2" xfId="24222"/>
    <cellStyle name="메모 3 2 3 3 4 2 2" xfId="24223"/>
    <cellStyle name="메모 3 2 3 3 4 2 3" xfId="24224"/>
    <cellStyle name="메모 3 2 3 3 4 3" xfId="24225"/>
    <cellStyle name="메모 3 2 3 3 4 4" xfId="24226"/>
    <cellStyle name="메모 3 2 3 3 5" xfId="24227"/>
    <cellStyle name="메모 3 2 3 3 5 2" xfId="24228"/>
    <cellStyle name="메모 3 2 3 3 5 3" xfId="24229"/>
    <cellStyle name="메모 3 2 3 3 6" xfId="24230"/>
    <cellStyle name="메모 3 2 3 3 7" xfId="24231"/>
    <cellStyle name="메모 3 2 3 4" xfId="24232"/>
    <cellStyle name="메모 3 2 3 4 2" xfId="24233"/>
    <cellStyle name="메모 3 2 3 4 2 2" xfId="24234"/>
    <cellStyle name="메모 3 2 3 4 2 2 2" xfId="24235"/>
    <cellStyle name="메모 3 2 3 4 2 2 3" xfId="24236"/>
    <cellStyle name="메모 3 2 3 4 2 3" xfId="24237"/>
    <cellStyle name="메모 3 2 3 4 2 4" xfId="24238"/>
    <cellStyle name="메모 3 2 3 4 3" xfId="24239"/>
    <cellStyle name="메모 3 2 3 4 3 2" xfId="24240"/>
    <cellStyle name="메모 3 2 3 4 3 3" xfId="24241"/>
    <cellStyle name="메모 3 2 3 4 4" xfId="24242"/>
    <cellStyle name="메모 3 2 3 4 5" xfId="24243"/>
    <cellStyle name="메모 3 2 3 5" xfId="24244"/>
    <cellStyle name="메모 3 2 3 5 2" xfId="24245"/>
    <cellStyle name="메모 3 2 3 5 2 2" xfId="24246"/>
    <cellStyle name="메모 3 2 3 5 2 2 2" xfId="24247"/>
    <cellStyle name="메모 3 2 3 5 2 2 3" xfId="24248"/>
    <cellStyle name="메모 3 2 3 5 2 3" xfId="24249"/>
    <cellStyle name="메모 3 2 3 5 2 4" xfId="24250"/>
    <cellStyle name="메모 3 2 3 5 3" xfId="24251"/>
    <cellStyle name="메모 3 2 3 5 3 2" xfId="24252"/>
    <cellStyle name="메모 3 2 3 5 3 3" xfId="24253"/>
    <cellStyle name="메모 3 2 3 5 4" xfId="24254"/>
    <cellStyle name="메모 3 2 3 5 5" xfId="24255"/>
    <cellStyle name="메모 3 2 3 6" xfId="24256"/>
    <cellStyle name="메모 3 2 3 6 2" xfId="24257"/>
    <cellStyle name="메모 3 2 3 6 2 2" xfId="24258"/>
    <cellStyle name="메모 3 2 3 6 2 2 2" xfId="24259"/>
    <cellStyle name="메모 3 2 3 6 2 2 3" xfId="24260"/>
    <cellStyle name="메모 3 2 3 6 2 3" xfId="24261"/>
    <cellStyle name="메모 3 2 3 6 2 4" xfId="24262"/>
    <cellStyle name="메모 3 2 3 6 3" xfId="24263"/>
    <cellStyle name="메모 3 2 3 6 3 2" xfId="24264"/>
    <cellStyle name="메모 3 2 3 6 3 3" xfId="24265"/>
    <cellStyle name="메모 3 2 3 6 4" xfId="24266"/>
    <cellStyle name="메모 3 2 3 6 5" xfId="24267"/>
    <cellStyle name="메모 3 2 3 7" xfId="24268"/>
    <cellStyle name="메모 3 2 3 7 2" xfId="24269"/>
    <cellStyle name="메모 3 2 3 7 2 2" xfId="24270"/>
    <cellStyle name="메모 3 2 3 7 2 3" xfId="24271"/>
    <cellStyle name="메모 3 2 3 7 3" xfId="24272"/>
    <cellStyle name="메모 3 2 3 7 4" xfId="24273"/>
    <cellStyle name="메모 3 2 3 8" xfId="24274"/>
    <cellStyle name="메모 3 2 3 8 2" xfId="24275"/>
    <cellStyle name="메모 3 2 3 8 3" xfId="24276"/>
    <cellStyle name="메모 3 2 3 9" xfId="24277"/>
    <cellStyle name="메모 3 2 4" xfId="24278"/>
    <cellStyle name="메모 3 2 4 10" xfId="24279"/>
    <cellStyle name="메모 3 2 4 2" xfId="24280"/>
    <cellStyle name="메모 3 2 4 2 2" xfId="24281"/>
    <cellStyle name="메모 3 2 4 2 2 2" xfId="24282"/>
    <cellStyle name="메모 3 2 4 2 2 2 2" xfId="24283"/>
    <cellStyle name="메모 3 2 4 2 2 2 2 2" xfId="24284"/>
    <cellStyle name="메모 3 2 4 2 2 2 2 3" xfId="24285"/>
    <cellStyle name="메모 3 2 4 2 2 2 3" xfId="24286"/>
    <cellStyle name="메모 3 2 4 2 2 2 4" xfId="24287"/>
    <cellStyle name="메모 3 2 4 2 2 3" xfId="24288"/>
    <cellStyle name="메모 3 2 4 2 2 3 2" xfId="24289"/>
    <cellStyle name="메모 3 2 4 2 2 3 3" xfId="24290"/>
    <cellStyle name="메모 3 2 4 2 2 4" xfId="24291"/>
    <cellStyle name="메모 3 2 4 2 2 5" xfId="24292"/>
    <cellStyle name="메모 3 2 4 2 3" xfId="24293"/>
    <cellStyle name="메모 3 2 4 2 3 2" xfId="24294"/>
    <cellStyle name="메모 3 2 4 2 3 2 2" xfId="24295"/>
    <cellStyle name="메모 3 2 4 2 3 2 2 2" xfId="24296"/>
    <cellStyle name="메모 3 2 4 2 3 2 2 3" xfId="24297"/>
    <cellStyle name="메모 3 2 4 2 3 2 3" xfId="24298"/>
    <cellStyle name="메모 3 2 4 2 3 2 4" xfId="24299"/>
    <cellStyle name="메모 3 2 4 2 3 3" xfId="24300"/>
    <cellStyle name="메모 3 2 4 2 3 3 2" xfId="24301"/>
    <cellStyle name="메모 3 2 4 2 3 3 3" xfId="24302"/>
    <cellStyle name="메모 3 2 4 2 3 4" xfId="24303"/>
    <cellStyle name="메모 3 2 4 2 3 5" xfId="24304"/>
    <cellStyle name="메모 3 2 4 2 4" xfId="24305"/>
    <cellStyle name="메모 3 2 4 2 4 2" xfId="24306"/>
    <cellStyle name="메모 3 2 4 2 4 2 2" xfId="24307"/>
    <cellStyle name="메모 3 2 4 2 4 2 3" xfId="24308"/>
    <cellStyle name="메모 3 2 4 2 4 3" xfId="24309"/>
    <cellStyle name="메모 3 2 4 2 4 4" xfId="24310"/>
    <cellStyle name="메모 3 2 4 2 5" xfId="24311"/>
    <cellStyle name="메모 3 2 4 2 5 2" xfId="24312"/>
    <cellStyle name="메모 3 2 4 2 5 3" xfId="24313"/>
    <cellStyle name="메모 3 2 4 2 6" xfId="24314"/>
    <cellStyle name="메모 3 2 4 2 7" xfId="24315"/>
    <cellStyle name="메모 3 2 4 3" xfId="24316"/>
    <cellStyle name="메모 3 2 4 3 2" xfId="24317"/>
    <cellStyle name="메모 3 2 4 3 2 2" xfId="24318"/>
    <cellStyle name="메모 3 2 4 3 2 2 2" xfId="24319"/>
    <cellStyle name="메모 3 2 4 3 2 2 2 2" xfId="24320"/>
    <cellStyle name="메모 3 2 4 3 2 2 2 3" xfId="24321"/>
    <cellStyle name="메모 3 2 4 3 2 2 3" xfId="24322"/>
    <cellStyle name="메모 3 2 4 3 2 2 4" xfId="24323"/>
    <cellStyle name="메모 3 2 4 3 2 3" xfId="24324"/>
    <cellStyle name="메모 3 2 4 3 2 3 2" xfId="24325"/>
    <cellStyle name="메모 3 2 4 3 2 3 3" xfId="24326"/>
    <cellStyle name="메모 3 2 4 3 2 4" xfId="24327"/>
    <cellStyle name="메모 3 2 4 3 2 5" xfId="24328"/>
    <cellStyle name="메모 3 2 4 3 3" xfId="24329"/>
    <cellStyle name="메모 3 2 4 3 3 2" xfId="24330"/>
    <cellStyle name="메모 3 2 4 3 3 2 2" xfId="24331"/>
    <cellStyle name="메모 3 2 4 3 3 2 2 2" xfId="24332"/>
    <cellStyle name="메모 3 2 4 3 3 2 2 3" xfId="24333"/>
    <cellStyle name="메모 3 2 4 3 3 2 3" xfId="24334"/>
    <cellStyle name="메모 3 2 4 3 3 2 4" xfId="24335"/>
    <cellStyle name="메모 3 2 4 3 3 3" xfId="24336"/>
    <cellStyle name="메모 3 2 4 3 3 3 2" xfId="24337"/>
    <cellStyle name="메모 3 2 4 3 3 3 3" xfId="24338"/>
    <cellStyle name="메모 3 2 4 3 3 4" xfId="24339"/>
    <cellStyle name="메모 3 2 4 3 3 5" xfId="24340"/>
    <cellStyle name="메모 3 2 4 3 4" xfId="24341"/>
    <cellStyle name="메모 3 2 4 3 4 2" xfId="24342"/>
    <cellStyle name="메모 3 2 4 3 4 2 2" xfId="24343"/>
    <cellStyle name="메모 3 2 4 3 4 2 3" xfId="24344"/>
    <cellStyle name="메모 3 2 4 3 4 3" xfId="24345"/>
    <cellStyle name="메모 3 2 4 3 4 4" xfId="24346"/>
    <cellStyle name="메모 3 2 4 3 5" xfId="24347"/>
    <cellStyle name="메모 3 2 4 3 5 2" xfId="24348"/>
    <cellStyle name="메모 3 2 4 3 5 3" xfId="24349"/>
    <cellStyle name="메모 3 2 4 3 6" xfId="24350"/>
    <cellStyle name="메모 3 2 4 3 7" xfId="24351"/>
    <cellStyle name="메모 3 2 4 4" xfId="24352"/>
    <cellStyle name="메모 3 2 4 4 2" xfId="24353"/>
    <cellStyle name="메모 3 2 4 4 2 2" xfId="24354"/>
    <cellStyle name="메모 3 2 4 4 2 2 2" xfId="24355"/>
    <cellStyle name="메모 3 2 4 4 2 2 3" xfId="24356"/>
    <cellStyle name="메모 3 2 4 4 2 3" xfId="24357"/>
    <cellStyle name="메모 3 2 4 4 2 4" xfId="24358"/>
    <cellStyle name="메모 3 2 4 4 3" xfId="24359"/>
    <cellStyle name="메모 3 2 4 4 3 2" xfId="24360"/>
    <cellStyle name="메모 3 2 4 4 3 3" xfId="24361"/>
    <cellStyle name="메모 3 2 4 4 4" xfId="24362"/>
    <cellStyle name="메모 3 2 4 4 5" xfId="24363"/>
    <cellStyle name="메모 3 2 4 5" xfId="24364"/>
    <cellStyle name="메모 3 2 4 5 2" xfId="24365"/>
    <cellStyle name="메모 3 2 4 5 2 2" xfId="24366"/>
    <cellStyle name="메모 3 2 4 5 2 2 2" xfId="24367"/>
    <cellStyle name="메모 3 2 4 5 2 2 3" xfId="24368"/>
    <cellStyle name="메모 3 2 4 5 2 3" xfId="24369"/>
    <cellStyle name="메모 3 2 4 5 2 4" xfId="24370"/>
    <cellStyle name="메모 3 2 4 5 3" xfId="24371"/>
    <cellStyle name="메모 3 2 4 5 3 2" xfId="24372"/>
    <cellStyle name="메모 3 2 4 5 3 3" xfId="24373"/>
    <cellStyle name="메모 3 2 4 5 4" xfId="24374"/>
    <cellStyle name="메모 3 2 4 5 5" xfId="24375"/>
    <cellStyle name="메모 3 2 4 6" xfId="24376"/>
    <cellStyle name="메모 3 2 4 6 2" xfId="24377"/>
    <cellStyle name="메모 3 2 4 6 2 2" xfId="24378"/>
    <cellStyle name="메모 3 2 4 6 2 2 2" xfId="24379"/>
    <cellStyle name="메모 3 2 4 6 2 2 3" xfId="24380"/>
    <cellStyle name="메모 3 2 4 6 2 3" xfId="24381"/>
    <cellStyle name="메모 3 2 4 6 2 4" xfId="24382"/>
    <cellStyle name="메모 3 2 4 6 3" xfId="24383"/>
    <cellStyle name="메모 3 2 4 6 3 2" xfId="24384"/>
    <cellStyle name="메모 3 2 4 6 3 3" xfId="24385"/>
    <cellStyle name="메모 3 2 4 6 4" xfId="24386"/>
    <cellStyle name="메모 3 2 4 6 5" xfId="24387"/>
    <cellStyle name="메모 3 2 4 7" xfId="24388"/>
    <cellStyle name="메모 3 2 4 7 2" xfId="24389"/>
    <cellStyle name="메모 3 2 4 7 2 2" xfId="24390"/>
    <cellStyle name="메모 3 2 4 7 2 3" xfId="24391"/>
    <cellStyle name="메모 3 2 4 7 3" xfId="24392"/>
    <cellStyle name="메모 3 2 4 7 4" xfId="24393"/>
    <cellStyle name="메모 3 2 4 8" xfId="24394"/>
    <cellStyle name="메모 3 2 4 8 2" xfId="24395"/>
    <cellStyle name="메모 3 2 4 8 3" xfId="24396"/>
    <cellStyle name="메모 3 2 4 9" xfId="24397"/>
    <cellStyle name="메모 3 2 5" xfId="24398"/>
    <cellStyle name="메모 3 2 5 2" xfId="24399"/>
    <cellStyle name="메모 3 2 5 2 2" xfId="24400"/>
    <cellStyle name="메모 3 2 5 2 2 2" xfId="24401"/>
    <cellStyle name="메모 3 2 5 2 2 2 2" xfId="24402"/>
    <cellStyle name="메모 3 2 5 2 2 2 3" xfId="24403"/>
    <cellStyle name="메모 3 2 5 2 2 3" xfId="24404"/>
    <cellStyle name="메모 3 2 5 2 2 4" xfId="24405"/>
    <cellStyle name="메모 3 2 5 2 3" xfId="24406"/>
    <cellStyle name="메모 3 2 5 2 3 2" xfId="24407"/>
    <cellStyle name="메모 3 2 5 2 3 3" xfId="24408"/>
    <cellStyle name="메모 3 2 5 2 4" xfId="24409"/>
    <cellStyle name="메모 3 2 5 2 5" xfId="24410"/>
    <cellStyle name="메모 3 2 5 3" xfId="24411"/>
    <cellStyle name="메모 3 2 5 3 2" xfId="24412"/>
    <cellStyle name="메모 3 2 5 3 2 2" xfId="24413"/>
    <cellStyle name="메모 3 2 5 3 2 2 2" xfId="24414"/>
    <cellStyle name="메모 3 2 5 3 2 2 3" xfId="24415"/>
    <cellStyle name="메모 3 2 5 3 2 3" xfId="24416"/>
    <cellStyle name="메모 3 2 5 3 2 4" xfId="24417"/>
    <cellStyle name="메모 3 2 5 3 3" xfId="24418"/>
    <cellStyle name="메모 3 2 5 3 3 2" xfId="24419"/>
    <cellStyle name="메모 3 2 5 3 3 3" xfId="24420"/>
    <cellStyle name="메모 3 2 5 3 4" xfId="24421"/>
    <cellStyle name="메모 3 2 5 3 5" xfId="24422"/>
    <cellStyle name="메모 3 2 5 4" xfId="24423"/>
    <cellStyle name="메모 3 2 5 4 2" xfId="24424"/>
    <cellStyle name="메모 3 2 5 4 2 2" xfId="24425"/>
    <cellStyle name="메모 3 2 5 4 2 3" xfId="24426"/>
    <cellStyle name="메모 3 2 5 4 3" xfId="24427"/>
    <cellStyle name="메모 3 2 5 4 4" xfId="24428"/>
    <cellStyle name="메모 3 2 5 5" xfId="24429"/>
    <cellStyle name="메모 3 2 5 5 2" xfId="24430"/>
    <cellStyle name="메모 3 2 5 5 3" xfId="24431"/>
    <cellStyle name="메모 3 2 5 6" xfId="24432"/>
    <cellStyle name="메모 3 2 5 7" xfId="24433"/>
    <cellStyle name="메모 3 2 6" xfId="24434"/>
    <cellStyle name="메모 3 2 6 2" xfId="24435"/>
    <cellStyle name="메모 3 2 6 2 2" xfId="24436"/>
    <cellStyle name="메모 3 2 6 2 2 2" xfId="24437"/>
    <cellStyle name="메모 3 2 6 2 2 2 2" xfId="24438"/>
    <cellStyle name="메모 3 2 6 2 2 2 3" xfId="24439"/>
    <cellStyle name="메모 3 2 6 2 2 3" xfId="24440"/>
    <cellStyle name="메모 3 2 6 2 2 4" xfId="24441"/>
    <cellStyle name="메모 3 2 6 2 3" xfId="24442"/>
    <cellStyle name="메모 3 2 6 2 3 2" xfId="24443"/>
    <cellStyle name="메모 3 2 6 2 3 3" xfId="24444"/>
    <cellStyle name="메모 3 2 6 2 4" xfId="24445"/>
    <cellStyle name="메모 3 2 6 2 5" xfId="24446"/>
    <cellStyle name="메모 3 2 6 3" xfId="24447"/>
    <cellStyle name="메모 3 2 6 3 2" xfId="24448"/>
    <cellStyle name="메모 3 2 6 3 2 2" xfId="24449"/>
    <cellStyle name="메모 3 2 6 3 2 2 2" xfId="24450"/>
    <cellStyle name="메모 3 2 6 3 2 2 3" xfId="24451"/>
    <cellStyle name="메모 3 2 6 3 2 3" xfId="24452"/>
    <cellStyle name="메모 3 2 6 3 2 4" xfId="24453"/>
    <cellStyle name="메모 3 2 6 3 3" xfId="24454"/>
    <cellStyle name="메모 3 2 6 3 3 2" xfId="24455"/>
    <cellStyle name="메모 3 2 6 3 3 3" xfId="24456"/>
    <cellStyle name="메모 3 2 6 3 4" xfId="24457"/>
    <cellStyle name="메모 3 2 6 3 5" xfId="24458"/>
    <cellStyle name="메모 3 2 6 4" xfId="24459"/>
    <cellStyle name="메모 3 2 6 4 2" xfId="24460"/>
    <cellStyle name="메모 3 2 6 4 2 2" xfId="24461"/>
    <cellStyle name="메모 3 2 6 4 2 3" xfId="24462"/>
    <cellStyle name="메모 3 2 6 4 3" xfId="24463"/>
    <cellStyle name="메모 3 2 6 4 4" xfId="24464"/>
    <cellStyle name="메모 3 2 6 5" xfId="24465"/>
    <cellStyle name="메모 3 2 6 5 2" xfId="24466"/>
    <cellStyle name="메모 3 2 6 5 3" xfId="24467"/>
    <cellStyle name="메모 3 2 6 6" xfId="24468"/>
    <cellStyle name="메모 3 2 6 7" xfId="24469"/>
    <cellStyle name="메모 3 2 7" xfId="24470"/>
    <cellStyle name="메모 3 2 7 2" xfId="24471"/>
    <cellStyle name="메모 3 2 7 2 2" xfId="24472"/>
    <cellStyle name="메모 3 2 7 2 2 2" xfId="24473"/>
    <cellStyle name="메모 3 2 7 2 2 3" xfId="24474"/>
    <cellStyle name="메모 3 2 7 2 3" xfId="24475"/>
    <cellStyle name="메모 3 2 7 2 4" xfId="24476"/>
    <cellStyle name="메모 3 2 7 3" xfId="24477"/>
    <cellStyle name="메모 3 2 7 3 2" xfId="24478"/>
    <cellStyle name="메모 3 2 7 3 3" xfId="24479"/>
    <cellStyle name="메모 3 2 7 4" xfId="24480"/>
    <cellStyle name="메모 3 2 7 5" xfId="24481"/>
    <cellStyle name="메모 3 2 8" xfId="24482"/>
    <cellStyle name="메모 3 2 8 2" xfId="24483"/>
    <cellStyle name="메모 3 2 8 2 2" xfId="24484"/>
    <cellStyle name="메모 3 2 8 2 2 2" xfId="24485"/>
    <cellStyle name="메모 3 2 8 2 2 3" xfId="24486"/>
    <cellStyle name="메모 3 2 8 2 3" xfId="24487"/>
    <cellStyle name="메모 3 2 8 2 4" xfId="24488"/>
    <cellStyle name="메모 3 2 8 3" xfId="24489"/>
    <cellStyle name="메모 3 2 8 3 2" xfId="24490"/>
    <cellStyle name="메모 3 2 8 3 3" xfId="24491"/>
    <cellStyle name="메모 3 2 8 4" xfId="24492"/>
    <cellStyle name="메모 3 2 8 5" xfId="24493"/>
    <cellStyle name="메모 3 2 9" xfId="24494"/>
    <cellStyle name="메모 3 2 9 2" xfId="24495"/>
    <cellStyle name="메모 3 2 9 2 2" xfId="24496"/>
    <cellStyle name="메모 3 2 9 2 2 2" xfId="24497"/>
    <cellStyle name="메모 3 2 9 2 2 3" xfId="24498"/>
    <cellStyle name="메모 3 2 9 2 3" xfId="24499"/>
    <cellStyle name="메모 3 2 9 2 4" xfId="24500"/>
    <cellStyle name="메모 3 2 9 3" xfId="24501"/>
    <cellStyle name="메모 3 2 9 3 2" xfId="24502"/>
    <cellStyle name="메모 3 2 9 3 3" xfId="24503"/>
    <cellStyle name="메모 3 2 9 4" xfId="24504"/>
    <cellStyle name="메모 3 2 9 5" xfId="24505"/>
    <cellStyle name="메모 3 3" xfId="24506"/>
    <cellStyle name="메모 3 3 10" xfId="24507"/>
    <cellStyle name="메모 3 3 11" xfId="24508"/>
    <cellStyle name="메모 3 3 12" xfId="24509"/>
    <cellStyle name="메모 3 3 2" xfId="24510"/>
    <cellStyle name="메모 3 3 2 2" xfId="24511"/>
    <cellStyle name="메모 3 3 2 2 2" xfId="24512"/>
    <cellStyle name="메모 3 3 2 2 2 2" xfId="24513"/>
    <cellStyle name="메모 3 3 2 2 2 2 2" xfId="24514"/>
    <cellStyle name="메모 3 3 2 2 2 2 3" xfId="24515"/>
    <cellStyle name="메모 3 3 2 2 2 3" xfId="24516"/>
    <cellStyle name="메모 3 3 2 2 2 4" xfId="24517"/>
    <cellStyle name="메모 3 3 2 2 3" xfId="24518"/>
    <cellStyle name="메모 3 3 2 2 3 2" xfId="24519"/>
    <cellStyle name="메모 3 3 2 2 3 3" xfId="24520"/>
    <cellStyle name="메모 3 3 2 2 4" xfId="24521"/>
    <cellStyle name="메모 3 3 2 2 5" xfId="24522"/>
    <cellStyle name="메모 3 3 2 3" xfId="24523"/>
    <cellStyle name="메모 3 3 2 3 2" xfId="24524"/>
    <cellStyle name="메모 3 3 2 3 2 2" xfId="24525"/>
    <cellStyle name="메모 3 3 2 3 2 2 2" xfId="24526"/>
    <cellStyle name="메모 3 3 2 3 2 2 3" xfId="24527"/>
    <cellStyle name="메모 3 3 2 3 2 3" xfId="24528"/>
    <cellStyle name="메모 3 3 2 3 2 4" xfId="24529"/>
    <cellStyle name="메모 3 3 2 3 3" xfId="24530"/>
    <cellStyle name="메모 3 3 2 3 3 2" xfId="24531"/>
    <cellStyle name="메모 3 3 2 3 3 3" xfId="24532"/>
    <cellStyle name="메모 3 3 2 3 4" xfId="24533"/>
    <cellStyle name="메모 3 3 2 3 5" xfId="24534"/>
    <cellStyle name="메모 3 3 2 4" xfId="24535"/>
    <cellStyle name="메모 3 3 2 4 2" xfId="24536"/>
    <cellStyle name="메모 3 3 2 4 2 2" xfId="24537"/>
    <cellStyle name="메모 3 3 2 4 2 3" xfId="24538"/>
    <cellStyle name="메모 3 3 2 4 3" xfId="24539"/>
    <cellStyle name="메모 3 3 2 4 4" xfId="24540"/>
    <cellStyle name="메모 3 3 2 5" xfId="24541"/>
    <cellStyle name="메모 3 3 2 5 2" xfId="24542"/>
    <cellStyle name="메모 3 3 2 5 3" xfId="24543"/>
    <cellStyle name="메모 3 3 2 6" xfId="24544"/>
    <cellStyle name="메모 3 3 2 7" xfId="24545"/>
    <cellStyle name="메모 3 3 2 8" xfId="24546"/>
    <cellStyle name="메모 3 3 2 9" xfId="24547"/>
    <cellStyle name="메모 3 3 3" xfId="24548"/>
    <cellStyle name="메모 3 3 3 2" xfId="24549"/>
    <cellStyle name="메모 3 3 3 2 2" xfId="24550"/>
    <cellStyle name="메모 3 3 3 2 2 2" xfId="24551"/>
    <cellStyle name="메모 3 3 3 2 2 2 2" xfId="24552"/>
    <cellStyle name="메모 3 3 3 2 2 2 3" xfId="24553"/>
    <cellStyle name="메모 3 3 3 2 2 3" xfId="24554"/>
    <cellStyle name="메모 3 3 3 2 2 4" xfId="24555"/>
    <cellStyle name="메모 3 3 3 2 3" xfId="24556"/>
    <cellStyle name="메모 3 3 3 2 3 2" xfId="24557"/>
    <cellStyle name="메모 3 3 3 2 3 3" xfId="24558"/>
    <cellStyle name="메모 3 3 3 2 4" xfId="24559"/>
    <cellStyle name="메모 3 3 3 2 5" xfId="24560"/>
    <cellStyle name="메모 3 3 3 3" xfId="24561"/>
    <cellStyle name="메모 3 3 3 3 2" xfId="24562"/>
    <cellStyle name="메모 3 3 3 3 2 2" xfId="24563"/>
    <cellStyle name="메모 3 3 3 3 2 2 2" xfId="24564"/>
    <cellStyle name="메모 3 3 3 3 2 2 3" xfId="24565"/>
    <cellStyle name="메모 3 3 3 3 2 3" xfId="24566"/>
    <cellStyle name="메모 3 3 3 3 2 4" xfId="24567"/>
    <cellStyle name="메모 3 3 3 3 3" xfId="24568"/>
    <cellStyle name="메모 3 3 3 3 3 2" xfId="24569"/>
    <cellStyle name="메모 3 3 3 3 3 3" xfId="24570"/>
    <cellStyle name="메모 3 3 3 3 4" xfId="24571"/>
    <cellStyle name="메모 3 3 3 3 5" xfId="24572"/>
    <cellStyle name="메모 3 3 3 4" xfId="24573"/>
    <cellStyle name="메모 3 3 3 4 2" xfId="24574"/>
    <cellStyle name="메모 3 3 3 4 2 2" xfId="24575"/>
    <cellStyle name="메모 3 3 3 4 2 3" xfId="24576"/>
    <cellStyle name="메모 3 3 3 4 3" xfId="24577"/>
    <cellStyle name="메모 3 3 3 4 4" xfId="24578"/>
    <cellStyle name="메모 3 3 3 5" xfId="24579"/>
    <cellStyle name="메모 3 3 3 5 2" xfId="24580"/>
    <cellStyle name="메모 3 3 3 5 3" xfId="24581"/>
    <cellStyle name="메모 3 3 3 6" xfId="24582"/>
    <cellStyle name="메모 3 3 3 7" xfId="24583"/>
    <cellStyle name="메모 3 3 4" xfId="24584"/>
    <cellStyle name="메모 3 3 4 2" xfId="24585"/>
    <cellStyle name="메모 3 3 4 2 2" xfId="24586"/>
    <cellStyle name="메모 3 3 4 2 2 2" xfId="24587"/>
    <cellStyle name="메모 3 3 4 2 2 3" xfId="24588"/>
    <cellStyle name="메모 3 3 4 2 3" xfId="24589"/>
    <cellStyle name="메모 3 3 4 2 4" xfId="24590"/>
    <cellStyle name="메모 3 3 4 3" xfId="24591"/>
    <cellStyle name="메모 3 3 4 3 2" xfId="24592"/>
    <cellStyle name="메모 3 3 4 3 3" xfId="24593"/>
    <cellStyle name="메모 3 3 4 4" xfId="24594"/>
    <cellStyle name="메모 3 3 4 5" xfId="24595"/>
    <cellStyle name="메모 3 3 5" xfId="24596"/>
    <cellStyle name="메모 3 3 5 2" xfId="24597"/>
    <cellStyle name="메모 3 3 5 2 2" xfId="24598"/>
    <cellStyle name="메모 3 3 5 2 2 2" xfId="24599"/>
    <cellStyle name="메모 3 3 5 2 2 3" xfId="24600"/>
    <cellStyle name="메모 3 3 5 2 3" xfId="24601"/>
    <cellStyle name="메모 3 3 5 2 4" xfId="24602"/>
    <cellStyle name="메모 3 3 5 3" xfId="24603"/>
    <cellStyle name="메모 3 3 5 3 2" xfId="24604"/>
    <cellStyle name="메모 3 3 5 3 3" xfId="24605"/>
    <cellStyle name="메모 3 3 5 4" xfId="24606"/>
    <cellStyle name="메모 3 3 5 5" xfId="24607"/>
    <cellStyle name="메모 3 3 6" xfId="24608"/>
    <cellStyle name="메모 3 3 6 2" xfId="24609"/>
    <cellStyle name="메모 3 3 6 2 2" xfId="24610"/>
    <cellStyle name="메모 3 3 6 2 2 2" xfId="24611"/>
    <cellStyle name="메모 3 3 6 2 2 3" xfId="24612"/>
    <cellStyle name="메모 3 3 6 2 3" xfId="24613"/>
    <cellStyle name="메모 3 3 6 2 4" xfId="24614"/>
    <cellStyle name="메모 3 3 6 3" xfId="24615"/>
    <cellStyle name="메모 3 3 6 3 2" xfId="24616"/>
    <cellStyle name="메모 3 3 6 3 3" xfId="24617"/>
    <cellStyle name="메모 3 3 6 4" xfId="24618"/>
    <cellStyle name="메모 3 3 6 5" xfId="24619"/>
    <cellStyle name="메모 3 3 7" xfId="24620"/>
    <cellStyle name="메모 3 3 7 2" xfId="24621"/>
    <cellStyle name="메모 3 3 7 2 2" xfId="24622"/>
    <cellStyle name="메모 3 3 7 2 3" xfId="24623"/>
    <cellStyle name="메모 3 3 7 3" xfId="24624"/>
    <cellStyle name="메모 3 3 7 4" xfId="24625"/>
    <cellStyle name="메모 3 3 8" xfId="24626"/>
    <cellStyle name="메모 3 3 8 2" xfId="24627"/>
    <cellStyle name="메모 3 3 8 3" xfId="24628"/>
    <cellStyle name="메모 3 3 9" xfId="24629"/>
    <cellStyle name="메모 3 4" xfId="24630"/>
    <cellStyle name="메모 3 4 10" xfId="24631"/>
    <cellStyle name="메모 3 4 11" xfId="24632"/>
    <cellStyle name="메모 3 4 12" xfId="24633"/>
    <cellStyle name="메모 3 4 2" xfId="24634"/>
    <cellStyle name="메모 3 4 2 2" xfId="24635"/>
    <cellStyle name="메모 3 4 2 2 2" xfId="24636"/>
    <cellStyle name="메모 3 4 2 2 2 2" xfId="24637"/>
    <cellStyle name="메모 3 4 2 2 2 2 2" xfId="24638"/>
    <cellStyle name="메모 3 4 2 2 2 2 3" xfId="24639"/>
    <cellStyle name="메모 3 4 2 2 2 3" xfId="24640"/>
    <cellStyle name="메모 3 4 2 2 2 4" xfId="24641"/>
    <cellStyle name="메모 3 4 2 2 3" xfId="24642"/>
    <cellStyle name="메모 3 4 2 2 3 2" xfId="24643"/>
    <cellStyle name="메모 3 4 2 2 3 3" xfId="24644"/>
    <cellStyle name="메모 3 4 2 2 4" xfId="24645"/>
    <cellStyle name="메모 3 4 2 2 5" xfId="24646"/>
    <cellStyle name="메모 3 4 2 3" xfId="24647"/>
    <cellStyle name="메모 3 4 2 3 2" xfId="24648"/>
    <cellStyle name="메모 3 4 2 3 2 2" xfId="24649"/>
    <cellStyle name="메모 3 4 2 3 2 2 2" xfId="24650"/>
    <cellStyle name="메모 3 4 2 3 2 2 3" xfId="24651"/>
    <cellStyle name="메모 3 4 2 3 2 3" xfId="24652"/>
    <cellStyle name="메모 3 4 2 3 2 4" xfId="24653"/>
    <cellStyle name="메모 3 4 2 3 3" xfId="24654"/>
    <cellStyle name="메모 3 4 2 3 3 2" xfId="24655"/>
    <cellStyle name="메모 3 4 2 3 3 3" xfId="24656"/>
    <cellStyle name="메모 3 4 2 3 4" xfId="24657"/>
    <cellStyle name="메모 3 4 2 3 5" xfId="24658"/>
    <cellStyle name="메모 3 4 2 4" xfId="24659"/>
    <cellStyle name="메모 3 4 2 4 2" xfId="24660"/>
    <cellStyle name="메모 3 4 2 4 2 2" xfId="24661"/>
    <cellStyle name="메모 3 4 2 4 2 3" xfId="24662"/>
    <cellStyle name="메모 3 4 2 4 3" xfId="24663"/>
    <cellStyle name="메모 3 4 2 4 4" xfId="24664"/>
    <cellStyle name="메모 3 4 2 5" xfId="24665"/>
    <cellStyle name="메모 3 4 2 5 2" xfId="24666"/>
    <cellStyle name="메모 3 4 2 5 3" xfId="24667"/>
    <cellStyle name="메모 3 4 2 6" xfId="24668"/>
    <cellStyle name="메모 3 4 2 7" xfId="24669"/>
    <cellStyle name="메모 3 4 3" xfId="24670"/>
    <cellStyle name="메모 3 4 3 2" xfId="24671"/>
    <cellStyle name="메모 3 4 3 2 2" xfId="24672"/>
    <cellStyle name="메모 3 4 3 2 2 2" xfId="24673"/>
    <cellStyle name="메모 3 4 3 2 2 2 2" xfId="24674"/>
    <cellStyle name="메모 3 4 3 2 2 2 3" xfId="24675"/>
    <cellStyle name="메모 3 4 3 2 2 3" xfId="24676"/>
    <cellStyle name="메모 3 4 3 2 2 4" xfId="24677"/>
    <cellStyle name="메모 3 4 3 2 3" xfId="24678"/>
    <cellStyle name="메모 3 4 3 2 3 2" xfId="24679"/>
    <cellStyle name="메모 3 4 3 2 3 3" xfId="24680"/>
    <cellStyle name="메모 3 4 3 2 4" xfId="24681"/>
    <cellStyle name="메모 3 4 3 2 5" xfId="24682"/>
    <cellStyle name="메모 3 4 3 3" xfId="24683"/>
    <cellStyle name="메모 3 4 3 3 2" xfId="24684"/>
    <cellStyle name="메모 3 4 3 3 2 2" xfId="24685"/>
    <cellStyle name="메모 3 4 3 3 2 2 2" xfId="24686"/>
    <cellStyle name="메모 3 4 3 3 2 2 3" xfId="24687"/>
    <cellStyle name="메모 3 4 3 3 2 3" xfId="24688"/>
    <cellStyle name="메모 3 4 3 3 2 4" xfId="24689"/>
    <cellStyle name="메모 3 4 3 3 3" xfId="24690"/>
    <cellStyle name="메모 3 4 3 3 3 2" xfId="24691"/>
    <cellStyle name="메모 3 4 3 3 3 3" xfId="24692"/>
    <cellStyle name="메모 3 4 3 3 4" xfId="24693"/>
    <cellStyle name="메모 3 4 3 3 5" xfId="24694"/>
    <cellStyle name="메모 3 4 3 4" xfId="24695"/>
    <cellStyle name="메모 3 4 3 4 2" xfId="24696"/>
    <cellStyle name="메모 3 4 3 4 2 2" xfId="24697"/>
    <cellStyle name="메모 3 4 3 4 2 3" xfId="24698"/>
    <cellStyle name="메모 3 4 3 4 3" xfId="24699"/>
    <cellStyle name="메모 3 4 3 4 4" xfId="24700"/>
    <cellStyle name="메모 3 4 3 5" xfId="24701"/>
    <cellStyle name="메모 3 4 3 5 2" xfId="24702"/>
    <cellStyle name="메모 3 4 3 5 3" xfId="24703"/>
    <cellStyle name="메모 3 4 3 6" xfId="24704"/>
    <cellStyle name="메모 3 4 3 7" xfId="24705"/>
    <cellStyle name="메모 3 4 4" xfId="24706"/>
    <cellStyle name="메모 3 4 4 2" xfId="24707"/>
    <cellStyle name="메모 3 4 4 2 2" xfId="24708"/>
    <cellStyle name="메모 3 4 4 2 2 2" xfId="24709"/>
    <cellStyle name="메모 3 4 4 2 2 3" xfId="24710"/>
    <cellStyle name="메모 3 4 4 2 3" xfId="24711"/>
    <cellStyle name="메모 3 4 4 2 4" xfId="24712"/>
    <cellStyle name="메모 3 4 4 3" xfId="24713"/>
    <cellStyle name="메모 3 4 4 3 2" xfId="24714"/>
    <cellStyle name="메모 3 4 4 3 3" xfId="24715"/>
    <cellStyle name="메모 3 4 4 4" xfId="24716"/>
    <cellStyle name="메모 3 4 4 5" xfId="24717"/>
    <cellStyle name="메모 3 4 5" xfId="24718"/>
    <cellStyle name="메모 3 4 5 2" xfId="24719"/>
    <cellStyle name="메모 3 4 5 2 2" xfId="24720"/>
    <cellStyle name="메모 3 4 5 2 2 2" xfId="24721"/>
    <cellStyle name="메모 3 4 5 2 2 3" xfId="24722"/>
    <cellStyle name="메모 3 4 5 2 3" xfId="24723"/>
    <cellStyle name="메모 3 4 5 2 4" xfId="24724"/>
    <cellStyle name="메모 3 4 5 3" xfId="24725"/>
    <cellStyle name="메모 3 4 5 3 2" xfId="24726"/>
    <cellStyle name="메모 3 4 5 3 3" xfId="24727"/>
    <cellStyle name="메모 3 4 5 4" xfId="24728"/>
    <cellStyle name="메모 3 4 5 5" xfId="24729"/>
    <cellStyle name="메모 3 4 6" xfId="24730"/>
    <cellStyle name="메모 3 4 6 2" xfId="24731"/>
    <cellStyle name="메모 3 4 6 2 2" xfId="24732"/>
    <cellStyle name="메모 3 4 6 2 2 2" xfId="24733"/>
    <cellStyle name="메모 3 4 6 2 2 3" xfId="24734"/>
    <cellStyle name="메모 3 4 6 2 3" xfId="24735"/>
    <cellStyle name="메모 3 4 6 2 4" xfId="24736"/>
    <cellStyle name="메모 3 4 6 3" xfId="24737"/>
    <cellStyle name="메모 3 4 6 3 2" xfId="24738"/>
    <cellStyle name="메모 3 4 6 3 3" xfId="24739"/>
    <cellStyle name="메모 3 4 6 4" xfId="24740"/>
    <cellStyle name="메모 3 4 6 5" xfId="24741"/>
    <cellStyle name="메모 3 4 7" xfId="24742"/>
    <cellStyle name="메모 3 4 7 2" xfId="24743"/>
    <cellStyle name="메모 3 4 7 2 2" xfId="24744"/>
    <cellStyle name="메모 3 4 7 2 3" xfId="24745"/>
    <cellStyle name="메모 3 4 7 3" xfId="24746"/>
    <cellStyle name="메모 3 4 7 4" xfId="24747"/>
    <cellStyle name="메모 3 4 8" xfId="24748"/>
    <cellStyle name="메모 3 4 8 2" xfId="24749"/>
    <cellStyle name="메모 3 4 8 3" xfId="24750"/>
    <cellStyle name="메모 3 4 9" xfId="24751"/>
    <cellStyle name="메모 3 5" xfId="24752"/>
    <cellStyle name="메모 3 5 10" xfId="24753"/>
    <cellStyle name="메모 3 5 10 2" xfId="24754"/>
    <cellStyle name="메모 3 5 10 3" xfId="24755"/>
    <cellStyle name="메모 3 5 10 4" xfId="24756"/>
    <cellStyle name="메모 3 5 11" xfId="24757"/>
    <cellStyle name="메모 3 5 11 2" xfId="24758"/>
    <cellStyle name="메모 3 5 11 3" xfId="24759"/>
    <cellStyle name="메모 3 5 12" xfId="24760"/>
    <cellStyle name="메모 3 5 13" xfId="24761"/>
    <cellStyle name="메모 3 5 14" xfId="24762"/>
    <cellStyle name="메모 3 5 2" xfId="24763"/>
    <cellStyle name="메모 3 5 2 2" xfId="24764"/>
    <cellStyle name="메모 3 5 2 2 2" xfId="24765"/>
    <cellStyle name="메모 3 5 2 2 2 2" xfId="24766"/>
    <cellStyle name="메모 3 5 2 2 2 2 2" xfId="24767"/>
    <cellStyle name="메모 3 5 2 2 2 2 3" xfId="24768"/>
    <cellStyle name="메모 3 5 2 2 2 3" xfId="24769"/>
    <cellStyle name="메모 3 5 2 2 2 4" xfId="24770"/>
    <cellStyle name="메모 3 5 2 2 3" xfId="24771"/>
    <cellStyle name="메모 3 5 2 2 3 2" xfId="24772"/>
    <cellStyle name="메모 3 5 2 2 3 3" xfId="24773"/>
    <cellStyle name="메모 3 5 2 2 4" xfId="24774"/>
    <cellStyle name="메모 3 5 2 2 5" xfId="24775"/>
    <cellStyle name="메모 3 5 2 2 6" xfId="24776"/>
    <cellStyle name="메모 3 5 2 3" xfId="24777"/>
    <cellStyle name="메모 3 5 2 3 2" xfId="24778"/>
    <cellStyle name="메모 3 5 2 3 2 2" xfId="24779"/>
    <cellStyle name="메모 3 5 2 3 2 2 2" xfId="24780"/>
    <cellStyle name="메모 3 5 2 3 2 2 3" xfId="24781"/>
    <cellStyle name="메모 3 5 2 3 2 3" xfId="24782"/>
    <cellStyle name="메모 3 5 2 3 2 4" xfId="24783"/>
    <cellStyle name="메모 3 5 2 3 3" xfId="24784"/>
    <cellStyle name="메모 3 5 2 3 3 2" xfId="24785"/>
    <cellStyle name="메모 3 5 2 3 3 3" xfId="24786"/>
    <cellStyle name="메모 3 5 2 3 4" xfId="24787"/>
    <cellStyle name="메모 3 5 2 3 5" xfId="24788"/>
    <cellStyle name="메모 3 5 2 4" xfId="24789"/>
    <cellStyle name="메모 3 5 2 4 2" xfId="24790"/>
    <cellStyle name="메모 3 5 2 4 2 2" xfId="24791"/>
    <cellStyle name="메모 3 5 2 4 2 3" xfId="24792"/>
    <cellStyle name="메모 3 5 2 4 3" xfId="24793"/>
    <cellStyle name="메모 3 5 2 4 4" xfId="24794"/>
    <cellStyle name="메모 3 5 2 5" xfId="24795"/>
    <cellStyle name="메모 3 5 2 5 2" xfId="24796"/>
    <cellStyle name="메모 3 5 2 5 3" xfId="24797"/>
    <cellStyle name="메모 3 5 2 6" xfId="24798"/>
    <cellStyle name="메모 3 5 2 7" xfId="24799"/>
    <cellStyle name="메모 3 5 2 8" xfId="24800"/>
    <cellStyle name="메모 3 5 3" xfId="24801"/>
    <cellStyle name="메모 3 5 3 2" xfId="24802"/>
    <cellStyle name="메모 3 5 3 2 2" xfId="24803"/>
    <cellStyle name="메모 3 5 3 2 2 2" xfId="24804"/>
    <cellStyle name="메모 3 5 3 2 2 2 2" xfId="24805"/>
    <cellStyle name="메모 3 5 3 2 2 2 3" xfId="24806"/>
    <cellStyle name="메모 3 5 3 2 2 3" xfId="24807"/>
    <cellStyle name="메모 3 5 3 2 2 4" xfId="24808"/>
    <cellStyle name="메모 3 5 3 2 3" xfId="24809"/>
    <cellStyle name="메모 3 5 3 2 3 2" xfId="24810"/>
    <cellStyle name="메모 3 5 3 2 3 3" xfId="24811"/>
    <cellStyle name="메모 3 5 3 2 4" xfId="24812"/>
    <cellStyle name="메모 3 5 3 2 5" xfId="24813"/>
    <cellStyle name="메모 3 5 3 2 6" xfId="24814"/>
    <cellStyle name="메모 3 5 3 3" xfId="24815"/>
    <cellStyle name="메모 3 5 3 3 2" xfId="24816"/>
    <cellStyle name="메모 3 5 3 3 2 2" xfId="24817"/>
    <cellStyle name="메모 3 5 3 3 2 2 2" xfId="24818"/>
    <cellStyle name="메모 3 5 3 3 2 2 3" xfId="24819"/>
    <cellStyle name="메모 3 5 3 3 2 3" xfId="24820"/>
    <cellStyle name="메모 3 5 3 3 2 4" xfId="24821"/>
    <cellStyle name="메모 3 5 3 3 3" xfId="24822"/>
    <cellStyle name="메모 3 5 3 3 3 2" xfId="24823"/>
    <cellStyle name="메모 3 5 3 3 3 3" xfId="24824"/>
    <cellStyle name="메모 3 5 3 3 4" xfId="24825"/>
    <cellStyle name="메모 3 5 3 3 5" xfId="24826"/>
    <cellStyle name="메모 3 5 3 4" xfId="24827"/>
    <cellStyle name="메모 3 5 3 4 2" xfId="24828"/>
    <cellStyle name="메모 3 5 3 4 2 2" xfId="24829"/>
    <cellStyle name="메모 3 5 3 4 2 3" xfId="24830"/>
    <cellStyle name="메모 3 5 3 4 3" xfId="24831"/>
    <cellStyle name="메모 3 5 3 4 4" xfId="24832"/>
    <cellStyle name="메모 3 5 3 5" xfId="24833"/>
    <cellStyle name="메모 3 5 3 5 2" xfId="24834"/>
    <cellStyle name="메모 3 5 3 5 3" xfId="24835"/>
    <cellStyle name="메모 3 5 3 6" xfId="24836"/>
    <cellStyle name="메모 3 5 3 7" xfId="24837"/>
    <cellStyle name="메모 3 5 3 8" xfId="24838"/>
    <cellStyle name="메모 3 5 4" xfId="24839"/>
    <cellStyle name="메모 3 5 4 2" xfId="24840"/>
    <cellStyle name="메모 3 5 4 2 2" xfId="24841"/>
    <cellStyle name="메모 3 5 4 2 2 2" xfId="24842"/>
    <cellStyle name="메모 3 5 4 2 2 3" xfId="24843"/>
    <cellStyle name="메모 3 5 4 2 3" xfId="24844"/>
    <cellStyle name="메모 3 5 4 2 4" xfId="24845"/>
    <cellStyle name="메모 3 5 4 2 5" xfId="24846"/>
    <cellStyle name="메모 3 5 4 3" xfId="24847"/>
    <cellStyle name="메모 3 5 4 3 2" xfId="24848"/>
    <cellStyle name="메모 3 5 4 3 3" xfId="24849"/>
    <cellStyle name="메모 3 5 4 4" xfId="24850"/>
    <cellStyle name="메모 3 5 4 5" xfId="24851"/>
    <cellStyle name="메모 3 5 4 6" xfId="24852"/>
    <cellStyle name="메모 3 5 5" xfId="24853"/>
    <cellStyle name="메모 3 5 5 2" xfId="24854"/>
    <cellStyle name="메모 3 5 5 2 2" xfId="24855"/>
    <cellStyle name="메모 3 5 5 2 2 2" xfId="24856"/>
    <cellStyle name="메모 3 5 5 2 2 3" xfId="24857"/>
    <cellStyle name="메모 3 5 5 2 3" xfId="24858"/>
    <cellStyle name="메모 3 5 5 2 4" xfId="24859"/>
    <cellStyle name="메모 3 5 5 2 5" xfId="24860"/>
    <cellStyle name="메모 3 5 5 3" xfId="24861"/>
    <cellStyle name="메모 3 5 5 3 2" xfId="24862"/>
    <cellStyle name="메모 3 5 5 3 3" xfId="24863"/>
    <cellStyle name="메모 3 5 5 4" xfId="24864"/>
    <cellStyle name="메모 3 5 5 5" xfId="24865"/>
    <cellStyle name="메모 3 5 5 6" xfId="24866"/>
    <cellStyle name="메모 3 5 6" xfId="24867"/>
    <cellStyle name="메모 3 5 6 2" xfId="24868"/>
    <cellStyle name="메모 3 5 6 2 2" xfId="24869"/>
    <cellStyle name="메모 3 5 6 2 2 2" xfId="24870"/>
    <cellStyle name="메모 3 5 6 2 2 3" xfId="24871"/>
    <cellStyle name="메모 3 5 6 2 3" xfId="24872"/>
    <cellStyle name="메모 3 5 6 2 4" xfId="24873"/>
    <cellStyle name="메모 3 5 6 2 5" xfId="24874"/>
    <cellStyle name="메모 3 5 6 3" xfId="24875"/>
    <cellStyle name="메모 3 5 6 3 2" xfId="24876"/>
    <cellStyle name="메모 3 5 6 3 3" xfId="24877"/>
    <cellStyle name="메모 3 5 6 4" xfId="24878"/>
    <cellStyle name="메모 3 5 6 5" xfId="24879"/>
    <cellStyle name="메모 3 5 6 6" xfId="24880"/>
    <cellStyle name="메모 3 5 7" xfId="24881"/>
    <cellStyle name="메모 3 5 7 2" xfId="24882"/>
    <cellStyle name="메모 3 5 7 2 2" xfId="24883"/>
    <cellStyle name="메모 3 5 7 2 3" xfId="24884"/>
    <cellStyle name="메모 3 5 7 2 4" xfId="24885"/>
    <cellStyle name="메모 3 5 7 3" xfId="24886"/>
    <cellStyle name="메모 3 5 7 4" xfId="24887"/>
    <cellStyle name="메모 3 5 7 5" xfId="24888"/>
    <cellStyle name="메모 3 5 8" xfId="24889"/>
    <cellStyle name="메모 3 5 8 2" xfId="24890"/>
    <cellStyle name="메모 3 5 8 2 2" xfId="24891"/>
    <cellStyle name="메모 3 5 8 3" xfId="24892"/>
    <cellStyle name="메모 3 5 8 3 2" xfId="24893"/>
    <cellStyle name="메모 3 5 8 4" xfId="24894"/>
    <cellStyle name="메모 3 5 9" xfId="24895"/>
    <cellStyle name="메모 3 5 9 2" xfId="24896"/>
    <cellStyle name="메모 3 5 9 3" xfId="24897"/>
    <cellStyle name="메모 3 5 9 4" xfId="24898"/>
    <cellStyle name="메모 3 6" xfId="24899"/>
    <cellStyle name="메모 3 6 2" xfId="24900"/>
    <cellStyle name="메모 3 6 2 2" xfId="24901"/>
    <cellStyle name="메모 3 6 2 2 2" xfId="24902"/>
    <cellStyle name="메모 3 6 2 2 2 2" xfId="24903"/>
    <cellStyle name="메모 3 6 2 2 2 3" xfId="24904"/>
    <cellStyle name="메모 3 6 2 2 3" xfId="24905"/>
    <cellStyle name="메모 3 6 2 2 4" xfId="24906"/>
    <cellStyle name="메모 3 6 2 3" xfId="24907"/>
    <cellStyle name="메모 3 6 2 3 2" xfId="24908"/>
    <cellStyle name="메모 3 6 2 3 3" xfId="24909"/>
    <cellStyle name="메모 3 6 2 4" xfId="24910"/>
    <cellStyle name="메모 3 6 2 5" xfId="24911"/>
    <cellStyle name="메모 3 6 3" xfId="24912"/>
    <cellStyle name="메모 3 6 3 2" xfId="24913"/>
    <cellStyle name="메모 3 6 3 2 2" xfId="24914"/>
    <cellStyle name="메모 3 6 3 2 2 2" xfId="24915"/>
    <cellStyle name="메모 3 6 3 2 2 3" xfId="24916"/>
    <cellStyle name="메모 3 6 3 2 3" xfId="24917"/>
    <cellStyle name="메모 3 6 3 2 4" xfId="24918"/>
    <cellStyle name="메모 3 6 3 3" xfId="24919"/>
    <cellStyle name="메모 3 6 3 3 2" xfId="24920"/>
    <cellStyle name="메모 3 6 3 3 3" xfId="24921"/>
    <cellStyle name="메모 3 6 3 4" xfId="24922"/>
    <cellStyle name="메모 3 6 3 5" xfId="24923"/>
    <cellStyle name="메모 3 6 4" xfId="24924"/>
    <cellStyle name="메모 3 6 4 2" xfId="24925"/>
    <cellStyle name="메모 3 6 4 2 2" xfId="24926"/>
    <cellStyle name="메모 3 6 4 2 3" xfId="24927"/>
    <cellStyle name="메모 3 6 4 3" xfId="24928"/>
    <cellStyle name="메모 3 6 4 4" xfId="24929"/>
    <cellStyle name="메모 3 6 5" xfId="24930"/>
    <cellStyle name="메모 3 6 5 2" xfId="24931"/>
    <cellStyle name="메모 3 6 5 3" xfId="24932"/>
    <cellStyle name="메모 3 6 6" xfId="24933"/>
    <cellStyle name="메모 3 6 7" xfId="24934"/>
    <cellStyle name="메모 3 7" xfId="24935"/>
    <cellStyle name="메모 3 7 2" xfId="24936"/>
    <cellStyle name="메모 3 7 2 2" xfId="24937"/>
    <cellStyle name="메모 3 7 2 2 2" xfId="24938"/>
    <cellStyle name="메모 3 7 2 2 2 2" xfId="24939"/>
    <cellStyle name="메모 3 7 2 2 2 3" xfId="24940"/>
    <cellStyle name="메모 3 7 2 2 3" xfId="24941"/>
    <cellStyle name="메모 3 7 2 2 4" xfId="24942"/>
    <cellStyle name="메모 3 7 2 3" xfId="24943"/>
    <cellStyle name="메모 3 7 2 3 2" xfId="24944"/>
    <cellStyle name="메모 3 7 2 3 3" xfId="24945"/>
    <cellStyle name="메모 3 7 2 4" xfId="24946"/>
    <cellStyle name="메모 3 7 2 5" xfId="24947"/>
    <cellStyle name="메모 3 7 3" xfId="24948"/>
    <cellStyle name="메모 3 7 3 2" xfId="24949"/>
    <cellStyle name="메모 3 7 3 2 2" xfId="24950"/>
    <cellStyle name="메모 3 7 3 2 2 2" xfId="24951"/>
    <cellStyle name="메모 3 7 3 2 2 3" xfId="24952"/>
    <cellStyle name="메모 3 7 3 2 3" xfId="24953"/>
    <cellStyle name="메모 3 7 3 2 4" xfId="24954"/>
    <cellStyle name="메모 3 7 3 3" xfId="24955"/>
    <cellStyle name="메모 3 7 3 3 2" xfId="24956"/>
    <cellStyle name="메모 3 7 3 3 3" xfId="24957"/>
    <cellStyle name="메모 3 7 3 4" xfId="24958"/>
    <cellStyle name="메모 3 7 3 5" xfId="24959"/>
    <cellStyle name="메모 3 7 4" xfId="24960"/>
    <cellStyle name="메모 3 7 4 2" xfId="24961"/>
    <cellStyle name="메모 3 7 4 2 2" xfId="24962"/>
    <cellStyle name="메모 3 7 4 2 3" xfId="24963"/>
    <cellStyle name="메모 3 7 4 3" xfId="24964"/>
    <cellStyle name="메모 3 7 4 4" xfId="24965"/>
    <cellStyle name="메모 3 7 5" xfId="24966"/>
    <cellStyle name="메모 3 7 5 2" xfId="24967"/>
    <cellStyle name="메모 3 7 5 3" xfId="24968"/>
    <cellStyle name="메모 3 7 6" xfId="24969"/>
    <cellStyle name="메모 3 7 7" xfId="24970"/>
    <cellStyle name="메모 3 8" xfId="24971"/>
    <cellStyle name="메모 3 8 2" xfId="24972"/>
    <cellStyle name="메모 3 8 2 2" xfId="24973"/>
    <cellStyle name="메모 3 8 2 2 2" xfId="24974"/>
    <cellStyle name="메모 3 8 2 2 3" xfId="24975"/>
    <cellStyle name="메모 3 8 2 3" xfId="24976"/>
    <cellStyle name="메모 3 8 2 4" xfId="24977"/>
    <cellStyle name="메모 3 8 3" xfId="24978"/>
    <cellStyle name="메모 3 8 3 2" xfId="24979"/>
    <cellStyle name="메모 3 8 3 3" xfId="24980"/>
    <cellStyle name="메모 3 8 4" xfId="24981"/>
    <cellStyle name="메모 3 8 5" xfId="24982"/>
    <cellStyle name="메모 3 9" xfId="24983"/>
    <cellStyle name="메모 3 9 2" xfId="24984"/>
    <cellStyle name="메모 3 9 2 2" xfId="24985"/>
    <cellStyle name="메모 3 9 2 2 2" xfId="24986"/>
    <cellStyle name="메모 3 9 2 2 3" xfId="24987"/>
    <cellStyle name="메모 3 9 2 3" xfId="24988"/>
    <cellStyle name="메모 3 9 2 4" xfId="24989"/>
    <cellStyle name="메모 3 9 3" xfId="24990"/>
    <cellStyle name="메모 3 9 3 2" xfId="24991"/>
    <cellStyle name="메모 3 9 3 3" xfId="24992"/>
    <cellStyle name="메모 3 9 4" xfId="24993"/>
    <cellStyle name="메모 3 9 5" xfId="24994"/>
    <cellStyle name="메모 30" xfId="24995"/>
    <cellStyle name="메모 31" xfId="24996"/>
    <cellStyle name="메모 32" xfId="24997"/>
    <cellStyle name="메모 33" xfId="24998"/>
    <cellStyle name="메모 34" xfId="24999"/>
    <cellStyle name="메모 35" xfId="25000"/>
    <cellStyle name="메모 36" xfId="25001"/>
    <cellStyle name="메모 37" xfId="25002"/>
    <cellStyle name="메모 38" xfId="25003"/>
    <cellStyle name="메모 39" xfId="25004"/>
    <cellStyle name="메모 4" xfId="25005"/>
    <cellStyle name="메모 4 10" xfId="25006"/>
    <cellStyle name="메모 4 10 2" xfId="25007"/>
    <cellStyle name="메모 4 10 2 2" xfId="25008"/>
    <cellStyle name="메모 4 10 2 3" xfId="25009"/>
    <cellStyle name="메모 4 10 3" xfId="25010"/>
    <cellStyle name="메모 4 10 4" xfId="25011"/>
    <cellStyle name="메모 4 11" xfId="25012"/>
    <cellStyle name="메모 4 11 2" xfId="25013"/>
    <cellStyle name="메모 4 11 3" xfId="25014"/>
    <cellStyle name="메모 4 12" xfId="25015"/>
    <cellStyle name="메모 4 13" xfId="25016"/>
    <cellStyle name="메모 4 14" xfId="25017"/>
    <cellStyle name="메모 4 15" xfId="25018"/>
    <cellStyle name="메모 4 2" xfId="25019"/>
    <cellStyle name="메모 4 2 10" xfId="25020"/>
    <cellStyle name="메모 4 2 11" xfId="25021"/>
    <cellStyle name="메모 4 2 12" xfId="25022"/>
    <cellStyle name="메모 4 2 2" xfId="25023"/>
    <cellStyle name="메모 4 2 2 2" xfId="25024"/>
    <cellStyle name="메모 4 2 2 2 2" xfId="25025"/>
    <cellStyle name="메모 4 2 2 2 2 2" xfId="25026"/>
    <cellStyle name="메모 4 2 2 2 2 2 2" xfId="25027"/>
    <cellStyle name="메모 4 2 2 2 2 2 3" xfId="25028"/>
    <cellStyle name="메모 4 2 2 2 2 3" xfId="25029"/>
    <cellStyle name="메모 4 2 2 2 2 4" xfId="25030"/>
    <cellStyle name="메모 4 2 2 2 3" xfId="25031"/>
    <cellStyle name="메모 4 2 2 2 3 2" xfId="25032"/>
    <cellStyle name="메모 4 2 2 2 3 3" xfId="25033"/>
    <cellStyle name="메모 4 2 2 2 4" xfId="25034"/>
    <cellStyle name="메모 4 2 2 2 5" xfId="25035"/>
    <cellStyle name="메모 4 2 2 3" xfId="25036"/>
    <cellStyle name="메모 4 2 2 3 2" xfId="25037"/>
    <cellStyle name="메모 4 2 2 3 2 2" xfId="25038"/>
    <cellStyle name="메모 4 2 2 3 2 2 2" xfId="25039"/>
    <cellStyle name="메모 4 2 2 3 2 2 3" xfId="25040"/>
    <cellStyle name="메모 4 2 2 3 2 3" xfId="25041"/>
    <cellStyle name="메모 4 2 2 3 2 4" xfId="25042"/>
    <cellStyle name="메모 4 2 2 3 3" xfId="25043"/>
    <cellStyle name="메모 4 2 2 3 3 2" xfId="25044"/>
    <cellStyle name="메모 4 2 2 3 3 3" xfId="25045"/>
    <cellStyle name="메모 4 2 2 3 4" xfId="25046"/>
    <cellStyle name="메모 4 2 2 3 5" xfId="25047"/>
    <cellStyle name="메모 4 2 2 4" xfId="25048"/>
    <cellStyle name="메모 4 2 2 4 2" xfId="25049"/>
    <cellStyle name="메모 4 2 2 4 2 2" xfId="25050"/>
    <cellStyle name="메모 4 2 2 4 2 3" xfId="25051"/>
    <cellStyle name="메모 4 2 2 4 3" xfId="25052"/>
    <cellStyle name="메모 4 2 2 4 4" xfId="25053"/>
    <cellStyle name="메모 4 2 2 5" xfId="25054"/>
    <cellStyle name="메모 4 2 2 5 2" xfId="25055"/>
    <cellStyle name="메모 4 2 2 5 3" xfId="25056"/>
    <cellStyle name="메모 4 2 2 6" xfId="25057"/>
    <cellStyle name="메모 4 2 2 7" xfId="25058"/>
    <cellStyle name="메모 4 2 2 8" xfId="25059"/>
    <cellStyle name="메모 4 2 2 9" xfId="25060"/>
    <cellStyle name="메모 4 2 3" xfId="25061"/>
    <cellStyle name="메모 4 2 3 2" xfId="25062"/>
    <cellStyle name="메모 4 2 3 2 2" xfId="25063"/>
    <cellStyle name="메모 4 2 3 2 2 2" xfId="25064"/>
    <cellStyle name="메모 4 2 3 2 2 2 2" xfId="25065"/>
    <cellStyle name="메모 4 2 3 2 2 2 3" xfId="25066"/>
    <cellStyle name="메모 4 2 3 2 2 3" xfId="25067"/>
    <cellStyle name="메모 4 2 3 2 2 4" xfId="25068"/>
    <cellStyle name="메모 4 2 3 2 3" xfId="25069"/>
    <cellStyle name="메모 4 2 3 2 3 2" xfId="25070"/>
    <cellStyle name="메모 4 2 3 2 3 3" xfId="25071"/>
    <cellStyle name="메모 4 2 3 2 4" xfId="25072"/>
    <cellStyle name="메모 4 2 3 2 5" xfId="25073"/>
    <cellStyle name="메모 4 2 3 3" xfId="25074"/>
    <cellStyle name="메모 4 2 3 3 2" xfId="25075"/>
    <cellStyle name="메모 4 2 3 3 2 2" xfId="25076"/>
    <cellStyle name="메모 4 2 3 3 2 2 2" xfId="25077"/>
    <cellStyle name="메모 4 2 3 3 2 2 3" xfId="25078"/>
    <cellStyle name="메모 4 2 3 3 2 3" xfId="25079"/>
    <cellStyle name="메모 4 2 3 3 2 4" xfId="25080"/>
    <cellStyle name="메모 4 2 3 3 3" xfId="25081"/>
    <cellStyle name="메모 4 2 3 3 3 2" xfId="25082"/>
    <cellStyle name="메모 4 2 3 3 3 3" xfId="25083"/>
    <cellStyle name="메모 4 2 3 3 4" xfId="25084"/>
    <cellStyle name="메모 4 2 3 3 5" xfId="25085"/>
    <cellStyle name="메모 4 2 3 4" xfId="25086"/>
    <cellStyle name="메모 4 2 3 4 2" xfId="25087"/>
    <cellStyle name="메모 4 2 3 4 2 2" xfId="25088"/>
    <cellStyle name="메모 4 2 3 4 2 3" xfId="25089"/>
    <cellStyle name="메모 4 2 3 4 3" xfId="25090"/>
    <cellStyle name="메모 4 2 3 4 4" xfId="25091"/>
    <cellStyle name="메모 4 2 3 5" xfId="25092"/>
    <cellStyle name="메모 4 2 3 5 2" xfId="25093"/>
    <cellStyle name="메모 4 2 3 5 3" xfId="25094"/>
    <cellStyle name="메모 4 2 3 6" xfId="25095"/>
    <cellStyle name="메모 4 2 3 7" xfId="25096"/>
    <cellStyle name="메모 4 2 4" xfId="25097"/>
    <cellStyle name="메모 4 2 4 2" xfId="25098"/>
    <cellStyle name="메모 4 2 4 2 2" xfId="25099"/>
    <cellStyle name="메모 4 2 4 2 2 2" xfId="25100"/>
    <cellStyle name="메모 4 2 4 2 2 3" xfId="25101"/>
    <cellStyle name="메모 4 2 4 2 3" xfId="25102"/>
    <cellStyle name="메모 4 2 4 2 4" xfId="25103"/>
    <cellStyle name="메모 4 2 4 3" xfId="25104"/>
    <cellStyle name="메모 4 2 4 3 2" xfId="25105"/>
    <cellStyle name="메모 4 2 4 3 3" xfId="25106"/>
    <cellStyle name="메모 4 2 4 4" xfId="25107"/>
    <cellStyle name="메모 4 2 4 5" xfId="25108"/>
    <cellStyle name="메모 4 2 5" xfId="25109"/>
    <cellStyle name="메모 4 2 5 2" xfId="25110"/>
    <cellStyle name="메모 4 2 5 2 2" xfId="25111"/>
    <cellStyle name="메모 4 2 5 2 2 2" xfId="25112"/>
    <cellStyle name="메모 4 2 5 2 2 3" xfId="25113"/>
    <cellStyle name="메모 4 2 5 2 3" xfId="25114"/>
    <cellStyle name="메모 4 2 5 2 4" xfId="25115"/>
    <cellStyle name="메모 4 2 5 3" xfId="25116"/>
    <cellStyle name="메모 4 2 5 3 2" xfId="25117"/>
    <cellStyle name="메모 4 2 5 3 3" xfId="25118"/>
    <cellStyle name="메모 4 2 5 4" xfId="25119"/>
    <cellStyle name="메모 4 2 5 5" xfId="25120"/>
    <cellStyle name="메모 4 2 6" xfId="25121"/>
    <cellStyle name="메모 4 2 6 2" xfId="25122"/>
    <cellStyle name="메모 4 2 6 2 2" xfId="25123"/>
    <cellStyle name="메모 4 2 6 2 2 2" xfId="25124"/>
    <cellStyle name="메모 4 2 6 2 2 3" xfId="25125"/>
    <cellStyle name="메모 4 2 6 2 3" xfId="25126"/>
    <cellStyle name="메모 4 2 6 2 4" xfId="25127"/>
    <cellStyle name="메모 4 2 6 3" xfId="25128"/>
    <cellStyle name="메모 4 2 6 3 2" xfId="25129"/>
    <cellStyle name="메모 4 2 6 3 3" xfId="25130"/>
    <cellStyle name="메모 4 2 6 4" xfId="25131"/>
    <cellStyle name="메모 4 2 6 5" xfId="25132"/>
    <cellStyle name="메모 4 2 7" xfId="25133"/>
    <cellStyle name="메모 4 2 7 2" xfId="25134"/>
    <cellStyle name="메모 4 2 7 2 2" xfId="25135"/>
    <cellStyle name="메모 4 2 7 2 3" xfId="25136"/>
    <cellStyle name="메모 4 2 7 3" xfId="25137"/>
    <cellStyle name="메모 4 2 7 4" xfId="25138"/>
    <cellStyle name="메모 4 2 8" xfId="25139"/>
    <cellStyle name="메모 4 2 8 2" xfId="25140"/>
    <cellStyle name="메모 4 2 8 3" xfId="25141"/>
    <cellStyle name="메모 4 2 9" xfId="25142"/>
    <cellStyle name="메모 4 3" xfId="25143"/>
    <cellStyle name="메모 4 3 10" xfId="25144"/>
    <cellStyle name="메모 4 3 11" xfId="25145"/>
    <cellStyle name="메모 4 3 12" xfId="25146"/>
    <cellStyle name="메모 4 3 2" xfId="25147"/>
    <cellStyle name="메모 4 3 2 2" xfId="25148"/>
    <cellStyle name="메모 4 3 2 2 2" xfId="25149"/>
    <cellStyle name="메모 4 3 2 2 2 2" xfId="25150"/>
    <cellStyle name="메모 4 3 2 2 2 2 2" xfId="25151"/>
    <cellStyle name="메모 4 3 2 2 2 2 3" xfId="25152"/>
    <cellStyle name="메모 4 3 2 2 2 3" xfId="25153"/>
    <cellStyle name="메모 4 3 2 2 2 4" xfId="25154"/>
    <cellStyle name="메모 4 3 2 2 3" xfId="25155"/>
    <cellStyle name="메모 4 3 2 2 3 2" xfId="25156"/>
    <cellStyle name="메모 4 3 2 2 3 3" xfId="25157"/>
    <cellStyle name="메모 4 3 2 2 4" xfId="25158"/>
    <cellStyle name="메모 4 3 2 2 5" xfId="25159"/>
    <cellStyle name="메모 4 3 2 3" xfId="25160"/>
    <cellStyle name="메모 4 3 2 3 2" xfId="25161"/>
    <cellStyle name="메모 4 3 2 3 2 2" xfId="25162"/>
    <cellStyle name="메모 4 3 2 3 2 2 2" xfId="25163"/>
    <cellStyle name="메모 4 3 2 3 2 2 3" xfId="25164"/>
    <cellStyle name="메모 4 3 2 3 2 3" xfId="25165"/>
    <cellStyle name="메모 4 3 2 3 2 4" xfId="25166"/>
    <cellStyle name="메모 4 3 2 3 3" xfId="25167"/>
    <cellStyle name="메모 4 3 2 3 3 2" xfId="25168"/>
    <cellStyle name="메모 4 3 2 3 3 3" xfId="25169"/>
    <cellStyle name="메모 4 3 2 3 4" xfId="25170"/>
    <cellStyle name="메모 4 3 2 3 5" xfId="25171"/>
    <cellStyle name="메모 4 3 2 4" xfId="25172"/>
    <cellStyle name="메모 4 3 2 4 2" xfId="25173"/>
    <cellStyle name="메모 4 3 2 4 2 2" xfId="25174"/>
    <cellStyle name="메모 4 3 2 4 2 3" xfId="25175"/>
    <cellStyle name="메모 4 3 2 4 3" xfId="25176"/>
    <cellStyle name="메모 4 3 2 4 4" xfId="25177"/>
    <cellStyle name="메모 4 3 2 5" xfId="25178"/>
    <cellStyle name="메모 4 3 2 5 2" xfId="25179"/>
    <cellStyle name="메모 4 3 2 5 3" xfId="25180"/>
    <cellStyle name="메모 4 3 2 6" xfId="25181"/>
    <cellStyle name="메모 4 3 2 7" xfId="25182"/>
    <cellStyle name="메모 4 3 2 8" xfId="25183"/>
    <cellStyle name="메모 4 3 2 9" xfId="25184"/>
    <cellStyle name="메모 4 3 3" xfId="25185"/>
    <cellStyle name="메모 4 3 3 2" xfId="25186"/>
    <cellStyle name="메모 4 3 3 2 2" xfId="25187"/>
    <cellStyle name="메모 4 3 3 2 2 2" xfId="25188"/>
    <cellStyle name="메모 4 3 3 2 2 2 2" xfId="25189"/>
    <cellStyle name="메모 4 3 3 2 2 2 3" xfId="25190"/>
    <cellStyle name="메모 4 3 3 2 2 3" xfId="25191"/>
    <cellStyle name="메모 4 3 3 2 2 4" xfId="25192"/>
    <cellStyle name="메모 4 3 3 2 3" xfId="25193"/>
    <cellStyle name="메모 4 3 3 2 3 2" xfId="25194"/>
    <cellStyle name="메모 4 3 3 2 3 3" xfId="25195"/>
    <cellStyle name="메모 4 3 3 2 4" xfId="25196"/>
    <cellStyle name="메모 4 3 3 2 5" xfId="25197"/>
    <cellStyle name="메모 4 3 3 3" xfId="25198"/>
    <cellStyle name="메모 4 3 3 3 2" xfId="25199"/>
    <cellStyle name="메모 4 3 3 3 2 2" xfId="25200"/>
    <cellStyle name="메모 4 3 3 3 2 2 2" xfId="25201"/>
    <cellStyle name="메모 4 3 3 3 2 2 3" xfId="25202"/>
    <cellStyle name="메모 4 3 3 3 2 3" xfId="25203"/>
    <cellStyle name="메모 4 3 3 3 2 4" xfId="25204"/>
    <cellStyle name="메모 4 3 3 3 3" xfId="25205"/>
    <cellStyle name="메모 4 3 3 3 3 2" xfId="25206"/>
    <cellStyle name="메모 4 3 3 3 3 3" xfId="25207"/>
    <cellStyle name="메모 4 3 3 3 4" xfId="25208"/>
    <cellStyle name="메모 4 3 3 3 5" xfId="25209"/>
    <cellStyle name="메모 4 3 3 4" xfId="25210"/>
    <cellStyle name="메모 4 3 3 4 2" xfId="25211"/>
    <cellStyle name="메모 4 3 3 4 2 2" xfId="25212"/>
    <cellStyle name="메모 4 3 3 4 2 3" xfId="25213"/>
    <cellStyle name="메모 4 3 3 4 3" xfId="25214"/>
    <cellStyle name="메모 4 3 3 4 4" xfId="25215"/>
    <cellStyle name="메모 4 3 3 5" xfId="25216"/>
    <cellStyle name="메모 4 3 3 5 2" xfId="25217"/>
    <cellStyle name="메모 4 3 3 5 3" xfId="25218"/>
    <cellStyle name="메모 4 3 3 6" xfId="25219"/>
    <cellStyle name="메모 4 3 3 7" xfId="25220"/>
    <cellStyle name="메모 4 3 4" xfId="25221"/>
    <cellStyle name="메모 4 3 4 2" xfId="25222"/>
    <cellStyle name="메모 4 3 4 2 2" xfId="25223"/>
    <cellStyle name="메모 4 3 4 2 2 2" xfId="25224"/>
    <cellStyle name="메모 4 3 4 2 2 3" xfId="25225"/>
    <cellStyle name="메모 4 3 4 2 3" xfId="25226"/>
    <cellStyle name="메모 4 3 4 2 4" xfId="25227"/>
    <cellStyle name="메모 4 3 4 3" xfId="25228"/>
    <cellStyle name="메모 4 3 4 3 2" xfId="25229"/>
    <cellStyle name="메모 4 3 4 3 3" xfId="25230"/>
    <cellStyle name="메모 4 3 4 4" xfId="25231"/>
    <cellStyle name="메모 4 3 4 5" xfId="25232"/>
    <cellStyle name="메모 4 3 5" xfId="25233"/>
    <cellStyle name="메모 4 3 5 2" xfId="25234"/>
    <cellStyle name="메모 4 3 5 2 2" xfId="25235"/>
    <cellStyle name="메모 4 3 5 2 2 2" xfId="25236"/>
    <cellStyle name="메모 4 3 5 2 2 3" xfId="25237"/>
    <cellStyle name="메모 4 3 5 2 3" xfId="25238"/>
    <cellStyle name="메모 4 3 5 2 4" xfId="25239"/>
    <cellStyle name="메모 4 3 5 3" xfId="25240"/>
    <cellStyle name="메모 4 3 5 3 2" xfId="25241"/>
    <cellStyle name="메모 4 3 5 3 3" xfId="25242"/>
    <cellStyle name="메모 4 3 5 4" xfId="25243"/>
    <cellStyle name="메모 4 3 5 5" xfId="25244"/>
    <cellStyle name="메모 4 3 6" xfId="25245"/>
    <cellStyle name="메모 4 3 6 2" xfId="25246"/>
    <cellStyle name="메모 4 3 6 2 2" xfId="25247"/>
    <cellStyle name="메모 4 3 6 2 2 2" xfId="25248"/>
    <cellStyle name="메모 4 3 6 2 2 3" xfId="25249"/>
    <cellStyle name="메모 4 3 6 2 3" xfId="25250"/>
    <cellStyle name="메모 4 3 6 2 4" xfId="25251"/>
    <cellStyle name="메모 4 3 6 3" xfId="25252"/>
    <cellStyle name="메모 4 3 6 3 2" xfId="25253"/>
    <cellStyle name="메모 4 3 6 3 3" xfId="25254"/>
    <cellStyle name="메모 4 3 6 4" xfId="25255"/>
    <cellStyle name="메모 4 3 6 5" xfId="25256"/>
    <cellStyle name="메모 4 3 7" xfId="25257"/>
    <cellStyle name="메모 4 3 7 2" xfId="25258"/>
    <cellStyle name="메모 4 3 7 2 2" xfId="25259"/>
    <cellStyle name="메모 4 3 7 2 3" xfId="25260"/>
    <cellStyle name="메모 4 3 7 3" xfId="25261"/>
    <cellStyle name="메모 4 3 7 4" xfId="25262"/>
    <cellStyle name="메모 4 3 8" xfId="25263"/>
    <cellStyle name="메모 4 3 8 2" xfId="25264"/>
    <cellStyle name="메모 4 3 8 3" xfId="25265"/>
    <cellStyle name="메모 4 3 9" xfId="25266"/>
    <cellStyle name="메모 4 4" xfId="25267"/>
    <cellStyle name="메모 4 4 10" xfId="25268"/>
    <cellStyle name="메모 4 4 11" xfId="25269"/>
    <cellStyle name="메모 4 4 12" xfId="25270"/>
    <cellStyle name="메모 4 4 2" xfId="25271"/>
    <cellStyle name="메모 4 4 2 2" xfId="25272"/>
    <cellStyle name="메모 4 4 2 2 2" xfId="25273"/>
    <cellStyle name="메모 4 4 2 2 2 2" xfId="25274"/>
    <cellStyle name="메모 4 4 2 2 2 2 2" xfId="25275"/>
    <cellStyle name="메모 4 4 2 2 2 2 3" xfId="25276"/>
    <cellStyle name="메모 4 4 2 2 2 3" xfId="25277"/>
    <cellStyle name="메모 4 4 2 2 2 4" xfId="25278"/>
    <cellStyle name="메모 4 4 2 2 3" xfId="25279"/>
    <cellStyle name="메모 4 4 2 2 3 2" xfId="25280"/>
    <cellStyle name="메모 4 4 2 2 3 3" xfId="25281"/>
    <cellStyle name="메모 4 4 2 2 4" xfId="25282"/>
    <cellStyle name="메모 4 4 2 2 5" xfId="25283"/>
    <cellStyle name="메모 4 4 2 3" xfId="25284"/>
    <cellStyle name="메모 4 4 2 3 2" xfId="25285"/>
    <cellStyle name="메모 4 4 2 3 2 2" xfId="25286"/>
    <cellStyle name="메모 4 4 2 3 2 2 2" xfId="25287"/>
    <cellStyle name="메모 4 4 2 3 2 2 3" xfId="25288"/>
    <cellStyle name="메모 4 4 2 3 2 3" xfId="25289"/>
    <cellStyle name="메모 4 4 2 3 2 4" xfId="25290"/>
    <cellStyle name="메모 4 4 2 3 3" xfId="25291"/>
    <cellStyle name="메모 4 4 2 3 3 2" xfId="25292"/>
    <cellStyle name="메모 4 4 2 3 3 3" xfId="25293"/>
    <cellStyle name="메모 4 4 2 3 4" xfId="25294"/>
    <cellStyle name="메모 4 4 2 3 5" xfId="25295"/>
    <cellStyle name="메모 4 4 2 4" xfId="25296"/>
    <cellStyle name="메모 4 4 2 4 2" xfId="25297"/>
    <cellStyle name="메모 4 4 2 4 2 2" xfId="25298"/>
    <cellStyle name="메모 4 4 2 4 2 3" xfId="25299"/>
    <cellStyle name="메모 4 4 2 4 3" xfId="25300"/>
    <cellStyle name="메모 4 4 2 4 4" xfId="25301"/>
    <cellStyle name="메모 4 4 2 5" xfId="25302"/>
    <cellStyle name="메모 4 4 2 5 2" xfId="25303"/>
    <cellStyle name="메모 4 4 2 5 3" xfId="25304"/>
    <cellStyle name="메모 4 4 2 6" xfId="25305"/>
    <cellStyle name="메모 4 4 2 7" xfId="25306"/>
    <cellStyle name="메모 4 4 3" xfId="25307"/>
    <cellStyle name="메모 4 4 3 2" xfId="25308"/>
    <cellStyle name="메모 4 4 3 2 2" xfId="25309"/>
    <cellStyle name="메모 4 4 3 2 2 2" xfId="25310"/>
    <cellStyle name="메모 4 4 3 2 2 2 2" xfId="25311"/>
    <cellStyle name="메모 4 4 3 2 2 2 3" xfId="25312"/>
    <cellStyle name="메모 4 4 3 2 2 3" xfId="25313"/>
    <cellStyle name="메모 4 4 3 2 2 4" xfId="25314"/>
    <cellStyle name="메모 4 4 3 2 3" xfId="25315"/>
    <cellStyle name="메모 4 4 3 2 3 2" xfId="25316"/>
    <cellStyle name="메모 4 4 3 2 3 3" xfId="25317"/>
    <cellStyle name="메모 4 4 3 2 4" xfId="25318"/>
    <cellStyle name="메모 4 4 3 2 5" xfId="25319"/>
    <cellStyle name="메모 4 4 3 3" xfId="25320"/>
    <cellStyle name="메모 4 4 3 3 2" xfId="25321"/>
    <cellStyle name="메모 4 4 3 3 2 2" xfId="25322"/>
    <cellStyle name="메모 4 4 3 3 2 2 2" xfId="25323"/>
    <cellStyle name="메모 4 4 3 3 2 2 3" xfId="25324"/>
    <cellStyle name="메모 4 4 3 3 2 3" xfId="25325"/>
    <cellStyle name="메모 4 4 3 3 2 4" xfId="25326"/>
    <cellStyle name="메모 4 4 3 3 3" xfId="25327"/>
    <cellStyle name="메모 4 4 3 3 3 2" xfId="25328"/>
    <cellStyle name="메모 4 4 3 3 3 3" xfId="25329"/>
    <cellStyle name="메모 4 4 3 3 4" xfId="25330"/>
    <cellStyle name="메모 4 4 3 3 5" xfId="25331"/>
    <cellStyle name="메모 4 4 3 4" xfId="25332"/>
    <cellStyle name="메모 4 4 3 4 2" xfId="25333"/>
    <cellStyle name="메모 4 4 3 4 2 2" xfId="25334"/>
    <cellStyle name="메모 4 4 3 4 2 3" xfId="25335"/>
    <cellStyle name="메모 4 4 3 4 3" xfId="25336"/>
    <cellStyle name="메모 4 4 3 4 4" xfId="25337"/>
    <cellStyle name="메모 4 4 3 5" xfId="25338"/>
    <cellStyle name="메모 4 4 3 5 2" xfId="25339"/>
    <cellStyle name="메모 4 4 3 5 3" xfId="25340"/>
    <cellStyle name="메모 4 4 3 6" xfId="25341"/>
    <cellStyle name="메모 4 4 3 7" xfId="25342"/>
    <cellStyle name="메모 4 4 4" xfId="25343"/>
    <cellStyle name="메모 4 4 4 2" xfId="25344"/>
    <cellStyle name="메모 4 4 4 2 2" xfId="25345"/>
    <cellStyle name="메모 4 4 4 2 2 2" xfId="25346"/>
    <cellStyle name="메모 4 4 4 2 2 3" xfId="25347"/>
    <cellStyle name="메모 4 4 4 2 3" xfId="25348"/>
    <cellStyle name="메모 4 4 4 2 4" xfId="25349"/>
    <cellStyle name="메모 4 4 4 3" xfId="25350"/>
    <cellStyle name="메모 4 4 4 3 2" xfId="25351"/>
    <cellStyle name="메모 4 4 4 3 3" xfId="25352"/>
    <cellStyle name="메모 4 4 4 4" xfId="25353"/>
    <cellStyle name="메모 4 4 4 5" xfId="25354"/>
    <cellStyle name="메모 4 4 5" xfId="25355"/>
    <cellStyle name="메모 4 4 5 2" xfId="25356"/>
    <cellStyle name="메모 4 4 5 2 2" xfId="25357"/>
    <cellStyle name="메모 4 4 5 2 2 2" xfId="25358"/>
    <cellStyle name="메모 4 4 5 2 2 3" xfId="25359"/>
    <cellStyle name="메모 4 4 5 2 3" xfId="25360"/>
    <cellStyle name="메모 4 4 5 2 4" xfId="25361"/>
    <cellStyle name="메모 4 4 5 3" xfId="25362"/>
    <cellStyle name="메모 4 4 5 3 2" xfId="25363"/>
    <cellStyle name="메모 4 4 5 3 3" xfId="25364"/>
    <cellStyle name="메모 4 4 5 4" xfId="25365"/>
    <cellStyle name="메모 4 4 5 5" xfId="25366"/>
    <cellStyle name="메모 4 4 6" xfId="25367"/>
    <cellStyle name="메모 4 4 6 2" xfId="25368"/>
    <cellStyle name="메모 4 4 6 2 2" xfId="25369"/>
    <cellStyle name="메모 4 4 6 2 2 2" xfId="25370"/>
    <cellStyle name="메모 4 4 6 2 2 3" xfId="25371"/>
    <cellStyle name="메모 4 4 6 2 3" xfId="25372"/>
    <cellStyle name="메모 4 4 6 2 4" xfId="25373"/>
    <cellStyle name="메모 4 4 6 3" xfId="25374"/>
    <cellStyle name="메모 4 4 6 3 2" xfId="25375"/>
    <cellStyle name="메모 4 4 6 3 3" xfId="25376"/>
    <cellStyle name="메모 4 4 6 4" xfId="25377"/>
    <cellStyle name="메모 4 4 6 5" xfId="25378"/>
    <cellStyle name="메모 4 4 7" xfId="25379"/>
    <cellStyle name="메모 4 4 7 2" xfId="25380"/>
    <cellStyle name="메모 4 4 7 2 2" xfId="25381"/>
    <cellStyle name="메모 4 4 7 2 3" xfId="25382"/>
    <cellStyle name="메모 4 4 7 3" xfId="25383"/>
    <cellStyle name="메모 4 4 7 4" xfId="25384"/>
    <cellStyle name="메모 4 4 8" xfId="25385"/>
    <cellStyle name="메모 4 4 8 2" xfId="25386"/>
    <cellStyle name="메모 4 4 8 3" xfId="25387"/>
    <cellStyle name="메모 4 4 9" xfId="25388"/>
    <cellStyle name="메모 4 5" xfId="25389"/>
    <cellStyle name="메모 4 5 2" xfId="25390"/>
    <cellStyle name="메모 4 5 2 2" xfId="25391"/>
    <cellStyle name="메모 4 5 2 2 2" xfId="25392"/>
    <cellStyle name="메모 4 5 2 2 2 2" xfId="25393"/>
    <cellStyle name="메모 4 5 2 2 2 3" xfId="25394"/>
    <cellStyle name="메모 4 5 2 2 3" xfId="25395"/>
    <cellStyle name="메모 4 5 2 2 4" xfId="25396"/>
    <cellStyle name="메모 4 5 2 3" xfId="25397"/>
    <cellStyle name="메모 4 5 2 3 2" xfId="25398"/>
    <cellStyle name="메모 4 5 2 3 3" xfId="25399"/>
    <cellStyle name="메모 4 5 2 4" xfId="25400"/>
    <cellStyle name="메모 4 5 2 5" xfId="25401"/>
    <cellStyle name="메모 4 5 3" xfId="25402"/>
    <cellStyle name="메모 4 5 3 2" xfId="25403"/>
    <cellStyle name="메모 4 5 3 2 2" xfId="25404"/>
    <cellStyle name="메모 4 5 3 2 2 2" xfId="25405"/>
    <cellStyle name="메모 4 5 3 2 2 3" xfId="25406"/>
    <cellStyle name="메모 4 5 3 2 3" xfId="25407"/>
    <cellStyle name="메모 4 5 3 2 4" xfId="25408"/>
    <cellStyle name="메모 4 5 3 3" xfId="25409"/>
    <cellStyle name="메모 4 5 3 3 2" xfId="25410"/>
    <cellStyle name="메모 4 5 3 3 3" xfId="25411"/>
    <cellStyle name="메모 4 5 3 4" xfId="25412"/>
    <cellStyle name="메모 4 5 3 5" xfId="25413"/>
    <cellStyle name="메모 4 5 4" xfId="25414"/>
    <cellStyle name="메모 4 5 4 2" xfId="25415"/>
    <cellStyle name="메모 4 5 4 2 2" xfId="25416"/>
    <cellStyle name="메모 4 5 4 2 3" xfId="25417"/>
    <cellStyle name="메모 4 5 4 3" xfId="25418"/>
    <cellStyle name="메모 4 5 4 4" xfId="25419"/>
    <cellStyle name="메모 4 5 5" xfId="25420"/>
    <cellStyle name="메모 4 5 5 2" xfId="25421"/>
    <cellStyle name="메모 4 5 5 3" xfId="25422"/>
    <cellStyle name="메모 4 5 6" xfId="25423"/>
    <cellStyle name="메모 4 5 7" xfId="25424"/>
    <cellStyle name="메모 4 6" xfId="25425"/>
    <cellStyle name="메모 4 6 2" xfId="25426"/>
    <cellStyle name="메모 4 6 2 2" xfId="25427"/>
    <cellStyle name="메모 4 6 2 2 2" xfId="25428"/>
    <cellStyle name="메모 4 6 2 2 2 2" xfId="25429"/>
    <cellStyle name="메모 4 6 2 2 2 3" xfId="25430"/>
    <cellStyle name="메모 4 6 2 2 3" xfId="25431"/>
    <cellStyle name="메모 4 6 2 2 4" xfId="25432"/>
    <cellStyle name="메모 4 6 2 3" xfId="25433"/>
    <cellStyle name="메모 4 6 2 3 2" xfId="25434"/>
    <cellStyle name="메모 4 6 2 3 3" xfId="25435"/>
    <cellStyle name="메모 4 6 2 4" xfId="25436"/>
    <cellStyle name="메모 4 6 2 5" xfId="25437"/>
    <cellStyle name="메모 4 6 3" xfId="25438"/>
    <cellStyle name="메모 4 6 3 2" xfId="25439"/>
    <cellStyle name="메모 4 6 3 2 2" xfId="25440"/>
    <cellStyle name="메모 4 6 3 2 2 2" xfId="25441"/>
    <cellStyle name="메모 4 6 3 2 2 3" xfId="25442"/>
    <cellStyle name="메모 4 6 3 2 3" xfId="25443"/>
    <cellStyle name="메모 4 6 3 2 4" xfId="25444"/>
    <cellStyle name="메모 4 6 3 3" xfId="25445"/>
    <cellStyle name="메모 4 6 3 3 2" xfId="25446"/>
    <cellStyle name="메모 4 6 3 3 3" xfId="25447"/>
    <cellStyle name="메모 4 6 3 4" xfId="25448"/>
    <cellStyle name="메모 4 6 3 5" xfId="25449"/>
    <cellStyle name="메모 4 6 4" xfId="25450"/>
    <cellStyle name="메모 4 6 4 2" xfId="25451"/>
    <cellStyle name="메모 4 6 4 2 2" xfId="25452"/>
    <cellStyle name="메모 4 6 4 2 3" xfId="25453"/>
    <cellStyle name="메모 4 6 4 3" xfId="25454"/>
    <cellStyle name="메모 4 6 4 4" xfId="25455"/>
    <cellStyle name="메모 4 6 5" xfId="25456"/>
    <cellStyle name="메모 4 6 5 2" xfId="25457"/>
    <cellStyle name="메모 4 6 5 3" xfId="25458"/>
    <cellStyle name="메모 4 6 6" xfId="25459"/>
    <cellStyle name="메모 4 6 7" xfId="25460"/>
    <cellStyle name="메모 4 7" xfId="25461"/>
    <cellStyle name="메모 4 7 2" xfId="25462"/>
    <cellStyle name="메모 4 7 2 2" xfId="25463"/>
    <cellStyle name="메모 4 7 2 2 2" xfId="25464"/>
    <cellStyle name="메모 4 7 2 2 3" xfId="25465"/>
    <cellStyle name="메모 4 7 2 3" xfId="25466"/>
    <cellStyle name="메모 4 7 2 4" xfId="25467"/>
    <cellStyle name="메모 4 7 3" xfId="25468"/>
    <cellStyle name="메모 4 7 3 2" xfId="25469"/>
    <cellStyle name="메모 4 7 3 3" xfId="25470"/>
    <cellStyle name="메모 4 7 4" xfId="25471"/>
    <cellStyle name="메모 4 7 5" xfId="25472"/>
    <cellStyle name="메모 4 8" xfId="25473"/>
    <cellStyle name="메모 4 8 2" xfId="25474"/>
    <cellStyle name="메모 4 8 2 2" xfId="25475"/>
    <cellStyle name="메모 4 8 2 2 2" xfId="25476"/>
    <cellStyle name="메모 4 8 2 2 3" xfId="25477"/>
    <cellStyle name="메모 4 8 2 3" xfId="25478"/>
    <cellStyle name="메모 4 8 2 4" xfId="25479"/>
    <cellStyle name="메모 4 8 3" xfId="25480"/>
    <cellStyle name="메모 4 8 3 2" xfId="25481"/>
    <cellStyle name="메모 4 8 3 3" xfId="25482"/>
    <cellStyle name="메모 4 8 4" xfId="25483"/>
    <cellStyle name="메모 4 8 5" xfId="25484"/>
    <cellStyle name="메모 4 9" xfId="25485"/>
    <cellStyle name="메모 4 9 2" xfId="25486"/>
    <cellStyle name="메모 4 9 2 2" xfId="25487"/>
    <cellStyle name="메모 4 9 2 2 2" xfId="25488"/>
    <cellStyle name="메모 4 9 2 2 3" xfId="25489"/>
    <cellStyle name="메모 4 9 2 3" xfId="25490"/>
    <cellStyle name="메모 4 9 2 4" xfId="25491"/>
    <cellStyle name="메모 4 9 3" xfId="25492"/>
    <cellStyle name="메모 4 9 3 2" xfId="25493"/>
    <cellStyle name="메모 4 9 3 3" xfId="25494"/>
    <cellStyle name="메모 4 9 4" xfId="25495"/>
    <cellStyle name="메모 4 9 5" xfId="25496"/>
    <cellStyle name="메모 40" xfId="25497"/>
    <cellStyle name="메모 41" xfId="25498"/>
    <cellStyle name="메모 42" xfId="25499"/>
    <cellStyle name="메모 43" xfId="25500"/>
    <cellStyle name="메모 44" xfId="25501"/>
    <cellStyle name="메모 45" xfId="25502"/>
    <cellStyle name="메모 46" xfId="25503"/>
    <cellStyle name="메모 47" xfId="25504"/>
    <cellStyle name="메모 48" xfId="25505"/>
    <cellStyle name="메모 49" xfId="25506"/>
    <cellStyle name="메모 5" xfId="25507"/>
    <cellStyle name="메모 5 2" xfId="25508"/>
    <cellStyle name="메모 5 2 2" xfId="25509"/>
    <cellStyle name="메모 5 2 2 2" xfId="25510"/>
    <cellStyle name="메모 5 2 2 2 2" xfId="25511"/>
    <cellStyle name="메모 5 2 2 2 3" xfId="25512"/>
    <cellStyle name="메모 5 2 2 3" xfId="25513"/>
    <cellStyle name="메모 5 2 2 4" xfId="25514"/>
    <cellStyle name="메모 5 2 3" xfId="25515"/>
    <cellStyle name="메모 5 2 3 2" xfId="25516"/>
    <cellStyle name="메모 5 2 3 3" xfId="25517"/>
    <cellStyle name="메모 5 2 4" xfId="25518"/>
    <cellStyle name="메모 5 2 5" xfId="25519"/>
    <cellStyle name="메모 5 3" xfId="25520"/>
    <cellStyle name="메모 5 3 2" xfId="25521"/>
    <cellStyle name="메모 5 3 2 2" xfId="25522"/>
    <cellStyle name="메모 5 3 2 2 2" xfId="25523"/>
    <cellStyle name="메모 5 3 2 2 3" xfId="25524"/>
    <cellStyle name="메모 5 3 2 3" xfId="25525"/>
    <cellStyle name="메모 5 3 2 4" xfId="25526"/>
    <cellStyle name="메모 5 3 3" xfId="25527"/>
    <cellStyle name="메모 5 3 3 2" xfId="25528"/>
    <cellStyle name="메모 5 3 3 3" xfId="25529"/>
    <cellStyle name="메모 5 3 4" xfId="25530"/>
    <cellStyle name="메모 5 3 5" xfId="25531"/>
    <cellStyle name="메모 5 4" xfId="25532"/>
    <cellStyle name="메모 5 4 2" xfId="25533"/>
    <cellStyle name="메모 5 4 2 2" xfId="25534"/>
    <cellStyle name="메모 5 4 2 3" xfId="25535"/>
    <cellStyle name="메모 5 4 3" xfId="25536"/>
    <cellStyle name="메모 5 4 4" xfId="25537"/>
    <cellStyle name="메모 5 5" xfId="25538"/>
    <cellStyle name="메모 5 5 2" xfId="25539"/>
    <cellStyle name="메모 5 5 3" xfId="25540"/>
    <cellStyle name="메모 5 6" xfId="25541"/>
    <cellStyle name="메모 5 7" xfId="25542"/>
    <cellStyle name="메모 5 8" xfId="25543"/>
    <cellStyle name="메모 50" xfId="25544"/>
    <cellStyle name="메모 51" xfId="25545"/>
    <cellStyle name="메모 52" xfId="25546"/>
    <cellStyle name="메모 53" xfId="25547"/>
    <cellStyle name="메모 54" xfId="25548"/>
    <cellStyle name="메모 55" xfId="25549"/>
    <cellStyle name="메모 56" xfId="25550"/>
    <cellStyle name="메모 57" xfId="25551"/>
    <cellStyle name="메모 58" xfId="25552"/>
    <cellStyle name="메모 59" xfId="25553"/>
    <cellStyle name="메모 6" xfId="25554"/>
    <cellStyle name="메모 6 2" xfId="25555"/>
    <cellStyle name="메모 6 2 2" xfId="25556"/>
    <cellStyle name="메모 6 2 3" xfId="25557"/>
    <cellStyle name="메모 6 3" xfId="25558"/>
    <cellStyle name="메모 6 4" xfId="25559"/>
    <cellStyle name="메모 7" xfId="25560"/>
    <cellStyle name="메모 7 2" xfId="25561"/>
    <cellStyle name="메모 7 3" xfId="25562"/>
    <cellStyle name="메모 8" xfId="25563"/>
    <cellStyle name="메모 8 2" xfId="25564"/>
    <cellStyle name="메모 8 3" xfId="25565"/>
    <cellStyle name="메모 9" xfId="25566"/>
    <cellStyle name="메모 9 2" xfId="25567"/>
    <cellStyle name="메모 9 3" xfId="25568"/>
    <cellStyle name="묮뎋 [0.00]_PRODUCT DETAIL Q1" xfId="25569"/>
    <cellStyle name="묮뎋_PRODUCT DETAIL Q1" xfId="25570"/>
    <cellStyle name="믅됞 [0.00]_NT Server " xfId="25571"/>
    <cellStyle name="믅됞_NT Server " xfId="25572"/>
    <cellStyle name="백" xfId="25573"/>
    <cellStyle name="백_ROTATION 유동" xfId="25574"/>
    <cellStyle name="백_ROTATION 유동_도금 열처리 주단조 평가품의(040329)" xfId="25575"/>
    <cellStyle name="백_ROTATION 유동_도금 열처리 주단조 평가품의(040329)_도금 열처리 주단조 평가품의(040329)" xfId="25576"/>
    <cellStyle name="백_ROTATION 유동_도금 열처리 주단조 평가품의(040329)업체" xfId="25577"/>
    <cellStyle name="백_ROTATION 유동_열처리결과품의(031017)개발" xfId="25578"/>
    <cellStyle name="백_ROTATION 유동_열처리결과품의(031017)개발_도금 열처리 주단조 평가품의(040329)" xfId="25579"/>
    <cellStyle name="백_ROTATION 유동_용접업종 평가결과품의(040510)" xfId="25580"/>
    <cellStyle name="백_ROTATION 유동_용접업종 평가결과품의(040510)_용접업종 평가결과품의(040510)" xfId="25581"/>
    <cellStyle name="백_ROTATION 유동_용접업종 평가결과품의(040510)_용접업종 평가결과품의(040510)(1)" xfId="25582"/>
    <cellStyle name="백_ROTATION 유동_용접업종 평가결과품의(040510)_주단조용접업종 평가결과품의(040510)(1)" xfId="25583"/>
    <cellStyle name="백_ROTATION 유동_주단조 업종 평가결과품의(040407)" xfId="25584"/>
    <cellStyle name="백_ROTATION 유동_주단조 업종 평가결과품의(040407)_용접업종 평가결과품의(040510)" xfId="25585"/>
    <cellStyle name="백_ROTATION 유동_주단조 업종 평가결과품의(040407)_용접업종 평가결과품의(040510)(1)" xfId="25586"/>
    <cellStyle name="백_ROTATION 유동_주단조 업종 평가결과품의(040407)_주단조용접업종 평가결과품의(040510)(1)" xfId="25587"/>
    <cellStyle name="백_ROTATION 유동_주단조 업종 평가결과품의(040416)(1)" xfId="25588"/>
    <cellStyle name="백_ROTATION 유동_주단조 업종 평가결과품의(040416)(1)_용접업종 평가결과품의(040510)" xfId="25589"/>
    <cellStyle name="백_ROTATION 유동_주단조 업종 평가결과품의(040416)(1)_용접업종 평가결과품의(040510)(1)" xfId="25590"/>
    <cellStyle name="백_ROTATION 유동_주단조 업종 평가결과품의(040416)(1)_주단조용접업종 평가결과품의(040510)(1)" xfId="25591"/>
    <cellStyle name="백_ROTATION 유동_최신-SQ인증업체현황1343사(03년평가완료031229수정)" xfId="25592"/>
    <cellStyle name="백_ROTATION 유동_최신-SQ인증업체현황1343사(03년평가완료031229수정)_용접업종 평가결과품의(040510)" xfId="25593"/>
    <cellStyle name="백_ROTATION 유동_최신-SQ인증업체현황1343사(03년평가완료031229수정)_용접업종 평가결과품의(040510)(1)" xfId="25594"/>
    <cellStyle name="백_ROTATION 유동_최신-SQ인증업체현황1343사(03년평가완료031229수정)_주단조용접업종 평가결과품의(040510)(1)" xfId="25595"/>
    <cellStyle name="백_SLIDE 폭" xfId="25596"/>
    <cellStyle name="백_SLIDE 폭_도금 열처리 주단조 평가품의(040329)" xfId="25597"/>
    <cellStyle name="백_SLIDE 폭_도금 열처리 주단조 평가품의(040329)_도금 열처리 주단조 평가품의(040329)" xfId="25598"/>
    <cellStyle name="백_SLIDE 폭_도금 열처리 주단조 평가품의(040329)업체" xfId="25599"/>
    <cellStyle name="백_SLIDE 폭_열처리결과품의(031017)개발" xfId="25600"/>
    <cellStyle name="백_SLIDE 폭_열처리결과품의(031017)개발_도금 열처리 주단조 평가품의(040329)" xfId="25601"/>
    <cellStyle name="백_SLIDE 폭_용접업종 평가결과품의(040510)" xfId="25602"/>
    <cellStyle name="백_SLIDE 폭_용접업종 평가결과품의(040510)_용접업종 평가결과품의(040510)" xfId="25603"/>
    <cellStyle name="백_SLIDE 폭_용접업종 평가결과품의(040510)_용접업종 평가결과품의(040510)(1)" xfId="25604"/>
    <cellStyle name="백_SLIDE 폭_용접업종 평가결과품의(040510)_주단조용접업종 평가결과품의(040510)(1)" xfId="25605"/>
    <cellStyle name="백_SLIDE 폭_주단조 업종 평가결과품의(040407)" xfId="25606"/>
    <cellStyle name="백_SLIDE 폭_주단조 업종 평가결과품의(040407)_용접업종 평가결과품의(040510)" xfId="25607"/>
    <cellStyle name="백_SLIDE 폭_주단조 업종 평가결과품의(040407)_용접업종 평가결과품의(040510)(1)" xfId="25608"/>
    <cellStyle name="백_SLIDE 폭_주단조 업종 평가결과품의(040407)_주단조용접업종 평가결과품의(040510)(1)" xfId="25609"/>
    <cellStyle name="백_SLIDE 폭_주단조 업종 평가결과품의(040416)(1)" xfId="25610"/>
    <cellStyle name="백_SLIDE 폭_주단조 업종 평가결과품의(040416)(1)_용접업종 평가결과품의(040510)" xfId="25611"/>
    <cellStyle name="백_SLIDE 폭_주단조 업종 평가결과품의(040416)(1)_용접업종 평가결과품의(040510)(1)" xfId="25612"/>
    <cellStyle name="백_SLIDE 폭_주단조 업종 평가결과품의(040416)(1)_주단조용접업종 평가결과품의(040510)(1)" xfId="25613"/>
    <cellStyle name="백_SLIDE 폭_최신-SQ인증업체현황1343사(03년평가완료031229수정)" xfId="25614"/>
    <cellStyle name="백_SLIDE 폭_최신-SQ인증업체현황1343사(03년평가완료031229수정)_용접업종 평가결과품의(040510)" xfId="25615"/>
    <cellStyle name="백_SLIDE 폭_최신-SQ인증업체현황1343사(03년평가완료031229수정)_용접업종 평가결과품의(040510)(1)" xfId="25616"/>
    <cellStyle name="백_SLIDE 폭_최신-SQ인증업체현황1343사(03년평가완료031229수정)_주단조용접업종 평가결과품의(040510)(1)" xfId="25617"/>
    <cellStyle name="백_도금 열처리 주단조 평가품의(040329)" xfId="25618"/>
    <cellStyle name="백_도금 열처리 주단조 평가품의(040329)_도금 열처리 주단조 평가품의(040329)" xfId="25619"/>
    <cellStyle name="백_도금 열처리 주단조 평가품의(040329)업체" xfId="25620"/>
    <cellStyle name="백_사전회의(1208)" xfId="25621"/>
    <cellStyle name="백_사전회의(1208)_ROTATION 유동" xfId="25622"/>
    <cellStyle name="백_사전회의(1208)_ROTATION 유동_도금 열처리 주단조 평가품의(040329)" xfId="25623"/>
    <cellStyle name="백_사전회의(1208)_ROTATION 유동_도금 열처리 주단조 평가품의(040329)_도금 열처리 주단조 평가품의(040329)" xfId="25624"/>
    <cellStyle name="백_사전회의(1208)_ROTATION 유동_도금 열처리 주단조 평가품의(040329)업체" xfId="25625"/>
    <cellStyle name="백_사전회의(1208)_ROTATION 유동_열처리결과품의(031017)개발" xfId="25626"/>
    <cellStyle name="백_사전회의(1208)_ROTATION 유동_열처리결과품의(031017)개발_도금 열처리 주단조 평가품의(040329)" xfId="25627"/>
    <cellStyle name="백_사전회의(1208)_ROTATION 유동_용접업종 평가결과품의(040510)" xfId="25628"/>
    <cellStyle name="백_사전회의(1208)_ROTATION 유동_용접업종 평가결과품의(040510)_용접업종 평가결과품의(040510)" xfId="25629"/>
    <cellStyle name="백_사전회의(1208)_ROTATION 유동_용접업종 평가결과품의(040510)_용접업종 평가결과품의(040510)(1)" xfId="25630"/>
    <cellStyle name="백_사전회의(1208)_ROTATION 유동_용접업종 평가결과품의(040510)_주단조용접업종 평가결과품의(040510)(1)" xfId="25631"/>
    <cellStyle name="백_사전회의(1208)_ROTATION 유동_주단조 업종 평가결과품의(040407)" xfId="25632"/>
    <cellStyle name="백_사전회의(1208)_ROTATION 유동_주단조 업종 평가결과품의(040407)_용접업종 평가결과품의(040510)" xfId="25633"/>
    <cellStyle name="백_사전회의(1208)_ROTATION 유동_주단조 업종 평가결과품의(040407)_용접업종 평가결과품의(040510)(1)" xfId="25634"/>
    <cellStyle name="백_사전회의(1208)_ROTATION 유동_주단조 업종 평가결과품의(040407)_주단조용접업종 평가결과품의(040510)(1)" xfId="25635"/>
    <cellStyle name="백_사전회의(1208)_ROTATION 유동_주단조 업종 평가결과품의(040416)(1)" xfId="25636"/>
    <cellStyle name="백_사전회의(1208)_ROTATION 유동_주단조 업종 평가결과품의(040416)(1)_용접업종 평가결과품의(040510)" xfId="25637"/>
    <cellStyle name="백_사전회의(1208)_ROTATION 유동_주단조 업종 평가결과품의(040416)(1)_용접업종 평가결과품의(040510)(1)" xfId="25638"/>
    <cellStyle name="백_사전회의(1208)_ROTATION 유동_주단조 업종 평가결과품의(040416)(1)_주단조용접업종 평가결과품의(040510)(1)" xfId="25639"/>
    <cellStyle name="백_사전회의(1208)_ROTATION 유동_최신-SQ인증업체현황1343사(03년평가완료031229수정)" xfId="25640"/>
    <cellStyle name="백_사전회의(1208)_ROTATION 유동_최신-SQ인증업체현황1343사(03년평가완료031229수정)_용접업종 평가결과품의(040510)" xfId="25641"/>
    <cellStyle name="백_사전회의(1208)_ROTATION 유동_최신-SQ인증업체현황1343사(03년평가완료031229수정)_용접업종 평가결과품의(040510)(1)" xfId="25642"/>
    <cellStyle name="백_사전회의(1208)_ROTATION 유동_최신-SQ인증업체현황1343사(03년평가완료031229수정)_주단조용접업종 평가결과품의(040510)(1)" xfId="25643"/>
    <cellStyle name="백_사전회의(1208)_SLIDE 폭" xfId="25644"/>
    <cellStyle name="백_사전회의(1208)_SLIDE 폭_도금 열처리 주단조 평가품의(040329)" xfId="25645"/>
    <cellStyle name="백_사전회의(1208)_SLIDE 폭_도금 열처리 주단조 평가품의(040329)_도금 열처리 주단조 평가품의(040329)" xfId="25646"/>
    <cellStyle name="백_사전회의(1208)_SLIDE 폭_도금 열처리 주단조 평가품의(040329)업체" xfId="25647"/>
    <cellStyle name="백_사전회의(1208)_SLIDE 폭_열처리결과품의(031017)개발" xfId="25648"/>
    <cellStyle name="백_사전회의(1208)_SLIDE 폭_열처리결과품의(031017)개발_도금 열처리 주단조 평가품의(040329)" xfId="25649"/>
    <cellStyle name="백_사전회의(1208)_SLIDE 폭_용접업종 평가결과품의(040510)" xfId="25650"/>
    <cellStyle name="백_사전회의(1208)_SLIDE 폭_용접업종 평가결과품의(040510)_용접업종 평가결과품의(040510)" xfId="25651"/>
    <cellStyle name="백_사전회의(1208)_SLIDE 폭_용접업종 평가결과품의(040510)_용접업종 평가결과품의(040510)(1)" xfId="25652"/>
    <cellStyle name="백_사전회의(1208)_SLIDE 폭_용접업종 평가결과품의(040510)_주단조용접업종 평가결과품의(040510)(1)" xfId="25653"/>
    <cellStyle name="백_사전회의(1208)_SLIDE 폭_주단조 업종 평가결과품의(040407)" xfId="25654"/>
    <cellStyle name="백_사전회의(1208)_SLIDE 폭_주단조 업종 평가결과품의(040407)_용접업종 평가결과품의(040510)" xfId="25655"/>
    <cellStyle name="백_사전회의(1208)_SLIDE 폭_주단조 업종 평가결과품의(040407)_용접업종 평가결과품의(040510)(1)" xfId="25656"/>
    <cellStyle name="백_사전회의(1208)_SLIDE 폭_주단조 업종 평가결과품의(040407)_주단조용접업종 평가결과품의(040510)(1)" xfId="25657"/>
    <cellStyle name="백_사전회의(1208)_SLIDE 폭_주단조 업종 평가결과품의(040416)(1)" xfId="25658"/>
    <cellStyle name="백_사전회의(1208)_SLIDE 폭_주단조 업종 평가결과품의(040416)(1)_용접업종 평가결과품의(040510)" xfId="25659"/>
    <cellStyle name="백_사전회의(1208)_SLIDE 폭_주단조 업종 평가결과품의(040416)(1)_용접업종 평가결과품의(040510)(1)" xfId="25660"/>
    <cellStyle name="백_사전회의(1208)_SLIDE 폭_주단조 업종 평가결과품의(040416)(1)_주단조용접업종 평가결과품의(040510)(1)" xfId="25661"/>
    <cellStyle name="백_사전회의(1208)_SLIDE 폭_최신-SQ인증업체현황1343사(03년평가완료031229수정)" xfId="25662"/>
    <cellStyle name="백_사전회의(1208)_SLIDE 폭_최신-SQ인증업체현황1343사(03년평가완료031229수정)_용접업종 평가결과품의(040510)" xfId="25663"/>
    <cellStyle name="백_사전회의(1208)_SLIDE 폭_최신-SQ인증업체현황1343사(03년평가완료031229수정)_용접업종 평가결과품의(040510)(1)" xfId="25664"/>
    <cellStyle name="백_사전회의(1208)_SLIDE 폭_최신-SQ인증업체현황1343사(03년평가완료031229수정)_주단조용접업종 평가결과품의(040510)(1)" xfId="25665"/>
    <cellStyle name="백_사전회의(1208)_도금 열처리 주단조 평가품의(040329)" xfId="25666"/>
    <cellStyle name="백_사전회의(1208)_도금 열처리 주단조 평가품의(040329)_도금 열처리 주단조 평가품의(040329)" xfId="25667"/>
    <cellStyle name="백_사전회의(1208)_도금 열처리 주단조 평가품의(040329)업체" xfId="25668"/>
    <cellStyle name="백_사전회의(1208)_새벽시장1" xfId="25669"/>
    <cellStyle name="백_사전회의(1208)_새벽시장1_도금 열처리 주단조 평가품의(040329)" xfId="25670"/>
    <cellStyle name="백_사전회의(1208)_새벽시장1_도금 열처리 주단조 평가품의(040329)_도금 열처리 주단조 평가품의(040329)" xfId="25671"/>
    <cellStyle name="백_사전회의(1208)_새벽시장1_도금 열처리 주단조 평가품의(040329)업체" xfId="25672"/>
    <cellStyle name="백_사전회의(1208)_새벽시장1_열처리결과품의(031017)개발" xfId="25673"/>
    <cellStyle name="백_사전회의(1208)_새벽시장1_열처리결과품의(031017)개발_도금 열처리 주단조 평가품의(040329)" xfId="25674"/>
    <cellStyle name="백_사전회의(1208)_새벽시장1_용접업종 평가결과품의(040510)" xfId="25675"/>
    <cellStyle name="백_사전회의(1208)_새벽시장1_용접업종 평가결과품의(040510)_용접업종 평가결과품의(040510)" xfId="25676"/>
    <cellStyle name="백_사전회의(1208)_새벽시장1_용접업종 평가결과품의(040510)_용접업종 평가결과품의(040510)(1)" xfId="25677"/>
    <cellStyle name="백_사전회의(1208)_새벽시장1_용접업종 평가결과품의(040510)_주단조용접업종 평가결과품의(040510)(1)" xfId="25678"/>
    <cellStyle name="백_사전회의(1208)_새벽시장1_주단조 업종 평가결과품의(040407)" xfId="25679"/>
    <cellStyle name="백_사전회의(1208)_새벽시장1_주단조 업종 평가결과품의(040407)_용접업종 평가결과품의(040510)" xfId="25680"/>
    <cellStyle name="백_사전회의(1208)_새벽시장1_주단조 업종 평가결과품의(040407)_용접업종 평가결과품의(040510)(1)" xfId="25681"/>
    <cellStyle name="백_사전회의(1208)_새벽시장1_주단조 업종 평가결과품의(040407)_주단조용접업종 평가결과품의(040510)(1)" xfId="25682"/>
    <cellStyle name="백_사전회의(1208)_새벽시장1_주단조 업종 평가결과품의(040416)(1)" xfId="25683"/>
    <cellStyle name="백_사전회의(1208)_새벽시장1_주단조 업종 평가결과품의(040416)(1)_용접업종 평가결과품의(040510)" xfId="25684"/>
    <cellStyle name="백_사전회의(1208)_새벽시장1_주단조 업종 평가결과품의(040416)(1)_용접업종 평가결과품의(040510)(1)" xfId="25685"/>
    <cellStyle name="백_사전회의(1208)_새벽시장1_주단조 업종 평가결과품의(040416)(1)_주단조용접업종 평가결과품의(040510)(1)" xfId="25686"/>
    <cellStyle name="백_사전회의(1208)_새벽시장1_최신-SQ인증업체현황1343사(03년평가완료031229수정)" xfId="25687"/>
    <cellStyle name="백_사전회의(1208)_새벽시장1_최신-SQ인증업체현황1343사(03년평가완료031229수정)_용접업종 평가결과품의(040510)" xfId="25688"/>
    <cellStyle name="백_사전회의(1208)_새벽시장1_최신-SQ인증업체현황1343사(03년평가완료031229수정)_용접업종 평가결과품의(040510)(1)" xfId="25689"/>
    <cellStyle name="백_사전회의(1208)_새벽시장1_최신-SQ인증업체현황1343사(03년평가완료031229수정)_주단조용접업종 평가결과품의(040510)(1)" xfId="25690"/>
    <cellStyle name="백_사전회의(1208)_새벽시장3" xfId="25691"/>
    <cellStyle name="백_사전회의(1208)_새벽시장3_도금 열처리 주단조 평가품의(040329)" xfId="25692"/>
    <cellStyle name="백_사전회의(1208)_새벽시장3_도금 열처리 주단조 평가품의(040329)_도금 열처리 주단조 평가품의(040329)" xfId="25693"/>
    <cellStyle name="백_사전회의(1208)_새벽시장3_도금 열처리 주단조 평가품의(040329)업체" xfId="25694"/>
    <cellStyle name="백_사전회의(1208)_새벽시장3_열처리결과품의(031017)개발" xfId="25695"/>
    <cellStyle name="백_사전회의(1208)_새벽시장3_열처리결과품의(031017)개발_도금 열처리 주단조 평가품의(040329)" xfId="25696"/>
    <cellStyle name="백_사전회의(1208)_새벽시장3_용접업종 평가결과품의(040510)" xfId="25697"/>
    <cellStyle name="백_사전회의(1208)_새벽시장3_용접업종 평가결과품의(040510)_용접업종 평가결과품의(040510)" xfId="25698"/>
    <cellStyle name="백_사전회의(1208)_새벽시장3_용접업종 평가결과품의(040510)_용접업종 평가결과품의(040510)(1)" xfId="25699"/>
    <cellStyle name="백_사전회의(1208)_새벽시장3_용접업종 평가결과품의(040510)_주단조용접업종 평가결과품의(040510)(1)" xfId="25700"/>
    <cellStyle name="백_사전회의(1208)_새벽시장3_주단조 업종 평가결과품의(040407)" xfId="25701"/>
    <cellStyle name="백_사전회의(1208)_새벽시장3_주단조 업종 평가결과품의(040407)_용접업종 평가결과품의(040510)" xfId="25702"/>
    <cellStyle name="백_사전회의(1208)_새벽시장3_주단조 업종 평가결과품의(040407)_용접업종 평가결과품의(040510)(1)" xfId="25703"/>
    <cellStyle name="백_사전회의(1208)_새벽시장3_주단조 업종 평가결과품의(040407)_주단조용접업종 평가결과품의(040510)(1)" xfId="25704"/>
    <cellStyle name="백_사전회의(1208)_새벽시장3_주단조 업종 평가결과품의(040416)(1)" xfId="25705"/>
    <cellStyle name="백_사전회의(1208)_새벽시장3_주단조 업종 평가결과품의(040416)(1)_용접업종 평가결과품의(040510)" xfId="25706"/>
    <cellStyle name="백_사전회의(1208)_새벽시장3_주단조 업종 평가결과품의(040416)(1)_용접업종 평가결과품의(040510)(1)" xfId="25707"/>
    <cellStyle name="백_사전회의(1208)_새벽시장3_주단조 업종 평가결과품의(040416)(1)_주단조용접업종 평가결과품의(040510)(1)" xfId="25708"/>
    <cellStyle name="백_사전회의(1208)_새벽시장3_최신-SQ인증업체현황1343사(03년평가완료031229수정)" xfId="25709"/>
    <cellStyle name="백_사전회의(1208)_새벽시장3_최신-SQ인증업체현황1343사(03년평가완료031229수정)_용접업종 평가결과품의(040510)" xfId="25710"/>
    <cellStyle name="백_사전회의(1208)_새벽시장3_최신-SQ인증업체현황1343사(03년평가완료031229수정)_용접업종 평가결과품의(040510)(1)" xfId="25711"/>
    <cellStyle name="백_사전회의(1208)_새벽시장3_최신-SQ인증업체현황1343사(03년평가완료031229수정)_주단조용접업종 평가결과품의(040510)(1)" xfId="25712"/>
    <cellStyle name="백_사전회의(1208)_새벽시장5" xfId="25713"/>
    <cellStyle name="백_사전회의(1208)_새벽시장5_도금 열처리 주단조 평가품의(040329)" xfId="25714"/>
    <cellStyle name="백_사전회의(1208)_새벽시장5_도금 열처리 주단조 평가품의(040329)_도금 열처리 주단조 평가품의(040329)" xfId="25715"/>
    <cellStyle name="백_사전회의(1208)_새벽시장5_도금 열처리 주단조 평가품의(040329)업체" xfId="25716"/>
    <cellStyle name="백_사전회의(1208)_새벽시장5_열처리결과품의(031017)개발" xfId="25717"/>
    <cellStyle name="백_사전회의(1208)_새벽시장5_열처리결과품의(031017)개발_도금 열처리 주단조 평가품의(040329)" xfId="25718"/>
    <cellStyle name="백_사전회의(1208)_새벽시장5_용접업종 평가결과품의(040510)" xfId="25719"/>
    <cellStyle name="백_사전회의(1208)_새벽시장5_용접업종 평가결과품의(040510)_용접업종 평가결과품의(040510)" xfId="25720"/>
    <cellStyle name="백_사전회의(1208)_새벽시장5_용접업종 평가결과품의(040510)_용접업종 평가결과품의(040510)(1)" xfId="25721"/>
    <cellStyle name="백_사전회의(1208)_새벽시장5_용접업종 평가결과품의(040510)_주단조용접업종 평가결과품의(040510)(1)" xfId="25722"/>
    <cellStyle name="백_사전회의(1208)_새벽시장5_주단조 업종 평가결과품의(040407)" xfId="25723"/>
    <cellStyle name="백_사전회의(1208)_새벽시장5_주단조 업종 평가결과품의(040407)_용접업종 평가결과품의(040510)" xfId="25724"/>
    <cellStyle name="백_사전회의(1208)_새벽시장5_주단조 업종 평가결과품의(040407)_용접업종 평가결과품의(040510)(1)" xfId="25725"/>
    <cellStyle name="백_사전회의(1208)_새벽시장5_주단조 업종 평가결과품의(040407)_주단조용접업종 평가결과품의(040510)(1)" xfId="25726"/>
    <cellStyle name="백_사전회의(1208)_새벽시장5_주단조 업종 평가결과품의(040416)(1)" xfId="25727"/>
    <cellStyle name="백_사전회의(1208)_새벽시장5_주단조 업종 평가결과품의(040416)(1)_용접업종 평가결과품의(040510)" xfId="25728"/>
    <cellStyle name="백_사전회의(1208)_새벽시장5_주단조 업종 평가결과품의(040416)(1)_용접업종 평가결과품의(040510)(1)" xfId="25729"/>
    <cellStyle name="백_사전회의(1208)_새벽시장5_주단조 업종 평가결과품의(040416)(1)_주단조용접업종 평가결과품의(040510)(1)" xfId="25730"/>
    <cellStyle name="백_사전회의(1208)_새벽시장5_최신-SQ인증업체현황1343사(03년평가완료031229수정)" xfId="25731"/>
    <cellStyle name="백_사전회의(1208)_새벽시장5_최신-SQ인증업체현황1343사(03년평가완료031229수정)_용접업종 평가결과품의(040510)" xfId="25732"/>
    <cellStyle name="백_사전회의(1208)_새벽시장5_최신-SQ인증업체현황1343사(03년평가완료031229수정)_용접업종 평가결과품의(040510)(1)" xfId="25733"/>
    <cellStyle name="백_사전회의(1208)_새벽시장5_최신-SQ인증업체현황1343사(03년평가완료031229수정)_주단조용접업종 평가결과품의(040510)(1)" xfId="25734"/>
    <cellStyle name="백_사전회의(1208)_새벽시장7" xfId="25735"/>
    <cellStyle name="백_사전회의(1208)_새벽시장7_도금 열처리 주단조 평가품의(040329)" xfId="25736"/>
    <cellStyle name="백_사전회의(1208)_새벽시장7_도금 열처리 주단조 평가품의(040329)_도금 열처리 주단조 평가품의(040329)" xfId="25737"/>
    <cellStyle name="백_사전회의(1208)_새벽시장7_도금 열처리 주단조 평가품의(040329)업체" xfId="25738"/>
    <cellStyle name="백_사전회의(1208)_새벽시장7_열처리결과품의(031017)개발" xfId="25739"/>
    <cellStyle name="백_사전회의(1208)_새벽시장7_열처리결과품의(031017)개발_도금 열처리 주단조 평가품의(040329)" xfId="25740"/>
    <cellStyle name="백_사전회의(1208)_새벽시장7_용접업종 평가결과품의(040510)" xfId="25741"/>
    <cellStyle name="백_사전회의(1208)_새벽시장7_용접업종 평가결과품의(040510)_용접업종 평가결과품의(040510)" xfId="25742"/>
    <cellStyle name="백_사전회의(1208)_새벽시장7_용접업종 평가결과품의(040510)_용접업종 평가결과품의(040510)(1)" xfId="25743"/>
    <cellStyle name="백_사전회의(1208)_새벽시장7_용접업종 평가결과품의(040510)_주단조용접업종 평가결과품의(040510)(1)" xfId="25744"/>
    <cellStyle name="백_사전회의(1208)_새벽시장7_주단조 업종 평가결과품의(040407)" xfId="25745"/>
    <cellStyle name="백_사전회의(1208)_새벽시장7_주단조 업종 평가결과품의(040407)_용접업종 평가결과품의(040510)" xfId="25746"/>
    <cellStyle name="백_사전회의(1208)_새벽시장7_주단조 업종 평가결과품의(040407)_용접업종 평가결과품의(040510)(1)" xfId="25747"/>
    <cellStyle name="백_사전회의(1208)_새벽시장7_주단조 업종 평가결과품의(040407)_주단조용접업종 평가결과품의(040510)(1)" xfId="25748"/>
    <cellStyle name="백_사전회의(1208)_새벽시장7_주단조 업종 평가결과품의(040416)(1)" xfId="25749"/>
    <cellStyle name="백_사전회의(1208)_새벽시장7_주단조 업종 평가결과품의(040416)(1)_용접업종 평가결과품의(040510)" xfId="25750"/>
    <cellStyle name="백_사전회의(1208)_새벽시장7_주단조 업종 평가결과품의(040416)(1)_용접업종 평가결과품의(040510)(1)" xfId="25751"/>
    <cellStyle name="백_사전회의(1208)_새벽시장7_주단조 업종 평가결과품의(040416)(1)_주단조용접업종 평가결과품의(040510)(1)" xfId="25752"/>
    <cellStyle name="백_사전회의(1208)_새벽시장7_최신-SQ인증업체현황1343사(03년평가완료031229수정)" xfId="25753"/>
    <cellStyle name="백_사전회의(1208)_새벽시장7_최신-SQ인증업체현황1343사(03년평가완료031229수정)_용접업종 평가결과품의(040510)" xfId="25754"/>
    <cellStyle name="백_사전회의(1208)_새벽시장7_최신-SQ인증업체현황1343사(03년평가완료031229수정)_용접업종 평가결과품의(040510)(1)" xfId="25755"/>
    <cellStyle name="백_사전회의(1208)_새벽시장7_최신-SQ인증업체현황1343사(03년평가완료031229수정)_주단조용접업종 평가결과품의(040510)(1)" xfId="25756"/>
    <cellStyle name="백_사전회의(1208)_새벽시장8.10xls" xfId="25757"/>
    <cellStyle name="백_사전회의(1208)_새벽시장8.10xls_도금 열처리 주단조 평가품의(040329)" xfId="25758"/>
    <cellStyle name="백_사전회의(1208)_새벽시장8.10xls_도금 열처리 주단조 평가품의(040329)_도금 열처리 주단조 평가품의(040329)" xfId="25759"/>
    <cellStyle name="백_사전회의(1208)_새벽시장8.10xls_도금 열처리 주단조 평가품의(040329)업체" xfId="25760"/>
    <cellStyle name="백_사전회의(1208)_새벽시장8.10xls_열처리결과품의(031017)개발" xfId="25761"/>
    <cellStyle name="백_사전회의(1208)_새벽시장8.10xls_열처리결과품의(031017)개발_도금 열처리 주단조 평가품의(040329)" xfId="25762"/>
    <cellStyle name="백_사전회의(1208)_새벽시장8.10xls_용접업종 평가결과품의(040510)" xfId="25763"/>
    <cellStyle name="백_사전회의(1208)_새벽시장8.10xls_용접업종 평가결과품의(040510)_용접업종 평가결과품의(040510)" xfId="25764"/>
    <cellStyle name="백_사전회의(1208)_새벽시장8.10xls_용접업종 평가결과품의(040510)_용접업종 평가결과품의(040510)(1)" xfId="25765"/>
    <cellStyle name="백_사전회의(1208)_새벽시장8.10xls_용접업종 평가결과품의(040510)_주단조용접업종 평가결과품의(040510)(1)" xfId="25766"/>
    <cellStyle name="백_사전회의(1208)_새벽시장8.10xls_주단조 업종 평가결과품의(040407)" xfId="25767"/>
    <cellStyle name="백_사전회의(1208)_새벽시장8.10xls_주단조 업종 평가결과품의(040407)_용접업종 평가결과품의(040510)" xfId="25768"/>
    <cellStyle name="백_사전회의(1208)_새벽시장8.10xls_주단조 업종 평가결과품의(040407)_용접업종 평가결과품의(040510)(1)" xfId="25769"/>
    <cellStyle name="백_사전회의(1208)_새벽시장8.10xls_주단조 업종 평가결과품의(040407)_주단조용접업종 평가결과품의(040510)(1)" xfId="25770"/>
    <cellStyle name="백_사전회의(1208)_새벽시장8.10xls_주단조 업종 평가결과품의(040416)(1)" xfId="25771"/>
    <cellStyle name="백_사전회의(1208)_새벽시장8.10xls_주단조 업종 평가결과품의(040416)(1)_용접업종 평가결과품의(040510)" xfId="25772"/>
    <cellStyle name="백_사전회의(1208)_새벽시장8.10xls_주단조 업종 평가결과품의(040416)(1)_용접업종 평가결과품의(040510)(1)" xfId="25773"/>
    <cellStyle name="백_사전회의(1208)_새벽시장8.10xls_주단조 업종 평가결과품의(040416)(1)_주단조용접업종 평가결과품의(040510)(1)" xfId="25774"/>
    <cellStyle name="백_사전회의(1208)_새벽시장8.10xls_최신-SQ인증업체현황1343사(03년평가완료031229수정)" xfId="25775"/>
    <cellStyle name="백_사전회의(1208)_새벽시장8.10xls_최신-SQ인증업체현황1343사(03년평가완료031229수정)_용접업종 평가결과품의(040510)" xfId="25776"/>
    <cellStyle name="백_사전회의(1208)_새벽시장8.10xls_최신-SQ인증업체현황1343사(03년평가완료031229수정)_용접업종 평가결과품의(040510)(1)" xfId="25777"/>
    <cellStyle name="백_사전회의(1208)_새벽시장8.10xls_최신-SQ인증업체현황1343사(03년평가완료031229수정)_주단조용접업종 평가결과품의(040510)(1)" xfId="25778"/>
    <cellStyle name="백_사전회의(1208)_새벽시장8.26xls" xfId="25779"/>
    <cellStyle name="백_사전회의(1208)_새벽시장8.26xls_도금 열처리 주단조 평가품의(040329)" xfId="25780"/>
    <cellStyle name="백_사전회의(1208)_새벽시장8.26xls_도금 열처리 주단조 평가품의(040329)_도금 열처리 주단조 평가품의(040329)" xfId="25781"/>
    <cellStyle name="백_사전회의(1208)_새벽시장8.26xls_도금 열처리 주단조 평가품의(040329)업체" xfId="25782"/>
    <cellStyle name="백_사전회의(1208)_새벽시장8.26xls_열처리결과품의(031017)개발" xfId="25783"/>
    <cellStyle name="백_사전회의(1208)_새벽시장8.26xls_열처리결과품의(031017)개발_도금 열처리 주단조 평가품의(040329)" xfId="25784"/>
    <cellStyle name="백_사전회의(1208)_새벽시장8.26xls_용접업종 평가결과품의(040510)" xfId="25785"/>
    <cellStyle name="백_사전회의(1208)_새벽시장8.26xls_용접업종 평가결과품의(040510)_용접업종 평가결과품의(040510)" xfId="25786"/>
    <cellStyle name="백_사전회의(1208)_새벽시장8.26xls_용접업종 평가결과품의(040510)_용접업종 평가결과품의(040510)(1)" xfId="25787"/>
    <cellStyle name="백_사전회의(1208)_새벽시장8.26xls_용접업종 평가결과품의(040510)_주단조용접업종 평가결과품의(040510)(1)" xfId="25788"/>
    <cellStyle name="백_사전회의(1208)_새벽시장8.26xls_주단조 업종 평가결과품의(040407)" xfId="25789"/>
    <cellStyle name="백_사전회의(1208)_새벽시장8.26xls_주단조 업종 평가결과품의(040407)_용접업종 평가결과품의(040510)" xfId="25790"/>
    <cellStyle name="백_사전회의(1208)_새벽시장8.26xls_주단조 업종 평가결과품의(040407)_용접업종 평가결과품의(040510)(1)" xfId="25791"/>
    <cellStyle name="백_사전회의(1208)_새벽시장8.26xls_주단조 업종 평가결과품의(040407)_주단조용접업종 평가결과품의(040510)(1)" xfId="25792"/>
    <cellStyle name="백_사전회의(1208)_새벽시장8.26xls_주단조 업종 평가결과품의(040416)(1)" xfId="25793"/>
    <cellStyle name="백_사전회의(1208)_새벽시장8.26xls_주단조 업종 평가결과품의(040416)(1)_용접업종 평가결과품의(040510)" xfId="25794"/>
    <cellStyle name="백_사전회의(1208)_새벽시장8.26xls_주단조 업종 평가결과품의(040416)(1)_용접업종 평가결과품의(040510)(1)" xfId="25795"/>
    <cellStyle name="백_사전회의(1208)_새벽시장8.26xls_주단조 업종 평가결과품의(040416)(1)_주단조용접업종 평가결과품의(040510)(1)" xfId="25796"/>
    <cellStyle name="백_사전회의(1208)_새벽시장8.26xls_최신-SQ인증업체현황1343사(03년평가완료031229수정)" xfId="25797"/>
    <cellStyle name="백_사전회의(1208)_새벽시장8.26xls_최신-SQ인증업체현황1343사(03년평가완료031229수정)_용접업종 평가결과품의(040510)" xfId="25798"/>
    <cellStyle name="백_사전회의(1208)_새벽시장8.26xls_최신-SQ인증업체현황1343사(03년평가완료031229수정)_용접업종 평가결과품의(040510)(1)" xfId="25799"/>
    <cellStyle name="백_사전회의(1208)_새벽시장8.26xls_최신-SQ인증업체현황1343사(03년평가완료031229수정)_주단조용접업종 평가결과품의(040510)(1)" xfId="25800"/>
    <cellStyle name="백_사전회의(1208)_새벽시장9.16" xfId="25801"/>
    <cellStyle name="백_사전회의(1208)_새벽시장9.16_도금 열처리 주단조 평가품의(040329)" xfId="25802"/>
    <cellStyle name="백_사전회의(1208)_새벽시장9.16_도금 열처리 주단조 평가품의(040329)_도금 열처리 주단조 평가품의(040329)" xfId="25803"/>
    <cellStyle name="백_사전회의(1208)_새벽시장9.16_도금 열처리 주단조 평가품의(040329)업체" xfId="25804"/>
    <cellStyle name="백_사전회의(1208)_새벽시장9.16_열처리결과품의(031017)개발" xfId="25805"/>
    <cellStyle name="백_사전회의(1208)_새벽시장9.16_열처리결과품의(031017)개발_도금 열처리 주단조 평가품의(040329)" xfId="25806"/>
    <cellStyle name="백_사전회의(1208)_새벽시장9.16_용접업종 평가결과품의(040510)" xfId="25807"/>
    <cellStyle name="백_사전회의(1208)_새벽시장9.16_용접업종 평가결과품의(040510)_용접업종 평가결과품의(040510)" xfId="25808"/>
    <cellStyle name="백_사전회의(1208)_새벽시장9.16_용접업종 평가결과품의(040510)_용접업종 평가결과품의(040510)(1)" xfId="25809"/>
    <cellStyle name="백_사전회의(1208)_새벽시장9.16_용접업종 평가결과품의(040510)_주단조용접업종 평가결과품의(040510)(1)" xfId="25810"/>
    <cellStyle name="백_사전회의(1208)_새벽시장9.16_주단조 업종 평가결과품의(040407)" xfId="25811"/>
    <cellStyle name="백_사전회의(1208)_새벽시장9.16_주단조 업종 평가결과품의(040407)_용접업종 평가결과품의(040510)" xfId="25812"/>
    <cellStyle name="백_사전회의(1208)_새벽시장9.16_주단조 업종 평가결과품의(040407)_용접업종 평가결과품의(040510)(1)" xfId="25813"/>
    <cellStyle name="백_사전회의(1208)_새벽시장9.16_주단조 업종 평가결과품의(040407)_주단조용접업종 평가결과품의(040510)(1)" xfId="25814"/>
    <cellStyle name="백_사전회의(1208)_새벽시장9.16_주단조 업종 평가결과품의(040416)(1)" xfId="25815"/>
    <cellStyle name="백_사전회의(1208)_새벽시장9.16_주단조 업종 평가결과품의(040416)(1)_용접업종 평가결과품의(040510)" xfId="25816"/>
    <cellStyle name="백_사전회의(1208)_새벽시장9.16_주단조 업종 평가결과품의(040416)(1)_용접업종 평가결과품의(040510)(1)" xfId="25817"/>
    <cellStyle name="백_사전회의(1208)_새벽시장9.16_주단조 업종 평가결과품의(040416)(1)_주단조용접업종 평가결과품의(040510)(1)" xfId="25818"/>
    <cellStyle name="백_사전회의(1208)_새벽시장9.16_최신-SQ인증업체현황1343사(03년평가완료031229수정)" xfId="25819"/>
    <cellStyle name="백_사전회의(1208)_새벽시장9.16_최신-SQ인증업체현황1343사(03년평가완료031229수정)_용접업종 평가결과품의(040510)" xfId="25820"/>
    <cellStyle name="백_사전회의(1208)_새벽시장9.16_최신-SQ인증업체현황1343사(03년평가완료031229수정)_용접업종 평가결과품의(040510)(1)" xfId="25821"/>
    <cellStyle name="백_사전회의(1208)_새벽시장9.16_최신-SQ인증업체현황1343사(03년평가완료031229수정)_주단조용접업종 평가결과품의(040510)(1)" xfId="25822"/>
    <cellStyle name="백_사전회의(1208)_열처리결과품의(031017)개발" xfId="25823"/>
    <cellStyle name="백_사전회의(1208)_열처리결과품의(031017)개발_도금 열처리 주단조 평가품의(040329)" xfId="25824"/>
    <cellStyle name="백_사전회의(1208)_용접업종 평가결과품의(040510)" xfId="25825"/>
    <cellStyle name="백_사전회의(1208)_용접업종 평가결과품의(040510)_용접업종 평가결과품의(040510)" xfId="25826"/>
    <cellStyle name="백_사전회의(1208)_용접업종 평가결과품의(040510)_용접업종 평가결과품의(040510)(1)" xfId="25827"/>
    <cellStyle name="백_사전회의(1208)_용접업종 평가결과품의(040510)_주단조용접업종 평가결과품의(040510)(1)" xfId="25828"/>
    <cellStyle name="백_사전회의(1208)_주단조 업종 평가결과품의(040407)" xfId="25829"/>
    <cellStyle name="백_사전회의(1208)_주단조 업종 평가결과품의(040407)_용접업종 평가결과품의(040510)" xfId="25830"/>
    <cellStyle name="백_사전회의(1208)_주단조 업종 평가결과품의(040407)_용접업종 평가결과품의(040510)(1)" xfId="25831"/>
    <cellStyle name="백_사전회의(1208)_주단조 업종 평가결과품의(040407)_주단조용접업종 평가결과품의(040510)(1)" xfId="25832"/>
    <cellStyle name="백_사전회의(1208)_주단조 업종 평가결과품의(040416)(1)" xfId="25833"/>
    <cellStyle name="백_사전회의(1208)_주단조 업종 평가결과품의(040416)(1)_용접업종 평가결과품의(040510)" xfId="25834"/>
    <cellStyle name="백_사전회의(1208)_주단조 업종 평가결과품의(040416)(1)_용접업종 평가결과품의(040510)(1)" xfId="25835"/>
    <cellStyle name="백_사전회의(1208)_주단조 업종 평가결과품의(040416)(1)_주단조용접업종 평가결과품의(040510)(1)" xfId="25836"/>
    <cellStyle name="백_사전회의(1208)_최신-SQ인증업체현황1343사(03년평가완료031229수정)" xfId="25837"/>
    <cellStyle name="백_사전회의(1208)_최신-SQ인증업체현황1343사(03년평가완료031229수정)_용접업종 평가결과품의(040510)" xfId="25838"/>
    <cellStyle name="백_사전회의(1208)_최신-SQ인증업체현황1343사(03년평가완료031229수정)_용접업종 평가결과품의(040510)(1)" xfId="25839"/>
    <cellStyle name="백_사전회의(1208)_최신-SQ인증업체현황1343사(03년평가완료031229수정)_주단조용접업종 평가결과품의(040510)(1)" xfId="25840"/>
    <cellStyle name="백_새벽시장1" xfId="25841"/>
    <cellStyle name="백_새벽시장1_도금 열처리 주단조 평가품의(040329)" xfId="25842"/>
    <cellStyle name="백_새벽시장1_도금 열처리 주단조 평가품의(040329)_도금 열처리 주단조 평가품의(040329)" xfId="25843"/>
    <cellStyle name="백_새벽시장1_도금 열처리 주단조 평가품의(040329)업체" xfId="25844"/>
    <cellStyle name="백_새벽시장1_열처리결과품의(031017)개발" xfId="25845"/>
    <cellStyle name="백_새벽시장1_열처리결과품의(031017)개발_도금 열처리 주단조 평가품의(040329)" xfId="25846"/>
    <cellStyle name="백_새벽시장1_용접업종 평가결과품의(040510)" xfId="25847"/>
    <cellStyle name="백_새벽시장1_용접업종 평가결과품의(040510)_용접업종 평가결과품의(040510)" xfId="25848"/>
    <cellStyle name="백_새벽시장1_용접업종 평가결과품의(040510)_용접업종 평가결과품의(040510)(1)" xfId="25849"/>
    <cellStyle name="백_새벽시장1_용접업종 평가결과품의(040510)_주단조용접업종 평가결과품의(040510)(1)" xfId="25850"/>
    <cellStyle name="백_새벽시장1_주단조 업종 평가결과품의(040407)" xfId="25851"/>
    <cellStyle name="백_새벽시장1_주단조 업종 평가결과품의(040407)_용접업종 평가결과품의(040510)" xfId="25852"/>
    <cellStyle name="백_새벽시장1_주단조 업종 평가결과품의(040407)_용접업종 평가결과품의(040510)(1)" xfId="25853"/>
    <cellStyle name="백_새벽시장1_주단조 업종 평가결과품의(040407)_주단조용접업종 평가결과품의(040510)(1)" xfId="25854"/>
    <cellStyle name="백_새벽시장1_주단조 업종 평가결과품의(040416)(1)" xfId="25855"/>
    <cellStyle name="백_새벽시장1_주단조 업종 평가결과품의(040416)(1)_용접업종 평가결과품의(040510)" xfId="25856"/>
    <cellStyle name="백_새벽시장1_주단조 업종 평가결과품의(040416)(1)_용접업종 평가결과품의(040510)(1)" xfId="25857"/>
    <cellStyle name="백_새벽시장1_주단조 업종 평가결과품의(040416)(1)_주단조용접업종 평가결과품의(040510)(1)" xfId="25858"/>
    <cellStyle name="백_새벽시장1_최신-SQ인증업체현황1343사(03년평가완료031229수정)" xfId="25859"/>
    <cellStyle name="백_새벽시장1_최신-SQ인증업체현황1343사(03년평가완료031229수정)_용접업종 평가결과품의(040510)" xfId="25860"/>
    <cellStyle name="백_새벽시장1_최신-SQ인증업체현황1343사(03년평가완료031229수정)_용접업종 평가결과품의(040510)(1)" xfId="25861"/>
    <cellStyle name="백_새벽시장1_최신-SQ인증업체현황1343사(03년평가완료031229수정)_주단조용접업종 평가결과품의(040510)(1)" xfId="25862"/>
    <cellStyle name="백_새벽시장3" xfId="25863"/>
    <cellStyle name="백_새벽시장3_도금 열처리 주단조 평가품의(040329)" xfId="25864"/>
    <cellStyle name="백_새벽시장3_도금 열처리 주단조 평가품의(040329)_도금 열처리 주단조 평가품의(040329)" xfId="25865"/>
    <cellStyle name="백_새벽시장3_도금 열처리 주단조 평가품의(040329)업체" xfId="25866"/>
    <cellStyle name="백_새벽시장3_열처리결과품의(031017)개발" xfId="25867"/>
    <cellStyle name="백_새벽시장3_열처리결과품의(031017)개발_도금 열처리 주단조 평가품의(040329)" xfId="25868"/>
    <cellStyle name="백_새벽시장3_용접업종 평가결과품의(040510)" xfId="25869"/>
    <cellStyle name="백_새벽시장3_용접업종 평가결과품의(040510)_용접업종 평가결과품의(040510)" xfId="25870"/>
    <cellStyle name="백_새벽시장3_용접업종 평가결과품의(040510)_용접업종 평가결과품의(040510)(1)" xfId="25871"/>
    <cellStyle name="백_새벽시장3_용접업종 평가결과품의(040510)_주단조용접업종 평가결과품의(040510)(1)" xfId="25872"/>
    <cellStyle name="백_새벽시장3_주단조 업종 평가결과품의(040407)" xfId="25873"/>
    <cellStyle name="백_새벽시장3_주단조 업종 평가결과품의(040407)_용접업종 평가결과품의(040510)" xfId="25874"/>
    <cellStyle name="백_새벽시장3_주단조 업종 평가결과품의(040407)_용접업종 평가결과품의(040510)(1)" xfId="25875"/>
    <cellStyle name="백_새벽시장3_주단조 업종 평가결과품의(040407)_주단조용접업종 평가결과품의(040510)(1)" xfId="25876"/>
    <cellStyle name="백_새벽시장3_주단조 업종 평가결과품의(040416)(1)" xfId="25877"/>
    <cellStyle name="백_새벽시장3_주단조 업종 평가결과품의(040416)(1)_용접업종 평가결과품의(040510)" xfId="25878"/>
    <cellStyle name="백_새벽시장3_주단조 업종 평가결과품의(040416)(1)_용접업종 평가결과품의(040510)(1)" xfId="25879"/>
    <cellStyle name="백_새벽시장3_주단조 업종 평가결과품의(040416)(1)_주단조용접업종 평가결과품의(040510)(1)" xfId="25880"/>
    <cellStyle name="백_새벽시장3_최신-SQ인증업체현황1343사(03년평가완료031229수정)" xfId="25881"/>
    <cellStyle name="백_새벽시장3_최신-SQ인증업체현황1343사(03년평가완료031229수정)_용접업종 평가결과품의(040510)" xfId="25882"/>
    <cellStyle name="백_새벽시장3_최신-SQ인증업체현황1343사(03년평가완료031229수정)_용접업종 평가결과품의(040510)(1)" xfId="25883"/>
    <cellStyle name="백_새벽시장3_최신-SQ인증업체현황1343사(03년평가완료031229수정)_주단조용접업종 평가결과품의(040510)(1)" xfId="25884"/>
    <cellStyle name="백_새벽시장5" xfId="25885"/>
    <cellStyle name="백_새벽시장5_도금 열처리 주단조 평가품의(040329)" xfId="25886"/>
    <cellStyle name="백_새벽시장5_도금 열처리 주단조 평가품의(040329)_도금 열처리 주단조 평가품의(040329)" xfId="25887"/>
    <cellStyle name="백_새벽시장5_도금 열처리 주단조 평가품의(040329)업체" xfId="25888"/>
    <cellStyle name="백_새벽시장5_열처리결과품의(031017)개발" xfId="25889"/>
    <cellStyle name="백_새벽시장5_열처리결과품의(031017)개발_도금 열처리 주단조 평가품의(040329)" xfId="25890"/>
    <cellStyle name="백_새벽시장5_용접업종 평가결과품의(040510)" xfId="25891"/>
    <cellStyle name="백_새벽시장5_용접업종 평가결과품의(040510)_용접업종 평가결과품의(040510)" xfId="25892"/>
    <cellStyle name="백_새벽시장5_용접업종 평가결과품의(040510)_용접업종 평가결과품의(040510)(1)" xfId="25893"/>
    <cellStyle name="백_새벽시장5_용접업종 평가결과품의(040510)_주단조용접업종 평가결과품의(040510)(1)" xfId="25894"/>
    <cellStyle name="백_새벽시장5_주단조 업종 평가결과품의(040407)" xfId="25895"/>
    <cellStyle name="백_새벽시장5_주단조 업종 평가결과품의(040407)_용접업종 평가결과품의(040510)" xfId="25896"/>
    <cellStyle name="백_새벽시장5_주단조 업종 평가결과품의(040407)_용접업종 평가결과품의(040510)(1)" xfId="25897"/>
    <cellStyle name="백_새벽시장5_주단조 업종 평가결과품의(040407)_주단조용접업종 평가결과품의(040510)(1)" xfId="25898"/>
    <cellStyle name="백_새벽시장5_주단조 업종 평가결과품의(040416)(1)" xfId="25899"/>
    <cellStyle name="백_새벽시장5_주단조 업종 평가결과품의(040416)(1)_용접업종 평가결과품의(040510)" xfId="25900"/>
    <cellStyle name="백_새벽시장5_주단조 업종 평가결과품의(040416)(1)_용접업종 평가결과품의(040510)(1)" xfId="25901"/>
    <cellStyle name="백_새벽시장5_주단조 업종 평가결과품의(040416)(1)_주단조용접업종 평가결과품의(040510)(1)" xfId="25902"/>
    <cellStyle name="백_새벽시장5_최신-SQ인증업체현황1343사(03년평가완료031229수정)" xfId="25903"/>
    <cellStyle name="백_새벽시장5_최신-SQ인증업체현황1343사(03년평가완료031229수정)_용접업종 평가결과품의(040510)" xfId="25904"/>
    <cellStyle name="백_새벽시장5_최신-SQ인증업체현황1343사(03년평가완료031229수정)_용접업종 평가결과품의(040510)(1)" xfId="25905"/>
    <cellStyle name="백_새벽시장5_최신-SQ인증업체현황1343사(03년평가완료031229수정)_주단조용접업종 평가결과품의(040510)(1)" xfId="25906"/>
    <cellStyle name="백_새벽시장7" xfId="25907"/>
    <cellStyle name="백_새벽시장7_도금 열처리 주단조 평가품의(040329)" xfId="25908"/>
    <cellStyle name="백_새벽시장7_도금 열처리 주단조 평가품의(040329)_도금 열처리 주단조 평가품의(040329)" xfId="25909"/>
    <cellStyle name="백_새벽시장7_도금 열처리 주단조 평가품의(040329)업체" xfId="25910"/>
    <cellStyle name="백_새벽시장7_열처리결과품의(031017)개발" xfId="25911"/>
    <cellStyle name="백_새벽시장7_열처리결과품의(031017)개발_도금 열처리 주단조 평가품의(040329)" xfId="25912"/>
    <cellStyle name="백_새벽시장7_용접업종 평가결과품의(040510)" xfId="25913"/>
    <cellStyle name="백_새벽시장7_용접업종 평가결과품의(040510)_용접업종 평가결과품의(040510)" xfId="25914"/>
    <cellStyle name="백_새벽시장7_용접업종 평가결과품의(040510)_용접업종 평가결과품의(040510)(1)" xfId="25915"/>
    <cellStyle name="백_새벽시장7_용접업종 평가결과품의(040510)_주단조용접업종 평가결과품의(040510)(1)" xfId="25916"/>
    <cellStyle name="백_새벽시장7_주단조 업종 평가결과품의(040407)" xfId="25917"/>
    <cellStyle name="백_새벽시장7_주단조 업종 평가결과품의(040407)_용접업종 평가결과품의(040510)" xfId="25918"/>
    <cellStyle name="백_새벽시장7_주단조 업종 평가결과품의(040407)_용접업종 평가결과품의(040510)(1)" xfId="25919"/>
    <cellStyle name="백_새벽시장7_주단조 업종 평가결과품의(040407)_주단조용접업종 평가결과품의(040510)(1)" xfId="25920"/>
    <cellStyle name="백_새벽시장7_주단조 업종 평가결과품의(040416)(1)" xfId="25921"/>
    <cellStyle name="백_새벽시장7_주단조 업종 평가결과품의(040416)(1)_용접업종 평가결과품의(040510)" xfId="25922"/>
    <cellStyle name="백_새벽시장7_주단조 업종 평가결과품의(040416)(1)_용접업종 평가결과품의(040510)(1)" xfId="25923"/>
    <cellStyle name="백_새벽시장7_주단조 업종 평가결과품의(040416)(1)_주단조용접업종 평가결과품의(040510)(1)" xfId="25924"/>
    <cellStyle name="백_새벽시장7_최신-SQ인증업체현황1343사(03년평가완료031229수정)" xfId="25925"/>
    <cellStyle name="백_새벽시장7_최신-SQ인증업체현황1343사(03년평가완료031229수정)_용접업종 평가결과품의(040510)" xfId="25926"/>
    <cellStyle name="백_새벽시장7_최신-SQ인증업체현황1343사(03년평가완료031229수정)_용접업종 평가결과품의(040510)(1)" xfId="25927"/>
    <cellStyle name="백_새벽시장7_최신-SQ인증업체현황1343사(03년평가완료031229수정)_주단조용접업종 평가결과품의(040510)(1)" xfId="25928"/>
    <cellStyle name="백_새벽시장8.10xls" xfId="25929"/>
    <cellStyle name="백_새벽시장8.10xls_도금 열처리 주단조 평가품의(040329)" xfId="25930"/>
    <cellStyle name="백_새벽시장8.10xls_도금 열처리 주단조 평가품의(040329)_도금 열처리 주단조 평가품의(040329)" xfId="25931"/>
    <cellStyle name="백_새벽시장8.10xls_도금 열처리 주단조 평가품의(040329)업체" xfId="25932"/>
    <cellStyle name="백_새벽시장8.10xls_열처리결과품의(031017)개발" xfId="25933"/>
    <cellStyle name="백_새벽시장8.10xls_열처리결과품의(031017)개발_도금 열처리 주단조 평가품의(040329)" xfId="25934"/>
    <cellStyle name="백_새벽시장8.10xls_용접업종 평가결과품의(040510)" xfId="25935"/>
    <cellStyle name="백_새벽시장8.10xls_용접업종 평가결과품의(040510)_용접업종 평가결과품의(040510)" xfId="25936"/>
    <cellStyle name="백_새벽시장8.10xls_용접업종 평가결과품의(040510)_용접업종 평가결과품의(040510)(1)" xfId="25937"/>
    <cellStyle name="백_새벽시장8.10xls_용접업종 평가결과품의(040510)_주단조용접업종 평가결과품의(040510)(1)" xfId="25938"/>
    <cellStyle name="백_새벽시장8.10xls_주단조 업종 평가결과품의(040407)" xfId="25939"/>
    <cellStyle name="백_새벽시장8.10xls_주단조 업종 평가결과품의(040407)_용접업종 평가결과품의(040510)" xfId="25940"/>
    <cellStyle name="백_새벽시장8.10xls_주단조 업종 평가결과품의(040407)_용접업종 평가결과품의(040510)(1)" xfId="25941"/>
    <cellStyle name="백_새벽시장8.10xls_주단조 업종 평가결과품의(040407)_주단조용접업종 평가결과품의(040510)(1)" xfId="25942"/>
    <cellStyle name="백_새벽시장8.10xls_주단조 업종 평가결과품의(040416)(1)" xfId="25943"/>
    <cellStyle name="백_새벽시장8.10xls_주단조 업종 평가결과품의(040416)(1)_용접업종 평가결과품의(040510)" xfId="25944"/>
    <cellStyle name="백_새벽시장8.10xls_주단조 업종 평가결과품의(040416)(1)_용접업종 평가결과품의(040510)(1)" xfId="25945"/>
    <cellStyle name="백_새벽시장8.10xls_주단조 업종 평가결과품의(040416)(1)_주단조용접업종 평가결과품의(040510)(1)" xfId="25946"/>
    <cellStyle name="백_새벽시장8.10xls_최신-SQ인증업체현황1343사(03년평가완료031229수정)" xfId="25947"/>
    <cellStyle name="백_새벽시장8.10xls_최신-SQ인증업체현황1343사(03년평가완료031229수정)_용접업종 평가결과품의(040510)" xfId="25948"/>
    <cellStyle name="백_새벽시장8.10xls_최신-SQ인증업체현황1343사(03년평가완료031229수정)_용접업종 평가결과품의(040510)(1)" xfId="25949"/>
    <cellStyle name="백_새벽시장8.10xls_최신-SQ인증업체현황1343사(03년평가완료031229수정)_주단조용접업종 평가결과품의(040510)(1)" xfId="25950"/>
    <cellStyle name="백_새벽시장8.26xls" xfId="25951"/>
    <cellStyle name="백_새벽시장8.26xls_도금 열처리 주단조 평가품의(040329)" xfId="25952"/>
    <cellStyle name="백_새벽시장8.26xls_도금 열처리 주단조 평가품의(040329)_도금 열처리 주단조 평가품의(040329)" xfId="25953"/>
    <cellStyle name="백_새벽시장8.26xls_도금 열처리 주단조 평가품의(040329)업체" xfId="25954"/>
    <cellStyle name="백_새벽시장8.26xls_열처리결과품의(031017)개발" xfId="25955"/>
    <cellStyle name="백_새벽시장8.26xls_열처리결과품의(031017)개발_도금 열처리 주단조 평가품의(040329)" xfId="25956"/>
    <cellStyle name="백_새벽시장8.26xls_용접업종 평가결과품의(040510)" xfId="25957"/>
    <cellStyle name="백_새벽시장8.26xls_용접업종 평가결과품의(040510)_용접업종 평가결과품의(040510)" xfId="25958"/>
    <cellStyle name="백_새벽시장8.26xls_용접업종 평가결과품의(040510)_용접업종 평가결과품의(040510)(1)" xfId="25959"/>
    <cellStyle name="백_새벽시장8.26xls_용접업종 평가결과품의(040510)_주단조용접업종 평가결과품의(040510)(1)" xfId="25960"/>
    <cellStyle name="백_새벽시장8.26xls_주단조 업종 평가결과품의(040407)" xfId="25961"/>
    <cellStyle name="백_새벽시장8.26xls_주단조 업종 평가결과품의(040407)_용접업종 평가결과품의(040510)" xfId="25962"/>
    <cellStyle name="백_새벽시장8.26xls_주단조 업종 평가결과품의(040407)_용접업종 평가결과품의(040510)(1)" xfId="25963"/>
    <cellStyle name="백_새벽시장8.26xls_주단조 업종 평가결과품의(040407)_주단조용접업종 평가결과품의(040510)(1)" xfId="25964"/>
    <cellStyle name="백_새벽시장8.26xls_주단조 업종 평가결과품의(040416)(1)" xfId="25965"/>
    <cellStyle name="백_새벽시장8.26xls_주단조 업종 평가결과품의(040416)(1)_용접업종 평가결과품의(040510)" xfId="25966"/>
    <cellStyle name="백_새벽시장8.26xls_주단조 업종 평가결과품의(040416)(1)_용접업종 평가결과품의(040510)(1)" xfId="25967"/>
    <cellStyle name="백_새벽시장8.26xls_주단조 업종 평가결과품의(040416)(1)_주단조용접업종 평가결과품의(040510)(1)" xfId="25968"/>
    <cellStyle name="백_새벽시장8.26xls_최신-SQ인증업체현황1343사(03년평가완료031229수정)" xfId="25969"/>
    <cellStyle name="백_새벽시장8.26xls_최신-SQ인증업체현황1343사(03년평가완료031229수정)_용접업종 평가결과품의(040510)" xfId="25970"/>
    <cellStyle name="백_새벽시장8.26xls_최신-SQ인증업체현황1343사(03년평가완료031229수정)_용접업종 평가결과품의(040510)(1)" xfId="25971"/>
    <cellStyle name="백_새벽시장8.26xls_최신-SQ인증업체현황1343사(03년평가완료031229수정)_주단조용접업종 평가결과품의(040510)(1)" xfId="25972"/>
    <cellStyle name="백_새벽시장9.16" xfId="25973"/>
    <cellStyle name="백_새벽시장9.16_도금 열처리 주단조 평가품의(040329)" xfId="25974"/>
    <cellStyle name="백_새벽시장9.16_도금 열처리 주단조 평가품의(040329)_도금 열처리 주단조 평가품의(040329)" xfId="25975"/>
    <cellStyle name="백_새벽시장9.16_도금 열처리 주단조 평가품의(040329)업체" xfId="25976"/>
    <cellStyle name="백_새벽시장9.16_열처리결과품의(031017)개발" xfId="25977"/>
    <cellStyle name="백_새벽시장9.16_열처리결과품의(031017)개발_도금 열처리 주단조 평가품의(040329)" xfId="25978"/>
    <cellStyle name="백_새벽시장9.16_용접업종 평가결과품의(040510)" xfId="25979"/>
    <cellStyle name="백_새벽시장9.16_용접업종 평가결과품의(040510)_용접업종 평가결과품의(040510)" xfId="25980"/>
    <cellStyle name="백_새벽시장9.16_용접업종 평가결과품의(040510)_용접업종 평가결과품의(040510)(1)" xfId="25981"/>
    <cellStyle name="백_새벽시장9.16_용접업종 평가결과품의(040510)_주단조용접업종 평가결과품의(040510)(1)" xfId="25982"/>
    <cellStyle name="백_새벽시장9.16_주단조 업종 평가결과품의(040407)" xfId="25983"/>
    <cellStyle name="백_새벽시장9.16_주단조 업종 평가결과품의(040407)_용접업종 평가결과품의(040510)" xfId="25984"/>
    <cellStyle name="백_새벽시장9.16_주단조 업종 평가결과품의(040407)_용접업종 평가결과품의(040510)(1)" xfId="25985"/>
    <cellStyle name="백_새벽시장9.16_주단조 업종 평가결과품의(040407)_주단조용접업종 평가결과품의(040510)(1)" xfId="25986"/>
    <cellStyle name="백_새벽시장9.16_주단조 업종 평가결과품의(040416)(1)" xfId="25987"/>
    <cellStyle name="백_새벽시장9.16_주단조 업종 평가결과품의(040416)(1)_용접업종 평가결과품의(040510)" xfId="25988"/>
    <cellStyle name="백_새벽시장9.16_주단조 업종 평가결과품의(040416)(1)_용접업종 평가결과품의(040510)(1)" xfId="25989"/>
    <cellStyle name="백_새벽시장9.16_주단조 업종 평가결과품의(040416)(1)_주단조용접업종 평가결과품의(040510)(1)" xfId="25990"/>
    <cellStyle name="백_새벽시장9.16_최신-SQ인증업체현황1343사(03년평가완료031229수정)" xfId="25991"/>
    <cellStyle name="백_새벽시장9.16_최신-SQ인증업체현황1343사(03년평가완료031229수정)_용접업종 평가결과품의(040510)" xfId="25992"/>
    <cellStyle name="백_새벽시장9.16_최신-SQ인증업체현황1343사(03년평가완료031229수정)_용접업종 평가결과품의(040510)(1)" xfId="25993"/>
    <cellStyle name="백_새벽시장9.16_최신-SQ인증업체현황1343사(03년평가완료031229수정)_주단조용접업종 평가결과품의(040510)(1)" xfId="25994"/>
    <cellStyle name="백_열처리결과품의(031017)개발" xfId="25995"/>
    <cellStyle name="백_열처리결과품의(031017)개발_도금 열처리 주단조 평가품의(040329)" xfId="25996"/>
    <cellStyle name="백_용접업종 평가결과품의(040510)" xfId="25997"/>
    <cellStyle name="백_용접업종 평가결과품의(040510)_용접업종 평가결과품의(040510)" xfId="25998"/>
    <cellStyle name="백_용접업종 평가결과품의(040510)_용접업종 평가결과품의(040510)(1)" xfId="25999"/>
    <cellStyle name="백_용접업종 평가결과품의(040510)_주단조용접업종 평가결과품의(040510)(1)" xfId="26000"/>
    <cellStyle name="백_주단조 업종 평가결과품의(040407)" xfId="26001"/>
    <cellStyle name="백_주단조 업종 평가결과품의(040407)_용접업종 평가결과품의(040510)" xfId="26002"/>
    <cellStyle name="백_주단조 업종 평가결과품의(040407)_용접업종 평가결과품의(040510)(1)" xfId="26003"/>
    <cellStyle name="백_주단조 업종 평가결과품의(040407)_주단조용접업종 평가결과품의(040510)(1)" xfId="26004"/>
    <cellStyle name="백_주단조 업종 평가결과품의(040416)(1)" xfId="26005"/>
    <cellStyle name="백_주단조 업종 평가결과품의(040416)(1)_용접업종 평가결과품의(040510)" xfId="26006"/>
    <cellStyle name="백_주단조 업종 평가결과품의(040416)(1)_용접업종 평가결과품의(040510)(1)" xfId="26007"/>
    <cellStyle name="백_주단조 업종 평가결과품의(040416)(1)_주단조용접업종 평가결과품의(040510)(1)" xfId="26008"/>
    <cellStyle name="백_최신-SQ인증업체현황1343사(03년평가완료031229수정)" xfId="26009"/>
    <cellStyle name="백_최신-SQ인증업체현황1343사(03년평가완료031229수정)_용접업종 평가결과품의(040510)" xfId="26010"/>
    <cellStyle name="백_최신-SQ인증업체현황1343사(03년평가완료031229수정)_용접업종 평가결과품의(040510)(1)" xfId="26011"/>
    <cellStyle name="백_최신-SQ인증업체현황1343사(03년평가완료031229수정)_주단조용접업종 평가결과품의(040510)(1)" xfId="26012"/>
    <cellStyle name="백_출장계획서" xfId="26013"/>
    <cellStyle name="백_출장계획서_ROTATION 유동" xfId="26014"/>
    <cellStyle name="백_출장계획서_ROTATION 유동_도금 열처리 주단조 평가품의(040329)" xfId="26015"/>
    <cellStyle name="백_출장계획서_ROTATION 유동_도금 열처리 주단조 평가품의(040329)_도금 열처리 주단조 평가품의(040329)" xfId="26016"/>
    <cellStyle name="백_출장계획서_ROTATION 유동_도금 열처리 주단조 평가품의(040329)업체" xfId="26017"/>
    <cellStyle name="백_출장계획서_ROTATION 유동_열처리결과품의(031017)개발" xfId="26018"/>
    <cellStyle name="백_출장계획서_ROTATION 유동_열처리결과품의(031017)개발_도금 열처리 주단조 평가품의(040329)" xfId="26019"/>
    <cellStyle name="백_출장계획서_ROTATION 유동_용접업종 평가결과품의(040510)" xfId="26020"/>
    <cellStyle name="백_출장계획서_ROTATION 유동_용접업종 평가결과품의(040510)_용접업종 평가결과품의(040510)" xfId="26021"/>
    <cellStyle name="백_출장계획서_ROTATION 유동_용접업종 평가결과품의(040510)_용접업종 평가결과품의(040510)(1)" xfId="26022"/>
    <cellStyle name="백_출장계획서_ROTATION 유동_용접업종 평가결과품의(040510)_주단조용접업종 평가결과품의(040510)(1)" xfId="26023"/>
    <cellStyle name="백_출장계획서_ROTATION 유동_주단조 업종 평가결과품의(040407)" xfId="26024"/>
    <cellStyle name="백_출장계획서_ROTATION 유동_주단조 업종 평가결과품의(040407)_용접업종 평가결과품의(040510)" xfId="26025"/>
    <cellStyle name="백_출장계획서_ROTATION 유동_주단조 업종 평가결과품의(040407)_용접업종 평가결과품의(040510)(1)" xfId="26026"/>
    <cellStyle name="백_출장계획서_ROTATION 유동_주단조 업종 평가결과품의(040407)_주단조용접업종 평가결과품의(040510)(1)" xfId="26027"/>
    <cellStyle name="백_출장계획서_ROTATION 유동_주단조 업종 평가결과품의(040416)(1)" xfId="26028"/>
    <cellStyle name="백_출장계획서_ROTATION 유동_주단조 업종 평가결과품의(040416)(1)_용접업종 평가결과품의(040510)" xfId="26029"/>
    <cellStyle name="백_출장계획서_ROTATION 유동_주단조 업종 평가결과품의(040416)(1)_용접업종 평가결과품의(040510)(1)" xfId="26030"/>
    <cellStyle name="백_출장계획서_ROTATION 유동_주단조 업종 평가결과품의(040416)(1)_주단조용접업종 평가결과품의(040510)(1)" xfId="26031"/>
    <cellStyle name="백_출장계획서_ROTATION 유동_최신-SQ인증업체현황1343사(03년평가완료031229수정)" xfId="26032"/>
    <cellStyle name="백_출장계획서_ROTATION 유동_최신-SQ인증업체현황1343사(03년평가완료031229수정)_용접업종 평가결과품의(040510)" xfId="26033"/>
    <cellStyle name="백_출장계획서_ROTATION 유동_최신-SQ인증업체현황1343사(03년평가완료031229수정)_용접업종 평가결과품의(040510)(1)" xfId="26034"/>
    <cellStyle name="백_출장계획서_ROTATION 유동_최신-SQ인증업체현황1343사(03년평가완료031229수정)_주단조용접업종 평가결과품의(040510)(1)" xfId="26035"/>
    <cellStyle name="백_출장계획서_SLIDE 폭" xfId="26036"/>
    <cellStyle name="백_출장계획서_SLIDE 폭_도금 열처리 주단조 평가품의(040329)" xfId="26037"/>
    <cellStyle name="백_출장계획서_SLIDE 폭_도금 열처리 주단조 평가품의(040329)_도금 열처리 주단조 평가품의(040329)" xfId="26038"/>
    <cellStyle name="백_출장계획서_SLIDE 폭_도금 열처리 주단조 평가품의(040329)업체" xfId="26039"/>
    <cellStyle name="백_출장계획서_SLIDE 폭_열처리결과품의(031017)개발" xfId="26040"/>
    <cellStyle name="백_출장계획서_SLIDE 폭_열처리결과품의(031017)개발_도금 열처리 주단조 평가품의(040329)" xfId="26041"/>
    <cellStyle name="백_출장계획서_SLIDE 폭_용접업종 평가결과품의(040510)" xfId="26042"/>
    <cellStyle name="백_출장계획서_SLIDE 폭_용접업종 평가결과품의(040510)_용접업종 평가결과품의(040510)" xfId="26043"/>
    <cellStyle name="백_출장계획서_SLIDE 폭_용접업종 평가결과품의(040510)_용접업종 평가결과품의(040510)(1)" xfId="26044"/>
    <cellStyle name="백_출장계획서_SLIDE 폭_용접업종 평가결과품의(040510)_주단조용접업종 평가결과품의(040510)(1)" xfId="26045"/>
    <cellStyle name="백_출장계획서_SLIDE 폭_주단조 업종 평가결과품의(040407)" xfId="26046"/>
    <cellStyle name="백_출장계획서_SLIDE 폭_주단조 업종 평가결과품의(040407)_용접업종 평가결과품의(040510)" xfId="26047"/>
    <cellStyle name="백_출장계획서_SLIDE 폭_주단조 업종 평가결과품의(040407)_용접업종 평가결과품의(040510)(1)" xfId="26048"/>
    <cellStyle name="백_출장계획서_SLIDE 폭_주단조 업종 평가결과품의(040407)_주단조용접업종 평가결과품의(040510)(1)" xfId="26049"/>
    <cellStyle name="백_출장계획서_SLIDE 폭_주단조 업종 평가결과품의(040416)(1)" xfId="26050"/>
    <cellStyle name="백_출장계획서_SLIDE 폭_주단조 업종 평가결과품의(040416)(1)_용접업종 평가결과품의(040510)" xfId="26051"/>
    <cellStyle name="백_출장계획서_SLIDE 폭_주단조 업종 평가결과품의(040416)(1)_용접업종 평가결과품의(040510)(1)" xfId="26052"/>
    <cellStyle name="백_출장계획서_SLIDE 폭_주단조 업종 평가결과품의(040416)(1)_주단조용접업종 평가결과품의(040510)(1)" xfId="26053"/>
    <cellStyle name="백_출장계획서_SLIDE 폭_최신-SQ인증업체현황1343사(03년평가완료031229수정)" xfId="26054"/>
    <cellStyle name="백_출장계획서_SLIDE 폭_최신-SQ인증업체현황1343사(03년평가완료031229수정)_용접업종 평가결과품의(040510)" xfId="26055"/>
    <cellStyle name="백_출장계획서_SLIDE 폭_최신-SQ인증업체현황1343사(03년평가완료031229수정)_용접업종 평가결과품의(040510)(1)" xfId="26056"/>
    <cellStyle name="백_출장계획서_SLIDE 폭_최신-SQ인증업체현황1343사(03년평가완료031229수정)_주단조용접업종 평가결과품의(040510)(1)" xfId="26057"/>
    <cellStyle name="백_출장계획서_도금 열처리 주단조 평가품의(040329)" xfId="26058"/>
    <cellStyle name="백_출장계획서_도금 열처리 주단조 평가품의(040329)_도금 열처리 주단조 평가품의(040329)" xfId="26059"/>
    <cellStyle name="백_출장계획서_도금 열처리 주단조 평가품의(040329)업체" xfId="26060"/>
    <cellStyle name="백_출장계획서_새벽시장1" xfId="26061"/>
    <cellStyle name="백_출장계획서_새벽시장1_도금 열처리 주단조 평가품의(040329)" xfId="26062"/>
    <cellStyle name="백_출장계획서_새벽시장1_도금 열처리 주단조 평가품의(040329)_도금 열처리 주단조 평가품의(040329)" xfId="26063"/>
    <cellStyle name="백_출장계획서_새벽시장1_도금 열처리 주단조 평가품의(040329)업체" xfId="26064"/>
    <cellStyle name="백_출장계획서_새벽시장1_열처리결과품의(031017)개발" xfId="26065"/>
    <cellStyle name="백_출장계획서_새벽시장1_열처리결과품의(031017)개발_도금 열처리 주단조 평가품의(040329)" xfId="26066"/>
    <cellStyle name="백_출장계획서_새벽시장1_용접업종 평가결과품의(040510)" xfId="26067"/>
    <cellStyle name="백_출장계획서_새벽시장1_용접업종 평가결과품의(040510)_용접업종 평가결과품의(040510)" xfId="26068"/>
    <cellStyle name="백_출장계획서_새벽시장1_용접업종 평가결과품의(040510)_용접업종 평가결과품의(040510)(1)" xfId="26069"/>
    <cellStyle name="백_출장계획서_새벽시장1_용접업종 평가결과품의(040510)_주단조용접업종 평가결과품의(040510)(1)" xfId="26070"/>
    <cellStyle name="백_출장계획서_새벽시장1_주단조 업종 평가결과품의(040407)" xfId="26071"/>
    <cellStyle name="백_출장계획서_새벽시장1_주단조 업종 평가결과품의(040407)_용접업종 평가결과품의(040510)" xfId="26072"/>
    <cellStyle name="백_출장계획서_새벽시장1_주단조 업종 평가결과품의(040407)_용접업종 평가결과품의(040510)(1)" xfId="26073"/>
    <cellStyle name="백_출장계획서_새벽시장1_주단조 업종 평가결과품의(040407)_주단조용접업종 평가결과품의(040510)(1)" xfId="26074"/>
    <cellStyle name="백_출장계획서_새벽시장1_주단조 업종 평가결과품의(040416)(1)" xfId="26075"/>
    <cellStyle name="백_출장계획서_새벽시장1_주단조 업종 평가결과품의(040416)(1)_용접업종 평가결과품의(040510)" xfId="26076"/>
    <cellStyle name="백_출장계획서_새벽시장1_주단조 업종 평가결과품의(040416)(1)_용접업종 평가결과품의(040510)(1)" xfId="26077"/>
    <cellStyle name="백_출장계획서_새벽시장1_주단조 업종 평가결과품의(040416)(1)_주단조용접업종 평가결과품의(040510)(1)" xfId="26078"/>
    <cellStyle name="백_출장계획서_새벽시장1_최신-SQ인증업체현황1343사(03년평가완료031229수정)" xfId="26079"/>
    <cellStyle name="백_출장계획서_새벽시장1_최신-SQ인증업체현황1343사(03년평가완료031229수정)_용접업종 평가결과품의(040510)" xfId="26080"/>
    <cellStyle name="백_출장계획서_새벽시장1_최신-SQ인증업체현황1343사(03년평가완료031229수정)_용접업종 평가결과품의(040510)(1)" xfId="26081"/>
    <cellStyle name="백_출장계획서_새벽시장1_최신-SQ인증업체현황1343사(03년평가완료031229수정)_주단조용접업종 평가결과품의(040510)(1)" xfId="26082"/>
    <cellStyle name="백_출장계획서_새벽시장3" xfId="26083"/>
    <cellStyle name="백_출장계획서_새벽시장3_도금 열처리 주단조 평가품의(040329)" xfId="26084"/>
    <cellStyle name="백_출장계획서_새벽시장3_도금 열처리 주단조 평가품의(040329)_도금 열처리 주단조 평가품의(040329)" xfId="26085"/>
    <cellStyle name="백_출장계획서_새벽시장3_도금 열처리 주단조 평가품의(040329)업체" xfId="26086"/>
    <cellStyle name="백_출장계획서_새벽시장3_열처리결과품의(031017)개발" xfId="26087"/>
    <cellStyle name="백_출장계획서_새벽시장3_열처리결과품의(031017)개발_도금 열처리 주단조 평가품의(040329)" xfId="26088"/>
    <cellStyle name="백_출장계획서_새벽시장3_용접업종 평가결과품의(040510)" xfId="26089"/>
    <cellStyle name="백_출장계획서_새벽시장3_용접업종 평가결과품의(040510)_용접업종 평가결과품의(040510)" xfId="26090"/>
    <cellStyle name="백_출장계획서_새벽시장3_용접업종 평가결과품의(040510)_용접업종 평가결과품의(040510)(1)" xfId="26091"/>
    <cellStyle name="백_출장계획서_새벽시장3_용접업종 평가결과품의(040510)_주단조용접업종 평가결과품의(040510)(1)" xfId="26092"/>
    <cellStyle name="백_출장계획서_새벽시장3_주단조 업종 평가결과품의(040407)" xfId="26093"/>
    <cellStyle name="백_출장계획서_새벽시장3_주단조 업종 평가결과품의(040407)_용접업종 평가결과품의(040510)" xfId="26094"/>
    <cellStyle name="백_출장계획서_새벽시장3_주단조 업종 평가결과품의(040407)_용접업종 평가결과품의(040510)(1)" xfId="26095"/>
    <cellStyle name="백_출장계획서_새벽시장3_주단조 업종 평가결과품의(040407)_주단조용접업종 평가결과품의(040510)(1)" xfId="26096"/>
    <cellStyle name="백_출장계획서_새벽시장3_주단조 업종 평가결과품의(040416)(1)" xfId="26097"/>
    <cellStyle name="백_출장계획서_새벽시장3_주단조 업종 평가결과품의(040416)(1)_용접업종 평가결과품의(040510)" xfId="26098"/>
    <cellStyle name="백_출장계획서_새벽시장3_주단조 업종 평가결과품의(040416)(1)_용접업종 평가결과품의(040510)(1)" xfId="26099"/>
    <cellStyle name="백_출장계획서_새벽시장3_주단조 업종 평가결과품의(040416)(1)_주단조용접업종 평가결과품의(040510)(1)" xfId="26100"/>
    <cellStyle name="백_출장계획서_새벽시장3_최신-SQ인증업체현황1343사(03년평가완료031229수정)" xfId="26101"/>
    <cellStyle name="백_출장계획서_새벽시장3_최신-SQ인증업체현황1343사(03년평가완료031229수정)_용접업종 평가결과품의(040510)" xfId="26102"/>
    <cellStyle name="백_출장계획서_새벽시장3_최신-SQ인증업체현황1343사(03년평가완료031229수정)_용접업종 평가결과품의(040510)(1)" xfId="26103"/>
    <cellStyle name="백_출장계획서_새벽시장3_최신-SQ인증업체현황1343사(03년평가완료031229수정)_주단조용접업종 평가결과품의(040510)(1)" xfId="26104"/>
    <cellStyle name="백_출장계획서_새벽시장5" xfId="26105"/>
    <cellStyle name="백_출장계획서_새벽시장5_도금 열처리 주단조 평가품의(040329)" xfId="26106"/>
    <cellStyle name="백_출장계획서_새벽시장5_도금 열처리 주단조 평가품의(040329)_도금 열처리 주단조 평가품의(040329)" xfId="26107"/>
    <cellStyle name="백_출장계획서_새벽시장5_도금 열처리 주단조 평가품의(040329)업체" xfId="26108"/>
    <cellStyle name="백_출장계획서_새벽시장5_열처리결과품의(031017)개발" xfId="26109"/>
    <cellStyle name="백_출장계획서_새벽시장5_열처리결과품의(031017)개발_도금 열처리 주단조 평가품의(040329)" xfId="26110"/>
    <cellStyle name="백_출장계획서_새벽시장5_용접업종 평가결과품의(040510)" xfId="26111"/>
    <cellStyle name="백_출장계획서_새벽시장5_용접업종 평가결과품의(040510)_용접업종 평가결과품의(040510)" xfId="26112"/>
    <cellStyle name="백_출장계획서_새벽시장5_용접업종 평가결과품의(040510)_용접업종 평가결과품의(040510)(1)" xfId="26113"/>
    <cellStyle name="백_출장계획서_새벽시장5_용접업종 평가결과품의(040510)_주단조용접업종 평가결과품의(040510)(1)" xfId="26114"/>
    <cellStyle name="백_출장계획서_새벽시장5_주단조 업종 평가결과품의(040407)" xfId="26115"/>
    <cellStyle name="백_출장계획서_새벽시장5_주단조 업종 평가결과품의(040407)_용접업종 평가결과품의(040510)" xfId="26116"/>
    <cellStyle name="백_출장계획서_새벽시장5_주단조 업종 평가결과품의(040407)_용접업종 평가결과품의(040510)(1)" xfId="26117"/>
    <cellStyle name="백_출장계획서_새벽시장5_주단조 업종 평가결과품의(040407)_주단조용접업종 평가결과품의(040510)(1)" xfId="26118"/>
    <cellStyle name="백_출장계획서_새벽시장5_주단조 업종 평가결과품의(040416)(1)" xfId="26119"/>
    <cellStyle name="백_출장계획서_새벽시장5_주단조 업종 평가결과품의(040416)(1)_용접업종 평가결과품의(040510)" xfId="26120"/>
    <cellStyle name="백_출장계획서_새벽시장5_주단조 업종 평가결과품의(040416)(1)_용접업종 평가결과품의(040510)(1)" xfId="26121"/>
    <cellStyle name="백_출장계획서_새벽시장5_주단조 업종 평가결과품의(040416)(1)_주단조용접업종 평가결과품의(040510)(1)" xfId="26122"/>
    <cellStyle name="백_출장계획서_새벽시장5_최신-SQ인증업체현황1343사(03년평가완료031229수정)" xfId="26123"/>
    <cellStyle name="백_출장계획서_새벽시장5_최신-SQ인증업체현황1343사(03년평가완료031229수정)_용접업종 평가결과품의(040510)" xfId="26124"/>
    <cellStyle name="백_출장계획서_새벽시장5_최신-SQ인증업체현황1343사(03년평가완료031229수정)_용접업종 평가결과품의(040510)(1)" xfId="26125"/>
    <cellStyle name="백_출장계획서_새벽시장5_최신-SQ인증업체현황1343사(03년평가완료031229수정)_주단조용접업종 평가결과품의(040510)(1)" xfId="26126"/>
    <cellStyle name="백_출장계획서_새벽시장7" xfId="26127"/>
    <cellStyle name="백_출장계획서_새벽시장7_도금 열처리 주단조 평가품의(040329)" xfId="26128"/>
    <cellStyle name="백_출장계획서_새벽시장7_도금 열처리 주단조 평가품의(040329)_도금 열처리 주단조 평가품의(040329)" xfId="26129"/>
    <cellStyle name="백_출장계획서_새벽시장7_도금 열처리 주단조 평가품의(040329)업체" xfId="26130"/>
    <cellStyle name="백_출장계획서_새벽시장7_열처리결과품의(031017)개발" xfId="26131"/>
    <cellStyle name="백_출장계획서_새벽시장7_열처리결과품의(031017)개발_도금 열처리 주단조 평가품의(040329)" xfId="26132"/>
    <cellStyle name="백_출장계획서_새벽시장7_용접업종 평가결과품의(040510)" xfId="26133"/>
    <cellStyle name="백_출장계획서_새벽시장7_용접업종 평가결과품의(040510)_용접업종 평가결과품의(040510)" xfId="26134"/>
    <cellStyle name="백_출장계획서_새벽시장7_용접업종 평가결과품의(040510)_용접업종 평가결과품의(040510)(1)" xfId="26135"/>
    <cellStyle name="백_출장계획서_새벽시장7_용접업종 평가결과품의(040510)_주단조용접업종 평가결과품의(040510)(1)" xfId="26136"/>
    <cellStyle name="백_출장계획서_새벽시장7_주단조 업종 평가결과품의(040407)" xfId="26137"/>
    <cellStyle name="백_출장계획서_새벽시장7_주단조 업종 평가결과품의(040407)_용접업종 평가결과품의(040510)" xfId="26138"/>
    <cellStyle name="백_출장계획서_새벽시장7_주단조 업종 평가결과품의(040407)_용접업종 평가결과품의(040510)(1)" xfId="26139"/>
    <cellStyle name="백_출장계획서_새벽시장7_주단조 업종 평가결과품의(040407)_주단조용접업종 평가결과품의(040510)(1)" xfId="26140"/>
    <cellStyle name="백_출장계획서_새벽시장7_주단조 업종 평가결과품의(040416)(1)" xfId="26141"/>
    <cellStyle name="백_출장계획서_새벽시장7_주단조 업종 평가결과품의(040416)(1)_용접업종 평가결과품의(040510)" xfId="26142"/>
    <cellStyle name="백_출장계획서_새벽시장7_주단조 업종 평가결과품의(040416)(1)_용접업종 평가결과품의(040510)(1)" xfId="26143"/>
    <cellStyle name="백_출장계획서_새벽시장7_주단조 업종 평가결과품의(040416)(1)_주단조용접업종 평가결과품의(040510)(1)" xfId="26144"/>
    <cellStyle name="백_출장계획서_새벽시장7_최신-SQ인증업체현황1343사(03년평가완료031229수정)" xfId="26145"/>
    <cellStyle name="백_출장계획서_새벽시장7_최신-SQ인증업체현황1343사(03년평가완료031229수정)_용접업종 평가결과품의(040510)" xfId="26146"/>
    <cellStyle name="백_출장계획서_새벽시장7_최신-SQ인증업체현황1343사(03년평가완료031229수정)_용접업종 평가결과품의(040510)(1)" xfId="26147"/>
    <cellStyle name="백_출장계획서_새벽시장7_최신-SQ인증업체현황1343사(03년평가완료031229수정)_주단조용접업종 평가결과품의(040510)(1)" xfId="26148"/>
    <cellStyle name="백_출장계획서_새벽시장8.10xls" xfId="26149"/>
    <cellStyle name="백_출장계획서_새벽시장8.10xls_도금 열처리 주단조 평가품의(040329)" xfId="26150"/>
    <cellStyle name="백_출장계획서_새벽시장8.10xls_도금 열처리 주단조 평가품의(040329)_도금 열처리 주단조 평가품의(040329)" xfId="26151"/>
    <cellStyle name="백_출장계획서_새벽시장8.10xls_도금 열처리 주단조 평가품의(040329)업체" xfId="26152"/>
    <cellStyle name="백_출장계획서_새벽시장8.10xls_열처리결과품의(031017)개발" xfId="26153"/>
    <cellStyle name="백_출장계획서_새벽시장8.10xls_열처리결과품의(031017)개발_도금 열처리 주단조 평가품의(040329)" xfId="26154"/>
    <cellStyle name="백_출장계획서_새벽시장8.10xls_용접업종 평가결과품의(040510)" xfId="26155"/>
    <cellStyle name="백_출장계획서_새벽시장8.10xls_용접업종 평가결과품의(040510)_용접업종 평가결과품의(040510)" xfId="26156"/>
    <cellStyle name="백_출장계획서_새벽시장8.10xls_용접업종 평가결과품의(040510)_용접업종 평가결과품의(040510)(1)" xfId="26157"/>
    <cellStyle name="백_출장계획서_새벽시장8.10xls_용접업종 평가결과품의(040510)_주단조용접업종 평가결과품의(040510)(1)" xfId="26158"/>
    <cellStyle name="백_출장계획서_새벽시장8.10xls_주단조 업종 평가결과품의(040407)" xfId="26159"/>
    <cellStyle name="백_출장계획서_새벽시장8.10xls_주단조 업종 평가결과품의(040407)_용접업종 평가결과품의(040510)" xfId="26160"/>
    <cellStyle name="백_출장계획서_새벽시장8.10xls_주단조 업종 평가결과품의(040407)_용접업종 평가결과품의(040510)(1)" xfId="26161"/>
    <cellStyle name="백_출장계획서_새벽시장8.10xls_주단조 업종 평가결과품의(040407)_주단조용접업종 평가결과품의(040510)(1)" xfId="26162"/>
    <cellStyle name="백_출장계획서_새벽시장8.10xls_주단조 업종 평가결과품의(040416)(1)" xfId="26163"/>
    <cellStyle name="백_출장계획서_새벽시장8.10xls_주단조 업종 평가결과품의(040416)(1)_용접업종 평가결과품의(040510)" xfId="26164"/>
    <cellStyle name="백_출장계획서_새벽시장8.10xls_주단조 업종 평가결과품의(040416)(1)_용접업종 평가결과품의(040510)(1)" xfId="26165"/>
    <cellStyle name="백_출장계획서_새벽시장8.10xls_주단조 업종 평가결과품의(040416)(1)_주단조용접업종 평가결과품의(040510)(1)" xfId="26166"/>
    <cellStyle name="백_출장계획서_새벽시장8.10xls_최신-SQ인증업체현황1343사(03년평가완료031229수정)" xfId="26167"/>
    <cellStyle name="백_출장계획서_새벽시장8.10xls_최신-SQ인증업체현황1343사(03년평가완료031229수정)_용접업종 평가결과품의(040510)" xfId="26168"/>
    <cellStyle name="백_출장계획서_새벽시장8.10xls_최신-SQ인증업체현황1343사(03년평가완료031229수정)_용접업종 평가결과품의(040510)(1)" xfId="26169"/>
    <cellStyle name="백_출장계획서_새벽시장8.10xls_최신-SQ인증업체현황1343사(03년평가완료031229수정)_주단조용접업종 평가결과품의(040510)(1)" xfId="26170"/>
    <cellStyle name="백_출장계획서_새벽시장8.26xls" xfId="26171"/>
    <cellStyle name="백_출장계획서_새벽시장8.26xls_도금 열처리 주단조 평가품의(040329)" xfId="26172"/>
    <cellStyle name="백_출장계획서_새벽시장8.26xls_도금 열처리 주단조 평가품의(040329)_도금 열처리 주단조 평가품의(040329)" xfId="26173"/>
    <cellStyle name="백_출장계획서_새벽시장8.26xls_도금 열처리 주단조 평가품의(040329)업체" xfId="26174"/>
    <cellStyle name="백_출장계획서_새벽시장8.26xls_열처리결과품의(031017)개발" xfId="26175"/>
    <cellStyle name="백_출장계획서_새벽시장8.26xls_열처리결과품의(031017)개발_도금 열처리 주단조 평가품의(040329)" xfId="26176"/>
    <cellStyle name="백_출장계획서_새벽시장8.26xls_용접업종 평가결과품의(040510)" xfId="26177"/>
    <cellStyle name="백_출장계획서_새벽시장8.26xls_용접업종 평가결과품의(040510)_용접업종 평가결과품의(040510)" xfId="26178"/>
    <cellStyle name="백_출장계획서_새벽시장8.26xls_용접업종 평가결과품의(040510)_용접업종 평가결과품의(040510)(1)" xfId="26179"/>
    <cellStyle name="백_출장계획서_새벽시장8.26xls_용접업종 평가결과품의(040510)_주단조용접업종 평가결과품의(040510)(1)" xfId="26180"/>
    <cellStyle name="백_출장계획서_새벽시장8.26xls_주단조 업종 평가결과품의(040407)" xfId="26181"/>
    <cellStyle name="백_출장계획서_새벽시장8.26xls_주단조 업종 평가결과품의(040407)_용접업종 평가결과품의(040510)" xfId="26182"/>
    <cellStyle name="백_출장계획서_새벽시장8.26xls_주단조 업종 평가결과품의(040407)_용접업종 평가결과품의(040510)(1)" xfId="26183"/>
    <cellStyle name="백_출장계획서_새벽시장8.26xls_주단조 업종 평가결과품의(040407)_주단조용접업종 평가결과품의(040510)(1)" xfId="26184"/>
    <cellStyle name="백_출장계획서_새벽시장8.26xls_주단조 업종 평가결과품의(040416)(1)" xfId="26185"/>
    <cellStyle name="백_출장계획서_새벽시장8.26xls_주단조 업종 평가결과품의(040416)(1)_용접업종 평가결과품의(040510)" xfId="26186"/>
    <cellStyle name="백_출장계획서_새벽시장8.26xls_주단조 업종 평가결과품의(040416)(1)_용접업종 평가결과품의(040510)(1)" xfId="26187"/>
    <cellStyle name="백_출장계획서_새벽시장8.26xls_주단조 업종 평가결과품의(040416)(1)_주단조용접업종 평가결과품의(040510)(1)" xfId="26188"/>
    <cellStyle name="백_출장계획서_새벽시장8.26xls_최신-SQ인증업체현황1343사(03년평가완료031229수정)" xfId="26189"/>
    <cellStyle name="백_출장계획서_새벽시장8.26xls_최신-SQ인증업체현황1343사(03년평가완료031229수정)_용접업종 평가결과품의(040510)" xfId="26190"/>
    <cellStyle name="백_출장계획서_새벽시장8.26xls_최신-SQ인증업체현황1343사(03년평가완료031229수정)_용접업종 평가결과품의(040510)(1)" xfId="26191"/>
    <cellStyle name="백_출장계획서_새벽시장8.26xls_최신-SQ인증업체현황1343사(03년평가완료031229수정)_주단조용접업종 평가결과품의(040510)(1)" xfId="26192"/>
    <cellStyle name="백_출장계획서_새벽시장9.16" xfId="26193"/>
    <cellStyle name="백_출장계획서_새벽시장9.16_도금 열처리 주단조 평가품의(040329)" xfId="26194"/>
    <cellStyle name="백_출장계획서_새벽시장9.16_도금 열처리 주단조 평가품의(040329)_도금 열처리 주단조 평가품의(040329)" xfId="26195"/>
    <cellStyle name="백_출장계획서_새벽시장9.16_도금 열처리 주단조 평가품의(040329)업체" xfId="26196"/>
    <cellStyle name="백_출장계획서_새벽시장9.16_열처리결과품의(031017)개발" xfId="26197"/>
    <cellStyle name="백_출장계획서_새벽시장9.16_열처리결과품의(031017)개발_도금 열처리 주단조 평가품의(040329)" xfId="26198"/>
    <cellStyle name="백_출장계획서_새벽시장9.16_용접업종 평가결과품의(040510)" xfId="26199"/>
    <cellStyle name="백_출장계획서_새벽시장9.16_용접업종 평가결과품의(040510)_용접업종 평가결과품의(040510)" xfId="26200"/>
    <cellStyle name="백_출장계획서_새벽시장9.16_용접업종 평가결과품의(040510)_용접업종 평가결과품의(040510)(1)" xfId="26201"/>
    <cellStyle name="백_출장계획서_새벽시장9.16_용접업종 평가결과품의(040510)_주단조용접업종 평가결과품의(040510)(1)" xfId="26202"/>
    <cellStyle name="백_출장계획서_새벽시장9.16_주단조 업종 평가결과품의(040407)" xfId="26203"/>
    <cellStyle name="백_출장계획서_새벽시장9.16_주단조 업종 평가결과품의(040407)_용접업종 평가결과품의(040510)" xfId="26204"/>
    <cellStyle name="백_출장계획서_새벽시장9.16_주단조 업종 평가결과품의(040407)_용접업종 평가결과품의(040510)(1)" xfId="26205"/>
    <cellStyle name="백_출장계획서_새벽시장9.16_주단조 업종 평가결과품의(040407)_주단조용접업종 평가결과품의(040510)(1)" xfId="26206"/>
    <cellStyle name="백_출장계획서_새벽시장9.16_주단조 업종 평가결과품의(040416)(1)" xfId="26207"/>
    <cellStyle name="백_출장계획서_새벽시장9.16_주단조 업종 평가결과품의(040416)(1)_용접업종 평가결과품의(040510)" xfId="26208"/>
    <cellStyle name="백_출장계획서_새벽시장9.16_주단조 업종 평가결과품의(040416)(1)_용접업종 평가결과품의(040510)(1)" xfId="26209"/>
    <cellStyle name="백_출장계획서_새벽시장9.16_주단조 업종 평가결과품의(040416)(1)_주단조용접업종 평가결과품의(040510)(1)" xfId="26210"/>
    <cellStyle name="백_출장계획서_새벽시장9.16_최신-SQ인증업체현황1343사(03년평가완료031229수정)" xfId="26211"/>
    <cellStyle name="백_출장계획서_새벽시장9.16_최신-SQ인증업체현황1343사(03년평가완료031229수정)_용접업종 평가결과품의(040510)" xfId="26212"/>
    <cellStyle name="백_출장계획서_새벽시장9.16_최신-SQ인증업체현황1343사(03년평가완료031229수정)_용접업종 평가결과품의(040510)(1)" xfId="26213"/>
    <cellStyle name="백_출장계획서_새벽시장9.16_최신-SQ인증업체현황1343사(03년평가완료031229수정)_주단조용접업종 평가결과품의(040510)(1)" xfId="26214"/>
    <cellStyle name="백_출장계획서_열처리결과품의(031017)개발" xfId="26215"/>
    <cellStyle name="백_출장계획서_열처리결과품의(031017)개발_도금 열처리 주단조 평가품의(040329)" xfId="26216"/>
    <cellStyle name="백_출장계획서_용접업종 평가결과품의(040510)" xfId="26217"/>
    <cellStyle name="백_출장계획서_용접업종 평가결과품의(040510)_용접업종 평가결과품의(040510)" xfId="26218"/>
    <cellStyle name="백_출장계획서_용접업종 평가결과품의(040510)_용접업종 평가결과품의(040510)(1)" xfId="26219"/>
    <cellStyle name="백_출장계획서_용접업종 평가결과품의(040510)_주단조용접업종 평가결과품의(040510)(1)" xfId="26220"/>
    <cellStyle name="백_출장계획서_주단조 업종 평가결과품의(040407)" xfId="26221"/>
    <cellStyle name="백_출장계획서_주단조 업종 평가결과품의(040407)_용접업종 평가결과품의(040510)" xfId="26222"/>
    <cellStyle name="백_출장계획서_주단조 업종 평가결과품의(040407)_용접업종 평가결과품의(040510)(1)" xfId="26223"/>
    <cellStyle name="백_출장계획서_주단조 업종 평가결과품의(040407)_주단조용접업종 평가결과품의(040510)(1)" xfId="26224"/>
    <cellStyle name="백_출장계획서_주단조 업종 평가결과품의(040416)(1)" xfId="26225"/>
    <cellStyle name="백_출장계획서_주단조 업종 평가결과품의(040416)(1)_용접업종 평가결과품의(040510)" xfId="26226"/>
    <cellStyle name="백_출장계획서_주단조 업종 평가결과품의(040416)(1)_용접업종 평가결과품의(040510)(1)" xfId="26227"/>
    <cellStyle name="백_출장계획서_주단조 업종 평가결과품의(040416)(1)_주단조용접업종 평가결과품의(040510)(1)" xfId="26228"/>
    <cellStyle name="백_출장계획서_최신-SQ인증업체현황1343사(03년평가완료031229수정)" xfId="26229"/>
    <cellStyle name="백_출장계획서_최신-SQ인증업체현황1343사(03년평가완료031229수정)_용접업종 평가결과품의(040510)" xfId="26230"/>
    <cellStyle name="백_출장계획서_최신-SQ인증업체현황1343사(03년평가완료031229수정)_용접업종 평가결과품의(040510)(1)" xfId="26231"/>
    <cellStyle name="백_출장계획서_최신-SQ인증업체현황1343사(03년평가완료031229수정)_주단조용접업종 평가결과품의(040510)(1)" xfId="26232"/>
    <cellStyle name="백분율 2" xfId="26234"/>
    <cellStyle name="백분율 2 2" xfId="26235"/>
    <cellStyle name="백분율 2 2 2" xfId="26236"/>
    <cellStyle name="백분율 2 2 2 2" xfId="26237"/>
    <cellStyle name="백분율 2 2 2 3" xfId="26238"/>
    <cellStyle name="백분율 2 2 3" xfId="26239"/>
    <cellStyle name="백분율 2 3" xfId="26240"/>
    <cellStyle name="백분율 2 3 2" xfId="26241"/>
    <cellStyle name="백분율 2 3 3" xfId="26242"/>
    <cellStyle name="백분율 2 4" xfId="26243"/>
    <cellStyle name="백분율 2 4 2" xfId="26244"/>
    <cellStyle name="백분율 2 5" xfId="26245"/>
    <cellStyle name="백분율 3" xfId="26246"/>
    <cellStyle name="백분율 3 2" xfId="26247"/>
    <cellStyle name="백분율 4" xfId="26248"/>
    <cellStyle name="백분율 4 2" xfId="26249"/>
    <cellStyle name="백분율 5" xfId="26250"/>
    <cellStyle name="백분율 5 2" xfId="26251"/>
    <cellStyle name="백분율 6" xfId="26252"/>
    <cellStyle name="백분율 6 10" xfId="26253"/>
    <cellStyle name="백분율 6 10 2" xfId="26254"/>
    <cellStyle name="백분율 6 10 2 2" xfId="26255"/>
    <cellStyle name="백분율 6 10 2 2 2" xfId="26256"/>
    <cellStyle name="백분율 6 10 2 2 2 2" xfId="26257"/>
    <cellStyle name="백분율 6 10 2 2 2 3" xfId="26258"/>
    <cellStyle name="백분율 6 10 2 2 3" xfId="26259"/>
    <cellStyle name="백분율 6 10 2 2 4" xfId="26260"/>
    <cellStyle name="백분율 6 10 2 3" xfId="26261"/>
    <cellStyle name="백분율 6 10 2 3 2" xfId="26262"/>
    <cellStyle name="백분율 6 10 2 3 3" xfId="26263"/>
    <cellStyle name="백분율 6 10 2 4" xfId="26264"/>
    <cellStyle name="백분율 6 10 2 5" xfId="26265"/>
    <cellStyle name="백분율 6 10 3" xfId="26266"/>
    <cellStyle name="백분율 6 10 3 2" xfId="26267"/>
    <cellStyle name="백분율 6 10 3 2 2" xfId="26268"/>
    <cellStyle name="백분율 6 10 3 2 2 2" xfId="26269"/>
    <cellStyle name="백분율 6 10 3 2 2 3" xfId="26270"/>
    <cellStyle name="백분율 6 10 3 2 3" xfId="26271"/>
    <cellStyle name="백분율 6 10 3 2 4" xfId="26272"/>
    <cellStyle name="백분율 6 10 3 3" xfId="26273"/>
    <cellStyle name="백분율 6 10 3 3 2" xfId="26274"/>
    <cellStyle name="백분율 6 10 3 3 3" xfId="26275"/>
    <cellStyle name="백분율 6 10 3 4" xfId="26276"/>
    <cellStyle name="백분율 6 10 3 5" xfId="26277"/>
    <cellStyle name="백분율 6 10 4" xfId="26278"/>
    <cellStyle name="백분율 6 10 4 2" xfId="26279"/>
    <cellStyle name="백분율 6 10 4 2 2" xfId="26280"/>
    <cellStyle name="백분율 6 10 4 2 3" xfId="26281"/>
    <cellStyle name="백분율 6 10 4 3" xfId="26282"/>
    <cellStyle name="백분율 6 10 4 4" xfId="26283"/>
    <cellStyle name="백분율 6 10 5" xfId="26284"/>
    <cellStyle name="백분율 6 10 5 2" xfId="26285"/>
    <cellStyle name="백분율 6 10 5 3" xfId="26286"/>
    <cellStyle name="백분율 6 10 6" xfId="26287"/>
    <cellStyle name="백분율 6 10 7" xfId="26288"/>
    <cellStyle name="백분율 6 11" xfId="26289"/>
    <cellStyle name="백분율 6 11 2" xfId="26290"/>
    <cellStyle name="백분율 6 11 2 2" xfId="26291"/>
    <cellStyle name="백분율 6 11 2 2 2" xfId="26292"/>
    <cellStyle name="백분율 6 11 2 2 3" xfId="26293"/>
    <cellStyle name="백분율 6 11 2 3" xfId="26294"/>
    <cellStyle name="백분율 6 11 2 4" xfId="26295"/>
    <cellStyle name="백분율 6 11 3" xfId="26296"/>
    <cellStyle name="백분율 6 11 3 2" xfId="26297"/>
    <cellStyle name="백분율 6 11 3 3" xfId="26298"/>
    <cellStyle name="백분율 6 11 4" xfId="26299"/>
    <cellStyle name="백분율 6 11 5" xfId="26300"/>
    <cellStyle name="백분율 6 12" xfId="26301"/>
    <cellStyle name="백분율 6 12 2" xfId="26302"/>
    <cellStyle name="백분율 6 12 2 2" xfId="26303"/>
    <cellStyle name="백분율 6 12 2 2 2" xfId="26304"/>
    <cellStyle name="백분율 6 12 2 2 3" xfId="26305"/>
    <cellStyle name="백분율 6 12 2 3" xfId="26306"/>
    <cellStyle name="백분율 6 12 2 4" xfId="26307"/>
    <cellStyle name="백분율 6 12 3" xfId="26308"/>
    <cellStyle name="백분율 6 12 3 2" xfId="26309"/>
    <cellStyle name="백분율 6 12 3 3" xfId="26310"/>
    <cellStyle name="백분율 6 12 4" xfId="26311"/>
    <cellStyle name="백분율 6 12 5" xfId="26312"/>
    <cellStyle name="백분율 6 13" xfId="26313"/>
    <cellStyle name="백분율 6 13 2" xfId="26314"/>
    <cellStyle name="백분율 6 13 2 2" xfId="26315"/>
    <cellStyle name="백분율 6 13 2 2 2" xfId="26316"/>
    <cellStyle name="백분율 6 13 2 2 3" xfId="26317"/>
    <cellStyle name="백분율 6 13 2 3" xfId="26318"/>
    <cellStyle name="백분율 6 13 2 4" xfId="26319"/>
    <cellStyle name="백분율 6 13 3" xfId="26320"/>
    <cellStyle name="백분율 6 13 3 2" xfId="26321"/>
    <cellStyle name="백분율 6 13 3 3" xfId="26322"/>
    <cellStyle name="백분율 6 13 4" xfId="26323"/>
    <cellStyle name="백분율 6 13 5" xfId="26324"/>
    <cellStyle name="백분율 6 14" xfId="26325"/>
    <cellStyle name="백분율 6 14 2" xfId="26326"/>
    <cellStyle name="백분율 6 14 2 2" xfId="26327"/>
    <cellStyle name="백분율 6 14 2 3" xfId="26328"/>
    <cellStyle name="백분율 6 14 3" xfId="26329"/>
    <cellStyle name="백분율 6 14 4" xfId="26330"/>
    <cellStyle name="백분율 6 15" xfId="26331"/>
    <cellStyle name="백분율 6 15 2" xfId="26332"/>
    <cellStyle name="백분율 6 15 3" xfId="26333"/>
    <cellStyle name="백분율 6 16" xfId="26334"/>
    <cellStyle name="백분율 6 17" xfId="26335"/>
    <cellStyle name="백분율 6 18" xfId="8"/>
    <cellStyle name="백분율 6 18 2" xfId="51151"/>
    <cellStyle name="백분율 6 2" xfId="26336"/>
    <cellStyle name="백분율 6 2 10" xfId="26337"/>
    <cellStyle name="백분율 6 2 10 2" xfId="26338"/>
    <cellStyle name="백분율 6 2 10 2 2" xfId="26339"/>
    <cellStyle name="백분율 6 2 10 2 2 2" xfId="26340"/>
    <cellStyle name="백분율 6 2 10 2 2 3" xfId="26341"/>
    <cellStyle name="백분율 6 2 10 2 3" xfId="26342"/>
    <cellStyle name="백분율 6 2 10 2 4" xfId="26343"/>
    <cellStyle name="백분율 6 2 10 3" xfId="26344"/>
    <cellStyle name="백분율 6 2 10 3 2" xfId="26345"/>
    <cellStyle name="백분율 6 2 10 3 3" xfId="26346"/>
    <cellStyle name="백분율 6 2 10 4" xfId="26347"/>
    <cellStyle name="백분율 6 2 10 5" xfId="26348"/>
    <cellStyle name="백분율 6 2 11" xfId="26349"/>
    <cellStyle name="백분율 6 2 11 2" xfId="26350"/>
    <cellStyle name="백분율 6 2 11 2 2" xfId="26351"/>
    <cellStyle name="백분율 6 2 11 2 3" xfId="26352"/>
    <cellStyle name="백분율 6 2 11 3" xfId="26353"/>
    <cellStyle name="백분율 6 2 11 4" xfId="26354"/>
    <cellStyle name="백분율 6 2 12" xfId="26355"/>
    <cellStyle name="백분율 6 2 12 2" xfId="26356"/>
    <cellStyle name="백분율 6 2 12 3" xfId="26357"/>
    <cellStyle name="백분율 6 2 13" xfId="26358"/>
    <cellStyle name="백분율 6 2 14" xfId="26359"/>
    <cellStyle name="백분율 6 2 2" xfId="26360"/>
    <cellStyle name="백분율 6 2 2 10" xfId="26361"/>
    <cellStyle name="백분율 6 2 2 10 2" xfId="26362"/>
    <cellStyle name="백분율 6 2 2 10 2 2" xfId="26363"/>
    <cellStyle name="백분율 6 2 2 10 2 3" xfId="26364"/>
    <cellStyle name="백분율 6 2 2 10 3" xfId="26365"/>
    <cellStyle name="백분율 6 2 2 10 4" xfId="26366"/>
    <cellStyle name="백분율 6 2 2 11" xfId="26367"/>
    <cellStyle name="백분율 6 2 2 11 2" xfId="26368"/>
    <cellStyle name="백분율 6 2 2 11 3" xfId="26369"/>
    <cellStyle name="백분율 6 2 2 12" xfId="26370"/>
    <cellStyle name="백분율 6 2 2 13" xfId="26371"/>
    <cellStyle name="백분율 6 2 2 2" xfId="26372"/>
    <cellStyle name="백분율 6 2 2 2 10" xfId="26373"/>
    <cellStyle name="백분율 6 2 2 2 2" xfId="26374"/>
    <cellStyle name="백분율 6 2 2 2 2 2" xfId="26375"/>
    <cellStyle name="백분율 6 2 2 2 2 2 2" xfId="26376"/>
    <cellStyle name="백분율 6 2 2 2 2 2 2 2" xfId="26377"/>
    <cellStyle name="백분율 6 2 2 2 2 2 2 2 2" xfId="26378"/>
    <cellStyle name="백분율 6 2 2 2 2 2 2 2 3" xfId="26379"/>
    <cellStyle name="백분율 6 2 2 2 2 2 2 3" xfId="26380"/>
    <cellStyle name="백분율 6 2 2 2 2 2 2 4" xfId="26381"/>
    <cellStyle name="백분율 6 2 2 2 2 2 3" xfId="26382"/>
    <cellStyle name="백분율 6 2 2 2 2 2 3 2" xfId="26383"/>
    <cellStyle name="백분율 6 2 2 2 2 2 3 3" xfId="26384"/>
    <cellStyle name="백분율 6 2 2 2 2 2 4" xfId="26385"/>
    <cellStyle name="백분율 6 2 2 2 2 2 5" xfId="26386"/>
    <cellStyle name="백분율 6 2 2 2 2 3" xfId="26387"/>
    <cellStyle name="백분율 6 2 2 2 2 3 2" xfId="26388"/>
    <cellStyle name="백분율 6 2 2 2 2 3 2 2" xfId="26389"/>
    <cellStyle name="백분율 6 2 2 2 2 3 2 2 2" xfId="26390"/>
    <cellStyle name="백분율 6 2 2 2 2 3 2 2 3" xfId="26391"/>
    <cellStyle name="백분율 6 2 2 2 2 3 2 3" xfId="26392"/>
    <cellStyle name="백분율 6 2 2 2 2 3 2 4" xfId="26393"/>
    <cellStyle name="백분율 6 2 2 2 2 3 3" xfId="26394"/>
    <cellStyle name="백분율 6 2 2 2 2 3 3 2" xfId="26395"/>
    <cellStyle name="백분율 6 2 2 2 2 3 3 3" xfId="26396"/>
    <cellStyle name="백분율 6 2 2 2 2 3 4" xfId="26397"/>
    <cellStyle name="백분율 6 2 2 2 2 3 5" xfId="26398"/>
    <cellStyle name="백분율 6 2 2 2 2 4" xfId="26399"/>
    <cellStyle name="백분율 6 2 2 2 2 4 2" xfId="26400"/>
    <cellStyle name="백분율 6 2 2 2 2 4 2 2" xfId="26401"/>
    <cellStyle name="백분율 6 2 2 2 2 4 2 3" xfId="26402"/>
    <cellStyle name="백분율 6 2 2 2 2 4 3" xfId="26403"/>
    <cellStyle name="백분율 6 2 2 2 2 4 4" xfId="26404"/>
    <cellStyle name="백분율 6 2 2 2 2 5" xfId="26405"/>
    <cellStyle name="백분율 6 2 2 2 2 5 2" xfId="26406"/>
    <cellStyle name="백분율 6 2 2 2 2 5 3" xfId="26407"/>
    <cellStyle name="백분율 6 2 2 2 2 6" xfId="26408"/>
    <cellStyle name="백분율 6 2 2 2 2 7" xfId="26409"/>
    <cellStyle name="백분율 6 2 2 2 3" xfId="26410"/>
    <cellStyle name="백분율 6 2 2 2 3 2" xfId="26411"/>
    <cellStyle name="백분율 6 2 2 2 3 2 2" xfId="26412"/>
    <cellStyle name="백분율 6 2 2 2 3 2 2 2" xfId="26413"/>
    <cellStyle name="백분율 6 2 2 2 3 2 2 2 2" xfId="26414"/>
    <cellStyle name="백분율 6 2 2 2 3 2 2 2 3" xfId="26415"/>
    <cellStyle name="백분율 6 2 2 2 3 2 2 3" xfId="26416"/>
    <cellStyle name="백분율 6 2 2 2 3 2 2 4" xfId="26417"/>
    <cellStyle name="백분율 6 2 2 2 3 2 3" xfId="26418"/>
    <cellStyle name="백분율 6 2 2 2 3 2 3 2" xfId="26419"/>
    <cellStyle name="백분율 6 2 2 2 3 2 3 3" xfId="26420"/>
    <cellStyle name="백분율 6 2 2 2 3 2 4" xfId="26421"/>
    <cellStyle name="백분율 6 2 2 2 3 2 5" xfId="26422"/>
    <cellStyle name="백분율 6 2 2 2 3 3" xfId="26423"/>
    <cellStyle name="백분율 6 2 2 2 3 3 2" xfId="26424"/>
    <cellStyle name="백분율 6 2 2 2 3 3 2 2" xfId="26425"/>
    <cellStyle name="백분율 6 2 2 2 3 3 2 2 2" xfId="26426"/>
    <cellStyle name="백분율 6 2 2 2 3 3 2 2 3" xfId="26427"/>
    <cellStyle name="백분율 6 2 2 2 3 3 2 3" xfId="26428"/>
    <cellStyle name="백분율 6 2 2 2 3 3 2 4" xfId="26429"/>
    <cellStyle name="백분율 6 2 2 2 3 3 3" xfId="26430"/>
    <cellStyle name="백분율 6 2 2 2 3 3 3 2" xfId="26431"/>
    <cellStyle name="백분율 6 2 2 2 3 3 3 3" xfId="26432"/>
    <cellStyle name="백분율 6 2 2 2 3 3 4" xfId="26433"/>
    <cellStyle name="백분율 6 2 2 2 3 3 5" xfId="26434"/>
    <cellStyle name="백분율 6 2 2 2 3 4" xfId="26435"/>
    <cellStyle name="백분율 6 2 2 2 3 4 2" xfId="26436"/>
    <cellStyle name="백분율 6 2 2 2 3 4 2 2" xfId="26437"/>
    <cellStyle name="백분율 6 2 2 2 3 4 2 3" xfId="26438"/>
    <cellStyle name="백분율 6 2 2 2 3 4 3" xfId="26439"/>
    <cellStyle name="백분율 6 2 2 2 3 4 4" xfId="26440"/>
    <cellStyle name="백분율 6 2 2 2 3 5" xfId="26441"/>
    <cellStyle name="백분율 6 2 2 2 3 5 2" xfId="26442"/>
    <cellStyle name="백분율 6 2 2 2 3 5 3" xfId="26443"/>
    <cellStyle name="백분율 6 2 2 2 3 6" xfId="26444"/>
    <cellStyle name="백분율 6 2 2 2 3 7" xfId="26445"/>
    <cellStyle name="백분율 6 2 2 2 4" xfId="26446"/>
    <cellStyle name="백분율 6 2 2 2 4 2" xfId="26447"/>
    <cellStyle name="백분율 6 2 2 2 4 2 2" xfId="26448"/>
    <cellStyle name="백분율 6 2 2 2 4 2 2 2" xfId="26449"/>
    <cellStyle name="백분율 6 2 2 2 4 2 2 3" xfId="26450"/>
    <cellStyle name="백분율 6 2 2 2 4 2 3" xfId="26451"/>
    <cellStyle name="백분율 6 2 2 2 4 2 4" xfId="26452"/>
    <cellStyle name="백분율 6 2 2 2 4 3" xfId="26453"/>
    <cellStyle name="백분율 6 2 2 2 4 3 2" xfId="26454"/>
    <cellStyle name="백분율 6 2 2 2 4 3 3" xfId="26455"/>
    <cellStyle name="백분율 6 2 2 2 4 4" xfId="26456"/>
    <cellStyle name="백분율 6 2 2 2 4 5" xfId="26457"/>
    <cellStyle name="백분율 6 2 2 2 5" xfId="26458"/>
    <cellStyle name="백분율 6 2 2 2 5 2" xfId="26459"/>
    <cellStyle name="백분율 6 2 2 2 5 2 2" xfId="26460"/>
    <cellStyle name="백분율 6 2 2 2 5 2 2 2" xfId="26461"/>
    <cellStyle name="백분율 6 2 2 2 5 2 2 3" xfId="26462"/>
    <cellStyle name="백분율 6 2 2 2 5 2 3" xfId="26463"/>
    <cellStyle name="백분율 6 2 2 2 5 2 4" xfId="26464"/>
    <cellStyle name="백분율 6 2 2 2 5 3" xfId="26465"/>
    <cellStyle name="백분율 6 2 2 2 5 3 2" xfId="26466"/>
    <cellStyle name="백분율 6 2 2 2 5 3 3" xfId="26467"/>
    <cellStyle name="백분율 6 2 2 2 5 4" xfId="26468"/>
    <cellStyle name="백분율 6 2 2 2 5 5" xfId="26469"/>
    <cellStyle name="백분율 6 2 2 2 6" xfId="26470"/>
    <cellStyle name="백분율 6 2 2 2 6 2" xfId="26471"/>
    <cellStyle name="백분율 6 2 2 2 6 2 2" xfId="26472"/>
    <cellStyle name="백분율 6 2 2 2 6 2 2 2" xfId="26473"/>
    <cellStyle name="백분율 6 2 2 2 6 2 2 3" xfId="26474"/>
    <cellStyle name="백분율 6 2 2 2 6 2 3" xfId="26475"/>
    <cellStyle name="백분율 6 2 2 2 6 2 4" xfId="26476"/>
    <cellStyle name="백분율 6 2 2 2 6 3" xfId="26477"/>
    <cellStyle name="백분율 6 2 2 2 6 3 2" xfId="26478"/>
    <cellStyle name="백분율 6 2 2 2 6 3 3" xfId="26479"/>
    <cellStyle name="백분율 6 2 2 2 6 4" xfId="26480"/>
    <cellStyle name="백분율 6 2 2 2 6 5" xfId="26481"/>
    <cellStyle name="백분율 6 2 2 2 7" xfId="26482"/>
    <cellStyle name="백분율 6 2 2 2 7 2" xfId="26483"/>
    <cellStyle name="백분율 6 2 2 2 7 2 2" xfId="26484"/>
    <cellStyle name="백분율 6 2 2 2 7 2 3" xfId="26485"/>
    <cellStyle name="백분율 6 2 2 2 7 3" xfId="26486"/>
    <cellStyle name="백분율 6 2 2 2 7 4" xfId="26487"/>
    <cellStyle name="백분율 6 2 2 2 8" xfId="26488"/>
    <cellStyle name="백분율 6 2 2 2 8 2" xfId="26489"/>
    <cellStyle name="백분율 6 2 2 2 8 3" xfId="26490"/>
    <cellStyle name="백분율 6 2 2 2 9" xfId="26491"/>
    <cellStyle name="백분율 6 2 2 3" xfId="26492"/>
    <cellStyle name="백분율 6 2 2 3 10" xfId="26493"/>
    <cellStyle name="백분율 6 2 2 3 2" xfId="26494"/>
    <cellStyle name="백분율 6 2 2 3 2 2" xfId="26495"/>
    <cellStyle name="백분율 6 2 2 3 2 2 2" xfId="26496"/>
    <cellStyle name="백분율 6 2 2 3 2 2 2 2" xfId="26497"/>
    <cellStyle name="백분율 6 2 2 3 2 2 2 2 2" xfId="26498"/>
    <cellStyle name="백분율 6 2 2 3 2 2 2 2 3" xfId="26499"/>
    <cellStyle name="백분율 6 2 2 3 2 2 2 3" xfId="26500"/>
    <cellStyle name="백분율 6 2 2 3 2 2 2 4" xfId="26501"/>
    <cellStyle name="백분율 6 2 2 3 2 2 3" xfId="26502"/>
    <cellStyle name="백분율 6 2 2 3 2 2 3 2" xfId="26503"/>
    <cellStyle name="백분율 6 2 2 3 2 2 3 3" xfId="26504"/>
    <cellStyle name="백분율 6 2 2 3 2 2 4" xfId="26505"/>
    <cellStyle name="백분율 6 2 2 3 2 2 5" xfId="26506"/>
    <cellStyle name="백분율 6 2 2 3 2 3" xfId="26507"/>
    <cellStyle name="백분율 6 2 2 3 2 3 2" xfId="26508"/>
    <cellStyle name="백분율 6 2 2 3 2 3 2 2" xfId="26509"/>
    <cellStyle name="백분율 6 2 2 3 2 3 2 2 2" xfId="26510"/>
    <cellStyle name="백분율 6 2 2 3 2 3 2 2 3" xfId="26511"/>
    <cellStyle name="백분율 6 2 2 3 2 3 2 3" xfId="26512"/>
    <cellStyle name="백분율 6 2 2 3 2 3 2 4" xfId="26513"/>
    <cellStyle name="백분율 6 2 2 3 2 3 3" xfId="26514"/>
    <cellStyle name="백분율 6 2 2 3 2 3 3 2" xfId="26515"/>
    <cellStyle name="백분율 6 2 2 3 2 3 3 3" xfId="26516"/>
    <cellStyle name="백분율 6 2 2 3 2 3 4" xfId="26517"/>
    <cellStyle name="백분율 6 2 2 3 2 3 5" xfId="26518"/>
    <cellStyle name="백분율 6 2 2 3 2 4" xfId="26519"/>
    <cellStyle name="백분율 6 2 2 3 2 4 2" xfId="26520"/>
    <cellStyle name="백분율 6 2 2 3 2 4 2 2" xfId="26521"/>
    <cellStyle name="백분율 6 2 2 3 2 4 2 3" xfId="26522"/>
    <cellStyle name="백분율 6 2 2 3 2 4 3" xfId="26523"/>
    <cellStyle name="백분율 6 2 2 3 2 4 4" xfId="26524"/>
    <cellStyle name="백분율 6 2 2 3 2 5" xfId="26525"/>
    <cellStyle name="백분율 6 2 2 3 2 5 2" xfId="26526"/>
    <cellStyle name="백분율 6 2 2 3 2 5 3" xfId="26527"/>
    <cellStyle name="백분율 6 2 2 3 2 6" xfId="26528"/>
    <cellStyle name="백분율 6 2 2 3 2 7" xfId="26529"/>
    <cellStyle name="백분율 6 2 2 3 3" xfId="26530"/>
    <cellStyle name="백분율 6 2 2 3 3 2" xfId="26531"/>
    <cellStyle name="백분율 6 2 2 3 3 2 2" xfId="26532"/>
    <cellStyle name="백분율 6 2 2 3 3 2 2 2" xfId="26533"/>
    <cellStyle name="백분율 6 2 2 3 3 2 2 2 2" xfId="26534"/>
    <cellStyle name="백분율 6 2 2 3 3 2 2 2 3" xfId="26535"/>
    <cellStyle name="백분율 6 2 2 3 3 2 2 3" xfId="26536"/>
    <cellStyle name="백분율 6 2 2 3 3 2 2 4" xfId="26537"/>
    <cellStyle name="백분율 6 2 2 3 3 2 3" xfId="26538"/>
    <cellStyle name="백분율 6 2 2 3 3 2 3 2" xfId="26539"/>
    <cellStyle name="백분율 6 2 2 3 3 2 3 3" xfId="26540"/>
    <cellStyle name="백분율 6 2 2 3 3 2 4" xfId="26541"/>
    <cellStyle name="백분율 6 2 2 3 3 2 5" xfId="26542"/>
    <cellStyle name="백분율 6 2 2 3 3 3" xfId="26543"/>
    <cellStyle name="백분율 6 2 2 3 3 3 2" xfId="26544"/>
    <cellStyle name="백분율 6 2 2 3 3 3 2 2" xfId="26545"/>
    <cellStyle name="백분율 6 2 2 3 3 3 2 2 2" xfId="26546"/>
    <cellStyle name="백분율 6 2 2 3 3 3 2 2 3" xfId="26547"/>
    <cellStyle name="백분율 6 2 2 3 3 3 2 3" xfId="26548"/>
    <cellStyle name="백분율 6 2 2 3 3 3 2 4" xfId="26549"/>
    <cellStyle name="백분율 6 2 2 3 3 3 3" xfId="26550"/>
    <cellStyle name="백분율 6 2 2 3 3 3 3 2" xfId="26551"/>
    <cellStyle name="백분율 6 2 2 3 3 3 3 3" xfId="26552"/>
    <cellStyle name="백분율 6 2 2 3 3 3 4" xfId="26553"/>
    <cellStyle name="백분율 6 2 2 3 3 3 5" xfId="26554"/>
    <cellStyle name="백분율 6 2 2 3 3 4" xfId="26555"/>
    <cellStyle name="백분율 6 2 2 3 3 4 2" xfId="26556"/>
    <cellStyle name="백분율 6 2 2 3 3 4 2 2" xfId="26557"/>
    <cellStyle name="백분율 6 2 2 3 3 4 2 3" xfId="26558"/>
    <cellStyle name="백분율 6 2 2 3 3 4 3" xfId="26559"/>
    <cellStyle name="백분율 6 2 2 3 3 4 4" xfId="26560"/>
    <cellStyle name="백분율 6 2 2 3 3 5" xfId="26561"/>
    <cellStyle name="백분율 6 2 2 3 3 5 2" xfId="26562"/>
    <cellStyle name="백분율 6 2 2 3 3 5 3" xfId="26563"/>
    <cellStyle name="백분율 6 2 2 3 3 6" xfId="26564"/>
    <cellStyle name="백분율 6 2 2 3 3 7" xfId="26565"/>
    <cellStyle name="백분율 6 2 2 3 4" xfId="26566"/>
    <cellStyle name="백분율 6 2 2 3 4 2" xfId="26567"/>
    <cellStyle name="백분율 6 2 2 3 4 2 2" xfId="26568"/>
    <cellStyle name="백분율 6 2 2 3 4 2 2 2" xfId="26569"/>
    <cellStyle name="백분율 6 2 2 3 4 2 2 3" xfId="26570"/>
    <cellStyle name="백분율 6 2 2 3 4 2 3" xfId="26571"/>
    <cellStyle name="백분율 6 2 2 3 4 2 4" xfId="26572"/>
    <cellStyle name="백분율 6 2 2 3 4 3" xfId="26573"/>
    <cellStyle name="백분율 6 2 2 3 4 3 2" xfId="26574"/>
    <cellStyle name="백분율 6 2 2 3 4 3 3" xfId="26575"/>
    <cellStyle name="백분율 6 2 2 3 4 4" xfId="26576"/>
    <cellStyle name="백분율 6 2 2 3 4 5" xfId="26577"/>
    <cellStyle name="백분율 6 2 2 3 5" xfId="26578"/>
    <cellStyle name="백분율 6 2 2 3 5 2" xfId="26579"/>
    <cellStyle name="백분율 6 2 2 3 5 2 2" xfId="26580"/>
    <cellStyle name="백분율 6 2 2 3 5 2 2 2" xfId="26581"/>
    <cellStyle name="백분율 6 2 2 3 5 2 2 3" xfId="26582"/>
    <cellStyle name="백분율 6 2 2 3 5 2 3" xfId="26583"/>
    <cellStyle name="백분율 6 2 2 3 5 2 4" xfId="26584"/>
    <cellStyle name="백분율 6 2 2 3 5 3" xfId="26585"/>
    <cellStyle name="백분율 6 2 2 3 5 3 2" xfId="26586"/>
    <cellStyle name="백분율 6 2 2 3 5 3 3" xfId="26587"/>
    <cellStyle name="백분율 6 2 2 3 5 4" xfId="26588"/>
    <cellStyle name="백분율 6 2 2 3 5 5" xfId="26589"/>
    <cellStyle name="백분율 6 2 2 3 6" xfId="26590"/>
    <cellStyle name="백분율 6 2 2 3 6 2" xfId="26591"/>
    <cellStyle name="백분율 6 2 2 3 6 2 2" xfId="26592"/>
    <cellStyle name="백분율 6 2 2 3 6 2 2 2" xfId="26593"/>
    <cellStyle name="백분율 6 2 2 3 6 2 2 3" xfId="26594"/>
    <cellStyle name="백분율 6 2 2 3 6 2 3" xfId="26595"/>
    <cellStyle name="백분율 6 2 2 3 6 2 4" xfId="26596"/>
    <cellStyle name="백분율 6 2 2 3 6 3" xfId="26597"/>
    <cellStyle name="백분율 6 2 2 3 6 3 2" xfId="26598"/>
    <cellStyle name="백분율 6 2 2 3 6 3 3" xfId="26599"/>
    <cellStyle name="백분율 6 2 2 3 6 4" xfId="26600"/>
    <cellStyle name="백분율 6 2 2 3 6 5" xfId="26601"/>
    <cellStyle name="백분율 6 2 2 3 7" xfId="26602"/>
    <cellStyle name="백분율 6 2 2 3 7 2" xfId="26603"/>
    <cellStyle name="백분율 6 2 2 3 7 2 2" xfId="26604"/>
    <cellStyle name="백분율 6 2 2 3 7 2 3" xfId="26605"/>
    <cellStyle name="백분율 6 2 2 3 7 3" xfId="26606"/>
    <cellStyle name="백분율 6 2 2 3 7 4" xfId="26607"/>
    <cellStyle name="백분율 6 2 2 3 8" xfId="26608"/>
    <cellStyle name="백분율 6 2 2 3 8 2" xfId="26609"/>
    <cellStyle name="백분율 6 2 2 3 8 3" xfId="26610"/>
    <cellStyle name="백분율 6 2 2 3 9" xfId="26611"/>
    <cellStyle name="백분율 6 2 2 4" xfId="26612"/>
    <cellStyle name="백분율 6 2 2 4 10" xfId="26613"/>
    <cellStyle name="백분율 6 2 2 4 2" xfId="26614"/>
    <cellStyle name="백분율 6 2 2 4 2 2" xfId="26615"/>
    <cellStyle name="백분율 6 2 2 4 2 2 2" xfId="26616"/>
    <cellStyle name="백분율 6 2 2 4 2 2 2 2" xfId="26617"/>
    <cellStyle name="백분율 6 2 2 4 2 2 2 2 2" xfId="26618"/>
    <cellStyle name="백분율 6 2 2 4 2 2 2 2 3" xfId="26619"/>
    <cellStyle name="백분율 6 2 2 4 2 2 2 3" xfId="26620"/>
    <cellStyle name="백분율 6 2 2 4 2 2 2 4" xfId="26621"/>
    <cellStyle name="백분율 6 2 2 4 2 2 3" xfId="26622"/>
    <cellStyle name="백분율 6 2 2 4 2 2 3 2" xfId="26623"/>
    <cellStyle name="백분율 6 2 2 4 2 2 3 3" xfId="26624"/>
    <cellStyle name="백분율 6 2 2 4 2 2 4" xfId="26625"/>
    <cellStyle name="백분율 6 2 2 4 2 2 5" xfId="26626"/>
    <cellStyle name="백분율 6 2 2 4 2 3" xfId="26627"/>
    <cellStyle name="백분율 6 2 2 4 2 3 2" xfId="26628"/>
    <cellStyle name="백분율 6 2 2 4 2 3 2 2" xfId="26629"/>
    <cellStyle name="백분율 6 2 2 4 2 3 2 2 2" xfId="26630"/>
    <cellStyle name="백분율 6 2 2 4 2 3 2 2 3" xfId="26631"/>
    <cellStyle name="백분율 6 2 2 4 2 3 2 3" xfId="26632"/>
    <cellStyle name="백분율 6 2 2 4 2 3 2 4" xfId="26633"/>
    <cellStyle name="백분율 6 2 2 4 2 3 3" xfId="26634"/>
    <cellStyle name="백분율 6 2 2 4 2 3 3 2" xfId="26635"/>
    <cellStyle name="백분율 6 2 2 4 2 3 3 3" xfId="26636"/>
    <cellStyle name="백분율 6 2 2 4 2 3 4" xfId="26637"/>
    <cellStyle name="백분율 6 2 2 4 2 3 5" xfId="26638"/>
    <cellStyle name="백분율 6 2 2 4 2 4" xfId="26639"/>
    <cellStyle name="백분율 6 2 2 4 2 4 2" xfId="26640"/>
    <cellStyle name="백분율 6 2 2 4 2 4 2 2" xfId="26641"/>
    <cellStyle name="백분율 6 2 2 4 2 4 2 3" xfId="26642"/>
    <cellStyle name="백분율 6 2 2 4 2 4 3" xfId="26643"/>
    <cellStyle name="백분율 6 2 2 4 2 4 4" xfId="26644"/>
    <cellStyle name="백분율 6 2 2 4 2 5" xfId="26645"/>
    <cellStyle name="백분율 6 2 2 4 2 5 2" xfId="26646"/>
    <cellStyle name="백분율 6 2 2 4 2 5 3" xfId="26647"/>
    <cellStyle name="백분율 6 2 2 4 2 6" xfId="26648"/>
    <cellStyle name="백분율 6 2 2 4 2 7" xfId="26649"/>
    <cellStyle name="백분율 6 2 2 4 3" xfId="26650"/>
    <cellStyle name="백분율 6 2 2 4 3 2" xfId="26651"/>
    <cellStyle name="백분율 6 2 2 4 3 2 2" xfId="26652"/>
    <cellStyle name="백분율 6 2 2 4 3 2 2 2" xfId="26653"/>
    <cellStyle name="백분율 6 2 2 4 3 2 2 2 2" xfId="26654"/>
    <cellStyle name="백분율 6 2 2 4 3 2 2 2 3" xfId="26655"/>
    <cellStyle name="백분율 6 2 2 4 3 2 2 3" xfId="26656"/>
    <cellStyle name="백분율 6 2 2 4 3 2 2 4" xfId="26657"/>
    <cellStyle name="백분율 6 2 2 4 3 2 3" xfId="26658"/>
    <cellStyle name="백분율 6 2 2 4 3 2 3 2" xfId="26659"/>
    <cellStyle name="백분율 6 2 2 4 3 2 3 3" xfId="26660"/>
    <cellStyle name="백분율 6 2 2 4 3 2 4" xfId="26661"/>
    <cellStyle name="백분율 6 2 2 4 3 2 5" xfId="26662"/>
    <cellStyle name="백분율 6 2 2 4 3 3" xfId="26663"/>
    <cellStyle name="백분율 6 2 2 4 3 3 2" xfId="26664"/>
    <cellStyle name="백분율 6 2 2 4 3 3 2 2" xfId="26665"/>
    <cellStyle name="백분율 6 2 2 4 3 3 2 2 2" xfId="26666"/>
    <cellStyle name="백분율 6 2 2 4 3 3 2 2 3" xfId="26667"/>
    <cellStyle name="백분율 6 2 2 4 3 3 2 3" xfId="26668"/>
    <cellStyle name="백분율 6 2 2 4 3 3 2 4" xfId="26669"/>
    <cellStyle name="백분율 6 2 2 4 3 3 3" xfId="26670"/>
    <cellStyle name="백분율 6 2 2 4 3 3 3 2" xfId="26671"/>
    <cellStyle name="백분율 6 2 2 4 3 3 3 3" xfId="26672"/>
    <cellStyle name="백분율 6 2 2 4 3 3 4" xfId="26673"/>
    <cellStyle name="백분율 6 2 2 4 3 3 5" xfId="26674"/>
    <cellStyle name="백분율 6 2 2 4 3 4" xfId="26675"/>
    <cellStyle name="백분율 6 2 2 4 3 4 2" xfId="26676"/>
    <cellStyle name="백분율 6 2 2 4 3 4 2 2" xfId="26677"/>
    <cellStyle name="백분율 6 2 2 4 3 4 2 3" xfId="26678"/>
    <cellStyle name="백분율 6 2 2 4 3 4 3" xfId="26679"/>
    <cellStyle name="백분율 6 2 2 4 3 4 4" xfId="26680"/>
    <cellStyle name="백분율 6 2 2 4 3 5" xfId="26681"/>
    <cellStyle name="백분율 6 2 2 4 3 5 2" xfId="26682"/>
    <cellStyle name="백분율 6 2 2 4 3 5 3" xfId="26683"/>
    <cellStyle name="백분율 6 2 2 4 3 6" xfId="26684"/>
    <cellStyle name="백분율 6 2 2 4 3 7" xfId="26685"/>
    <cellStyle name="백분율 6 2 2 4 4" xfId="26686"/>
    <cellStyle name="백분율 6 2 2 4 4 2" xfId="26687"/>
    <cellStyle name="백분율 6 2 2 4 4 2 2" xfId="26688"/>
    <cellStyle name="백분율 6 2 2 4 4 2 2 2" xfId="26689"/>
    <cellStyle name="백분율 6 2 2 4 4 2 2 3" xfId="26690"/>
    <cellStyle name="백분율 6 2 2 4 4 2 3" xfId="26691"/>
    <cellStyle name="백분율 6 2 2 4 4 2 4" xfId="26692"/>
    <cellStyle name="백분율 6 2 2 4 4 3" xfId="26693"/>
    <cellStyle name="백분율 6 2 2 4 4 3 2" xfId="26694"/>
    <cellStyle name="백분율 6 2 2 4 4 3 3" xfId="26695"/>
    <cellStyle name="백분율 6 2 2 4 4 4" xfId="26696"/>
    <cellStyle name="백분율 6 2 2 4 4 5" xfId="26697"/>
    <cellStyle name="백분율 6 2 2 4 5" xfId="26698"/>
    <cellStyle name="백분율 6 2 2 4 5 2" xfId="26699"/>
    <cellStyle name="백분율 6 2 2 4 5 2 2" xfId="26700"/>
    <cellStyle name="백분율 6 2 2 4 5 2 2 2" xfId="26701"/>
    <cellStyle name="백분율 6 2 2 4 5 2 2 3" xfId="26702"/>
    <cellStyle name="백분율 6 2 2 4 5 2 3" xfId="26703"/>
    <cellStyle name="백분율 6 2 2 4 5 2 4" xfId="26704"/>
    <cellStyle name="백분율 6 2 2 4 5 3" xfId="26705"/>
    <cellStyle name="백분율 6 2 2 4 5 3 2" xfId="26706"/>
    <cellStyle name="백분율 6 2 2 4 5 3 3" xfId="26707"/>
    <cellStyle name="백분율 6 2 2 4 5 4" xfId="26708"/>
    <cellStyle name="백분율 6 2 2 4 5 5" xfId="26709"/>
    <cellStyle name="백분율 6 2 2 4 6" xfId="26710"/>
    <cellStyle name="백분율 6 2 2 4 6 2" xfId="26711"/>
    <cellStyle name="백분율 6 2 2 4 6 2 2" xfId="26712"/>
    <cellStyle name="백분율 6 2 2 4 6 2 2 2" xfId="26713"/>
    <cellStyle name="백분율 6 2 2 4 6 2 2 3" xfId="26714"/>
    <cellStyle name="백분율 6 2 2 4 6 2 3" xfId="26715"/>
    <cellStyle name="백분율 6 2 2 4 6 2 4" xfId="26716"/>
    <cellStyle name="백분율 6 2 2 4 6 3" xfId="26717"/>
    <cellStyle name="백분율 6 2 2 4 6 3 2" xfId="26718"/>
    <cellStyle name="백분율 6 2 2 4 6 3 3" xfId="26719"/>
    <cellStyle name="백분율 6 2 2 4 6 4" xfId="26720"/>
    <cellStyle name="백분율 6 2 2 4 6 5" xfId="26721"/>
    <cellStyle name="백분율 6 2 2 4 7" xfId="26722"/>
    <cellStyle name="백분율 6 2 2 4 7 2" xfId="26723"/>
    <cellStyle name="백분율 6 2 2 4 7 2 2" xfId="26724"/>
    <cellStyle name="백분율 6 2 2 4 7 2 3" xfId="26725"/>
    <cellStyle name="백분율 6 2 2 4 7 3" xfId="26726"/>
    <cellStyle name="백분율 6 2 2 4 7 4" xfId="26727"/>
    <cellStyle name="백분율 6 2 2 4 8" xfId="26728"/>
    <cellStyle name="백분율 6 2 2 4 8 2" xfId="26729"/>
    <cellStyle name="백분율 6 2 2 4 8 3" xfId="26730"/>
    <cellStyle name="백분율 6 2 2 4 9" xfId="26731"/>
    <cellStyle name="백분율 6 2 2 5" xfId="26732"/>
    <cellStyle name="백분율 6 2 2 5 2" xfId="26733"/>
    <cellStyle name="백분율 6 2 2 5 2 2" xfId="26734"/>
    <cellStyle name="백분율 6 2 2 5 2 2 2" xfId="26735"/>
    <cellStyle name="백분율 6 2 2 5 2 2 2 2" xfId="26736"/>
    <cellStyle name="백분율 6 2 2 5 2 2 2 3" xfId="26737"/>
    <cellStyle name="백분율 6 2 2 5 2 2 3" xfId="26738"/>
    <cellStyle name="백분율 6 2 2 5 2 2 4" xfId="26739"/>
    <cellStyle name="백분율 6 2 2 5 2 3" xfId="26740"/>
    <cellStyle name="백분율 6 2 2 5 2 3 2" xfId="26741"/>
    <cellStyle name="백분율 6 2 2 5 2 3 3" xfId="26742"/>
    <cellStyle name="백분율 6 2 2 5 2 4" xfId="26743"/>
    <cellStyle name="백분율 6 2 2 5 2 5" xfId="26744"/>
    <cellStyle name="백분율 6 2 2 5 3" xfId="26745"/>
    <cellStyle name="백분율 6 2 2 5 3 2" xfId="26746"/>
    <cellStyle name="백분율 6 2 2 5 3 2 2" xfId="26747"/>
    <cellStyle name="백분율 6 2 2 5 3 2 2 2" xfId="26748"/>
    <cellStyle name="백분율 6 2 2 5 3 2 2 3" xfId="26749"/>
    <cellStyle name="백분율 6 2 2 5 3 2 3" xfId="26750"/>
    <cellStyle name="백분율 6 2 2 5 3 2 4" xfId="26751"/>
    <cellStyle name="백분율 6 2 2 5 3 3" xfId="26752"/>
    <cellStyle name="백분율 6 2 2 5 3 3 2" xfId="26753"/>
    <cellStyle name="백분율 6 2 2 5 3 3 3" xfId="26754"/>
    <cellStyle name="백분율 6 2 2 5 3 4" xfId="26755"/>
    <cellStyle name="백분율 6 2 2 5 3 5" xfId="26756"/>
    <cellStyle name="백분율 6 2 2 5 4" xfId="26757"/>
    <cellStyle name="백분율 6 2 2 5 4 2" xfId="26758"/>
    <cellStyle name="백분율 6 2 2 5 4 2 2" xfId="26759"/>
    <cellStyle name="백분율 6 2 2 5 4 2 3" xfId="26760"/>
    <cellStyle name="백분율 6 2 2 5 4 3" xfId="26761"/>
    <cellStyle name="백분율 6 2 2 5 4 4" xfId="26762"/>
    <cellStyle name="백분율 6 2 2 5 5" xfId="26763"/>
    <cellStyle name="백분율 6 2 2 5 5 2" xfId="26764"/>
    <cellStyle name="백분율 6 2 2 5 5 3" xfId="26765"/>
    <cellStyle name="백분율 6 2 2 5 6" xfId="26766"/>
    <cellStyle name="백분율 6 2 2 5 7" xfId="26767"/>
    <cellStyle name="백분율 6 2 2 6" xfId="26768"/>
    <cellStyle name="백분율 6 2 2 6 2" xfId="26769"/>
    <cellStyle name="백분율 6 2 2 6 2 2" xfId="26770"/>
    <cellStyle name="백분율 6 2 2 6 2 2 2" xfId="26771"/>
    <cellStyle name="백분율 6 2 2 6 2 2 2 2" xfId="26772"/>
    <cellStyle name="백분율 6 2 2 6 2 2 2 3" xfId="26773"/>
    <cellStyle name="백분율 6 2 2 6 2 2 3" xfId="26774"/>
    <cellStyle name="백분율 6 2 2 6 2 2 4" xfId="26775"/>
    <cellStyle name="백분율 6 2 2 6 2 3" xfId="26776"/>
    <cellStyle name="백분율 6 2 2 6 2 3 2" xfId="26777"/>
    <cellStyle name="백분율 6 2 2 6 2 3 3" xfId="26778"/>
    <cellStyle name="백분율 6 2 2 6 2 4" xfId="26779"/>
    <cellStyle name="백분율 6 2 2 6 2 5" xfId="26780"/>
    <cellStyle name="백분율 6 2 2 6 3" xfId="26781"/>
    <cellStyle name="백분율 6 2 2 6 3 2" xfId="26782"/>
    <cellStyle name="백분율 6 2 2 6 3 2 2" xfId="26783"/>
    <cellStyle name="백분율 6 2 2 6 3 2 2 2" xfId="26784"/>
    <cellStyle name="백분율 6 2 2 6 3 2 2 3" xfId="26785"/>
    <cellStyle name="백분율 6 2 2 6 3 2 3" xfId="26786"/>
    <cellStyle name="백분율 6 2 2 6 3 2 4" xfId="26787"/>
    <cellStyle name="백분율 6 2 2 6 3 3" xfId="26788"/>
    <cellStyle name="백분율 6 2 2 6 3 3 2" xfId="26789"/>
    <cellStyle name="백분율 6 2 2 6 3 3 3" xfId="26790"/>
    <cellStyle name="백분율 6 2 2 6 3 4" xfId="26791"/>
    <cellStyle name="백분율 6 2 2 6 3 5" xfId="26792"/>
    <cellStyle name="백분율 6 2 2 6 4" xfId="26793"/>
    <cellStyle name="백분율 6 2 2 6 4 2" xfId="26794"/>
    <cellStyle name="백분율 6 2 2 6 4 2 2" xfId="26795"/>
    <cellStyle name="백분율 6 2 2 6 4 2 3" xfId="26796"/>
    <cellStyle name="백분율 6 2 2 6 4 3" xfId="26797"/>
    <cellStyle name="백분율 6 2 2 6 4 4" xfId="26798"/>
    <cellStyle name="백분율 6 2 2 6 5" xfId="26799"/>
    <cellStyle name="백분율 6 2 2 6 5 2" xfId="26800"/>
    <cellStyle name="백분율 6 2 2 6 5 3" xfId="26801"/>
    <cellStyle name="백분율 6 2 2 6 6" xfId="26802"/>
    <cellStyle name="백분율 6 2 2 6 7" xfId="26803"/>
    <cellStyle name="백분율 6 2 2 7" xfId="26804"/>
    <cellStyle name="백분율 6 2 2 7 2" xfId="26805"/>
    <cellStyle name="백분율 6 2 2 7 2 2" xfId="26806"/>
    <cellStyle name="백분율 6 2 2 7 2 2 2" xfId="26807"/>
    <cellStyle name="백분율 6 2 2 7 2 2 3" xfId="26808"/>
    <cellStyle name="백분율 6 2 2 7 2 3" xfId="26809"/>
    <cellStyle name="백분율 6 2 2 7 2 4" xfId="26810"/>
    <cellStyle name="백분율 6 2 2 7 3" xfId="26811"/>
    <cellStyle name="백분율 6 2 2 7 3 2" xfId="26812"/>
    <cellStyle name="백분율 6 2 2 7 3 3" xfId="26813"/>
    <cellStyle name="백분율 6 2 2 7 4" xfId="26814"/>
    <cellStyle name="백분율 6 2 2 7 5" xfId="26815"/>
    <cellStyle name="백분율 6 2 2 8" xfId="26816"/>
    <cellStyle name="백분율 6 2 2 8 2" xfId="26817"/>
    <cellStyle name="백분율 6 2 2 8 2 2" xfId="26818"/>
    <cellStyle name="백분율 6 2 2 8 2 2 2" xfId="26819"/>
    <cellStyle name="백분율 6 2 2 8 2 2 3" xfId="26820"/>
    <cellStyle name="백분율 6 2 2 8 2 3" xfId="26821"/>
    <cellStyle name="백분율 6 2 2 8 2 4" xfId="26822"/>
    <cellStyle name="백분율 6 2 2 8 3" xfId="26823"/>
    <cellStyle name="백분율 6 2 2 8 3 2" xfId="26824"/>
    <cellStyle name="백분율 6 2 2 8 3 3" xfId="26825"/>
    <cellStyle name="백분율 6 2 2 8 4" xfId="26826"/>
    <cellStyle name="백분율 6 2 2 8 5" xfId="26827"/>
    <cellStyle name="백분율 6 2 2 9" xfId="26828"/>
    <cellStyle name="백분율 6 2 2 9 2" xfId="26829"/>
    <cellStyle name="백분율 6 2 2 9 2 2" xfId="26830"/>
    <cellStyle name="백분율 6 2 2 9 2 2 2" xfId="26831"/>
    <cellStyle name="백분율 6 2 2 9 2 2 3" xfId="26832"/>
    <cellStyle name="백분율 6 2 2 9 2 3" xfId="26833"/>
    <cellStyle name="백분율 6 2 2 9 2 4" xfId="26834"/>
    <cellStyle name="백분율 6 2 2 9 3" xfId="26835"/>
    <cellStyle name="백분율 6 2 2 9 3 2" xfId="26836"/>
    <cellStyle name="백분율 6 2 2 9 3 3" xfId="26837"/>
    <cellStyle name="백분율 6 2 2 9 4" xfId="26838"/>
    <cellStyle name="백분율 6 2 2 9 5" xfId="26839"/>
    <cellStyle name="백분율 6 2 3" xfId="26840"/>
    <cellStyle name="백분율 6 2 3 10" xfId="26841"/>
    <cellStyle name="백분율 6 2 3 2" xfId="26842"/>
    <cellStyle name="백분율 6 2 3 2 2" xfId="26843"/>
    <cellStyle name="백분율 6 2 3 2 2 2" xfId="26844"/>
    <cellStyle name="백분율 6 2 3 2 2 2 2" xfId="26845"/>
    <cellStyle name="백분율 6 2 3 2 2 2 2 2" xfId="26846"/>
    <cellStyle name="백분율 6 2 3 2 2 2 2 3" xfId="26847"/>
    <cellStyle name="백분율 6 2 3 2 2 2 3" xfId="26848"/>
    <cellStyle name="백분율 6 2 3 2 2 2 4" xfId="26849"/>
    <cellStyle name="백분율 6 2 3 2 2 3" xfId="26850"/>
    <cellStyle name="백분율 6 2 3 2 2 3 2" xfId="26851"/>
    <cellStyle name="백분율 6 2 3 2 2 3 3" xfId="26852"/>
    <cellStyle name="백분율 6 2 3 2 2 4" xfId="26853"/>
    <cellStyle name="백분율 6 2 3 2 2 5" xfId="26854"/>
    <cellStyle name="백분율 6 2 3 2 3" xfId="26855"/>
    <cellStyle name="백분율 6 2 3 2 3 2" xfId="26856"/>
    <cellStyle name="백분율 6 2 3 2 3 2 2" xfId="26857"/>
    <cellStyle name="백분율 6 2 3 2 3 2 2 2" xfId="26858"/>
    <cellStyle name="백분율 6 2 3 2 3 2 2 3" xfId="26859"/>
    <cellStyle name="백분율 6 2 3 2 3 2 3" xfId="26860"/>
    <cellStyle name="백분율 6 2 3 2 3 2 4" xfId="26861"/>
    <cellStyle name="백분율 6 2 3 2 3 3" xfId="26862"/>
    <cellStyle name="백분율 6 2 3 2 3 3 2" xfId="26863"/>
    <cellStyle name="백분율 6 2 3 2 3 3 3" xfId="26864"/>
    <cellStyle name="백분율 6 2 3 2 3 4" xfId="26865"/>
    <cellStyle name="백분율 6 2 3 2 3 5" xfId="26866"/>
    <cellStyle name="백분율 6 2 3 2 4" xfId="26867"/>
    <cellStyle name="백분율 6 2 3 2 4 2" xfId="26868"/>
    <cellStyle name="백분율 6 2 3 2 4 2 2" xfId="26869"/>
    <cellStyle name="백분율 6 2 3 2 4 2 3" xfId="26870"/>
    <cellStyle name="백분율 6 2 3 2 4 3" xfId="26871"/>
    <cellStyle name="백분율 6 2 3 2 4 4" xfId="26872"/>
    <cellStyle name="백분율 6 2 3 2 5" xfId="26873"/>
    <cellStyle name="백분율 6 2 3 2 5 2" xfId="26874"/>
    <cellStyle name="백분율 6 2 3 2 5 3" xfId="26875"/>
    <cellStyle name="백분율 6 2 3 2 6" xfId="26876"/>
    <cellStyle name="백분율 6 2 3 2 7" xfId="26877"/>
    <cellStyle name="백분율 6 2 3 3" xfId="26878"/>
    <cellStyle name="백분율 6 2 3 3 2" xfId="26879"/>
    <cellStyle name="백분율 6 2 3 3 2 2" xfId="26880"/>
    <cellStyle name="백분율 6 2 3 3 2 2 2" xfId="26881"/>
    <cellStyle name="백분율 6 2 3 3 2 2 2 2" xfId="26882"/>
    <cellStyle name="백분율 6 2 3 3 2 2 2 3" xfId="26883"/>
    <cellStyle name="백분율 6 2 3 3 2 2 3" xfId="26884"/>
    <cellStyle name="백분율 6 2 3 3 2 2 4" xfId="26885"/>
    <cellStyle name="백분율 6 2 3 3 2 3" xfId="26886"/>
    <cellStyle name="백분율 6 2 3 3 2 3 2" xfId="26887"/>
    <cellStyle name="백분율 6 2 3 3 2 3 3" xfId="26888"/>
    <cellStyle name="백분율 6 2 3 3 2 4" xfId="26889"/>
    <cellStyle name="백분율 6 2 3 3 2 5" xfId="26890"/>
    <cellStyle name="백분율 6 2 3 3 3" xfId="26891"/>
    <cellStyle name="백분율 6 2 3 3 3 2" xfId="26892"/>
    <cellStyle name="백분율 6 2 3 3 3 2 2" xfId="26893"/>
    <cellStyle name="백분율 6 2 3 3 3 2 2 2" xfId="26894"/>
    <cellStyle name="백분율 6 2 3 3 3 2 2 3" xfId="26895"/>
    <cellStyle name="백분율 6 2 3 3 3 2 3" xfId="26896"/>
    <cellStyle name="백분율 6 2 3 3 3 2 4" xfId="26897"/>
    <cellStyle name="백분율 6 2 3 3 3 3" xfId="26898"/>
    <cellStyle name="백분율 6 2 3 3 3 3 2" xfId="26899"/>
    <cellStyle name="백분율 6 2 3 3 3 3 3" xfId="26900"/>
    <cellStyle name="백분율 6 2 3 3 3 4" xfId="26901"/>
    <cellStyle name="백분율 6 2 3 3 3 5" xfId="26902"/>
    <cellStyle name="백분율 6 2 3 3 4" xfId="26903"/>
    <cellStyle name="백분율 6 2 3 3 4 2" xfId="26904"/>
    <cellStyle name="백분율 6 2 3 3 4 2 2" xfId="26905"/>
    <cellStyle name="백분율 6 2 3 3 4 2 3" xfId="26906"/>
    <cellStyle name="백분율 6 2 3 3 4 3" xfId="26907"/>
    <cellStyle name="백분율 6 2 3 3 4 4" xfId="26908"/>
    <cellStyle name="백분율 6 2 3 3 5" xfId="26909"/>
    <cellStyle name="백분율 6 2 3 3 5 2" xfId="26910"/>
    <cellStyle name="백분율 6 2 3 3 5 3" xfId="26911"/>
    <cellStyle name="백분율 6 2 3 3 6" xfId="26912"/>
    <cellStyle name="백분율 6 2 3 3 7" xfId="26913"/>
    <cellStyle name="백분율 6 2 3 4" xfId="26914"/>
    <cellStyle name="백분율 6 2 3 4 2" xfId="26915"/>
    <cellStyle name="백분율 6 2 3 4 2 2" xfId="26916"/>
    <cellStyle name="백분율 6 2 3 4 2 2 2" xfId="26917"/>
    <cellStyle name="백분율 6 2 3 4 2 2 3" xfId="26918"/>
    <cellStyle name="백분율 6 2 3 4 2 3" xfId="26919"/>
    <cellStyle name="백분율 6 2 3 4 2 4" xfId="26920"/>
    <cellStyle name="백분율 6 2 3 4 3" xfId="26921"/>
    <cellStyle name="백분율 6 2 3 4 3 2" xfId="26922"/>
    <cellStyle name="백분율 6 2 3 4 3 3" xfId="26923"/>
    <cellStyle name="백분율 6 2 3 4 4" xfId="26924"/>
    <cellStyle name="백분율 6 2 3 4 5" xfId="26925"/>
    <cellStyle name="백분율 6 2 3 5" xfId="26926"/>
    <cellStyle name="백분율 6 2 3 5 2" xfId="26927"/>
    <cellStyle name="백분율 6 2 3 5 2 2" xfId="26928"/>
    <cellStyle name="백분율 6 2 3 5 2 2 2" xfId="26929"/>
    <cellStyle name="백분율 6 2 3 5 2 2 3" xfId="26930"/>
    <cellStyle name="백분율 6 2 3 5 2 3" xfId="26931"/>
    <cellStyle name="백분율 6 2 3 5 2 4" xfId="26932"/>
    <cellStyle name="백분율 6 2 3 5 3" xfId="26933"/>
    <cellStyle name="백분율 6 2 3 5 3 2" xfId="26934"/>
    <cellStyle name="백분율 6 2 3 5 3 3" xfId="26935"/>
    <cellStyle name="백분율 6 2 3 5 4" xfId="26936"/>
    <cellStyle name="백분율 6 2 3 5 5" xfId="26937"/>
    <cellStyle name="백분율 6 2 3 6" xfId="26938"/>
    <cellStyle name="백분율 6 2 3 6 2" xfId="26939"/>
    <cellStyle name="백분율 6 2 3 6 2 2" xfId="26940"/>
    <cellStyle name="백분율 6 2 3 6 2 2 2" xfId="26941"/>
    <cellStyle name="백분율 6 2 3 6 2 2 3" xfId="26942"/>
    <cellStyle name="백분율 6 2 3 6 2 3" xfId="26943"/>
    <cellStyle name="백분율 6 2 3 6 2 4" xfId="26944"/>
    <cellStyle name="백분율 6 2 3 6 3" xfId="26945"/>
    <cellStyle name="백분율 6 2 3 6 3 2" xfId="26946"/>
    <cellStyle name="백분율 6 2 3 6 3 3" xfId="26947"/>
    <cellStyle name="백분율 6 2 3 6 4" xfId="26948"/>
    <cellStyle name="백분율 6 2 3 6 5" xfId="26949"/>
    <cellStyle name="백분율 6 2 3 7" xfId="26950"/>
    <cellStyle name="백분율 6 2 3 7 2" xfId="26951"/>
    <cellStyle name="백분율 6 2 3 7 2 2" xfId="26952"/>
    <cellStyle name="백분율 6 2 3 7 2 3" xfId="26953"/>
    <cellStyle name="백분율 6 2 3 7 3" xfId="26954"/>
    <cellStyle name="백분율 6 2 3 7 4" xfId="26955"/>
    <cellStyle name="백분율 6 2 3 8" xfId="26956"/>
    <cellStyle name="백분율 6 2 3 8 2" xfId="26957"/>
    <cellStyle name="백분율 6 2 3 8 3" xfId="26958"/>
    <cellStyle name="백분율 6 2 3 9" xfId="26959"/>
    <cellStyle name="백분율 6 2 4" xfId="26960"/>
    <cellStyle name="백분율 6 2 4 10" xfId="26961"/>
    <cellStyle name="백분율 6 2 4 2" xfId="26962"/>
    <cellStyle name="백분율 6 2 4 2 2" xfId="26963"/>
    <cellStyle name="백분율 6 2 4 2 2 2" xfId="26964"/>
    <cellStyle name="백분율 6 2 4 2 2 2 2" xfId="26965"/>
    <cellStyle name="백분율 6 2 4 2 2 2 2 2" xfId="26966"/>
    <cellStyle name="백분율 6 2 4 2 2 2 2 3" xfId="26967"/>
    <cellStyle name="백분율 6 2 4 2 2 2 3" xfId="26968"/>
    <cellStyle name="백분율 6 2 4 2 2 2 4" xfId="26969"/>
    <cellStyle name="백분율 6 2 4 2 2 3" xfId="26970"/>
    <cellStyle name="백분율 6 2 4 2 2 3 2" xfId="26971"/>
    <cellStyle name="백분율 6 2 4 2 2 3 3" xfId="26972"/>
    <cellStyle name="백분율 6 2 4 2 2 4" xfId="26973"/>
    <cellStyle name="백분율 6 2 4 2 2 5" xfId="26974"/>
    <cellStyle name="백분율 6 2 4 2 3" xfId="26975"/>
    <cellStyle name="백분율 6 2 4 2 3 2" xfId="26976"/>
    <cellStyle name="백분율 6 2 4 2 3 2 2" xfId="26977"/>
    <cellStyle name="백분율 6 2 4 2 3 2 2 2" xfId="26978"/>
    <cellStyle name="백분율 6 2 4 2 3 2 2 3" xfId="26979"/>
    <cellStyle name="백분율 6 2 4 2 3 2 3" xfId="26980"/>
    <cellStyle name="백분율 6 2 4 2 3 2 4" xfId="26981"/>
    <cellStyle name="백분율 6 2 4 2 3 3" xfId="26982"/>
    <cellStyle name="백분율 6 2 4 2 3 3 2" xfId="26983"/>
    <cellStyle name="백분율 6 2 4 2 3 3 3" xfId="26984"/>
    <cellStyle name="백분율 6 2 4 2 3 4" xfId="26985"/>
    <cellStyle name="백분율 6 2 4 2 3 5" xfId="26986"/>
    <cellStyle name="백분율 6 2 4 2 4" xfId="26987"/>
    <cellStyle name="백분율 6 2 4 2 4 2" xfId="26988"/>
    <cellStyle name="백분율 6 2 4 2 4 2 2" xfId="26989"/>
    <cellStyle name="백분율 6 2 4 2 4 2 3" xfId="26990"/>
    <cellStyle name="백분율 6 2 4 2 4 3" xfId="26991"/>
    <cellStyle name="백분율 6 2 4 2 4 4" xfId="26992"/>
    <cellStyle name="백분율 6 2 4 2 5" xfId="26993"/>
    <cellStyle name="백분율 6 2 4 2 5 2" xfId="26994"/>
    <cellStyle name="백분율 6 2 4 2 5 3" xfId="26995"/>
    <cellStyle name="백분율 6 2 4 2 6" xfId="26996"/>
    <cellStyle name="백분율 6 2 4 2 7" xfId="26997"/>
    <cellStyle name="백분율 6 2 4 3" xfId="26998"/>
    <cellStyle name="백분율 6 2 4 3 2" xfId="26999"/>
    <cellStyle name="백분율 6 2 4 3 2 2" xfId="27000"/>
    <cellStyle name="백분율 6 2 4 3 2 2 2" xfId="27001"/>
    <cellStyle name="백분율 6 2 4 3 2 2 2 2" xfId="27002"/>
    <cellStyle name="백분율 6 2 4 3 2 2 2 3" xfId="27003"/>
    <cellStyle name="백분율 6 2 4 3 2 2 3" xfId="27004"/>
    <cellStyle name="백분율 6 2 4 3 2 2 4" xfId="27005"/>
    <cellStyle name="백분율 6 2 4 3 2 3" xfId="27006"/>
    <cellStyle name="백분율 6 2 4 3 2 3 2" xfId="27007"/>
    <cellStyle name="백분율 6 2 4 3 2 3 3" xfId="27008"/>
    <cellStyle name="백분율 6 2 4 3 2 4" xfId="27009"/>
    <cellStyle name="백분율 6 2 4 3 2 5" xfId="27010"/>
    <cellStyle name="백분율 6 2 4 3 3" xfId="27011"/>
    <cellStyle name="백분율 6 2 4 3 3 2" xfId="27012"/>
    <cellStyle name="백분율 6 2 4 3 3 2 2" xfId="27013"/>
    <cellStyle name="백분율 6 2 4 3 3 2 2 2" xfId="27014"/>
    <cellStyle name="백분율 6 2 4 3 3 2 2 3" xfId="27015"/>
    <cellStyle name="백분율 6 2 4 3 3 2 3" xfId="27016"/>
    <cellStyle name="백분율 6 2 4 3 3 2 4" xfId="27017"/>
    <cellStyle name="백분율 6 2 4 3 3 3" xfId="27018"/>
    <cellStyle name="백분율 6 2 4 3 3 3 2" xfId="27019"/>
    <cellStyle name="백분율 6 2 4 3 3 3 3" xfId="27020"/>
    <cellStyle name="백분율 6 2 4 3 3 4" xfId="27021"/>
    <cellStyle name="백분율 6 2 4 3 3 5" xfId="27022"/>
    <cellStyle name="백분율 6 2 4 3 4" xfId="27023"/>
    <cellStyle name="백분율 6 2 4 3 4 2" xfId="27024"/>
    <cellStyle name="백분율 6 2 4 3 4 2 2" xfId="27025"/>
    <cellStyle name="백분율 6 2 4 3 4 2 3" xfId="27026"/>
    <cellStyle name="백분율 6 2 4 3 4 3" xfId="27027"/>
    <cellStyle name="백분율 6 2 4 3 4 4" xfId="27028"/>
    <cellStyle name="백분율 6 2 4 3 5" xfId="27029"/>
    <cellStyle name="백분율 6 2 4 3 5 2" xfId="27030"/>
    <cellStyle name="백분율 6 2 4 3 5 3" xfId="27031"/>
    <cellStyle name="백분율 6 2 4 3 6" xfId="27032"/>
    <cellStyle name="백분율 6 2 4 3 7" xfId="27033"/>
    <cellStyle name="백분율 6 2 4 4" xfId="27034"/>
    <cellStyle name="백분율 6 2 4 4 2" xfId="27035"/>
    <cellStyle name="백분율 6 2 4 4 2 2" xfId="27036"/>
    <cellStyle name="백분율 6 2 4 4 2 2 2" xfId="27037"/>
    <cellStyle name="백분율 6 2 4 4 2 2 3" xfId="27038"/>
    <cellStyle name="백분율 6 2 4 4 2 3" xfId="27039"/>
    <cellStyle name="백분율 6 2 4 4 2 4" xfId="27040"/>
    <cellStyle name="백분율 6 2 4 4 3" xfId="27041"/>
    <cellStyle name="백분율 6 2 4 4 3 2" xfId="27042"/>
    <cellStyle name="백분율 6 2 4 4 3 3" xfId="27043"/>
    <cellStyle name="백분율 6 2 4 4 4" xfId="27044"/>
    <cellStyle name="백분율 6 2 4 4 5" xfId="27045"/>
    <cellStyle name="백분율 6 2 4 5" xfId="27046"/>
    <cellStyle name="백분율 6 2 4 5 2" xfId="27047"/>
    <cellStyle name="백분율 6 2 4 5 2 2" xfId="27048"/>
    <cellStyle name="백분율 6 2 4 5 2 2 2" xfId="27049"/>
    <cellStyle name="백분율 6 2 4 5 2 2 3" xfId="27050"/>
    <cellStyle name="백분율 6 2 4 5 2 3" xfId="27051"/>
    <cellStyle name="백분율 6 2 4 5 2 4" xfId="27052"/>
    <cellStyle name="백분율 6 2 4 5 3" xfId="27053"/>
    <cellStyle name="백분율 6 2 4 5 3 2" xfId="27054"/>
    <cellStyle name="백분율 6 2 4 5 3 3" xfId="27055"/>
    <cellStyle name="백분율 6 2 4 5 4" xfId="27056"/>
    <cellStyle name="백분율 6 2 4 5 5" xfId="27057"/>
    <cellStyle name="백분율 6 2 4 6" xfId="27058"/>
    <cellStyle name="백분율 6 2 4 6 2" xfId="27059"/>
    <cellStyle name="백분율 6 2 4 6 2 2" xfId="27060"/>
    <cellStyle name="백분율 6 2 4 6 2 2 2" xfId="27061"/>
    <cellStyle name="백분율 6 2 4 6 2 2 3" xfId="27062"/>
    <cellStyle name="백분율 6 2 4 6 2 3" xfId="27063"/>
    <cellStyle name="백분율 6 2 4 6 2 4" xfId="27064"/>
    <cellStyle name="백분율 6 2 4 6 3" xfId="27065"/>
    <cellStyle name="백분율 6 2 4 6 3 2" xfId="27066"/>
    <cellStyle name="백분율 6 2 4 6 3 3" xfId="27067"/>
    <cellStyle name="백분율 6 2 4 6 4" xfId="27068"/>
    <cellStyle name="백분율 6 2 4 6 5" xfId="27069"/>
    <cellStyle name="백분율 6 2 4 7" xfId="27070"/>
    <cellStyle name="백분율 6 2 4 7 2" xfId="27071"/>
    <cellStyle name="백분율 6 2 4 7 2 2" xfId="27072"/>
    <cellStyle name="백분율 6 2 4 7 2 3" xfId="27073"/>
    <cellStyle name="백분율 6 2 4 7 3" xfId="27074"/>
    <cellStyle name="백분율 6 2 4 7 4" xfId="27075"/>
    <cellStyle name="백분율 6 2 4 8" xfId="27076"/>
    <cellStyle name="백분율 6 2 4 8 2" xfId="27077"/>
    <cellStyle name="백분율 6 2 4 8 3" xfId="27078"/>
    <cellStyle name="백분율 6 2 4 9" xfId="27079"/>
    <cellStyle name="백분율 6 2 5" xfId="27080"/>
    <cellStyle name="백분율 6 2 5 10" xfId="27081"/>
    <cellStyle name="백분율 6 2 5 2" xfId="27082"/>
    <cellStyle name="백분율 6 2 5 2 2" xfId="27083"/>
    <cellStyle name="백분율 6 2 5 2 2 2" xfId="27084"/>
    <cellStyle name="백분율 6 2 5 2 2 2 2" xfId="27085"/>
    <cellStyle name="백분율 6 2 5 2 2 2 2 2" xfId="27086"/>
    <cellStyle name="백분율 6 2 5 2 2 2 2 3" xfId="27087"/>
    <cellStyle name="백분율 6 2 5 2 2 2 3" xfId="27088"/>
    <cellStyle name="백분율 6 2 5 2 2 2 4" xfId="27089"/>
    <cellStyle name="백분율 6 2 5 2 2 3" xfId="27090"/>
    <cellStyle name="백분율 6 2 5 2 2 3 2" xfId="27091"/>
    <cellStyle name="백분율 6 2 5 2 2 3 3" xfId="27092"/>
    <cellStyle name="백분율 6 2 5 2 2 4" xfId="27093"/>
    <cellStyle name="백분율 6 2 5 2 2 5" xfId="27094"/>
    <cellStyle name="백분율 6 2 5 2 3" xfId="27095"/>
    <cellStyle name="백분율 6 2 5 2 3 2" xfId="27096"/>
    <cellStyle name="백분율 6 2 5 2 3 2 2" xfId="27097"/>
    <cellStyle name="백분율 6 2 5 2 3 2 2 2" xfId="27098"/>
    <cellStyle name="백분율 6 2 5 2 3 2 2 3" xfId="27099"/>
    <cellStyle name="백분율 6 2 5 2 3 2 3" xfId="27100"/>
    <cellStyle name="백분율 6 2 5 2 3 2 4" xfId="27101"/>
    <cellStyle name="백분율 6 2 5 2 3 3" xfId="27102"/>
    <cellStyle name="백분율 6 2 5 2 3 3 2" xfId="27103"/>
    <cellStyle name="백분율 6 2 5 2 3 3 3" xfId="27104"/>
    <cellStyle name="백분율 6 2 5 2 3 4" xfId="27105"/>
    <cellStyle name="백분율 6 2 5 2 3 5" xfId="27106"/>
    <cellStyle name="백분율 6 2 5 2 4" xfId="27107"/>
    <cellStyle name="백분율 6 2 5 2 4 2" xfId="27108"/>
    <cellStyle name="백분율 6 2 5 2 4 2 2" xfId="27109"/>
    <cellStyle name="백분율 6 2 5 2 4 2 3" xfId="27110"/>
    <cellStyle name="백분율 6 2 5 2 4 3" xfId="27111"/>
    <cellStyle name="백분율 6 2 5 2 4 4" xfId="27112"/>
    <cellStyle name="백분율 6 2 5 2 5" xfId="27113"/>
    <cellStyle name="백분율 6 2 5 2 5 2" xfId="27114"/>
    <cellStyle name="백분율 6 2 5 2 5 3" xfId="27115"/>
    <cellStyle name="백분율 6 2 5 2 6" xfId="27116"/>
    <cellStyle name="백분율 6 2 5 2 7" xfId="27117"/>
    <cellStyle name="백분율 6 2 5 3" xfId="27118"/>
    <cellStyle name="백분율 6 2 5 3 2" xfId="27119"/>
    <cellStyle name="백분율 6 2 5 3 2 2" xfId="27120"/>
    <cellStyle name="백분율 6 2 5 3 2 2 2" xfId="27121"/>
    <cellStyle name="백분율 6 2 5 3 2 2 2 2" xfId="27122"/>
    <cellStyle name="백분율 6 2 5 3 2 2 2 3" xfId="27123"/>
    <cellStyle name="백분율 6 2 5 3 2 2 3" xfId="27124"/>
    <cellStyle name="백분율 6 2 5 3 2 2 4" xfId="27125"/>
    <cellStyle name="백분율 6 2 5 3 2 3" xfId="27126"/>
    <cellStyle name="백분율 6 2 5 3 2 3 2" xfId="27127"/>
    <cellStyle name="백분율 6 2 5 3 2 3 3" xfId="27128"/>
    <cellStyle name="백분율 6 2 5 3 2 4" xfId="27129"/>
    <cellStyle name="백분율 6 2 5 3 2 5" xfId="27130"/>
    <cellStyle name="백분율 6 2 5 3 3" xfId="27131"/>
    <cellStyle name="백분율 6 2 5 3 3 2" xfId="27132"/>
    <cellStyle name="백분율 6 2 5 3 3 2 2" xfId="27133"/>
    <cellStyle name="백분율 6 2 5 3 3 2 2 2" xfId="27134"/>
    <cellStyle name="백분율 6 2 5 3 3 2 2 3" xfId="27135"/>
    <cellStyle name="백분율 6 2 5 3 3 2 3" xfId="27136"/>
    <cellStyle name="백분율 6 2 5 3 3 2 4" xfId="27137"/>
    <cellStyle name="백분율 6 2 5 3 3 3" xfId="27138"/>
    <cellStyle name="백분율 6 2 5 3 3 3 2" xfId="27139"/>
    <cellStyle name="백분율 6 2 5 3 3 3 3" xfId="27140"/>
    <cellStyle name="백분율 6 2 5 3 3 4" xfId="27141"/>
    <cellStyle name="백분율 6 2 5 3 3 5" xfId="27142"/>
    <cellStyle name="백분율 6 2 5 3 4" xfId="27143"/>
    <cellStyle name="백분율 6 2 5 3 4 2" xfId="27144"/>
    <cellStyle name="백분율 6 2 5 3 4 2 2" xfId="27145"/>
    <cellStyle name="백분율 6 2 5 3 4 2 3" xfId="27146"/>
    <cellStyle name="백분율 6 2 5 3 4 3" xfId="27147"/>
    <cellStyle name="백분율 6 2 5 3 4 4" xfId="27148"/>
    <cellStyle name="백분율 6 2 5 3 5" xfId="27149"/>
    <cellStyle name="백분율 6 2 5 3 5 2" xfId="27150"/>
    <cellStyle name="백분율 6 2 5 3 5 3" xfId="27151"/>
    <cellStyle name="백분율 6 2 5 3 6" xfId="27152"/>
    <cellStyle name="백분율 6 2 5 3 7" xfId="27153"/>
    <cellStyle name="백분율 6 2 5 4" xfId="27154"/>
    <cellStyle name="백분율 6 2 5 4 2" xfId="27155"/>
    <cellStyle name="백분율 6 2 5 4 2 2" xfId="27156"/>
    <cellStyle name="백분율 6 2 5 4 2 2 2" xfId="27157"/>
    <cellStyle name="백분율 6 2 5 4 2 2 3" xfId="27158"/>
    <cellStyle name="백분율 6 2 5 4 2 3" xfId="27159"/>
    <cellStyle name="백분율 6 2 5 4 2 4" xfId="27160"/>
    <cellStyle name="백분율 6 2 5 4 3" xfId="27161"/>
    <cellStyle name="백분율 6 2 5 4 3 2" xfId="27162"/>
    <cellStyle name="백분율 6 2 5 4 3 3" xfId="27163"/>
    <cellStyle name="백분율 6 2 5 4 4" xfId="27164"/>
    <cellStyle name="백분율 6 2 5 4 5" xfId="27165"/>
    <cellStyle name="백분율 6 2 5 5" xfId="27166"/>
    <cellStyle name="백분율 6 2 5 5 2" xfId="27167"/>
    <cellStyle name="백분율 6 2 5 5 2 2" xfId="27168"/>
    <cellStyle name="백분율 6 2 5 5 2 2 2" xfId="27169"/>
    <cellStyle name="백분율 6 2 5 5 2 2 3" xfId="27170"/>
    <cellStyle name="백분율 6 2 5 5 2 3" xfId="27171"/>
    <cellStyle name="백분율 6 2 5 5 2 4" xfId="27172"/>
    <cellStyle name="백분율 6 2 5 5 3" xfId="27173"/>
    <cellStyle name="백분율 6 2 5 5 3 2" xfId="27174"/>
    <cellStyle name="백분율 6 2 5 5 3 3" xfId="27175"/>
    <cellStyle name="백분율 6 2 5 5 4" xfId="27176"/>
    <cellStyle name="백분율 6 2 5 5 5" xfId="27177"/>
    <cellStyle name="백분율 6 2 5 6" xfId="27178"/>
    <cellStyle name="백분율 6 2 5 6 2" xfId="27179"/>
    <cellStyle name="백분율 6 2 5 6 2 2" xfId="27180"/>
    <cellStyle name="백분율 6 2 5 6 2 2 2" xfId="27181"/>
    <cellStyle name="백분율 6 2 5 6 2 2 3" xfId="27182"/>
    <cellStyle name="백분율 6 2 5 6 2 3" xfId="27183"/>
    <cellStyle name="백분율 6 2 5 6 2 4" xfId="27184"/>
    <cellStyle name="백분율 6 2 5 6 3" xfId="27185"/>
    <cellStyle name="백분율 6 2 5 6 3 2" xfId="27186"/>
    <cellStyle name="백분율 6 2 5 6 3 3" xfId="27187"/>
    <cellStyle name="백분율 6 2 5 6 4" xfId="27188"/>
    <cellStyle name="백분율 6 2 5 6 5" xfId="27189"/>
    <cellStyle name="백분율 6 2 5 7" xfId="27190"/>
    <cellStyle name="백분율 6 2 5 7 2" xfId="27191"/>
    <cellStyle name="백분율 6 2 5 7 2 2" xfId="27192"/>
    <cellStyle name="백분율 6 2 5 7 2 3" xfId="27193"/>
    <cellStyle name="백분율 6 2 5 7 3" xfId="27194"/>
    <cellStyle name="백분율 6 2 5 7 4" xfId="27195"/>
    <cellStyle name="백분율 6 2 5 8" xfId="27196"/>
    <cellStyle name="백분율 6 2 5 8 2" xfId="27197"/>
    <cellStyle name="백분율 6 2 5 8 3" xfId="27198"/>
    <cellStyle name="백분율 6 2 5 9" xfId="27199"/>
    <cellStyle name="백분율 6 2 6" xfId="27200"/>
    <cellStyle name="백분율 6 2 6 2" xfId="27201"/>
    <cellStyle name="백분율 6 2 6 2 2" xfId="27202"/>
    <cellStyle name="백분율 6 2 6 2 2 2" xfId="27203"/>
    <cellStyle name="백분율 6 2 6 2 2 2 2" xfId="27204"/>
    <cellStyle name="백분율 6 2 6 2 2 2 3" xfId="27205"/>
    <cellStyle name="백분율 6 2 6 2 2 3" xfId="27206"/>
    <cellStyle name="백분율 6 2 6 2 2 4" xfId="27207"/>
    <cellStyle name="백분율 6 2 6 2 3" xfId="27208"/>
    <cellStyle name="백분율 6 2 6 2 3 2" xfId="27209"/>
    <cellStyle name="백분율 6 2 6 2 3 3" xfId="27210"/>
    <cellStyle name="백분율 6 2 6 2 4" xfId="27211"/>
    <cellStyle name="백분율 6 2 6 2 5" xfId="27212"/>
    <cellStyle name="백분율 6 2 6 3" xfId="27213"/>
    <cellStyle name="백분율 6 2 6 3 2" xfId="27214"/>
    <cellStyle name="백분율 6 2 6 3 2 2" xfId="27215"/>
    <cellStyle name="백분율 6 2 6 3 2 2 2" xfId="27216"/>
    <cellStyle name="백분율 6 2 6 3 2 2 3" xfId="27217"/>
    <cellStyle name="백분율 6 2 6 3 2 3" xfId="27218"/>
    <cellStyle name="백분율 6 2 6 3 2 4" xfId="27219"/>
    <cellStyle name="백분율 6 2 6 3 3" xfId="27220"/>
    <cellStyle name="백분율 6 2 6 3 3 2" xfId="27221"/>
    <cellStyle name="백분율 6 2 6 3 3 3" xfId="27222"/>
    <cellStyle name="백분율 6 2 6 3 4" xfId="27223"/>
    <cellStyle name="백분율 6 2 6 3 5" xfId="27224"/>
    <cellStyle name="백분율 6 2 6 4" xfId="27225"/>
    <cellStyle name="백분율 6 2 6 4 2" xfId="27226"/>
    <cellStyle name="백분율 6 2 6 4 2 2" xfId="27227"/>
    <cellStyle name="백분율 6 2 6 4 2 3" xfId="27228"/>
    <cellStyle name="백분율 6 2 6 4 3" xfId="27229"/>
    <cellStyle name="백분율 6 2 6 4 4" xfId="27230"/>
    <cellStyle name="백분율 6 2 6 5" xfId="27231"/>
    <cellStyle name="백분율 6 2 6 5 2" xfId="27232"/>
    <cellStyle name="백분율 6 2 6 5 3" xfId="27233"/>
    <cellStyle name="백분율 6 2 6 6" xfId="27234"/>
    <cellStyle name="백분율 6 2 6 7" xfId="27235"/>
    <cellStyle name="백분율 6 2 7" xfId="27236"/>
    <cellStyle name="백분율 6 2 7 2" xfId="27237"/>
    <cellStyle name="백분율 6 2 7 2 2" xfId="27238"/>
    <cellStyle name="백분율 6 2 7 2 2 2" xfId="27239"/>
    <cellStyle name="백분율 6 2 7 2 2 2 2" xfId="27240"/>
    <cellStyle name="백분율 6 2 7 2 2 2 3" xfId="27241"/>
    <cellStyle name="백분율 6 2 7 2 2 3" xfId="27242"/>
    <cellStyle name="백분율 6 2 7 2 2 4" xfId="27243"/>
    <cellStyle name="백분율 6 2 7 2 3" xfId="27244"/>
    <cellStyle name="백분율 6 2 7 2 3 2" xfId="27245"/>
    <cellStyle name="백분율 6 2 7 2 3 3" xfId="27246"/>
    <cellStyle name="백분율 6 2 7 2 4" xfId="27247"/>
    <cellStyle name="백분율 6 2 7 2 5" xfId="27248"/>
    <cellStyle name="백분율 6 2 7 3" xfId="27249"/>
    <cellStyle name="백분율 6 2 7 3 2" xfId="27250"/>
    <cellStyle name="백분율 6 2 7 3 2 2" xfId="27251"/>
    <cellStyle name="백분율 6 2 7 3 2 2 2" xfId="27252"/>
    <cellStyle name="백분율 6 2 7 3 2 2 3" xfId="27253"/>
    <cellStyle name="백분율 6 2 7 3 2 3" xfId="27254"/>
    <cellStyle name="백분율 6 2 7 3 2 4" xfId="27255"/>
    <cellStyle name="백분율 6 2 7 3 3" xfId="27256"/>
    <cellStyle name="백분율 6 2 7 3 3 2" xfId="27257"/>
    <cellStyle name="백분율 6 2 7 3 3 3" xfId="27258"/>
    <cellStyle name="백분율 6 2 7 3 4" xfId="27259"/>
    <cellStyle name="백분율 6 2 7 3 5" xfId="27260"/>
    <cellStyle name="백분율 6 2 7 4" xfId="27261"/>
    <cellStyle name="백분율 6 2 7 4 2" xfId="27262"/>
    <cellStyle name="백분율 6 2 7 4 2 2" xfId="27263"/>
    <cellStyle name="백분율 6 2 7 4 2 3" xfId="27264"/>
    <cellStyle name="백분율 6 2 7 4 3" xfId="27265"/>
    <cellStyle name="백분율 6 2 7 4 4" xfId="27266"/>
    <cellStyle name="백분율 6 2 7 5" xfId="27267"/>
    <cellStyle name="백분율 6 2 7 5 2" xfId="27268"/>
    <cellStyle name="백분율 6 2 7 5 3" xfId="27269"/>
    <cellStyle name="백분율 6 2 7 6" xfId="27270"/>
    <cellStyle name="백분율 6 2 7 7" xfId="27271"/>
    <cellStyle name="백분율 6 2 8" xfId="27272"/>
    <cellStyle name="백분율 6 2 8 2" xfId="27273"/>
    <cellStyle name="백분율 6 2 8 2 2" xfId="27274"/>
    <cellStyle name="백분율 6 2 8 2 2 2" xfId="27275"/>
    <cellStyle name="백분율 6 2 8 2 2 3" xfId="27276"/>
    <cellStyle name="백분율 6 2 8 2 3" xfId="27277"/>
    <cellStyle name="백분율 6 2 8 2 4" xfId="27278"/>
    <cellStyle name="백분율 6 2 8 3" xfId="27279"/>
    <cellStyle name="백분율 6 2 8 3 2" xfId="27280"/>
    <cellStyle name="백분율 6 2 8 3 3" xfId="27281"/>
    <cellStyle name="백분율 6 2 8 4" xfId="27282"/>
    <cellStyle name="백분율 6 2 8 5" xfId="27283"/>
    <cellStyle name="백분율 6 2 9" xfId="27284"/>
    <cellStyle name="백분율 6 2 9 2" xfId="27285"/>
    <cellStyle name="백분율 6 2 9 2 2" xfId="27286"/>
    <cellStyle name="백분율 6 2 9 2 2 2" xfId="27287"/>
    <cellStyle name="백분율 6 2 9 2 2 3" xfId="27288"/>
    <cellStyle name="백분율 6 2 9 2 3" xfId="27289"/>
    <cellStyle name="백분율 6 2 9 2 4" xfId="27290"/>
    <cellStyle name="백분율 6 2 9 3" xfId="27291"/>
    <cellStyle name="백분율 6 2 9 3 2" xfId="27292"/>
    <cellStyle name="백분율 6 2 9 3 3" xfId="27293"/>
    <cellStyle name="백분율 6 2 9 4" xfId="27294"/>
    <cellStyle name="백분율 6 2 9 5" xfId="27295"/>
    <cellStyle name="백분율 6 3" xfId="27296"/>
    <cellStyle name="백분율 6 3 10" xfId="27297"/>
    <cellStyle name="백분율 6 3 10 2" xfId="27298"/>
    <cellStyle name="백분율 6 3 10 2 2" xfId="27299"/>
    <cellStyle name="백분율 6 3 10 2 2 2" xfId="27300"/>
    <cellStyle name="백분율 6 3 10 2 2 3" xfId="27301"/>
    <cellStyle name="백분율 6 3 10 2 3" xfId="27302"/>
    <cellStyle name="백분율 6 3 10 2 4" xfId="27303"/>
    <cellStyle name="백분율 6 3 10 3" xfId="27304"/>
    <cellStyle name="백분율 6 3 10 3 2" xfId="27305"/>
    <cellStyle name="백분율 6 3 10 3 3" xfId="27306"/>
    <cellStyle name="백분율 6 3 10 4" xfId="27307"/>
    <cellStyle name="백분율 6 3 10 5" xfId="27308"/>
    <cellStyle name="백분율 6 3 11" xfId="27309"/>
    <cellStyle name="백분율 6 3 11 2" xfId="27310"/>
    <cellStyle name="백분율 6 3 11 2 2" xfId="27311"/>
    <cellStyle name="백분율 6 3 11 2 3" xfId="27312"/>
    <cellStyle name="백분율 6 3 11 3" xfId="27313"/>
    <cellStyle name="백분율 6 3 11 4" xfId="27314"/>
    <cellStyle name="백분율 6 3 12" xfId="27315"/>
    <cellStyle name="백분율 6 3 12 2" xfId="27316"/>
    <cellStyle name="백분율 6 3 12 3" xfId="27317"/>
    <cellStyle name="백분율 6 3 13" xfId="27318"/>
    <cellStyle name="백분율 6 3 14" xfId="27319"/>
    <cellStyle name="백분율 6 3 2" xfId="27320"/>
    <cellStyle name="백분율 6 3 2 10" xfId="27321"/>
    <cellStyle name="백분율 6 3 2 10 2" xfId="27322"/>
    <cellStyle name="백분율 6 3 2 10 2 2" xfId="27323"/>
    <cellStyle name="백분율 6 3 2 10 2 3" xfId="27324"/>
    <cellStyle name="백분율 6 3 2 10 3" xfId="27325"/>
    <cellStyle name="백분율 6 3 2 10 4" xfId="27326"/>
    <cellStyle name="백분율 6 3 2 11" xfId="27327"/>
    <cellStyle name="백분율 6 3 2 11 2" xfId="27328"/>
    <cellStyle name="백분율 6 3 2 11 3" xfId="27329"/>
    <cellStyle name="백분율 6 3 2 12" xfId="27330"/>
    <cellStyle name="백분율 6 3 2 13" xfId="27331"/>
    <cellStyle name="백분율 6 3 2 2" xfId="27332"/>
    <cellStyle name="백분율 6 3 2 2 10" xfId="27333"/>
    <cellStyle name="백분율 6 3 2 2 2" xfId="27334"/>
    <cellStyle name="백분율 6 3 2 2 2 2" xfId="27335"/>
    <cellStyle name="백분율 6 3 2 2 2 2 2" xfId="27336"/>
    <cellStyle name="백분율 6 3 2 2 2 2 2 2" xfId="27337"/>
    <cellStyle name="백분율 6 3 2 2 2 2 2 2 2" xfId="27338"/>
    <cellStyle name="백분율 6 3 2 2 2 2 2 2 3" xfId="27339"/>
    <cellStyle name="백분율 6 3 2 2 2 2 2 3" xfId="27340"/>
    <cellStyle name="백분율 6 3 2 2 2 2 2 4" xfId="27341"/>
    <cellStyle name="백분율 6 3 2 2 2 2 3" xfId="27342"/>
    <cellStyle name="백분율 6 3 2 2 2 2 3 2" xfId="27343"/>
    <cellStyle name="백분율 6 3 2 2 2 2 3 3" xfId="27344"/>
    <cellStyle name="백분율 6 3 2 2 2 2 4" xfId="27345"/>
    <cellStyle name="백분율 6 3 2 2 2 2 5" xfId="27346"/>
    <cellStyle name="백분율 6 3 2 2 2 3" xfId="27347"/>
    <cellStyle name="백분율 6 3 2 2 2 3 2" xfId="27348"/>
    <cellStyle name="백분율 6 3 2 2 2 3 2 2" xfId="27349"/>
    <cellStyle name="백분율 6 3 2 2 2 3 2 2 2" xfId="27350"/>
    <cellStyle name="백분율 6 3 2 2 2 3 2 2 3" xfId="27351"/>
    <cellStyle name="백분율 6 3 2 2 2 3 2 3" xfId="27352"/>
    <cellStyle name="백분율 6 3 2 2 2 3 2 4" xfId="27353"/>
    <cellStyle name="백분율 6 3 2 2 2 3 3" xfId="27354"/>
    <cellStyle name="백분율 6 3 2 2 2 3 3 2" xfId="27355"/>
    <cellStyle name="백분율 6 3 2 2 2 3 3 3" xfId="27356"/>
    <cellStyle name="백분율 6 3 2 2 2 3 4" xfId="27357"/>
    <cellStyle name="백분율 6 3 2 2 2 3 5" xfId="27358"/>
    <cellStyle name="백분율 6 3 2 2 2 4" xfId="27359"/>
    <cellStyle name="백분율 6 3 2 2 2 4 2" xfId="27360"/>
    <cellStyle name="백분율 6 3 2 2 2 4 2 2" xfId="27361"/>
    <cellStyle name="백분율 6 3 2 2 2 4 2 3" xfId="27362"/>
    <cellStyle name="백분율 6 3 2 2 2 4 3" xfId="27363"/>
    <cellStyle name="백분율 6 3 2 2 2 4 4" xfId="27364"/>
    <cellStyle name="백분율 6 3 2 2 2 5" xfId="27365"/>
    <cellStyle name="백분율 6 3 2 2 2 5 2" xfId="27366"/>
    <cellStyle name="백분율 6 3 2 2 2 5 3" xfId="27367"/>
    <cellStyle name="백분율 6 3 2 2 2 6" xfId="27368"/>
    <cellStyle name="백분율 6 3 2 2 2 7" xfId="27369"/>
    <cellStyle name="백분율 6 3 2 2 3" xfId="27370"/>
    <cellStyle name="백분율 6 3 2 2 3 2" xfId="27371"/>
    <cellStyle name="백분율 6 3 2 2 3 2 2" xfId="27372"/>
    <cellStyle name="백분율 6 3 2 2 3 2 2 2" xfId="27373"/>
    <cellStyle name="백분율 6 3 2 2 3 2 2 2 2" xfId="27374"/>
    <cellStyle name="백분율 6 3 2 2 3 2 2 2 3" xfId="27375"/>
    <cellStyle name="백분율 6 3 2 2 3 2 2 3" xfId="27376"/>
    <cellStyle name="백분율 6 3 2 2 3 2 2 4" xfId="27377"/>
    <cellStyle name="백분율 6 3 2 2 3 2 3" xfId="27378"/>
    <cellStyle name="백분율 6 3 2 2 3 2 3 2" xfId="27379"/>
    <cellStyle name="백분율 6 3 2 2 3 2 3 3" xfId="27380"/>
    <cellStyle name="백분율 6 3 2 2 3 2 4" xfId="27381"/>
    <cellStyle name="백분율 6 3 2 2 3 2 5" xfId="27382"/>
    <cellStyle name="백분율 6 3 2 2 3 3" xfId="27383"/>
    <cellStyle name="백분율 6 3 2 2 3 3 2" xfId="27384"/>
    <cellStyle name="백분율 6 3 2 2 3 3 2 2" xfId="27385"/>
    <cellStyle name="백분율 6 3 2 2 3 3 2 2 2" xfId="27386"/>
    <cellStyle name="백분율 6 3 2 2 3 3 2 2 3" xfId="27387"/>
    <cellStyle name="백분율 6 3 2 2 3 3 2 3" xfId="27388"/>
    <cellStyle name="백분율 6 3 2 2 3 3 2 4" xfId="27389"/>
    <cellStyle name="백분율 6 3 2 2 3 3 3" xfId="27390"/>
    <cellStyle name="백분율 6 3 2 2 3 3 3 2" xfId="27391"/>
    <cellStyle name="백분율 6 3 2 2 3 3 3 3" xfId="27392"/>
    <cellStyle name="백분율 6 3 2 2 3 3 4" xfId="27393"/>
    <cellStyle name="백분율 6 3 2 2 3 3 5" xfId="27394"/>
    <cellStyle name="백분율 6 3 2 2 3 4" xfId="27395"/>
    <cellStyle name="백분율 6 3 2 2 3 4 2" xfId="27396"/>
    <cellStyle name="백분율 6 3 2 2 3 4 2 2" xfId="27397"/>
    <cellStyle name="백분율 6 3 2 2 3 4 2 3" xfId="27398"/>
    <cellStyle name="백분율 6 3 2 2 3 4 3" xfId="27399"/>
    <cellStyle name="백분율 6 3 2 2 3 4 4" xfId="27400"/>
    <cellStyle name="백분율 6 3 2 2 3 5" xfId="27401"/>
    <cellStyle name="백분율 6 3 2 2 3 5 2" xfId="27402"/>
    <cellStyle name="백분율 6 3 2 2 3 5 3" xfId="27403"/>
    <cellStyle name="백분율 6 3 2 2 3 6" xfId="27404"/>
    <cellStyle name="백분율 6 3 2 2 3 7" xfId="27405"/>
    <cellStyle name="백분율 6 3 2 2 4" xfId="27406"/>
    <cellStyle name="백분율 6 3 2 2 4 2" xfId="27407"/>
    <cellStyle name="백분율 6 3 2 2 4 2 2" xfId="27408"/>
    <cellStyle name="백분율 6 3 2 2 4 2 2 2" xfId="27409"/>
    <cellStyle name="백분율 6 3 2 2 4 2 2 3" xfId="27410"/>
    <cellStyle name="백분율 6 3 2 2 4 2 3" xfId="27411"/>
    <cellStyle name="백분율 6 3 2 2 4 2 4" xfId="27412"/>
    <cellStyle name="백분율 6 3 2 2 4 3" xfId="27413"/>
    <cellStyle name="백분율 6 3 2 2 4 3 2" xfId="27414"/>
    <cellStyle name="백분율 6 3 2 2 4 3 3" xfId="27415"/>
    <cellStyle name="백분율 6 3 2 2 4 4" xfId="27416"/>
    <cellStyle name="백분율 6 3 2 2 4 5" xfId="27417"/>
    <cellStyle name="백분율 6 3 2 2 5" xfId="27418"/>
    <cellStyle name="백분율 6 3 2 2 5 2" xfId="27419"/>
    <cellStyle name="백분율 6 3 2 2 5 2 2" xfId="27420"/>
    <cellStyle name="백분율 6 3 2 2 5 2 2 2" xfId="27421"/>
    <cellStyle name="백분율 6 3 2 2 5 2 2 3" xfId="27422"/>
    <cellStyle name="백분율 6 3 2 2 5 2 3" xfId="27423"/>
    <cellStyle name="백분율 6 3 2 2 5 2 4" xfId="27424"/>
    <cellStyle name="백분율 6 3 2 2 5 3" xfId="27425"/>
    <cellStyle name="백분율 6 3 2 2 5 3 2" xfId="27426"/>
    <cellStyle name="백분율 6 3 2 2 5 3 3" xfId="27427"/>
    <cellStyle name="백분율 6 3 2 2 5 4" xfId="27428"/>
    <cellStyle name="백분율 6 3 2 2 5 5" xfId="27429"/>
    <cellStyle name="백분율 6 3 2 2 6" xfId="27430"/>
    <cellStyle name="백분율 6 3 2 2 6 2" xfId="27431"/>
    <cellStyle name="백분율 6 3 2 2 6 2 2" xfId="27432"/>
    <cellStyle name="백분율 6 3 2 2 6 2 2 2" xfId="27433"/>
    <cellStyle name="백분율 6 3 2 2 6 2 2 3" xfId="27434"/>
    <cellStyle name="백분율 6 3 2 2 6 2 3" xfId="27435"/>
    <cellStyle name="백분율 6 3 2 2 6 2 4" xfId="27436"/>
    <cellStyle name="백분율 6 3 2 2 6 3" xfId="27437"/>
    <cellStyle name="백분율 6 3 2 2 6 3 2" xfId="27438"/>
    <cellStyle name="백분율 6 3 2 2 6 3 3" xfId="27439"/>
    <cellStyle name="백분율 6 3 2 2 6 4" xfId="27440"/>
    <cellStyle name="백분율 6 3 2 2 6 5" xfId="27441"/>
    <cellStyle name="백분율 6 3 2 2 7" xfId="27442"/>
    <cellStyle name="백분율 6 3 2 2 7 2" xfId="27443"/>
    <cellStyle name="백분율 6 3 2 2 7 2 2" xfId="27444"/>
    <cellStyle name="백분율 6 3 2 2 7 2 3" xfId="27445"/>
    <cellStyle name="백분율 6 3 2 2 7 3" xfId="27446"/>
    <cellStyle name="백분율 6 3 2 2 7 4" xfId="27447"/>
    <cellStyle name="백분율 6 3 2 2 8" xfId="27448"/>
    <cellStyle name="백분율 6 3 2 2 8 2" xfId="27449"/>
    <cellStyle name="백분율 6 3 2 2 8 3" xfId="27450"/>
    <cellStyle name="백분율 6 3 2 2 9" xfId="27451"/>
    <cellStyle name="백분율 6 3 2 3" xfId="27452"/>
    <cellStyle name="백분율 6 3 2 3 10" xfId="27453"/>
    <cellStyle name="백분율 6 3 2 3 2" xfId="27454"/>
    <cellStyle name="백분율 6 3 2 3 2 2" xfId="27455"/>
    <cellStyle name="백분율 6 3 2 3 2 2 2" xfId="27456"/>
    <cellStyle name="백분율 6 3 2 3 2 2 2 2" xfId="27457"/>
    <cellStyle name="백분율 6 3 2 3 2 2 2 2 2" xfId="27458"/>
    <cellStyle name="백분율 6 3 2 3 2 2 2 2 3" xfId="27459"/>
    <cellStyle name="백분율 6 3 2 3 2 2 2 3" xfId="27460"/>
    <cellStyle name="백분율 6 3 2 3 2 2 2 4" xfId="27461"/>
    <cellStyle name="백분율 6 3 2 3 2 2 3" xfId="27462"/>
    <cellStyle name="백분율 6 3 2 3 2 2 3 2" xfId="27463"/>
    <cellStyle name="백분율 6 3 2 3 2 2 3 3" xfId="27464"/>
    <cellStyle name="백분율 6 3 2 3 2 2 4" xfId="27465"/>
    <cellStyle name="백분율 6 3 2 3 2 2 5" xfId="27466"/>
    <cellStyle name="백분율 6 3 2 3 2 3" xfId="27467"/>
    <cellStyle name="백분율 6 3 2 3 2 3 2" xfId="27468"/>
    <cellStyle name="백분율 6 3 2 3 2 3 2 2" xfId="27469"/>
    <cellStyle name="백분율 6 3 2 3 2 3 2 2 2" xfId="27470"/>
    <cellStyle name="백분율 6 3 2 3 2 3 2 2 3" xfId="27471"/>
    <cellStyle name="백분율 6 3 2 3 2 3 2 3" xfId="27472"/>
    <cellStyle name="백분율 6 3 2 3 2 3 2 4" xfId="27473"/>
    <cellStyle name="백분율 6 3 2 3 2 3 3" xfId="27474"/>
    <cellStyle name="백분율 6 3 2 3 2 3 3 2" xfId="27475"/>
    <cellStyle name="백분율 6 3 2 3 2 3 3 3" xfId="27476"/>
    <cellStyle name="백분율 6 3 2 3 2 3 4" xfId="27477"/>
    <cellStyle name="백분율 6 3 2 3 2 3 5" xfId="27478"/>
    <cellStyle name="백분율 6 3 2 3 2 4" xfId="27479"/>
    <cellStyle name="백분율 6 3 2 3 2 4 2" xfId="27480"/>
    <cellStyle name="백분율 6 3 2 3 2 4 2 2" xfId="27481"/>
    <cellStyle name="백분율 6 3 2 3 2 4 2 3" xfId="27482"/>
    <cellStyle name="백분율 6 3 2 3 2 4 3" xfId="27483"/>
    <cellStyle name="백분율 6 3 2 3 2 4 4" xfId="27484"/>
    <cellStyle name="백분율 6 3 2 3 2 5" xfId="27485"/>
    <cellStyle name="백분율 6 3 2 3 2 5 2" xfId="27486"/>
    <cellStyle name="백분율 6 3 2 3 2 5 3" xfId="27487"/>
    <cellStyle name="백분율 6 3 2 3 2 6" xfId="27488"/>
    <cellStyle name="백분율 6 3 2 3 2 7" xfId="27489"/>
    <cellStyle name="백분율 6 3 2 3 3" xfId="27490"/>
    <cellStyle name="백분율 6 3 2 3 3 2" xfId="27491"/>
    <cellStyle name="백분율 6 3 2 3 3 2 2" xfId="27492"/>
    <cellStyle name="백분율 6 3 2 3 3 2 2 2" xfId="27493"/>
    <cellStyle name="백분율 6 3 2 3 3 2 2 2 2" xfId="27494"/>
    <cellStyle name="백분율 6 3 2 3 3 2 2 2 3" xfId="27495"/>
    <cellStyle name="백분율 6 3 2 3 3 2 2 3" xfId="27496"/>
    <cellStyle name="백분율 6 3 2 3 3 2 2 4" xfId="27497"/>
    <cellStyle name="백분율 6 3 2 3 3 2 3" xfId="27498"/>
    <cellStyle name="백분율 6 3 2 3 3 2 3 2" xfId="27499"/>
    <cellStyle name="백분율 6 3 2 3 3 2 3 3" xfId="27500"/>
    <cellStyle name="백분율 6 3 2 3 3 2 4" xfId="27501"/>
    <cellStyle name="백분율 6 3 2 3 3 2 5" xfId="27502"/>
    <cellStyle name="백분율 6 3 2 3 3 3" xfId="27503"/>
    <cellStyle name="백분율 6 3 2 3 3 3 2" xfId="27504"/>
    <cellStyle name="백분율 6 3 2 3 3 3 2 2" xfId="27505"/>
    <cellStyle name="백분율 6 3 2 3 3 3 2 2 2" xfId="27506"/>
    <cellStyle name="백분율 6 3 2 3 3 3 2 2 3" xfId="27507"/>
    <cellStyle name="백분율 6 3 2 3 3 3 2 3" xfId="27508"/>
    <cellStyle name="백분율 6 3 2 3 3 3 2 4" xfId="27509"/>
    <cellStyle name="백분율 6 3 2 3 3 3 3" xfId="27510"/>
    <cellStyle name="백분율 6 3 2 3 3 3 3 2" xfId="27511"/>
    <cellStyle name="백분율 6 3 2 3 3 3 3 3" xfId="27512"/>
    <cellStyle name="백분율 6 3 2 3 3 3 4" xfId="27513"/>
    <cellStyle name="백분율 6 3 2 3 3 3 5" xfId="27514"/>
    <cellStyle name="백분율 6 3 2 3 3 4" xfId="27515"/>
    <cellStyle name="백분율 6 3 2 3 3 4 2" xfId="27516"/>
    <cellStyle name="백분율 6 3 2 3 3 4 2 2" xfId="27517"/>
    <cellStyle name="백분율 6 3 2 3 3 4 2 3" xfId="27518"/>
    <cellStyle name="백분율 6 3 2 3 3 4 3" xfId="27519"/>
    <cellStyle name="백분율 6 3 2 3 3 4 4" xfId="27520"/>
    <cellStyle name="백분율 6 3 2 3 3 5" xfId="27521"/>
    <cellStyle name="백분율 6 3 2 3 3 5 2" xfId="27522"/>
    <cellStyle name="백분율 6 3 2 3 3 5 3" xfId="27523"/>
    <cellStyle name="백분율 6 3 2 3 3 6" xfId="27524"/>
    <cellStyle name="백분율 6 3 2 3 3 7" xfId="27525"/>
    <cellStyle name="백분율 6 3 2 3 4" xfId="27526"/>
    <cellStyle name="백분율 6 3 2 3 4 2" xfId="27527"/>
    <cellStyle name="백분율 6 3 2 3 4 2 2" xfId="27528"/>
    <cellStyle name="백분율 6 3 2 3 4 2 2 2" xfId="27529"/>
    <cellStyle name="백분율 6 3 2 3 4 2 2 3" xfId="27530"/>
    <cellStyle name="백분율 6 3 2 3 4 2 3" xfId="27531"/>
    <cellStyle name="백분율 6 3 2 3 4 2 4" xfId="27532"/>
    <cellStyle name="백분율 6 3 2 3 4 3" xfId="27533"/>
    <cellStyle name="백분율 6 3 2 3 4 3 2" xfId="27534"/>
    <cellStyle name="백분율 6 3 2 3 4 3 3" xfId="27535"/>
    <cellStyle name="백분율 6 3 2 3 4 4" xfId="27536"/>
    <cellStyle name="백분율 6 3 2 3 4 5" xfId="27537"/>
    <cellStyle name="백분율 6 3 2 3 5" xfId="27538"/>
    <cellStyle name="백분율 6 3 2 3 5 2" xfId="27539"/>
    <cellStyle name="백분율 6 3 2 3 5 2 2" xfId="27540"/>
    <cellStyle name="백분율 6 3 2 3 5 2 2 2" xfId="27541"/>
    <cellStyle name="백분율 6 3 2 3 5 2 2 3" xfId="27542"/>
    <cellStyle name="백분율 6 3 2 3 5 2 3" xfId="27543"/>
    <cellStyle name="백분율 6 3 2 3 5 2 4" xfId="27544"/>
    <cellStyle name="백분율 6 3 2 3 5 3" xfId="27545"/>
    <cellStyle name="백분율 6 3 2 3 5 3 2" xfId="27546"/>
    <cellStyle name="백분율 6 3 2 3 5 3 3" xfId="27547"/>
    <cellStyle name="백분율 6 3 2 3 5 4" xfId="27548"/>
    <cellStyle name="백분율 6 3 2 3 5 5" xfId="27549"/>
    <cellStyle name="백분율 6 3 2 3 6" xfId="27550"/>
    <cellStyle name="백분율 6 3 2 3 6 2" xfId="27551"/>
    <cellStyle name="백분율 6 3 2 3 6 2 2" xfId="27552"/>
    <cellStyle name="백분율 6 3 2 3 6 2 2 2" xfId="27553"/>
    <cellStyle name="백분율 6 3 2 3 6 2 2 3" xfId="27554"/>
    <cellStyle name="백분율 6 3 2 3 6 2 3" xfId="27555"/>
    <cellStyle name="백분율 6 3 2 3 6 2 4" xfId="27556"/>
    <cellStyle name="백분율 6 3 2 3 6 3" xfId="27557"/>
    <cellStyle name="백분율 6 3 2 3 6 3 2" xfId="27558"/>
    <cellStyle name="백분율 6 3 2 3 6 3 3" xfId="27559"/>
    <cellStyle name="백분율 6 3 2 3 6 4" xfId="27560"/>
    <cellStyle name="백분율 6 3 2 3 6 5" xfId="27561"/>
    <cellStyle name="백분율 6 3 2 3 7" xfId="27562"/>
    <cellStyle name="백분율 6 3 2 3 7 2" xfId="27563"/>
    <cellStyle name="백분율 6 3 2 3 7 2 2" xfId="27564"/>
    <cellStyle name="백분율 6 3 2 3 7 2 3" xfId="27565"/>
    <cellStyle name="백분율 6 3 2 3 7 3" xfId="27566"/>
    <cellStyle name="백분율 6 3 2 3 7 4" xfId="27567"/>
    <cellStyle name="백분율 6 3 2 3 8" xfId="27568"/>
    <cellStyle name="백분율 6 3 2 3 8 2" xfId="27569"/>
    <cellStyle name="백분율 6 3 2 3 8 3" xfId="27570"/>
    <cellStyle name="백분율 6 3 2 3 9" xfId="27571"/>
    <cellStyle name="백분율 6 3 2 4" xfId="27572"/>
    <cellStyle name="백분율 6 3 2 4 10" xfId="27573"/>
    <cellStyle name="백분율 6 3 2 4 2" xfId="27574"/>
    <cellStyle name="백분율 6 3 2 4 2 2" xfId="27575"/>
    <cellStyle name="백분율 6 3 2 4 2 2 2" xfId="27576"/>
    <cellStyle name="백분율 6 3 2 4 2 2 2 2" xfId="27577"/>
    <cellStyle name="백분율 6 3 2 4 2 2 2 2 2" xfId="27578"/>
    <cellStyle name="백분율 6 3 2 4 2 2 2 2 3" xfId="27579"/>
    <cellStyle name="백분율 6 3 2 4 2 2 2 3" xfId="27580"/>
    <cellStyle name="백분율 6 3 2 4 2 2 2 4" xfId="27581"/>
    <cellStyle name="백분율 6 3 2 4 2 2 3" xfId="27582"/>
    <cellStyle name="백분율 6 3 2 4 2 2 3 2" xfId="27583"/>
    <cellStyle name="백분율 6 3 2 4 2 2 3 3" xfId="27584"/>
    <cellStyle name="백분율 6 3 2 4 2 2 4" xfId="27585"/>
    <cellStyle name="백분율 6 3 2 4 2 2 5" xfId="27586"/>
    <cellStyle name="백분율 6 3 2 4 2 3" xfId="27587"/>
    <cellStyle name="백분율 6 3 2 4 2 3 2" xfId="27588"/>
    <cellStyle name="백분율 6 3 2 4 2 3 2 2" xfId="27589"/>
    <cellStyle name="백분율 6 3 2 4 2 3 2 2 2" xfId="27590"/>
    <cellStyle name="백분율 6 3 2 4 2 3 2 2 3" xfId="27591"/>
    <cellStyle name="백분율 6 3 2 4 2 3 2 3" xfId="27592"/>
    <cellStyle name="백분율 6 3 2 4 2 3 2 4" xfId="27593"/>
    <cellStyle name="백분율 6 3 2 4 2 3 3" xfId="27594"/>
    <cellStyle name="백분율 6 3 2 4 2 3 3 2" xfId="27595"/>
    <cellStyle name="백분율 6 3 2 4 2 3 3 3" xfId="27596"/>
    <cellStyle name="백분율 6 3 2 4 2 3 4" xfId="27597"/>
    <cellStyle name="백분율 6 3 2 4 2 3 5" xfId="27598"/>
    <cellStyle name="백분율 6 3 2 4 2 4" xfId="27599"/>
    <cellStyle name="백분율 6 3 2 4 2 4 2" xfId="27600"/>
    <cellStyle name="백분율 6 3 2 4 2 4 2 2" xfId="27601"/>
    <cellStyle name="백분율 6 3 2 4 2 4 2 3" xfId="27602"/>
    <cellStyle name="백분율 6 3 2 4 2 4 3" xfId="27603"/>
    <cellStyle name="백분율 6 3 2 4 2 4 4" xfId="27604"/>
    <cellStyle name="백분율 6 3 2 4 2 5" xfId="27605"/>
    <cellStyle name="백분율 6 3 2 4 2 5 2" xfId="27606"/>
    <cellStyle name="백분율 6 3 2 4 2 5 3" xfId="27607"/>
    <cellStyle name="백분율 6 3 2 4 2 6" xfId="27608"/>
    <cellStyle name="백분율 6 3 2 4 2 7" xfId="27609"/>
    <cellStyle name="백분율 6 3 2 4 3" xfId="27610"/>
    <cellStyle name="백분율 6 3 2 4 3 2" xfId="27611"/>
    <cellStyle name="백분율 6 3 2 4 3 2 2" xfId="27612"/>
    <cellStyle name="백분율 6 3 2 4 3 2 2 2" xfId="27613"/>
    <cellStyle name="백분율 6 3 2 4 3 2 2 2 2" xfId="27614"/>
    <cellStyle name="백분율 6 3 2 4 3 2 2 2 3" xfId="27615"/>
    <cellStyle name="백분율 6 3 2 4 3 2 2 3" xfId="27616"/>
    <cellStyle name="백분율 6 3 2 4 3 2 2 4" xfId="27617"/>
    <cellStyle name="백분율 6 3 2 4 3 2 3" xfId="27618"/>
    <cellStyle name="백분율 6 3 2 4 3 2 3 2" xfId="27619"/>
    <cellStyle name="백분율 6 3 2 4 3 2 3 3" xfId="27620"/>
    <cellStyle name="백분율 6 3 2 4 3 2 4" xfId="27621"/>
    <cellStyle name="백분율 6 3 2 4 3 2 5" xfId="27622"/>
    <cellStyle name="백분율 6 3 2 4 3 3" xfId="27623"/>
    <cellStyle name="백분율 6 3 2 4 3 3 2" xfId="27624"/>
    <cellStyle name="백분율 6 3 2 4 3 3 2 2" xfId="27625"/>
    <cellStyle name="백분율 6 3 2 4 3 3 2 2 2" xfId="27626"/>
    <cellStyle name="백분율 6 3 2 4 3 3 2 2 3" xfId="27627"/>
    <cellStyle name="백분율 6 3 2 4 3 3 2 3" xfId="27628"/>
    <cellStyle name="백분율 6 3 2 4 3 3 2 4" xfId="27629"/>
    <cellStyle name="백분율 6 3 2 4 3 3 3" xfId="27630"/>
    <cellStyle name="백분율 6 3 2 4 3 3 3 2" xfId="27631"/>
    <cellStyle name="백분율 6 3 2 4 3 3 3 3" xfId="27632"/>
    <cellStyle name="백분율 6 3 2 4 3 3 4" xfId="27633"/>
    <cellStyle name="백분율 6 3 2 4 3 3 5" xfId="27634"/>
    <cellStyle name="백분율 6 3 2 4 3 4" xfId="27635"/>
    <cellStyle name="백분율 6 3 2 4 3 4 2" xfId="27636"/>
    <cellStyle name="백분율 6 3 2 4 3 4 2 2" xfId="27637"/>
    <cellStyle name="백분율 6 3 2 4 3 4 2 3" xfId="27638"/>
    <cellStyle name="백분율 6 3 2 4 3 4 3" xfId="27639"/>
    <cellStyle name="백분율 6 3 2 4 3 4 4" xfId="27640"/>
    <cellStyle name="백분율 6 3 2 4 3 5" xfId="27641"/>
    <cellStyle name="백분율 6 3 2 4 3 5 2" xfId="27642"/>
    <cellStyle name="백분율 6 3 2 4 3 5 3" xfId="27643"/>
    <cellStyle name="백분율 6 3 2 4 3 6" xfId="27644"/>
    <cellStyle name="백분율 6 3 2 4 3 7" xfId="27645"/>
    <cellStyle name="백분율 6 3 2 4 4" xfId="27646"/>
    <cellStyle name="백분율 6 3 2 4 4 2" xfId="27647"/>
    <cellStyle name="백분율 6 3 2 4 4 2 2" xfId="27648"/>
    <cellStyle name="백분율 6 3 2 4 4 2 2 2" xfId="27649"/>
    <cellStyle name="백분율 6 3 2 4 4 2 2 3" xfId="27650"/>
    <cellStyle name="백분율 6 3 2 4 4 2 3" xfId="27651"/>
    <cellStyle name="백분율 6 3 2 4 4 2 4" xfId="27652"/>
    <cellStyle name="백분율 6 3 2 4 4 3" xfId="27653"/>
    <cellStyle name="백분율 6 3 2 4 4 3 2" xfId="27654"/>
    <cellStyle name="백분율 6 3 2 4 4 3 3" xfId="27655"/>
    <cellStyle name="백분율 6 3 2 4 4 4" xfId="27656"/>
    <cellStyle name="백분율 6 3 2 4 4 5" xfId="27657"/>
    <cellStyle name="백분율 6 3 2 4 5" xfId="27658"/>
    <cellStyle name="백분율 6 3 2 4 5 2" xfId="27659"/>
    <cellStyle name="백분율 6 3 2 4 5 2 2" xfId="27660"/>
    <cellStyle name="백분율 6 3 2 4 5 2 2 2" xfId="27661"/>
    <cellStyle name="백분율 6 3 2 4 5 2 2 3" xfId="27662"/>
    <cellStyle name="백분율 6 3 2 4 5 2 3" xfId="27663"/>
    <cellStyle name="백분율 6 3 2 4 5 2 4" xfId="27664"/>
    <cellStyle name="백분율 6 3 2 4 5 3" xfId="27665"/>
    <cellStyle name="백분율 6 3 2 4 5 3 2" xfId="27666"/>
    <cellStyle name="백분율 6 3 2 4 5 3 3" xfId="27667"/>
    <cellStyle name="백분율 6 3 2 4 5 4" xfId="27668"/>
    <cellStyle name="백분율 6 3 2 4 5 5" xfId="27669"/>
    <cellStyle name="백분율 6 3 2 4 6" xfId="27670"/>
    <cellStyle name="백분율 6 3 2 4 6 2" xfId="27671"/>
    <cellStyle name="백분율 6 3 2 4 6 2 2" xfId="27672"/>
    <cellStyle name="백분율 6 3 2 4 6 2 2 2" xfId="27673"/>
    <cellStyle name="백분율 6 3 2 4 6 2 2 3" xfId="27674"/>
    <cellStyle name="백분율 6 3 2 4 6 2 3" xfId="27675"/>
    <cellStyle name="백분율 6 3 2 4 6 2 4" xfId="27676"/>
    <cellStyle name="백분율 6 3 2 4 6 3" xfId="27677"/>
    <cellStyle name="백분율 6 3 2 4 6 3 2" xfId="27678"/>
    <cellStyle name="백분율 6 3 2 4 6 3 3" xfId="27679"/>
    <cellStyle name="백분율 6 3 2 4 6 4" xfId="27680"/>
    <cellStyle name="백분율 6 3 2 4 6 5" xfId="27681"/>
    <cellStyle name="백분율 6 3 2 4 7" xfId="27682"/>
    <cellStyle name="백분율 6 3 2 4 7 2" xfId="27683"/>
    <cellStyle name="백분율 6 3 2 4 7 2 2" xfId="27684"/>
    <cellStyle name="백분율 6 3 2 4 7 2 3" xfId="27685"/>
    <cellStyle name="백분율 6 3 2 4 7 3" xfId="27686"/>
    <cellStyle name="백분율 6 3 2 4 7 4" xfId="27687"/>
    <cellStyle name="백분율 6 3 2 4 8" xfId="27688"/>
    <cellStyle name="백분율 6 3 2 4 8 2" xfId="27689"/>
    <cellStyle name="백분율 6 3 2 4 8 3" xfId="27690"/>
    <cellStyle name="백분율 6 3 2 4 9" xfId="27691"/>
    <cellStyle name="백분율 6 3 2 5" xfId="27692"/>
    <cellStyle name="백분율 6 3 2 5 2" xfId="27693"/>
    <cellStyle name="백분율 6 3 2 5 2 2" xfId="27694"/>
    <cellStyle name="백분율 6 3 2 5 2 2 2" xfId="27695"/>
    <cellStyle name="백분율 6 3 2 5 2 2 2 2" xfId="27696"/>
    <cellStyle name="백분율 6 3 2 5 2 2 2 3" xfId="27697"/>
    <cellStyle name="백분율 6 3 2 5 2 2 3" xfId="27698"/>
    <cellStyle name="백분율 6 3 2 5 2 2 4" xfId="27699"/>
    <cellStyle name="백분율 6 3 2 5 2 3" xfId="27700"/>
    <cellStyle name="백분율 6 3 2 5 2 3 2" xfId="27701"/>
    <cellStyle name="백분율 6 3 2 5 2 3 3" xfId="27702"/>
    <cellStyle name="백분율 6 3 2 5 2 4" xfId="27703"/>
    <cellStyle name="백분율 6 3 2 5 2 5" xfId="27704"/>
    <cellStyle name="백분율 6 3 2 5 3" xfId="27705"/>
    <cellStyle name="백분율 6 3 2 5 3 2" xfId="27706"/>
    <cellStyle name="백분율 6 3 2 5 3 2 2" xfId="27707"/>
    <cellStyle name="백분율 6 3 2 5 3 2 2 2" xfId="27708"/>
    <cellStyle name="백분율 6 3 2 5 3 2 2 3" xfId="27709"/>
    <cellStyle name="백분율 6 3 2 5 3 2 3" xfId="27710"/>
    <cellStyle name="백분율 6 3 2 5 3 2 4" xfId="27711"/>
    <cellStyle name="백분율 6 3 2 5 3 3" xfId="27712"/>
    <cellStyle name="백분율 6 3 2 5 3 3 2" xfId="27713"/>
    <cellStyle name="백분율 6 3 2 5 3 3 3" xfId="27714"/>
    <cellStyle name="백분율 6 3 2 5 3 4" xfId="27715"/>
    <cellStyle name="백분율 6 3 2 5 3 5" xfId="27716"/>
    <cellStyle name="백분율 6 3 2 5 4" xfId="27717"/>
    <cellStyle name="백분율 6 3 2 5 4 2" xfId="27718"/>
    <cellStyle name="백분율 6 3 2 5 4 2 2" xfId="27719"/>
    <cellStyle name="백분율 6 3 2 5 4 2 3" xfId="27720"/>
    <cellStyle name="백분율 6 3 2 5 4 3" xfId="27721"/>
    <cellStyle name="백분율 6 3 2 5 4 4" xfId="27722"/>
    <cellStyle name="백분율 6 3 2 5 5" xfId="27723"/>
    <cellStyle name="백분율 6 3 2 5 5 2" xfId="27724"/>
    <cellStyle name="백분율 6 3 2 5 5 3" xfId="27725"/>
    <cellStyle name="백분율 6 3 2 5 6" xfId="27726"/>
    <cellStyle name="백분율 6 3 2 5 7" xfId="27727"/>
    <cellStyle name="백분율 6 3 2 6" xfId="27728"/>
    <cellStyle name="백분율 6 3 2 6 2" xfId="27729"/>
    <cellStyle name="백분율 6 3 2 6 2 2" xfId="27730"/>
    <cellStyle name="백분율 6 3 2 6 2 2 2" xfId="27731"/>
    <cellStyle name="백분율 6 3 2 6 2 2 2 2" xfId="27732"/>
    <cellStyle name="백분율 6 3 2 6 2 2 2 3" xfId="27733"/>
    <cellStyle name="백분율 6 3 2 6 2 2 3" xfId="27734"/>
    <cellStyle name="백분율 6 3 2 6 2 2 4" xfId="27735"/>
    <cellStyle name="백분율 6 3 2 6 2 3" xfId="27736"/>
    <cellStyle name="백분율 6 3 2 6 2 3 2" xfId="27737"/>
    <cellStyle name="백분율 6 3 2 6 2 3 3" xfId="27738"/>
    <cellStyle name="백분율 6 3 2 6 2 4" xfId="27739"/>
    <cellStyle name="백분율 6 3 2 6 2 5" xfId="27740"/>
    <cellStyle name="백분율 6 3 2 6 3" xfId="27741"/>
    <cellStyle name="백분율 6 3 2 6 3 2" xfId="27742"/>
    <cellStyle name="백분율 6 3 2 6 3 2 2" xfId="27743"/>
    <cellStyle name="백분율 6 3 2 6 3 2 2 2" xfId="27744"/>
    <cellStyle name="백분율 6 3 2 6 3 2 2 3" xfId="27745"/>
    <cellStyle name="백분율 6 3 2 6 3 2 3" xfId="27746"/>
    <cellStyle name="백분율 6 3 2 6 3 2 4" xfId="27747"/>
    <cellStyle name="백분율 6 3 2 6 3 3" xfId="27748"/>
    <cellStyle name="백분율 6 3 2 6 3 3 2" xfId="27749"/>
    <cellStyle name="백분율 6 3 2 6 3 3 3" xfId="27750"/>
    <cellStyle name="백분율 6 3 2 6 3 4" xfId="27751"/>
    <cellStyle name="백분율 6 3 2 6 3 5" xfId="27752"/>
    <cellStyle name="백분율 6 3 2 6 4" xfId="27753"/>
    <cellStyle name="백분율 6 3 2 6 4 2" xfId="27754"/>
    <cellStyle name="백분율 6 3 2 6 4 2 2" xfId="27755"/>
    <cellStyle name="백분율 6 3 2 6 4 2 3" xfId="27756"/>
    <cellStyle name="백분율 6 3 2 6 4 3" xfId="27757"/>
    <cellStyle name="백분율 6 3 2 6 4 4" xfId="27758"/>
    <cellStyle name="백분율 6 3 2 6 5" xfId="27759"/>
    <cellStyle name="백분율 6 3 2 6 5 2" xfId="27760"/>
    <cellStyle name="백분율 6 3 2 6 5 3" xfId="27761"/>
    <cellStyle name="백분율 6 3 2 6 6" xfId="27762"/>
    <cellStyle name="백분율 6 3 2 6 7" xfId="27763"/>
    <cellStyle name="백분율 6 3 2 7" xfId="27764"/>
    <cellStyle name="백분율 6 3 2 7 2" xfId="27765"/>
    <cellStyle name="백분율 6 3 2 7 2 2" xfId="27766"/>
    <cellStyle name="백분율 6 3 2 7 2 2 2" xfId="27767"/>
    <cellStyle name="백분율 6 3 2 7 2 2 3" xfId="27768"/>
    <cellStyle name="백분율 6 3 2 7 2 3" xfId="27769"/>
    <cellStyle name="백분율 6 3 2 7 2 4" xfId="27770"/>
    <cellStyle name="백분율 6 3 2 7 3" xfId="27771"/>
    <cellStyle name="백분율 6 3 2 7 3 2" xfId="27772"/>
    <cellStyle name="백분율 6 3 2 7 3 3" xfId="27773"/>
    <cellStyle name="백분율 6 3 2 7 4" xfId="27774"/>
    <cellStyle name="백분율 6 3 2 7 5" xfId="27775"/>
    <cellStyle name="백분율 6 3 2 8" xfId="27776"/>
    <cellStyle name="백분율 6 3 2 8 2" xfId="27777"/>
    <cellStyle name="백분율 6 3 2 8 2 2" xfId="27778"/>
    <cellStyle name="백분율 6 3 2 8 2 2 2" xfId="27779"/>
    <cellStyle name="백분율 6 3 2 8 2 2 3" xfId="27780"/>
    <cellStyle name="백분율 6 3 2 8 2 3" xfId="27781"/>
    <cellStyle name="백분율 6 3 2 8 2 4" xfId="27782"/>
    <cellStyle name="백분율 6 3 2 8 3" xfId="27783"/>
    <cellStyle name="백분율 6 3 2 8 3 2" xfId="27784"/>
    <cellStyle name="백분율 6 3 2 8 3 3" xfId="27785"/>
    <cellStyle name="백분율 6 3 2 8 4" xfId="27786"/>
    <cellStyle name="백분율 6 3 2 8 5" xfId="27787"/>
    <cellStyle name="백분율 6 3 2 9" xfId="27788"/>
    <cellStyle name="백분율 6 3 2 9 2" xfId="27789"/>
    <cellStyle name="백분율 6 3 2 9 2 2" xfId="27790"/>
    <cellStyle name="백분율 6 3 2 9 2 2 2" xfId="27791"/>
    <cellStyle name="백분율 6 3 2 9 2 2 3" xfId="27792"/>
    <cellStyle name="백분율 6 3 2 9 2 3" xfId="27793"/>
    <cellStyle name="백분율 6 3 2 9 2 4" xfId="27794"/>
    <cellStyle name="백분율 6 3 2 9 3" xfId="27795"/>
    <cellStyle name="백분율 6 3 2 9 3 2" xfId="27796"/>
    <cellStyle name="백분율 6 3 2 9 3 3" xfId="27797"/>
    <cellStyle name="백분율 6 3 2 9 4" xfId="27798"/>
    <cellStyle name="백분율 6 3 2 9 5" xfId="27799"/>
    <cellStyle name="백분율 6 3 3" xfId="27800"/>
    <cellStyle name="백분율 6 3 3 10" xfId="27801"/>
    <cellStyle name="백분율 6 3 3 2" xfId="27802"/>
    <cellStyle name="백분율 6 3 3 2 2" xfId="27803"/>
    <cellStyle name="백분율 6 3 3 2 2 2" xfId="27804"/>
    <cellStyle name="백분율 6 3 3 2 2 2 2" xfId="27805"/>
    <cellStyle name="백분율 6 3 3 2 2 2 2 2" xfId="27806"/>
    <cellStyle name="백분율 6 3 3 2 2 2 2 3" xfId="27807"/>
    <cellStyle name="백분율 6 3 3 2 2 2 3" xfId="27808"/>
    <cellStyle name="백분율 6 3 3 2 2 2 4" xfId="27809"/>
    <cellStyle name="백분율 6 3 3 2 2 3" xfId="27810"/>
    <cellStyle name="백분율 6 3 3 2 2 3 2" xfId="27811"/>
    <cellStyle name="백분율 6 3 3 2 2 3 3" xfId="27812"/>
    <cellStyle name="백분율 6 3 3 2 2 4" xfId="27813"/>
    <cellStyle name="백분율 6 3 3 2 2 5" xfId="27814"/>
    <cellStyle name="백분율 6 3 3 2 3" xfId="27815"/>
    <cellStyle name="백분율 6 3 3 2 3 2" xfId="27816"/>
    <cellStyle name="백분율 6 3 3 2 3 2 2" xfId="27817"/>
    <cellStyle name="백분율 6 3 3 2 3 2 2 2" xfId="27818"/>
    <cellStyle name="백분율 6 3 3 2 3 2 2 3" xfId="27819"/>
    <cellStyle name="백분율 6 3 3 2 3 2 3" xfId="27820"/>
    <cellStyle name="백분율 6 3 3 2 3 2 4" xfId="27821"/>
    <cellStyle name="백분율 6 3 3 2 3 3" xfId="27822"/>
    <cellStyle name="백분율 6 3 3 2 3 3 2" xfId="27823"/>
    <cellStyle name="백분율 6 3 3 2 3 3 3" xfId="27824"/>
    <cellStyle name="백분율 6 3 3 2 3 4" xfId="27825"/>
    <cellStyle name="백분율 6 3 3 2 3 5" xfId="27826"/>
    <cellStyle name="백분율 6 3 3 2 4" xfId="27827"/>
    <cellStyle name="백분율 6 3 3 2 4 2" xfId="27828"/>
    <cellStyle name="백분율 6 3 3 2 4 2 2" xfId="27829"/>
    <cellStyle name="백분율 6 3 3 2 4 2 3" xfId="27830"/>
    <cellStyle name="백분율 6 3 3 2 4 3" xfId="27831"/>
    <cellStyle name="백분율 6 3 3 2 4 4" xfId="27832"/>
    <cellStyle name="백분율 6 3 3 2 5" xfId="27833"/>
    <cellStyle name="백분율 6 3 3 2 5 2" xfId="27834"/>
    <cellStyle name="백분율 6 3 3 2 5 3" xfId="27835"/>
    <cellStyle name="백분율 6 3 3 2 6" xfId="27836"/>
    <cellStyle name="백분율 6 3 3 2 7" xfId="27837"/>
    <cellStyle name="백분율 6 3 3 3" xfId="27838"/>
    <cellStyle name="백분율 6 3 3 3 2" xfId="27839"/>
    <cellStyle name="백분율 6 3 3 3 2 2" xfId="27840"/>
    <cellStyle name="백분율 6 3 3 3 2 2 2" xfId="27841"/>
    <cellStyle name="백분율 6 3 3 3 2 2 2 2" xfId="27842"/>
    <cellStyle name="백분율 6 3 3 3 2 2 2 3" xfId="27843"/>
    <cellStyle name="백분율 6 3 3 3 2 2 3" xfId="27844"/>
    <cellStyle name="백분율 6 3 3 3 2 2 4" xfId="27845"/>
    <cellStyle name="백분율 6 3 3 3 2 3" xfId="27846"/>
    <cellStyle name="백분율 6 3 3 3 2 3 2" xfId="27847"/>
    <cellStyle name="백분율 6 3 3 3 2 3 3" xfId="27848"/>
    <cellStyle name="백분율 6 3 3 3 2 4" xfId="27849"/>
    <cellStyle name="백분율 6 3 3 3 2 5" xfId="27850"/>
    <cellStyle name="백분율 6 3 3 3 3" xfId="27851"/>
    <cellStyle name="백분율 6 3 3 3 3 2" xfId="27852"/>
    <cellStyle name="백분율 6 3 3 3 3 2 2" xfId="27853"/>
    <cellStyle name="백분율 6 3 3 3 3 2 2 2" xfId="27854"/>
    <cellStyle name="백분율 6 3 3 3 3 2 2 3" xfId="27855"/>
    <cellStyle name="백분율 6 3 3 3 3 2 3" xfId="27856"/>
    <cellStyle name="백분율 6 3 3 3 3 2 4" xfId="27857"/>
    <cellStyle name="백분율 6 3 3 3 3 3" xfId="27858"/>
    <cellStyle name="백분율 6 3 3 3 3 3 2" xfId="27859"/>
    <cellStyle name="백분율 6 3 3 3 3 3 3" xfId="27860"/>
    <cellStyle name="백분율 6 3 3 3 3 4" xfId="27861"/>
    <cellStyle name="백분율 6 3 3 3 3 5" xfId="27862"/>
    <cellStyle name="백분율 6 3 3 3 4" xfId="27863"/>
    <cellStyle name="백분율 6 3 3 3 4 2" xfId="27864"/>
    <cellStyle name="백분율 6 3 3 3 4 2 2" xfId="27865"/>
    <cellStyle name="백분율 6 3 3 3 4 2 3" xfId="27866"/>
    <cellStyle name="백분율 6 3 3 3 4 3" xfId="27867"/>
    <cellStyle name="백분율 6 3 3 3 4 4" xfId="27868"/>
    <cellStyle name="백분율 6 3 3 3 5" xfId="27869"/>
    <cellStyle name="백분율 6 3 3 3 5 2" xfId="27870"/>
    <cellStyle name="백분율 6 3 3 3 5 3" xfId="27871"/>
    <cellStyle name="백분율 6 3 3 3 6" xfId="27872"/>
    <cellStyle name="백분율 6 3 3 3 7" xfId="27873"/>
    <cellStyle name="백분율 6 3 3 4" xfId="27874"/>
    <cellStyle name="백분율 6 3 3 4 2" xfId="27875"/>
    <cellStyle name="백분율 6 3 3 4 2 2" xfId="27876"/>
    <cellStyle name="백분율 6 3 3 4 2 2 2" xfId="27877"/>
    <cellStyle name="백분율 6 3 3 4 2 2 3" xfId="27878"/>
    <cellStyle name="백분율 6 3 3 4 2 3" xfId="27879"/>
    <cellStyle name="백분율 6 3 3 4 2 4" xfId="27880"/>
    <cellStyle name="백분율 6 3 3 4 3" xfId="27881"/>
    <cellStyle name="백분율 6 3 3 4 3 2" xfId="27882"/>
    <cellStyle name="백분율 6 3 3 4 3 3" xfId="27883"/>
    <cellStyle name="백분율 6 3 3 4 4" xfId="27884"/>
    <cellStyle name="백분율 6 3 3 4 5" xfId="27885"/>
    <cellStyle name="백분율 6 3 3 5" xfId="27886"/>
    <cellStyle name="백분율 6 3 3 5 2" xfId="27887"/>
    <cellStyle name="백분율 6 3 3 5 2 2" xfId="27888"/>
    <cellStyle name="백분율 6 3 3 5 2 2 2" xfId="27889"/>
    <cellStyle name="백분율 6 3 3 5 2 2 3" xfId="27890"/>
    <cellStyle name="백분율 6 3 3 5 2 3" xfId="27891"/>
    <cellStyle name="백분율 6 3 3 5 2 4" xfId="27892"/>
    <cellStyle name="백분율 6 3 3 5 3" xfId="27893"/>
    <cellStyle name="백분율 6 3 3 5 3 2" xfId="27894"/>
    <cellStyle name="백분율 6 3 3 5 3 3" xfId="27895"/>
    <cellStyle name="백분율 6 3 3 5 4" xfId="27896"/>
    <cellStyle name="백분율 6 3 3 5 5" xfId="27897"/>
    <cellStyle name="백분율 6 3 3 6" xfId="27898"/>
    <cellStyle name="백분율 6 3 3 6 2" xfId="27899"/>
    <cellStyle name="백분율 6 3 3 6 2 2" xfId="27900"/>
    <cellStyle name="백분율 6 3 3 6 2 2 2" xfId="27901"/>
    <cellStyle name="백분율 6 3 3 6 2 2 3" xfId="27902"/>
    <cellStyle name="백분율 6 3 3 6 2 3" xfId="27903"/>
    <cellStyle name="백분율 6 3 3 6 2 4" xfId="27904"/>
    <cellStyle name="백분율 6 3 3 6 3" xfId="27905"/>
    <cellStyle name="백분율 6 3 3 6 3 2" xfId="27906"/>
    <cellStyle name="백분율 6 3 3 6 3 3" xfId="27907"/>
    <cellStyle name="백분율 6 3 3 6 4" xfId="27908"/>
    <cellStyle name="백분율 6 3 3 6 5" xfId="27909"/>
    <cellStyle name="백분율 6 3 3 7" xfId="27910"/>
    <cellStyle name="백분율 6 3 3 7 2" xfId="27911"/>
    <cellStyle name="백분율 6 3 3 7 2 2" xfId="27912"/>
    <cellStyle name="백분율 6 3 3 7 2 3" xfId="27913"/>
    <cellStyle name="백분율 6 3 3 7 3" xfId="27914"/>
    <cellStyle name="백분율 6 3 3 7 4" xfId="27915"/>
    <cellStyle name="백분율 6 3 3 8" xfId="27916"/>
    <cellStyle name="백분율 6 3 3 8 2" xfId="27917"/>
    <cellStyle name="백분율 6 3 3 8 3" xfId="27918"/>
    <cellStyle name="백분율 6 3 3 9" xfId="27919"/>
    <cellStyle name="백분율 6 3 4" xfId="27920"/>
    <cellStyle name="백분율 6 3 4 10" xfId="27921"/>
    <cellStyle name="백분율 6 3 4 2" xfId="27922"/>
    <cellStyle name="백분율 6 3 4 2 2" xfId="27923"/>
    <cellStyle name="백분율 6 3 4 2 2 2" xfId="27924"/>
    <cellStyle name="백분율 6 3 4 2 2 2 2" xfId="27925"/>
    <cellStyle name="백분율 6 3 4 2 2 2 2 2" xfId="27926"/>
    <cellStyle name="백분율 6 3 4 2 2 2 2 3" xfId="27927"/>
    <cellStyle name="백분율 6 3 4 2 2 2 3" xfId="27928"/>
    <cellStyle name="백분율 6 3 4 2 2 2 4" xfId="27929"/>
    <cellStyle name="백분율 6 3 4 2 2 3" xfId="27930"/>
    <cellStyle name="백분율 6 3 4 2 2 3 2" xfId="27931"/>
    <cellStyle name="백분율 6 3 4 2 2 3 3" xfId="27932"/>
    <cellStyle name="백분율 6 3 4 2 2 4" xfId="27933"/>
    <cellStyle name="백분율 6 3 4 2 2 5" xfId="27934"/>
    <cellStyle name="백분율 6 3 4 2 3" xfId="27935"/>
    <cellStyle name="백분율 6 3 4 2 3 2" xfId="27936"/>
    <cellStyle name="백분율 6 3 4 2 3 2 2" xfId="27937"/>
    <cellStyle name="백분율 6 3 4 2 3 2 2 2" xfId="27938"/>
    <cellStyle name="백분율 6 3 4 2 3 2 2 3" xfId="27939"/>
    <cellStyle name="백분율 6 3 4 2 3 2 3" xfId="27940"/>
    <cellStyle name="백분율 6 3 4 2 3 2 4" xfId="27941"/>
    <cellStyle name="백분율 6 3 4 2 3 3" xfId="27942"/>
    <cellStyle name="백분율 6 3 4 2 3 3 2" xfId="27943"/>
    <cellStyle name="백분율 6 3 4 2 3 3 3" xfId="27944"/>
    <cellStyle name="백분율 6 3 4 2 3 4" xfId="27945"/>
    <cellStyle name="백분율 6 3 4 2 3 5" xfId="27946"/>
    <cellStyle name="백분율 6 3 4 2 4" xfId="27947"/>
    <cellStyle name="백분율 6 3 4 2 4 2" xfId="27948"/>
    <cellStyle name="백분율 6 3 4 2 4 2 2" xfId="27949"/>
    <cellStyle name="백분율 6 3 4 2 4 2 3" xfId="27950"/>
    <cellStyle name="백분율 6 3 4 2 4 3" xfId="27951"/>
    <cellStyle name="백분율 6 3 4 2 4 4" xfId="27952"/>
    <cellStyle name="백분율 6 3 4 2 5" xfId="27953"/>
    <cellStyle name="백분율 6 3 4 2 5 2" xfId="27954"/>
    <cellStyle name="백분율 6 3 4 2 5 3" xfId="27955"/>
    <cellStyle name="백분율 6 3 4 2 6" xfId="27956"/>
    <cellStyle name="백분율 6 3 4 2 7" xfId="27957"/>
    <cellStyle name="백분율 6 3 4 3" xfId="27958"/>
    <cellStyle name="백분율 6 3 4 3 2" xfId="27959"/>
    <cellStyle name="백분율 6 3 4 3 2 2" xfId="27960"/>
    <cellStyle name="백분율 6 3 4 3 2 2 2" xfId="27961"/>
    <cellStyle name="백분율 6 3 4 3 2 2 2 2" xfId="27962"/>
    <cellStyle name="백분율 6 3 4 3 2 2 2 3" xfId="27963"/>
    <cellStyle name="백분율 6 3 4 3 2 2 3" xfId="27964"/>
    <cellStyle name="백분율 6 3 4 3 2 2 4" xfId="27965"/>
    <cellStyle name="백분율 6 3 4 3 2 3" xfId="27966"/>
    <cellStyle name="백분율 6 3 4 3 2 3 2" xfId="27967"/>
    <cellStyle name="백분율 6 3 4 3 2 3 3" xfId="27968"/>
    <cellStyle name="백분율 6 3 4 3 2 4" xfId="27969"/>
    <cellStyle name="백분율 6 3 4 3 2 5" xfId="27970"/>
    <cellStyle name="백분율 6 3 4 3 3" xfId="27971"/>
    <cellStyle name="백분율 6 3 4 3 3 2" xfId="27972"/>
    <cellStyle name="백분율 6 3 4 3 3 2 2" xfId="27973"/>
    <cellStyle name="백분율 6 3 4 3 3 2 2 2" xfId="27974"/>
    <cellStyle name="백분율 6 3 4 3 3 2 2 3" xfId="27975"/>
    <cellStyle name="백분율 6 3 4 3 3 2 3" xfId="27976"/>
    <cellStyle name="백분율 6 3 4 3 3 2 4" xfId="27977"/>
    <cellStyle name="백분율 6 3 4 3 3 3" xfId="27978"/>
    <cellStyle name="백분율 6 3 4 3 3 3 2" xfId="27979"/>
    <cellStyle name="백분율 6 3 4 3 3 3 3" xfId="27980"/>
    <cellStyle name="백분율 6 3 4 3 3 4" xfId="27981"/>
    <cellStyle name="백분율 6 3 4 3 3 5" xfId="27982"/>
    <cellStyle name="백분율 6 3 4 3 4" xfId="27983"/>
    <cellStyle name="백분율 6 3 4 3 4 2" xfId="27984"/>
    <cellStyle name="백분율 6 3 4 3 4 2 2" xfId="27985"/>
    <cellStyle name="백분율 6 3 4 3 4 2 3" xfId="27986"/>
    <cellStyle name="백분율 6 3 4 3 4 3" xfId="27987"/>
    <cellStyle name="백분율 6 3 4 3 4 4" xfId="27988"/>
    <cellStyle name="백분율 6 3 4 3 5" xfId="27989"/>
    <cellStyle name="백분율 6 3 4 3 5 2" xfId="27990"/>
    <cellStyle name="백분율 6 3 4 3 5 3" xfId="27991"/>
    <cellStyle name="백분율 6 3 4 3 6" xfId="27992"/>
    <cellStyle name="백분율 6 3 4 3 7" xfId="27993"/>
    <cellStyle name="백분율 6 3 4 4" xfId="27994"/>
    <cellStyle name="백분율 6 3 4 4 2" xfId="27995"/>
    <cellStyle name="백분율 6 3 4 4 2 2" xfId="27996"/>
    <cellStyle name="백분율 6 3 4 4 2 2 2" xfId="27997"/>
    <cellStyle name="백분율 6 3 4 4 2 2 3" xfId="27998"/>
    <cellStyle name="백분율 6 3 4 4 2 3" xfId="27999"/>
    <cellStyle name="백분율 6 3 4 4 2 4" xfId="28000"/>
    <cellStyle name="백분율 6 3 4 4 3" xfId="28001"/>
    <cellStyle name="백분율 6 3 4 4 3 2" xfId="28002"/>
    <cellStyle name="백분율 6 3 4 4 3 3" xfId="28003"/>
    <cellStyle name="백분율 6 3 4 4 4" xfId="28004"/>
    <cellStyle name="백분율 6 3 4 4 5" xfId="28005"/>
    <cellStyle name="백분율 6 3 4 5" xfId="28006"/>
    <cellStyle name="백분율 6 3 4 5 2" xfId="28007"/>
    <cellStyle name="백분율 6 3 4 5 2 2" xfId="28008"/>
    <cellStyle name="백분율 6 3 4 5 2 2 2" xfId="28009"/>
    <cellStyle name="백분율 6 3 4 5 2 2 3" xfId="28010"/>
    <cellStyle name="백분율 6 3 4 5 2 3" xfId="28011"/>
    <cellStyle name="백분율 6 3 4 5 2 4" xfId="28012"/>
    <cellStyle name="백분율 6 3 4 5 3" xfId="28013"/>
    <cellStyle name="백분율 6 3 4 5 3 2" xfId="28014"/>
    <cellStyle name="백분율 6 3 4 5 3 3" xfId="28015"/>
    <cellStyle name="백분율 6 3 4 5 4" xfId="28016"/>
    <cellStyle name="백분율 6 3 4 5 5" xfId="28017"/>
    <cellStyle name="백분율 6 3 4 6" xfId="28018"/>
    <cellStyle name="백분율 6 3 4 6 2" xfId="28019"/>
    <cellStyle name="백분율 6 3 4 6 2 2" xfId="28020"/>
    <cellStyle name="백분율 6 3 4 6 2 2 2" xfId="28021"/>
    <cellStyle name="백분율 6 3 4 6 2 2 3" xfId="28022"/>
    <cellStyle name="백분율 6 3 4 6 2 3" xfId="28023"/>
    <cellStyle name="백분율 6 3 4 6 2 4" xfId="28024"/>
    <cellStyle name="백분율 6 3 4 6 3" xfId="28025"/>
    <cellStyle name="백분율 6 3 4 6 3 2" xfId="28026"/>
    <cellStyle name="백분율 6 3 4 6 3 3" xfId="28027"/>
    <cellStyle name="백분율 6 3 4 6 4" xfId="28028"/>
    <cellStyle name="백분율 6 3 4 6 5" xfId="28029"/>
    <cellStyle name="백분율 6 3 4 7" xfId="28030"/>
    <cellStyle name="백분율 6 3 4 7 2" xfId="28031"/>
    <cellStyle name="백분율 6 3 4 7 2 2" xfId="28032"/>
    <cellStyle name="백분율 6 3 4 7 2 3" xfId="28033"/>
    <cellStyle name="백분율 6 3 4 7 3" xfId="28034"/>
    <cellStyle name="백분율 6 3 4 7 4" xfId="28035"/>
    <cellStyle name="백분율 6 3 4 8" xfId="28036"/>
    <cellStyle name="백분율 6 3 4 8 2" xfId="28037"/>
    <cellStyle name="백분율 6 3 4 8 3" xfId="28038"/>
    <cellStyle name="백분율 6 3 4 9" xfId="28039"/>
    <cellStyle name="백분율 6 3 5" xfId="28040"/>
    <cellStyle name="백분율 6 3 5 10" xfId="28041"/>
    <cellStyle name="백분율 6 3 5 2" xfId="28042"/>
    <cellStyle name="백분율 6 3 5 2 2" xfId="28043"/>
    <cellStyle name="백분율 6 3 5 2 2 2" xfId="28044"/>
    <cellStyle name="백분율 6 3 5 2 2 2 2" xfId="28045"/>
    <cellStyle name="백분율 6 3 5 2 2 2 2 2" xfId="28046"/>
    <cellStyle name="백분율 6 3 5 2 2 2 2 3" xfId="28047"/>
    <cellStyle name="백분율 6 3 5 2 2 2 3" xfId="28048"/>
    <cellStyle name="백분율 6 3 5 2 2 2 4" xfId="28049"/>
    <cellStyle name="백분율 6 3 5 2 2 3" xfId="28050"/>
    <cellStyle name="백분율 6 3 5 2 2 3 2" xfId="28051"/>
    <cellStyle name="백분율 6 3 5 2 2 3 3" xfId="28052"/>
    <cellStyle name="백분율 6 3 5 2 2 4" xfId="28053"/>
    <cellStyle name="백분율 6 3 5 2 2 5" xfId="28054"/>
    <cellStyle name="백분율 6 3 5 2 3" xfId="28055"/>
    <cellStyle name="백분율 6 3 5 2 3 2" xfId="28056"/>
    <cellStyle name="백분율 6 3 5 2 3 2 2" xfId="28057"/>
    <cellStyle name="백분율 6 3 5 2 3 2 2 2" xfId="28058"/>
    <cellStyle name="백분율 6 3 5 2 3 2 2 3" xfId="28059"/>
    <cellStyle name="백분율 6 3 5 2 3 2 3" xfId="28060"/>
    <cellStyle name="백분율 6 3 5 2 3 2 4" xfId="28061"/>
    <cellStyle name="백분율 6 3 5 2 3 3" xfId="28062"/>
    <cellStyle name="백분율 6 3 5 2 3 3 2" xfId="28063"/>
    <cellStyle name="백분율 6 3 5 2 3 3 3" xfId="28064"/>
    <cellStyle name="백분율 6 3 5 2 3 4" xfId="28065"/>
    <cellStyle name="백분율 6 3 5 2 3 5" xfId="28066"/>
    <cellStyle name="백분율 6 3 5 2 4" xfId="28067"/>
    <cellStyle name="백분율 6 3 5 2 4 2" xfId="28068"/>
    <cellStyle name="백분율 6 3 5 2 4 2 2" xfId="28069"/>
    <cellStyle name="백분율 6 3 5 2 4 2 3" xfId="28070"/>
    <cellStyle name="백분율 6 3 5 2 4 3" xfId="28071"/>
    <cellStyle name="백분율 6 3 5 2 4 4" xfId="28072"/>
    <cellStyle name="백분율 6 3 5 2 5" xfId="28073"/>
    <cellStyle name="백분율 6 3 5 2 5 2" xfId="28074"/>
    <cellStyle name="백분율 6 3 5 2 5 3" xfId="28075"/>
    <cellStyle name="백분율 6 3 5 2 6" xfId="28076"/>
    <cellStyle name="백분율 6 3 5 2 7" xfId="28077"/>
    <cellStyle name="백분율 6 3 5 3" xfId="28078"/>
    <cellStyle name="백분율 6 3 5 3 2" xfId="28079"/>
    <cellStyle name="백분율 6 3 5 3 2 2" xfId="28080"/>
    <cellStyle name="백분율 6 3 5 3 2 2 2" xfId="28081"/>
    <cellStyle name="백분율 6 3 5 3 2 2 2 2" xfId="28082"/>
    <cellStyle name="백분율 6 3 5 3 2 2 2 3" xfId="28083"/>
    <cellStyle name="백분율 6 3 5 3 2 2 3" xfId="28084"/>
    <cellStyle name="백분율 6 3 5 3 2 2 4" xfId="28085"/>
    <cellStyle name="백분율 6 3 5 3 2 3" xfId="28086"/>
    <cellStyle name="백분율 6 3 5 3 2 3 2" xfId="28087"/>
    <cellStyle name="백분율 6 3 5 3 2 3 3" xfId="28088"/>
    <cellStyle name="백분율 6 3 5 3 2 4" xfId="28089"/>
    <cellStyle name="백분율 6 3 5 3 2 5" xfId="28090"/>
    <cellStyle name="백분율 6 3 5 3 3" xfId="28091"/>
    <cellStyle name="백분율 6 3 5 3 3 2" xfId="28092"/>
    <cellStyle name="백분율 6 3 5 3 3 2 2" xfId="28093"/>
    <cellStyle name="백분율 6 3 5 3 3 2 2 2" xfId="28094"/>
    <cellStyle name="백분율 6 3 5 3 3 2 2 3" xfId="28095"/>
    <cellStyle name="백분율 6 3 5 3 3 2 3" xfId="28096"/>
    <cellStyle name="백분율 6 3 5 3 3 2 4" xfId="28097"/>
    <cellStyle name="백분율 6 3 5 3 3 3" xfId="28098"/>
    <cellStyle name="백분율 6 3 5 3 3 3 2" xfId="28099"/>
    <cellStyle name="백분율 6 3 5 3 3 3 3" xfId="28100"/>
    <cellStyle name="백분율 6 3 5 3 3 4" xfId="28101"/>
    <cellStyle name="백분율 6 3 5 3 3 5" xfId="28102"/>
    <cellStyle name="백분율 6 3 5 3 4" xfId="28103"/>
    <cellStyle name="백분율 6 3 5 3 4 2" xfId="28104"/>
    <cellStyle name="백분율 6 3 5 3 4 2 2" xfId="28105"/>
    <cellStyle name="백분율 6 3 5 3 4 2 3" xfId="28106"/>
    <cellStyle name="백분율 6 3 5 3 4 3" xfId="28107"/>
    <cellStyle name="백분율 6 3 5 3 4 4" xfId="28108"/>
    <cellStyle name="백분율 6 3 5 3 5" xfId="28109"/>
    <cellStyle name="백분율 6 3 5 3 5 2" xfId="28110"/>
    <cellStyle name="백분율 6 3 5 3 5 3" xfId="28111"/>
    <cellStyle name="백분율 6 3 5 3 6" xfId="28112"/>
    <cellStyle name="백분율 6 3 5 3 7" xfId="28113"/>
    <cellStyle name="백분율 6 3 5 4" xfId="28114"/>
    <cellStyle name="백분율 6 3 5 4 2" xfId="28115"/>
    <cellStyle name="백분율 6 3 5 4 2 2" xfId="28116"/>
    <cellStyle name="백분율 6 3 5 4 2 2 2" xfId="28117"/>
    <cellStyle name="백분율 6 3 5 4 2 2 3" xfId="28118"/>
    <cellStyle name="백분율 6 3 5 4 2 3" xfId="28119"/>
    <cellStyle name="백분율 6 3 5 4 2 4" xfId="28120"/>
    <cellStyle name="백분율 6 3 5 4 3" xfId="28121"/>
    <cellStyle name="백분율 6 3 5 4 3 2" xfId="28122"/>
    <cellStyle name="백분율 6 3 5 4 3 3" xfId="28123"/>
    <cellStyle name="백분율 6 3 5 4 4" xfId="28124"/>
    <cellStyle name="백분율 6 3 5 4 5" xfId="28125"/>
    <cellStyle name="백분율 6 3 5 5" xfId="28126"/>
    <cellStyle name="백분율 6 3 5 5 2" xfId="28127"/>
    <cellStyle name="백분율 6 3 5 5 2 2" xfId="28128"/>
    <cellStyle name="백분율 6 3 5 5 2 2 2" xfId="28129"/>
    <cellStyle name="백분율 6 3 5 5 2 2 3" xfId="28130"/>
    <cellStyle name="백분율 6 3 5 5 2 3" xfId="28131"/>
    <cellStyle name="백분율 6 3 5 5 2 4" xfId="28132"/>
    <cellStyle name="백분율 6 3 5 5 3" xfId="28133"/>
    <cellStyle name="백분율 6 3 5 5 3 2" xfId="28134"/>
    <cellStyle name="백분율 6 3 5 5 3 3" xfId="28135"/>
    <cellStyle name="백분율 6 3 5 5 4" xfId="28136"/>
    <cellStyle name="백분율 6 3 5 5 5" xfId="28137"/>
    <cellStyle name="백분율 6 3 5 6" xfId="28138"/>
    <cellStyle name="백분율 6 3 5 6 2" xfId="28139"/>
    <cellStyle name="백분율 6 3 5 6 2 2" xfId="28140"/>
    <cellStyle name="백분율 6 3 5 6 2 2 2" xfId="28141"/>
    <cellStyle name="백분율 6 3 5 6 2 2 3" xfId="28142"/>
    <cellStyle name="백분율 6 3 5 6 2 3" xfId="28143"/>
    <cellStyle name="백분율 6 3 5 6 2 4" xfId="28144"/>
    <cellStyle name="백분율 6 3 5 6 3" xfId="28145"/>
    <cellStyle name="백분율 6 3 5 6 3 2" xfId="28146"/>
    <cellStyle name="백분율 6 3 5 6 3 3" xfId="28147"/>
    <cellStyle name="백분율 6 3 5 6 4" xfId="28148"/>
    <cellStyle name="백분율 6 3 5 6 5" xfId="28149"/>
    <cellStyle name="백분율 6 3 5 7" xfId="28150"/>
    <cellStyle name="백분율 6 3 5 7 2" xfId="28151"/>
    <cellStyle name="백분율 6 3 5 7 2 2" xfId="28152"/>
    <cellStyle name="백분율 6 3 5 7 2 3" xfId="28153"/>
    <cellStyle name="백분율 6 3 5 7 3" xfId="28154"/>
    <cellStyle name="백분율 6 3 5 7 4" xfId="28155"/>
    <cellStyle name="백분율 6 3 5 8" xfId="28156"/>
    <cellStyle name="백분율 6 3 5 8 2" xfId="28157"/>
    <cellStyle name="백분율 6 3 5 8 3" xfId="28158"/>
    <cellStyle name="백분율 6 3 5 9" xfId="28159"/>
    <cellStyle name="백분율 6 3 6" xfId="28160"/>
    <cellStyle name="백분율 6 3 6 2" xfId="28161"/>
    <cellStyle name="백분율 6 3 6 2 2" xfId="28162"/>
    <cellStyle name="백분율 6 3 6 2 2 2" xfId="28163"/>
    <cellStyle name="백분율 6 3 6 2 2 2 2" xfId="28164"/>
    <cellStyle name="백분율 6 3 6 2 2 2 3" xfId="28165"/>
    <cellStyle name="백분율 6 3 6 2 2 3" xfId="28166"/>
    <cellStyle name="백분율 6 3 6 2 2 4" xfId="28167"/>
    <cellStyle name="백분율 6 3 6 2 3" xfId="28168"/>
    <cellStyle name="백분율 6 3 6 2 3 2" xfId="28169"/>
    <cellStyle name="백분율 6 3 6 2 3 3" xfId="28170"/>
    <cellStyle name="백분율 6 3 6 2 4" xfId="28171"/>
    <cellStyle name="백분율 6 3 6 2 5" xfId="28172"/>
    <cellStyle name="백분율 6 3 6 3" xfId="28173"/>
    <cellStyle name="백분율 6 3 6 3 2" xfId="28174"/>
    <cellStyle name="백분율 6 3 6 3 2 2" xfId="28175"/>
    <cellStyle name="백분율 6 3 6 3 2 2 2" xfId="28176"/>
    <cellStyle name="백분율 6 3 6 3 2 2 3" xfId="28177"/>
    <cellStyle name="백분율 6 3 6 3 2 3" xfId="28178"/>
    <cellStyle name="백분율 6 3 6 3 2 4" xfId="28179"/>
    <cellStyle name="백분율 6 3 6 3 3" xfId="28180"/>
    <cellStyle name="백분율 6 3 6 3 3 2" xfId="28181"/>
    <cellStyle name="백분율 6 3 6 3 3 3" xfId="28182"/>
    <cellStyle name="백분율 6 3 6 3 4" xfId="28183"/>
    <cellStyle name="백분율 6 3 6 3 5" xfId="28184"/>
    <cellStyle name="백분율 6 3 6 4" xfId="28185"/>
    <cellStyle name="백분율 6 3 6 4 2" xfId="28186"/>
    <cellStyle name="백분율 6 3 6 4 2 2" xfId="28187"/>
    <cellStyle name="백분율 6 3 6 4 2 3" xfId="28188"/>
    <cellStyle name="백분율 6 3 6 4 3" xfId="28189"/>
    <cellStyle name="백분율 6 3 6 4 4" xfId="28190"/>
    <cellStyle name="백분율 6 3 6 5" xfId="28191"/>
    <cellStyle name="백분율 6 3 6 5 2" xfId="28192"/>
    <cellStyle name="백분율 6 3 6 5 3" xfId="28193"/>
    <cellStyle name="백분율 6 3 6 6" xfId="28194"/>
    <cellStyle name="백분율 6 3 6 7" xfId="28195"/>
    <cellStyle name="백분율 6 3 7" xfId="28196"/>
    <cellStyle name="백분율 6 3 7 2" xfId="28197"/>
    <cellStyle name="백분율 6 3 7 2 2" xfId="28198"/>
    <cellStyle name="백분율 6 3 7 2 2 2" xfId="28199"/>
    <cellStyle name="백분율 6 3 7 2 2 2 2" xfId="28200"/>
    <cellStyle name="백분율 6 3 7 2 2 2 3" xfId="28201"/>
    <cellStyle name="백분율 6 3 7 2 2 3" xfId="28202"/>
    <cellStyle name="백분율 6 3 7 2 2 4" xfId="28203"/>
    <cellStyle name="백분율 6 3 7 2 3" xfId="28204"/>
    <cellStyle name="백분율 6 3 7 2 3 2" xfId="28205"/>
    <cellStyle name="백분율 6 3 7 2 3 3" xfId="28206"/>
    <cellStyle name="백분율 6 3 7 2 4" xfId="28207"/>
    <cellStyle name="백분율 6 3 7 2 5" xfId="28208"/>
    <cellStyle name="백분율 6 3 7 3" xfId="28209"/>
    <cellStyle name="백분율 6 3 7 3 2" xfId="28210"/>
    <cellStyle name="백분율 6 3 7 3 2 2" xfId="28211"/>
    <cellStyle name="백분율 6 3 7 3 2 2 2" xfId="28212"/>
    <cellStyle name="백분율 6 3 7 3 2 2 3" xfId="28213"/>
    <cellStyle name="백분율 6 3 7 3 2 3" xfId="28214"/>
    <cellStyle name="백분율 6 3 7 3 2 4" xfId="28215"/>
    <cellStyle name="백분율 6 3 7 3 3" xfId="28216"/>
    <cellStyle name="백분율 6 3 7 3 3 2" xfId="28217"/>
    <cellStyle name="백분율 6 3 7 3 3 3" xfId="28218"/>
    <cellStyle name="백분율 6 3 7 3 4" xfId="28219"/>
    <cellStyle name="백분율 6 3 7 3 5" xfId="28220"/>
    <cellStyle name="백분율 6 3 7 4" xfId="28221"/>
    <cellStyle name="백분율 6 3 7 4 2" xfId="28222"/>
    <cellStyle name="백분율 6 3 7 4 2 2" xfId="28223"/>
    <cellStyle name="백분율 6 3 7 4 2 3" xfId="28224"/>
    <cellStyle name="백분율 6 3 7 4 3" xfId="28225"/>
    <cellStyle name="백분율 6 3 7 4 4" xfId="28226"/>
    <cellStyle name="백분율 6 3 7 5" xfId="28227"/>
    <cellStyle name="백분율 6 3 7 5 2" xfId="28228"/>
    <cellStyle name="백분율 6 3 7 5 3" xfId="28229"/>
    <cellStyle name="백분율 6 3 7 6" xfId="28230"/>
    <cellStyle name="백분율 6 3 7 7" xfId="28231"/>
    <cellStyle name="백분율 6 3 8" xfId="28232"/>
    <cellStyle name="백분율 6 3 8 2" xfId="28233"/>
    <cellStyle name="백분율 6 3 8 2 2" xfId="28234"/>
    <cellStyle name="백분율 6 3 8 2 2 2" xfId="28235"/>
    <cellStyle name="백분율 6 3 8 2 2 3" xfId="28236"/>
    <cellStyle name="백분율 6 3 8 2 3" xfId="28237"/>
    <cellStyle name="백분율 6 3 8 2 4" xfId="28238"/>
    <cellStyle name="백분율 6 3 8 3" xfId="28239"/>
    <cellStyle name="백분율 6 3 8 3 2" xfId="28240"/>
    <cellStyle name="백분율 6 3 8 3 3" xfId="28241"/>
    <cellStyle name="백분율 6 3 8 4" xfId="28242"/>
    <cellStyle name="백분율 6 3 8 5" xfId="28243"/>
    <cellStyle name="백분율 6 3 9" xfId="28244"/>
    <cellStyle name="백분율 6 3 9 2" xfId="28245"/>
    <cellStyle name="백분율 6 3 9 2 2" xfId="28246"/>
    <cellStyle name="백분율 6 3 9 2 2 2" xfId="28247"/>
    <cellStyle name="백분율 6 3 9 2 2 3" xfId="28248"/>
    <cellStyle name="백분율 6 3 9 2 3" xfId="28249"/>
    <cellStyle name="백분율 6 3 9 2 4" xfId="28250"/>
    <cellStyle name="백분율 6 3 9 3" xfId="28251"/>
    <cellStyle name="백분율 6 3 9 3 2" xfId="28252"/>
    <cellStyle name="백분율 6 3 9 3 3" xfId="28253"/>
    <cellStyle name="백분율 6 3 9 4" xfId="28254"/>
    <cellStyle name="백분율 6 3 9 5" xfId="28255"/>
    <cellStyle name="백분율 6 4" xfId="28256"/>
    <cellStyle name="백분율 6 4 10" xfId="28257"/>
    <cellStyle name="백분율 6 4 10 2" xfId="28258"/>
    <cellStyle name="백분율 6 4 10 2 2" xfId="28259"/>
    <cellStyle name="백분율 6 4 10 2 2 2" xfId="28260"/>
    <cellStyle name="백분율 6 4 10 2 2 3" xfId="28261"/>
    <cellStyle name="백분율 6 4 10 2 3" xfId="28262"/>
    <cellStyle name="백분율 6 4 10 2 4" xfId="28263"/>
    <cellStyle name="백분율 6 4 10 3" xfId="28264"/>
    <cellStyle name="백분율 6 4 10 3 2" xfId="28265"/>
    <cellStyle name="백분율 6 4 10 3 3" xfId="28266"/>
    <cellStyle name="백분율 6 4 10 4" xfId="28267"/>
    <cellStyle name="백분율 6 4 10 5" xfId="28268"/>
    <cellStyle name="백분율 6 4 11" xfId="28269"/>
    <cellStyle name="백분율 6 4 11 2" xfId="28270"/>
    <cellStyle name="백분율 6 4 11 2 2" xfId="28271"/>
    <cellStyle name="백분율 6 4 11 2 3" xfId="28272"/>
    <cellStyle name="백분율 6 4 11 3" xfId="28273"/>
    <cellStyle name="백분율 6 4 11 4" xfId="28274"/>
    <cellStyle name="백분율 6 4 12" xfId="28275"/>
    <cellStyle name="백분율 6 4 12 2" xfId="28276"/>
    <cellStyle name="백분율 6 4 12 3" xfId="28277"/>
    <cellStyle name="백분율 6 4 13" xfId="28278"/>
    <cellStyle name="백분율 6 4 14" xfId="28279"/>
    <cellStyle name="백분율 6 4 2" xfId="28280"/>
    <cellStyle name="백분율 6 4 2 10" xfId="28281"/>
    <cellStyle name="백분율 6 4 2 10 2" xfId="28282"/>
    <cellStyle name="백분율 6 4 2 10 2 2" xfId="28283"/>
    <cellStyle name="백분율 6 4 2 10 2 3" xfId="28284"/>
    <cellStyle name="백분율 6 4 2 10 3" xfId="28285"/>
    <cellStyle name="백분율 6 4 2 10 4" xfId="28286"/>
    <cellStyle name="백분율 6 4 2 11" xfId="28287"/>
    <cellStyle name="백분율 6 4 2 11 2" xfId="28288"/>
    <cellStyle name="백분율 6 4 2 11 3" xfId="28289"/>
    <cellStyle name="백분율 6 4 2 12" xfId="28290"/>
    <cellStyle name="백분율 6 4 2 13" xfId="28291"/>
    <cellStyle name="백분율 6 4 2 2" xfId="28292"/>
    <cellStyle name="백분율 6 4 2 2 10" xfId="28293"/>
    <cellStyle name="백분율 6 4 2 2 2" xfId="28294"/>
    <cellStyle name="백분율 6 4 2 2 2 2" xfId="28295"/>
    <cellStyle name="백분율 6 4 2 2 2 2 2" xfId="28296"/>
    <cellStyle name="백분율 6 4 2 2 2 2 2 2" xfId="28297"/>
    <cellStyle name="백분율 6 4 2 2 2 2 2 2 2" xfId="28298"/>
    <cellStyle name="백분율 6 4 2 2 2 2 2 2 3" xfId="28299"/>
    <cellStyle name="백분율 6 4 2 2 2 2 2 3" xfId="28300"/>
    <cellStyle name="백분율 6 4 2 2 2 2 2 4" xfId="28301"/>
    <cellStyle name="백분율 6 4 2 2 2 2 3" xfId="28302"/>
    <cellStyle name="백분율 6 4 2 2 2 2 3 2" xfId="28303"/>
    <cellStyle name="백분율 6 4 2 2 2 2 3 3" xfId="28304"/>
    <cellStyle name="백분율 6 4 2 2 2 2 4" xfId="28305"/>
    <cellStyle name="백분율 6 4 2 2 2 2 5" xfId="28306"/>
    <cellStyle name="백분율 6 4 2 2 2 3" xfId="28307"/>
    <cellStyle name="백분율 6 4 2 2 2 3 2" xfId="28308"/>
    <cellStyle name="백분율 6 4 2 2 2 3 2 2" xfId="28309"/>
    <cellStyle name="백분율 6 4 2 2 2 3 2 2 2" xfId="28310"/>
    <cellStyle name="백분율 6 4 2 2 2 3 2 2 3" xfId="28311"/>
    <cellStyle name="백분율 6 4 2 2 2 3 2 3" xfId="28312"/>
    <cellStyle name="백분율 6 4 2 2 2 3 2 4" xfId="28313"/>
    <cellStyle name="백분율 6 4 2 2 2 3 3" xfId="28314"/>
    <cellStyle name="백분율 6 4 2 2 2 3 3 2" xfId="28315"/>
    <cellStyle name="백분율 6 4 2 2 2 3 3 3" xfId="28316"/>
    <cellStyle name="백분율 6 4 2 2 2 3 4" xfId="28317"/>
    <cellStyle name="백분율 6 4 2 2 2 3 5" xfId="28318"/>
    <cellStyle name="백분율 6 4 2 2 2 4" xfId="28319"/>
    <cellStyle name="백분율 6 4 2 2 2 4 2" xfId="28320"/>
    <cellStyle name="백분율 6 4 2 2 2 4 2 2" xfId="28321"/>
    <cellStyle name="백분율 6 4 2 2 2 4 2 3" xfId="28322"/>
    <cellStyle name="백분율 6 4 2 2 2 4 3" xfId="28323"/>
    <cellStyle name="백분율 6 4 2 2 2 4 4" xfId="28324"/>
    <cellStyle name="백분율 6 4 2 2 2 5" xfId="28325"/>
    <cellStyle name="백분율 6 4 2 2 2 5 2" xfId="28326"/>
    <cellStyle name="백분율 6 4 2 2 2 5 3" xfId="28327"/>
    <cellStyle name="백분율 6 4 2 2 2 6" xfId="28328"/>
    <cellStyle name="백분율 6 4 2 2 2 7" xfId="28329"/>
    <cellStyle name="백분율 6 4 2 2 3" xfId="28330"/>
    <cellStyle name="백분율 6 4 2 2 3 2" xfId="28331"/>
    <cellStyle name="백분율 6 4 2 2 3 2 2" xfId="28332"/>
    <cellStyle name="백분율 6 4 2 2 3 2 2 2" xfId="28333"/>
    <cellStyle name="백분율 6 4 2 2 3 2 2 2 2" xfId="28334"/>
    <cellStyle name="백분율 6 4 2 2 3 2 2 2 3" xfId="28335"/>
    <cellStyle name="백분율 6 4 2 2 3 2 2 3" xfId="28336"/>
    <cellStyle name="백분율 6 4 2 2 3 2 2 4" xfId="28337"/>
    <cellStyle name="백분율 6 4 2 2 3 2 3" xfId="28338"/>
    <cellStyle name="백분율 6 4 2 2 3 2 3 2" xfId="28339"/>
    <cellStyle name="백분율 6 4 2 2 3 2 3 3" xfId="28340"/>
    <cellStyle name="백분율 6 4 2 2 3 2 4" xfId="28341"/>
    <cellStyle name="백분율 6 4 2 2 3 2 5" xfId="28342"/>
    <cellStyle name="백분율 6 4 2 2 3 3" xfId="28343"/>
    <cellStyle name="백분율 6 4 2 2 3 3 2" xfId="28344"/>
    <cellStyle name="백분율 6 4 2 2 3 3 2 2" xfId="28345"/>
    <cellStyle name="백분율 6 4 2 2 3 3 2 2 2" xfId="28346"/>
    <cellStyle name="백분율 6 4 2 2 3 3 2 2 3" xfId="28347"/>
    <cellStyle name="백분율 6 4 2 2 3 3 2 3" xfId="28348"/>
    <cellStyle name="백분율 6 4 2 2 3 3 2 4" xfId="28349"/>
    <cellStyle name="백분율 6 4 2 2 3 3 3" xfId="28350"/>
    <cellStyle name="백분율 6 4 2 2 3 3 3 2" xfId="28351"/>
    <cellStyle name="백분율 6 4 2 2 3 3 3 3" xfId="28352"/>
    <cellStyle name="백분율 6 4 2 2 3 3 4" xfId="28353"/>
    <cellStyle name="백분율 6 4 2 2 3 3 5" xfId="28354"/>
    <cellStyle name="백분율 6 4 2 2 3 4" xfId="28355"/>
    <cellStyle name="백분율 6 4 2 2 3 4 2" xfId="28356"/>
    <cellStyle name="백분율 6 4 2 2 3 4 2 2" xfId="28357"/>
    <cellStyle name="백분율 6 4 2 2 3 4 2 3" xfId="28358"/>
    <cellStyle name="백분율 6 4 2 2 3 4 3" xfId="28359"/>
    <cellStyle name="백분율 6 4 2 2 3 4 4" xfId="28360"/>
    <cellStyle name="백분율 6 4 2 2 3 5" xfId="28361"/>
    <cellStyle name="백분율 6 4 2 2 3 5 2" xfId="28362"/>
    <cellStyle name="백분율 6 4 2 2 3 5 3" xfId="28363"/>
    <cellStyle name="백분율 6 4 2 2 3 6" xfId="28364"/>
    <cellStyle name="백분율 6 4 2 2 3 7" xfId="28365"/>
    <cellStyle name="백분율 6 4 2 2 4" xfId="28366"/>
    <cellStyle name="백분율 6 4 2 2 4 2" xfId="28367"/>
    <cellStyle name="백분율 6 4 2 2 4 2 2" xfId="28368"/>
    <cellStyle name="백분율 6 4 2 2 4 2 2 2" xfId="28369"/>
    <cellStyle name="백분율 6 4 2 2 4 2 2 3" xfId="28370"/>
    <cellStyle name="백분율 6 4 2 2 4 2 3" xfId="28371"/>
    <cellStyle name="백분율 6 4 2 2 4 2 4" xfId="28372"/>
    <cellStyle name="백분율 6 4 2 2 4 3" xfId="28373"/>
    <cellStyle name="백분율 6 4 2 2 4 3 2" xfId="28374"/>
    <cellStyle name="백분율 6 4 2 2 4 3 3" xfId="28375"/>
    <cellStyle name="백분율 6 4 2 2 4 4" xfId="28376"/>
    <cellStyle name="백분율 6 4 2 2 4 5" xfId="28377"/>
    <cellStyle name="백분율 6 4 2 2 5" xfId="28378"/>
    <cellStyle name="백분율 6 4 2 2 5 2" xfId="28379"/>
    <cellStyle name="백분율 6 4 2 2 5 2 2" xfId="28380"/>
    <cellStyle name="백분율 6 4 2 2 5 2 2 2" xfId="28381"/>
    <cellStyle name="백분율 6 4 2 2 5 2 2 3" xfId="28382"/>
    <cellStyle name="백분율 6 4 2 2 5 2 3" xfId="28383"/>
    <cellStyle name="백분율 6 4 2 2 5 2 4" xfId="28384"/>
    <cellStyle name="백분율 6 4 2 2 5 3" xfId="28385"/>
    <cellStyle name="백분율 6 4 2 2 5 3 2" xfId="28386"/>
    <cellStyle name="백분율 6 4 2 2 5 3 3" xfId="28387"/>
    <cellStyle name="백분율 6 4 2 2 5 4" xfId="28388"/>
    <cellStyle name="백분율 6 4 2 2 5 5" xfId="28389"/>
    <cellStyle name="백분율 6 4 2 2 6" xfId="28390"/>
    <cellStyle name="백분율 6 4 2 2 6 2" xfId="28391"/>
    <cellStyle name="백분율 6 4 2 2 6 2 2" xfId="28392"/>
    <cellStyle name="백분율 6 4 2 2 6 2 2 2" xfId="28393"/>
    <cellStyle name="백분율 6 4 2 2 6 2 2 3" xfId="28394"/>
    <cellStyle name="백분율 6 4 2 2 6 2 3" xfId="28395"/>
    <cellStyle name="백분율 6 4 2 2 6 2 4" xfId="28396"/>
    <cellStyle name="백분율 6 4 2 2 6 3" xfId="28397"/>
    <cellStyle name="백분율 6 4 2 2 6 3 2" xfId="28398"/>
    <cellStyle name="백분율 6 4 2 2 6 3 3" xfId="28399"/>
    <cellStyle name="백분율 6 4 2 2 6 4" xfId="28400"/>
    <cellStyle name="백분율 6 4 2 2 6 5" xfId="28401"/>
    <cellStyle name="백분율 6 4 2 2 7" xfId="28402"/>
    <cellStyle name="백분율 6 4 2 2 7 2" xfId="28403"/>
    <cellStyle name="백분율 6 4 2 2 7 2 2" xfId="28404"/>
    <cellStyle name="백분율 6 4 2 2 7 2 3" xfId="28405"/>
    <cellStyle name="백분율 6 4 2 2 7 3" xfId="28406"/>
    <cellStyle name="백분율 6 4 2 2 7 4" xfId="28407"/>
    <cellStyle name="백분율 6 4 2 2 8" xfId="28408"/>
    <cellStyle name="백분율 6 4 2 2 8 2" xfId="28409"/>
    <cellStyle name="백분율 6 4 2 2 8 3" xfId="28410"/>
    <cellStyle name="백분율 6 4 2 2 9" xfId="28411"/>
    <cellStyle name="백분율 6 4 2 3" xfId="28412"/>
    <cellStyle name="백분율 6 4 2 3 10" xfId="28413"/>
    <cellStyle name="백분율 6 4 2 3 2" xfId="28414"/>
    <cellStyle name="백분율 6 4 2 3 2 2" xfId="28415"/>
    <cellStyle name="백분율 6 4 2 3 2 2 2" xfId="28416"/>
    <cellStyle name="백분율 6 4 2 3 2 2 2 2" xfId="28417"/>
    <cellStyle name="백분율 6 4 2 3 2 2 2 2 2" xfId="28418"/>
    <cellStyle name="백분율 6 4 2 3 2 2 2 2 3" xfId="28419"/>
    <cellStyle name="백분율 6 4 2 3 2 2 2 3" xfId="28420"/>
    <cellStyle name="백분율 6 4 2 3 2 2 2 4" xfId="28421"/>
    <cellStyle name="백분율 6 4 2 3 2 2 3" xfId="28422"/>
    <cellStyle name="백분율 6 4 2 3 2 2 3 2" xfId="28423"/>
    <cellStyle name="백분율 6 4 2 3 2 2 3 3" xfId="28424"/>
    <cellStyle name="백분율 6 4 2 3 2 2 4" xfId="28425"/>
    <cellStyle name="백분율 6 4 2 3 2 2 5" xfId="28426"/>
    <cellStyle name="백분율 6 4 2 3 2 3" xfId="28427"/>
    <cellStyle name="백분율 6 4 2 3 2 3 2" xfId="28428"/>
    <cellStyle name="백분율 6 4 2 3 2 3 2 2" xfId="28429"/>
    <cellStyle name="백분율 6 4 2 3 2 3 2 2 2" xfId="28430"/>
    <cellStyle name="백분율 6 4 2 3 2 3 2 2 3" xfId="28431"/>
    <cellStyle name="백분율 6 4 2 3 2 3 2 3" xfId="28432"/>
    <cellStyle name="백분율 6 4 2 3 2 3 2 4" xfId="28433"/>
    <cellStyle name="백분율 6 4 2 3 2 3 3" xfId="28434"/>
    <cellStyle name="백분율 6 4 2 3 2 3 3 2" xfId="28435"/>
    <cellStyle name="백분율 6 4 2 3 2 3 3 3" xfId="28436"/>
    <cellStyle name="백분율 6 4 2 3 2 3 4" xfId="28437"/>
    <cellStyle name="백분율 6 4 2 3 2 3 5" xfId="28438"/>
    <cellStyle name="백분율 6 4 2 3 2 4" xfId="28439"/>
    <cellStyle name="백분율 6 4 2 3 2 4 2" xfId="28440"/>
    <cellStyle name="백분율 6 4 2 3 2 4 2 2" xfId="28441"/>
    <cellStyle name="백분율 6 4 2 3 2 4 2 3" xfId="28442"/>
    <cellStyle name="백분율 6 4 2 3 2 4 3" xfId="28443"/>
    <cellStyle name="백분율 6 4 2 3 2 4 4" xfId="28444"/>
    <cellStyle name="백분율 6 4 2 3 2 5" xfId="28445"/>
    <cellStyle name="백분율 6 4 2 3 2 5 2" xfId="28446"/>
    <cellStyle name="백분율 6 4 2 3 2 5 3" xfId="28447"/>
    <cellStyle name="백분율 6 4 2 3 2 6" xfId="28448"/>
    <cellStyle name="백분율 6 4 2 3 2 7" xfId="28449"/>
    <cellStyle name="백분율 6 4 2 3 3" xfId="28450"/>
    <cellStyle name="백분율 6 4 2 3 3 2" xfId="28451"/>
    <cellStyle name="백분율 6 4 2 3 3 2 2" xfId="28452"/>
    <cellStyle name="백분율 6 4 2 3 3 2 2 2" xfId="28453"/>
    <cellStyle name="백분율 6 4 2 3 3 2 2 2 2" xfId="28454"/>
    <cellStyle name="백분율 6 4 2 3 3 2 2 2 3" xfId="28455"/>
    <cellStyle name="백분율 6 4 2 3 3 2 2 3" xfId="28456"/>
    <cellStyle name="백분율 6 4 2 3 3 2 2 4" xfId="28457"/>
    <cellStyle name="백분율 6 4 2 3 3 2 3" xfId="28458"/>
    <cellStyle name="백분율 6 4 2 3 3 2 3 2" xfId="28459"/>
    <cellStyle name="백분율 6 4 2 3 3 2 3 3" xfId="28460"/>
    <cellStyle name="백분율 6 4 2 3 3 2 4" xfId="28461"/>
    <cellStyle name="백분율 6 4 2 3 3 2 5" xfId="28462"/>
    <cellStyle name="백분율 6 4 2 3 3 3" xfId="28463"/>
    <cellStyle name="백분율 6 4 2 3 3 3 2" xfId="28464"/>
    <cellStyle name="백분율 6 4 2 3 3 3 2 2" xfId="28465"/>
    <cellStyle name="백분율 6 4 2 3 3 3 2 2 2" xfId="28466"/>
    <cellStyle name="백분율 6 4 2 3 3 3 2 2 3" xfId="28467"/>
    <cellStyle name="백분율 6 4 2 3 3 3 2 3" xfId="28468"/>
    <cellStyle name="백분율 6 4 2 3 3 3 2 4" xfId="28469"/>
    <cellStyle name="백분율 6 4 2 3 3 3 3" xfId="28470"/>
    <cellStyle name="백분율 6 4 2 3 3 3 3 2" xfId="28471"/>
    <cellStyle name="백분율 6 4 2 3 3 3 3 3" xfId="28472"/>
    <cellStyle name="백분율 6 4 2 3 3 3 4" xfId="28473"/>
    <cellStyle name="백분율 6 4 2 3 3 3 5" xfId="28474"/>
    <cellStyle name="백분율 6 4 2 3 3 4" xfId="28475"/>
    <cellStyle name="백분율 6 4 2 3 3 4 2" xfId="28476"/>
    <cellStyle name="백분율 6 4 2 3 3 4 2 2" xfId="28477"/>
    <cellStyle name="백분율 6 4 2 3 3 4 2 3" xfId="28478"/>
    <cellStyle name="백분율 6 4 2 3 3 4 3" xfId="28479"/>
    <cellStyle name="백분율 6 4 2 3 3 4 4" xfId="28480"/>
    <cellStyle name="백분율 6 4 2 3 3 5" xfId="28481"/>
    <cellStyle name="백분율 6 4 2 3 3 5 2" xfId="28482"/>
    <cellStyle name="백분율 6 4 2 3 3 5 3" xfId="28483"/>
    <cellStyle name="백분율 6 4 2 3 3 6" xfId="28484"/>
    <cellStyle name="백분율 6 4 2 3 3 7" xfId="28485"/>
    <cellStyle name="백분율 6 4 2 3 4" xfId="28486"/>
    <cellStyle name="백분율 6 4 2 3 4 2" xfId="28487"/>
    <cellStyle name="백분율 6 4 2 3 4 2 2" xfId="28488"/>
    <cellStyle name="백분율 6 4 2 3 4 2 2 2" xfId="28489"/>
    <cellStyle name="백분율 6 4 2 3 4 2 2 3" xfId="28490"/>
    <cellStyle name="백분율 6 4 2 3 4 2 3" xfId="28491"/>
    <cellStyle name="백분율 6 4 2 3 4 2 4" xfId="28492"/>
    <cellStyle name="백분율 6 4 2 3 4 3" xfId="28493"/>
    <cellStyle name="백분율 6 4 2 3 4 3 2" xfId="28494"/>
    <cellStyle name="백분율 6 4 2 3 4 3 3" xfId="28495"/>
    <cellStyle name="백분율 6 4 2 3 4 4" xfId="28496"/>
    <cellStyle name="백분율 6 4 2 3 4 5" xfId="28497"/>
    <cellStyle name="백분율 6 4 2 3 5" xfId="28498"/>
    <cellStyle name="백분율 6 4 2 3 5 2" xfId="28499"/>
    <cellStyle name="백분율 6 4 2 3 5 2 2" xfId="28500"/>
    <cellStyle name="백분율 6 4 2 3 5 2 2 2" xfId="28501"/>
    <cellStyle name="백분율 6 4 2 3 5 2 2 3" xfId="28502"/>
    <cellStyle name="백분율 6 4 2 3 5 2 3" xfId="28503"/>
    <cellStyle name="백분율 6 4 2 3 5 2 4" xfId="28504"/>
    <cellStyle name="백분율 6 4 2 3 5 3" xfId="28505"/>
    <cellStyle name="백분율 6 4 2 3 5 3 2" xfId="28506"/>
    <cellStyle name="백분율 6 4 2 3 5 3 3" xfId="28507"/>
    <cellStyle name="백분율 6 4 2 3 5 4" xfId="28508"/>
    <cellStyle name="백분율 6 4 2 3 5 5" xfId="28509"/>
    <cellStyle name="백분율 6 4 2 3 6" xfId="28510"/>
    <cellStyle name="백분율 6 4 2 3 6 2" xfId="28511"/>
    <cellStyle name="백분율 6 4 2 3 6 2 2" xfId="28512"/>
    <cellStyle name="백분율 6 4 2 3 6 2 2 2" xfId="28513"/>
    <cellStyle name="백분율 6 4 2 3 6 2 2 3" xfId="28514"/>
    <cellStyle name="백분율 6 4 2 3 6 2 3" xfId="28515"/>
    <cellStyle name="백분율 6 4 2 3 6 2 4" xfId="28516"/>
    <cellStyle name="백분율 6 4 2 3 6 3" xfId="28517"/>
    <cellStyle name="백분율 6 4 2 3 6 3 2" xfId="28518"/>
    <cellStyle name="백분율 6 4 2 3 6 3 3" xfId="28519"/>
    <cellStyle name="백분율 6 4 2 3 6 4" xfId="28520"/>
    <cellStyle name="백분율 6 4 2 3 6 5" xfId="28521"/>
    <cellStyle name="백분율 6 4 2 3 7" xfId="28522"/>
    <cellStyle name="백분율 6 4 2 3 7 2" xfId="28523"/>
    <cellStyle name="백분율 6 4 2 3 7 2 2" xfId="28524"/>
    <cellStyle name="백분율 6 4 2 3 7 2 3" xfId="28525"/>
    <cellStyle name="백분율 6 4 2 3 7 3" xfId="28526"/>
    <cellStyle name="백분율 6 4 2 3 7 4" xfId="28527"/>
    <cellStyle name="백분율 6 4 2 3 8" xfId="28528"/>
    <cellStyle name="백분율 6 4 2 3 8 2" xfId="28529"/>
    <cellStyle name="백분율 6 4 2 3 8 3" xfId="28530"/>
    <cellStyle name="백분율 6 4 2 3 9" xfId="28531"/>
    <cellStyle name="백분율 6 4 2 4" xfId="28532"/>
    <cellStyle name="백분율 6 4 2 4 10" xfId="28533"/>
    <cellStyle name="백분율 6 4 2 4 2" xfId="28534"/>
    <cellStyle name="백분율 6 4 2 4 2 2" xfId="28535"/>
    <cellStyle name="백분율 6 4 2 4 2 2 2" xfId="28536"/>
    <cellStyle name="백분율 6 4 2 4 2 2 2 2" xfId="28537"/>
    <cellStyle name="백분율 6 4 2 4 2 2 2 2 2" xfId="28538"/>
    <cellStyle name="백분율 6 4 2 4 2 2 2 2 3" xfId="28539"/>
    <cellStyle name="백분율 6 4 2 4 2 2 2 3" xfId="28540"/>
    <cellStyle name="백분율 6 4 2 4 2 2 2 4" xfId="28541"/>
    <cellStyle name="백분율 6 4 2 4 2 2 3" xfId="28542"/>
    <cellStyle name="백분율 6 4 2 4 2 2 3 2" xfId="28543"/>
    <cellStyle name="백분율 6 4 2 4 2 2 3 3" xfId="28544"/>
    <cellStyle name="백분율 6 4 2 4 2 2 4" xfId="28545"/>
    <cellStyle name="백분율 6 4 2 4 2 2 5" xfId="28546"/>
    <cellStyle name="백분율 6 4 2 4 2 3" xfId="28547"/>
    <cellStyle name="백분율 6 4 2 4 2 3 2" xfId="28548"/>
    <cellStyle name="백분율 6 4 2 4 2 3 2 2" xfId="28549"/>
    <cellStyle name="백분율 6 4 2 4 2 3 2 2 2" xfId="28550"/>
    <cellStyle name="백분율 6 4 2 4 2 3 2 2 3" xfId="28551"/>
    <cellStyle name="백분율 6 4 2 4 2 3 2 3" xfId="28552"/>
    <cellStyle name="백분율 6 4 2 4 2 3 2 4" xfId="28553"/>
    <cellStyle name="백분율 6 4 2 4 2 3 3" xfId="28554"/>
    <cellStyle name="백분율 6 4 2 4 2 3 3 2" xfId="28555"/>
    <cellStyle name="백분율 6 4 2 4 2 3 3 3" xfId="28556"/>
    <cellStyle name="백분율 6 4 2 4 2 3 4" xfId="28557"/>
    <cellStyle name="백분율 6 4 2 4 2 3 5" xfId="28558"/>
    <cellStyle name="백분율 6 4 2 4 2 4" xfId="28559"/>
    <cellStyle name="백분율 6 4 2 4 2 4 2" xfId="28560"/>
    <cellStyle name="백분율 6 4 2 4 2 4 2 2" xfId="28561"/>
    <cellStyle name="백분율 6 4 2 4 2 4 2 3" xfId="28562"/>
    <cellStyle name="백분율 6 4 2 4 2 4 3" xfId="28563"/>
    <cellStyle name="백분율 6 4 2 4 2 4 4" xfId="28564"/>
    <cellStyle name="백분율 6 4 2 4 2 5" xfId="28565"/>
    <cellStyle name="백분율 6 4 2 4 2 5 2" xfId="28566"/>
    <cellStyle name="백분율 6 4 2 4 2 5 3" xfId="28567"/>
    <cellStyle name="백분율 6 4 2 4 2 6" xfId="28568"/>
    <cellStyle name="백분율 6 4 2 4 2 7" xfId="28569"/>
    <cellStyle name="백분율 6 4 2 4 3" xfId="28570"/>
    <cellStyle name="백분율 6 4 2 4 3 2" xfId="28571"/>
    <cellStyle name="백분율 6 4 2 4 3 2 2" xfId="28572"/>
    <cellStyle name="백분율 6 4 2 4 3 2 2 2" xfId="28573"/>
    <cellStyle name="백분율 6 4 2 4 3 2 2 2 2" xfId="28574"/>
    <cellStyle name="백분율 6 4 2 4 3 2 2 2 3" xfId="28575"/>
    <cellStyle name="백분율 6 4 2 4 3 2 2 3" xfId="28576"/>
    <cellStyle name="백분율 6 4 2 4 3 2 2 4" xfId="28577"/>
    <cellStyle name="백분율 6 4 2 4 3 2 3" xfId="28578"/>
    <cellStyle name="백분율 6 4 2 4 3 2 3 2" xfId="28579"/>
    <cellStyle name="백분율 6 4 2 4 3 2 3 3" xfId="28580"/>
    <cellStyle name="백분율 6 4 2 4 3 2 4" xfId="28581"/>
    <cellStyle name="백분율 6 4 2 4 3 2 5" xfId="28582"/>
    <cellStyle name="백분율 6 4 2 4 3 3" xfId="28583"/>
    <cellStyle name="백분율 6 4 2 4 3 3 2" xfId="28584"/>
    <cellStyle name="백분율 6 4 2 4 3 3 2 2" xfId="28585"/>
    <cellStyle name="백분율 6 4 2 4 3 3 2 2 2" xfId="28586"/>
    <cellStyle name="백분율 6 4 2 4 3 3 2 2 3" xfId="28587"/>
    <cellStyle name="백분율 6 4 2 4 3 3 2 3" xfId="28588"/>
    <cellStyle name="백분율 6 4 2 4 3 3 2 4" xfId="28589"/>
    <cellStyle name="백분율 6 4 2 4 3 3 3" xfId="28590"/>
    <cellStyle name="백분율 6 4 2 4 3 3 3 2" xfId="28591"/>
    <cellStyle name="백분율 6 4 2 4 3 3 3 3" xfId="28592"/>
    <cellStyle name="백분율 6 4 2 4 3 3 4" xfId="28593"/>
    <cellStyle name="백분율 6 4 2 4 3 3 5" xfId="28594"/>
    <cellStyle name="백분율 6 4 2 4 3 4" xfId="28595"/>
    <cellStyle name="백분율 6 4 2 4 3 4 2" xfId="28596"/>
    <cellStyle name="백분율 6 4 2 4 3 4 2 2" xfId="28597"/>
    <cellStyle name="백분율 6 4 2 4 3 4 2 3" xfId="28598"/>
    <cellStyle name="백분율 6 4 2 4 3 4 3" xfId="28599"/>
    <cellStyle name="백분율 6 4 2 4 3 4 4" xfId="28600"/>
    <cellStyle name="백분율 6 4 2 4 3 5" xfId="28601"/>
    <cellStyle name="백분율 6 4 2 4 3 5 2" xfId="28602"/>
    <cellStyle name="백분율 6 4 2 4 3 5 3" xfId="28603"/>
    <cellStyle name="백분율 6 4 2 4 3 6" xfId="28604"/>
    <cellStyle name="백분율 6 4 2 4 3 7" xfId="28605"/>
    <cellStyle name="백분율 6 4 2 4 4" xfId="28606"/>
    <cellStyle name="백분율 6 4 2 4 4 2" xfId="28607"/>
    <cellStyle name="백분율 6 4 2 4 4 2 2" xfId="28608"/>
    <cellStyle name="백분율 6 4 2 4 4 2 2 2" xfId="28609"/>
    <cellStyle name="백분율 6 4 2 4 4 2 2 3" xfId="28610"/>
    <cellStyle name="백분율 6 4 2 4 4 2 3" xfId="28611"/>
    <cellStyle name="백분율 6 4 2 4 4 2 4" xfId="28612"/>
    <cellStyle name="백분율 6 4 2 4 4 3" xfId="28613"/>
    <cellStyle name="백분율 6 4 2 4 4 3 2" xfId="28614"/>
    <cellStyle name="백분율 6 4 2 4 4 3 3" xfId="28615"/>
    <cellStyle name="백분율 6 4 2 4 4 4" xfId="28616"/>
    <cellStyle name="백분율 6 4 2 4 4 5" xfId="28617"/>
    <cellStyle name="백분율 6 4 2 4 5" xfId="28618"/>
    <cellStyle name="백분율 6 4 2 4 5 2" xfId="28619"/>
    <cellStyle name="백분율 6 4 2 4 5 2 2" xfId="28620"/>
    <cellStyle name="백분율 6 4 2 4 5 2 2 2" xfId="28621"/>
    <cellStyle name="백분율 6 4 2 4 5 2 2 3" xfId="28622"/>
    <cellStyle name="백분율 6 4 2 4 5 2 3" xfId="28623"/>
    <cellStyle name="백분율 6 4 2 4 5 2 4" xfId="28624"/>
    <cellStyle name="백분율 6 4 2 4 5 3" xfId="28625"/>
    <cellStyle name="백분율 6 4 2 4 5 3 2" xfId="28626"/>
    <cellStyle name="백분율 6 4 2 4 5 3 3" xfId="28627"/>
    <cellStyle name="백분율 6 4 2 4 5 4" xfId="28628"/>
    <cellStyle name="백분율 6 4 2 4 5 5" xfId="28629"/>
    <cellStyle name="백분율 6 4 2 4 6" xfId="28630"/>
    <cellStyle name="백분율 6 4 2 4 6 2" xfId="28631"/>
    <cellStyle name="백분율 6 4 2 4 6 2 2" xfId="28632"/>
    <cellStyle name="백분율 6 4 2 4 6 2 2 2" xfId="28633"/>
    <cellStyle name="백분율 6 4 2 4 6 2 2 3" xfId="28634"/>
    <cellStyle name="백분율 6 4 2 4 6 2 3" xfId="28635"/>
    <cellStyle name="백분율 6 4 2 4 6 2 4" xfId="28636"/>
    <cellStyle name="백분율 6 4 2 4 6 3" xfId="28637"/>
    <cellStyle name="백분율 6 4 2 4 6 3 2" xfId="28638"/>
    <cellStyle name="백분율 6 4 2 4 6 3 3" xfId="28639"/>
    <cellStyle name="백분율 6 4 2 4 6 4" xfId="28640"/>
    <cellStyle name="백분율 6 4 2 4 6 5" xfId="28641"/>
    <cellStyle name="백분율 6 4 2 4 7" xfId="28642"/>
    <cellStyle name="백분율 6 4 2 4 7 2" xfId="28643"/>
    <cellStyle name="백분율 6 4 2 4 7 2 2" xfId="28644"/>
    <cellStyle name="백분율 6 4 2 4 7 2 3" xfId="28645"/>
    <cellStyle name="백분율 6 4 2 4 7 3" xfId="28646"/>
    <cellStyle name="백분율 6 4 2 4 7 4" xfId="28647"/>
    <cellStyle name="백분율 6 4 2 4 8" xfId="28648"/>
    <cellStyle name="백분율 6 4 2 4 8 2" xfId="28649"/>
    <cellStyle name="백분율 6 4 2 4 8 3" xfId="28650"/>
    <cellStyle name="백분율 6 4 2 4 9" xfId="28651"/>
    <cellStyle name="백분율 6 4 2 5" xfId="28652"/>
    <cellStyle name="백분율 6 4 2 5 2" xfId="28653"/>
    <cellStyle name="백분율 6 4 2 5 2 2" xfId="28654"/>
    <cellStyle name="백분율 6 4 2 5 2 2 2" xfId="28655"/>
    <cellStyle name="백분율 6 4 2 5 2 2 2 2" xfId="28656"/>
    <cellStyle name="백분율 6 4 2 5 2 2 2 3" xfId="28657"/>
    <cellStyle name="백분율 6 4 2 5 2 2 3" xfId="28658"/>
    <cellStyle name="백분율 6 4 2 5 2 2 4" xfId="28659"/>
    <cellStyle name="백분율 6 4 2 5 2 3" xfId="28660"/>
    <cellStyle name="백분율 6 4 2 5 2 3 2" xfId="28661"/>
    <cellStyle name="백분율 6 4 2 5 2 3 3" xfId="28662"/>
    <cellStyle name="백분율 6 4 2 5 2 4" xfId="28663"/>
    <cellStyle name="백분율 6 4 2 5 2 5" xfId="28664"/>
    <cellStyle name="백분율 6 4 2 5 3" xfId="28665"/>
    <cellStyle name="백분율 6 4 2 5 3 2" xfId="28666"/>
    <cellStyle name="백분율 6 4 2 5 3 2 2" xfId="28667"/>
    <cellStyle name="백분율 6 4 2 5 3 2 2 2" xfId="28668"/>
    <cellStyle name="백분율 6 4 2 5 3 2 2 3" xfId="28669"/>
    <cellStyle name="백분율 6 4 2 5 3 2 3" xfId="28670"/>
    <cellStyle name="백분율 6 4 2 5 3 2 4" xfId="28671"/>
    <cellStyle name="백분율 6 4 2 5 3 3" xfId="28672"/>
    <cellStyle name="백분율 6 4 2 5 3 3 2" xfId="28673"/>
    <cellStyle name="백분율 6 4 2 5 3 3 3" xfId="28674"/>
    <cellStyle name="백분율 6 4 2 5 3 4" xfId="28675"/>
    <cellStyle name="백분율 6 4 2 5 3 5" xfId="28676"/>
    <cellStyle name="백분율 6 4 2 5 4" xfId="28677"/>
    <cellStyle name="백분율 6 4 2 5 4 2" xfId="28678"/>
    <cellStyle name="백분율 6 4 2 5 4 2 2" xfId="28679"/>
    <cellStyle name="백분율 6 4 2 5 4 2 3" xfId="28680"/>
    <cellStyle name="백분율 6 4 2 5 4 3" xfId="28681"/>
    <cellStyle name="백분율 6 4 2 5 4 4" xfId="28682"/>
    <cellStyle name="백분율 6 4 2 5 5" xfId="28683"/>
    <cellStyle name="백분율 6 4 2 5 5 2" xfId="28684"/>
    <cellStyle name="백분율 6 4 2 5 5 3" xfId="28685"/>
    <cellStyle name="백분율 6 4 2 5 6" xfId="28686"/>
    <cellStyle name="백분율 6 4 2 5 7" xfId="28687"/>
    <cellStyle name="백분율 6 4 2 6" xfId="28688"/>
    <cellStyle name="백분율 6 4 2 6 2" xfId="28689"/>
    <cellStyle name="백분율 6 4 2 6 2 2" xfId="28690"/>
    <cellStyle name="백분율 6 4 2 6 2 2 2" xfId="28691"/>
    <cellStyle name="백분율 6 4 2 6 2 2 2 2" xfId="28692"/>
    <cellStyle name="백분율 6 4 2 6 2 2 2 3" xfId="28693"/>
    <cellStyle name="백분율 6 4 2 6 2 2 3" xfId="28694"/>
    <cellStyle name="백분율 6 4 2 6 2 2 4" xfId="28695"/>
    <cellStyle name="백분율 6 4 2 6 2 3" xfId="28696"/>
    <cellStyle name="백분율 6 4 2 6 2 3 2" xfId="28697"/>
    <cellStyle name="백분율 6 4 2 6 2 3 3" xfId="28698"/>
    <cellStyle name="백분율 6 4 2 6 2 4" xfId="28699"/>
    <cellStyle name="백분율 6 4 2 6 2 5" xfId="28700"/>
    <cellStyle name="백분율 6 4 2 6 3" xfId="28701"/>
    <cellStyle name="백분율 6 4 2 6 3 2" xfId="28702"/>
    <cellStyle name="백분율 6 4 2 6 3 2 2" xfId="28703"/>
    <cellStyle name="백분율 6 4 2 6 3 2 2 2" xfId="28704"/>
    <cellStyle name="백분율 6 4 2 6 3 2 2 3" xfId="28705"/>
    <cellStyle name="백분율 6 4 2 6 3 2 3" xfId="28706"/>
    <cellStyle name="백분율 6 4 2 6 3 2 4" xfId="28707"/>
    <cellStyle name="백분율 6 4 2 6 3 3" xfId="28708"/>
    <cellStyle name="백분율 6 4 2 6 3 3 2" xfId="28709"/>
    <cellStyle name="백분율 6 4 2 6 3 3 3" xfId="28710"/>
    <cellStyle name="백분율 6 4 2 6 3 4" xfId="28711"/>
    <cellStyle name="백분율 6 4 2 6 3 5" xfId="28712"/>
    <cellStyle name="백분율 6 4 2 6 4" xfId="28713"/>
    <cellStyle name="백분율 6 4 2 6 4 2" xfId="28714"/>
    <cellStyle name="백분율 6 4 2 6 4 2 2" xfId="28715"/>
    <cellStyle name="백분율 6 4 2 6 4 2 3" xfId="28716"/>
    <cellStyle name="백분율 6 4 2 6 4 3" xfId="28717"/>
    <cellStyle name="백분율 6 4 2 6 4 4" xfId="28718"/>
    <cellStyle name="백분율 6 4 2 6 5" xfId="28719"/>
    <cellStyle name="백분율 6 4 2 6 5 2" xfId="28720"/>
    <cellStyle name="백분율 6 4 2 6 5 3" xfId="28721"/>
    <cellStyle name="백분율 6 4 2 6 6" xfId="28722"/>
    <cellStyle name="백분율 6 4 2 6 7" xfId="28723"/>
    <cellStyle name="백분율 6 4 2 7" xfId="28724"/>
    <cellStyle name="백분율 6 4 2 7 2" xfId="28725"/>
    <cellStyle name="백분율 6 4 2 7 2 2" xfId="28726"/>
    <cellStyle name="백분율 6 4 2 7 2 2 2" xfId="28727"/>
    <cellStyle name="백분율 6 4 2 7 2 2 3" xfId="28728"/>
    <cellStyle name="백분율 6 4 2 7 2 3" xfId="28729"/>
    <cellStyle name="백분율 6 4 2 7 2 4" xfId="28730"/>
    <cellStyle name="백분율 6 4 2 7 3" xfId="28731"/>
    <cellStyle name="백분율 6 4 2 7 3 2" xfId="28732"/>
    <cellStyle name="백분율 6 4 2 7 3 3" xfId="28733"/>
    <cellStyle name="백분율 6 4 2 7 4" xfId="28734"/>
    <cellStyle name="백분율 6 4 2 7 5" xfId="28735"/>
    <cellStyle name="백분율 6 4 2 8" xfId="28736"/>
    <cellStyle name="백분율 6 4 2 8 2" xfId="28737"/>
    <cellStyle name="백분율 6 4 2 8 2 2" xfId="28738"/>
    <cellStyle name="백분율 6 4 2 8 2 2 2" xfId="28739"/>
    <cellStyle name="백분율 6 4 2 8 2 2 3" xfId="28740"/>
    <cellStyle name="백분율 6 4 2 8 2 3" xfId="28741"/>
    <cellStyle name="백분율 6 4 2 8 2 4" xfId="28742"/>
    <cellStyle name="백분율 6 4 2 8 3" xfId="28743"/>
    <cellStyle name="백분율 6 4 2 8 3 2" xfId="28744"/>
    <cellStyle name="백분율 6 4 2 8 3 3" xfId="28745"/>
    <cellStyle name="백분율 6 4 2 8 4" xfId="28746"/>
    <cellStyle name="백분율 6 4 2 8 5" xfId="28747"/>
    <cellStyle name="백분율 6 4 2 9" xfId="28748"/>
    <cellStyle name="백분율 6 4 2 9 2" xfId="28749"/>
    <cellStyle name="백분율 6 4 2 9 2 2" xfId="28750"/>
    <cellStyle name="백분율 6 4 2 9 2 2 2" xfId="28751"/>
    <cellStyle name="백분율 6 4 2 9 2 2 3" xfId="28752"/>
    <cellStyle name="백분율 6 4 2 9 2 3" xfId="28753"/>
    <cellStyle name="백분율 6 4 2 9 2 4" xfId="28754"/>
    <cellStyle name="백분율 6 4 2 9 3" xfId="28755"/>
    <cellStyle name="백분율 6 4 2 9 3 2" xfId="28756"/>
    <cellStyle name="백분율 6 4 2 9 3 3" xfId="28757"/>
    <cellStyle name="백분율 6 4 2 9 4" xfId="28758"/>
    <cellStyle name="백분율 6 4 2 9 5" xfId="28759"/>
    <cellStyle name="백분율 6 4 3" xfId="28760"/>
    <cellStyle name="백분율 6 4 3 10" xfId="28761"/>
    <cellStyle name="백분율 6 4 3 2" xfId="28762"/>
    <cellStyle name="백분율 6 4 3 2 2" xfId="28763"/>
    <cellStyle name="백분율 6 4 3 2 2 2" xfId="28764"/>
    <cellStyle name="백분율 6 4 3 2 2 2 2" xfId="28765"/>
    <cellStyle name="백분율 6 4 3 2 2 2 2 2" xfId="28766"/>
    <cellStyle name="백분율 6 4 3 2 2 2 2 3" xfId="28767"/>
    <cellStyle name="백분율 6 4 3 2 2 2 3" xfId="28768"/>
    <cellStyle name="백분율 6 4 3 2 2 2 4" xfId="28769"/>
    <cellStyle name="백분율 6 4 3 2 2 3" xfId="28770"/>
    <cellStyle name="백분율 6 4 3 2 2 3 2" xfId="28771"/>
    <cellStyle name="백분율 6 4 3 2 2 3 3" xfId="28772"/>
    <cellStyle name="백분율 6 4 3 2 2 4" xfId="28773"/>
    <cellStyle name="백분율 6 4 3 2 2 5" xfId="28774"/>
    <cellStyle name="백분율 6 4 3 2 3" xfId="28775"/>
    <cellStyle name="백분율 6 4 3 2 3 2" xfId="28776"/>
    <cellStyle name="백분율 6 4 3 2 3 2 2" xfId="28777"/>
    <cellStyle name="백분율 6 4 3 2 3 2 2 2" xfId="28778"/>
    <cellStyle name="백분율 6 4 3 2 3 2 2 3" xfId="28779"/>
    <cellStyle name="백분율 6 4 3 2 3 2 3" xfId="28780"/>
    <cellStyle name="백분율 6 4 3 2 3 2 4" xfId="28781"/>
    <cellStyle name="백분율 6 4 3 2 3 3" xfId="28782"/>
    <cellStyle name="백분율 6 4 3 2 3 3 2" xfId="28783"/>
    <cellStyle name="백분율 6 4 3 2 3 3 3" xfId="28784"/>
    <cellStyle name="백분율 6 4 3 2 3 4" xfId="28785"/>
    <cellStyle name="백분율 6 4 3 2 3 5" xfId="28786"/>
    <cellStyle name="백분율 6 4 3 2 4" xfId="28787"/>
    <cellStyle name="백분율 6 4 3 2 4 2" xfId="28788"/>
    <cellStyle name="백분율 6 4 3 2 4 2 2" xfId="28789"/>
    <cellStyle name="백분율 6 4 3 2 4 2 3" xfId="28790"/>
    <cellStyle name="백분율 6 4 3 2 4 3" xfId="28791"/>
    <cellStyle name="백분율 6 4 3 2 4 4" xfId="28792"/>
    <cellStyle name="백분율 6 4 3 2 5" xfId="28793"/>
    <cellStyle name="백분율 6 4 3 2 5 2" xfId="28794"/>
    <cellStyle name="백분율 6 4 3 2 5 3" xfId="28795"/>
    <cellStyle name="백분율 6 4 3 2 6" xfId="28796"/>
    <cellStyle name="백분율 6 4 3 2 7" xfId="28797"/>
    <cellStyle name="백분율 6 4 3 3" xfId="28798"/>
    <cellStyle name="백분율 6 4 3 3 2" xfId="28799"/>
    <cellStyle name="백분율 6 4 3 3 2 2" xfId="28800"/>
    <cellStyle name="백분율 6 4 3 3 2 2 2" xfId="28801"/>
    <cellStyle name="백분율 6 4 3 3 2 2 2 2" xfId="28802"/>
    <cellStyle name="백분율 6 4 3 3 2 2 2 3" xfId="28803"/>
    <cellStyle name="백분율 6 4 3 3 2 2 3" xfId="28804"/>
    <cellStyle name="백분율 6 4 3 3 2 2 4" xfId="28805"/>
    <cellStyle name="백분율 6 4 3 3 2 3" xfId="28806"/>
    <cellStyle name="백분율 6 4 3 3 2 3 2" xfId="28807"/>
    <cellStyle name="백분율 6 4 3 3 2 3 3" xfId="28808"/>
    <cellStyle name="백분율 6 4 3 3 2 4" xfId="28809"/>
    <cellStyle name="백분율 6 4 3 3 2 5" xfId="28810"/>
    <cellStyle name="백분율 6 4 3 3 3" xfId="28811"/>
    <cellStyle name="백분율 6 4 3 3 3 2" xfId="28812"/>
    <cellStyle name="백분율 6 4 3 3 3 2 2" xfId="28813"/>
    <cellStyle name="백분율 6 4 3 3 3 2 2 2" xfId="28814"/>
    <cellStyle name="백분율 6 4 3 3 3 2 2 3" xfId="28815"/>
    <cellStyle name="백분율 6 4 3 3 3 2 3" xfId="28816"/>
    <cellStyle name="백분율 6 4 3 3 3 2 4" xfId="28817"/>
    <cellStyle name="백분율 6 4 3 3 3 3" xfId="28818"/>
    <cellStyle name="백분율 6 4 3 3 3 3 2" xfId="28819"/>
    <cellStyle name="백분율 6 4 3 3 3 3 3" xfId="28820"/>
    <cellStyle name="백분율 6 4 3 3 3 4" xfId="28821"/>
    <cellStyle name="백분율 6 4 3 3 3 5" xfId="28822"/>
    <cellStyle name="백분율 6 4 3 3 4" xfId="28823"/>
    <cellStyle name="백분율 6 4 3 3 4 2" xfId="28824"/>
    <cellStyle name="백분율 6 4 3 3 4 2 2" xfId="28825"/>
    <cellStyle name="백분율 6 4 3 3 4 2 3" xfId="28826"/>
    <cellStyle name="백분율 6 4 3 3 4 3" xfId="28827"/>
    <cellStyle name="백분율 6 4 3 3 4 4" xfId="28828"/>
    <cellStyle name="백분율 6 4 3 3 5" xfId="28829"/>
    <cellStyle name="백분율 6 4 3 3 5 2" xfId="28830"/>
    <cellStyle name="백분율 6 4 3 3 5 3" xfId="28831"/>
    <cellStyle name="백분율 6 4 3 3 6" xfId="28832"/>
    <cellStyle name="백분율 6 4 3 3 7" xfId="28833"/>
    <cellStyle name="백분율 6 4 3 4" xfId="28834"/>
    <cellStyle name="백분율 6 4 3 4 2" xfId="28835"/>
    <cellStyle name="백분율 6 4 3 4 2 2" xfId="28836"/>
    <cellStyle name="백분율 6 4 3 4 2 2 2" xfId="28837"/>
    <cellStyle name="백분율 6 4 3 4 2 2 3" xfId="28838"/>
    <cellStyle name="백분율 6 4 3 4 2 3" xfId="28839"/>
    <cellStyle name="백분율 6 4 3 4 2 4" xfId="28840"/>
    <cellStyle name="백분율 6 4 3 4 3" xfId="28841"/>
    <cellStyle name="백분율 6 4 3 4 3 2" xfId="28842"/>
    <cellStyle name="백분율 6 4 3 4 3 3" xfId="28843"/>
    <cellStyle name="백분율 6 4 3 4 4" xfId="28844"/>
    <cellStyle name="백분율 6 4 3 4 5" xfId="28845"/>
    <cellStyle name="백분율 6 4 3 5" xfId="28846"/>
    <cellStyle name="백분율 6 4 3 5 2" xfId="28847"/>
    <cellStyle name="백분율 6 4 3 5 2 2" xfId="28848"/>
    <cellStyle name="백분율 6 4 3 5 2 2 2" xfId="28849"/>
    <cellStyle name="백분율 6 4 3 5 2 2 3" xfId="28850"/>
    <cellStyle name="백분율 6 4 3 5 2 3" xfId="28851"/>
    <cellStyle name="백분율 6 4 3 5 2 4" xfId="28852"/>
    <cellStyle name="백분율 6 4 3 5 3" xfId="28853"/>
    <cellStyle name="백분율 6 4 3 5 3 2" xfId="28854"/>
    <cellStyle name="백분율 6 4 3 5 3 3" xfId="28855"/>
    <cellStyle name="백분율 6 4 3 5 4" xfId="28856"/>
    <cellStyle name="백분율 6 4 3 5 5" xfId="28857"/>
    <cellStyle name="백분율 6 4 3 6" xfId="28858"/>
    <cellStyle name="백분율 6 4 3 6 2" xfId="28859"/>
    <cellStyle name="백분율 6 4 3 6 2 2" xfId="28860"/>
    <cellStyle name="백분율 6 4 3 6 2 2 2" xfId="28861"/>
    <cellStyle name="백분율 6 4 3 6 2 2 3" xfId="28862"/>
    <cellStyle name="백분율 6 4 3 6 2 3" xfId="28863"/>
    <cellStyle name="백분율 6 4 3 6 2 4" xfId="28864"/>
    <cellStyle name="백분율 6 4 3 6 3" xfId="28865"/>
    <cellStyle name="백분율 6 4 3 6 3 2" xfId="28866"/>
    <cellStyle name="백분율 6 4 3 6 3 3" xfId="28867"/>
    <cellStyle name="백분율 6 4 3 6 4" xfId="28868"/>
    <cellStyle name="백분율 6 4 3 6 5" xfId="28869"/>
    <cellStyle name="백분율 6 4 3 7" xfId="28870"/>
    <cellStyle name="백분율 6 4 3 7 2" xfId="28871"/>
    <cellStyle name="백분율 6 4 3 7 2 2" xfId="28872"/>
    <cellStyle name="백분율 6 4 3 7 2 3" xfId="28873"/>
    <cellStyle name="백분율 6 4 3 7 3" xfId="28874"/>
    <cellStyle name="백분율 6 4 3 7 4" xfId="28875"/>
    <cellStyle name="백분율 6 4 3 8" xfId="28876"/>
    <cellStyle name="백분율 6 4 3 8 2" xfId="28877"/>
    <cellStyle name="백분율 6 4 3 8 3" xfId="28878"/>
    <cellStyle name="백분율 6 4 3 9" xfId="28879"/>
    <cellStyle name="백분율 6 4 4" xfId="28880"/>
    <cellStyle name="백분율 6 4 4 10" xfId="28881"/>
    <cellStyle name="백분율 6 4 4 2" xfId="28882"/>
    <cellStyle name="백분율 6 4 4 2 2" xfId="28883"/>
    <cellStyle name="백분율 6 4 4 2 2 2" xfId="28884"/>
    <cellStyle name="백분율 6 4 4 2 2 2 2" xfId="28885"/>
    <cellStyle name="백분율 6 4 4 2 2 2 2 2" xfId="28886"/>
    <cellStyle name="백분율 6 4 4 2 2 2 2 3" xfId="28887"/>
    <cellStyle name="백분율 6 4 4 2 2 2 3" xfId="28888"/>
    <cellStyle name="백분율 6 4 4 2 2 2 4" xfId="28889"/>
    <cellStyle name="백분율 6 4 4 2 2 3" xfId="28890"/>
    <cellStyle name="백분율 6 4 4 2 2 3 2" xfId="28891"/>
    <cellStyle name="백분율 6 4 4 2 2 3 3" xfId="28892"/>
    <cellStyle name="백분율 6 4 4 2 2 4" xfId="28893"/>
    <cellStyle name="백분율 6 4 4 2 2 5" xfId="28894"/>
    <cellStyle name="백분율 6 4 4 2 3" xfId="28895"/>
    <cellStyle name="백분율 6 4 4 2 3 2" xfId="28896"/>
    <cellStyle name="백분율 6 4 4 2 3 2 2" xfId="28897"/>
    <cellStyle name="백분율 6 4 4 2 3 2 2 2" xfId="28898"/>
    <cellStyle name="백분율 6 4 4 2 3 2 2 3" xfId="28899"/>
    <cellStyle name="백분율 6 4 4 2 3 2 3" xfId="28900"/>
    <cellStyle name="백분율 6 4 4 2 3 2 4" xfId="28901"/>
    <cellStyle name="백분율 6 4 4 2 3 3" xfId="28902"/>
    <cellStyle name="백분율 6 4 4 2 3 3 2" xfId="28903"/>
    <cellStyle name="백분율 6 4 4 2 3 3 3" xfId="28904"/>
    <cellStyle name="백분율 6 4 4 2 3 4" xfId="28905"/>
    <cellStyle name="백분율 6 4 4 2 3 5" xfId="28906"/>
    <cellStyle name="백분율 6 4 4 2 4" xfId="28907"/>
    <cellStyle name="백분율 6 4 4 2 4 2" xfId="28908"/>
    <cellStyle name="백분율 6 4 4 2 4 2 2" xfId="28909"/>
    <cellStyle name="백분율 6 4 4 2 4 2 3" xfId="28910"/>
    <cellStyle name="백분율 6 4 4 2 4 3" xfId="28911"/>
    <cellStyle name="백분율 6 4 4 2 4 4" xfId="28912"/>
    <cellStyle name="백분율 6 4 4 2 5" xfId="28913"/>
    <cellStyle name="백분율 6 4 4 2 5 2" xfId="28914"/>
    <cellStyle name="백분율 6 4 4 2 5 3" xfId="28915"/>
    <cellStyle name="백분율 6 4 4 2 6" xfId="28916"/>
    <cellStyle name="백분율 6 4 4 2 7" xfId="28917"/>
    <cellStyle name="백분율 6 4 4 3" xfId="28918"/>
    <cellStyle name="백분율 6 4 4 3 2" xfId="28919"/>
    <cellStyle name="백분율 6 4 4 3 2 2" xfId="28920"/>
    <cellStyle name="백분율 6 4 4 3 2 2 2" xfId="28921"/>
    <cellStyle name="백분율 6 4 4 3 2 2 2 2" xfId="28922"/>
    <cellStyle name="백분율 6 4 4 3 2 2 2 3" xfId="28923"/>
    <cellStyle name="백분율 6 4 4 3 2 2 3" xfId="28924"/>
    <cellStyle name="백분율 6 4 4 3 2 2 4" xfId="28925"/>
    <cellStyle name="백분율 6 4 4 3 2 3" xfId="28926"/>
    <cellStyle name="백분율 6 4 4 3 2 3 2" xfId="28927"/>
    <cellStyle name="백분율 6 4 4 3 2 3 3" xfId="28928"/>
    <cellStyle name="백분율 6 4 4 3 2 4" xfId="28929"/>
    <cellStyle name="백분율 6 4 4 3 2 5" xfId="28930"/>
    <cellStyle name="백분율 6 4 4 3 3" xfId="28931"/>
    <cellStyle name="백분율 6 4 4 3 3 2" xfId="28932"/>
    <cellStyle name="백분율 6 4 4 3 3 2 2" xfId="28933"/>
    <cellStyle name="백분율 6 4 4 3 3 2 2 2" xfId="28934"/>
    <cellStyle name="백분율 6 4 4 3 3 2 2 3" xfId="28935"/>
    <cellStyle name="백분율 6 4 4 3 3 2 3" xfId="28936"/>
    <cellStyle name="백분율 6 4 4 3 3 2 4" xfId="28937"/>
    <cellStyle name="백분율 6 4 4 3 3 3" xfId="28938"/>
    <cellStyle name="백분율 6 4 4 3 3 3 2" xfId="28939"/>
    <cellStyle name="백분율 6 4 4 3 3 3 3" xfId="28940"/>
    <cellStyle name="백분율 6 4 4 3 3 4" xfId="28941"/>
    <cellStyle name="백분율 6 4 4 3 3 5" xfId="28942"/>
    <cellStyle name="백분율 6 4 4 3 4" xfId="28943"/>
    <cellStyle name="백분율 6 4 4 3 4 2" xfId="28944"/>
    <cellStyle name="백분율 6 4 4 3 4 2 2" xfId="28945"/>
    <cellStyle name="백분율 6 4 4 3 4 2 3" xfId="28946"/>
    <cellStyle name="백분율 6 4 4 3 4 3" xfId="28947"/>
    <cellStyle name="백분율 6 4 4 3 4 4" xfId="28948"/>
    <cellStyle name="백분율 6 4 4 3 5" xfId="28949"/>
    <cellStyle name="백분율 6 4 4 3 5 2" xfId="28950"/>
    <cellStyle name="백분율 6 4 4 3 5 3" xfId="28951"/>
    <cellStyle name="백분율 6 4 4 3 6" xfId="28952"/>
    <cellStyle name="백분율 6 4 4 3 7" xfId="28953"/>
    <cellStyle name="백분율 6 4 4 4" xfId="28954"/>
    <cellStyle name="백분율 6 4 4 4 2" xfId="28955"/>
    <cellStyle name="백분율 6 4 4 4 2 2" xfId="28956"/>
    <cellStyle name="백분율 6 4 4 4 2 2 2" xfId="28957"/>
    <cellStyle name="백분율 6 4 4 4 2 2 3" xfId="28958"/>
    <cellStyle name="백분율 6 4 4 4 2 3" xfId="28959"/>
    <cellStyle name="백분율 6 4 4 4 2 4" xfId="28960"/>
    <cellStyle name="백분율 6 4 4 4 3" xfId="28961"/>
    <cellStyle name="백분율 6 4 4 4 3 2" xfId="28962"/>
    <cellStyle name="백분율 6 4 4 4 3 3" xfId="28963"/>
    <cellStyle name="백분율 6 4 4 4 4" xfId="28964"/>
    <cellStyle name="백분율 6 4 4 4 5" xfId="28965"/>
    <cellStyle name="백분율 6 4 4 5" xfId="28966"/>
    <cellStyle name="백분율 6 4 4 5 2" xfId="28967"/>
    <cellStyle name="백분율 6 4 4 5 2 2" xfId="28968"/>
    <cellStyle name="백분율 6 4 4 5 2 2 2" xfId="28969"/>
    <cellStyle name="백분율 6 4 4 5 2 2 3" xfId="28970"/>
    <cellStyle name="백분율 6 4 4 5 2 3" xfId="28971"/>
    <cellStyle name="백분율 6 4 4 5 2 4" xfId="28972"/>
    <cellStyle name="백분율 6 4 4 5 3" xfId="28973"/>
    <cellStyle name="백분율 6 4 4 5 3 2" xfId="28974"/>
    <cellStyle name="백분율 6 4 4 5 3 3" xfId="28975"/>
    <cellStyle name="백분율 6 4 4 5 4" xfId="28976"/>
    <cellStyle name="백분율 6 4 4 5 5" xfId="28977"/>
    <cellStyle name="백분율 6 4 4 6" xfId="28978"/>
    <cellStyle name="백분율 6 4 4 6 2" xfId="28979"/>
    <cellStyle name="백분율 6 4 4 6 2 2" xfId="28980"/>
    <cellStyle name="백분율 6 4 4 6 2 2 2" xfId="28981"/>
    <cellStyle name="백분율 6 4 4 6 2 2 3" xfId="28982"/>
    <cellStyle name="백분율 6 4 4 6 2 3" xfId="28983"/>
    <cellStyle name="백분율 6 4 4 6 2 4" xfId="28984"/>
    <cellStyle name="백분율 6 4 4 6 3" xfId="28985"/>
    <cellStyle name="백분율 6 4 4 6 3 2" xfId="28986"/>
    <cellStyle name="백분율 6 4 4 6 3 3" xfId="28987"/>
    <cellStyle name="백분율 6 4 4 6 4" xfId="28988"/>
    <cellStyle name="백분율 6 4 4 6 5" xfId="28989"/>
    <cellStyle name="백분율 6 4 4 7" xfId="28990"/>
    <cellStyle name="백분율 6 4 4 7 2" xfId="28991"/>
    <cellStyle name="백분율 6 4 4 7 2 2" xfId="28992"/>
    <cellStyle name="백분율 6 4 4 7 2 3" xfId="28993"/>
    <cellStyle name="백분율 6 4 4 7 3" xfId="28994"/>
    <cellStyle name="백분율 6 4 4 7 4" xfId="28995"/>
    <cellStyle name="백분율 6 4 4 8" xfId="28996"/>
    <cellStyle name="백분율 6 4 4 8 2" xfId="28997"/>
    <cellStyle name="백분율 6 4 4 8 3" xfId="28998"/>
    <cellStyle name="백분율 6 4 4 9" xfId="28999"/>
    <cellStyle name="백분율 6 4 5" xfId="29000"/>
    <cellStyle name="백분율 6 4 5 10" xfId="29001"/>
    <cellStyle name="백분율 6 4 5 2" xfId="29002"/>
    <cellStyle name="백분율 6 4 5 2 2" xfId="29003"/>
    <cellStyle name="백분율 6 4 5 2 2 2" xfId="29004"/>
    <cellStyle name="백분율 6 4 5 2 2 2 2" xfId="29005"/>
    <cellStyle name="백분율 6 4 5 2 2 2 2 2" xfId="29006"/>
    <cellStyle name="백분율 6 4 5 2 2 2 2 3" xfId="29007"/>
    <cellStyle name="백분율 6 4 5 2 2 2 3" xfId="29008"/>
    <cellStyle name="백분율 6 4 5 2 2 2 4" xfId="29009"/>
    <cellStyle name="백분율 6 4 5 2 2 3" xfId="29010"/>
    <cellStyle name="백분율 6 4 5 2 2 3 2" xfId="29011"/>
    <cellStyle name="백분율 6 4 5 2 2 3 3" xfId="29012"/>
    <cellStyle name="백분율 6 4 5 2 2 4" xfId="29013"/>
    <cellStyle name="백분율 6 4 5 2 2 5" xfId="29014"/>
    <cellStyle name="백분율 6 4 5 2 3" xfId="29015"/>
    <cellStyle name="백분율 6 4 5 2 3 2" xfId="29016"/>
    <cellStyle name="백분율 6 4 5 2 3 2 2" xfId="29017"/>
    <cellStyle name="백분율 6 4 5 2 3 2 2 2" xfId="29018"/>
    <cellStyle name="백분율 6 4 5 2 3 2 2 3" xfId="29019"/>
    <cellStyle name="백분율 6 4 5 2 3 2 3" xfId="29020"/>
    <cellStyle name="백분율 6 4 5 2 3 2 4" xfId="29021"/>
    <cellStyle name="백분율 6 4 5 2 3 3" xfId="29022"/>
    <cellStyle name="백분율 6 4 5 2 3 3 2" xfId="29023"/>
    <cellStyle name="백분율 6 4 5 2 3 3 3" xfId="29024"/>
    <cellStyle name="백분율 6 4 5 2 3 4" xfId="29025"/>
    <cellStyle name="백분율 6 4 5 2 3 5" xfId="29026"/>
    <cellStyle name="백분율 6 4 5 2 4" xfId="29027"/>
    <cellStyle name="백분율 6 4 5 2 4 2" xfId="29028"/>
    <cellStyle name="백분율 6 4 5 2 4 2 2" xfId="29029"/>
    <cellStyle name="백분율 6 4 5 2 4 2 3" xfId="29030"/>
    <cellStyle name="백분율 6 4 5 2 4 3" xfId="29031"/>
    <cellStyle name="백분율 6 4 5 2 4 4" xfId="29032"/>
    <cellStyle name="백분율 6 4 5 2 5" xfId="29033"/>
    <cellStyle name="백분율 6 4 5 2 5 2" xfId="29034"/>
    <cellStyle name="백분율 6 4 5 2 5 3" xfId="29035"/>
    <cellStyle name="백분율 6 4 5 2 6" xfId="29036"/>
    <cellStyle name="백분율 6 4 5 2 7" xfId="29037"/>
    <cellStyle name="백분율 6 4 5 3" xfId="29038"/>
    <cellStyle name="백분율 6 4 5 3 2" xfId="29039"/>
    <cellStyle name="백분율 6 4 5 3 2 2" xfId="29040"/>
    <cellStyle name="백분율 6 4 5 3 2 2 2" xfId="29041"/>
    <cellStyle name="백분율 6 4 5 3 2 2 2 2" xfId="29042"/>
    <cellStyle name="백분율 6 4 5 3 2 2 2 3" xfId="29043"/>
    <cellStyle name="백분율 6 4 5 3 2 2 3" xfId="29044"/>
    <cellStyle name="백분율 6 4 5 3 2 2 4" xfId="29045"/>
    <cellStyle name="백분율 6 4 5 3 2 3" xfId="29046"/>
    <cellStyle name="백분율 6 4 5 3 2 3 2" xfId="29047"/>
    <cellStyle name="백분율 6 4 5 3 2 3 3" xfId="29048"/>
    <cellStyle name="백분율 6 4 5 3 2 4" xfId="29049"/>
    <cellStyle name="백분율 6 4 5 3 2 5" xfId="29050"/>
    <cellStyle name="백분율 6 4 5 3 3" xfId="29051"/>
    <cellStyle name="백분율 6 4 5 3 3 2" xfId="29052"/>
    <cellStyle name="백분율 6 4 5 3 3 2 2" xfId="29053"/>
    <cellStyle name="백분율 6 4 5 3 3 2 2 2" xfId="29054"/>
    <cellStyle name="백분율 6 4 5 3 3 2 2 3" xfId="29055"/>
    <cellStyle name="백분율 6 4 5 3 3 2 3" xfId="29056"/>
    <cellStyle name="백분율 6 4 5 3 3 2 4" xfId="29057"/>
    <cellStyle name="백분율 6 4 5 3 3 3" xfId="29058"/>
    <cellStyle name="백분율 6 4 5 3 3 3 2" xfId="29059"/>
    <cellStyle name="백분율 6 4 5 3 3 3 3" xfId="29060"/>
    <cellStyle name="백분율 6 4 5 3 3 4" xfId="29061"/>
    <cellStyle name="백분율 6 4 5 3 3 5" xfId="29062"/>
    <cellStyle name="백분율 6 4 5 3 4" xfId="29063"/>
    <cellStyle name="백분율 6 4 5 3 4 2" xfId="29064"/>
    <cellStyle name="백분율 6 4 5 3 4 2 2" xfId="29065"/>
    <cellStyle name="백분율 6 4 5 3 4 2 3" xfId="29066"/>
    <cellStyle name="백분율 6 4 5 3 4 3" xfId="29067"/>
    <cellStyle name="백분율 6 4 5 3 4 4" xfId="29068"/>
    <cellStyle name="백분율 6 4 5 3 5" xfId="29069"/>
    <cellStyle name="백분율 6 4 5 3 5 2" xfId="29070"/>
    <cellStyle name="백분율 6 4 5 3 5 3" xfId="29071"/>
    <cellStyle name="백분율 6 4 5 3 6" xfId="29072"/>
    <cellStyle name="백분율 6 4 5 3 7" xfId="29073"/>
    <cellStyle name="백분율 6 4 5 4" xfId="29074"/>
    <cellStyle name="백분율 6 4 5 4 2" xfId="29075"/>
    <cellStyle name="백분율 6 4 5 4 2 2" xfId="29076"/>
    <cellStyle name="백분율 6 4 5 4 2 2 2" xfId="29077"/>
    <cellStyle name="백분율 6 4 5 4 2 2 3" xfId="29078"/>
    <cellStyle name="백분율 6 4 5 4 2 3" xfId="29079"/>
    <cellStyle name="백분율 6 4 5 4 2 4" xfId="29080"/>
    <cellStyle name="백분율 6 4 5 4 3" xfId="29081"/>
    <cellStyle name="백분율 6 4 5 4 3 2" xfId="29082"/>
    <cellStyle name="백분율 6 4 5 4 3 3" xfId="29083"/>
    <cellStyle name="백분율 6 4 5 4 4" xfId="29084"/>
    <cellStyle name="백분율 6 4 5 4 5" xfId="29085"/>
    <cellStyle name="백분율 6 4 5 5" xfId="29086"/>
    <cellStyle name="백분율 6 4 5 5 2" xfId="29087"/>
    <cellStyle name="백분율 6 4 5 5 2 2" xfId="29088"/>
    <cellStyle name="백분율 6 4 5 5 2 2 2" xfId="29089"/>
    <cellStyle name="백분율 6 4 5 5 2 2 3" xfId="29090"/>
    <cellStyle name="백분율 6 4 5 5 2 3" xfId="29091"/>
    <cellStyle name="백분율 6 4 5 5 2 4" xfId="29092"/>
    <cellStyle name="백분율 6 4 5 5 3" xfId="29093"/>
    <cellStyle name="백분율 6 4 5 5 3 2" xfId="29094"/>
    <cellStyle name="백분율 6 4 5 5 3 3" xfId="29095"/>
    <cellStyle name="백분율 6 4 5 5 4" xfId="29096"/>
    <cellStyle name="백분율 6 4 5 5 5" xfId="29097"/>
    <cellStyle name="백분율 6 4 5 6" xfId="29098"/>
    <cellStyle name="백분율 6 4 5 6 2" xfId="29099"/>
    <cellStyle name="백분율 6 4 5 6 2 2" xfId="29100"/>
    <cellStyle name="백분율 6 4 5 6 2 2 2" xfId="29101"/>
    <cellStyle name="백분율 6 4 5 6 2 2 3" xfId="29102"/>
    <cellStyle name="백분율 6 4 5 6 2 3" xfId="29103"/>
    <cellStyle name="백분율 6 4 5 6 2 4" xfId="29104"/>
    <cellStyle name="백분율 6 4 5 6 3" xfId="29105"/>
    <cellStyle name="백분율 6 4 5 6 3 2" xfId="29106"/>
    <cellStyle name="백분율 6 4 5 6 3 3" xfId="29107"/>
    <cellStyle name="백분율 6 4 5 6 4" xfId="29108"/>
    <cellStyle name="백분율 6 4 5 6 5" xfId="29109"/>
    <cellStyle name="백분율 6 4 5 7" xfId="29110"/>
    <cellStyle name="백분율 6 4 5 7 2" xfId="29111"/>
    <cellStyle name="백분율 6 4 5 7 2 2" xfId="29112"/>
    <cellStyle name="백분율 6 4 5 7 2 3" xfId="29113"/>
    <cellStyle name="백분율 6 4 5 7 3" xfId="29114"/>
    <cellStyle name="백분율 6 4 5 7 4" xfId="29115"/>
    <cellStyle name="백분율 6 4 5 8" xfId="29116"/>
    <cellStyle name="백분율 6 4 5 8 2" xfId="29117"/>
    <cellStyle name="백분율 6 4 5 8 3" xfId="29118"/>
    <cellStyle name="백분율 6 4 5 9" xfId="29119"/>
    <cellStyle name="백분율 6 4 6" xfId="29120"/>
    <cellStyle name="백분율 6 4 6 2" xfId="29121"/>
    <cellStyle name="백분율 6 4 6 2 2" xfId="29122"/>
    <cellStyle name="백분율 6 4 6 2 2 2" xfId="29123"/>
    <cellStyle name="백분율 6 4 6 2 2 2 2" xfId="29124"/>
    <cellStyle name="백분율 6 4 6 2 2 2 3" xfId="29125"/>
    <cellStyle name="백분율 6 4 6 2 2 3" xfId="29126"/>
    <cellStyle name="백분율 6 4 6 2 2 4" xfId="29127"/>
    <cellStyle name="백분율 6 4 6 2 3" xfId="29128"/>
    <cellStyle name="백분율 6 4 6 2 3 2" xfId="29129"/>
    <cellStyle name="백분율 6 4 6 2 3 3" xfId="29130"/>
    <cellStyle name="백분율 6 4 6 2 4" xfId="29131"/>
    <cellStyle name="백분율 6 4 6 2 5" xfId="29132"/>
    <cellStyle name="백분율 6 4 6 3" xfId="29133"/>
    <cellStyle name="백분율 6 4 6 3 2" xfId="29134"/>
    <cellStyle name="백분율 6 4 6 3 2 2" xfId="29135"/>
    <cellStyle name="백분율 6 4 6 3 2 2 2" xfId="29136"/>
    <cellStyle name="백분율 6 4 6 3 2 2 3" xfId="29137"/>
    <cellStyle name="백분율 6 4 6 3 2 3" xfId="29138"/>
    <cellStyle name="백분율 6 4 6 3 2 4" xfId="29139"/>
    <cellStyle name="백분율 6 4 6 3 3" xfId="29140"/>
    <cellStyle name="백분율 6 4 6 3 3 2" xfId="29141"/>
    <cellStyle name="백분율 6 4 6 3 3 3" xfId="29142"/>
    <cellStyle name="백분율 6 4 6 3 4" xfId="29143"/>
    <cellStyle name="백분율 6 4 6 3 5" xfId="29144"/>
    <cellStyle name="백분율 6 4 6 4" xfId="29145"/>
    <cellStyle name="백분율 6 4 6 4 2" xfId="29146"/>
    <cellStyle name="백분율 6 4 6 4 2 2" xfId="29147"/>
    <cellStyle name="백분율 6 4 6 4 2 3" xfId="29148"/>
    <cellStyle name="백분율 6 4 6 4 3" xfId="29149"/>
    <cellStyle name="백분율 6 4 6 4 4" xfId="29150"/>
    <cellStyle name="백분율 6 4 6 5" xfId="29151"/>
    <cellStyle name="백분율 6 4 6 5 2" xfId="29152"/>
    <cellStyle name="백분율 6 4 6 5 3" xfId="29153"/>
    <cellStyle name="백분율 6 4 6 6" xfId="29154"/>
    <cellStyle name="백분율 6 4 6 7" xfId="29155"/>
    <cellStyle name="백분율 6 4 7" xfId="29156"/>
    <cellStyle name="백분율 6 4 7 2" xfId="29157"/>
    <cellStyle name="백분율 6 4 7 2 2" xfId="29158"/>
    <cellStyle name="백분율 6 4 7 2 2 2" xfId="29159"/>
    <cellStyle name="백분율 6 4 7 2 2 2 2" xfId="29160"/>
    <cellStyle name="백분율 6 4 7 2 2 2 3" xfId="29161"/>
    <cellStyle name="백분율 6 4 7 2 2 3" xfId="29162"/>
    <cellStyle name="백분율 6 4 7 2 2 4" xfId="29163"/>
    <cellStyle name="백분율 6 4 7 2 3" xfId="29164"/>
    <cellStyle name="백분율 6 4 7 2 3 2" xfId="29165"/>
    <cellStyle name="백분율 6 4 7 2 3 3" xfId="29166"/>
    <cellStyle name="백분율 6 4 7 2 4" xfId="29167"/>
    <cellStyle name="백분율 6 4 7 2 5" xfId="29168"/>
    <cellStyle name="백분율 6 4 7 3" xfId="29169"/>
    <cellStyle name="백분율 6 4 7 3 2" xfId="29170"/>
    <cellStyle name="백분율 6 4 7 3 2 2" xfId="29171"/>
    <cellStyle name="백분율 6 4 7 3 2 2 2" xfId="29172"/>
    <cellStyle name="백분율 6 4 7 3 2 2 3" xfId="29173"/>
    <cellStyle name="백분율 6 4 7 3 2 3" xfId="29174"/>
    <cellStyle name="백분율 6 4 7 3 2 4" xfId="29175"/>
    <cellStyle name="백분율 6 4 7 3 3" xfId="29176"/>
    <cellStyle name="백분율 6 4 7 3 3 2" xfId="29177"/>
    <cellStyle name="백분율 6 4 7 3 3 3" xfId="29178"/>
    <cellStyle name="백분율 6 4 7 3 4" xfId="29179"/>
    <cellStyle name="백분율 6 4 7 3 5" xfId="29180"/>
    <cellStyle name="백분율 6 4 7 4" xfId="29181"/>
    <cellStyle name="백분율 6 4 7 4 2" xfId="29182"/>
    <cellStyle name="백분율 6 4 7 4 2 2" xfId="29183"/>
    <cellStyle name="백분율 6 4 7 4 2 3" xfId="29184"/>
    <cellStyle name="백분율 6 4 7 4 3" xfId="29185"/>
    <cellStyle name="백분율 6 4 7 4 4" xfId="29186"/>
    <cellStyle name="백분율 6 4 7 5" xfId="29187"/>
    <cellStyle name="백분율 6 4 7 5 2" xfId="29188"/>
    <cellStyle name="백분율 6 4 7 5 3" xfId="29189"/>
    <cellStyle name="백분율 6 4 7 6" xfId="29190"/>
    <cellStyle name="백분율 6 4 7 7" xfId="29191"/>
    <cellStyle name="백분율 6 4 8" xfId="29192"/>
    <cellStyle name="백분율 6 4 8 2" xfId="29193"/>
    <cellStyle name="백분율 6 4 8 2 2" xfId="29194"/>
    <cellStyle name="백분율 6 4 8 2 2 2" xfId="29195"/>
    <cellStyle name="백분율 6 4 8 2 2 3" xfId="29196"/>
    <cellStyle name="백분율 6 4 8 2 3" xfId="29197"/>
    <cellStyle name="백분율 6 4 8 2 4" xfId="29198"/>
    <cellStyle name="백분율 6 4 8 3" xfId="29199"/>
    <cellStyle name="백분율 6 4 8 3 2" xfId="29200"/>
    <cellStyle name="백분율 6 4 8 3 3" xfId="29201"/>
    <cellStyle name="백분율 6 4 8 4" xfId="29202"/>
    <cellStyle name="백분율 6 4 8 5" xfId="29203"/>
    <cellStyle name="백분율 6 4 9" xfId="29204"/>
    <cellStyle name="백분율 6 4 9 2" xfId="29205"/>
    <cellStyle name="백분율 6 4 9 2 2" xfId="29206"/>
    <cellStyle name="백분율 6 4 9 2 2 2" xfId="29207"/>
    <cellStyle name="백분율 6 4 9 2 2 3" xfId="29208"/>
    <cellStyle name="백분율 6 4 9 2 3" xfId="29209"/>
    <cellStyle name="백분율 6 4 9 2 4" xfId="29210"/>
    <cellStyle name="백분율 6 4 9 3" xfId="29211"/>
    <cellStyle name="백분율 6 4 9 3 2" xfId="29212"/>
    <cellStyle name="백분율 6 4 9 3 3" xfId="29213"/>
    <cellStyle name="백분율 6 4 9 4" xfId="29214"/>
    <cellStyle name="백분율 6 4 9 5" xfId="29215"/>
    <cellStyle name="백분율 6 5" xfId="29216"/>
    <cellStyle name="백분율 6 5 10" xfId="29217"/>
    <cellStyle name="백분율 6 5 10 2" xfId="29218"/>
    <cellStyle name="백분율 6 5 10 2 2" xfId="29219"/>
    <cellStyle name="백분율 6 5 10 2 3" xfId="29220"/>
    <cellStyle name="백분율 6 5 10 3" xfId="29221"/>
    <cellStyle name="백분율 6 5 10 4" xfId="29222"/>
    <cellStyle name="백분율 6 5 11" xfId="29223"/>
    <cellStyle name="백분율 6 5 11 2" xfId="29224"/>
    <cellStyle name="백분율 6 5 11 3" xfId="29225"/>
    <cellStyle name="백분율 6 5 12" xfId="29226"/>
    <cellStyle name="백분율 6 5 13" xfId="29227"/>
    <cellStyle name="백분율 6 5 2" xfId="29228"/>
    <cellStyle name="백분율 6 5 2 10" xfId="29229"/>
    <cellStyle name="백분율 6 5 2 2" xfId="29230"/>
    <cellStyle name="백분율 6 5 2 2 2" xfId="29231"/>
    <cellStyle name="백분율 6 5 2 2 2 2" xfId="29232"/>
    <cellStyle name="백분율 6 5 2 2 2 2 2" xfId="29233"/>
    <cellStyle name="백분율 6 5 2 2 2 2 2 2" xfId="29234"/>
    <cellStyle name="백분율 6 5 2 2 2 2 2 3" xfId="29235"/>
    <cellStyle name="백분율 6 5 2 2 2 2 3" xfId="29236"/>
    <cellStyle name="백분율 6 5 2 2 2 2 4" xfId="29237"/>
    <cellStyle name="백분율 6 5 2 2 2 3" xfId="29238"/>
    <cellStyle name="백분율 6 5 2 2 2 3 2" xfId="29239"/>
    <cellStyle name="백분율 6 5 2 2 2 3 3" xfId="29240"/>
    <cellStyle name="백분율 6 5 2 2 2 4" xfId="29241"/>
    <cellStyle name="백분율 6 5 2 2 2 5" xfId="29242"/>
    <cellStyle name="백분율 6 5 2 2 3" xfId="29243"/>
    <cellStyle name="백분율 6 5 2 2 3 2" xfId="29244"/>
    <cellStyle name="백분율 6 5 2 2 3 2 2" xfId="29245"/>
    <cellStyle name="백분율 6 5 2 2 3 2 2 2" xfId="29246"/>
    <cellStyle name="백분율 6 5 2 2 3 2 2 3" xfId="29247"/>
    <cellStyle name="백분율 6 5 2 2 3 2 3" xfId="29248"/>
    <cellStyle name="백분율 6 5 2 2 3 2 4" xfId="29249"/>
    <cellStyle name="백분율 6 5 2 2 3 3" xfId="29250"/>
    <cellStyle name="백분율 6 5 2 2 3 3 2" xfId="29251"/>
    <cellStyle name="백분율 6 5 2 2 3 3 3" xfId="29252"/>
    <cellStyle name="백분율 6 5 2 2 3 4" xfId="29253"/>
    <cellStyle name="백분율 6 5 2 2 3 5" xfId="29254"/>
    <cellStyle name="백분율 6 5 2 2 4" xfId="29255"/>
    <cellStyle name="백분율 6 5 2 2 4 2" xfId="29256"/>
    <cellStyle name="백분율 6 5 2 2 4 2 2" xfId="29257"/>
    <cellStyle name="백분율 6 5 2 2 4 2 3" xfId="29258"/>
    <cellStyle name="백분율 6 5 2 2 4 3" xfId="29259"/>
    <cellStyle name="백분율 6 5 2 2 4 4" xfId="29260"/>
    <cellStyle name="백분율 6 5 2 2 5" xfId="29261"/>
    <cellStyle name="백분율 6 5 2 2 5 2" xfId="29262"/>
    <cellStyle name="백분율 6 5 2 2 5 3" xfId="29263"/>
    <cellStyle name="백분율 6 5 2 2 6" xfId="29264"/>
    <cellStyle name="백분율 6 5 2 2 7" xfId="29265"/>
    <cellStyle name="백분율 6 5 2 3" xfId="29266"/>
    <cellStyle name="백분율 6 5 2 3 2" xfId="29267"/>
    <cellStyle name="백분율 6 5 2 3 2 2" xfId="29268"/>
    <cellStyle name="백분율 6 5 2 3 2 2 2" xfId="29269"/>
    <cellStyle name="백분율 6 5 2 3 2 2 2 2" xfId="29270"/>
    <cellStyle name="백분율 6 5 2 3 2 2 2 3" xfId="29271"/>
    <cellStyle name="백분율 6 5 2 3 2 2 3" xfId="29272"/>
    <cellStyle name="백분율 6 5 2 3 2 2 4" xfId="29273"/>
    <cellStyle name="백분율 6 5 2 3 2 3" xfId="29274"/>
    <cellStyle name="백분율 6 5 2 3 2 3 2" xfId="29275"/>
    <cellStyle name="백분율 6 5 2 3 2 3 3" xfId="29276"/>
    <cellStyle name="백분율 6 5 2 3 2 4" xfId="29277"/>
    <cellStyle name="백분율 6 5 2 3 2 5" xfId="29278"/>
    <cellStyle name="백분율 6 5 2 3 3" xfId="29279"/>
    <cellStyle name="백분율 6 5 2 3 3 2" xfId="29280"/>
    <cellStyle name="백분율 6 5 2 3 3 2 2" xfId="29281"/>
    <cellStyle name="백분율 6 5 2 3 3 2 2 2" xfId="29282"/>
    <cellStyle name="백분율 6 5 2 3 3 2 2 3" xfId="29283"/>
    <cellStyle name="백분율 6 5 2 3 3 2 3" xfId="29284"/>
    <cellStyle name="백분율 6 5 2 3 3 2 4" xfId="29285"/>
    <cellStyle name="백분율 6 5 2 3 3 3" xfId="29286"/>
    <cellStyle name="백분율 6 5 2 3 3 3 2" xfId="29287"/>
    <cellStyle name="백분율 6 5 2 3 3 3 3" xfId="29288"/>
    <cellStyle name="백분율 6 5 2 3 3 4" xfId="29289"/>
    <cellStyle name="백분율 6 5 2 3 3 5" xfId="29290"/>
    <cellStyle name="백분율 6 5 2 3 4" xfId="29291"/>
    <cellStyle name="백분율 6 5 2 3 4 2" xfId="29292"/>
    <cellStyle name="백분율 6 5 2 3 4 2 2" xfId="29293"/>
    <cellStyle name="백분율 6 5 2 3 4 2 3" xfId="29294"/>
    <cellStyle name="백분율 6 5 2 3 4 3" xfId="29295"/>
    <cellStyle name="백분율 6 5 2 3 4 4" xfId="29296"/>
    <cellStyle name="백분율 6 5 2 3 5" xfId="29297"/>
    <cellStyle name="백분율 6 5 2 3 5 2" xfId="29298"/>
    <cellStyle name="백분율 6 5 2 3 5 3" xfId="29299"/>
    <cellStyle name="백분율 6 5 2 3 6" xfId="29300"/>
    <cellStyle name="백분율 6 5 2 3 7" xfId="29301"/>
    <cellStyle name="백분율 6 5 2 4" xfId="29302"/>
    <cellStyle name="백분율 6 5 2 4 2" xfId="29303"/>
    <cellStyle name="백분율 6 5 2 4 2 2" xfId="29304"/>
    <cellStyle name="백분율 6 5 2 4 2 2 2" xfId="29305"/>
    <cellStyle name="백분율 6 5 2 4 2 2 3" xfId="29306"/>
    <cellStyle name="백분율 6 5 2 4 2 3" xfId="29307"/>
    <cellStyle name="백분율 6 5 2 4 2 4" xfId="29308"/>
    <cellStyle name="백분율 6 5 2 4 3" xfId="29309"/>
    <cellStyle name="백분율 6 5 2 4 3 2" xfId="29310"/>
    <cellStyle name="백분율 6 5 2 4 3 3" xfId="29311"/>
    <cellStyle name="백분율 6 5 2 4 4" xfId="29312"/>
    <cellStyle name="백분율 6 5 2 4 5" xfId="29313"/>
    <cellStyle name="백분율 6 5 2 5" xfId="29314"/>
    <cellStyle name="백분율 6 5 2 5 2" xfId="29315"/>
    <cellStyle name="백분율 6 5 2 5 2 2" xfId="29316"/>
    <cellStyle name="백분율 6 5 2 5 2 2 2" xfId="29317"/>
    <cellStyle name="백분율 6 5 2 5 2 2 3" xfId="29318"/>
    <cellStyle name="백분율 6 5 2 5 2 3" xfId="29319"/>
    <cellStyle name="백분율 6 5 2 5 2 4" xfId="29320"/>
    <cellStyle name="백분율 6 5 2 5 3" xfId="29321"/>
    <cellStyle name="백분율 6 5 2 5 3 2" xfId="29322"/>
    <cellStyle name="백분율 6 5 2 5 3 3" xfId="29323"/>
    <cellStyle name="백분율 6 5 2 5 4" xfId="29324"/>
    <cellStyle name="백분율 6 5 2 5 5" xfId="29325"/>
    <cellStyle name="백분율 6 5 2 6" xfId="29326"/>
    <cellStyle name="백분율 6 5 2 6 2" xfId="29327"/>
    <cellStyle name="백분율 6 5 2 6 2 2" xfId="29328"/>
    <cellStyle name="백분율 6 5 2 6 2 2 2" xfId="29329"/>
    <cellStyle name="백분율 6 5 2 6 2 2 3" xfId="29330"/>
    <cellStyle name="백분율 6 5 2 6 2 3" xfId="29331"/>
    <cellStyle name="백분율 6 5 2 6 2 4" xfId="29332"/>
    <cellStyle name="백분율 6 5 2 6 3" xfId="29333"/>
    <cellStyle name="백분율 6 5 2 6 3 2" xfId="29334"/>
    <cellStyle name="백분율 6 5 2 6 3 3" xfId="29335"/>
    <cellStyle name="백분율 6 5 2 6 4" xfId="29336"/>
    <cellStyle name="백분율 6 5 2 6 5" xfId="29337"/>
    <cellStyle name="백분율 6 5 2 7" xfId="29338"/>
    <cellStyle name="백분율 6 5 2 7 2" xfId="29339"/>
    <cellStyle name="백분율 6 5 2 7 2 2" xfId="29340"/>
    <cellStyle name="백분율 6 5 2 7 2 3" xfId="29341"/>
    <cellStyle name="백분율 6 5 2 7 3" xfId="29342"/>
    <cellStyle name="백분율 6 5 2 7 4" xfId="29343"/>
    <cellStyle name="백분율 6 5 2 8" xfId="29344"/>
    <cellStyle name="백분율 6 5 2 8 2" xfId="29345"/>
    <cellStyle name="백분율 6 5 2 8 3" xfId="29346"/>
    <cellStyle name="백분율 6 5 2 9" xfId="29347"/>
    <cellStyle name="백분율 6 5 3" xfId="29348"/>
    <cellStyle name="백분율 6 5 3 10" xfId="29349"/>
    <cellStyle name="백분율 6 5 3 2" xfId="29350"/>
    <cellStyle name="백분율 6 5 3 2 2" xfId="29351"/>
    <cellStyle name="백분율 6 5 3 2 2 2" xfId="29352"/>
    <cellStyle name="백분율 6 5 3 2 2 2 2" xfId="29353"/>
    <cellStyle name="백분율 6 5 3 2 2 2 2 2" xfId="29354"/>
    <cellStyle name="백분율 6 5 3 2 2 2 2 3" xfId="29355"/>
    <cellStyle name="백분율 6 5 3 2 2 2 3" xfId="29356"/>
    <cellStyle name="백분율 6 5 3 2 2 2 4" xfId="29357"/>
    <cellStyle name="백분율 6 5 3 2 2 3" xfId="29358"/>
    <cellStyle name="백분율 6 5 3 2 2 3 2" xfId="29359"/>
    <cellStyle name="백분율 6 5 3 2 2 3 3" xfId="29360"/>
    <cellStyle name="백분율 6 5 3 2 2 4" xfId="29361"/>
    <cellStyle name="백분율 6 5 3 2 2 5" xfId="29362"/>
    <cellStyle name="백분율 6 5 3 2 3" xfId="29363"/>
    <cellStyle name="백분율 6 5 3 2 3 2" xfId="29364"/>
    <cellStyle name="백분율 6 5 3 2 3 2 2" xfId="29365"/>
    <cellStyle name="백분율 6 5 3 2 3 2 2 2" xfId="29366"/>
    <cellStyle name="백분율 6 5 3 2 3 2 2 3" xfId="29367"/>
    <cellStyle name="백분율 6 5 3 2 3 2 3" xfId="29368"/>
    <cellStyle name="백분율 6 5 3 2 3 2 4" xfId="29369"/>
    <cellStyle name="백분율 6 5 3 2 3 3" xfId="29370"/>
    <cellStyle name="백분율 6 5 3 2 3 3 2" xfId="29371"/>
    <cellStyle name="백분율 6 5 3 2 3 3 3" xfId="29372"/>
    <cellStyle name="백분율 6 5 3 2 3 4" xfId="29373"/>
    <cellStyle name="백분율 6 5 3 2 3 5" xfId="29374"/>
    <cellStyle name="백분율 6 5 3 2 4" xfId="29375"/>
    <cellStyle name="백분율 6 5 3 2 4 2" xfId="29376"/>
    <cellStyle name="백분율 6 5 3 2 4 2 2" xfId="29377"/>
    <cellStyle name="백분율 6 5 3 2 4 2 3" xfId="29378"/>
    <cellStyle name="백분율 6 5 3 2 4 3" xfId="29379"/>
    <cellStyle name="백분율 6 5 3 2 4 4" xfId="29380"/>
    <cellStyle name="백분율 6 5 3 2 5" xfId="29381"/>
    <cellStyle name="백분율 6 5 3 2 5 2" xfId="29382"/>
    <cellStyle name="백분율 6 5 3 2 5 3" xfId="29383"/>
    <cellStyle name="백분율 6 5 3 2 6" xfId="29384"/>
    <cellStyle name="백분율 6 5 3 2 7" xfId="29385"/>
    <cellStyle name="백분율 6 5 3 3" xfId="29386"/>
    <cellStyle name="백분율 6 5 3 3 2" xfId="29387"/>
    <cellStyle name="백분율 6 5 3 3 2 2" xfId="29388"/>
    <cellStyle name="백분율 6 5 3 3 2 2 2" xfId="29389"/>
    <cellStyle name="백분율 6 5 3 3 2 2 2 2" xfId="29390"/>
    <cellStyle name="백분율 6 5 3 3 2 2 2 3" xfId="29391"/>
    <cellStyle name="백분율 6 5 3 3 2 2 3" xfId="29392"/>
    <cellStyle name="백분율 6 5 3 3 2 2 4" xfId="29393"/>
    <cellStyle name="백분율 6 5 3 3 2 3" xfId="29394"/>
    <cellStyle name="백분율 6 5 3 3 2 3 2" xfId="29395"/>
    <cellStyle name="백분율 6 5 3 3 2 3 3" xfId="29396"/>
    <cellStyle name="백분율 6 5 3 3 2 4" xfId="29397"/>
    <cellStyle name="백분율 6 5 3 3 2 5" xfId="29398"/>
    <cellStyle name="백분율 6 5 3 3 3" xfId="29399"/>
    <cellStyle name="백분율 6 5 3 3 3 2" xfId="29400"/>
    <cellStyle name="백분율 6 5 3 3 3 2 2" xfId="29401"/>
    <cellStyle name="백분율 6 5 3 3 3 2 2 2" xfId="29402"/>
    <cellStyle name="백분율 6 5 3 3 3 2 2 3" xfId="29403"/>
    <cellStyle name="백분율 6 5 3 3 3 2 3" xfId="29404"/>
    <cellStyle name="백분율 6 5 3 3 3 2 4" xfId="29405"/>
    <cellStyle name="백분율 6 5 3 3 3 3" xfId="29406"/>
    <cellStyle name="백분율 6 5 3 3 3 3 2" xfId="29407"/>
    <cellStyle name="백분율 6 5 3 3 3 3 3" xfId="29408"/>
    <cellStyle name="백분율 6 5 3 3 3 4" xfId="29409"/>
    <cellStyle name="백분율 6 5 3 3 3 5" xfId="29410"/>
    <cellStyle name="백분율 6 5 3 3 4" xfId="29411"/>
    <cellStyle name="백분율 6 5 3 3 4 2" xfId="29412"/>
    <cellStyle name="백분율 6 5 3 3 4 2 2" xfId="29413"/>
    <cellStyle name="백분율 6 5 3 3 4 2 3" xfId="29414"/>
    <cellStyle name="백분율 6 5 3 3 4 3" xfId="29415"/>
    <cellStyle name="백분율 6 5 3 3 4 4" xfId="29416"/>
    <cellStyle name="백분율 6 5 3 3 5" xfId="29417"/>
    <cellStyle name="백분율 6 5 3 3 5 2" xfId="29418"/>
    <cellStyle name="백분율 6 5 3 3 5 3" xfId="29419"/>
    <cellStyle name="백분율 6 5 3 3 6" xfId="29420"/>
    <cellStyle name="백분율 6 5 3 3 7" xfId="29421"/>
    <cellStyle name="백분율 6 5 3 4" xfId="29422"/>
    <cellStyle name="백분율 6 5 3 4 2" xfId="29423"/>
    <cellStyle name="백분율 6 5 3 4 2 2" xfId="29424"/>
    <cellStyle name="백분율 6 5 3 4 2 2 2" xfId="29425"/>
    <cellStyle name="백분율 6 5 3 4 2 2 3" xfId="29426"/>
    <cellStyle name="백분율 6 5 3 4 2 3" xfId="29427"/>
    <cellStyle name="백분율 6 5 3 4 2 4" xfId="29428"/>
    <cellStyle name="백분율 6 5 3 4 3" xfId="29429"/>
    <cellStyle name="백분율 6 5 3 4 3 2" xfId="29430"/>
    <cellStyle name="백분율 6 5 3 4 3 3" xfId="29431"/>
    <cellStyle name="백분율 6 5 3 4 4" xfId="29432"/>
    <cellStyle name="백분율 6 5 3 4 5" xfId="29433"/>
    <cellStyle name="백분율 6 5 3 5" xfId="29434"/>
    <cellStyle name="백분율 6 5 3 5 2" xfId="29435"/>
    <cellStyle name="백분율 6 5 3 5 2 2" xfId="29436"/>
    <cellStyle name="백분율 6 5 3 5 2 2 2" xfId="29437"/>
    <cellStyle name="백분율 6 5 3 5 2 2 3" xfId="29438"/>
    <cellStyle name="백분율 6 5 3 5 2 3" xfId="29439"/>
    <cellStyle name="백분율 6 5 3 5 2 4" xfId="29440"/>
    <cellStyle name="백분율 6 5 3 5 3" xfId="29441"/>
    <cellStyle name="백분율 6 5 3 5 3 2" xfId="29442"/>
    <cellStyle name="백분율 6 5 3 5 3 3" xfId="29443"/>
    <cellStyle name="백분율 6 5 3 5 4" xfId="29444"/>
    <cellStyle name="백분율 6 5 3 5 5" xfId="29445"/>
    <cellStyle name="백분율 6 5 3 6" xfId="29446"/>
    <cellStyle name="백분율 6 5 3 6 2" xfId="29447"/>
    <cellStyle name="백분율 6 5 3 6 2 2" xfId="29448"/>
    <cellStyle name="백분율 6 5 3 6 2 2 2" xfId="29449"/>
    <cellStyle name="백분율 6 5 3 6 2 2 3" xfId="29450"/>
    <cellStyle name="백분율 6 5 3 6 2 3" xfId="29451"/>
    <cellStyle name="백분율 6 5 3 6 2 4" xfId="29452"/>
    <cellStyle name="백분율 6 5 3 6 3" xfId="29453"/>
    <cellStyle name="백분율 6 5 3 6 3 2" xfId="29454"/>
    <cellStyle name="백분율 6 5 3 6 3 3" xfId="29455"/>
    <cellStyle name="백분율 6 5 3 6 4" xfId="29456"/>
    <cellStyle name="백분율 6 5 3 6 5" xfId="29457"/>
    <cellStyle name="백분율 6 5 3 7" xfId="29458"/>
    <cellStyle name="백분율 6 5 3 7 2" xfId="29459"/>
    <cellStyle name="백분율 6 5 3 7 2 2" xfId="29460"/>
    <cellStyle name="백분율 6 5 3 7 2 3" xfId="29461"/>
    <cellStyle name="백분율 6 5 3 7 3" xfId="29462"/>
    <cellStyle name="백분율 6 5 3 7 4" xfId="29463"/>
    <cellStyle name="백분율 6 5 3 8" xfId="29464"/>
    <cellStyle name="백분율 6 5 3 8 2" xfId="29465"/>
    <cellStyle name="백분율 6 5 3 8 3" xfId="29466"/>
    <cellStyle name="백분율 6 5 3 9" xfId="29467"/>
    <cellStyle name="백분율 6 5 4" xfId="29468"/>
    <cellStyle name="백분율 6 5 4 10" xfId="29469"/>
    <cellStyle name="백분율 6 5 4 2" xfId="29470"/>
    <cellStyle name="백분율 6 5 4 2 2" xfId="29471"/>
    <cellStyle name="백분율 6 5 4 2 2 2" xfId="29472"/>
    <cellStyle name="백분율 6 5 4 2 2 2 2" xfId="29473"/>
    <cellStyle name="백분율 6 5 4 2 2 2 2 2" xfId="29474"/>
    <cellStyle name="백분율 6 5 4 2 2 2 2 3" xfId="29475"/>
    <cellStyle name="백분율 6 5 4 2 2 2 3" xfId="29476"/>
    <cellStyle name="백분율 6 5 4 2 2 2 4" xfId="29477"/>
    <cellStyle name="백분율 6 5 4 2 2 3" xfId="29478"/>
    <cellStyle name="백분율 6 5 4 2 2 3 2" xfId="29479"/>
    <cellStyle name="백분율 6 5 4 2 2 3 3" xfId="29480"/>
    <cellStyle name="백분율 6 5 4 2 2 4" xfId="29481"/>
    <cellStyle name="백분율 6 5 4 2 2 5" xfId="29482"/>
    <cellStyle name="백분율 6 5 4 2 3" xfId="29483"/>
    <cellStyle name="백분율 6 5 4 2 3 2" xfId="29484"/>
    <cellStyle name="백분율 6 5 4 2 3 2 2" xfId="29485"/>
    <cellStyle name="백분율 6 5 4 2 3 2 2 2" xfId="29486"/>
    <cellStyle name="백분율 6 5 4 2 3 2 2 3" xfId="29487"/>
    <cellStyle name="백분율 6 5 4 2 3 2 3" xfId="29488"/>
    <cellStyle name="백분율 6 5 4 2 3 2 4" xfId="29489"/>
    <cellStyle name="백분율 6 5 4 2 3 3" xfId="29490"/>
    <cellStyle name="백분율 6 5 4 2 3 3 2" xfId="29491"/>
    <cellStyle name="백분율 6 5 4 2 3 3 3" xfId="29492"/>
    <cellStyle name="백분율 6 5 4 2 3 4" xfId="29493"/>
    <cellStyle name="백분율 6 5 4 2 3 5" xfId="29494"/>
    <cellStyle name="백분율 6 5 4 2 4" xfId="29495"/>
    <cellStyle name="백분율 6 5 4 2 4 2" xfId="29496"/>
    <cellStyle name="백분율 6 5 4 2 4 2 2" xfId="29497"/>
    <cellStyle name="백분율 6 5 4 2 4 2 3" xfId="29498"/>
    <cellStyle name="백분율 6 5 4 2 4 3" xfId="29499"/>
    <cellStyle name="백분율 6 5 4 2 4 4" xfId="29500"/>
    <cellStyle name="백분율 6 5 4 2 5" xfId="29501"/>
    <cellStyle name="백분율 6 5 4 2 5 2" xfId="29502"/>
    <cellStyle name="백분율 6 5 4 2 5 3" xfId="29503"/>
    <cellStyle name="백분율 6 5 4 2 6" xfId="29504"/>
    <cellStyle name="백분율 6 5 4 2 7" xfId="29505"/>
    <cellStyle name="백분율 6 5 4 3" xfId="29506"/>
    <cellStyle name="백분율 6 5 4 3 2" xfId="29507"/>
    <cellStyle name="백분율 6 5 4 3 2 2" xfId="29508"/>
    <cellStyle name="백분율 6 5 4 3 2 2 2" xfId="29509"/>
    <cellStyle name="백분율 6 5 4 3 2 2 2 2" xfId="29510"/>
    <cellStyle name="백분율 6 5 4 3 2 2 2 3" xfId="29511"/>
    <cellStyle name="백분율 6 5 4 3 2 2 3" xfId="29512"/>
    <cellStyle name="백분율 6 5 4 3 2 2 4" xfId="29513"/>
    <cellStyle name="백분율 6 5 4 3 2 3" xfId="29514"/>
    <cellStyle name="백분율 6 5 4 3 2 3 2" xfId="29515"/>
    <cellStyle name="백분율 6 5 4 3 2 3 3" xfId="29516"/>
    <cellStyle name="백분율 6 5 4 3 2 4" xfId="29517"/>
    <cellStyle name="백분율 6 5 4 3 2 5" xfId="29518"/>
    <cellStyle name="백분율 6 5 4 3 3" xfId="29519"/>
    <cellStyle name="백분율 6 5 4 3 3 2" xfId="29520"/>
    <cellStyle name="백분율 6 5 4 3 3 2 2" xfId="29521"/>
    <cellStyle name="백분율 6 5 4 3 3 2 2 2" xfId="29522"/>
    <cellStyle name="백분율 6 5 4 3 3 2 2 3" xfId="29523"/>
    <cellStyle name="백분율 6 5 4 3 3 2 3" xfId="29524"/>
    <cellStyle name="백분율 6 5 4 3 3 2 4" xfId="29525"/>
    <cellStyle name="백분율 6 5 4 3 3 3" xfId="29526"/>
    <cellStyle name="백분율 6 5 4 3 3 3 2" xfId="29527"/>
    <cellStyle name="백분율 6 5 4 3 3 3 3" xfId="29528"/>
    <cellStyle name="백분율 6 5 4 3 3 4" xfId="29529"/>
    <cellStyle name="백분율 6 5 4 3 3 5" xfId="29530"/>
    <cellStyle name="백분율 6 5 4 3 4" xfId="29531"/>
    <cellStyle name="백분율 6 5 4 3 4 2" xfId="29532"/>
    <cellStyle name="백분율 6 5 4 3 4 2 2" xfId="29533"/>
    <cellStyle name="백분율 6 5 4 3 4 2 3" xfId="29534"/>
    <cellStyle name="백분율 6 5 4 3 4 3" xfId="29535"/>
    <cellStyle name="백분율 6 5 4 3 4 4" xfId="29536"/>
    <cellStyle name="백분율 6 5 4 3 5" xfId="29537"/>
    <cellStyle name="백분율 6 5 4 3 5 2" xfId="29538"/>
    <cellStyle name="백분율 6 5 4 3 5 3" xfId="29539"/>
    <cellStyle name="백분율 6 5 4 3 6" xfId="29540"/>
    <cellStyle name="백분율 6 5 4 3 7" xfId="29541"/>
    <cellStyle name="백분율 6 5 4 4" xfId="29542"/>
    <cellStyle name="백분율 6 5 4 4 2" xfId="29543"/>
    <cellStyle name="백분율 6 5 4 4 2 2" xfId="29544"/>
    <cellStyle name="백분율 6 5 4 4 2 2 2" xfId="29545"/>
    <cellStyle name="백분율 6 5 4 4 2 2 3" xfId="29546"/>
    <cellStyle name="백분율 6 5 4 4 2 3" xfId="29547"/>
    <cellStyle name="백분율 6 5 4 4 2 4" xfId="29548"/>
    <cellStyle name="백분율 6 5 4 4 3" xfId="29549"/>
    <cellStyle name="백분율 6 5 4 4 3 2" xfId="29550"/>
    <cellStyle name="백분율 6 5 4 4 3 3" xfId="29551"/>
    <cellStyle name="백분율 6 5 4 4 4" xfId="29552"/>
    <cellStyle name="백분율 6 5 4 4 5" xfId="29553"/>
    <cellStyle name="백분율 6 5 4 5" xfId="29554"/>
    <cellStyle name="백분율 6 5 4 5 2" xfId="29555"/>
    <cellStyle name="백분율 6 5 4 5 2 2" xfId="29556"/>
    <cellStyle name="백분율 6 5 4 5 2 2 2" xfId="29557"/>
    <cellStyle name="백분율 6 5 4 5 2 2 3" xfId="29558"/>
    <cellStyle name="백분율 6 5 4 5 2 3" xfId="29559"/>
    <cellStyle name="백분율 6 5 4 5 2 4" xfId="29560"/>
    <cellStyle name="백분율 6 5 4 5 3" xfId="29561"/>
    <cellStyle name="백분율 6 5 4 5 3 2" xfId="29562"/>
    <cellStyle name="백분율 6 5 4 5 3 3" xfId="29563"/>
    <cellStyle name="백분율 6 5 4 5 4" xfId="29564"/>
    <cellStyle name="백분율 6 5 4 5 5" xfId="29565"/>
    <cellStyle name="백분율 6 5 4 6" xfId="29566"/>
    <cellStyle name="백분율 6 5 4 6 2" xfId="29567"/>
    <cellStyle name="백분율 6 5 4 6 2 2" xfId="29568"/>
    <cellStyle name="백분율 6 5 4 6 2 2 2" xfId="29569"/>
    <cellStyle name="백분율 6 5 4 6 2 2 3" xfId="29570"/>
    <cellStyle name="백분율 6 5 4 6 2 3" xfId="29571"/>
    <cellStyle name="백분율 6 5 4 6 2 4" xfId="29572"/>
    <cellStyle name="백분율 6 5 4 6 3" xfId="29573"/>
    <cellStyle name="백분율 6 5 4 6 3 2" xfId="29574"/>
    <cellStyle name="백분율 6 5 4 6 3 3" xfId="29575"/>
    <cellStyle name="백분율 6 5 4 6 4" xfId="29576"/>
    <cellStyle name="백분율 6 5 4 6 5" xfId="29577"/>
    <cellStyle name="백분율 6 5 4 7" xfId="29578"/>
    <cellStyle name="백분율 6 5 4 7 2" xfId="29579"/>
    <cellStyle name="백분율 6 5 4 7 2 2" xfId="29580"/>
    <cellStyle name="백분율 6 5 4 7 2 3" xfId="29581"/>
    <cellStyle name="백분율 6 5 4 7 3" xfId="29582"/>
    <cellStyle name="백분율 6 5 4 7 4" xfId="29583"/>
    <cellStyle name="백분율 6 5 4 8" xfId="29584"/>
    <cellStyle name="백분율 6 5 4 8 2" xfId="29585"/>
    <cellStyle name="백분율 6 5 4 8 3" xfId="29586"/>
    <cellStyle name="백분율 6 5 4 9" xfId="29587"/>
    <cellStyle name="백분율 6 5 5" xfId="29588"/>
    <cellStyle name="백분율 6 5 5 2" xfId="29589"/>
    <cellStyle name="백분율 6 5 5 2 2" xfId="29590"/>
    <cellStyle name="백분율 6 5 5 2 2 2" xfId="29591"/>
    <cellStyle name="백분율 6 5 5 2 2 2 2" xfId="29592"/>
    <cellStyle name="백분율 6 5 5 2 2 2 3" xfId="29593"/>
    <cellStyle name="백분율 6 5 5 2 2 3" xfId="29594"/>
    <cellStyle name="백분율 6 5 5 2 2 4" xfId="29595"/>
    <cellStyle name="백분율 6 5 5 2 3" xfId="29596"/>
    <cellStyle name="백분율 6 5 5 2 3 2" xfId="29597"/>
    <cellStyle name="백분율 6 5 5 2 3 3" xfId="29598"/>
    <cellStyle name="백분율 6 5 5 2 4" xfId="29599"/>
    <cellStyle name="백분율 6 5 5 2 5" xfId="29600"/>
    <cellStyle name="백분율 6 5 5 3" xfId="29601"/>
    <cellStyle name="백분율 6 5 5 3 2" xfId="29602"/>
    <cellStyle name="백분율 6 5 5 3 2 2" xfId="29603"/>
    <cellStyle name="백분율 6 5 5 3 2 2 2" xfId="29604"/>
    <cellStyle name="백분율 6 5 5 3 2 2 3" xfId="29605"/>
    <cellStyle name="백분율 6 5 5 3 2 3" xfId="29606"/>
    <cellStyle name="백분율 6 5 5 3 2 4" xfId="29607"/>
    <cellStyle name="백분율 6 5 5 3 3" xfId="29608"/>
    <cellStyle name="백분율 6 5 5 3 3 2" xfId="29609"/>
    <cellStyle name="백분율 6 5 5 3 3 3" xfId="29610"/>
    <cellStyle name="백분율 6 5 5 3 4" xfId="29611"/>
    <cellStyle name="백분율 6 5 5 3 5" xfId="29612"/>
    <cellStyle name="백분율 6 5 5 4" xfId="29613"/>
    <cellStyle name="백분율 6 5 5 4 2" xfId="29614"/>
    <cellStyle name="백분율 6 5 5 4 2 2" xfId="29615"/>
    <cellStyle name="백분율 6 5 5 4 2 3" xfId="29616"/>
    <cellStyle name="백분율 6 5 5 4 3" xfId="29617"/>
    <cellStyle name="백분율 6 5 5 4 4" xfId="29618"/>
    <cellStyle name="백분율 6 5 5 5" xfId="29619"/>
    <cellStyle name="백분율 6 5 5 5 2" xfId="29620"/>
    <cellStyle name="백분율 6 5 5 5 3" xfId="29621"/>
    <cellStyle name="백분율 6 5 5 6" xfId="29622"/>
    <cellStyle name="백분율 6 5 5 7" xfId="29623"/>
    <cellStyle name="백분율 6 5 6" xfId="29624"/>
    <cellStyle name="백분율 6 5 6 2" xfId="29625"/>
    <cellStyle name="백분율 6 5 6 2 2" xfId="29626"/>
    <cellStyle name="백분율 6 5 6 2 2 2" xfId="29627"/>
    <cellStyle name="백분율 6 5 6 2 2 2 2" xfId="29628"/>
    <cellStyle name="백분율 6 5 6 2 2 2 3" xfId="29629"/>
    <cellStyle name="백분율 6 5 6 2 2 3" xfId="29630"/>
    <cellStyle name="백분율 6 5 6 2 2 4" xfId="29631"/>
    <cellStyle name="백분율 6 5 6 2 3" xfId="29632"/>
    <cellStyle name="백분율 6 5 6 2 3 2" xfId="29633"/>
    <cellStyle name="백분율 6 5 6 2 3 3" xfId="29634"/>
    <cellStyle name="백분율 6 5 6 2 4" xfId="29635"/>
    <cellStyle name="백분율 6 5 6 2 5" xfId="29636"/>
    <cellStyle name="백분율 6 5 6 3" xfId="29637"/>
    <cellStyle name="백분율 6 5 6 3 2" xfId="29638"/>
    <cellStyle name="백분율 6 5 6 3 2 2" xfId="29639"/>
    <cellStyle name="백분율 6 5 6 3 2 2 2" xfId="29640"/>
    <cellStyle name="백분율 6 5 6 3 2 2 3" xfId="29641"/>
    <cellStyle name="백분율 6 5 6 3 2 3" xfId="29642"/>
    <cellStyle name="백분율 6 5 6 3 2 4" xfId="29643"/>
    <cellStyle name="백분율 6 5 6 3 3" xfId="29644"/>
    <cellStyle name="백분율 6 5 6 3 3 2" xfId="29645"/>
    <cellStyle name="백분율 6 5 6 3 3 3" xfId="29646"/>
    <cellStyle name="백분율 6 5 6 3 4" xfId="29647"/>
    <cellStyle name="백분율 6 5 6 3 5" xfId="29648"/>
    <cellStyle name="백분율 6 5 6 4" xfId="29649"/>
    <cellStyle name="백분율 6 5 6 4 2" xfId="29650"/>
    <cellStyle name="백분율 6 5 6 4 2 2" xfId="29651"/>
    <cellStyle name="백분율 6 5 6 4 2 3" xfId="29652"/>
    <cellStyle name="백분율 6 5 6 4 3" xfId="29653"/>
    <cellStyle name="백분율 6 5 6 4 4" xfId="29654"/>
    <cellStyle name="백분율 6 5 6 5" xfId="29655"/>
    <cellStyle name="백분율 6 5 6 5 2" xfId="29656"/>
    <cellStyle name="백분율 6 5 6 5 3" xfId="29657"/>
    <cellStyle name="백분율 6 5 6 6" xfId="29658"/>
    <cellStyle name="백분율 6 5 6 7" xfId="29659"/>
    <cellStyle name="백분율 6 5 7" xfId="29660"/>
    <cellStyle name="백분율 6 5 7 2" xfId="29661"/>
    <cellStyle name="백분율 6 5 7 2 2" xfId="29662"/>
    <cellStyle name="백분율 6 5 7 2 2 2" xfId="29663"/>
    <cellStyle name="백분율 6 5 7 2 2 3" xfId="29664"/>
    <cellStyle name="백분율 6 5 7 2 3" xfId="29665"/>
    <cellStyle name="백분율 6 5 7 2 4" xfId="29666"/>
    <cellStyle name="백분율 6 5 7 3" xfId="29667"/>
    <cellStyle name="백분율 6 5 7 3 2" xfId="29668"/>
    <cellStyle name="백분율 6 5 7 3 3" xfId="29669"/>
    <cellStyle name="백분율 6 5 7 4" xfId="29670"/>
    <cellStyle name="백분율 6 5 7 5" xfId="29671"/>
    <cellStyle name="백분율 6 5 8" xfId="29672"/>
    <cellStyle name="백분율 6 5 8 2" xfId="29673"/>
    <cellStyle name="백분율 6 5 8 2 2" xfId="29674"/>
    <cellStyle name="백분율 6 5 8 2 2 2" xfId="29675"/>
    <cellStyle name="백분율 6 5 8 2 2 3" xfId="29676"/>
    <cellStyle name="백분율 6 5 8 2 3" xfId="29677"/>
    <cellStyle name="백분율 6 5 8 2 4" xfId="29678"/>
    <cellStyle name="백분율 6 5 8 3" xfId="29679"/>
    <cellStyle name="백분율 6 5 8 3 2" xfId="29680"/>
    <cellStyle name="백분율 6 5 8 3 3" xfId="29681"/>
    <cellStyle name="백분율 6 5 8 4" xfId="29682"/>
    <cellStyle name="백분율 6 5 8 5" xfId="29683"/>
    <cellStyle name="백분율 6 5 9" xfId="29684"/>
    <cellStyle name="백분율 6 5 9 2" xfId="29685"/>
    <cellStyle name="백분율 6 5 9 2 2" xfId="29686"/>
    <cellStyle name="백분율 6 5 9 2 2 2" xfId="29687"/>
    <cellStyle name="백분율 6 5 9 2 2 3" xfId="29688"/>
    <cellStyle name="백분율 6 5 9 2 3" xfId="29689"/>
    <cellStyle name="백분율 6 5 9 2 4" xfId="29690"/>
    <cellStyle name="백분율 6 5 9 3" xfId="29691"/>
    <cellStyle name="백분율 6 5 9 3 2" xfId="29692"/>
    <cellStyle name="백분율 6 5 9 3 3" xfId="29693"/>
    <cellStyle name="백분율 6 5 9 4" xfId="29694"/>
    <cellStyle name="백분율 6 5 9 5" xfId="29695"/>
    <cellStyle name="백분율 6 6" xfId="29696"/>
    <cellStyle name="백분율 6 6 10" xfId="29697"/>
    <cellStyle name="백분율 6 6 2" xfId="29698"/>
    <cellStyle name="백분율 6 6 2 2" xfId="29699"/>
    <cellStyle name="백분율 6 6 2 2 2" xfId="29700"/>
    <cellStyle name="백분율 6 6 2 2 2 2" xfId="29701"/>
    <cellStyle name="백분율 6 6 2 2 2 2 2" xfId="29702"/>
    <cellStyle name="백분율 6 6 2 2 2 2 3" xfId="29703"/>
    <cellStyle name="백분율 6 6 2 2 2 3" xfId="29704"/>
    <cellStyle name="백분율 6 6 2 2 2 4" xfId="29705"/>
    <cellStyle name="백분율 6 6 2 2 3" xfId="29706"/>
    <cellStyle name="백분율 6 6 2 2 3 2" xfId="29707"/>
    <cellStyle name="백분율 6 6 2 2 3 3" xfId="29708"/>
    <cellStyle name="백분율 6 6 2 2 4" xfId="29709"/>
    <cellStyle name="백분율 6 6 2 2 5" xfId="29710"/>
    <cellStyle name="백분율 6 6 2 3" xfId="29711"/>
    <cellStyle name="백분율 6 6 2 3 2" xfId="29712"/>
    <cellStyle name="백분율 6 6 2 3 2 2" xfId="29713"/>
    <cellStyle name="백분율 6 6 2 3 2 2 2" xfId="29714"/>
    <cellStyle name="백분율 6 6 2 3 2 2 3" xfId="29715"/>
    <cellStyle name="백분율 6 6 2 3 2 3" xfId="29716"/>
    <cellStyle name="백분율 6 6 2 3 2 4" xfId="29717"/>
    <cellStyle name="백분율 6 6 2 3 3" xfId="29718"/>
    <cellStyle name="백분율 6 6 2 3 3 2" xfId="29719"/>
    <cellStyle name="백분율 6 6 2 3 3 3" xfId="29720"/>
    <cellStyle name="백분율 6 6 2 3 4" xfId="29721"/>
    <cellStyle name="백분율 6 6 2 3 5" xfId="29722"/>
    <cellStyle name="백분율 6 6 2 4" xfId="29723"/>
    <cellStyle name="백분율 6 6 2 4 2" xfId="29724"/>
    <cellStyle name="백분율 6 6 2 4 2 2" xfId="29725"/>
    <cellStyle name="백분율 6 6 2 4 2 3" xfId="29726"/>
    <cellStyle name="백분율 6 6 2 4 3" xfId="29727"/>
    <cellStyle name="백분율 6 6 2 4 4" xfId="29728"/>
    <cellStyle name="백분율 6 6 2 5" xfId="29729"/>
    <cellStyle name="백분율 6 6 2 5 2" xfId="29730"/>
    <cellStyle name="백분율 6 6 2 5 3" xfId="29731"/>
    <cellStyle name="백분율 6 6 2 6" xfId="29732"/>
    <cellStyle name="백분율 6 6 2 7" xfId="29733"/>
    <cellStyle name="백분율 6 6 3" xfId="29734"/>
    <cellStyle name="백분율 6 6 3 2" xfId="29735"/>
    <cellStyle name="백분율 6 6 3 2 2" xfId="29736"/>
    <cellStyle name="백분율 6 6 3 2 2 2" xfId="29737"/>
    <cellStyle name="백분율 6 6 3 2 2 2 2" xfId="29738"/>
    <cellStyle name="백분율 6 6 3 2 2 2 3" xfId="29739"/>
    <cellStyle name="백분율 6 6 3 2 2 3" xfId="29740"/>
    <cellStyle name="백분율 6 6 3 2 2 4" xfId="29741"/>
    <cellStyle name="백분율 6 6 3 2 3" xfId="29742"/>
    <cellStyle name="백분율 6 6 3 2 3 2" xfId="29743"/>
    <cellStyle name="백분율 6 6 3 2 3 3" xfId="29744"/>
    <cellStyle name="백분율 6 6 3 2 4" xfId="29745"/>
    <cellStyle name="백분율 6 6 3 2 5" xfId="29746"/>
    <cellStyle name="백분율 6 6 3 3" xfId="29747"/>
    <cellStyle name="백분율 6 6 3 3 2" xfId="29748"/>
    <cellStyle name="백분율 6 6 3 3 2 2" xfId="29749"/>
    <cellStyle name="백분율 6 6 3 3 2 2 2" xfId="29750"/>
    <cellStyle name="백분율 6 6 3 3 2 2 3" xfId="29751"/>
    <cellStyle name="백분율 6 6 3 3 2 3" xfId="29752"/>
    <cellStyle name="백분율 6 6 3 3 2 4" xfId="29753"/>
    <cellStyle name="백분율 6 6 3 3 3" xfId="29754"/>
    <cellStyle name="백분율 6 6 3 3 3 2" xfId="29755"/>
    <cellStyle name="백분율 6 6 3 3 3 3" xfId="29756"/>
    <cellStyle name="백분율 6 6 3 3 4" xfId="29757"/>
    <cellStyle name="백분율 6 6 3 3 5" xfId="29758"/>
    <cellStyle name="백분율 6 6 3 4" xfId="29759"/>
    <cellStyle name="백분율 6 6 3 4 2" xfId="29760"/>
    <cellStyle name="백분율 6 6 3 4 2 2" xfId="29761"/>
    <cellStyle name="백분율 6 6 3 4 2 3" xfId="29762"/>
    <cellStyle name="백분율 6 6 3 4 3" xfId="29763"/>
    <cellStyle name="백분율 6 6 3 4 4" xfId="29764"/>
    <cellStyle name="백분율 6 6 3 5" xfId="29765"/>
    <cellStyle name="백분율 6 6 3 5 2" xfId="29766"/>
    <cellStyle name="백분율 6 6 3 5 3" xfId="29767"/>
    <cellStyle name="백분율 6 6 3 6" xfId="29768"/>
    <cellStyle name="백분율 6 6 3 7" xfId="29769"/>
    <cellStyle name="백분율 6 6 4" xfId="29770"/>
    <cellStyle name="백분율 6 6 4 2" xfId="29771"/>
    <cellStyle name="백분율 6 6 4 2 2" xfId="29772"/>
    <cellStyle name="백분율 6 6 4 2 2 2" xfId="29773"/>
    <cellStyle name="백분율 6 6 4 2 2 3" xfId="29774"/>
    <cellStyle name="백분율 6 6 4 2 3" xfId="29775"/>
    <cellStyle name="백분율 6 6 4 2 4" xfId="29776"/>
    <cellStyle name="백분율 6 6 4 3" xfId="29777"/>
    <cellStyle name="백분율 6 6 4 3 2" xfId="29778"/>
    <cellStyle name="백분율 6 6 4 3 3" xfId="29779"/>
    <cellStyle name="백분율 6 6 4 4" xfId="29780"/>
    <cellStyle name="백분율 6 6 4 5" xfId="29781"/>
    <cellStyle name="백분율 6 6 5" xfId="29782"/>
    <cellStyle name="백분율 6 6 5 2" xfId="29783"/>
    <cellStyle name="백분율 6 6 5 2 2" xfId="29784"/>
    <cellStyle name="백분율 6 6 5 2 2 2" xfId="29785"/>
    <cellStyle name="백분율 6 6 5 2 2 3" xfId="29786"/>
    <cellStyle name="백분율 6 6 5 2 3" xfId="29787"/>
    <cellStyle name="백분율 6 6 5 2 4" xfId="29788"/>
    <cellStyle name="백분율 6 6 5 3" xfId="29789"/>
    <cellStyle name="백분율 6 6 5 3 2" xfId="29790"/>
    <cellStyle name="백분율 6 6 5 3 3" xfId="29791"/>
    <cellStyle name="백분율 6 6 5 4" xfId="29792"/>
    <cellStyle name="백분율 6 6 5 5" xfId="29793"/>
    <cellStyle name="백분율 6 6 6" xfId="29794"/>
    <cellStyle name="백분율 6 6 6 2" xfId="29795"/>
    <cellStyle name="백분율 6 6 6 2 2" xfId="29796"/>
    <cellStyle name="백분율 6 6 6 2 2 2" xfId="29797"/>
    <cellStyle name="백분율 6 6 6 2 2 3" xfId="29798"/>
    <cellStyle name="백분율 6 6 6 2 3" xfId="29799"/>
    <cellStyle name="백분율 6 6 6 2 4" xfId="29800"/>
    <cellStyle name="백분율 6 6 6 3" xfId="29801"/>
    <cellStyle name="백분율 6 6 6 3 2" xfId="29802"/>
    <cellStyle name="백분율 6 6 6 3 3" xfId="29803"/>
    <cellStyle name="백분율 6 6 6 4" xfId="29804"/>
    <cellStyle name="백분율 6 6 6 5" xfId="29805"/>
    <cellStyle name="백분율 6 6 7" xfId="29806"/>
    <cellStyle name="백분율 6 6 7 2" xfId="29807"/>
    <cellStyle name="백분율 6 6 7 2 2" xfId="29808"/>
    <cellStyle name="백분율 6 6 7 2 3" xfId="29809"/>
    <cellStyle name="백분율 6 6 7 3" xfId="29810"/>
    <cellStyle name="백분율 6 6 7 4" xfId="29811"/>
    <cellStyle name="백분율 6 6 8" xfId="29812"/>
    <cellStyle name="백분율 6 6 8 2" xfId="29813"/>
    <cellStyle name="백분율 6 6 8 3" xfId="29814"/>
    <cellStyle name="백분율 6 6 9" xfId="29815"/>
    <cellStyle name="백분율 6 7" xfId="29816"/>
    <cellStyle name="백분율 6 7 10" xfId="29817"/>
    <cellStyle name="백분율 6 7 2" xfId="29818"/>
    <cellStyle name="백분율 6 7 2 2" xfId="29819"/>
    <cellStyle name="백분율 6 7 2 2 2" xfId="29820"/>
    <cellStyle name="백분율 6 7 2 2 2 2" xfId="29821"/>
    <cellStyle name="백분율 6 7 2 2 2 2 2" xfId="29822"/>
    <cellStyle name="백분율 6 7 2 2 2 2 3" xfId="29823"/>
    <cellStyle name="백분율 6 7 2 2 2 3" xfId="29824"/>
    <cellStyle name="백분율 6 7 2 2 2 4" xfId="29825"/>
    <cellStyle name="백분율 6 7 2 2 3" xfId="29826"/>
    <cellStyle name="백분율 6 7 2 2 3 2" xfId="29827"/>
    <cellStyle name="백분율 6 7 2 2 3 3" xfId="29828"/>
    <cellStyle name="백분율 6 7 2 2 4" xfId="29829"/>
    <cellStyle name="백분율 6 7 2 2 5" xfId="29830"/>
    <cellStyle name="백분율 6 7 2 3" xfId="29831"/>
    <cellStyle name="백분율 6 7 2 3 2" xfId="29832"/>
    <cellStyle name="백분율 6 7 2 3 2 2" xfId="29833"/>
    <cellStyle name="백분율 6 7 2 3 2 2 2" xfId="29834"/>
    <cellStyle name="백분율 6 7 2 3 2 2 3" xfId="29835"/>
    <cellStyle name="백분율 6 7 2 3 2 3" xfId="29836"/>
    <cellStyle name="백분율 6 7 2 3 2 4" xfId="29837"/>
    <cellStyle name="백분율 6 7 2 3 3" xfId="29838"/>
    <cellStyle name="백분율 6 7 2 3 3 2" xfId="29839"/>
    <cellStyle name="백분율 6 7 2 3 3 3" xfId="29840"/>
    <cellStyle name="백분율 6 7 2 3 4" xfId="29841"/>
    <cellStyle name="백분율 6 7 2 3 5" xfId="29842"/>
    <cellStyle name="백분율 6 7 2 4" xfId="29843"/>
    <cellStyle name="백분율 6 7 2 4 2" xfId="29844"/>
    <cellStyle name="백분율 6 7 2 4 2 2" xfId="29845"/>
    <cellStyle name="백분율 6 7 2 4 2 3" xfId="29846"/>
    <cellStyle name="백분율 6 7 2 4 3" xfId="29847"/>
    <cellStyle name="백분율 6 7 2 4 4" xfId="29848"/>
    <cellStyle name="백분율 6 7 2 5" xfId="29849"/>
    <cellStyle name="백분율 6 7 2 5 2" xfId="29850"/>
    <cellStyle name="백분율 6 7 2 5 3" xfId="29851"/>
    <cellStyle name="백분율 6 7 2 6" xfId="29852"/>
    <cellStyle name="백분율 6 7 2 7" xfId="29853"/>
    <cellStyle name="백분율 6 7 3" xfId="29854"/>
    <cellStyle name="백분율 6 7 3 2" xfId="29855"/>
    <cellStyle name="백분율 6 7 3 2 2" xfId="29856"/>
    <cellStyle name="백분율 6 7 3 2 2 2" xfId="29857"/>
    <cellStyle name="백분율 6 7 3 2 2 2 2" xfId="29858"/>
    <cellStyle name="백분율 6 7 3 2 2 2 3" xfId="29859"/>
    <cellStyle name="백분율 6 7 3 2 2 3" xfId="29860"/>
    <cellStyle name="백분율 6 7 3 2 2 4" xfId="29861"/>
    <cellStyle name="백분율 6 7 3 2 3" xfId="29862"/>
    <cellStyle name="백분율 6 7 3 2 3 2" xfId="29863"/>
    <cellStyle name="백분율 6 7 3 2 3 3" xfId="29864"/>
    <cellStyle name="백분율 6 7 3 2 4" xfId="29865"/>
    <cellStyle name="백분율 6 7 3 2 5" xfId="29866"/>
    <cellStyle name="백분율 6 7 3 3" xfId="29867"/>
    <cellStyle name="백분율 6 7 3 3 2" xfId="29868"/>
    <cellStyle name="백분율 6 7 3 3 2 2" xfId="29869"/>
    <cellStyle name="백분율 6 7 3 3 2 2 2" xfId="29870"/>
    <cellStyle name="백분율 6 7 3 3 2 2 3" xfId="29871"/>
    <cellStyle name="백분율 6 7 3 3 2 3" xfId="29872"/>
    <cellStyle name="백분율 6 7 3 3 2 4" xfId="29873"/>
    <cellStyle name="백분율 6 7 3 3 3" xfId="29874"/>
    <cellStyle name="백분율 6 7 3 3 3 2" xfId="29875"/>
    <cellStyle name="백분율 6 7 3 3 3 3" xfId="29876"/>
    <cellStyle name="백분율 6 7 3 3 4" xfId="29877"/>
    <cellStyle name="백분율 6 7 3 3 5" xfId="29878"/>
    <cellStyle name="백분율 6 7 3 4" xfId="29879"/>
    <cellStyle name="백분율 6 7 3 4 2" xfId="29880"/>
    <cellStyle name="백분율 6 7 3 4 2 2" xfId="29881"/>
    <cellStyle name="백분율 6 7 3 4 2 3" xfId="29882"/>
    <cellStyle name="백분율 6 7 3 4 3" xfId="29883"/>
    <cellStyle name="백분율 6 7 3 4 4" xfId="29884"/>
    <cellStyle name="백분율 6 7 3 5" xfId="29885"/>
    <cellStyle name="백분율 6 7 3 5 2" xfId="29886"/>
    <cellStyle name="백분율 6 7 3 5 3" xfId="29887"/>
    <cellStyle name="백분율 6 7 3 6" xfId="29888"/>
    <cellStyle name="백분율 6 7 3 7" xfId="29889"/>
    <cellStyle name="백분율 6 7 4" xfId="29890"/>
    <cellStyle name="백분율 6 7 4 2" xfId="29891"/>
    <cellStyle name="백분율 6 7 4 2 2" xfId="29892"/>
    <cellStyle name="백분율 6 7 4 2 2 2" xfId="29893"/>
    <cellStyle name="백분율 6 7 4 2 2 3" xfId="29894"/>
    <cellStyle name="백분율 6 7 4 2 3" xfId="29895"/>
    <cellStyle name="백분율 6 7 4 2 4" xfId="29896"/>
    <cellStyle name="백분율 6 7 4 3" xfId="29897"/>
    <cellStyle name="백분율 6 7 4 3 2" xfId="29898"/>
    <cellStyle name="백분율 6 7 4 3 3" xfId="29899"/>
    <cellStyle name="백분율 6 7 4 4" xfId="29900"/>
    <cellStyle name="백분율 6 7 4 5" xfId="29901"/>
    <cellStyle name="백분율 6 7 5" xfId="29902"/>
    <cellStyle name="백분율 6 7 5 2" xfId="29903"/>
    <cellStyle name="백분율 6 7 5 2 2" xfId="29904"/>
    <cellStyle name="백분율 6 7 5 2 2 2" xfId="29905"/>
    <cellStyle name="백분율 6 7 5 2 2 3" xfId="29906"/>
    <cellStyle name="백분율 6 7 5 2 3" xfId="29907"/>
    <cellStyle name="백분율 6 7 5 2 4" xfId="29908"/>
    <cellStyle name="백분율 6 7 5 3" xfId="29909"/>
    <cellStyle name="백분율 6 7 5 3 2" xfId="29910"/>
    <cellStyle name="백분율 6 7 5 3 3" xfId="29911"/>
    <cellStyle name="백분율 6 7 5 4" xfId="29912"/>
    <cellStyle name="백분율 6 7 5 5" xfId="29913"/>
    <cellStyle name="백분율 6 7 6" xfId="29914"/>
    <cellStyle name="백분율 6 7 6 2" xfId="29915"/>
    <cellStyle name="백분율 6 7 6 2 2" xfId="29916"/>
    <cellStyle name="백분율 6 7 6 2 2 2" xfId="29917"/>
    <cellStyle name="백분율 6 7 6 2 2 3" xfId="29918"/>
    <cellStyle name="백분율 6 7 6 2 3" xfId="29919"/>
    <cellStyle name="백분율 6 7 6 2 4" xfId="29920"/>
    <cellStyle name="백분율 6 7 6 3" xfId="29921"/>
    <cellStyle name="백분율 6 7 6 3 2" xfId="29922"/>
    <cellStyle name="백분율 6 7 6 3 3" xfId="29923"/>
    <cellStyle name="백분율 6 7 6 4" xfId="29924"/>
    <cellStyle name="백분율 6 7 6 5" xfId="29925"/>
    <cellStyle name="백분율 6 7 7" xfId="29926"/>
    <cellStyle name="백분율 6 7 7 2" xfId="29927"/>
    <cellStyle name="백분율 6 7 7 2 2" xfId="29928"/>
    <cellStyle name="백분율 6 7 7 2 3" xfId="29929"/>
    <cellStyle name="백분율 6 7 7 3" xfId="29930"/>
    <cellStyle name="백분율 6 7 7 4" xfId="29931"/>
    <cellStyle name="백분율 6 7 8" xfId="29932"/>
    <cellStyle name="백분율 6 7 8 2" xfId="29933"/>
    <cellStyle name="백분율 6 7 8 3" xfId="29934"/>
    <cellStyle name="백분율 6 7 9" xfId="29935"/>
    <cellStyle name="백분율 6 8" xfId="29936"/>
    <cellStyle name="백분율 6 8 10" xfId="29937"/>
    <cellStyle name="백분율 6 8 2" xfId="29938"/>
    <cellStyle name="백분율 6 8 2 2" xfId="29939"/>
    <cellStyle name="백분율 6 8 2 2 2" xfId="29940"/>
    <cellStyle name="백분율 6 8 2 2 2 2" xfId="29941"/>
    <cellStyle name="백분율 6 8 2 2 2 2 2" xfId="29942"/>
    <cellStyle name="백분율 6 8 2 2 2 2 3" xfId="29943"/>
    <cellStyle name="백분율 6 8 2 2 2 3" xfId="29944"/>
    <cellStyle name="백분율 6 8 2 2 2 4" xfId="29945"/>
    <cellStyle name="백분율 6 8 2 2 3" xfId="29946"/>
    <cellStyle name="백분율 6 8 2 2 3 2" xfId="29947"/>
    <cellStyle name="백분율 6 8 2 2 3 3" xfId="29948"/>
    <cellStyle name="백분율 6 8 2 2 4" xfId="29949"/>
    <cellStyle name="백분율 6 8 2 2 5" xfId="29950"/>
    <cellStyle name="백분율 6 8 2 3" xfId="29951"/>
    <cellStyle name="백분율 6 8 2 3 2" xfId="29952"/>
    <cellStyle name="백분율 6 8 2 3 2 2" xfId="29953"/>
    <cellStyle name="백분율 6 8 2 3 2 2 2" xfId="29954"/>
    <cellStyle name="백분율 6 8 2 3 2 2 3" xfId="29955"/>
    <cellStyle name="백분율 6 8 2 3 2 3" xfId="29956"/>
    <cellStyle name="백분율 6 8 2 3 2 4" xfId="29957"/>
    <cellStyle name="백분율 6 8 2 3 3" xfId="29958"/>
    <cellStyle name="백분율 6 8 2 3 3 2" xfId="29959"/>
    <cellStyle name="백분율 6 8 2 3 3 3" xfId="29960"/>
    <cellStyle name="백분율 6 8 2 3 4" xfId="29961"/>
    <cellStyle name="백분율 6 8 2 3 5" xfId="29962"/>
    <cellStyle name="백분율 6 8 2 4" xfId="29963"/>
    <cellStyle name="백분율 6 8 2 4 2" xfId="29964"/>
    <cellStyle name="백분율 6 8 2 4 2 2" xfId="29965"/>
    <cellStyle name="백분율 6 8 2 4 2 3" xfId="29966"/>
    <cellStyle name="백분율 6 8 2 4 3" xfId="29967"/>
    <cellStyle name="백분율 6 8 2 4 4" xfId="29968"/>
    <cellStyle name="백분율 6 8 2 5" xfId="29969"/>
    <cellStyle name="백분율 6 8 2 5 2" xfId="29970"/>
    <cellStyle name="백분율 6 8 2 5 3" xfId="29971"/>
    <cellStyle name="백분율 6 8 2 6" xfId="29972"/>
    <cellStyle name="백분율 6 8 2 7" xfId="29973"/>
    <cellStyle name="백분율 6 8 3" xfId="29974"/>
    <cellStyle name="백분율 6 8 3 2" xfId="29975"/>
    <cellStyle name="백분율 6 8 3 2 2" xfId="29976"/>
    <cellStyle name="백분율 6 8 3 2 2 2" xfId="29977"/>
    <cellStyle name="백분율 6 8 3 2 2 2 2" xfId="29978"/>
    <cellStyle name="백분율 6 8 3 2 2 2 3" xfId="29979"/>
    <cellStyle name="백분율 6 8 3 2 2 3" xfId="29980"/>
    <cellStyle name="백분율 6 8 3 2 2 4" xfId="29981"/>
    <cellStyle name="백분율 6 8 3 2 3" xfId="29982"/>
    <cellStyle name="백분율 6 8 3 2 3 2" xfId="29983"/>
    <cellStyle name="백분율 6 8 3 2 3 3" xfId="29984"/>
    <cellStyle name="백분율 6 8 3 2 4" xfId="29985"/>
    <cellStyle name="백분율 6 8 3 2 5" xfId="29986"/>
    <cellStyle name="백분율 6 8 3 3" xfId="29987"/>
    <cellStyle name="백분율 6 8 3 3 2" xfId="29988"/>
    <cellStyle name="백분율 6 8 3 3 2 2" xfId="29989"/>
    <cellStyle name="백분율 6 8 3 3 2 2 2" xfId="29990"/>
    <cellStyle name="백분율 6 8 3 3 2 2 3" xfId="29991"/>
    <cellStyle name="백분율 6 8 3 3 2 3" xfId="29992"/>
    <cellStyle name="백분율 6 8 3 3 2 4" xfId="29993"/>
    <cellStyle name="백분율 6 8 3 3 3" xfId="29994"/>
    <cellStyle name="백분율 6 8 3 3 3 2" xfId="29995"/>
    <cellStyle name="백분율 6 8 3 3 3 3" xfId="29996"/>
    <cellStyle name="백분율 6 8 3 3 4" xfId="29997"/>
    <cellStyle name="백분율 6 8 3 3 5" xfId="29998"/>
    <cellStyle name="백분율 6 8 3 4" xfId="29999"/>
    <cellStyle name="백분율 6 8 3 4 2" xfId="30000"/>
    <cellStyle name="백분율 6 8 3 4 2 2" xfId="30001"/>
    <cellStyle name="백분율 6 8 3 4 2 3" xfId="30002"/>
    <cellStyle name="백분율 6 8 3 4 3" xfId="30003"/>
    <cellStyle name="백분율 6 8 3 4 4" xfId="30004"/>
    <cellStyle name="백분율 6 8 3 5" xfId="30005"/>
    <cellStyle name="백분율 6 8 3 5 2" xfId="30006"/>
    <cellStyle name="백분율 6 8 3 5 3" xfId="30007"/>
    <cellStyle name="백분율 6 8 3 6" xfId="30008"/>
    <cellStyle name="백분율 6 8 3 7" xfId="30009"/>
    <cellStyle name="백분율 6 8 4" xfId="30010"/>
    <cellStyle name="백분율 6 8 4 2" xfId="30011"/>
    <cellStyle name="백분율 6 8 4 2 2" xfId="30012"/>
    <cellStyle name="백분율 6 8 4 2 2 2" xfId="30013"/>
    <cellStyle name="백분율 6 8 4 2 2 3" xfId="30014"/>
    <cellStyle name="백분율 6 8 4 2 3" xfId="30015"/>
    <cellStyle name="백분율 6 8 4 2 4" xfId="30016"/>
    <cellStyle name="백분율 6 8 4 3" xfId="30017"/>
    <cellStyle name="백분율 6 8 4 3 2" xfId="30018"/>
    <cellStyle name="백분율 6 8 4 3 3" xfId="30019"/>
    <cellStyle name="백분율 6 8 4 4" xfId="30020"/>
    <cellStyle name="백분율 6 8 4 5" xfId="30021"/>
    <cellStyle name="백분율 6 8 5" xfId="30022"/>
    <cellStyle name="백분율 6 8 5 2" xfId="30023"/>
    <cellStyle name="백분율 6 8 5 2 2" xfId="30024"/>
    <cellStyle name="백분율 6 8 5 2 2 2" xfId="30025"/>
    <cellStyle name="백분율 6 8 5 2 2 3" xfId="30026"/>
    <cellStyle name="백분율 6 8 5 2 3" xfId="30027"/>
    <cellStyle name="백분율 6 8 5 2 4" xfId="30028"/>
    <cellStyle name="백분율 6 8 5 3" xfId="30029"/>
    <cellStyle name="백분율 6 8 5 3 2" xfId="30030"/>
    <cellStyle name="백분율 6 8 5 3 3" xfId="30031"/>
    <cellStyle name="백분율 6 8 5 4" xfId="30032"/>
    <cellStyle name="백분율 6 8 5 5" xfId="30033"/>
    <cellStyle name="백분율 6 8 6" xfId="30034"/>
    <cellStyle name="백분율 6 8 6 2" xfId="30035"/>
    <cellStyle name="백분율 6 8 6 2 2" xfId="30036"/>
    <cellStyle name="백분율 6 8 6 2 2 2" xfId="30037"/>
    <cellStyle name="백분율 6 8 6 2 2 3" xfId="30038"/>
    <cellStyle name="백분율 6 8 6 2 3" xfId="30039"/>
    <cellStyle name="백분율 6 8 6 2 4" xfId="30040"/>
    <cellStyle name="백분율 6 8 6 3" xfId="30041"/>
    <cellStyle name="백분율 6 8 6 3 2" xfId="30042"/>
    <cellStyle name="백분율 6 8 6 3 3" xfId="30043"/>
    <cellStyle name="백분율 6 8 6 4" xfId="30044"/>
    <cellStyle name="백분율 6 8 6 5" xfId="30045"/>
    <cellStyle name="백분율 6 8 7" xfId="30046"/>
    <cellStyle name="백분율 6 8 7 2" xfId="30047"/>
    <cellStyle name="백분율 6 8 7 2 2" xfId="30048"/>
    <cellStyle name="백분율 6 8 7 2 3" xfId="30049"/>
    <cellStyle name="백분율 6 8 7 3" xfId="30050"/>
    <cellStyle name="백분율 6 8 7 4" xfId="30051"/>
    <cellStyle name="백분율 6 8 8" xfId="30052"/>
    <cellStyle name="백분율 6 8 8 2" xfId="30053"/>
    <cellStyle name="백분율 6 8 8 3" xfId="30054"/>
    <cellStyle name="백분율 6 8 9" xfId="30055"/>
    <cellStyle name="백분율 6 9" xfId="30056"/>
    <cellStyle name="백분율 6 9 2" xfId="30057"/>
    <cellStyle name="백분율 6 9 2 2" xfId="30058"/>
    <cellStyle name="백분율 6 9 2 2 2" xfId="30059"/>
    <cellStyle name="백분율 6 9 2 2 2 2" xfId="30060"/>
    <cellStyle name="백분율 6 9 2 2 2 3" xfId="30061"/>
    <cellStyle name="백분율 6 9 2 2 3" xfId="30062"/>
    <cellStyle name="백분율 6 9 2 2 4" xfId="30063"/>
    <cellStyle name="백분율 6 9 2 3" xfId="30064"/>
    <cellStyle name="백분율 6 9 2 3 2" xfId="30065"/>
    <cellStyle name="백분율 6 9 2 3 3" xfId="30066"/>
    <cellStyle name="백분율 6 9 2 4" xfId="30067"/>
    <cellStyle name="백분율 6 9 2 5" xfId="30068"/>
    <cellStyle name="백분율 6 9 3" xfId="30069"/>
    <cellStyle name="백분율 6 9 3 2" xfId="30070"/>
    <cellStyle name="백분율 6 9 3 2 2" xfId="30071"/>
    <cellStyle name="백분율 6 9 3 2 2 2" xfId="30072"/>
    <cellStyle name="백분율 6 9 3 2 2 3" xfId="30073"/>
    <cellStyle name="백분율 6 9 3 2 3" xfId="30074"/>
    <cellStyle name="백분율 6 9 3 2 4" xfId="30075"/>
    <cellStyle name="백분율 6 9 3 3" xfId="30076"/>
    <cellStyle name="백분율 6 9 3 3 2" xfId="30077"/>
    <cellStyle name="백분율 6 9 3 3 3" xfId="30078"/>
    <cellStyle name="백분율 6 9 3 4" xfId="30079"/>
    <cellStyle name="백분율 6 9 3 5" xfId="30080"/>
    <cellStyle name="백분율 6 9 4" xfId="30081"/>
    <cellStyle name="백분율 6 9 4 2" xfId="30082"/>
    <cellStyle name="백분율 6 9 4 2 2" xfId="30083"/>
    <cellStyle name="백분율 6 9 4 2 3" xfId="30084"/>
    <cellStyle name="백분율 6 9 4 3" xfId="30085"/>
    <cellStyle name="백분율 6 9 4 4" xfId="30086"/>
    <cellStyle name="백분율 6 9 5" xfId="30087"/>
    <cellStyle name="백분율 6 9 5 2" xfId="30088"/>
    <cellStyle name="백분율 6 9 5 3" xfId="30089"/>
    <cellStyle name="백분율 6 9 6" xfId="30090"/>
    <cellStyle name="백분율 6 9 7" xfId="30091"/>
    <cellStyle name="백분율 7" xfId="30092"/>
    <cellStyle name="백분율 8" xfId="30093"/>
    <cellStyle name="백분율 9" xfId="30094"/>
    <cellStyle name="보통 10" xfId="30095"/>
    <cellStyle name="보통 11" xfId="30096"/>
    <cellStyle name="보통 12" xfId="30097"/>
    <cellStyle name="보통 13" xfId="30098"/>
    <cellStyle name="보통 14" xfId="30099"/>
    <cellStyle name="보통 15" xfId="30100"/>
    <cellStyle name="보통 2" xfId="30101"/>
    <cellStyle name="보통 2 2" xfId="30102"/>
    <cellStyle name="보통 2 2 2" xfId="30103"/>
    <cellStyle name="보통 2 3" xfId="30104"/>
    <cellStyle name="보통 3" xfId="30105"/>
    <cellStyle name="보통 3 2" xfId="30106"/>
    <cellStyle name="보통 3 3" xfId="30107"/>
    <cellStyle name="보통 4" xfId="30108"/>
    <cellStyle name="보통 4 2" xfId="30109"/>
    <cellStyle name="보통 5" xfId="30110"/>
    <cellStyle name="보통 6" xfId="30111"/>
    <cellStyle name="보통 7" xfId="30112"/>
    <cellStyle name="보통 8" xfId="30113"/>
    <cellStyle name="보통 9" xfId="30114"/>
    <cellStyle name="뷭?" xfId="30116"/>
    <cellStyle name="새귑[0]_丹홈셕뺍,茄셥 " xfId="30118"/>
    <cellStyle name="새귑_丹홈셕뺍,茄셥 " xfId="30119"/>
    <cellStyle name="설명 텍스트 10" xfId="30122"/>
    <cellStyle name="설명 텍스트 11" xfId="30123"/>
    <cellStyle name="설명 텍스트 12" xfId="30124"/>
    <cellStyle name="설명 텍스트 13" xfId="30125"/>
    <cellStyle name="설명 텍스트 14" xfId="30126"/>
    <cellStyle name="설명 텍스트 15" xfId="30127"/>
    <cellStyle name="설명 텍스트 2" xfId="30128"/>
    <cellStyle name="설명 텍스트 2 2" xfId="30129"/>
    <cellStyle name="설명 텍스트 2 2 2" xfId="30130"/>
    <cellStyle name="설명 텍스트 2 3" xfId="30131"/>
    <cellStyle name="설명 텍스트 3" xfId="30132"/>
    <cellStyle name="설명 텍스트 3 2" xfId="30133"/>
    <cellStyle name="설명 텍스트 4" xfId="30134"/>
    <cellStyle name="설명 텍스트 4 2" xfId="30135"/>
    <cellStyle name="설명 텍스트 5" xfId="30136"/>
    <cellStyle name="설명 텍스트 6" xfId="30137"/>
    <cellStyle name="설명 텍스트 7" xfId="30138"/>
    <cellStyle name="설명 텍스트 8" xfId="30139"/>
    <cellStyle name="설명 텍스트 9" xfId="30140"/>
    <cellStyle name="셀 확인 10" xfId="30141"/>
    <cellStyle name="셀 확인 11" xfId="30142"/>
    <cellStyle name="셀 확인 12" xfId="30143"/>
    <cellStyle name="셀 확인 13" xfId="30144"/>
    <cellStyle name="셀 확인 14" xfId="30145"/>
    <cellStyle name="셀 확인 15" xfId="30146"/>
    <cellStyle name="셀 확인 2" xfId="30147"/>
    <cellStyle name="셀 확인 2 2" xfId="30148"/>
    <cellStyle name="셀 확인 2 2 2" xfId="30149"/>
    <cellStyle name="셀 확인 2 3" xfId="30150"/>
    <cellStyle name="셀 확인 3" xfId="30151"/>
    <cellStyle name="셀 확인 3 2" xfId="30152"/>
    <cellStyle name="셀 확인 3 3" xfId="30153"/>
    <cellStyle name="셀 확인 4" xfId="30154"/>
    <cellStyle name="셀 확인 4 2" xfId="30155"/>
    <cellStyle name="셀 확인 5" xfId="30156"/>
    <cellStyle name="셀 확인 6" xfId="30157"/>
    <cellStyle name="셀 확인 7" xfId="30158"/>
    <cellStyle name="셀 확인 8" xfId="30159"/>
    <cellStyle name="셀 확인 9" xfId="30160"/>
    <cellStyle name="셈迷?XLS!check_filesche|_x0005_" xfId="30161"/>
    <cellStyle name="숫자" xfId="30162"/>
    <cellStyle name="숫자 2" xfId="30163"/>
    <cellStyle name="숫자(R)" xfId="30164"/>
    <cellStyle name="숫자(R) 2" xfId="30165"/>
    <cellStyle name="쉼표 [0] 2" xfId="30166"/>
    <cellStyle name="쉼표 [0] 2 10" xfId="30167"/>
    <cellStyle name="쉼표 [0] 2 10 2" xfId="30168"/>
    <cellStyle name="쉼표 [0] 2 10 2 2" xfId="30169"/>
    <cellStyle name="쉼표 [0] 2 10 2 3" xfId="30170"/>
    <cellStyle name="쉼표 [0] 2 10 3" xfId="30171"/>
    <cellStyle name="쉼표 [0] 2 10 4" xfId="30172"/>
    <cellStyle name="쉼표 [0] 2 10 5" xfId="30173"/>
    <cellStyle name="쉼표 [0] 2 2" xfId="30174"/>
    <cellStyle name="쉼표 [0] 2 2 2" xfId="30175"/>
    <cellStyle name="쉼표 [0] 2 2 3" xfId="30176"/>
    <cellStyle name="쉼표 [0] 2 2 3 2" xfId="30177"/>
    <cellStyle name="쉼표 [0] 2 2 3 2 2" xfId="30178"/>
    <cellStyle name="쉼표 [0] 2 2 3 2 3" xfId="30179"/>
    <cellStyle name="쉼표 [0] 2 2 3 3" xfId="30180"/>
    <cellStyle name="쉼표 [0] 2 2 3 4" xfId="30181"/>
    <cellStyle name="쉼표 [0] 2 2 3 5" xfId="30182"/>
    <cellStyle name="쉼표 [0] 2 3" xfId="30183"/>
    <cellStyle name="쉼표 [0] 2 3 2" xfId="30184"/>
    <cellStyle name="쉼표 [0] 2 4" xfId="30185"/>
    <cellStyle name="쉼표 [0] 2 4 2" xfId="30186"/>
    <cellStyle name="쉼표 [0] 2 5" xfId="30187"/>
    <cellStyle name="쉼표 [0] 2 5 2" xfId="30188"/>
    <cellStyle name="쉼표 [0] 2 6" xfId="30189"/>
    <cellStyle name="쉼표 [0] 2 7" xfId="30190"/>
    <cellStyle name="쉼표 [0] 2 8" xfId="30191"/>
    <cellStyle name="쉼표 [0] 2 9" xfId="30192"/>
    <cellStyle name="쉼표 [0] 3" xfId="30193"/>
    <cellStyle name="쉼표 [0] 3 2" xfId="30194"/>
    <cellStyle name="쉼표 [0] 3 2 2" xfId="30195"/>
    <cellStyle name="쉼표 [0] 3 2 2 2" xfId="30196"/>
    <cellStyle name="쉼표 [0] 3 2 2 3" xfId="30197"/>
    <cellStyle name="쉼표 [0] 3 2 3" xfId="30198"/>
    <cellStyle name="쉼표 [0] 3 2 4" xfId="30199"/>
    <cellStyle name="쉼표 [0] 3 3" xfId="30200"/>
    <cellStyle name="쉼표 [0] 3 3 2" xfId="30201"/>
    <cellStyle name="쉼표 [0] 3 3 3" xfId="30202"/>
    <cellStyle name="쉼표 [0] 3 4" xfId="30203"/>
    <cellStyle name="쉼표 [0] 3 4 2" xfId="30204"/>
    <cellStyle name="쉼표 [0] 3 4 3" xfId="30205"/>
    <cellStyle name="쉼표 [0] 3 5" xfId="30206"/>
    <cellStyle name="쉼표 [0] 3 6" xfId="30207"/>
    <cellStyle name="쉼표 [0] 3 7" xfId="30208"/>
    <cellStyle name="쉼표 [0] 4" xfId="30209"/>
    <cellStyle name="쉼표 [0] 4 2" xfId="30210"/>
    <cellStyle name="쉼표 [0] 4 3" xfId="30211"/>
    <cellStyle name="쉼표 [0] 5" xfId="30212"/>
    <cellStyle name="쉼표 [0] 5 2" xfId="30213"/>
    <cellStyle name="쉼표 [0] 5 3" xfId="30214"/>
    <cellStyle name="쉼표 [0] 6" xfId="30215"/>
    <cellStyle name="스타일 1" xfId="30216"/>
    <cellStyle name="스타일 1 2" xfId="30217"/>
    <cellStyle name="스타일 1 2 2" xfId="30218"/>
    <cellStyle name="스타일 1 3" xfId="30219"/>
    <cellStyle name="스타일 1 3 2" xfId="30220"/>
    <cellStyle name="스타일 1 4" xfId="30221"/>
    <cellStyle name="스타일 10" xfId="30222"/>
    <cellStyle name="스타일 11" xfId="30223"/>
    <cellStyle name="스타일 12" xfId="30224"/>
    <cellStyle name="스타일 13" xfId="30225"/>
    <cellStyle name="스타일 14" xfId="30226"/>
    <cellStyle name="스타일 15" xfId="30227"/>
    <cellStyle name="스타일 16" xfId="30228"/>
    <cellStyle name="스타일 17" xfId="30229"/>
    <cellStyle name="스타일 18" xfId="30230"/>
    <cellStyle name="스타일 19" xfId="30231"/>
    <cellStyle name="스타일 2" xfId="30232"/>
    <cellStyle name="스타일 20" xfId="30233"/>
    <cellStyle name="스타일 21" xfId="30234"/>
    <cellStyle name="스타일 22" xfId="30235"/>
    <cellStyle name="스타일 23" xfId="30236"/>
    <cellStyle name="스타일 24" xfId="30237"/>
    <cellStyle name="스타일 25" xfId="30238"/>
    <cellStyle name="스타일 26" xfId="30239"/>
    <cellStyle name="스타일 27" xfId="30240"/>
    <cellStyle name="스타일 28" xfId="30241"/>
    <cellStyle name="스타일 29" xfId="30242"/>
    <cellStyle name="스타일 3" xfId="30243"/>
    <cellStyle name="스타일 30" xfId="30244"/>
    <cellStyle name="스타일 31" xfId="30245"/>
    <cellStyle name="스타일 32" xfId="30246"/>
    <cellStyle name="스타일 33" xfId="30247"/>
    <cellStyle name="스타일 34" xfId="30248"/>
    <cellStyle name="스타일 35" xfId="30249"/>
    <cellStyle name="스타일 36" xfId="30250"/>
    <cellStyle name="스타일 37" xfId="30251"/>
    <cellStyle name="스타일 38" xfId="30252"/>
    <cellStyle name="스타일 39" xfId="30253"/>
    <cellStyle name="스타일 4" xfId="30254"/>
    <cellStyle name="스타일 40" xfId="30255"/>
    <cellStyle name="스타일 41" xfId="30256"/>
    <cellStyle name="스타일 42" xfId="30257"/>
    <cellStyle name="스타일 43" xfId="30258"/>
    <cellStyle name="스타일 44" xfId="30259"/>
    <cellStyle name="스타일 45" xfId="30260"/>
    <cellStyle name="스타일 46" xfId="30261"/>
    <cellStyle name="스타일 47" xfId="30262"/>
    <cellStyle name="스타일 48" xfId="30263"/>
    <cellStyle name="스타일 49" xfId="30264"/>
    <cellStyle name="스타일 5" xfId="30265"/>
    <cellStyle name="스타일 50" xfId="30266"/>
    <cellStyle name="스타일 51" xfId="30267"/>
    <cellStyle name="스타일 52" xfId="30268"/>
    <cellStyle name="스타일 53" xfId="30269"/>
    <cellStyle name="스타일 54" xfId="30270"/>
    <cellStyle name="스타일 6" xfId="30271"/>
    <cellStyle name="스타일 7" xfId="30272"/>
    <cellStyle name="스타일 8" xfId="30273"/>
    <cellStyle name="스타일 9" xfId="30274"/>
    <cellStyle name="연결된 셀 10" xfId="30275"/>
    <cellStyle name="연결된 셀 11" xfId="30276"/>
    <cellStyle name="연결된 셀 12" xfId="30277"/>
    <cellStyle name="연결된 셀 13" xfId="30278"/>
    <cellStyle name="연결된 셀 14" xfId="30279"/>
    <cellStyle name="연결된 셀 15" xfId="30280"/>
    <cellStyle name="연결된 셀 2" xfId="30281"/>
    <cellStyle name="연결된 셀 2 2" xfId="30282"/>
    <cellStyle name="연결된 셀 2 2 2" xfId="30283"/>
    <cellStyle name="연결된 셀 2 3" xfId="30284"/>
    <cellStyle name="연결된 셀 3" xfId="30285"/>
    <cellStyle name="연결된 셀 3 2" xfId="30286"/>
    <cellStyle name="연결된 셀 3 3" xfId="30287"/>
    <cellStyle name="연결된 셀 4" xfId="30288"/>
    <cellStyle name="연결된 셀 4 2" xfId="30289"/>
    <cellStyle name="연결된 셀 5" xfId="30290"/>
    <cellStyle name="연결된 셀 6" xfId="30291"/>
    <cellStyle name="연결된 셀 7" xfId="30292"/>
    <cellStyle name="연결된 셀 8" xfId="30293"/>
    <cellStyle name="연결된 셀 9" xfId="30294"/>
    <cellStyle name="열어본 하이퍼링크" xfId="30295"/>
    <cellStyle name="열어본 하이퍼링크 2" xfId="30296"/>
    <cellStyle name="요약 10" xfId="30301"/>
    <cellStyle name="요약 11" xfId="30302"/>
    <cellStyle name="요약 12" xfId="30303"/>
    <cellStyle name="요약 13" xfId="30304"/>
    <cellStyle name="요약 14" xfId="30305"/>
    <cellStyle name="요약 15" xfId="30306"/>
    <cellStyle name="요약 2" xfId="30307"/>
    <cellStyle name="요약 2 2" xfId="30308"/>
    <cellStyle name="요약 2 2 10" xfId="30309"/>
    <cellStyle name="요약 2 2 10 2" xfId="30310"/>
    <cellStyle name="요약 2 2 10 3" xfId="30311"/>
    <cellStyle name="요약 2 2 11" xfId="30312"/>
    <cellStyle name="요약 2 2 11 2" xfId="30313"/>
    <cellStyle name="요약 2 2 11 3" xfId="30314"/>
    <cellStyle name="요약 2 2 12" xfId="30315"/>
    <cellStyle name="요약 2 2 13" xfId="30316"/>
    <cellStyle name="요약 2 2 14" xfId="30317"/>
    <cellStyle name="요약 2 2 2" xfId="30318"/>
    <cellStyle name="요약 2 2 2 2" xfId="30319"/>
    <cellStyle name="요약 2 2 3" xfId="30320"/>
    <cellStyle name="요약 2 2 3 2" xfId="30321"/>
    <cellStyle name="요약 2 2 4" xfId="30322"/>
    <cellStyle name="요약 2 2 4 2" xfId="30323"/>
    <cellStyle name="요약 2 2 5" xfId="30324"/>
    <cellStyle name="요약 2 2 5 2" xfId="30325"/>
    <cellStyle name="요약 2 2 6" xfId="30326"/>
    <cellStyle name="요약 2 2 6 2" xfId="30327"/>
    <cellStyle name="요약 2 2 7" xfId="30328"/>
    <cellStyle name="요약 2 2 7 2" xfId="30329"/>
    <cellStyle name="요약 2 2 8" xfId="30330"/>
    <cellStyle name="요약 2 2 8 2" xfId="30331"/>
    <cellStyle name="요약 2 2 8 3" xfId="30332"/>
    <cellStyle name="요약 2 2 9" xfId="30333"/>
    <cellStyle name="요약 2 2 9 2" xfId="30334"/>
    <cellStyle name="요약 2 2 9 3" xfId="30335"/>
    <cellStyle name="요약 2 3" xfId="30336"/>
    <cellStyle name="요약 2 4" xfId="30337"/>
    <cellStyle name="요약 3" xfId="30338"/>
    <cellStyle name="요약 3 2" xfId="30339"/>
    <cellStyle name="요약 3 2 10" xfId="30340"/>
    <cellStyle name="요약 3 2 10 2" xfId="30341"/>
    <cellStyle name="요약 3 2 10 3" xfId="30342"/>
    <cellStyle name="요약 3 2 11" xfId="30343"/>
    <cellStyle name="요약 3 2 11 2" xfId="30344"/>
    <cellStyle name="요약 3 2 11 3" xfId="30345"/>
    <cellStyle name="요약 3 2 12" xfId="30346"/>
    <cellStyle name="요약 3 2 13" xfId="30347"/>
    <cellStyle name="요약 3 2 2" xfId="30348"/>
    <cellStyle name="요약 3 2 2 2" xfId="30349"/>
    <cellStyle name="요약 3 2 3" xfId="30350"/>
    <cellStyle name="요약 3 2 3 2" xfId="30351"/>
    <cellStyle name="요약 3 2 4" xfId="30352"/>
    <cellStyle name="요약 3 2 4 2" xfId="30353"/>
    <cellStyle name="요약 3 2 5" xfId="30354"/>
    <cellStyle name="요약 3 2 5 2" xfId="30355"/>
    <cellStyle name="요약 3 2 6" xfId="30356"/>
    <cellStyle name="요약 3 2 6 2" xfId="30357"/>
    <cellStyle name="요약 3 2 7" xfId="30358"/>
    <cellStyle name="요약 3 2 7 2" xfId="30359"/>
    <cellStyle name="요약 3 2 8" xfId="30360"/>
    <cellStyle name="요약 3 2 8 2" xfId="30361"/>
    <cellStyle name="요약 3 2 8 3" xfId="30362"/>
    <cellStyle name="요약 3 2 9" xfId="30363"/>
    <cellStyle name="요약 3 2 9 2" xfId="30364"/>
    <cellStyle name="요약 3 2 9 3" xfId="30365"/>
    <cellStyle name="요약 3 3" xfId="30366"/>
    <cellStyle name="요약 4" xfId="30367"/>
    <cellStyle name="요약 4 2" xfId="30368"/>
    <cellStyle name="요약 5" xfId="30369"/>
    <cellStyle name="요약 6" xfId="30370"/>
    <cellStyle name="요약 7" xfId="30371"/>
    <cellStyle name="요약 8" xfId="30372"/>
    <cellStyle name="요약 9" xfId="30373"/>
    <cellStyle name="입력 10" xfId="30375"/>
    <cellStyle name="입력 11" xfId="30376"/>
    <cellStyle name="입력 12" xfId="30377"/>
    <cellStyle name="입력 13" xfId="30378"/>
    <cellStyle name="입력 14" xfId="30379"/>
    <cellStyle name="입력 15" xfId="30380"/>
    <cellStyle name="입력 2" xfId="30381"/>
    <cellStyle name="입력 2 2" xfId="30382"/>
    <cellStyle name="입력 2 2 10" xfId="30383"/>
    <cellStyle name="입력 2 2 10 2" xfId="30384"/>
    <cellStyle name="입력 2 2 10 3" xfId="30385"/>
    <cellStyle name="입력 2 2 11" xfId="30386"/>
    <cellStyle name="입력 2 2 11 2" xfId="30387"/>
    <cellStyle name="입력 2 2 11 3" xfId="30388"/>
    <cellStyle name="입력 2 2 12" xfId="30389"/>
    <cellStyle name="입력 2 2 13" xfId="30390"/>
    <cellStyle name="입력 2 2 14" xfId="30391"/>
    <cellStyle name="입력 2 2 2" xfId="30392"/>
    <cellStyle name="입력 2 2 2 2" xfId="30393"/>
    <cellStyle name="입력 2 2 3" xfId="30394"/>
    <cellStyle name="입력 2 2 3 2" xfId="30395"/>
    <cellStyle name="입력 2 2 4" xfId="30396"/>
    <cellStyle name="입력 2 2 4 2" xfId="30397"/>
    <cellStyle name="입력 2 2 5" xfId="30398"/>
    <cellStyle name="입력 2 2 5 2" xfId="30399"/>
    <cellStyle name="입력 2 2 6" xfId="30400"/>
    <cellStyle name="입력 2 2 6 2" xfId="30401"/>
    <cellStyle name="입력 2 2 7" xfId="30402"/>
    <cellStyle name="입력 2 2 7 2" xfId="30403"/>
    <cellStyle name="입력 2 2 8" xfId="30404"/>
    <cellStyle name="입력 2 2 8 2" xfId="30405"/>
    <cellStyle name="입력 2 2 8 3" xfId="30406"/>
    <cellStyle name="입력 2 2 9" xfId="30407"/>
    <cellStyle name="입력 2 2 9 2" xfId="30408"/>
    <cellStyle name="입력 2 2 9 3" xfId="30409"/>
    <cellStyle name="입력 2 3" xfId="30410"/>
    <cellStyle name="입력 2 4" xfId="30411"/>
    <cellStyle name="입력 3" xfId="30412"/>
    <cellStyle name="입력 3 2" xfId="30413"/>
    <cellStyle name="입력 3 2 10" xfId="30414"/>
    <cellStyle name="입력 3 2 10 2" xfId="30415"/>
    <cellStyle name="입력 3 2 10 3" xfId="30416"/>
    <cellStyle name="입력 3 2 11" xfId="30417"/>
    <cellStyle name="입력 3 2 11 2" xfId="30418"/>
    <cellStyle name="입력 3 2 11 3" xfId="30419"/>
    <cellStyle name="입력 3 2 12" xfId="30420"/>
    <cellStyle name="입력 3 2 13" xfId="30421"/>
    <cellStyle name="입력 3 2 2" xfId="30422"/>
    <cellStyle name="입력 3 2 2 2" xfId="30423"/>
    <cellStyle name="입력 3 2 3" xfId="30424"/>
    <cellStyle name="입력 3 2 3 2" xfId="30425"/>
    <cellStyle name="입력 3 2 4" xfId="30426"/>
    <cellStyle name="입력 3 2 4 2" xfId="30427"/>
    <cellStyle name="입력 3 2 5" xfId="30428"/>
    <cellStyle name="입력 3 2 5 2" xfId="30429"/>
    <cellStyle name="입력 3 2 6" xfId="30430"/>
    <cellStyle name="입력 3 2 6 2" xfId="30431"/>
    <cellStyle name="입력 3 2 7" xfId="30432"/>
    <cellStyle name="입력 3 2 7 2" xfId="30433"/>
    <cellStyle name="입력 3 2 8" xfId="30434"/>
    <cellStyle name="입력 3 2 8 2" xfId="30435"/>
    <cellStyle name="입력 3 2 8 3" xfId="30436"/>
    <cellStyle name="입력 3 2 9" xfId="30437"/>
    <cellStyle name="입력 3 2 9 2" xfId="30438"/>
    <cellStyle name="입력 3 2 9 3" xfId="30439"/>
    <cellStyle name="입력 3 3" xfId="30440"/>
    <cellStyle name="입력 4" xfId="30441"/>
    <cellStyle name="입력 4 2" xfId="30442"/>
    <cellStyle name="입력 5" xfId="30443"/>
    <cellStyle name="입력 6" xfId="30444"/>
    <cellStyle name="입력 7" xfId="30445"/>
    <cellStyle name="입력 8" xfId="30446"/>
    <cellStyle name="입력 9" xfId="30447"/>
    <cellStyle name="자리수" xfId="30448"/>
    <cellStyle name="자리수 2" xfId="30449"/>
    <cellStyle name="자리수 2 2" xfId="30450"/>
    <cellStyle name="자리수0" xfId="30451"/>
    <cellStyle name="자리수0 2" xfId="30452"/>
    <cellStyle name="자리수0 2 2" xfId="30453"/>
    <cellStyle name="자리수0 3" xfId="30454"/>
    <cellStyle name="제목 1 10" xfId="30455"/>
    <cellStyle name="제목 1 11" xfId="30456"/>
    <cellStyle name="제목 1 12" xfId="30457"/>
    <cellStyle name="제목 1 13" xfId="30458"/>
    <cellStyle name="제목 1 14" xfId="30459"/>
    <cellStyle name="제목 1 15" xfId="30460"/>
    <cellStyle name="제목 1 2" xfId="30461"/>
    <cellStyle name="제목 1 2 2" xfId="30462"/>
    <cellStyle name="제목 1 2 2 2" xfId="30463"/>
    <cellStyle name="제목 1 2 3" xfId="30464"/>
    <cellStyle name="제목 1 3" xfId="30465"/>
    <cellStyle name="제목 1 3 2" xfId="30466"/>
    <cellStyle name="제목 1 3 3" xfId="30467"/>
    <cellStyle name="제목 1 4" xfId="30468"/>
    <cellStyle name="제목 1 4 2" xfId="30469"/>
    <cellStyle name="제목 1 5" xfId="30470"/>
    <cellStyle name="제목 1 6" xfId="30471"/>
    <cellStyle name="제목 1 7" xfId="30472"/>
    <cellStyle name="제목 1 8" xfId="30473"/>
    <cellStyle name="제목 1 9" xfId="30474"/>
    <cellStyle name="제목 10" xfId="30475"/>
    <cellStyle name="제목 11" xfId="30476"/>
    <cellStyle name="제목 12" xfId="30477"/>
    <cellStyle name="제목 13" xfId="30478"/>
    <cellStyle name="제목 14" xfId="30479"/>
    <cellStyle name="제목 15" xfId="30480"/>
    <cellStyle name="제목 16" xfId="30481"/>
    <cellStyle name="제목 17" xfId="30482"/>
    <cellStyle name="제목 18" xfId="30483"/>
    <cellStyle name="제목 2 10" xfId="30484"/>
    <cellStyle name="제목 2 11" xfId="30485"/>
    <cellStyle name="제목 2 12" xfId="30486"/>
    <cellStyle name="제목 2 13" xfId="30487"/>
    <cellStyle name="제목 2 14" xfId="30488"/>
    <cellStyle name="제목 2 15" xfId="30489"/>
    <cellStyle name="제목 2 2" xfId="30490"/>
    <cellStyle name="제목 2 2 2" xfId="30491"/>
    <cellStyle name="제목 2 2 2 2" xfId="30492"/>
    <cellStyle name="제목 2 2 3" xfId="30493"/>
    <cellStyle name="제목 2 3" xfId="30494"/>
    <cellStyle name="제목 2 3 2" xfId="30495"/>
    <cellStyle name="제목 2 3 3" xfId="30496"/>
    <cellStyle name="제목 2 4" xfId="30497"/>
    <cellStyle name="제목 2 4 2" xfId="30498"/>
    <cellStyle name="제목 2 5" xfId="30499"/>
    <cellStyle name="제목 2 6" xfId="30500"/>
    <cellStyle name="제목 2 7" xfId="30501"/>
    <cellStyle name="제목 2 8" xfId="30502"/>
    <cellStyle name="제목 2 9" xfId="30503"/>
    <cellStyle name="제목 3 10" xfId="30504"/>
    <cellStyle name="제목 3 11" xfId="30505"/>
    <cellStyle name="제목 3 12" xfId="30506"/>
    <cellStyle name="제목 3 13" xfId="30507"/>
    <cellStyle name="제목 3 14" xfId="30508"/>
    <cellStyle name="제목 3 15" xfId="30509"/>
    <cellStyle name="제목 3 2" xfId="30510"/>
    <cellStyle name="제목 3 2 2" xfId="30511"/>
    <cellStyle name="제목 3 2 2 10" xfId="30512"/>
    <cellStyle name="제목 3 2 2 2" xfId="30513"/>
    <cellStyle name="제목 3 2 2 2 2" xfId="30514"/>
    <cellStyle name="제목 3 2 2 3" xfId="30515"/>
    <cellStyle name="제목 3 2 2 3 2" xfId="30516"/>
    <cellStyle name="제목 3 2 2 4" xfId="30517"/>
    <cellStyle name="제목 3 2 2 4 2" xfId="30518"/>
    <cellStyle name="제목 3 2 2 5" xfId="30519"/>
    <cellStyle name="제목 3 2 2 5 2" xfId="30520"/>
    <cellStyle name="제목 3 2 2 6" xfId="30521"/>
    <cellStyle name="제목 3 2 2 6 2" xfId="30522"/>
    <cellStyle name="제목 3 2 2 7" xfId="30523"/>
    <cellStyle name="제목 3 2 2 7 2" xfId="30524"/>
    <cellStyle name="제목 3 2 2 8" xfId="30525"/>
    <cellStyle name="제목 3 2 2 8 2" xfId="30526"/>
    <cellStyle name="제목 3 2 2 9" xfId="30527"/>
    <cellStyle name="제목 3 2 2 9 2" xfId="30528"/>
    <cellStyle name="제목 3 2 3" xfId="30529"/>
    <cellStyle name="제목 3 3" xfId="30530"/>
    <cellStyle name="제목 3 3 2" xfId="30531"/>
    <cellStyle name="제목 3 3 2 2" xfId="30532"/>
    <cellStyle name="제목 3 3 2 2 2" xfId="30533"/>
    <cellStyle name="제목 3 3 2 3" xfId="30534"/>
    <cellStyle name="제목 3 3 2 3 2" xfId="30535"/>
    <cellStyle name="제목 3 3 2 4" xfId="30536"/>
    <cellStyle name="제목 3 3 2 4 2" xfId="30537"/>
    <cellStyle name="제목 3 3 2 5" xfId="30538"/>
    <cellStyle name="제목 3 3 2 5 2" xfId="30539"/>
    <cellStyle name="제목 3 3 2 6" xfId="30540"/>
    <cellStyle name="제목 3 3 2 6 2" xfId="30541"/>
    <cellStyle name="제목 3 3 2 7" xfId="30542"/>
    <cellStyle name="제목 3 3 2 7 2" xfId="30543"/>
    <cellStyle name="제목 3 3 2 8" xfId="30544"/>
    <cellStyle name="제목 3 3 2 8 2" xfId="30545"/>
    <cellStyle name="제목 3 3 2 9" xfId="30546"/>
    <cellStyle name="제목 3 3 2 9 2" xfId="30547"/>
    <cellStyle name="제목 3 3 3" xfId="30548"/>
    <cellStyle name="제목 3 4" xfId="30549"/>
    <cellStyle name="제목 3 4 2" xfId="30550"/>
    <cellStyle name="제목 3 5" xfId="30551"/>
    <cellStyle name="제목 3 6" xfId="30552"/>
    <cellStyle name="제목 3 7" xfId="30553"/>
    <cellStyle name="제목 3 8" xfId="30554"/>
    <cellStyle name="제목 3 9" xfId="30555"/>
    <cellStyle name="제목 4 10" xfId="30556"/>
    <cellStyle name="제목 4 11" xfId="30557"/>
    <cellStyle name="제목 4 12" xfId="30558"/>
    <cellStyle name="제목 4 13" xfId="30559"/>
    <cellStyle name="제목 4 14" xfId="30560"/>
    <cellStyle name="제목 4 15" xfId="30561"/>
    <cellStyle name="제목 4 2" xfId="30562"/>
    <cellStyle name="제목 4 2 2" xfId="30563"/>
    <cellStyle name="제목 4 2 2 2" xfId="30564"/>
    <cellStyle name="제목 4 2 3" xfId="30565"/>
    <cellStyle name="제목 4 3" xfId="30566"/>
    <cellStyle name="제목 4 3 2" xfId="30567"/>
    <cellStyle name="제목 4 3 3" xfId="30568"/>
    <cellStyle name="제목 4 4" xfId="30569"/>
    <cellStyle name="제목 4 4 2" xfId="30570"/>
    <cellStyle name="제목 4 5" xfId="30571"/>
    <cellStyle name="제목 4 6" xfId="30572"/>
    <cellStyle name="제목 4 7" xfId="30573"/>
    <cellStyle name="제목 4 8" xfId="30574"/>
    <cellStyle name="제목 4 9" xfId="30575"/>
    <cellStyle name="제목 5" xfId="30576"/>
    <cellStyle name="제목 5 2" xfId="30577"/>
    <cellStyle name="제목 5 2 2" xfId="30578"/>
    <cellStyle name="제목 5 3" xfId="30579"/>
    <cellStyle name="제목 6" xfId="30580"/>
    <cellStyle name="제목 6 2" xfId="30581"/>
    <cellStyle name="제목 6 3" xfId="30582"/>
    <cellStyle name="제목 7" xfId="30583"/>
    <cellStyle name="제목 7 2" xfId="30584"/>
    <cellStyle name="제목 8" xfId="30585"/>
    <cellStyle name="제목 9" xfId="30586"/>
    <cellStyle name="좋음 10" xfId="30588"/>
    <cellStyle name="좋음 11" xfId="30589"/>
    <cellStyle name="좋음 12" xfId="30590"/>
    <cellStyle name="좋음 13" xfId="30591"/>
    <cellStyle name="좋음 14" xfId="30592"/>
    <cellStyle name="좋음 15" xfId="30593"/>
    <cellStyle name="좋음 16" xfId="30594"/>
    <cellStyle name="좋음 17" xfId="30595"/>
    <cellStyle name="좋음 2" xfId="30596"/>
    <cellStyle name="좋음 2 2" xfId="30597"/>
    <cellStyle name="좋음 2 2 2" xfId="30598"/>
    <cellStyle name="좋음 2 3" xfId="30599"/>
    <cellStyle name="좋음 3" xfId="30600"/>
    <cellStyle name="좋음 3 2" xfId="30601"/>
    <cellStyle name="좋음 3 2 2" xfId="30602"/>
    <cellStyle name="좋음 3 3" xfId="30603"/>
    <cellStyle name="좋음 4" xfId="30604"/>
    <cellStyle name="좋음 4 2" xfId="30605"/>
    <cellStyle name="좋음 5" xfId="30606"/>
    <cellStyle name="좋음 6" xfId="30607"/>
    <cellStyle name="좋음 7" xfId="30608"/>
    <cellStyle name="좋음 8" xfId="30609"/>
    <cellStyle name="좋음 9" xfId="30610"/>
    <cellStyle name="지정되지 않음" xfId="30611"/>
    <cellStyle name="출력 10" xfId="30617"/>
    <cellStyle name="출력 11" xfId="30618"/>
    <cellStyle name="출력 12" xfId="30619"/>
    <cellStyle name="출력 13" xfId="30620"/>
    <cellStyle name="출력 14" xfId="30621"/>
    <cellStyle name="출력 15" xfId="30622"/>
    <cellStyle name="출력 2" xfId="30623"/>
    <cellStyle name="출력 2 2" xfId="30624"/>
    <cellStyle name="출력 2 2 10" xfId="30625"/>
    <cellStyle name="출력 2 2 10 2" xfId="30626"/>
    <cellStyle name="출력 2 2 10 3" xfId="30627"/>
    <cellStyle name="출력 2 2 11" xfId="30628"/>
    <cellStyle name="출력 2 2 11 2" xfId="30629"/>
    <cellStyle name="출력 2 2 11 3" xfId="30630"/>
    <cellStyle name="출력 2 2 12" xfId="30631"/>
    <cellStyle name="출력 2 2 13" xfId="30632"/>
    <cellStyle name="출력 2 2 14" xfId="30633"/>
    <cellStyle name="출력 2 2 2" xfId="30634"/>
    <cellStyle name="출력 2 2 2 2" xfId="30635"/>
    <cellStyle name="출력 2 2 3" xfId="30636"/>
    <cellStyle name="출력 2 2 3 2" xfId="30637"/>
    <cellStyle name="출력 2 2 4" xfId="30638"/>
    <cellStyle name="출력 2 2 4 2" xfId="30639"/>
    <cellStyle name="출력 2 2 5" xfId="30640"/>
    <cellStyle name="출력 2 2 5 2" xfId="30641"/>
    <cellStyle name="출력 2 2 6" xfId="30642"/>
    <cellStyle name="출력 2 2 6 2" xfId="30643"/>
    <cellStyle name="출력 2 2 7" xfId="30644"/>
    <cellStyle name="출력 2 2 7 2" xfId="30645"/>
    <cellStyle name="출력 2 2 8" xfId="30646"/>
    <cellStyle name="출력 2 2 8 2" xfId="30647"/>
    <cellStyle name="출력 2 2 8 3" xfId="30648"/>
    <cellStyle name="출력 2 2 9" xfId="30649"/>
    <cellStyle name="출력 2 2 9 2" xfId="30650"/>
    <cellStyle name="출력 2 2 9 3" xfId="30651"/>
    <cellStyle name="출력 2 3" xfId="30652"/>
    <cellStyle name="출력 2 4" xfId="30653"/>
    <cellStyle name="출력 3" xfId="30654"/>
    <cellStyle name="출력 3 2" xfId="30655"/>
    <cellStyle name="출력 3 2 10" xfId="30656"/>
    <cellStyle name="출력 3 2 10 2" xfId="30657"/>
    <cellStyle name="출력 3 2 10 3" xfId="30658"/>
    <cellStyle name="출력 3 2 11" xfId="30659"/>
    <cellStyle name="출력 3 2 11 2" xfId="30660"/>
    <cellStyle name="출력 3 2 11 3" xfId="30661"/>
    <cellStyle name="출력 3 2 12" xfId="30662"/>
    <cellStyle name="출력 3 2 13" xfId="30663"/>
    <cellStyle name="출력 3 2 2" xfId="30664"/>
    <cellStyle name="출력 3 2 2 2" xfId="30665"/>
    <cellStyle name="출력 3 2 3" xfId="30666"/>
    <cellStyle name="출력 3 2 3 2" xfId="30667"/>
    <cellStyle name="출력 3 2 4" xfId="30668"/>
    <cellStyle name="출력 3 2 4 2" xfId="30669"/>
    <cellStyle name="출력 3 2 5" xfId="30670"/>
    <cellStyle name="출력 3 2 5 2" xfId="30671"/>
    <cellStyle name="출력 3 2 6" xfId="30672"/>
    <cellStyle name="출력 3 2 6 2" xfId="30673"/>
    <cellStyle name="출력 3 2 7" xfId="30674"/>
    <cellStyle name="출력 3 2 7 2" xfId="30675"/>
    <cellStyle name="출력 3 2 8" xfId="30676"/>
    <cellStyle name="출력 3 2 8 2" xfId="30677"/>
    <cellStyle name="출력 3 2 8 3" xfId="30678"/>
    <cellStyle name="출력 3 2 9" xfId="30679"/>
    <cellStyle name="출력 3 2 9 2" xfId="30680"/>
    <cellStyle name="출력 3 2 9 3" xfId="30681"/>
    <cellStyle name="출력 3 3" xfId="30682"/>
    <cellStyle name="출력 4" xfId="30683"/>
    <cellStyle name="출력 4 2" xfId="30684"/>
    <cellStyle name="출력 5" xfId="30685"/>
    <cellStyle name="출력 6" xfId="30686"/>
    <cellStyle name="출력 7" xfId="30687"/>
    <cellStyle name="출력 8" xfId="30688"/>
    <cellStyle name="출력 9" xfId="30689"/>
    <cellStyle name="콤" xfId="30690"/>
    <cellStyle name="콤_ROTATION 유동" xfId="30691"/>
    <cellStyle name="콤_ROTATION 유동_도금 열처리 주단조 평가품의(040329)" xfId="30692"/>
    <cellStyle name="콤_ROTATION 유동_도금 열처리 주단조 평가품의(040329)_도금 열처리 주단조 평가품의(040329)" xfId="30693"/>
    <cellStyle name="콤_ROTATION 유동_도금 열처리 주단조 평가품의(040329)업체" xfId="30694"/>
    <cellStyle name="콤_ROTATION 유동_열처리결과품의(031017)개발" xfId="30695"/>
    <cellStyle name="콤_ROTATION 유동_열처리결과품의(031017)개발_도금 열처리 주단조 평가품의(040329)" xfId="30696"/>
    <cellStyle name="콤_ROTATION 유동_용접업종 평가결과품의(040510)" xfId="30697"/>
    <cellStyle name="콤_ROTATION 유동_용접업종 평가결과품의(040510)_용접업종 평가결과품의(040510)" xfId="30698"/>
    <cellStyle name="콤_ROTATION 유동_용접업종 평가결과품의(040510)_용접업종 평가결과품의(040510)(1)" xfId="30699"/>
    <cellStyle name="콤_ROTATION 유동_용접업종 평가결과품의(040510)_주단조용접업종 평가결과품의(040510)(1)" xfId="30700"/>
    <cellStyle name="콤_ROTATION 유동_주단조 업종 평가결과품의(040407)" xfId="30701"/>
    <cellStyle name="콤_ROTATION 유동_주단조 업종 평가결과품의(040407)_용접업종 평가결과품의(040510)" xfId="30702"/>
    <cellStyle name="콤_ROTATION 유동_주단조 업종 평가결과품의(040407)_용접업종 평가결과품의(040510)(1)" xfId="30703"/>
    <cellStyle name="콤_ROTATION 유동_주단조 업종 평가결과품의(040407)_주단조용접업종 평가결과품의(040510)(1)" xfId="30704"/>
    <cellStyle name="콤_ROTATION 유동_주단조 업종 평가결과품의(040416)(1)" xfId="30705"/>
    <cellStyle name="콤_ROTATION 유동_주단조 업종 평가결과품의(040416)(1)_용접업종 평가결과품의(040510)" xfId="30706"/>
    <cellStyle name="콤_ROTATION 유동_주단조 업종 평가결과품의(040416)(1)_용접업종 평가결과품의(040510)(1)" xfId="30707"/>
    <cellStyle name="콤_ROTATION 유동_주단조 업종 평가결과품의(040416)(1)_주단조용접업종 평가결과품의(040510)(1)" xfId="30708"/>
    <cellStyle name="콤_ROTATION 유동_최신-SQ인증업체현황1343사(03년평가완료031229수정)" xfId="30709"/>
    <cellStyle name="콤_ROTATION 유동_최신-SQ인증업체현황1343사(03년평가완료031229수정)_용접업종 평가결과품의(040510)" xfId="30710"/>
    <cellStyle name="콤_ROTATION 유동_최신-SQ인증업체현황1343사(03년평가완료031229수정)_용접업종 평가결과품의(040510)(1)" xfId="30711"/>
    <cellStyle name="콤_ROTATION 유동_최신-SQ인증업체현황1343사(03년평가완료031229수정)_주단조용접업종 평가결과품의(040510)(1)" xfId="30712"/>
    <cellStyle name="콤_SLIDE 폭" xfId="30713"/>
    <cellStyle name="콤_SLIDE 폭_도금 열처리 주단조 평가품의(040329)" xfId="30714"/>
    <cellStyle name="콤_SLIDE 폭_도금 열처리 주단조 평가품의(040329)_도금 열처리 주단조 평가품의(040329)" xfId="30715"/>
    <cellStyle name="콤_SLIDE 폭_도금 열처리 주단조 평가품의(040329)업체" xfId="30716"/>
    <cellStyle name="콤_SLIDE 폭_열처리결과품의(031017)개발" xfId="30717"/>
    <cellStyle name="콤_SLIDE 폭_열처리결과품의(031017)개발_도금 열처리 주단조 평가품의(040329)" xfId="30718"/>
    <cellStyle name="콤_SLIDE 폭_용접업종 평가결과품의(040510)" xfId="30719"/>
    <cellStyle name="콤_SLIDE 폭_용접업종 평가결과품의(040510)_용접업종 평가결과품의(040510)" xfId="30720"/>
    <cellStyle name="콤_SLIDE 폭_용접업종 평가결과품의(040510)_용접업종 평가결과품의(040510)(1)" xfId="30721"/>
    <cellStyle name="콤_SLIDE 폭_용접업종 평가결과품의(040510)_주단조용접업종 평가결과품의(040510)(1)" xfId="30722"/>
    <cellStyle name="콤_SLIDE 폭_주단조 업종 평가결과품의(040407)" xfId="30723"/>
    <cellStyle name="콤_SLIDE 폭_주단조 업종 평가결과품의(040407)_용접업종 평가결과품의(040510)" xfId="30724"/>
    <cellStyle name="콤_SLIDE 폭_주단조 업종 평가결과품의(040407)_용접업종 평가결과품의(040510)(1)" xfId="30725"/>
    <cellStyle name="콤_SLIDE 폭_주단조 업종 평가결과품의(040407)_주단조용접업종 평가결과품의(040510)(1)" xfId="30726"/>
    <cellStyle name="콤_SLIDE 폭_주단조 업종 평가결과품의(040416)(1)" xfId="30727"/>
    <cellStyle name="콤_SLIDE 폭_주단조 업종 평가결과품의(040416)(1)_용접업종 평가결과품의(040510)" xfId="30728"/>
    <cellStyle name="콤_SLIDE 폭_주단조 업종 평가결과품의(040416)(1)_용접업종 평가결과품의(040510)(1)" xfId="30729"/>
    <cellStyle name="콤_SLIDE 폭_주단조 업종 평가결과품의(040416)(1)_주단조용접업종 평가결과품의(040510)(1)" xfId="30730"/>
    <cellStyle name="콤_SLIDE 폭_최신-SQ인증업체현황1343사(03년평가완료031229수정)" xfId="30731"/>
    <cellStyle name="콤_SLIDE 폭_최신-SQ인증업체현황1343사(03년평가완료031229수정)_용접업종 평가결과품의(040510)" xfId="30732"/>
    <cellStyle name="콤_SLIDE 폭_최신-SQ인증업체현황1343사(03년평가완료031229수정)_용접업종 평가결과품의(040510)(1)" xfId="30733"/>
    <cellStyle name="콤_SLIDE 폭_최신-SQ인증업체현황1343사(03년평가완료031229수정)_주단조용접업종 평가결과품의(040510)(1)" xfId="30734"/>
    <cellStyle name="콤_도금 열처리 주단조 평가품의(040329)" xfId="30735"/>
    <cellStyle name="콤_도금 열처리 주단조 평가품의(040329)_도금 열처리 주단조 평가품의(040329)" xfId="30736"/>
    <cellStyle name="콤_도금 열처리 주단조 평가품의(040329)업체" xfId="30737"/>
    <cellStyle name="콤_사전회의(1208)" xfId="30738"/>
    <cellStyle name="콤_사전회의(1208)_ROTATION 유동" xfId="30739"/>
    <cellStyle name="콤_사전회의(1208)_ROTATION 유동_도금 열처리 주단조 평가품의(040329)" xfId="30740"/>
    <cellStyle name="콤_사전회의(1208)_ROTATION 유동_도금 열처리 주단조 평가품의(040329)_도금 열처리 주단조 평가품의(040329)" xfId="30741"/>
    <cellStyle name="콤_사전회의(1208)_ROTATION 유동_도금 열처리 주단조 평가품의(040329)업체" xfId="30742"/>
    <cellStyle name="콤_사전회의(1208)_ROTATION 유동_열처리결과품의(031017)개발" xfId="30743"/>
    <cellStyle name="콤_사전회의(1208)_ROTATION 유동_열처리결과품의(031017)개발_도금 열처리 주단조 평가품의(040329)" xfId="30744"/>
    <cellStyle name="콤_사전회의(1208)_ROTATION 유동_용접업종 평가결과품의(040510)" xfId="30745"/>
    <cellStyle name="콤_사전회의(1208)_ROTATION 유동_용접업종 평가결과품의(040510)_용접업종 평가결과품의(040510)" xfId="30746"/>
    <cellStyle name="콤_사전회의(1208)_ROTATION 유동_용접업종 평가결과품의(040510)_용접업종 평가결과품의(040510)(1)" xfId="30747"/>
    <cellStyle name="콤_사전회의(1208)_ROTATION 유동_용접업종 평가결과품의(040510)_주단조용접업종 평가결과품의(040510)(1)" xfId="30748"/>
    <cellStyle name="콤_사전회의(1208)_ROTATION 유동_주단조 업종 평가결과품의(040407)" xfId="30749"/>
    <cellStyle name="콤_사전회의(1208)_ROTATION 유동_주단조 업종 평가결과품의(040407)_용접업종 평가결과품의(040510)" xfId="30750"/>
    <cellStyle name="콤_사전회의(1208)_ROTATION 유동_주단조 업종 평가결과품의(040407)_용접업종 평가결과품의(040510)(1)" xfId="30751"/>
    <cellStyle name="콤_사전회의(1208)_ROTATION 유동_주단조 업종 평가결과품의(040407)_주단조용접업종 평가결과품의(040510)(1)" xfId="30752"/>
    <cellStyle name="콤_사전회의(1208)_ROTATION 유동_주단조 업종 평가결과품의(040416)(1)" xfId="30753"/>
    <cellStyle name="콤_사전회의(1208)_ROTATION 유동_주단조 업종 평가결과품의(040416)(1)_용접업종 평가결과품의(040510)" xfId="30754"/>
    <cellStyle name="콤_사전회의(1208)_ROTATION 유동_주단조 업종 평가결과품의(040416)(1)_용접업종 평가결과품의(040510)(1)" xfId="30755"/>
    <cellStyle name="콤_사전회의(1208)_ROTATION 유동_주단조 업종 평가결과품의(040416)(1)_주단조용접업종 평가결과품의(040510)(1)" xfId="30756"/>
    <cellStyle name="콤_사전회의(1208)_ROTATION 유동_최신-SQ인증업체현황1343사(03년평가완료031229수정)" xfId="30757"/>
    <cellStyle name="콤_사전회의(1208)_ROTATION 유동_최신-SQ인증업체현황1343사(03년평가완료031229수정)_용접업종 평가결과품의(040510)" xfId="30758"/>
    <cellStyle name="콤_사전회의(1208)_ROTATION 유동_최신-SQ인증업체현황1343사(03년평가완료031229수정)_용접업종 평가결과품의(040510)(1)" xfId="30759"/>
    <cellStyle name="콤_사전회의(1208)_ROTATION 유동_최신-SQ인증업체현황1343사(03년평가완료031229수정)_주단조용접업종 평가결과품의(040510)(1)" xfId="30760"/>
    <cellStyle name="콤_사전회의(1208)_SLIDE 폭" xfId="30761"/>
    <cellStyle name="콤_사전회의(1208)_SLIDE 폭_도금 열처리 주단조 평가품의(040329)" xfId="30762"/>
    <cellStyle name="콤_사전회의(1208)_SLIDE 폭_도금 열처리 주단조 평가품의(040329)_도금 열처리 주단조 평가품의(040329)" xfId="30763"/>
    <cellStyle name="콤_사전회의(1208)_SLIDE 폭_도금 열처리 주단조 평가품의(040329)업체" xfId="30764"/>
    <cellStyle name="콤_사전회의(1208)_SLIDE 폭_열처리결과품의(031017)개발" xfId="30765"/>
    <cellStyle name="콤_사전회의(1208)_SLIDE 폭_열처리결과품의(031017)개발_도금 열처리 주단조 평가품의(040329)" xfId="30766"/>
    <cellStyle name="콤_사전회의(1208)_SLIDE 폭_용접업종 평가결과품의(040510)" xfId="30767"/>
    <cellStyle name="콤_사전회의(1208)_SLIDE 폭_용접업종 평가결과품의(040510)_용접업종 평가결과품의(040510)" xfId="30768"/>
    <cellStyle name="콤_사전회의(1208)_SLIDE 폭_용접업종 평가결과품의(040510)_용접업종 평가결과품의(040510)(1)" xfId="30769"/>
    <cellStyle name="콤_사전회의(1208)_SLIDE 폭_용접업종 평가결과품의(040510)_주단조용접업종 평가결과품의(040510)(1)" xfId="30770"/>
    <cellStyle name="콤_사전회의(1208)_SLIDE 폭_주단조 업종 평가결과품의(040407)" xfId="30771"/>
    <cellStyle name="콤_사전회의(1208)_SLIDE 폭_주단조 업종 평가결과품의(040407)_용접업종 평가결과품의(040510)" xfId="30772"/>
    <cellStyle name="콤_사전회의(1208)_SLIDE 폭_주단조 업종 평가결과품의(040407)_용접업종 평가결과품의(040510)(1)" xfId="30773"/>
    <cellStyle name="콤_사전회의(1208)_SLIDE 폭_주단조 업종 평가결과품의(040407)_주단조용접업종 평가결과품의(040510)(1)" xfId="30774"/>
    <cellStyle name="콤_사전회의(1208)_SLIDE 폭_주단조 업종 평가결과품의(040416)(1)" xfId="30775"/>
    <cellStyle name="콤_사전회의(1208)_SLIDE 폭_주단조 업종 평가결과품의(040416)(1)_용접업종 평가결과품의(040510)" xfId="30776"/>
    <cellStyle name="콤_사전회의(1208)_SLIDE 폭_주단조 업종 평가결과품의(040416)(1)_용접업종 평가결과품의(040510)(1)" xfId="30777"/>
    <cellStyle name="콤_사전회의(1208)_SLIDE 폭_주단조 업종 평가결과품의(040416)(1)_주단조용접업종 평가결과품의(040510)(1)" xfId="30778"/>
    <cellStyle name="콤_사전회의(1208)_SLIDE 폭_최신-SQ인증업체현황1343사(03년평가완료031229수정)" xfId="30779"/>
    <cellStyle name="콤_사전회의(1208)_SLIDE 폭_최신-SQ인증업체현황1343사(03년평가완료031229수정)_용접업종 평가결과품의(040510)" xfId="30780"/>
    <cellStyle name="콤_사전회의(1208)_SLIDE 폭_최신-SQ인증업체현황1343사(03년평가완료031229수정)_용접업종 평가결과품의(040510)(1)" xfId="30781"/>
    <cellStyle name="콤_사전회의(1208)_SLIDE 폭_최신-SQ인증업체현황1343사(03년평가완료031229수정)_주단조용접업종 평가결과품의(040510)(1)" xfId="30782"/>
    <cellStyle name="콤_사전회의(1208)_도금 열처리 주단조 평가품의(040329)" xfId="30783"/>
    <cellStyle name="콤_사전회의(1208)_도금 열처리 주단조 평가품의(040329)_도금 열처리 주단조 평가품의(040329)" xfId="30784"/>
    <cellStyle name="콤_사전회의(1208)_도금 열처리 주단조 평가품의(040329)업체" xfId="30785"/>
    <cellStyle name="콤_사전회의(1208)_새벽시장1" xfId="30786"/>
    <cellStyle name="콤_사전회의(1208)_새벽시장1_도금 열처리 주단조 평가품의(040329)" xfId="30787"/>
    <cellStyle name="콤_사전회의(1208)_새벽시장1_도금 열처리 주단조 평가품의(040329)_도금 열처리 주단조 평가품의(040329)" xfId="30788"/>
    <cellStyle name="콤_사전회의(1208)_새벽시장1_도금 열처리 주단조 평가품의(040329)업체" xfId="30789"/>
    <cellStyle name="콤_사전회의(1208)_새벽시장1_열처리결과품의(031017)개발" xfId="30790"/>
    <cellStyle name="콤_사전회의(1208)_새벽시장1_열처리결과품의(031017)개발_도금 열처리 주단조 평가품의(040329)" xfId="30791"/>
    <cellStyle name="콤_사전회의(1208)_새벽시장1_용접업종 평가결과품의(040510)" xfId="30792"/>
    <cellStyle name="콤_사전회의(1208)_새벽시장1_용접업종 평가결과품의(040510)_용접업종 평가결과품의(040510)" xfId="30793"/>
    <cellStyle name="콤_사전회의(1208)_새벽시장1_용접업종 평가결과품의(040510)_용접업종 평가결과품의(040510)(1)" xfId="30794"/>
    <cellStyle name="콤_사전회의(1208)_새벽시장1_용접업종 평가결과품의(040510)_주단조용접업종 평가결과품의(040510)(1)" xfId="30795"/>
    <cellStyle name="콤_사전회의(1208)_새벽시장1_주단조 업종 평가결과품의(040407)" xfId="30796"/>
    <cellStyle name="콤_사전회의(1208)_새벽시장1_주단조 업종 평가결과품의(040407)_용접업종 평가결과품의(040510)" xfId="30797"/>
    <cellStyle name="콤_사전회의(1208)_새벽시장1_주단조 업종 평가결과품의(040407)_용접업종 평가결과품의(040510)(1)" xfId="30798"/>
    <cellStyle name="콤_사전회의(1208)_새벽시장1_주단조 업종 평가결과품의(040407)_주단조용접업종 평가결과품의(040510)(1)" xfId="30799"/>
    <cellStyle name="콤_사전회의(1208)_새벽시장1_주단조 업종 평가결과품의(040416)(1)" xfId="30800"/>
    <cellStyle name="콤_사전회의(1208)_새벽시장1_주단조 업종 평가결과품의(040416)(1)_용접업종 평가결과품의(040510)" xfId="30801"/>
    <cellStyle name="콤_사전회의(1208)_새벽시장1_주단조 업종 평가결과품의(040416)(1)_용접업종 평가결과품의(040510)(1)" xfId="30802"/>
    <cellStyle name="콤_사전회의(1208)_새벽시장1_주단조 업종 평가결과품의(040416)(1)_주단조용접업종 평가결과품의(040510)(1)" xfId="30803"/>
    <cellStyle name="콤_사전회의(1208)_새벽시장1_최신-SQ인증업체현황1343사(03년평가완료031229수정)" xfId="30804"/>
    <cellStyle name="콤_사전회의(1208)_새벽시장1_최신-SQ인증업체현황1343사(03년평가완료031229수정)_용접업종 평가결과품의(040510)" xfId="30805"/>
    <cellStyle name="콤_사전회의(1208)_새벽시장1_최신-SQ인증업체현황1343사(03년평가완료031229수정)_용접업종 평가결과품의(040510)(1)" xfId="30806"/>
    <cellStyle name="콤_사전회의(1208)_새벽시장1_최신-SQ인증업체현황1343사(03년평가완료031229수정)_주단조용접업종 평가결과품의(040510)(1)" xfId="30807"/>
    <cellStyle name="콤_사전회의(1208)_새벽시장3" xfId="30808"/>
    <cellStyle name="콤_사전회의(1208)_새벽시장3_도금 열처리 주단조 평가품의(040329)" xfId="30809"/>
    <cellStyle name="콤_사전회의(1208)_새벽시장3_도금 열처리 주단조 평가품의(040329)_도금 열처리 주단조 평가품의(040329)" xfId="30810"/>
    <cellStyle name="콤_사전회의(1208)_새벽시장3_도금 열처리 주단조 평가품의(040329)업체" xfId="30811"/>
    <cellStyle name="콤_사전회의(1208)_새벽시장3_열처리결과품의(031017)개발" xfId="30812"/>
    <cellStyle name="콤_사전회의(1208)_새벽시장3_열처리결과품의(031017)개발_도금 열처리 주단조 평가품의(040329)" xfId="30813"/>
    <cellStyle name="콤_사전회의(1208)_새벽시장3_용접업종 평가결과품의(040510)" xfId="30814"/>
    <cellStyle name="콤_사전회의(1208)_새벽시장3_용접업종 평가결과품의(040510)_용접업종 평가결과품의(040510)" xfId="30815"/>
    <cellStyle name="콤_사전회의(1208)_새벽시장3_용접업종 평가결과품의(040510)_용접업종 평가결과품의(040510)(1)" xfId="30816"/>
    <cellStyle name="콤_사전회의(1208)_새벽시장3_용접업종 평가결과품의(040510)_주단조용접업종 평가결과품의(040510)(1)" xfId="30817"/>
    <cellStyle name="콤_사전회의(1208)_새벽시장3_주단조 업종 평가결과품의(040407)" xfId="30818"/>
    <cellStyle name="콤_사전회의(1208)_새벽시장3_주단조 업종 평가결과품의(040407)_용접업종 평가결과품의(040510)" xfId="30819"/>
    <cellStyle name="콤_사전회의(1208)_새벽시장3_주단조 업종 평가결과품의(040407)_용접업종 평가결과품의(040510)(1)" xfId="30820"/>
    <cellStyle name="콤_사전회의(1208)_새벽시장3_주단조 업종 평가결과품의(040407)_주단조용접업종 평가결과품의(040510)(1)" xfId="30821"/>
    <cellStyle name="콤_사전회의(1208)_새벽시장3_주단조 업종 평가결과품의(040416)(1)" xfId="30822"/>
    <cellStyle name="콤_사전회의(1208)_새벽시장3_주단조 업종 평가결과품의(040416)(1)_용접업종 평가결과품의(040510)" xfId="30823"/>
    <cellStyle name="콤_사전회의(1208)_새벽시장3_주단조 업종 평가결과품의(040416)(1)_용접업종 평가결과품의(040510)(1)" xfId="30824"/>
    <cellStyle name="콤_사전회의(1208)_새벽시장3_주단조 업종 평가결과품의(040416)(1)_주단조용접업종 평가결과품의(040510)(1)" xfId="30825"/>
    <cellStyle name="콤_사전회의(1208)_새벽시장3_최신-SQ인증업체현황1343사(03년평가완료031229수정)" xfId="30826"/>
    <cellStyle name="콤_사전회의(1208)_새벽시장3_최신-SQ인증업체현황1343사(03년평가완료031229수정)_용접업종 평가결과품의(040510)" xfId="30827"/>
    <cellStyle name="콤_사전회의(1208)_새벽시장3_최신-SQ인증업체현황1343사(03년평가완료031229수정)_용접업종 평가결과품의(040510)(1)" xfId="30828"/>
    <cellStyle name="콤_사전회의(1208)_새벽시장3_최신-SQ인증업체현황1343사(03년평가완료031229수정)_주단조용접업종 평가결과품의(040510)(1)" xfId="30829"/>
    <cellStyle name="콤_사전회의(1208)_새벽시장5" xfId="30830"/>
    <cellStyle name="콤_사전회의(1208)_새벽시장5_도금 열처리 주단조 평가품의(040329)" xfId="30831"/>
    <cellStyle name="콤_사전회의(1208)_새벽시장5_도금 열처리 주단조 평가품의(040329)_도금 열처리 주단조 평가품의(040329)" xfId="30832"/>
    <cellStyle name="콤_사전회의(1208)_새벽시장5_도금 열처리 주단조 평가품의(040329)업체" xfId="30833"/>
    <cellStyle name="콤_사전회의(1208)_새벽시장5_열처리결과품의(031017)개발" xfId="30834"/>
    <cellStyle name="콤_사전회의(1208)_새벽시장5_열처리결과품의(031017)개발_도금 열처리 주단조 평가품의(040329)" xfId="30835"/>
    <cellStyle name="콤_사전회의(1208)_새벽시장5_용접업종 평가결과품의(040510)" xfId="30836"/>
    <cellStyle name="콤_사전회의(1208)_새벽시장5_용접업종 평가결과품의(040510)_용접업종 평가결과품의(040510)" xfId="30837"/>
    <cellStyle name="콤_사전회의(1208)_새벽시장5_용접업종 평가결과품의(040510)_용접업종 평가결과품의(040510)(1)" xfId="30838"/>
    <cellStyle name="콤_사전회의(1208)_새벽시장5_용접업종 평가결과품의(040510)_주단조용접업종 평가결과품의(040510)(1)" xfId="30839"/>
    <cellStyle name="콤_사전회의(1208)_새벽시장5_주단조 업종 평가결과품의(040407)" xfId="30840"/>
    <cellStyle name="콤_사전회의(1208)_새벽시장5_주단조 업종 평가결과품의(040407)_용접업종 평가결과품의(040510)" xfId="30841"/>
    <cellStyle name="콤_사전회의(1208)_새벽시장5_주단조 업종 평가결과품의(040407)_용접업종 평가결과품의(040510)(1)" xfId="30842"/>
    <cellStyle name="콤_사전회의(1208)_새벽시장5_주단조 업종 평가결과품의(040407)_주단조용접업종 평가결과품의(040510)(1)" xfId="30843"/>
    <cellStyle name="콤_사전회의(1208)_새벽시장5_주단조 업종 평가결과품의(040416)(1)" xfId="30844"/>
    <cellStyle name="콤_사전회의(1208)_새벽시장5_주단조 업종 평가결과품의(040416)(1)_용접업종 평가결과품의(040510)" xfId="30845"/>
    <cellStyle name="콤_사전회의(1208)_새벽시장5_주단조 업종 평가결과품의(040416)(1)_용접업종 평가결과품의(040510)(1)" xfId="30846"/>
    <cellStyle name="콤_사전회의(1208)_새벽시장5_주단조 업종 평가결과품의(040416)(1)_주단조용접업종 평가결과품의(040510)(1)" xfId="30847"/>
    <cellStyle name="콤_사전회의(1208)_새벽시장5_최신-SQ인증업체현황1343사(03년평가완료031229수정)" xfId="30848"/>
    <cellStyle name="콤_사전회의(1208)_새벽시장5_최신-SQ인증업체현황1343사(03년평가완료031229수정)_용접업종 평가결과품의(040510)" xfId="30849"/>
    <cellStyle name="콤_사전회의(1208)_새벽시장5_최신-SQ인증업체현황1343사(03년평가완료031229수정)_용접업종 평가결과품의(040510)(1)" xfId="30850"/>
    <cellStyle name="콤_사전회의(1208)_새벽시장5_최신-SQ인증업체현황1343사(03년평가완료031229수정)_주단조용접업종 평가결과품의(040510)(1)" xfId="30851"/>
    <cellStyle name="콤_사전회의(1208)_새벽시장7" xfId="30852"/>
    <cellStyle name="콤_사전회의(1208)_새벽시장7_도금 열처리 주단조 평가품의(040329)" xfId="30853"/>
    <cellStyle name="콤_사전회의(1208)_새벽시장7_도금 열처리 주단조 평가품의(040329)_도금 열처리 주단조 평가품의(040329)" xfId="30854"/>
    <cellStyle name="콤_사전회의(1208)_새벽시장7_도금 열처리 주단조 평가품의(040329)업체" xfId="30855"/>
    <cellStyle name="콤_사전회의(1208)_새벽시장7_열처리결과품의(031017)개발" xfId="30856"/>
    <cellStyle name="콤_사전회의(1208)_새벽시장7_열처리결과품의(031017)개발_도금 열처리 주단조 평가품의(040329)" xfId="30857"/>
    <cellStyle name="콤_사전회의(1208)_새벽시장7_용접업종 평가결과품의(040510)" xfId="30858"/>
    <cellStyle name="콤_사전회의(1208)_새벽시장7_용접업종 평가결과품의(040510)_용접업종 평가결과품의(040510)" xfId="30859"/>
    <cellStyle name="콤_사전회의(1208)_새벽시장7_용접업종 평가결과품의(040510)_용접업종 평가결과품의(040510)(1)" xfId="30860"/>
    <cellStyle name="콤_사전회의(1208)_새벽시장7_용접업종 평가결과품의(040510)_주단조용접업종 평가결과품의(040510)(1)" xfId="30861"/>
    <cellStyle name="콤_사전회의(1208)_새벽시장7_주단조 업종 평가결과품의(040407)" xfId="30862"/>
    <cellStyle name="콤_사전회의(1208)_새벽시장7_주단조 업종 평가결과품의(040407)_용접업종 평가결과품의(040510)" xfId="30863"/>
    <cellStyle name="콤_사전회의(1208)_새벽시장7_주단조 업종 평가결과품의(040407)_용접업종 평가결과품의(040510)(1)" xfId="30864"/>
    <cellStyle name="콤_사전회의(1208)_새벽시장7_주단조 업종 평가결과품의(040407)_주단조용접업종 평가결과품의(040510)(1)" xfId="30865"/>
    <cellStyle name="콤_사전회의(1208)_새벽시장7_주단조 업종 평가결과품의(040416)(1)" xfId="30866"/>
    <cellStyle name="콤_사전회의(1208)_새벽시장7_주단조 업종 평가결과품의(040416)(1)_용접업종 평가결과품의(040510)" xfId="30867"/>
    <cellStyle name="콤_사전회의(1208)_새벽시장7_주단조 업종 평가결과품의(040416)(1)_용접업종 평가결과품의(040510)(1)" xfId="30868"/>
    <cellStyle name="콤_사전회의(1208)_새벽시장7_주단조 업종 평가결과품의(040416)(1)_주단조용접업종 평가결과품의(040510)(1)" xfId="30869"/>
    <cellStyle name="콤_사전회의(1208)_새벽시장7_최신-SQ인증업체현황1343사(03년평가완료031229수정)" xfId="30870"/>
    <cellStyle name="콤_사전회의(1208)_새벽시장7_최신-SQ인증업체현황1343사(03년평가완료031229수정)_용접업종 평가결과품의(040510)" xfId="30871"/>
    <cellStyle name="콤_사전회의(1208)_새벽시장7_최신-SQ인증업체현황1343사(03년평가완료031229수정)_용접업종 평가결과품의(040510)(1)" xfId="30872"/>
    <cellStyle name="콤_사전회의(1208)_새벽시장7_최신-SQ인증업체현황1343사(03년평가완료031229수정)_주단조용접업종 평가결과품의(040510)(1)" xfId="30873"/>
    <cellStyle name="콤_사전회의(1208)_새벽시장8.10xls" xfId="30874"/>
    <cellStyle name="콤_사전회의(1208)_새벽시장8.10xls_도금 열처리 주단조 평가품의(040329)" xfId="30875"/>
    <cellStyle name="콤_사전회의(1208)_새벽시장8.10xls_도금 열처리 주단조 평가품의(040329)_도금 열처리 주단조 평가품의(040329)" xfId="30876"/>
    <cellStyle name="콤_사전회의(1208)_새벽시장8.10xls_도금 열처리 주단조 평가품의(040329)업체" xfId="30877"/>
    <cellStyle name="콤_사전회의(1208)_새벽시장8.10xls_열처리결과품의(031017)개발" xfId="30878"/>
    <cellStyle name="콤_사전회의(1208)_새벽시장8.10xls_열처리결과품의(031017)개발_도금 열처리 주단조 평가품의(040329)" xfId="30879"/>
    <cellStyle name="콤_사전회의(1208)_새벽시장8.10xls_용접업종 평가결과품의(040510)" xfId="30880"/>
    <cellStyle name="콤_사전회의(1208)_새벽시장8.10xls_용접업종 평가결과품의(040510)_용접업종 평가결과품의(040510)" xfId="30881"/>
    <cellStyle name="콤_사전회의(1208)_새벽시장8.10xls_용접업종 평가결과품의(040510)_용접업종 평가결과품의(040510)(1)" xfId="30882"/>
    <cellStyle name="콤_사전회의(1208)_새벽시장8.10xls_용접업종 평가결과품의(040510)_주단조용접업종 평가결과품의(040510)(1)" xfId="30883"/>
    <cellStyle name="콤_사전회의(1208)_새벽시장8.10xls_주단조 업종 평가결과품의(040407)" xfId="30884"/>
    <cellStyle name="콤_사전회의(1208)_새벽시장8.10xls_주단조 업종 평가결과품의(040407)_용접업종 평가결과품의(040510)" xfId="30885"/>
    <cellStyle name="콤_사전회의(1208)_새벽시장8.10xls_주단조 업종 평가결과품의(040407)_용접업종 평가결과품의(040510)(1)" xfId="30886"/>
    <cellStyle name="콤_사전회의(1208)_새벽시장8.10xls_주단조 업종 평가결과품의(040407)_주단조용접업종 평가결과품의(040510)(1)" xfId="30887"/>
    <cellStyle name="콤_사전회의(1208)_새벽시장8.10xls_주단조 업종 평가결과품의(040416)(1)" xfId="30888"/>
    <cellStyle name="콤_사전회의(1208)_새벽시장8.10xls_주단조 업종 평가결과품의(040416)(1)_용접업종 평가결과품의(040510)" xfId="30889"/>
    <cellStyle name="콤_사전회의(1208)_새벽시장8.10xls_주단조 업종 평가결과품의(040416)(1)_용접업종 평가결과품의(040510)(1)" xfId="30890"/>
    <cellStyle name="콤_사전회의(1208)_새벽시장8.10xls_주단조 업종 평가결과품의(040416)(1)_주단조용접업종 평가결과품의(040510)(1)" xfId="30891"/>
    <cellStyle name="콤_사전회의(1208)_새벽시장8.10xls_최신-SQ인증업체현황1343사(03년평가완료031229수정)" xfId="30892"/>
    <cellStyle name="콤_사전회의(1208)_새벽시장8.10xls_최신-SQ인증업체현황1343사(03년평가완료031229수정)_용접업종 평가결과품의(040510)" xfId="30893"/>
    <cellStyle name="콤_사전회의(1208)_새벽시장8.10xls_최신-SQ인증업체현황1343사(03년평가완료031229수정)_용접업종 평가결과품의(040510)(1)" xfId="30894"/>
    <cellStyle name="콤_사전회의(1208)_새벽시장8.10xls_최신-SQ인증업체현황1343사(03년평가완료031229수정)_주단조용접업종 평가결과품의(040510)(1)" xfId="30895"/>
    <cellStyle name="콤_사전회의(1208)_새벽시장8.26xls" xfId="30896"/>
    <cellStyle name="콤_사전회의(1208)_새벽시장8.26xls_도금 열처리 주단조 평가품의(040329)" xfId="30897"/>
    <cellStyle name="콤_사전회의(1208)_새벽시장8.26xls_도금 열처리 주단조 평가품의(040329)_도금 열처리 주단조 평가품의(040329)" xfId="30898"/>
    <cellStyle name="콤_사전회의(1208)_새벽시장8.26xls_도금 열처리 주단조 평가품의(040329)업체" xfId="30899"/>
    <cellStyle name="콤_사전회의(1208)_새벽시장8.26xls_열처리결과품의(031017)개발" xfId="30900"/>
    <cellStyle name="콤_사전회의(1208)_새벽시장8.26xls_열처리결과품의(031017)개발_도금 열처리 주단조 평가품의(040329)" xfId="30901"/>
    <cellStyle name="콤_사전회의(1208)_새벽시장8.26xls_용접업종 평가결과품의(040510)" xfId="30902"/>
    <cellStyle name="콤_사전회의(1208)_새벽시장8.26xls_용접업종 평가결과품의(040510)_용접업종 평가결과품의(040510)" xfId="30903"/>
    <cellStyle name="콤_사전회의(1208)_새벽시장8.26xls_용접업종 평가결과품의(040510)_용접업종 평가결과품의(040510)(1)" xfId="30904"/>
    <cellStyle name="콤_사전회의(1208)_새벽시장8.26xls_용접업종 평가결과품의(040510)_주단조용접업종 평가결과품의(040510)(1)" xfId="30905"/>
    <cellStyle name="콤_사전회의(1208)_새벽시장8.26xls_주단조 업종 평가결과품의(040407)" xfId="30906"/>
    <cellStyle name="콤_사전회의(1208)_새벽시장8.26xls_주단조 업종 평가결과품의(040407)_용접업종 평가결과품의(040510)" xfId="30907"/>
    <cellStyle name="콤_사전회의(1208)_새벽시장8.26xls_주단조 업종 평가결과품의(040407)_용접업종 평가결과품의(040510)(1)" xfId="30908"/>
    <cellStyle name="콤_사전회의(1208)_새벽시장8.26xls_주단조 업종 평가결과품의(040407)_주단조용접업종 평가결과품의(040510)(1)" xfId="30909"/>
    <cellStyle name="콤_사전회의(1208)_새벽시장8.26xls_주단조 업종 평가결과품의(040416)(1)" xfId="30910"/>
    <cellStyle name="콤_사전회의(1208)_새벽시장8.26xls_주단조 업종 평가결과품의(040416)(1)_용접업종 평가결과품의(040510)" xfId="30911"/>
    <cellStyle name="콤_사전회의(1208)_새벽시장8.26xls_주단조 업종 평가결과품의(040416)(1)_용접업종 평가결과품의(040510)(1)" xfId="30912"/>
    <cellStyle name="콤_사전회의(1208)_새벽시장8.26xls_주단조 업종 평가결과품의(040416)(1)_주단조용접업종 평가결과품의(040510)(1)" xfId="30913"/>
    <cellStyle name="콤_사전회의(1208)_새벽시장8.26xls_최신-SQ인증업체현황1343사(03년평가완료031229수정)" xfId="30914"/>
    <cellStyle name="콤_사전회의(1208)_새벽시장8.26xls_최신-SQ인증업체현황1343사(03년평가완료031229수정)_용접업종 평가결과품의(040510)" xfId="30915"/>
    <cellStyle name="콤_사전회의(1208)_새벽시장8.26xls_최신-SQ인증업체현황1343사(03년평가완료031229수정)_용접업종 평가결과품의(040510)(1)" xfId="30916"/>
    <cellStyle name="콤_사전회의(1208)_새벽시장8.26xls_최신-SQ인증업체현황1343사(03년평가완료031229수정)_주단조용접업종 평가결과품의(040510)(1)" xfId="30917"/>
    <cellStyle name="콤_사전회의(1208)_새벽시장9.16" xfId="30918"/>
    <cellStyle name="콤_사전회의(1208)_새벽시장9.16_도금 열처리 주단조 평가품의(040329)" xfId="30919"/>
    <cellStyle name="콤_사전회의(1208)_새벽시장9.16_도금 열처리 주단조 평가품의(040329)_도금 열처리 주단조 평가품의(040329)" xfId="30920"/>
    <cellStyle name="콤_사전회의(1208)_새벽시장9.16_도금 열처리 주단조 평가품의(040329)업체" xfId="30921"/>
    <cellStyle name="콤_사전회의(1208)_새벽시장9.16_열처리결과품의(031017)개발" xfId="30922"/>
    <cellStyle name="콤_사전회의(1208)_새벽시장9.16_열처리결과품의(031017)개발_도금 열처리 주단조 평가품의(040329)" xfId="30923"/>
    <cellStyle name="콤_사전회의(1208)_새벽시장9.16_용접업종 평가결과품의(040510)" xfId="30924"/>
    <cellStyle name="콤_사전회의(1208)_새벽시장9.16_용접업종 평가결과품의(040510)_용접업종 평가결과품의(040510)" xfId="30925"/>
    <cellStyle name="콤_사전회의(1208)_새벽시장9.16_용접업종 평가결과품의(040510)_용접업종 평가결과품의(040510)(1)" xfId="30926"/>
    <cellStyle name="콤_사전회의(1208)_새벽시장9.16_용접업종 평가결과품의(040510)_주단조용접업종 평가결과품의(040510)(1)" xfId="30927"/>
    <cellStyle name="콤_사전회의(1208)_새벽시장9.16_주단조 업종 평가결과품의(040407)" xfId="30928"/>
    <cellStyle name="콤_사전회의(1208)_새벽시장9.16_주단조 업종 평가결과품의(040407)_용접업종 평가결과품의(040510)" xfId="30929"/>
    <cellStyle name="콤_사전회의(1208)_새벽시장9.16_주단조 업종 평가결과품의(040407)_용접업종 평가결과품의(040510)(1)" xfId="30930"/>
    <cellStyle name="콤_사전회의(1208)_새벽시장9.16_주단조 업종 평가결과품의(040407)_주단조용접업종 평가결과품의(040510)(1)" xfId="30931"/>
    <cellStyle name="콤_사전회의(1208)_새벽시장9.16_주단조 업종 평가결과품의(040416)(1)" xfId="30932"/>
    <cellStyle name="콤_사전회의(1208)_새벽시장9.16_주단조 업종 평가결과품의(040416)(1)_용접업종 평가결과품의(040510)" xfId="30933"/>
    <cellStyle name="콤_사전회의(1208)_새벽시장9.16_주단조 업종 평가결과품의(040416)(1)_용접업종 평가결과품의(040510)(1)" xfId="30934"/>
    <cellStyle name="콤_사전회의(1208)_새벽시장9.16_주단조 업종 평가결과품의(040416)(1)_주단조용접업종 평가결과품의(040510)(1)" xfId="30935"/>
    <cellStyle name="콤_사전회의(1208)_새벽시장9.16_최신-SQ인증업체현황1343사(03년평가완료031229수정)" xfId="30936"/>
    <cellStyle name="콤_사전회의(1208)_새벽시장9.16_최신-SQ인증업체현황1343사(03년평가완료031229수정)_용접업종 평가결과품의(040510)" xfId="30937"/>
    <cellStyle name="콤_사전회의(1208)_새벽시장9.16_최신-SQ인증업체현황1343사(03년평가완료031229수정)_용접업종 평가결과품의(040510)(1)" xfId="30938"/>
    <cellStyle name="콤_사전회의(1208)_새벽시장9.16_최신-SQ인증업체현황1343사(03년평가완료031229수정)_주단조용접업종 평가결과품의(040510)(1)" xfId="30939"/>
    <cellStyle name="콤_사전회의(1208)_열처리결과품의(031017)개발" xfId="30940"/>
    <cellStyle name="콤_사전회의(1208)_열처리결과품의(031017)개발_도금 열처리 주단조 평가품의(040329)" xfId="30941"/>
    <cellStyle name="콤_사전회의(1208)_용접업종 평가결과품의(040510)" xfId="30942"/>
    <cellStyle name="콤_사전회의(1208)_용접업종 평가결과품의(040510)_용접업종 평가결과품의(040510)" xfId="30943"/>
    <cellStyle name="콤_사전회의(1208)_용접업종 평가결과품의(040510)_용접업종 평가결과품의(040510)(1)" xfId="30944"/>
    <cellStyle name="콤_사전회의(1208)_용접업종 평가결과품의(040510)_주단조용접업종 평가결과품의(040510)(1)" xfId="30945"/>
    <cellStyle name="콤_사전회의(1208)_주단조 업종 평가결과품의(040407)" xfId="30946"/>
    <cellStyle name="콤_사전회의(1208)_주단조 업종 평가결과품의(040407)_용접업종 평가결과품의(040510)" xfId="30947"/>
    <cellStyle name="콤_사전회의(1208)_주단조 업종 평가결과품의(040407)_용접업종 평가결과품의(040510)(1)" xfId="30948"/>
    <cellStyle name="콤_사전회의(1208)_주단조 업종 평가결과품의(040407)_주단조용접업종 평가결과품의(040510)(1)" xfId="30949"/>
    <cellStyle name="콤_사전회의(1208)_주단조 업종 평가결과품의(040416)(1)" xfId="30950"/>
    <cellStyle name="콤_사전회의(1208)_주단조 업종 평가결과품의(040416)(1)_용접업종 평가결과품의(040510)" xfId="30951"/>
    <cellStyle name="콤_사전회의(1208)_주단조 업종 평가결과품의(040416)(1)_용접업종 평가결과품의(040510)(1)" xfId="30952"/>
    <cellStyle name="콤_사전회의(1208)_주단조 업종 평가결과품의(040416)(1)_주단조용접업종 평가결과품의(040510)(1)" xfId="30953"/>
    <cellStyle name="콤_사전회의(1208)_최신-SQ인증업체현황1343사(03년평가완료031229수정)" xfId="30954"/>
    <cellStyle name="콤_사전회의(1208)_최신-SQ인증업체현황1343사(03년평가완료031229수정)_용접업종 평가결과품의(040510)" xfId="30955"/>
    <cellStyle name="콤_사전회의(1208)_최신-SQ인증업체현황1343사(03년평가완료031229수정)_용접업종 평가결과품의(040510)(1)" xfId="30956"/>
    <cellStyle name="콤_사전회의(1208)_최신-SQ인증업체현황1343사(03년평가완료031229수정)_주단조용접업종 평가결과품의(040510)(1)" xfId="30957"/>
    <cellStyle name="콤_새벽시장1" xfId="30958"/>
    <cellStyle name="콤_새벽시장1_도금 열처리 주단조 평가품의(040329)" xfId="30959"/>
    <cellStyle name="콤_새벽시장1_도금 열처리 주단조 평가품의(040329)_도금 열처리 주단조 평가품의(040329)" xfId="30960"/>
    <cellStyle name="콤_새벽시장1_도금 열처리 주단조 평가품의(040329)업체" xfId="30961"/>
    <cellStyle name="콤_새벽시장1_열처리결과품의(031017)개발" xfId="30962"/>
    <cellStyle name="콤_새벽시장1_열처리결과품의(031017)개발_도금 열처리 주단조 평가품의(040329)" xfId="30963"/>
    <cellStyle name="콤_새벽시장1_용접업종 평가결과품의(040510)" xfId="30964"/>
    <cellStyle name="콤_새벽시장1_용접업종 평가결과품의(040510)_용접업종 평가결과품의(040510)" xfId="30965"/>
    <cellStyle name="콤_새벽시장1_용접업종 평가결과품의(040510)_용접업종 평가결과품의(040510)(1)" xfId="30966"/>
    <cellStyle name="콤_새벽시장1_용접업종 평가결과품의(040510)_주단조용접업종 평가결과품의(040510)(1)" xfId="30967"/>
    <cellStyle name="콤_새벽시장1_주단조 업종 평가결과품의(040407)" xfId="30968"/>
    <cellStyle name="콤_새벽시장1_주단조 업종 평가결과품의(040407)_용접업종 평가결과품의(040510)" xfId="30969"/>
    <cellStyle name="콤_새벽시장1_주단조 업종 평가결과품의(040407)_용접업종 평가결과품의(040510)(1)" xfId="30970"/>
    <cellStyle name="콤_새벽시장1_주단조 업종 평가결과품의(040407)_주단조용접업종 평가결과품의(040510)(1)" xfId="30971"/>
    <cellStyle name="콤_새벽시장1_주단조 업종 평가결과품의(040416)(1)" xfId="30972"/>
    <cellStyle name="콤_새벽시장1_주단조 업종 평가결과품의(040416)(1)_용접업종 평가결과품의(040510)" xfId="30973"/>
    <cellStyle name="콤_새벽시장1_주단조 업종 평가결과품의(040416)(1)_용접업종 평가결과품의(040510)(1)" xfId="30974"/>
    <cellStyle name="콤_새벽시장1_주단조 업종 평가결과품의(040416)(1)_주단조용접업종 평가결과품의(040510)(1)" xfId="30975"/>
    <cellStyle name="콤_새벽시장1_최신-SQ인증업체현황1343사(03년평가완료031229수정)" xfId="30976"/>
    <cellStyle name="콤_새벽시장1_최신-SQ인증업체현황1343사(03년평가완료031229수정)_용접업종 평가결과품의(040510)" xfId="30977"/>
    <cellStyle name="콤_새벽시장1_최신-SQ인증업체현황1343사(03년평가완료031229수정)_용접업종 평가결과품의(040510)(1)" xfId="30978"/>
    <cellStyle name="콤_새벽시장1_최신-SQ인증업체현황1343사(03년평가완료031229수정)_주단조용접업종 평가결과품의(040510)(1)" xfId="30979"/>
    <cellStyle name="콤_새벽시장3" xfId="30980"/>
    <cellStyle name="콤_새벽시장3_도금 열처리 주단조 평가품의(040329)" xfId="30981"/>
    <cellStyle name="콤_새벽시장3_도금 열처리 주단조 평가품의(040329)_도금 열처리 주단조 평가품의(040329)" xfId="30982"/>
    <cellStyle name="콤_새벽시장3_도금 열처리 주단조 평가품의(040329)업체" xfId="30983"/>
    <cellStyle name="콤_새벽시장3_열처리결과품의(031017)개발" xfId="30984"/>
    <cellStyle name="콤_새벽시장3_열처리결과품의(031017)개발_도금 열처리 주단조 평가품의(040329)" xfId="30985"/>
    <cellStyle name="콤_새벽시장3_용접업종 평가결과품의(040510)" xfId="30986"/>
    <cellStyle name="콤_새벽시장3_용접업종 평가결과품의(040510)_용접업종 평가결과품의(040510)" xfId="30987"/>
    <cellStyle name="콤_새벽시장3_용접업종 평가결과품의(040510)_용접업종 평가결과품의(040510)(1)" xfId="30988"/>
    <cellStyle name="콤_새벽시장3_용접업종 평가결과품의(040510)_주단조용접업종 평가결과품의(040510)(1)" xfId="30989"/>
    <cellStyle name="콤_새벽시장3_주단조 업종 평가결과품의(040407)" xfId="30990"/>
    <cellStyle name="콤_새벽시장3_주단조 업종 평가결과품의(040407)_용접업종 평가결과품의(040510)" xfId="30991"/>
    <cellStyle name="콤_새벽시장3_주단조 업종 평가결과품의(040407)_용접업종 평가결과품의(040510)(1)" xfId="30992"/>
    <cellStyle name="콤_새벽시장3_주단조 업종 평가결과품의(040407)_주단조용접업종 평가결과품의(040510)(1)" xfId="30993"/>
    <cellStyle name="콤_새벽시장3_주단조 업종 평가결과품의(040416)(1)" xfId="30994"/>
    <cellStyle name="콤_새벽시장3_주단조 업종 평가결과품의(040416)(1)_용접업종 평가결과품의(040510)" xfId="30995"/>
    <cellStyle name="콤_새벽시장3_주단조 업종 평가결과품의(040416)(1)_용접업종 평가결과품의(040510)(1)" xfId="30996"/>
    <cellStyle name="콤_새벽시장3_주단조 업종 평가결과품의(040416)(1)_주단조용접업종 평가결과품의(040510)(1)" xfId="30997"/>
    <cellStyle name="콤_새벽시장3_최신-SQ인증업체현황1343사(03년평가완료031229수정)" xfId="30998"/>
    <cellStyle name="콤_새벽시장3_최신-SQ인증업체현황1343사(03년평가완료031229수정)_용접업종 평가결과품의(040510)" xfId="30999"/>
    <cellStyle name="콤_새벽시장3_최신-SQ인증업체현황1343사(03년평가완료031229수정)_용접업종 평가결과품의(040510)(1)" xfId="31000"/>
    <cellStyle name="콤_새벽시장3_최신-SQ인증업체현황1343사(03년평가완료031229수정)_주단조용접업종 평가결과품의(040510)(1)" xfId="31001"/>
    <cellStyle name="콤_새벽시장5" xfId="31002"/>
    <cellStyle name="콤_새벽시장5_도금 열처리 주단조 평가품의(040329)" xfId="31003"/>
    <cellStyle name="콤_새벽시장5_도금 열처리 주단조 평가품의(040329)_도금 열처리 주단조 평가품의(040329)" xfId="31004"/>
    <cellStyle name="콤_새벽시장5_도금 열처리 주단조 평가품의(040329)업체" xfId="31005"/>
    <cellStyle name="콤_새벽시장5_열처리결과품의(031017)개발" xfId="31006"/>
    <cellStyle name="콤_새벽시장5_열처리결과품의(031017)개발_도금 열처리 주단조 평가품의(040329)" xfId="31007"/>
    <cellStyle name="콤_새벽시장5_용접업종 평가결과품의(040510)" xfId="31008"/>
    <cellStyle name="콤_새벽시장5_용접업종 평가결과품의(040510)_용접업종 평가결과품의(040510)" xfId="31009"/>
    <cellStyle name="콤_새벽시장5_용접업종 평가결과품의(040510)_용접업종 평가결과품의(040510)(1)" xfId="31010"/>
    <cellStyle name="콤_새벽시장5_용접업종 평가결과품의(040510)_주단조용접업종 평가결과품의(040510)(1)" xfId="31011"/>
    <cellStyle name="콤_새벽시장5_주단조 업종 평가결과품의(040407)" xfId="31012"/>
    <cellStyle name="콤_새벽시장5_주단조 업종 평가결과품의(040407)_용접업종 평가결과품의(040510)" xfId="31013"/>
    <cellStyle name="콤_새벽시장5_주단조 업종 평가결과품의(040407)_용접업종 평가결과품의(040510)(1)" xfId="31014"/>
    <cellStyle name="콤_새벽시장5_주단조 업종 평가결과품의(040407)_주단조용접업종 평가결과품의(040510)(1)" xfId="31015"/>
    <cellStyle name="콤_새벽시장5_주단조 업종 평가결과품의(040416)(1)" xfId="31016"/>
    <cellStyle name="콤_새벽시장5_주단조 업종 평가결과품의(040416)(1)_용접업종 평가결과품의(040510)" xfId="31017"/>
    <cellStyle name="콤_새벽시장5_주단조 업종 평가결과품의(040416)(1)_용접업종 평가결과품의(040510)(1)" xfId="31018"/>
    <cellStyle name="콤_새벽시장5_주단조 업종 평가결과품의(040416)(1)_주단조용접업종 평가결과품의(040510)(1)" xfId="31019"/>
    <cellStyle name="콤_새벽시장5_최신-SQ인증업체현황1343사(03년평가완료031229수정)" xfId="31020"/>
    <cellStyle name="콤_새벽시장5_최신-SQ인증업체현황1343사(03년평가완료031229수정)_용접업종 평가결과품의(040510)" xfId="31021"/>
    <cellStyle name="콤_새벽시장5_최신-SQ인증업체현황1343사(03년평가완료031229수정)_용접업종 평가결과품의(040510)(1)" xfId="31022"/>
    <cellStyle name="콤_새벽시장5_최신-SQ인증업체현황1343사(03년평가완료031229수정)_주단조용접업종 평가결과품의(040510)(1)" xfId="31023"/>
    <cellStyle name="콤_새벽시장7" xfId="31024"/>
    <cellStyle name="콤_새벽시장7_도금 열처리 주단조 평가품의(040329)" xfId="31025"/>
    <cellStyle name="콤_새벽시장7_도금 열처리 주단조 평가품의(040329)_도금 열처리 주단조 평가품의(040329)" xfId="31026"/>
    <cellStyle name="콤_새벽시장7_도금 열처리 주단조 평가품의(040329)업체" xfId="31027"/>
    <cellStyle name="콤_새벽시장7_열처리결과품의(031017)개발" xfId="31028"/>
    <cellStyle name="콤_새벽시장7_열처리결과품의(031017)개발_도금 열처리 주단조 평가품의(040329)" xfId="31029"/>
    <cellStyle name="콤_새벽시장7_용접업종 평가결과품의(040510)" xfId="31030"/>
    <cellStyle name="콤_새벽시장7_용접업종 평가결과품의(040510)_용접업종 평가결과품의(040510)" xfId="31031"/>
    <cellStyle name="콤_새벽시장7_용접업종 평가결과품의(040510)_용접업종 평가결과품의(040510)(1)" xfId="31032"/>
    <cellStyle name="콤_새벽시장7_용접업종 평가결과품의(040510)_주단조용접업종 평가결과품의(040510)(1)" xfId="31033"/>
    <cellStyle name="콤_새벽시장7_주단조 업종 평가결과품의(040407)" xfId="31034"/>
    <cellStyle name="콤_새벽시장7_주단조 업종 평가결과품의(040407)_용접업종 평가결과품의(040510)" xfId="31035"/>
    <cellStyle name="콤_새벽시장7_주단조 업종 평가결과품의(040407)_용접업종 평가결과품의(040510)(1)" xfId="31036"/>
    <cellStyle name="콤_새벽시장7_주단조 업종 평가결과품의(040407)_주단조용접업종 평가결과품의(040510)(1)" xfId="31037"/>
    <cellStyle name="콤_새벽시장7_주단조 업종 평가결과품의(040416)(1)" xfId="31038"/>
    <cellStyle name="콤_새벽시장7_주단조 업종 평가결과품의(040416)(1)_용접업종 평가결과품의(040510)" xfId="31039"/>
    <cellStyle name="콤_새벽시장7_주단조 업종 평가결과품의(040416)(1)_용접업종 평가결과품의(040510)(1)" xfId="31040"/>
    <cellStyle name="콤_새벽시장7_주단조 업종 평가결과품의(040416)(1)_주단조용접업종 평가결과품의(040510)(1)" xfId="31041"/>
    <cellStyle name="콤_새벽시장7_최신-SQ인증업체현황1343사(03년평가완료031229수정)" xfId="31042"/>
    <cellStyle name="콤_새벽시장7_최신-SQ인증업체현황1343사(03년평가완료031229수정)_용접업종 평가결과품의(040510)" xfId="31043"/>
    <cellStyle name="콤_새벽시장7_최신-SQ인증업체현황1343사(03년평가완료031229수정)_용접업종 평가결과품의(040510)(1)" xfId="31044"/>
    <cellStyle name="콤_새벽시장7_최신-SQ인증업체현황1343사(03년평가완료031229수정)_주단조용접업종 평가결과품의(040510)(1)" xfId="31045"/>
    <cellStyle name="콤_새벽시장8.10xls" xfId="31046"/>
    <cellStyle name="콤_새벽시장8.10xls_도금 열처리 주단조 평가품의(040329)" xfId="31047"/>
    <cellStyle name="콤_새벽시장8.10xls_도금 열처리 주단조 평가품의(040329)_도금 열처리 주단조 평가품의(040329)" xfId="31048"/>
    <cellStyle name="콤_새벽시장8.10xls_도금 열처리 주단조 평가품의(040329)업체" xfId="31049"/>
    <cellStyle name="콤_새벽시장8.10xls_열처리결과품의(031017)개발" xfId="31050"/>
    <cellStyle name="콤_새벽시장8.10xls_열처리결과품의(031017)개발_도금 열처리 주단조 평가품의(040329)" xfId="31051"/>
    <cellStyle name="콤_새벽시장8.10xls_용접업종 평가결과품의(040510)" xfId="31052"/>
    <cellStyle name="콤_새벽시장8.10xls_용접업종 평가결과품의(040510)_용접업종 평가결과품의(040510)" xfId="31053"/>
    <cellStyle name="콤_새벽시장8.10xls_용접업종 평가결과품의(040510)_용접업종 평가결과품의(040510)(1)" xfId="31054"/>
    <cellStyle name="콤_새벽시장8.10xls_용접업종 평가결과품의(040510)_주단조용접업종 평가결과품의(040510)(1)" xfId="31055"/>
    <cellStyle name="콤_새벽시장8.10xls_주단조 업종 평가결과품의(040407)" xfId="31056"/>
    <cellStyle name="콤_새벽시장8.10xls_주단조 업종 평가결과품의(040407)_용접업종 평가결과품의(040510)" xfId="31057"/>
    <cellStyle name="콤_새벽시장8.10xls_주단조 업종 평가결과품의(040407)_용접업종 평가결과품의(040510)(1)" xfId="31058"/>
    <cellStyle name="콤_새벽시장8.10xls_주단조 업종 평가결과품의(040407)_주단조용접업종 평가결과품의(040510)(1)" xfId="31059"/>
    <cellStyle name="콤_새벽시장8.10xls_주단조 업종 평가결과품의(040416)(1)" xfId="31060"/>
    <cellStyle name="콤_새벽시장8.10xls_주단조 업종 평가결과품의(040416)(1)_용접업종 평가결과품의(040510)" xfId="31061"/>
    <cellStyle name="콤_새벽시장8.10xls_주단조 업종 평가결과품의(040416)(1)_용접업종 평가결과품의(040510)(1)" xfId="31062"/>
    <cellStyle name="콤_새벽시장8.10xls_주단조 업종 평가결과품의(040416)(1)_주단조용접업종 평가결과품의(040510)(1)" xfId="31063"/>
    <cellStyle name="콤_새벽시장8.10xls_최신-SQ인증업체현황1343사(03년평가완료031229수정)" xfId="31064"/>
    <cellStyle name="콤_새벽시장8.10xls_최신-SQ인증업체현황1343사(03년평가완료031229수정)_용접업종 평가결과품의(040510)" xfId="31065"/>
    <cellStyle name="콤_새벽시장8.10xls_최신-SQ인증업체현황1343사(03년평가완료031229수정)_용접업종 평가결과품의(040510)(1)" xfId="31066"/>
    <cellStyle name="콤_새벽시장8.10xls_최신-SQ인증업체현황1343사(03년평가완료031229수정)_주단조용접업종 평가결과품의(040510)(1)" xfId="31067"/>
    <cellStyle name="콤_새벽시장8.26xls" xfId="31068"/>
    <cellStyle name="콤_새벽시장8.26xls_도금 열처리 주단조 평가품의(040329)" xfId="31069"/>
    <cellStyle name="콤_새벽시장8.26xls_도금 열처리 주단조 평가품의(040329)_도금 열처리 주단조 평가품의(040329)" xfId="31070"/>
    <cellStyle name="콤_새벽시장8.26xls_도금 열처리 주단조 평가품의(040329)업체" xfId="31071"/>
    <cellStyle name="콤_새벽시장8.26xls_열처리결과품의(031017)개발" xfId="31072"/>
    <cellStyle name="콤_새벽시장8.26xls_열처리결과품의(031017)개발_도금 열처리 주단조 평가품의(040329)" xfId="31073"/>
    <cellStyle name="콤_새벽시장8.26xls_용접업종 평가결과품의(040510)" xfId="31074"/>
    <cellStyle name="콤_새벽시장8.26xls_용접업종 평가결과품의(040510)_용접업종 평가결과품의(040510)" xfId="31075"/>
    <cellStyle name="콤_새벽시장8.26xls_용접업종 평가결과품의(040510)_용접업종 평가결과품의(040510)(1)" xfId="31076"/>
    <cellStyle name="콤_새벽시장8.26xls_용접업종 평가결과품의(040510)_주단조용접업종 평가결과품의(040510)(1)" xfId="31077"/>
    <cellStyle name="콤_새벽시장8.26xls_주단조 업종 평가결과품의(040407)" xfId="31078"/>
    <cellStyle name="콤_새벽시장8.26xls_주단조 업종 평가결과품의(040407)_용접업종 평가결과품의(040510)" xfId="31079"/>
    <cellStyle name="콤_새벽시장8.26xls_주단조 업종 평가결과품의(040407)_용접업종 평가결과품의(040510)(1)" xfId="31080"/>
    <cellStyle name="콤_새벽시장8.26xls_주단조 업종 평가결과품의(040407)_주단조용접업종 평가결과품의(040510)(1)" xfId="31081"/>
    <cellStyle name="콤_새벽시장8.26xls_주단조 업종 평가결과품의(040416)(1)" xfId="31082"/>
    <cellStyle name="콤_새벽시장8.26xls_주단조 업종 평가결과품의(040416)(1)_용접업종 평가결과품의(040510)" xfId="31083"/>
    <cellStyle name="콤_새벽시장8.26xls_주단조 업종 평가결과품의(040416)(1)_용접업종 평가결과품의(040510)(1)" xfId="31084"/>
    <cellStyle name="콤_새벽시장8.26xls_주단조 업종 평가결과품의(040416)(1)_주단조용접업종 평가결과품의(040510)(1)" xfId="31085"/>
    <cellStyle name="콤_새벽시장8.26xls_최신-SQ인증업체현황1343사(03년평가완료031229수정)" xfId="31086"/>
    <cellStyle name="콤_새벽시장8.26xls_최신-SQ인증업체현황1343사(03년평가완료031229수정)_용접업종 평가결과품의(040510)" xfId="31087"/>
    <cellStyle name="콤_새벽시장8.26xls_최신-SQ인증업체현황1343사(03년평가완료031229수정)_용접업종 평가결과품의(040510)(1)" xfId="31088"/>
    <cellStyle name="콤_새벽시장8.26xls_최신-SQ인증업체현황1343사(03년평가완료031229수정)_주단조용접업종 평가결과품의(040510)(1)" xfId="31089"/>
    <cellStyle name="콤_새벽시장9.16" xfId="31090"/>
    <cellStyle name="콤_새벽시장9.16_도금 열처리 주단조 평가품의(040329)" xfId="31091"/>
    <cellStyle name="콤_새벽시장9.16_도금 열처리 주단조 평가품의(040329)_도금 열처리 주단조 평가품의(040329)" xfId="31092"/>
    <cellStyle name="콤_새벽시장9.16_도금 열처리 주단조 평가품의(040329)업체" xfId="31093"/>
    <cellStyle name="콤_새벽시장9.16_열처리결과품의(031017)개발" xfId="31094"/>
    <cellStyle name="콤_새벽시장9.16_열처리결과품의(031017)개발_도금 열처리 주단조 평가품의(040329)" xfId="31095"/>
    <cellStyle name="콤_새벽시장9.16_용접업종 평가결과품의(040510)" xfId="31096"/>
    <cellStyle name="콤_새벽시장9.16_용접업종 평가결과품의(040510)_용접업종 평가결과품의(040510)" xfId="31097"/>
    <cellStyle name="콤_새벽시장9.16_용접업종 평가결과품의(040510)_용접업종 평가결과품의(040510)(1)" xfId="31098"/>
    <cellStyle name="콤_새벽시장9.16_용접업종 평가결과품의(040510)_주단조용접업종 평가결과품의(040510)(1)" xfId="31099"/>
    <cellStyle name="콤_새벽시장9.16_주단조 업종 평가결과품의(040407)" xfId="31100"/>
    <cellStyle name="콤_새벽시장9.16_주단조 업종 평가결과품의(040407)_용접업종 평가결과품의(040510)" xfId="31101"/>
    <cellStyle name="콤_새벽시장9.16_주단조 업종 평가결과품의(040407)_용접업종 평가결과품의(040510)(1)" xfId="31102"/>
    <cellStyle name="콤_새벽시장9.16_주단조 업종 평가결과품의(040407)_주단조용접업종 평가결과품의(040510)(1)" xfId="31103"/>
    <cellStyle name="콤_새벽시장9.16_주단조 업종 평가결과품의(040416)(1)" xfId="31104"/>
    <cellStyle name="콤_새벽시장9.16_주단조 업종 평가결과품의(040416)(1)_용접업종 평가결과품의(040510)" xfId="31105"/>
    <cellStyle name="콤_새벽시장9.16_주단조 업종 평가결과품의(040416)(1)_용접업종 평가결과품의(040510)(1)" xfId="31106"/>
    <cellStyle name="콤_새벽시장9.16_주단조 업종 평가결과품의(040416)(1)_주단조용접업종 평가결과품의(040510)(1)" xfId="31107"/>
    <cellStyle name="콤_새벽시장9.16_최신-SQ인증업체현황1343사(03년평가완료031229수정)" xfId="31108"/>
    <cellStyle name="콤_새벽시장9.16_최신-SQ인증업체현황1343사(03년평가완료031229수정)_용접업종 평가결과품의(040510)" xfId="31109"/>
    <cellStyle name="콤_새벽시장9.16_최신-SQ인증업체현황1343사(03년평가완료031229수정)_용접업종 평가결과품의(040510)(1)" xfId="31110"/>
    <cellStyle name="콤_새벽시장9.16_최신-SQ인증업체현황1343사(03년평가완료031229수정)_주단조용접업종 평가결과품의(040510)(1)" xfId="31111"/>
    <cellStyle name="콤_열처리결과품의(031017)개발" xfId="31112"/>
    <cellStyle name="콤_열처리결과품의(031017)개발_도금 열처리 주단조 평가품의(040329)" xfId="31113"/>
    <cellStyle name="콤_용접업종 평가결과품의(040510)" xfId="31114"/>
    <cellStyle name="콤_용접업종 평가결과품의(040510)_용접업종 평가결과품의(040510)" xfId="31115"/>
    <cellStyle name="콤_용접업종 평가결과품의(040510)_용접업종 평가결과품의(040510)(1)" xfId="31116"/>
    <cellStyle name="콤_용접업종 평가결과품의(040510)_주단조용접업종 평가결과품의(040510)(1)" xfId="31117"/>
    <cellStyle name="콤_주단조 업종 평가결과품의(040407)" xfId="31118"/>
    <cellStyle name="콤_주단조 업종 평가결과품의(040407)_용접업종 평가결과품의(040510)" xfId="31119"/>
    <cellStyle name="콤_주단조 업종 평가결과품의(040407)_용접업종 평가결과품의(040510)(1)" xfId="31120"/>
    <cellStyle name="콤_주단조 업종 평가결과품의(040407)_주단조용접업종 평가결과품의(040510)(1)" xfId="31121"/>
    <cellStyle name="콤_주단조 업종 평가결과품의(040416)(1)" xfId="31122"/>
    <cellStyle name="콤_주단조 업종 평가결과품의(040416)(1)_용접업종 평가결과품의(040510)" xfId="31123"/>
    <cellStyle name="콤_주단조 업종 평가결과품의(040416)(1)_용접업종 평가결과품의(040510)(1)" xfId="31124"/>
    <cellStyle name="콤_주단조 업종 평가결과품의(040416)(1)_주단조용접업종 평가결과품의(040510)(1)" xfId="31125"/>
    <cellStyle name="콤_최신-SQ인증업체현황1343사(03년평가완료031229수정)" xfId="31126"/>
    <cellStyle name="콤_최신-SQ인증업체현황1343사(03년평가완료031229수정)_용접업종 평가결과품의(040510)" xfId="31127"/>
    <cellStyle name="콤_최신-SQ인증업체현황1343사(03년평가완료031229수정)_용접업종 평가결과품의(040510)(1)" xfId="31128"/>
    <cellStyle name="콤_최신-SQ인증업체현황1343사(03년평가완료031229수정)_주단조용접업종 평가결과품의(040510)(1)" xfId="31129"/>
    <cellStyle name="콤_출장계획서" xfId="31130"/>
    <cellStyle name="콤_출장계획서_ROTATION 유동" xfId="31131"/>
    <cellStyle name="콤_출장계획서_ROTATION 유동_도금 열처리 주단조 평가품의(040329)" xfId="31132"/>
    <cellStyle name="콤_출장계획서_ROTATION 유동_도금 열처리 주단조 평가품의(040329)_도금 열처리 주단조 평가품의(040329)" xfId="31133"/>
    <cellStyle name="콤_출장계획서_ROTATION 유동_도금 열처리 주단조 평가품의(040329)업체" xfId="31134"/>
    <cellStyle name="콤_출장계획서_ROTATION 유동_열처리결과품의(031017)개발" xfId="31135"/>
    <cellStyle name="콤_출장계획서_ROTATION 유동_열처리결과품의(031017)개발_도금 열처리 주단조 평가품의(040329)" xfId="31136"/>
    <cellStyle name="콤_출장계획서_ROTATION 유동_용접업종 평가결과품의(040510)" xfId="31137"/>
    <cellStyle name="콤_출장계획서_ROTATION 유동_용접업종 평가결과품의(040510)_용접업종 평가결과품의(040510)" xfId="31138"/>
    <cellStyle name="콤_출장계획서_ROTATION 유동_용접업종 평가결과품의(040510)_용접업종 평가결과품의(040510)(1)" xfId="31139"/>
    <cellStyle name="콤_출장계획서_ROTATION 유동_용접업종 평가결과품의(040510)_주단조용접업종 평가결과품의(040510)(1)" xfId="31140"/>
    <cellStyle name="콤_출장계획서_ROTATION 유동_주단조 업종 평가결과품의(040407)" xfId="31141"/>
    <cellStyle name="콤_출장계획서_ROTATION 유동_주단조 업종 평가결과품의(040407)_용접업종 평가결과품의(040510)" xfId="31142"/>
    <cellStyle name="콤_출장계획서_ROTATION 유동_주단조 업종 평가결과품의(040407)_용접업종 평가결과품의(040510)(1)" xfId="31143"/>
    <cellStyle name="콤_출장계획서_ROTATION 유동_주단조 업종 평가결과품의(040407)_주단조용접업종 평가결과품의(040510)(1)" xfId="31144"/>
    <cellStyle name="콤_출장계획서_ROTATION 유동_주단조 업종 평가결과품의(040416)(1)" xfId="31145"/>
    <cellStyle name="콤_출장계획서_ROTATION 유동_주단조 업종 평가결과품의(040416)(1)_용접업종 평가결과품의(040510)" xfId="31146"/>
    <cellStyle name="콤_출장계획서_ROTATION 유동_주단조 업종 평가결과품의(040416)(1)_용접업종 평가결과품의(040510)(1)" xfId="31147"/>
    <cellStyle name="콤_출장계획서_ROTATION 유동_주단조 업종 평가결과품의(040416)(1)_주단조용접업종 평가결과품의(040510)(1)" xfId="31148"/>
    <cellStyle name="콤_출장계획서_ROTATION 유동_최신-SQ인증업체현황1343사(03년평가완료031229수정)" xfId="31149"/>
    <cellStyle name="콤_출장계획서_ROTATION 유동_최신-SQ인증업체현황1343사(03년평가완료031229수정)_용접업종 평가결과품의(040510)" xfId="31150"/>
    <cellStyle name="콤_출장계획서_ROTATION 유동_최신-SQ인증업체현황1343사(03년평가완료031229수정)_용접업종 평가결과품의(040510)(1)" xfId="31151"/>
    <cellStyle name="콤_출장계획서_ROTATION 유동_최신-SQ인증업체현황1343사(03년평가완료031229수정)_주단조용접업종 평가결과품의(040510)(1)" xfId="31152"/>
    <cellStyle name="콤_출장계획서_SLIDE 폭" xfId="31153"/>
    <cellStyle name="콤_출장계획서_SLIDE 폭_도금 열처리 주단조 평가품의(040329)" xfId="31154"/>
    <cellStyle name="콤_출장계획서_SLIDE 폭_도금 열처리 주단조 평가품의(040329)_도금 열처리 주단조 평가품의(040329)" xfId="31155"/>
    <cellStyle name="콤_출장계획서_SLIDE 폭_도금 열처리 주단조 평가품의(040329)업체" xfId="31156"/>
    <cellStyle name="콤_출장계획서_SLIDE 폭_열처리결과품의(031017)개발" xfId="31157"/>
    <cellStyle name="콤_출장계획서_SLIDE 폭_열처리결과품의(031017)개발_도금 열처리 주단조 평가품의(040329)" xfId="31158"/>
    <cellStyle name="콤_출장계획서_SLIDE 폭_용접업종 평가결과품의(040510)" xfId="31159"/>
    <cellStyle name="콤_출장계획서_SLIDE 폭_용접업종 평가결과품의(040510)_용접업종 평가결과품의(040510)" xfId="31160"/>
    <cellStyle name="콤_출장계획서_SLIDE 폭_용접업종 평가결과품의(040510)_용접업종 평가결과품의(040510)(1)" xfId="31161"/>
    <cellStyle name="콤_출장계획서_SLIDE 폭_용접업종 평가결과품의(040510)_주단조용접업종 평가결과품의(040510)(1)" xfId="31162"/>
    <cellStyle name="콤_출장계획서_SLIDE 폭_주단조 업종 평가결과품의(040407)" xfId="31163"/>
    <cellStyle name="콤_출장계획서_SLIDE 폭_주단조 업종 평가결과품의(040407)_용접업종 평가결과품의(040510)" xfId="31164"/>
    <cellStyle name="콤_출장계획서_SLIDE 폭_주단조 업종 평가결과품의(040407)_용접업종 평가결과품의(040510)(1)" xfId="31165"/>
    <cellStyle name="콤_출장계획서_SLIDE 폭_주단조 업종 평가결과품의(040407)_주단조용접업종 평가결과품의(040510)(1)" xfId="31166"/>
    <cellStyle name="콤_출장계획서_SLIDE 폭_주단조 업종 평가결과품의(040416)(1)" xfId="31167"/>
    <cellStyle name="콤_출장계획서_SLIDE 폭_주단조 업종 평가결과품의(040416)(1)_용접업종 평가결과품의(040510)" xfId="31168"/>
    <cellStyle name="콤_출장계획서_SLIDE 폭_주단조 업종 평가결과품의(040416)(1)_용접업종 평가결과품의(040510)(1)" xfId="31169"/>
    <cellStyle name="콤_출장계획서_SLIDE 폭_주단조 업종 평가결과품의(040416)(1)_주단조용접업종 평가결과품의(040510)(1)" xfId="31170"/>
    <cellStyle name="콤_출장계획서_SLIDE 폭_최신-SQ인증업체현황1343사(03년평가완료031229수정)" xfId="31171"/>
    <cellStyle name="콤_출장계획서_SLIDE 폭_최신-SQ인증업체현황1343사(03년평가완료031229수정)_용접업종 평가결과품의(040510)" xfId="31172"/>
    <cellStyle name="콤_출장계획서_SLIDE 폭_최신-SQ인증업체현황1343사(03년평가완료031229수정)_용접업종 평가결과품의(040510)(1)" xfId="31173"/>
    <cellStyle name="콤_출장계획서_SLIDE 폭_최신-SQ인증업체현황1343사(03년평가완료031229수정)_주단조용접업종 평가결과품의(040510)(1)" xfId="31174"/>
    <cellStyle name="콤_출장계획서_도금 열처리 주단조 평가품의(040329)" xfId="31175"/>
    <cellStyle name="콤_출장계획서_도금 열처리 주단조 평가품의(040329)_도금 열처리 주단조 평가품의(040329)" xfId="31176"/>
    <cellStyle name="콤_출장계획서_도금 열처리 주단조 평가품의(040329)업체" xfId="31177"/>
    <cellStyle name="콤_출장계획서_새벽시장1" xfId="31178"/>
    <cellStyle name="콤_출장계획서_새벽시장1_도금 열처리 주단조 평가품의(040329)" xfId="31179"/>
    <cellStyle name="콤_출장계획서_새벽시장1_도금 열처리 주단조 평가품의(040329)_도금 열처리 주단조 평가품의(040329)" xfId="31180"/>
    <cellStyle name="콤_출장계획서_새벽시장1_도금 열처리 주단조 평가품의(040329)업체" xfId="31181"/>
    <cellStyle name="콤_출장계획서_새벽시장1_열처리결과품의(031017)개발" xfId="31182"/>
    <cellStyle name="콤_출장계획서_새벽시장1_열처리결과품의(031017)개발_도금 열처리 주단조 평가품의(040329)" xfId="31183"/>
    <cellStyle name="콤_출장계획서_새벽시장1_용접업종 평가결과품의(040510)" xfId="31184"/>
    <cellStyle name="콤_출장계획서_새벽시장1_용접업종 평가결과품의(040510)_용접업종 평가결과품의(040510)" xfId="31185"/>
    <cellStyle name="콤_출장계획서_새벽시장1_용접업종 평가결과품의(040510)_용접업종 평가결과품의(040510)(1)" xfId="31186"/>
    <cellStyle name="콤_출장계획서_새벽시장1_용접업종 평가결과품의(040510)_주단조용접업종 평가결과품의(040510)(1)" xfId="31187"/>
    <cellStyle name="콤_출장계획서_새벽시장1_주단조 업종 평가결과품의(040407)" xfId="31188"/>
    <cellStyle name="콤_출장계획서_새벽시장1_주단조 업종 평가결과품의(040407)_용접업종 평가결과품의(040510)" xfId="31189"/>
    <cellStyle name="콤_출장계획서_새벽시장1_주단조 업종 평가결과품의(040407)_용접업종 평가결과품의(040510)(1)" xfId="31190"/>
    <cellStyle name="콤_출장계획서_새벽시장1_주단조 업종 평가결과품의(040407)_주단조용접업종 평가결과품의(040510)(1)" xfId="31191"/>
    <cellStyle name="콤_출장계획서_새벽시장1_주단조 업종 평가결과품의(040416)(1)" xfId="31192"/>
    <cellStyle name="콤_출장계획서_새벽시장1_주단조 업종 평가결과품의(040416)(1)_용접업종 평가결과품의(040510)" xfId="31193"/>
    <cellStyle name="콤_출장계획서_새벽시장1_주단조 업종 평가결과품의(040416)(1)_용접업종 평가결과품의(040510)(1)" xfId="31194"/>
    <cellStyle name="콤_출장계획서_새벽시장1_주단조 업종 평가결과품의(040416)(1)_주단조용접업종 평가결과품의(040510)(1)" xfId="31195"/>
    <cellStyle name="콤_출장계획서_새벽시장1_최신-SQ인증업체현황1343사(03년평가완료031229수정)" xfId="31196"/>
    <cellStyle name="콤_출장계획서_새벽시장1_최신-SQ인증업체현황1343사(03년평가완료031229수정)_용접업종 평가결과품의(040510)" xfId="31197"/>
    <cellStyle name="콤_출장계획서_새벽시장1_최신-SQ인증업체현황1343사(03년평가완료031229수정)_용접업종 평가결과품의(040510)(1)" xfId="31198"/>
    <cellStyle name="콤_출장계획서_새벽시장1_최신-SQ인증업체현황1343사(03년평가완료031229수정)_주단조용접업종 평가결과품의(040510)(1)" xfId="31199"/>
    <cellStyle name="콤_출장계획서_새벽시장3" xfId="31200"/>
    <cellStyle name="콤_출장계획서_새벽시장3_도금 열처리 주단조 평가품의(040329)" xfId="31201"/>
    <cellStyle name="콤_출장계획서_새벽시장3_도금 열처리 주단조 평가품의(040329)_도금 열처리 주단조 평가품의(040329)" xfId="31202"/>
    <cellStyle name="콤_출장계획서_새벽시장3_도금 열처리 주단조 평가품의(040329)업체" xfId="31203"/>
    <cellStyle name="콤_출장계획서_새벽시장3_열처리결과품의(031017)개발" xfId="31204"/>
    <cellStyle name="콤_출장계획서_새벽시장3_열처리결과품의(031017)개발_도금 열처리 주단조 평가품의(040329)" xfId="31205"/>
    <cellStyle name="콤_출장계획서_새벽시장3_용접업종 평가결과품의(040510)" xfId="31206"/>
    <cellStyle name="콤_출장계획서_새벽시장3_용접업종 평가결과품의(040510)_용접업종 평가결과품의(040510)" xfId="31207"/>
    <cellStyle name="콤_출장계획서_새벽시장3_용접업종 평가결과품의(040510)_용접업종 평가결과품의(040510)(1)" xfId="31208"/>
    <cellStyle name="콤_출장계획서_새벽시장3_용접업종 평가결과품의(040510)_주단조용접업종 평가결과품의(040510)(1)" xfId="31209"/>
    <cellStyle name="콤_출장계획서_새벽시장3_주단조 업종 평가결과품의(040407)" xfId="31210"/>
    <cellStyle name="콤_출장계획서_새벽시장3_주단조 업종 평가결과품의(040407)_용접업종 평가결과품의(040510)" xfId="31211"/>
    <cellStyle name="콤_출장계획서_새벽시장3_주단조 업종 평가결과품의(040407)_용접업종 평가결과품의(040510)(1)" xfId="31212"/>
    <cellStyle name="콤_출장계획서_새벽시장3_주단조 업종 평가결과품의(040407)_주단조용접업종 평가결과품의(040510)(1)" xfId="31213"/>
    <cellStyle name="콤_출장계획서_새벽시장3_주단조 업종 평가결과품의(040416)(1)" xfId="31214"/>
    <cellStyle name="콤_출장계획서_새벽시장3_주단조 업종 평가결과품의(040416)(1)_용접업종 평가결과품의(040510)" xfId="31215"/>
    <cellStyle name="콤_출장계획서_새벽시장3_주단조 업종 평가결과품의(040416)(1)_용접업종 평가결과품의(040510)(1)" xfId="31216"/>
    <cellStyle name="콤_출장계획서_새벽시장3_주단조 업종 평가결과품의(040416)(1)_주단조용접업종 평가결과품의(040510)(1)" xfId="31217"/>
    <cellStyle name="콤_출장계획서_새벽시장3_최신-SQ인증업체현황1343사(03년평가완료031229수정)" xfId="31218"/>
    <cellStyle name="콤_출장계획서_새벽시장3_최신-SQ인증업체현황1343사(03년평가완료031229수정)_용접업종 평가결과품의(040510)" xfId="31219"/>
    <cellStyle name="콤_출장계획서_새벽시장3_최신-SQ인증업체현황1343사(03년평가완료031229수정)_용접업종 평가결과품의(040510)(1)" xfId="31220"/>
    <cellStyle name="콤_출장계획서_새벽시장3_최신-SQ인증업체현황1343사(03년평가완료031229수정)_주단조용접업종 평가결과품의(040510)(1)" xfId="31221"/>
    <cellStyle name="콤_출장계획서_새벽시장5" xfId="31222"/>
    <cellStyle name="콤_출장계획서_새벽시장5_도금 열처리 주단조 평가품의(040329)" xfId="31223"/>
    <cellStyle name="콤_출장계획서_새벽시장5_도금 열처리 주단조 평가품의(040329)_도금 열처리 주단조 평가품의(040329)" xfId="31224"/>
    <cellStyle name="콤_출장계획서_새벽시장5_도금 열처리 주단조 평가품의(040329)업체" xfId="31225"/>
    <cellStyle name="콤_출장계획서_새벽시장5_열처리결과품의(031017)개발" xfId="31226"/>
    <cellStyle name="콤_출장계획서_새벽시장5_열처리결과품의(031017)개발_도금 열처리 주단조 평가품의(040329)" xfId="31227"/>
    <cellStyle name="콤_출장계획서_새벽시장5_용접업종 평가결과품의(040510)" xfId="31228"/>
    <cellStyle name="콤_출장계획서_새벽시장5_용접업종 평가결과품의(040510)_용접업종 평가결과품의(040510)" xfId="31229"/>
    <cellStyle name="콤_출장계획서_새벽시장5_용접업종 평가결과품의(040510)_용접업종 평가결과품의(040510)(1)" xfId="31230"/>
    <cellStyle name="콤_출장계획서_새벽시장5_용접업종 평가결과품의(040510)_주단조용접업종 평가결과품의(040510)(1)" xfId="31231"/>
    <cellStyle name="콤_출장계획서_새벽시장5_주단조 업종 평가결과품의(040407)" xfId="31232"/>
    <cellStyle name="콤_출장계획서_새벽시장5_주단조 업종 평가결과품의(040407)_용접업종 평가결과품의(040510)" xfId="31233"/>
    <cellStyle name="콤_출장계획서_새벽시장5_주단조 업종 평가결과품의(040407)_용접업종 평가결과품의(040510)(1)" xfId="31234"/>
    <cellStyle name="콤_출장계획서_새벽시장5_주단조 업종 평가결과품의(040407)_주단조용접업종 평가결과품의(040510)(1)" xfId="31235"/>
    <cellStyle name="콤_출장계획서_새벽시장5_주단조 업종 평가결과품의(040416)(1)" xfId="31236"/>
    <cellStyle name="콤_출장계획서_새벽시장5_주단조 업종 평가결과품의(040416)(1)_용접업종 평가결과품의(040510)" xfId="31237"/>
    <cellStyle name="콤_출장계획서_새벽시장5_주단조 업종 평가결과품의(040416)(1)_용접업종 평가결과품의(040510)(1)" xfId="31238"/>
    <cellStyle name="콤_출장계획서_새벽시장5_주단조 업종 평가결과품의(040416)(1)_주단조용접업종 평가결과품의(040510)(1)" xfId="31239"/>
    <cellStyle name="콤_출장계획서_새벽시장5_최신-SQ인증업체현황1343사(03년평가완료031229수정)" xfId="31240"/>
    <cellStyle name="콤_출장계획서_새벽시장5_최신-SQ인증업체현황1343사(03년평가완료031229수정)_용접업종 평가결과품의(040510)" xfId="31241"/>
    <cellStyle name="콤_출장계획서_새벽시장5_최신-SQ인증업체현황1343사(03년평가완료031229수정)_용접업종 평가결과품의(040510)(1)" xfId="31242"/>
    <cellStyle name="콤_출장계획서_새벽시장5_최신-SQ인증업체현황1343사(03년평가완료031229수정)_주단조용접업종 평가결과품의(040510)(1)" xfId="31243"/>
    <cellStyle name="콤_출장계획서_새벽시장7" xfId="31244"/>
    <cellStyle name="콤_출장계획서_새벽시장7_도금 열처리 주단조 평가품의(040329)" xfId="31245"/>
    <cellStyle name="콤_출장계획서_새벽시장7_도금 열처리 주단조 평가품의(040329)_도금 열처리 주단조 평가품의(040329)" xfId="31246"/>
    <cellStyle name="콤_출장계획서_새벽시장7_도금 열처리 주단조 평가품의(040329)업체" xfId="31247"/>
    <cellStyle name="콤_출장계획서_새벽시장7_열처리결과품의(031017)개발" xfId="31248"/>
    <cellStyle name="콤_출장계획서_새벽시장7_열처리결과품의(031017)개발_도금 열처리 주단조 평가품의(040329)" xfId="31249"/>
    <cellStyle name="콤_출장계획서_새벽시장7_용접업종 평가결과품의(040510)" xfId="31250"/>
    <cellStyle name="콤_출장계획서_새벽시장7_용접업종 평가결과품의(040510)_용접업종 평가결과품의(040510)" xfId="31251"/>
    <cellStyle name="콤_출장계획서_새벽시장7_용접업종 평가결과품의(040510)_용접업종 평가결과품의(040510)(1)" xfId="31252"/>
    <cellStyle name="콤_출장계획서_새벽시장7_용접업종 평가결과품의(040510)_주단조용접업종 평가결과품의(040510)(1)" xfId="31253"/>
    <cellStyle name="콤_출장계획서_새벽시장7_주단조 업종 평가결과품의(040407)" xfId="31254"/>
    <cellStyle name="콤_출장계획서_새벽시장7_주단조 업종 평가결과품의(040407)_용접업종 평가결과품의(040510)" xfId="31255"/>
    <cellStyle name="콤_출장계획서_새벽시장7_주단조 업종 평가결과품의(040407)_용접업종 평가결과품의(040510)(1)" xfId="31256"/>
    <cellStyle name="콤_출장계획서_새벽시장7_주단조 업종 평가결과품의(040407)_주단조용접업종 평가결과품의(040510)(1)" xfId="31257"/>
    <cellStyle name="콤_출장계획서_새벽시장7_주단조 업종 평가결과품의(040416)(1)" xfId="31258"/>
    <cellStyle name="콤_출장계획서_새벽시장7_주단조 업종 평가결과품의(040416)(1)_용접업종 평가결과품의(040510)" xfId="31259"/>
    <cellStyle name="콤_출장계획서_새벽시장7_주단조 업종 평가결과품의(040416)(1)_용접업종 평가결과품의(040510)(1)" xfId="31260"/>
    <cellStyle name="콤_출장계획서_새벽시장7_주단조 업종 평가결과품의(040416)(1)_주단조용접업종 평가결과품의(040510)(1)" xfId="31261"/>
    <cellStyle name="콤_출장계획서_새벽시장7_최신-SQ인증업체현황1343사(03년평가완료031229수정)" xfId="31262"/>
    <cellStyle name="콤_출장계획서_새벽시장7_최신-SQ인증업체현황1343사(03년평가완료031229수정)_용접업종 평가결과품의(040510)" xfId="31263"/>
    <cellStyle name="콤_출장계획서_새벽시장7_최신-SQ인증업체현황1343사(03년평가완료031229수정)_용접업종 평가결과품의(040510)(1)" xfId="31264"/>
    <cellStyle name="콤_출장계획서_새벽시장7_최신-SQ인증업체현황1343사(03년평가완료031229수정)_주단조용접업종 평가결과품의(040510)(1)" xfId="31265"/>
    <cellStyle name="콤_출장계획서_새벽시장8.10xls" xfId="31266"/>
    <cellStyle name="콤_출장계획서_새벽시장8.10xls_도금 열처리 주단조 평가품의(040329)" xfId="31267"/>
    <cellStyle name="콤_출장계획서_새벽시장8.10xls_도금 열처리 주단조 평가품의(040329)_도금 열처리 주단조 평가품의(040329)" xfId="31268"/>
    <cellStyle name="콤_출장계획서_새벽시장8.10xls_도금 열처리 주단조 평가품의(040329)업체" xfId="31269"/>
    <cellStyle name="콤_출장계획서_새벽시장8.10xls_열처리결과품의(031017)개발" xfId="31270"/>
    <cellStyle name="콤_출장계획서_새벽시장8.10xls_열처리결과품의(031017)개발_도금 열처리 주단조 평가품의(040329)" xfId="31271"/>
    <cellStyle name="콤_출장계획서_새벽시장8.10xls_용접업종 평가결과품의(040510)" xfId="31272"/>
    <cellStyle name="콤_출장계획서_새벽시장8.10xls_용접업종 평가결과품의(040510)_용접업종 평가결과품의(040510)" xfId="31273"/>
    <cellStyle name="콤_출장계획서_새벽시장8.10xls_용접업종 평가결과품의(040510)_용접업종 평가결과품의(040510)(1)" xfId="31274"/>
    <cellStyle name="콤_출장계획서_새벽시장8.10xls_용접업종 평가결과품의(040510)_주단조용접업종 평가결과품의(040510)(1)" xfId="31275"/>
    <cellStyle name="콤_출장계획서_새벽시장8.10xls_주단조 업종 평가결과품의(040407)" xfId="31276"/>
    <cellStyle name="콤_출장계획서_새벽시장8.10xls_주단조 업종 평가결과품의(040407)_용접업종 평가결과품의(040510)" xfId="31277"/>
    <cellStyle name="콤_출장계획서_새벽시장8.10xls_주단조 업종 평가결과품의(040407)_용접업종 평가결과품의(040510)(1)" xfId="31278"/>
    <cellStyle name="콤_출장계획서_새벽시장8.10xls_주단조 업종 평가결과품의(040407)_주단조용접업종 평가결과품의(040510)(1)" xfId="31279"/>
    <cellStyle name="콤_출장계획서_새벽시장8.10xls_주단조 업종 평가결과품의(040416)(1)" xfId="31280"/>
    <cellStyle name="콤_출장계획서_새벽시장8.10xls_주단조 업종 평가결과품의(040416)(1)_용접업종 평가결과품의(040510)" xfId="31281"/>
    <cellStyle name="콤_출장계획서_새벽시장8.10xls_주단조 업종 평가결과품의(040416)(1)_용접업종 평가결과품의(040510)(1)" xfId="31282"/>
    <cellStyle name="콤_출장계획서_새벽시장8.10xls_주단조 업종 평가결과품의(040416)(1)_주단조용접업종 평가결과품의(040510)(1)" xfId="31283"/>
    <cellStyle name="콤_출장계획서_새벽시장8.10xls_최신-SQ인증업체현황1343사(03년평가완료031229수정)" xfId="31284"/>
    <cellStyle name="콤_출장계획서_새벽시장8.10xls_최신-SQ인증업체현황1343사(03년평가완료031229수정)_용접업종 평가결과품의(040510)" xfId="31285"/>
    <cellStyle name="콤_출장계획서_새벽시장8.10xls_최신-SQ인증업체현황1343사(03년평가완료031229수정)_용접업종 평가결과품의(040510)(1)" xfId="31286"/>
    <cellStyle name="콤_출장계획서_새벽시장8.10xls_최신-SQ인증업체현황1343사(03년평가완료031229수정)_주단조용접업종 평가결과품의(040510)(1)" xfId="31287"/>
    <cellStyle name="콤_출장계획서_새벽시장8.26xls" xfId="31288"/>
    <cellStyle name="콤_출장계획서_새벽시장8.26xls_도금 열처리 주단조 평가품의(040329)" xfId="31289"/>
    <cellStyle name="콤_출장계획서_새벽시장8.26xls_도금 열처리 주단조 평가품의(040329)_도금 열처리 주단조 평가품의(040329)" xfId="31290"/>
    <cellStyle name="콤_출장계획서_새벽시장8.26xls_도금 열처리 주단조 평가품의(040329)업체" xfId="31291"/>
    <cellStyle name="콤_출장계획서_새벽시장8.26xls_열처리결과품의(031017)개발" xfId="31292"/>
    <cellStyle name="콤_출장계획서_새벽시장8.26xls_열처리결과품의(031017)개발_도금 열처리 주단조 평가품의(040329)" xfId="31293"/>
    <cellStyle name="콤_출장계획서_새벽시장8.26xls_용접업종 평가결과품의(040510)" xfId="31294"/>
    <cellStyle name="콤_출장계획서_새벽시장8.26xls_용접업종 평가결과품의(040510)_용접업종 평가결과품의(040510)" xfId="31295"/>
    <cellStyle name="콤_출장계획서_새벽시장8.26xls_용접업종 평가결과품의(040510)_용접업종 평가결과품의(040510)(1)" xfId="31296"/>
    <cellStyle name="콤_출장계획서_새벽시장8.26xls_용접업종 평가결과품의(040510)_주단조용접업종 평가결과품의(040510)(1)" xfId="31297"/>
    <cellStyle name="콤_출장계획서_새벽시장8.26xls_주단조 업종 평가결과품의(040407)" xfId="31298"/>
    <cellStyle name="콤_출장계획서_새벽시장8.26xls_주단조 업종 평가결과품의(040407)_용접업종 평가결과품의(040510)" xfId="31299"/>
    <cellStyle name="콤_출장계획서_새벽시장8.26xls_주단조 업종 평가결과품의(040407)_용접업종 평가결과품의(040510)(1)" xfId="31300"/>
    <cellStyle name="콤_출장계획서_새벽시장8.26xls_주단조 업종 평가결과품의(040407)_주단조용접업종 평가결과품의(040510)(1)" xfId="31301"/>
    <cellStyle name="콤_출장계획서_새벽시장8.26xls_주단조 업종 평가결과품의(040416)(1)" xfId="31302"/>
    <cellStyle name="콤_출장계획서_새벽시장8.26xls_주단조 업종 평가결과품의(040416)(1)_용접업종 평가결과품의(040510)" xfId="31303"/>
    <cellStyle name="콤_출장계획서_새벽시장8.26xls_주단조 업종 평가결과품의(040416)(1)_용접업종 평가결과품의(040510)(1)" xfId="31304"/>
    <cellStyle name="콤_출장계획서_새벽시장8.26xls_주단조 업종 평가결과품의(040416)(1)_주단조용접업종 평가결과품의(040510)(1)" xfId="31305"/>
    <cellStyle name="콤_출장계획서_새벽시장8.26xls_최신-SQ인증업체현황1343사(03년평가완료031229수정)" xfId="31306"/>
    <cellStyle name="콤_출장계획서_새벽시장8.26xls_최신-SQ인증업체현황1343사(03년평가완료031229수정)_용접업종 평가결과품의(040510)" xfId="31307"/>
    <cellStyle name="콤_출장계획서_새벽시장8.26xls_최신-SQ인증업체현황1343사(03년평가완료031229수정)_용접업종 평가결과품의(040510)(1)" xfId="31308"/>
    <cellStyle name="콤_출장계획서_새벽시장8.26xls_최신-SQ인증업체현황1343사(03년평가완료031229수정)_주단조용접업종 평가결과품의(040510)(1)" xfId="31309"/>
    <cellStyle name="콤_출장계획서_새벽시장9.16" xfId="31310"/>
    <cellStyle name="콤_출장계획서_새벽시장9.16_도금 열처리 주단조 평가품의(040329)" xfId="31311"/>
    <cellStyle name="콤_출장계획서_새벽시장9.16_도금 열처리 주단조 평가품의(040329)_도금 열처리 주단조 평가품의(040329)" xfId="31312"/>
    <cellStyle name="콤_출장계획서_새벽시장9.16_도금 열처리 주단조 평가품의(040329)업체" xfId="31313"/>
    <cellStyle name="콤_출장계획서_새벽시장9.16_열처리결과품의(031017)개발" xfId="31314"/>
    <cellStyle name="콤_출장계획서_새벽시장9.16_열처리결과품의(031017)개발_도금 열처리 주단조 평가품의(040329)" xfId="31315"/>
    <cellStyle name="콤_출장계획서_새벽시장9.16_용접업종 평가결과품의(040510)" xfId="31316"/>
    <cellStyle name="콤_출장계획서_새벽시장9.16_용접업종 평가결과품의(040510)_용접업종 평가결과품의(040510)" xfId="31317"/>
    <cellStyle name="콤_출장계획서_새벽시장9.16_용접업종 평가결과품의(040510)_용접업종 평가결과품의(040510)(1)" xfId="31318"/>
    <cellStyle name="콤_출장계획서_새벽시장9.16_용접업종 평가결과품의(040510)_주단조용접업종 평가결과품의(040510)(1)" xfId="31319"/>
    <cellStyle name="콤_출장계획서_새벽시장9.16_주단조 업종 평가결과품의(040407)" xfId="31320"/>
    <cellStyle name="콤_출장계획서_새벽시장9.16_주단조 업종 평가결과품의(040407)_용접업종 평가결과품의(040510)" xfId="31321"/>
    <cellStyle name="콤_출장계획서_새벽시장9.16_주단조 업종 평가결과품의(040407)_용접업종 평가결과품의(040510)(1)" xfId="31322"/>
    <cellStyle name="콤_출장계획서_새벽시장9.16_주단조 업종 평가결과품의(040407)_주단조용접업종 평가결과품의(040510)(1)" xfId="31323"/>
    <cellStyle name="콤_출장계획서_새벽시장9.16_주단조 업종 평가결과품의(040416)(1)" xfId="31324"/>
    <cellStyle name="콤_출장계획서_새벽시장9.16_주단조 업종 평가결과품의(040416)(1)_용접업종 평가결과품의(040510)" xfId="31325"/>
    <cellStyle name="콤_출장계획서_새벽시장9.16_주단조 업종 평가결과품의(040416)(1)_용접업종 평가결과품의(040510)(1)" xfId="31326"/>
    <cellStyle name="콤_출장계획서_새벽시장9.16_주단조 업종 평가결과품의(040416)(1)_주단조용접업종 평가결과품의(040510)(1)" xfId="31327"/>
    <cellStyle name="콤_출장계획서_새벽시장9.16_최신-SQ인증업체현황1343사(03년평가완료031229수정)" xfId="31328"/>
    <cellStyle name="콤_출장계획서_새벽시장9.16_최신-SQ인증업체현황1343사(03년평가완료031229수정)_용접업종 평가결과품의(040510)" xfId="31329"/>
    <cellStyle name="콤_출장계획서_새벽시장9.16_최신-SQ인증업체현황1343사(03년평가완료031229수정)_용접업종 평가결과품의(040510)(1)" xfId="31330"/>
    <cellStyle name="콤_출장계획서_새벽시장9.16_최신-SQ인증업체현황1343사(03년평가완료031229수정)_주단조용접업종 평가결과품의(040510)(1)" xfId="31331"/>
    <cellStyle name="콤_출장계획서_열처리결과품의(031017)개발" xfId="31332"/>
    <cellStyle name="콤_출장계획서_열처리결과품의(031017)개발_도금 열처리 주단조 평가품의(040329)" xfId="31333"/>
    <cellStyle name="콤_출장계획서_용접업종 평가결과품의(040510)" xfId="31334"/>
    <cellStyle name="콤_출장계획서_용접업종 평가결과품의(040510)_용접업종 평가결과품의(040510)" xfId="31335"/>
    <cellStyle name="콤_출장계획서_용접업종 평가결과품의(040510)_용접업종 평가결과품의(040510)(1)" xfId="31336"/>
    <cellStyle name="콤_출장계획서_용접업종 평가결과품의(040510)_주단조용접업종 평가결과품의(040510)(1)" xfId="31337"/>
    <cellStyle name="콤_출장계획서_주단조 업종 평가결과품의(040407)" xfId="31338"/>
    <cellStyle name="콤_출장계획서_주단조 업종 평가결과품의(040407)_용접업종 평가결과품의(040510)" xfId="31339"/>
    <cellStyle name="콤_출장계획서_주단조 업종 평가결과품의(040407)_용접업종 평가결과품의(040510)(1)" xfId="31340"/>
    <cellStyle name="콤_출장계획서_주단조 업종 평가결과품의(040407)_주단조용접업종 평가결과품의(040510)(1)" xfId="31341"/>
    <cellStyle name="콤_출장계획서_주단조 업종 평가결과품의(040416)(1)" xfId="31342"/>
    <cellStyle name="콤_출장계획서_주단조 업종 평가결과품의(040416)(1)_용접업종 평가결과품의(040510)" xfId="31343"/>
    <cellStyle name="콤_출장계획서_주단조 업종 평가결과품의(040416)(1)_용접업종 평가결과품의(040510)(1)" xfId="31344"/>
    <cellStyle name="콤_출장계획서_주단조 업종 평가결과품의(040416)(1)_주단조용접업종 평가결과품의(040510)(1)" xfId="31345"/>
    <cellStyle name="콤_출장계획서_최신-SQ인증업체현황1343사(03년평가완료031229수정)" xfId="31346"/>
    <cellStyle name="콤_출장계획서_최신-SQ인증업체현황1343사(03년평가완료031229수정)_용접업종 평가결과품의(040510)" xfId="31347"/>
    <cellStyle name="콤_출장계획서_최신-SQ인증업체현황1343사(03년평가완료031229수정)_용접업종 평가결과품의(040510)(1)" xfId="31348"/>
    <cellStyle name="콤_출장계획서_최신-SQ인증업체현황1343사(03년평가완료031229수정)_주단조용접업종 평가결과품의(040510)(1)" xfId="31349"/>
    <cellStyle name="콤마 [" xfId="31350"/>
    <cellStyle name="콤마 [0]_ " xfId="31351"/>
    <cellStyle name="콤마,_x0005__x0014_" xfId="31352"/>
    <cellStyle name="콤마,_x0005__x0014_ 2" xfId="31353"/>
    <cellStyle name="콤마_ " xfId="31354"/>
    <cellStyle name="통" xfId="31355"/>
    <cellStyle name="통_ROTATION 유동" xfId="31356"/>
    <cellStyle name="통_ROTATION 유동_도금 열처리 주단조 평가품의(040329)" xfId="31357"/>
    <cellStyle name="통_ROTATION 유동_도금 열처리 주단조 평가품의(040329)_도금 열처리 주단조 평가품의(040329)" xfId="31358"/>
    <cellStyle name="통_ROTATION 유동_도금 열처리 주단조 평가품의(040329)업체" xfId="31359"/>
    <cellStyle name="통_ROTATION 유동_열처리결과품의(031017)개발" xfId="31360"/>
    <cellStyle name="통_ROTATION 유동_열처리결과품의(031017)개발_도금 열처리 주단조 평가품의(040329)" xfId="31361"/>
    <cellStyle name="통_ROTATION 유동_용접업종 평가결과품의(040510)" xfId="31362"/>
    <cellStyle name="통_ROTATION 유동_용접업종 평가결과품의(040510)_용접업종 평가결과품의(040510)" xfId="31363"/>
    <cellStyle name="통_ROTATION 유동_용접업종 평가결과품의(040510)_용접업종 평가결과품의(040510)(1)" xfId="31364"/>
    <cellStyle name="통_ROTATION 유동_용접업종 평가결과품의(040510)_주단조용접업종 평가결과품의(040510)(1)" xfId="31365"/>
    <cellStyle name="통_ROTATION 유동_주단조 업종 평가결과품의(040407)" xfId="31366"/>
    <cellStyle name="통_ROTATION 유동_주단조 업종 평가결과품의(040407)_용접업종 평가결과품의(040510)" xfId="31367"/>
    <cellStyle name="통_ROTATION 유동_주단조 업종 평가결과품의(040407)_용접업종 평가결과품의(040510)(1)" xfId="31368"/>
    <cellStyle name="통_ROTATION 유동_주단조 업종 평가결과품의(040407)_주단조용접업종 평가결과품의(040510)(1)" xfId="31369"/>
    <cellStyle name="통_ROTATION 유동_주단조 업종 평가결과품의(040416)(1)" xfId="31370"/>
    <cellStyle name="통_ROTATION 유동_주단조 업종 평가결과품의(040416)(1)_용접업종 평가결과품의(040510)" xfId="31371"/>
    <cellStyle name="통_ROTATION 유동_주단조 업종 평가결과품의(040416)(1)_용접업종 평가결과품의(040510)(1)" xfId="31372"/>
    <cellStyle name="통_ROTATION 유동_주단조 업종 평가결과품의(040416)(1)_주단조용접업종 평가결과품의(040510)(1)" xfId="31373"/>
    <cellStyle name="통_ROTATION 유동_최신-SQ인증업체현황1343사(03년평가완료031229수정)" xfId="31374"/>
    <cellStyle name="통_ROTATION 유동_최신-SQ인증업체현황1343사(03년평가완료031229수정)_용접업종 평가결과품의(040510)" xfId="31375"/>
    <cellStyle name="통_ROTATION 유동_최신-SQ인증업체현황1343사(03년평가완료031229수정)_용접업종 평가결과품의(040510)(1)" xfId="31376"/>
    <cellStyle name="통_ROTATION 유동_최신-SQ인증업체현황1343사(03년평가완료031229수정)_주단조용접업종 평가결과품의(040510)(1)" xfId="31377"/>
    <cellStyle name="통_SLIDE 폭" xfId="31378"/>
    <cellStyle name="통_SLIDE 폭_도금 열처리 주단조 평가품의(040329)" xfId="31379"/>
    <cellStyle name="통_SLIDE 폭_도금 열처리 주단조 평가품의(040329)_도금 열처리 주단조 평가품의(040329)" xfId="31380"/>
    <cellStyle name="통_SLIDE 폭_도금 열처리 주단조 평가품의(040329)업체" xfId="31381"/>
    <cellStyle name="통_SLIDE 폭_열처리결과품의(031017)개발" xfId="31382"/>
    <cellStyle name="통_SLIDE 폭_열처리결과품의(031017)개발_도금 열처리 주단조 평가품의(040329)" xfId="31383"/>
    <cellStyle name="통_SLIDE 폭_용접업종 평가결과품의(040510)" xfId="31384"/>
    <cellStyle name="통_SLIDE 폭_용접업종 평가결과품의(040510)_용접업종 평가결과품의(040510)" xfId="31385"/>
    <cellStyle name="통_SLIDE 폭_용접업종 평가결과품의(040510)_용접업종 평가결과품의(040510)(1)" xfId="31386"/>
    <cellStyle name="통_SLIDE 폭_용접업종 평가결과품의(040510)_주단조용접업종 평가결과품의(040510)(1)" xfId="31387"/>
    <cellStyle name="통_SLIDE 폭_주단조 업종 평가결과품의(040407)" xfId="31388"/>
    <cellStyle name="통_SLIDE 폭_주단조 업종 평가결과품의(040407)_용접업종 평가결과품의(040510)" xfId="31389"/>
    <cellStyle name="통_SLIDE 폭_주단조 업종 평가결과품의(040407)_용접업종 평가결과품의(040510)(1)" xfId="31390"/>
    <cellStyle name="통_SLIDE 폭_주단조 업종 평가결과품의(040407)_주단조용접업종 평가결과품의(040510)(1)" xfId="31391"/>
    <cellStyle name="통_SLIDE 폭_주단조 업종 평가결과품의(040416)(1)" xfId="31392"/>
    <cellStyle name="통_SLIDE 폭_주단조 업종 평가결과품의(040416)(1)_용접업종 평가결과품의(040510)" xfId="31393"/>
    <cellStyle name="통_SLIDE 폭_주단조 업종 평가결과품의(040416)(1)_용접업종 평가결과품의(040510)(1)" xfId="31394"/>
    <cellStyle name="통_SLIDE 폭_주단조 업종 평가결과품의(040416)(1)_주단조용접업종 평가결과품의(040510)(1)" xfId="31395"/>
    <cellStyle name="통_SLIDE 폭_최신-SQ인증업체현황1343사(03년평가완료031229수정)" xfId="31396"/>
    <cellStyle name="통_SLIDE 폭_최신-SQ인증업체현황1343사(03년평가완료031229수정)_용접업종 평가결과품의(040510)" xfId="31397"/>
    <cellStyle name="통_SLIDE 폭_최신-SQ인증업체현황1343사(03년평가완료031229수정)_용접업종 평가결과품의(040510)(1)" xfId="31398"/>
    <cellStyle name="통_SLIDE 폭_최신-SQ인증업체현황1343사(03년평가완료031229수정)_주단조용접업종 평가결과품의(040510)(1)" xfId="31399"/>
    <cellStyle name="통_도금 열처리 주단조 평가품의(040329)" xfId="31400"/>
    <cellStyle name="통_도금 열처리 주단조 평가품의(040329)_도금 열처리 주단조 평가품의(040329)" xfId="31401"/>
    <cellStyle name="통_도금 열처리 주단조 평가품의(040329)업체" xfId="31402"/>
    <cellStyle name="통_사전회의(1208)" xfId="31403"/>
    <cellStyle name="통_사전회의(1208)_ROTATION 유동" xfId="31404"/>
    <cellStyle name="통_사전회의(1208)_ROTATION 유동_도금 열처리 주단조 평가품의(040329)" xfId="31405"/>
    <cellStyle name="통_사전회의(1208)_ROTATION 유동_도금 열처리 주단조 평가품의(040329)_도금 열처리 주단조 평가품의(040329)" xfId="31406"/>
    <cellStyle name="통_사전회의(1208)_ROTATION 유동_도금 열처리 주단조 평가품의(040329)업체" xfId="31407"/>
    <cellStyle name="통_사전회의(1208)_ROTATION 유동_열처리결과품의(031017)개발" xfId="31408"/>
    <cellStyle name="통_사전회의(1208)_ROTATION 유동_열처리결과품의(031017)개발_도금 열처리 주단조 평가품의(040329)" xfId="31409"/>
    <cellStyle name="통_사전회의(1208)_ROTATION 유동_용접업종 평가결과품의(040510)" xfId="31410"/>
    <cellStyle name="통_사전회의(1208)_ROTATION 유동_용접업종 평가결과품의(040510)_용접업종 평가결과품의(040510)" xfId="31411"/>
    <cellStyle name="통_사전회의(1208)_ROTATION 유동_용접업종 평가결과품의(040510)_용접업종 평가결과품의(040510)(1)" xfId="31412"/>
    <cellStyle name="통_사전회의(1208)_ROTATION 유동_용접업종 평가결과품의(040510)_주단조용접업종 평가결과품의(040510)(1)" xfId="31413"/>
    <cellStyle name="통_사전회의(1208)_ROTATION 유동_주단조 업종 평가결과품의(040407)" xfId="31414"/>
    <cellStyle name="통_사전회의(1208)_ROTATION 유동_주단조 업종 평가결과품의(040407)_용접업종 평가결과품의(040510)" xfId="31415"/>
    <cellStyle name="통_사전회의(1208)_ROTATION 유동_주단조 업종 평가결과품의(040407)_용접업종 평가결과품의(040510)(1)" xfId="31416"/>
    <cellStyle name="통_사전회의(1208)_ROTATION 유동_주단조 업종 평가결과품의(040407)_주단조용접업종 평가결과품의(040510)(1)" xfId="31417"/>
    <cellStyle name="통_사전회의(1208)_ROTATION 유동_주단조 업종 평가결과품의(040416)(1)" xfId="31418"/>
    <cellStyle name="통_사전회의(1208)_ROTATION 유동_주단조 업종 평가결과품의(040416)(1)_용접업종 평가결과품의(040510)" xfId="31419"/>
    <cellStyle name="통_사전회의(1208)_ROTATION 유동_주단조 업종 평가결과품의(040416)(1)_용접업종 평가결과품의(040510)(1)" xfId="31420"/>
    <cellStyle name="통_사전회의(1208)_ROTATION 유동_주단조 업종 평가결과품의(040416)(1)_주단조용접업종 평가결과품의(040510)(1)" xfId="31421"/>
    <cellStyle name="통_사전회의(1208)_ROTATION 유동_최신-SQ인증업체현황1343사(03년평가완료031229수정)" xfId="31422"/>
    <cellStyle name="통_사전회의(1208)_ROTATION 유동_최신-SQ인증업체현황1343사(03년평가완료031229수정)_용접업종 평가결과품의(040510)" xfId="31423"/>
    <cellStyle name="통_사전회의(1208)_ROTATION 유동_최신-SQ인증업체현황1343사(03년평가완료031229수정)_용접업종 평가결과품의(040510)(1)" xfId="31424"/>
    <cellStyle name="통_사전회의(1208)_ROTATION 유동_최신-SQ인증업체현황1343사(03년평가완료031229수정)_주단조용접업종 평가결과품의(040510)(1)" xfId="31425"/>
    <cellStyle name="통_사전회의(1208)_SLIDE 폭" xfId="31426"/>
    <cellStyle name="통_사전회의(1208)_SLIDE 폭_도금 열처리 주단조 평가품의(040329)" xfId="31427"/>
    <cellStyle name="통_사전회의(1208)_SLIDE 폭_도금 열처리 주단조 평가품의(040329)_도금 열처리 주단조 평가품의(040329)" xfId="31428"/>
    <cellStyle name="통_사전회의(1208)_SLIDE 폭_도금 열처리 주단조 평가품의(040329)업체" xfId="31429"/>
    <cellStyle name="통_사전회의(1208)_SLIDE 폭_열처리결과품의(031017)개발" xfId="31430"/>
    <cellStyle name="통_사전회의(1208)_SLIDE 폭_열처리결과품의(031017)개발_도금 열처리 주단조 평가품의(040329)" xfId="31431"/>
    <cellStyle name="통_사전회의(1208)_SLIDE 폭_용접업종 평가결과품의(040510)" xfId="31432"/>
    <cellStyle name="통_사전회의(1208)_SLIDE 폭_용접업종 평가결과품의(040510)_용접업종 평가결과품의(040510)" xfId="31433"/>
    <cellStyle name="통_사전회의(1208)_SLIDE 폭_용접업종 평가결과품의(040510)_용접업종 평가결과품의(040510)(1)" xfId="31434"/>
    <cellStyle name="통_사전회의(1208)_SLIDE 폭_용접업종 평가결과품의(040510)_주단조용접업종 평가결과품의(040510)(1)" xfId="31435"/>
    <cellStyle name="통_사전회의(1208)_SLIDE 폭_주단조 업종 평가결과품의(040407)" xfId="31436"/>
    <cellStyle name="통_사전회의(1208)_SLIDE 폭_주단조 업종 평가결과품의(040407)_용접업종 평가결과품의(040510)" xfId="31437"/>
    <cellStyle name="통_사전회의(1208)_SLIDE 폭_주단조 업종 평가결과품의(040407)_용접업종 평가결과품의(040510)(1)" xfId="31438"/>
    <cellStyle name="통_사전회의(1208)_SLIDE 폭_주단조 업종 평가결과품의(040407)_주단조용접업종 평가결과품의(040510)(1)" xfId="31439"/>
    <cellStyle name="통_사전회의(1208)_SLIDE 폭_주단조 업종 평가결과품의(040416)(1)" xfId="31440"/>
    <cellStyle name="통_사전회의(1208)_SLIDE 폭_주단조 업종 평가결과품의(040416)(1)_용접업종 평가결과품의(040510)" xfId="31441"/>
    <cellStyle name="통_사전회의(1208)_SLIDE 폭_주단조 업종 평가결과품의(040416)(1)_용접업종 평가결과품의(040510)(1)" xfId="31442"/>
    <cellStyle name="통_사전회의(1208)_SLIDE 폭_주단조 업종 평가결과품의(040416)(1)_주단조용접업종 평가결과품의(040510)(1)" xfId="31443"/>
    <cellStyle name="통_사전회의(1208)_SLIDE 폭_최신-SQ인증업체현황1343사(03년평가완료031229수정)" xfId="31444"/>
    <cellStyle name="통_사전회의(1208)_SLIDE 폭_최신-SQ인증업체현황1343사(03년평가완료031229수정)_용접업종 평가결과품의(040510)" xfId="31445"/>
    <cellStyle name="통_사전회의(1208)_SLIDE 폭_최신-SQ인증업체현황1343사(03년평가완료031229수정)_용접업종 평가결과품의(040510)(1)" xfId="31446"/>
    <cellStyle name="통_사전회의(1208)_SLIDE 폭_최신-SQ인증업체현황1343사(03년평가완료031229수정)_주단조용접업종 평가결과품의(040510)(1)" xfId="31447"/>
    <cellStyle name="통_사전회의(1208)_도금 열처리 주단조 평가품의(040329)" xfId="31448"/>
    <cellStyle name="통_사전회의(1208)_도금 열처리 주단조 평가품의(040329)_도금 열처리 주단조 평가품의(040329)" xfId="31449"/>
    <cellStyle name="통_사전회의(1208)_도금 열처리 주단조 평가품의(040329)업체" xfId="31450"/>
    <cellStyle name="통_사전회의(1208)_새벽시장1" xfId="31451"/>
    <cellStyle name="통_사전회의(1208)_새벽시장1_도금 열처리 주단조 평가품의(040329)" xfId="31452"/>
    <cellStyle name="통_사전회의(1208)_새벽시장1_도금 열처리 주단조 평가품의(040329)_도금 열처리 주단조 평가품의(040329)" xfId="31453"/>
    <cellStyle name="통_사전회의(1208)_새벽시장1_도금 열처리 주단조 평가품의(040329)업체" xfId="31454"/>
    <cellStyle name="통_사전회의(1208)_새벽시장1_열처리결과품의(031017)개발" xfId="31455"/>
    <cellStyle name="통_사전회의(1208)_새벽시장1_열처리결과품의(031017)개발_도금 열처리 주단조 평가품의(040329)" xfId="31456"/>
    <cellStyle name="통_사전회의(1208)_새벽시장1_용접업종 평가결과품의(040510)" xfId="31457"/>
    <cellStyle name="통_사전회의(1208)_새벽시장1_용접업종 평가결과품의(040510)_용접업종 평가결과품의(040510)" xfId="31458"/>
    <cellStyle name="통_사전회의(1208)_새벽시장1_용접업종 평가결과품의(040510)_용접업종 평가결과품의(040510)(1)" xfId="31459"/>
    <cellStyle name="통_사전회의(1208)_새벽시장1_용접업종 평가결과품의(040510)_주단조용접업종 평가결과품의(040510)(1)" xfId="31460"/>
    <cellStyle name="통_사전회의(1208)_새벽시장1_주단조 업종 평가결과품의(040407)" xfId="31461"/>
    <cellStyle name="통_사전회의(1208)_새벽시장1_주단조 업종 평가결과품의(040407)_용접업종 평가결과품의(040510)" xfId="31462"/>
    <cellStyle name="통_사전회의(1208)_새벽시장1_주단조 업종 평가결과품의(040407)_용접업종 평가결과품의(040510)(1)" xfId="31463"/>
    <cellStyle name="통_사전회의(1208)_새벽시장1_주단조 업종 평가결과품의(040407)_주단조용접업종 평가결과품의(040510)(1)" xfId="31464"/>
    <cellStyle name="통_사전회의(1208)_새벽시장1_주단조 업종 평가결과품의(040416)(1)" xfId="31465"/>
    <cellStyle name="통_사전회의(1208)_새벽시장1_주단조 업종 평가결과품의(040416)(1)_용접업종 평가결과품의(040510)" xfId="31466"/>
    <cellStyle name="통_사전회의(1208)_새벽시장1_주단조 업종 평가결과품의(040416)(1)_용접업종 평가결과품의(040510)(1)" xfId="31467"/>
    <cellStyle name="통_사전회의(1208)_새벽시장1_주단조 업종 평가결과품의(040416)(1)_주단조용접업종 평가결과품의(040510)(1)" xfId="31468"/>
    <cellStyle name="통_사전회의(1208)_새벽시장1_최신-SQ인증업체현황1343사(03년평가완료031229수정)" xfId="31469"/>
    <cellStyle name="통_사전회의(1208)_새벽시장1_최신-SQ인증업체현황1343사(03년평가완료031229수정)_용접업종 평가결과품의(040510)" xfId="31470"/>
    <cellStyle name="통_사전회의(1208)_새벽시장1_최신-SQ인증업체현황1343사(03년평가완료031229수정)_용접업종 평가결과품의(040510)(1)" xfId="31471"/>
    <cellStyle name="통_사전회의(1208)_새벽시장1_최신-SQ인증업체현황1343사(03년평가완료031229수정)_주단조용접업종 평가결과품의(040510)(1)" xfId="31472"/>
    <cellStyle name="통_사전회의(1208)_새벽시장3" xfId="31473"/>
    <cellStyle name="통_사전회의(1208)_새벽시장3_도금 열처리 주단조 평가품의(040329)" xfId="31474"/>
    <cellStyle name="통_사전회의(1208)_새벽시장3_도금 열처리 주단조 평가품의(040329)_도금 열처리 주단조 평가품의(040329)" xfId="31475"/>
    <cellStyle name="통_사전회의(1208)_새벽시장3_도금 열처리 주단조 평가품의(040329)업체" xfId="31476"/>
    <cellStyle name="통_사전회의(1208)_새벽시장3_열처리결과품의(031017)개발" xfId="31477"/>
    <cellStyle name="통_사전회의(1208)_새벽시장3_열처리결과품의(031017)개발_도금 열처리 주단조 평가품의(040329)" xfId="31478"/>
    <cellStyle name="통_사전회의(1208)_새벽시장3_용접업종 평가결과품의(040510)" xfId="31479"/>
    <cellStyle name="통_사전회의(1208)_새벽시장3_용접업종 평가결과품의(040510)_용접업종 평가결과품의(040510)" xfId="31480"/>
    <cellStyle name="통_사전회의(1208)_새벽시장3_용접업종 평가결과품의(040510)_용접업종 평가결과품의(040510)(1)" xfId="31481"/>
    <cellStyle name="통_사전회의(1208)_새벽시장3_용접업종 평가결과품의(040510)_주단조용접업종 평가결과품의(040510)(1)" xfId="31482"/>
    <cellStyle name="통_사전회의(1208)_새벽시장3_주단조 업종 평가결과품의(040407)" xfId="31483"/>
    <cellStyle name="통_사전회의(1208)_새벽시장3_주단조 업종 평가결과품의(040407)_용접업종 평가결과품의(040510)" xfId="31484"/>
    <cellStyle name="통_사전회의(1208)_새벽시장3_주단조 업종 평가결과품의(040407)_용접업종 평가결과품의(040510)(1)" xfId="31485"/>
    <cellStyle name="통_사전회의(1208)_새벽시장3_주단조 업종 평가결과품의(040407)_주단조용접업종 평가결과품의(040510)(1)" xfId="31486"/>
    <cellStyle name="통_사전회의(1208)_새벽시장3_주단조 업종 평가결과품의(040416)(1)" xfId="31487"/>
    <cellStyle name="통_사전회의(1208)_새벽시장3_주단조 업종 평가결과품의(040416)(1)_용접업종 평가결과품의(040510)" xfId="31488"/>
    <cellStyle name="통_사전회의(1208)_새벽시장3_주단조 업종 평가결과품의(040416)(1)_용접업종 평가결과품의(040510)(1)" xfId="31489"/>
    <cellStyle name="통_사전회의(1208)_새벽시장3_주단조 업종 평가결과품의(040416)(1)_주단조용접업종 평가결과품의(040510)(1)" xfId="31490"/>
    <cellStyle name="통_사전회의(1208)_새벽시장3_최신-SQ인증업체현황1343사(03년평가완료031229수정)" xfId="31491"/>
    <cellStyle name="통_사전회의(1208)_새벽시장3_최신-SQ인증업체현황1343사(03년평가완료031229수정)_용접업종 평가결과품의(040510)" xfId="31492"/>
    <cellStyle name="통_사전회의(1208)_새벽시장3_최신-SQ인증업체현황1343사(03년평가완료031229수정)_용접업종 평가결과품의(040510)(1)" xfId="31493"/>
    <cellStyle name="통_사전회의(1208)_새벽시장3_최신-SQ인증업체현황1343사(03년평가완료031229수정)_주단조용접업종 평가결과품의(040510)(1)" xfId="31494"/>
    <cellStyle name="통_사전회의(1208)_새벽시장5" xfId="31495"/>
    <cellStyle name="통_사전회의(1208)_새벽시장5_도금 열처리 주단조 평가품의(040329)" xfId="31496"/>
    <cellStyle name="통_사전회의(1208)_새벽시장5_도금 열처리 주단조 평가품의(040329)_도금 열처리 주단조 평가품의(040329)" xfId="31497"/>
    <cellStyle name="통_사전회의(1208)_새벽시장5_도금 열처리 주단조 평가품의(040329)업체" xfId="31498"/>
    <cellStyle name="통_사전회의(1208)_새벽시장5_열처리결과품의(031017)개발" xfId="31499"/>
    <cellStyle name="통_사전회의(1208)_새벽시장5_열처리결과품의(031017)개발_도금 열처리 주단조 평가품의(040329)" xfId="31500"/>
    <cellStyle name="통_사전회의(1208)_새벽시장5_용접업종 평가결과품의(040510)" xfId="31501"/>
    <cellStyle name="통_사전회의(1208)_새벽시장5_용접업종 평가결과품의(040510)_용접업종 평가결과품의(040510)" xfId="31502"/>
    <cellStyle name="통_사전회의(1208)_새벽시장5_용접업종 평가결과품의(040510)_용접업종 평가결과품의(040510)(1)" xfId="31503"/>
    <cellStyle name="통_사전회의(1208)_새벽시장5_용접업종 평가결과품의(040510)_주단조용접업종 평가결과품의(040510)(1)" xfId="31504"/>
    <cellStyle name="통_사전회의(1208)_새벽시장5_주단조 업종 평가결과품의(040407)" xfId="31505"/>
    <cellStyle name="통_사전회의(1208)_새벽시장5_주단조 업종 평가결과품의(040407)_용접업종 평가결과품의(040510)" xfId="31506"/>
    <cellStyle name="통_사전회의(1208)_새벽시장5_주단조 업종 평가결과품의(040407)_용접업종 평가결과품의(040510)(1)" xfId="31507"/>
    <cellStyle name="통_사전회의(1208)_새벽시장5_주단조 업종 평가결과품의(040407)_주단조용접업종 평가결과품의(040510)(1)" xfId="31508"/>
    <cellStyle name="통_사전회의(1208)_새벽시장5_주단조 업종 평가결과품의(040416)(1)" xfId="31509"/>
    <cellStyle name="통_사전회의(1208)_새벽시장5_주단조 업종 평가결과품의(040416)(1)_용접업종 평가결과품의(040510)" xfId="31510"/>
    <cellStyle name="통_사전회의(1208)_새벽시장5_주단조 업종 평가결과품의(040416)(1)_용접업종 평가결과품의(040510)(1)" xfId="31511"/>
    <cellStyle name="통_사전회의(1208)_새벽시장5_주단조 업종 평가결과품의(040416)(1)_주단조용접업종 평가결과품의(040510)(1)" xfId="31512"/>
    <cellStyle name="통_사전회의(1208)_새벽시장5_최신-SQ인증업체현황1343사(03년평가완료031229수정)" xfId="31513"/>
    <cellStyle name="통_사전회의(1208)_새벽시장5_최신-SQ인증업체현황1343사(03년평가완료031229수정)_용접업종 평가결과품의(040510)" xfId="31514"/>
    <cellStyle name="통_사전회의(1208)_새벽시장5_최신-SQ인증업체현황1343사(03년평가완료031229수정)_용접업종 평가결과품의(040510)(1)" xfId="31515"/>
    <cellStyle name="통_사전회의(1208)_새벽시장5_최신-SQ인증업체현황1343사(03년평가완료031229수정)_주단조용접업종 평가결과품의(040510)(1)" xfId="31516"/>
    <cellStyle name="통_사전회의(1208)_새벽시장7" xfId="31517"/>
    <cellStyle name="통_사전회의(1208)_새벽시장7_도금 열처리 주단조 평가품의(040329)" xfId="31518"/>
    <cellStyle name="통_사전회의(1208)_새벽시장7_도금 열처리 주단조 평가품의(040329)_도금 열처리 주단조 평가품의(040329)" xfId="31519"/>
    <cellStyle name="통_사전회의(1208)_새벽시장7_도금 열처리 주단조 평가품의(040329)업체" xfId="31520"/>
    <cellStyle name="통_사전회의(1208)_새벽시장7_열처리결과품의(031017)개발" xfId="31521"/>
    <cellStyle name="통_사전회의(1208)_새벽시장7_열처리결과품의(031017)개발_도금 열처리 주단조 평가품의(040329)" xfId="31522"/>
    <cellStyle name="통_사전회의(1208)_새벽시장7_용접업종 평가결과품의(040510)" xfId="31523"/>
    <cellStyle name="통_사전회의(1208)_새벽시장7_용접업종 평가결과품의(040510)_용접업종 평가결과품의(040510)" xfId="31524"/>
    <cellStyle name="통_사전회의(1208)_새벽시장7_용접업종 평가결과품의(040510)_용접업종 평가결과품의(040510)(1)" xfId="31525"/>
    <cellStyle name="통_사전회의(1208)_새벽시장7_용접업종 평가결과품의(040510)_주단조용접업종 평가결과품의(040510)(1)" xfId="31526"/>
    <cellStyle name="통_사전회의(1208)_새벽시장7_주단조 업종 평가결과품의(040407)" xfId="31527"/>
    <cellStyle name="통_사전회의(1208)_새벽시장7_주단조 업종 평가결과품의(040407)_용접업종 평가결과품의(040510)" xfId="31528"/>
    <cellStyle name="통_사전회의(1208)_새벽시장7_주단조 업종 평가결과품의(040407)_용접업종 평가결과품의(040510)(1)" xfId="31529"/>
    <cellStyle name="통_사전회의(1208)_새벽시장7_주단조 업종 평가결과품의(040407)_주단조용접업종 평가결과품의(040510)(1)" xfId="31530"/>
    <cellStyle name="통_사전회의(1208)_새벽시장7_주단조 업종 평가결과품의(040416)(1)" xfId="31531"/>
    <cellStyle name="통_사전회의(1208)_새벽시장7_주단조 업종 평가결과품의(040416)(1)_용접업종 평가결과품의(040510)" xfId="31532"/>
    <cellStyle name="통_사전회의(1208)_새벽시장7_주단조 업종 평가결과품의(040416)(1)_용접업종 평가결과품의(040510)(1)" xfId="31533"/>
    <cellStyle name="통_사전회의(1208)_새벽시장7_주단조 업종 평가결과품의(040416)(1)_주단조용접업종 평가결과품의(040510)(1)" xfId="31534"/>
    <cellStyle name="통_사전회의(1208)_새벽시장7_최신-SQ인증업체현황1343사(03년평가완료031229수정)" xfId="31535"/>
    <cellStyle name="통_사전회의(1208)_새벽시장7_최신-SQ인증업체현황1343사(03년평가완료031229수정)_용접업종 평가결과품의(040510)" xfId="31536"/>
    <cellStyle name="통_사전회의(1208)_새벽시장7_최신-SQ인증업체현황1343사(03년평가완료031229수정)_용접업종 평가결과품의(040510)(1)" xfId="31537"/>
    <cellStyle name="통_사전회의(1208)_새벽시장7_최신-SQ인증업체현황1343사(03년평가완료031229수정)_주단조용접업종 평가결과품의(040510)(1)" xfId="31538"/>
    <cellStyle name="통_사전회의(1208)_새벽시장8.10xls" xfId="31539"/>
    <cellStyle name="통_사전회의(1208)_새벽시장8.10xls_도금 열처리 주단조 평가품의(040329)" xfId="31540"/>
    <cellStyle name="통_사전회의(1208)_새벽시장8.10xls_도금 열처리 주단조 평가품의(040329)_도금 열처리 주단조 평가품의(040329)" xfId="31541"/>
    <cellStyle name="통_사전회의(1208)_새벽시장8.10xls_도금 열처리 주단조 평가품의(040329)업체" xfId="31542"/>
    <cellStyle name="통_사전회의(1208)_새벽시장8.10xls_열처리결과품의(031017)개발" xfId="31543"/>
    <cellStyle name="통_사전회의(1208)_새벽시장8.10xls_열처리결과품의(031017)개발_도금 열처리 주단조 평가품의(040329)" xfId="31544"/>
    <cellStyle name="통_사전회의(1208)_새벽시장8.10xls_용접업종 평가결과품의(040510)" xfId="31545"/>
    <cellStyle name="통_사전회의(1208)_새벽시장8.10xls_용접업종 평가결과품의(040510)_용접업종 평가결과품의(040510)" xfId="31546"/>
    <cellStyle name="통_사전회의(1208)_새벽시장8.10xls_용접업종 평가결과품의(040510)_용접업종 평가결과품의(040510)(1)" xfId="31547"/>
    <cellStyle name="통_사전회의(1208)_새벽시장8.10xls_용접업종 평가결과품의(040510)_주단조용접업종 평가결과품의(040510)(1)" xfId="31548"/>
    <cellStyle name="통_사전회의(1208)_새벽시장8.10xls_주단조 업종 평가결과품의(040407)" xfId="31549"/>
    <cellStyle name="통_사전회의(1208)_새벽시장8.10xls_주단조 업종 평가결과품의(040407)_용접업종 평가결과품의(040510)" xfId="31550"/>
    <cellStyle name="통_사전회의(1208)_새벽시장8.10xls_주단조 업종 평가결과품의(040407)_용접업종 평가결과품의(040510)(1)" xfId="31551"/>
    <cellStyle name="통_사전회의(1208)_새벽시장8.10xls_주단조 업종 평가결과품의(040407)_주단조용접업종 평가결과품의(040510)(1)" xfId="31552"/>
    <cellStyle name="통_사전회의(1208)_새벽시장8.10xls_주단조 업종 평가결과품의(040416)(1)" xfId="31553"/>
    <cellStyle name="통_사전회의(1208)_새벽시장8.10xls_주단조 업종 평가결과품의(040416)(1)_용접업종 평가결과품의(040510)" xfId="31554"/>
    <cellStyle name="통_사전회의(1208)_새벽시장8.10xls_주단조 업종 평가결과품의(040416)(1)_용접업종 평가결과품의(040510)(1)" xfId="31555"/>
    <cellStyle name="통_사전회의(1208)_새벽시장8.10xls_주단조 업종 평가결과품의(040416)(1)_주단조용접업종 평가결과품의(040510)(1)" xfId="31556"/>
    <cellStyle name="통_사전회의(1208)_새벽시장8.10xls_최신-SQ인증업체현황1343사(03년평가완료031229수정)" xfId="31557"/>
    <cellStyle name="통_사전회의(1208)_새벽시장8.10xls_최신-SQ인증업체현황1343사(03년평가완료031229수정)_용접업종 평가결과품의(040510)" xfId="31558"/>
    <cellStyle name="통_사전회의(1208)_새벽시장8.10xls_최신-SQ인증업체현황1343사(03년평가완료031229수정)_용접업종 평가결과품의(040510)(1)" xfId="31559"/>
    <cellStyle name="통_사전회의(1208)_새벽시장8.10xls_최신-SQ인증업체현황1343사(03년평가완료031229수정)_주단조용접업종 평가결과품의(040510)(1)" xfId="31560"/>
    <cellStyle name="통_사전회의(1208)_새벽시장8.26xls" xfId="31561"/>
    <cellStyle name="통_사전회의(1208)_새벽시장8.26xls_도금 열처리 주단조 평가품의(040329)" xfId="31562"/>
    <cellStyle name="통_사전회의(1208)_새벽시장8.26xls_도금 열처리 주단조 평가품의(040329)_도금 열처리 주단조 평가품의(040329)" xfId="31563"/>
    <cellStyle name="통_사전회의(1208)_새벽시장8.26xls_도금 열처리 주단조 평가품의(040329)업체" xfId="31564"/>
    <cellStyle name="통_사전회의(1208)_새벽시장8.26xls_열처리결과품의(031017)개발" xfId="31565"/>
    <cellStyle name="통_사전회의(1208)_새벽시장8.26xls_열처리결과품의(031017)개발_도금 열처리 주단조 평가품의(040329)" xfId="31566"/>
    <cellStyle name="통_사전회의(1208)_새벽시장8.26xls_용접업종 평가결과품의(040510)" xfId="31567"/>
    <cellStyle name="통_사전회의(1208)_새벽시장8.26xls_용접업종 평가결과품의(040510)_용접업종 평가결과품의(040510)" xfId="31568"/>
    <cellStyle name="통_사전회의(1208)_새벽시장8.26xls_용접업종 평가결과품의(040510)_용접업종 평가결과품의(040510)(1)" xfId="31569"/>
    <cellStyle name="통_사전회의(1208)_새벽시장8.26xls_용접업종 평가결과품의(040510)_주단조용접업종 평가결과품의(040510)(1)" xfId="31570"/>
    <cellStyle name="통_사전회의(1208)_새벽시장8.26xls_주단조 업종 평가결과품의(040407)" xfId="31571"/>
    <cellStyle name="통_사전회의(1208)_새벽시장8.26xls_주단조 업종 평가결과품의(040407)_용접업종 평가결과품의(040510)" xfId="31572"/>
    <cellStyle name="통_사전회의(1208)_새벽시장8.26xls_주단조 업종 평가결과품의(040407)_용접업종 평가결과품의(040510)(1)" xfId="31573"/>
    <cellStyle name="통_사전회의(1208)_새벽시장8.26xls_주단조 업종 평가결과품의(040407)_주단조용접업종 평가결과품의(040510)(1)" xfId="31574"/>
    <cellStyle name="통_사전회의(1208)_새벽시장8.26xls_주단조 업종 평가결과품의(040416)(1)" xfId="31575"/>
    <cellStyle name="통_사전회의(1208)_새벽시장8.26xls_주단조 업종 평가결과품의(040416)(1)_용접업종 평가결과품의(040510)" xfId="31576"/>
    <cellStyle name="통_사전회의(1208)_새벽시장8.26xls_주단조 업종 평가결과품의(040416)(1)_용접업종 평가결과품의(040510)(1)" xfId="31577"/>
    <cellStyle name="통_사전회의(1208)_새벽시장8.26xls_주단조 업종 평가결과품의(040416)(1)_주단조용접업종 평가결과품의(040510)(1)" xfId="31578"/>
    <cellStyle name="통_사전회의(1208)_새벽시장8.26xls_최신-SQ인증업체현황1343사(03년평가완료031229수정)" xfId="31579"/>
    <cellStyle name="통_사전회의(1208)_새벽시장8.26xls_최신-SQ인증업체현황1343사(03년평가완료031229수정)_용접업종 평가결과품의(040510)" xfId="31580"/>
    <cellStyle name="통_사전회의(1208)_새벽시장8.26xls_최신-SQ인증업체현황1343사(03년평가완료031229수정)_용접업종 평가결과품의(040510)(1)" xfId="31581"/>
    <cellStyle name="통_사전회의(1208)_새벽시장8.26xls_최신-SQ인증업체현황1343사(03년평가완료031229수정)_주단조용접업종 평가결과품의(040510)(1)" xfId="31582"/>
    <cellStyle name="통_사전회의(1208)_새벽시장9.16" xfId="31583"/>
    <cellStyle name="통_사전회의(1208)_새벽시장9.16_도금 열처리 주단조 평가품의(040329)" xfId="31584"/>
    <cellStyle name="통_사전회의(1208)_새벽시장9.16_도금 열처리 주단조 평가품의(040329)_도금 열처리 주단조 평가품의(040329)" xfId="31585"/>
    <cellStyle name="통_사전회의(1208)_새벽시장9.16_도금 열처리 주단조 평가품의(040329)업체" xfId="31586"/>
    <cellStyle name="통_사전회의(1208)_새벽시장9.16_열처리결과품의(031017)개발" xfId="31587"/>
    <cellStyle name="통_사전회의(1208)_새벽시장9.16_열처리결과품의(031017)개발_도금 열처리 주단조 평가품의(040329)" xfId="31588"/>
    <cellStyle name="통_사전회의(1208)_새벽시장9.16_용접업종 평가결과품의(040510)" xfId="31589"/>
    <cellStyle name="통_사전회의(1208)_새벽시장9.16_용접업종 평가결과품의(040510)_용접업종 평가결과품의(040510)" xfId="31590"/>
    <cellStyle name="통_사전회의(1208)_새벽시장9.16_용접업종 평가결과품의(040510)_용접업종 평가결과품의(040510)(1)" xfId="31591"/>
    <cellStyle name="통_사전회의(1208)_새벽시장9.16_용접업종 평가결과품의(040510)_주단조용접업종 평가결과품의(040510)(1)" xfId="31592"/>
    <cellStyle name="통_사전회의(1208)_새벽시장9.16_주단조 업종 평가결과품의(040407)" xfId="31593"/>
    <cellStyle name="통_사전회의(1208)_새벽시장9.16_주단조 업종 평가결과품의(040407)_용접업종 평가결과품의(040510)" xfId="31594"/>
    <cellStyle name="통_사전회의(1208)_새벽시장9.16_주단조 업종 평가결과품의(040407)_용접업종 평가결과품의(040510)(1)" xfId="31595"/>
    <cellStyle name="통_사전회의(1208)_새벽시장9.16_주단조 업종 평가결과품의(040407)_주단조용접업종 평가결과품의(040510)(1)" xfId="31596"/>
    <cellStyle name="통_사전회의(1208)_새벽시장9.16_주단조 업종 평가결과품의(040416)(1)" xfId="31597"/>
    <cellStyle name="통_사전회의(1208)_새벽시장9.16_주단조 업종 평가결과품의(040416)(1)_용접업종 평가결과품의(040510)" xfId="31598"/>
    <cellStyle name="통_사전회의(1208)_새벽시장9.16_주단조 업종 평가결과품의(040416)(1)_용접업종 평가결과품의(040510)(1)" xfId="31599"/>
    <cellStyle name="통_사전회의(1208)_새벽시장9.16_주단조 업종 평가결과품의(040416)(1)_주단조용접업종 평가결과품의(040510)(1)" xfId="31600"/>
    <cellStyle name="통_사전회의(1208)_새벽시장9.16_최신-SQ인증업체현황1343사(03년평가완료031229수정)" xfId="31601"/>
    <cellStyle name="통_사전회의(1208)_새벽시장9.16_최신-SQ인증업체현황1343사(03년평가완료031229수정)_용접업종 평가결과품의(040510)" xfId="31602"/>
    <cellStyle name="통_사전회의(1208)_새벽시장9.16_최신-SQ인증업체현황1343사(03년평가완료031229수정)_용접업종 평가결과품의(040510)(1)" xfId="31603"/>
    <cellStyle name="통_사전회의(1208)_새벽시장9.16_최신-SQ인증업체현황1343사(03년평가완료031229수정)_주단조용접업종 평가결과품의(040510)(1)" xfId="31604"/>
    <cellStyle name="통_사전회의(1208)_열처리결과품의(031017)개발" xfId="31605"/>
    <cellStyle name="통_사전회의(1208)_열처리결과품의(031017)개발_도금 열처리 주단조 평가품의(040329)" xfId="31606"/>
    <cellStyle name="통_사전회의(1208)_용접업종 평가결과품의(040510)" xfId="31607"/>
    <cellStyle name="통_사전회의(1208)_용접업종 평가결과품의(040510)_용접업종 평가결과품의(040510)" xfId="31608"/>
    <cellStyle name="통_사전회의(1208)_용접업종 평가결과품의(040510)_용접업종 평가결과품의(040510)(1)" xfId="31609"/>
    <cellStyle name="통_사전회의(1208)_용접업종 평가결과품의(040510)_주단조용접업종 평가결과품의(040510)(1)" xfId="31610"/>
    <cellStyle name="통_사전회의(1208)_주단조 업종 평가결과품의(040407)" xfId="31611"/>
    <cellStyle name="통_사전회의(1208)_주단조 업종 평가결과품의(040407)_용접업종 평가결과품의(040510)" xfId="31612"/>
    <cellStyle name="통_사전회의(1208)_주단조 업종 평가결과품의(040407)_용접업종 평가결과품의(040510)(1)" xfId="31613"/>
    <cellStyle name="통_사전회의(1208)_주단조 업종 평가결과품의(040407)_주단조용접업종 평가결과품의(040510)(1)" xfId="31614"/>
    <cellStyle name="통_사전회의(1208)_주단조 업종 평가결과품의(040416)(1)" xfId="31615"/>
    <cellStyle name="통_사전회의(1208)_주단조 업종 평가결과품의(040416)(1)_용접업종 평가결과품의(040510)" xfId="31616"/>
    <cellStyle name="통_사전회의(1208)_주단조 업종 평가결과품의(040416)(1)_용접업종 평가결과품의(040510)(1)" xfId="31617"/>
    <cellStyle name="통_사전회의(1208)_주단조 업종 평가결과품의(040416)(1)_주단조용접업종 평가결과품의(040510)(1)" xfId="31618"/>
    <cellStyle name="통_사전회의(1208)_최신-SQ인증업체현황1343사(03년평가완료031229수정)" xfId="31619"/>
    <cellStyle name="통_사전회의(1208)_최신-SQ인증업체현황1343사(03년평가완료031229수정)_용접업종 평가결과품의(040510)" xfId="31620"/>
    <cellStyle name="통_사전회의(1208)_최신-SQ인증업체현황1343사(03년평가완료031229수정)_용접업종 평가결과품의(040510)(1)" xfId="31621"/>
    <cellStyle name="통_사전회의(1208)_최신-SQ인증업체현황1343사(03년평가완료031229수정)_주단조용접업종 평가결과품의(040510)(1)" xfId="31622"/>
    <cellStyle name="통_새벽시장1" xfId="31623"/>
    <cellStyle name="통_새벽시장1_도금 열처리 주단조 평가품의(040329)" xfId="31624"/>
    <cellStyle name="통_새벽시장1_도금 열처리 주단조 평가품의(040329)_도금 열처리 주단조 평가품의(040329)" xfId="31625"/>
    <cellStyle name="통_새벽시장1_도금 열처리 주단조 평가품의(040329)업체" xfId="31626"/>
    <cellStyle name="통_새벽시장1_열처리결과품의(031017)개발" xfId="31627"/>
    <cellStyle name="통_새벽시장1_열처리결과품의(031017)개발_도금 열처리 주단조 평가품의(040329)" xfId="31628"/>
    <cellStyle name="통_새벽시장1_용접업종 평가결과품의(040510)" xfId="31629"/>
    <cellStyle name="통_새벽시장1_용접업종 평가결과품의(040510)_용접업종 평가결과품의(040510)" xfId="31630"/>
    <cellStyle name="통_새벽시장1_용접업종 평가결과품의(040510)_용접업종 평가결과품의(040510)(1)" xfId="31631"/>
    <cellStyle name="통_새벽시장1_용접업종 평가결과품의(040510)_주단조용접업종 평가결과품의(040510)(1)" xfId="31632"/>
    <cellStyle name="통_새벽시장1_주단조 업종 평가결과품의(040407)" xfId="31633"/>
    <cellStyle name="통_새벽시장1_주단조 업종 평가결과품의(040407)_용접업종 평가결과품의(040510)" xfId="31634"/>
    <cellStyle name="통_새벽시장1_주단조 업종 평가결과품의(040407)_용접업종 평가결과품의(040510)(1)" xfId="31635"/>
    <cellStyle name="통_새벽시장1_주단조 업종 평가결과품의(040407)_주단조용접업종 평가결과품의(040510)(1)" xfId="31636"/>
    <cellStyle name="통_새벽시장1_주단조 업종 평가결과품의(040416)(1)" xfId="31637"/>
    <cellStyle name="통_새벽시장1_주단조 업종 평가결과품의(040416)(1)_용접업종 평가결과품의(040510)" xfId="31638"/>
    <cellStyle name="통_새벽시장1_주단조 업종 평가결과품의(040416)(1)_용접업종 평가결과품의(040510)(1)" xfId="31639"/>
    <cellStyle name="통_새벽시장1_주단조 업종 평가결과품의(040416)(1)_주단조용접업종 평가결과품의(040510)(1)" xfId="31640"/>
    <cellStyle name="통_새벽시장1_최신-SQ인증업체현황1343사(03년평가완료031229수정)" xfId="31641"/>
    <cellStyle name="통_새벽시장1_최신-SQ인증업체현황1343사(03년평가완료031229수정)_용접업종 평가결과품의(040510)" xfId="31642"/>
    <cellStyle name="통_새벽시장1_최신-SQ인증업체현황1343사(03년평가완료031229수정)_용접업종 평가결과품의(040510)(1)" xfId="31643"/>
    <cellStyle name="통_새벽시장1_최신-SQ인증업체현황1343사(03년평가완료031229수정)_주단조용접업종 평가결과품의(040510)(1)" xfId="31644"/>
    <cellStyle name="통_새벽시장3" xfId="31645"/>
    <cellStyle name="통_새벽시장3_도금 열처리 주단조 평가품의(040329)" xfId="31646"/>
    <cellStyle name="통_새벽시장3_도금 열처리 주단조 평가품의(040329)_도금 열처리 주단조 평가품의(040329)" xfId="31647"/>
    <cellStyle name="통_새벽시장3_도금 열처리 주단조 평가품의(040329)업체" xfId="31648"/>
    <cellStyle name="통_새벽시장3_열처리결과품의(031017)개발" xfId="31649"/>
    <cellStyle name="통_새벽시장3_열처리결과품의(031017)개발_도금 열처리 주단조 평가품의(040329)" xfId="31650"/>
    <cellStyle name="통_새벽시장3_용접업종 평가결과품의(040510)" xfId="31651"/>
    <cellStyle name="통_새벽시장3_용접업종 평가결과품의(040510)_용접업종 평가결과품의(040510)" xfId="31652"/>
    <cellStyle name="통_새벽시장3_용접업종 평가결과품의(040510)_용접업종 평가결과품의(040510)(1)" xfId="31653"/>
    <cellStyle name="통_새벽시장3_용접업종 평가결과품의(040510)_주단조용접업종 평가결과품의(040510)(1)" xfId="31654"/>
    <cellStyle name="통_새벽시장3_주단조 업종 평가결과품의(040407)" xfId="31655"/>
    <cellStyle name="통_새벽시장3_주단조 업종 평가결과품의(040407)_용접업종 평가결과품의(040510)" xfId="31656"/>
    <cellStyle name="통_새벽시장3_주단조 업종 평가결과품의(040407)_용접업종 평가결과품의(040510)(1)" xfId="31657"/>
    <cellStyle name="통_새벽시장3_주단조 업종 평가결과품의(040407)_주단조용접업종 평가결과품의(040510)(1)" xfId="31658"/>
    <cellStyle name="통_새벽시장3_주단조 업종 평가결과품의(040416)(1)" xfId="31659"/>
    <cellStyle name="통_새벽시장3_주단조 업종 평가결과품의(040416)(1)_용접업종 평가결과품의(040510)" xfId="31660"/>
    <cellStyle name="통_새벽시장3_주단조 업종 평가결과품의(040416)(1)_용접업종 평가결과품의(040510)(1)" xfId="31661"/>
    <cellStyle name="통_새벽시장3_주단조 업종 평가결과품의(040416)(1)_주단조용접업종 평가결과품의(040510)(1)" xfId="31662"/>
    <cellStyle name="통_새벽시장3_최신-SQ인증업체현황1343사(03년평가완료031229수정)" xfId="31663"/>
    <cellStyle name="통_새벽시장3_최신-SQ인증업체현황1343사(03년평가완료031229수정)_용접업종 평가결과품의(040510)" xfId="31664"/>
    <cellStyle name="통_새벽시장3_최신-SQ인증업체현황1343사(03년평가완료031229수정)_용접업종 평가결과품의(040510)(1)" xfId="31665"/>
    <cellStyle name="통_새벽시장3_최신-SQ인증업체현황1343사(03년평가완료031229수정)_주단조용접업종 평가결과품의(040510)(1)" xfId="31666"/>
    <cellStyle name="통_새벽시장5" xfId="31667"/>
    <cellStyle name="통_새벽시장5_도금 열처리 주단조 평가품의(040329)" xfId="31668"/>
    <cellStyle name="통_새벽시장5_도금 열처리 주단조 평가품의(040329)_도금 열처리 주단조 평가품의(040329)" xfId="31669"/>
    <cellStyle name="통_새벽시장5_도금 열처리 주단조 평가품의(040329)업체" xfId="31670"/>
    <cellStyle name="통_새벽시장5_열처리결과품의(031017)개발" xfId="31671"/>
    <cellStyle name="통_새벽시장5_열처리결과품의(031017)개발_도금 열처리 주단조 평가품의(040329)" xfId="31672"/>
    <cellStyle name="통_새벽시장5_용접업종 평가결과품의(040510)" xfId="31673"/>
    <cellStyle name="통_새벽시장5_용접업종 평가결과품의(040510)_용접업종 평가결과품의(040510)" xfId="31674"/>
    <cellStyle name="통_새벽시장5_용접업종 평가결과품의(040510)_용접업종 평가결과품의(040510)(1)" xfId="31675"/>
    <cellStyle name="통_새벽시장5_용접업종 평가결과품의(040510)_주단조용접업종 평가결과품의(040510)(1)" xfId="31676"/>
    <cellStyle name="통_새벽시장5_주단조 업종 평가결과품의(040407)" xfId="31677"/>
    <cellStyle name="통_새벽시장5_주단조 업종 평가결과품의(040407)_용접업종 평가결과품의(040510)" xfId="31678"/>
    <cellStyle name="통_새벽시장5_주단조 업종 평가결과품의(040407)_용접업종 평가결과품의(040510)(1)" xfId="31679"/>
    <cellStyle name="통_새벽시장5_주단조 업종 평가결과품의(040407)_주단조용접업종 평가결과품의(040510)(1)" xfId="31680"/>
    <cellStyle name="통_새벽시장5_주단조 업종 평가결과품의(040416)(1)" xfId="31681"/>
    <cellStyle name="통_새벽시장5_주단조 업종 평가결과품의(040416)(1)_용접업종 평가결과품의(040510)" xfId="31682"/>
    <cellStyle name="통_새벽시장5_주단조 업종 평가결과품의(040416)(1)_용접업종 평가결과품의(040510)(1)" xfId="31683"/>
    <cellStyle name="통_새벽시장5_주단조 업종 평가결과품의(040416)(1)_주단조용접업종 평가결과품의(040510)(1)" xfId="31684"/>
    <cellStyle name="통_새벽시장5_최신-SQ인증업체현황1343사(03년평가완료031229수정)" xfId="31685"/>
    <cellStyle name="통_새벽시장5_최신-SQ인증업체현황1343사(03년평가완료031229수정)_용접업종 평가결과품의(040510)" xfId="31686"/>
    <cellStyle name="통_새벽시장5_최신-SQ인증업체현황1343사(03년평가완료031229수정)_용접업종 평가결과품의(040510)(1)" xfId="31687"/>
    <cellStyle name="통_새벽시장5_최신-SQ인증업체현황1343사(03년평가완료031229수정)_주단조용접업종 평가결과품의(040510)(1)" xfId="31688"/>
    <cellStyle name="통_새벽시장7" xfId="31689"/>
    <cellStyle name="통_새벽시장7_도금 열처리 주단조 평가품의(040329)" xfId="31690"/>
    <cellStyle name="통_새벽시장7_도금 열처리 주단조 평가품의(040329)_도금 열처리 주단조 평가품의(040329)" xfId="31691"/>
    <cellStyle name="통_새벽시장7_도금 열처리 주단조 평가품의(040329)업체" xfId="31692"/>
    <cellStyle name="통_새벽시장7_열처리결과품의(031017)개발" xfId="31693"/>
    <cellStyle name="통_새벽시장7_열처리결과품의(031017)개발_도금 열처리 주단조 평가품의(040329)" xfId="31694"/>
    <cellStyle name="통_새벽시장7_용접업종 평가결과품의(040510)" xfId="31695"/>
    <cellStyle name="통_새벽시장7_용접업종 평가결과품의(040510)_용접업종 평가결과품의(040510)" xfId="31696"/>
    <cellStyle name="통_새벽시장7_용접업종 평가결과품의(040510)_용접업종 평가결과품의(040510)(1)" xfId="31697"/>
    <cellStyle name="통_새벽시장7_용접업종 평가결과품의(040510)_주단조용접업종 평가결과품의(040510)(1)" xfId="31698"/>
    <cellStyle name="통_새벽시장7_주단조 업종 평가결과품의(040407)" xfId="31699"/>
    <cellStyle name="통_새벽시장7_주단조 업종 평가결과품의(040407)_용접업종 평가결과품의(040510)" xfId="31700"/>
    <cellStyle name="통_새벽시장7_주단조 업종 평가결과품의(040407)_용접업종 평가결과품의(040510)(1)" xfId="31701"/>
    <cellStyle name="통_새벽시장7_주단조 업종 평가결과품의(040407)_주단조용접업종 평가결과품의(040510)(1)" xfId="31702"/>
    <cellStyle name="통_새벽시장7_주단조 업종 평가결과품의(040416)(1)" xfId="31703"/>
    <cellStyle name="통_새벽시장7_주단조 업종 평가결과품의(040416)(1)_용접업종 평가결과품의(040510)" xfId="31704"/>
    <cellStyle name="통_새벽시장7_주단조 업종 평가결과품의(040416)(1)_용접업종 평가결과품의(040510)(1)" xfId="31705"/>
    <cellStyle name="통_새벽시장7_주단조 업종 평가결과품의(040416)(1)_주단조용접업종 평가결과품의(040510)(1)" xfId="31706"/>
    <cellStyle name="통_새벽시장7_최신-SQ인증업체현황1343사(03년평가완료031229수정)" xfId="31707"/>
    <cellStyle name="통_새벽시장7_최신-SQ인증업체현황1343사(03년평가완료031229수정)_용접업종 평가결과품의(040510)" xfId="31708"/>
    <cellStyle name="통_새벽시장7_최신-SQ인증업체현황1343사(03년평가완료031229수정)_용접업종 평가결과품의(040510)(1)" xfId="31709"/>
    <cellStyle name="통_새벽시장7_최신-SQ인증업체현황1343사(03년평가완료031229수정)_주단조용접업종 평가결과품의(040510)(1)" xfId="31710"/>
    <cellStyle name="통_새벽시장8.10xls" xfId="31711"/>
    <cellStyle name="통_새벽시장8.10xls_도금 열처리 주단조 평가품의(040329)" xfId="31712"/>
    <cellStyle name="통_새벽시장8.10xls_도금 열처리 주단조 평가품의(040329)_도금 열처리 주단조 평가품의(040329)" xfId="31713"/>
    <cellStyle name="통_새벽시장8.10xls_도금 열처리 주단조 평가품의(040329)업체" xfId="31714"/>
    <cellStyle name="통_새벽시장8.10xls_열처리결과품의(031017)개발" xfId="31715"/>
    <cellStyle name="통_새벽시장8.10xls_열처리결과품의(031017)개발_도금 열처리 주단조 평가품의(040329)" xfId="31716"/>
    <cellStyle name="통_새벽시장8.10xls_용접업종 평가결과품의(040510)" xfId="31717"/>
    <cellStyle name="통_새벽시장8.10xls_용접업종 평가결과품의(040510)_용접업종 평가결과품의(040510)" xfId="31718"/>
    <cellStyle name="통_새벽시장8.10xls_용접업종 평가결과품의(040510)_용접업종 평가결과품의(040510)(1)" xfId="31719"/>
    <cellStyle name="통_새벽시장8.10xls_용접업종 평가결과품의(040510)_주단조용접업종 평가결과품의(040510)(1)" xfId="31720"/>
    <cellStyle name="통_새벽시장8.10xls_주단조 업종 평가결과품의(040407)" xfId="31721"/>
    <cellStyle name="통_새벽시장8.10xls_주단조 업종 평가결과품의(040407)_용접업종 평가결과품의(040510)" xfId="31722"/>
    <cellStyle name="통_새벽시장8.10xls_주단조 업종 평가결과품의(040407)_용접업종 평가결과품의(040510)(1)" xfId="31723"/>
    <cellStyle name="통_새벽시장8.10xls_주단조 업종 평가결과품의(040407)_주단조용접업종 평가결과품의(040510)(1)" xfId="31724"/>
    <cellStyle name="통_새벽시장8.10xls_주단조 업종 평가결과품의(040416)(1)" xfId="31725"/>
    <cellStyle name="통_새벽시장8.10xls_주단조 업종 평가결과품의(040416)(1)_용접업종 평가결과품의(040510)" xfId="31726"/>
    <cellStyle name="통_새벽시장8.10xls_주단조 업종 평가결과품의(040416)(1)_용접업종 평가결과품의(040510)(1)" xfId="31727"/>
    <cellStyle name="통_새벽시장8.10xls_주단조 업종 평가결과품의(040416)(1)_주단조용접업종 평가결과품의(040510)(1)" xfId="31728"/>
    <cellStyle name="통_새벽시장8.10xls_최신-SQ인증업체현황1343사(03년평가완료031229수정)" xfId="31729"/>
    <cellStyle name="통_새벽시장8.10xls_최신-SQ인증업체현황1343사(03년평가완료031229수정)_용접업종 평가결과품의(040510)" xfId="31730"/>
    <cellStyle name="통_새벽시장8.10xls_최신-SQ인증업체현황1343사(03년평가완료031229수정)_용접업종 평가결과품의(040510)(1)" xfId="31731"/>
    <cellStyle name="통_새벽시장8.10xls_최신-SQ인증업체현황1343사(03년평가완료031229수정)_주단조용접업종 평가결과품의(040510)(1)" xfId="31732"/>
    <cellStyle name="통_새벽시장8.26xls" xfId="31733"/>
    <cellStyle name="통_새벽시장8.26xls_도금 열처리 주단조 평가품의(040329)" xfId="31734"/>
    <cellStyle name="통_새벽시장8.26xls_도금 열처리 주단조 평가품의(040329)_도금 열처리 주단조 평가품의(040329)" xfId="31735"/>
    <cellStyle name="통_새벽시장8.26xls_도금 열처리 주단조 평가품의(040329)업체" xfId="31736"/>
    <cellStyle name="통_새벽시장8.26xls_열처리결과품의(031017)개발" xfId="31737"/>
    <cellStyle name="통_새벽시장8.26xls_열처리결과품의(031017)개발_도금 열처리 주단조 평가품의(040329)" xfId="31738"/>
    <cellStyle name="통_새벽시장8.26xls_용접업종 평가결과품의(040510)" xfId="31739"/>
    <cellStyle name="통_새벽시장8.26xls_용접업종 평가결과품의(040510)_용접업종 평가결과품의(040510)" xfId="31740"/>
    <cellStyle name="통_새벽시장8.26xls_용접업종 평가결과품의(040510)_용접업종 평가결과품의(040510)(1)" xfId="31741"/>
    <cellStyle name="통_새벽시장8.26xls_용접업종 평가결과품의(040510)_주단조용접업종 평가결과품의(040510)(1)" xfId="31742"/>
    <cellStyle name="통_새벽시장8.26xls_주단조 업종 평가결과품의(040407)" xfId="31743"/>
    <cellStyle name="통_새벽시장8.26xls_주단조 업종 평가결과품의(040407)_용접업종 평가결과품의(040510)" xfId="31744"/>
    <cellStyle name="통_새벽시장8.26xls_주단조 업종 평가결과품의(040407)_용접업종 평가결과품의(040510)(1)" xfId="31745"/>
    <cellStyle name="통_새벽시장8.26xls_주단조 업종 평가결과품의(040407)_주단조용접업종 평가결과품의(040510)(1)" xfId="31746"/>
    <cellStyle name="통_새벽시장8.26xls_주단조 업종 평가결과품의(040416)(1)" xfId="31747"/>
    <cellStyle name="통_새벽시장8.26xls_주단조 업종 평가결과품의(040416)(1)_용접업종 평가결과품의(040510)" xfId="31748"/>
    <cellStyle name="통_새벽시장8.26xls_주단조 업종 평가결과품의(040416)(1)_용접업종 평가결과품의(040510)(1)" xfId="31749"/>
    <cellStyle name="통_새벽시장8.26xls_주단조 업종 평가결과품의(040416)(1)_주단조용접업종 평가결과품의(040510)(1)" xfId="31750"/>
    <cellStyle name="통_새벽시장8.26xls_최신-SQ인증업체현황1343사(03년평가완료031229수정)" xfId="31751"/>
    <cellStyle name="통_새벽시장8.26xls_최신-SQ인증업체현황1343사(03년평가완료031229수정)_용접업종 평가결과품의(040510)" xfId="31752"/>
    <cellStyle name="통_새벽시장8.26xls_최신-SQ인증업체현황1343사(03년평가완료031229수정)_용접업종 평가결과품의(040510)(1)" xfId="31753"/>
    <cellStyle name="통_새벽시장8.26xls_최신-SQ인증업체현황1343사(03년평가완료031229수정)_주단조용접업종 평가결과품의(040510)(1)" xfId="31754"/>
    <cellStyle name="통_새벽시장9.16" xfId="31755"/>
    <cellStyle name="통_새벽시장9.16_도금 열처리 주단조 평가품의(040329)" xfId="31756"/>
    <cellStyle name="통_새벽시장9.16_도금 열처리 주단조 평가품의(040329)_도금 열처리 주단조 평가품의(040329)" xfId="31757"/>
    <cellStyle name="통_새벽시장9.16_도금 열처리 주단조 평가품의(040329)업체" xfId="31758"/>
    <cellStyle name="통_새벽시장9.16_열처리결과품의(031017)개발" xfId="31759"/>
    <cellStyle name="통_새벽시장9.16_열처리결과품의(031017)개발_도금 열처리 주단조 평가품의(040329)" xfId="31760"/>
    <cellStyle name="통_새벽시장9.16_용접업종 평가결과품의(040510)" xfId="31761"/>
    <cellStyle name="통_새벽시장9.16_용접업종 평가결과품의(040510)_용접업종 평가결과품의(040510)" xfId="31762"/>
    <cellStyle name="통_새벽시장9.16_용접업종 평가결과품의(040510)_용접업종 평가결과품의(040510)(1)" xfId="31763"/>
    <cellStyle name="통_새벽시장9.16_용접업종 평가결과품의(040510)_주단조용접업종 평가결과품의(040510)(1)" xfId="31764"/>
    <cellStyle name="통_새벽시장9.16_주단조 업종 평가결과품의(040407)" xfId="31765"/>
    <cellStyle name="통_새벽시장9.16_주단조 업종 평가결과품의(040407)_용접업종 평가결과품의(040510)" xfId="31766"/>
    <cellStyle name="통_새벽시장9.16_주단조 업종 평가결과품의(040407)_용접업종 평가결과품의(040510)(1)" xfId="31767"/>
    <cellStyle name="통_새벽시장9.16_주단조 업종 평가결과품의(040407)_주단조용접업종 평가결과품의(040510)(1)" xfId="31768"/>
    <cellStyle name="통_새벽시장9.16_주단조 업종 평가결과품의(040416)(1)" xfId="31769"/>
    <cellStyle name="통_새벽시장9.16_주단조 업종 평가결과품의(040416)(1)_용접업종 평가결과품의(040510)" xfId="31770"/>
    <cellStyle name="통_새벽시장9.16_주단조 업종 평가결과품의(040416)(1)_용접업종 평가결과품의(040510)(1)" xfId="31771"/>
    <cellStyle name="통_새벽시장9.16_주단조 업종 평가결과품의(040416)(1)_주단조용접업종 평가결과품의(040510)(1)" xfId="31772"/>
    <cellStyle name="통_새벽시장9.16_최신-SQ인증업체현황1343사(03년평가완료031229수정)" xfId="31773"/>
    <cellStyle name="통_새벽시장9.16_최신-SQ인증업체현황1343사(03년평가완료031229수정)_용접업종 평가결과품의(040510)" xfId="31774"/>
    <cellStyle name="통_새벽시장9.16_최신-SQ인증업체현황1343사(03년평가완료031229수정)_용접업종 평가결과품의(040510)(1)" xfId="31775"/>
    <cellStyle name="통_새벽시장9.16_최신-SQ인증업체현황1343사(03년평가완료031229수정)_주단조용접업종 평가결과품의(040510)(1)" xfId="31776"/>
    <cellStyle name="통_열처리결과품의(031017)개발" xfId="31777"/>
    <cellStyle name="통_열처리결과품의(031017)개발_도금 열처리 주단조 평가품의(040329)" xfId="31778"/>
    <cellStyle name="통_용접업종 평가결과품의(040510)" xfId="31779"/>
    <cellStyle name="통_용접업종 평가결과품의(040510)_용접업종 평가결과품의(040510)" xfId="31780"/>
    <cellStyle name="통_용접업종 평가결과품의(040510)_용접업종 평가결과품의(040510)(1)" xfId="31781"/>
    <cellStyle name="통_용접업종 평가결과품의(040510)_주단조용접업종 평가결과품의(040510)(1)" xfId="31782"/>
    <cellStyle name="통_주단조 업종 평가결과품의(040407)" xfId="31783"/>
    <cellStyle name="통_주단조 업종 평가결과품의(040407)_용접업종 평가결과품의(040510)" xfId="31784"/>
    <cellStyle name="통_주단조 업종 평가결과품의(040407)_용접업종 평가결과품의(040510)(1)" xfId="31785"/>
    <cellStyle name="통_주단조 업종 평가결과품의(040407)_주단조용접업종 평가결과품의(040510)(1)" xfId="31786"/>
    <cellStyle name="통_주단조 업종 평가결과품의(040416)(1)" xfId="31787"/>
    <cellStyle name="통_주단조 업종 평가결과품의(040416)(1)_용접업종 평가결과품의(040510)" xfId="31788"/>
    <cellStyle name="통_주단조 업종 평가결과품의(040416)(1)_용접업종 평가결과품의(040510)(1)" xfId="31789"/>
    <cellStyle name="통_주단조 업종 평가결과품의(040416)(1)_주단조용접업종 평가결과품의(040510)(1)" xfId="31790"/>
    <cellStyle name="통_최신-SQ인증업체현황1343사(03년평가완료031229수정)" xfId="31791"/>
    <cellStyle name="통_최신-SQ인증업체현황1343사(03년평가완료031229수정)_용접업종 평가결과품의(040510)" xfId="31792"/>
    <cellStyle name="통_최신-SQ인증업체현황1343사(03년평가완료031229수정)_용접업종 평가결과품의(040510)(1)" xfId="31793"/>
    <cellStyle name="통_최신-SQ인증업체현황1343사(03년평가완료031229수정)_주단조용접업종 평가결과품의(040510)(1)" xfId="31794"/>
    <cellStyle name="통_출장계획서" xfId="31795"/>
    <cellStyle name="통_출장계획서_ROTATION 유동" xfId="31796"/>
    <cellStyle name="통_출장계획서_ROTATION 유동_도금 열처리 주단조 평가품의(040329)" xfId="31797"/>
    <cellStyle name="통_출장계획서_ROTATION 유동_도금 열처리 주단조 평가품의(040329)_도금 열처리 주단조 평가품의(040329)" xfId="31798"/>
    <cellStyle name="통_출장계획서_ROTATION 유동_도금 열처리 주단조 평가품의(040329)업체" xfId="31799"/>
    <cellStyle name="통_출장계획서_ROTATION 유동_열처리결과품의(031017)개발" xfId="31800"/>
    <cellStyle name="통_출장계획서_ROTATION 유동_열처리결과품의(031017)개발_도금 열처리 주단조 평가품의(040329)" xfId="31801"/>
    <cellStyle name="통_출장계획서_ROTATION 유동_용접업종 평가결과품의(040510)" xfId="31802"/>
    <cellStyle name="통_출장계획서_ROTATION 유동_용접업종 평가결과품의(040510)_용접업종 평가결과품의(040510)" xfId="31803"/>
    <cellStyle name="통_출장계획서_ROTATION 유동_용접업종 평가결과품의(040510)_용접업종 평가결과품의(040510)(1)" xfId="31804"/>
    <cellStyle name="통_출장계획서_ROTATION 유동_용접업종 평가결과품의(040510)_주단조용접업종 평가결과품의(040510)(1)" xfId="31805"/>
    <cellStyle name="통_출장계획서_ROTATION 유동_주단조 업종 평가결과품의(040407)" xfId="31806"/>
    <cellStyle name="통_출장계획서_ROTATION 유동_주단조 업종 평가결과품의(040407)_용접업종 평가결과품의(040510)" xfId="31807"/>
    <cellStyle name="통_출장계획서_ROTATION 유동_주단조 업종 평가결과품의(040407)_용접업종 평가결과품의(040510)(1)" xfId="31808"/>
    <cellStyle name="통_출장계획서_ROTATION 유동_주단조 업종 평가결과품의(040407)_주단조용접업종 평가결과품의(040510)(1)" xfId="31809"/>
    <cellStyle name="통_출장계획서_ROTATION 유동_주단조 업종 평가결과품의(040416)(1)" xfId="31810"/>
    <cellStyle name="통_출장계획서_ROTATION 유동_주단조 업종 평가결과품의(040416)(1)_용접업종 평가결과품의(040510)" xfId="31811"/>
    <cellStyle name="통_출장계획서_ROTATION 유동_주단조 업종 평가결과품의(040416)(1)_용접업종 평가결과품의(040510)(1)" xfId="31812"/>
    <cellStyle name="통_출장계획서_ROTATION 유동_주단조 업종 평가결과품의(040416)(1)_주단조용접업종 평가결과품의(040510)(1)" xfId="31813"/>
    <cellStyle name="통_출장계획서_ROTATION 유동_최신-SQ인증업체현황1343사(03년평가완료031229수정)" xfId="31814"/>
    <cellStyle name="통_출장계획서_ROTATION 유동_최신-SQ인증업체현황1343사(03년평가완료031229수정)_용접업종 평가결과품의(040510)" xfId="31815"/>
    <cellStyle name="통_출장계획서_ROTATION 유동_최신-SQ인증업체현황1343사(03년평가완료031229수정)_용접업종 평가결과품의(040510)(1)" xfId="31816"/>
    <cellStyle name="통_출장계획서_ROTATION 유동_최신-SQ인증업체현황1343사(03년평가완료031229수정)_주단조용접업종 평가결과품의(040510)(1)" xfId="31817"/>
    <cellStyle name="통_출장계획서_SLIDE 폭" xfId="31818"/>
    <cellStyle name="통_출장계획서_SLIDE 폭_도금 열처리 주단조 평가품의(040329)" xfId="31819"/>
    <cellStyle name="통_출장계획서_SLIDE 폭_도금 열처리 주단조 평가품의(040329)_도금 열처리 주단조 평가품의(040329)" xfId="31820"/>
    <cellStyle name="통_출장계획서_SLIDE 폭_도금 열처리 주단조 평가품의(040329)업체" xfId="31821"/>
    <cellStyle name="통_출장계획서_SLIDE 폭_열처리결과품의(031017)개발" xfId="31822"/>
    <cellStyle name="통_출장계획서_SLIDE 폭_열처리결과품의(031017)개발_도금 열처리 주단조 평가품의(040329)" xfId="31823"/>
    <cellStyle name="통_출장계획서_SLIDE 폭_용접업종 평가결과품의(040510)" xfId="31824"/>
    <cellStyle name="통_출장계획서_SLIDE 폭_용접업종 평가결과품의(040510)_용접업종 평가결과품의(040510)" xfId="31825"/>
    <cellStyle name="통_출장계획서_SLIDE 폭_용접업종 평가결과품의(040510)_용접업종 평가결과품의(040510)(1)" xfId="31826"/>
    <cellStyle name="통_출장계획서_SLIDE 폭_용접업종 평가결과품의(040510)_주단조용접업종 평가결과품의(040510)(1)" xfId="31827"/>
    <cellStyle name="통_출장계획서_SLIDE 폭_주단조 업종 평가결과품의(040407)" xfId="31828"/>
    <cellStyle name="통_출장계획서_SLIDE 폭_주단조 업종 평가결과품의(040407)_용접업종 평가결과품의(040510)" xfId="31829"/>
    <cellStyle name="통_출장계획서_SLIDE 폭_주단조 업종 평가결과품의(040407)_용접업종 평가결과품의(040510)(1)" xfId="31830"/>
    <cellStyle name="통_출장계획서_SLIDE 폭_주단조 업종 평가결과품의(040407)_주단조용접업종 평가결과품의(040510)(1)" xfId="31831"/>
    <cellStyle name="통_출장계획서_SLIDE 폭_주단조 업종 평가결과품의(040416)(1)" xfId="31832"/>
    <cellStyle name="통_출장계획서_SLIDE 폭_주단조 업종 평가결과품의(040416)(1)_용접업종 평가결과품의(040510)" xfId="31833"/>
    <cellStyle name="통_출장계획서_SLIDE 폭_주단조 업종 평가결과품의(040416)(1)_용접업종 평가결과품의(040510)(1)" xfId="31834"/>
    <cellStyle name="통_출장계획서_SLIDE 폭_주단조 업종 평가결과품의(040416)(1)_주단조용접업종 평가결과품의(040510)(1)" xfId="31835"/>
    <cellStyle name="통_출장계획서_SLIDE 폭_최신-SQ인증업체현황1343사(03년평가완료031229수정)" xfId="31836"/>
    <cellStyle name="통_출장계획서_SLIDE 폭_최신-SQ인증업체현황1343사(03년평가완료031229수정)_용접업종 평가결과품의(040510)" xfId="31837"/>
    <cellStyle name="통_출장계획서_SLIDE 폭_최신-SQ인증업체현황1343사(03년평가완료031229수정)_용접업종 평가결과품의(040510)(1)" xfId="31838"/>
    <cellStyle name="통_출장계획서_SLIDE 폭_최신-SQ인증업체현황1343사(03년평가완료031229수정)_주단조용접업종 평가결과품의(040510)(1)" xfId="31839"/>
    <cellStyle name="통_출장계획서_도금 열처리 주단조 평가품의(040329)" xfId="31840"/>
    <cellStyle name="통_출장계획서_도금 열처리 주단조 평가품의(040329)_도금 열처리 주단조 평가품의(040329)" xfId="31841"/>
    <cellStyle name="통_출장계획서_도금 열처리 주단조 평가품의(040329)업체" xfId="31842"/>
    <cellStyle name="통_출장계획서_새벽시장1" xfId="31843"/>
    <cellStyle name="통_출장계획서_새벽시장1_도금 열처리 주단조 평가품의(040329)" xfId="31844"/>
    <cellStyle name="통_출장계획서_새벽시장1_도금 열처리 주단조 평가품의(040329)_도금 열처리 주단조 평가품의(040329)" xfId="31845"/>
    <cellStyle name="통_출장계획서_새벽시장1_도금 열처리 주단조 평가품의(040329)업체" xfId="31846"/>
    <cellStyle name="통_출장계획서_새벽시장1_열처리결과품의(031017)개발" xfId="31847"/>
    <cellStyle name="통_출장계획서_새벽시장1_열처리결과품의(031017)개발_도금 열처리 주단조 평가품의(040329)" xfId="31848"/>
    <cellStyle name="통_출장계획서_새벽시장1_용접업종 평가결과품의(040510)" xfId="31849"/>
    <cellStyle name="통_출장계획서_새벽시장1_용접업종 평가결과품의(040510)_용접업종 평가결과품의(040510)" xfId="31850"/>
    <cellStyle name="통_출장계획서_새벽시장1_용접업종 평가결과품의(040510)_용접업종 평가결과품의(040510)(1)" xfId="31851"/>
    <cellStyle name="통_출장계획서_새벽시장1_용접업종 평가결과품의(040510)_주단조용접업종 평가결과품의(040510)(1)" xfId="31852"/>
    <cellStyle name="통_출장계획서_새벽시장1_주단조 업종 평가결과품의(040407)" xfId="31853"/>
    <cellStyle name="통_출장계획서_새벽시장1_주단조 업종 평가결과품의(040407)_용접업종 평가결과품의(040510)" xfId="31854"/>
    <cellStyle name="통_출장계획서_새벽시장1_주단조 업종 평가결과품의(040407)_용접업종 평가결과품의(040510)(1)" xfId="31855"/>
    <cellStyle name="통_출장계획서_새벽시장1_주단조 업종 평가결과품의(040407)_주단조용접업종 평가결과품의(040510)(1)" xfId="31856"/>
    <cellStyle name="통_출장계획서_새벽시장1_주단조 업종 평가결과품의(040416)(1)" xfId="31857"/>
    <cellStyle name="통_출장계획서_새벽시장1_주단조 업종 평가결과품의(040416)(1)_용접업종 평가결과품의(040510)" xfId="31858"/>
    <cellStyle name="통_출장계획서_새벽시장1_주단조 업종 평가결과품의(040416)(1)_용접업종 평가결과품의(040510)(1)" xfId="31859"/>
    <cellStyle name="통_출장계획서_새벽시장1_주단조 업종 평가결과품의(040416)(1)_주단조용접업종 평가결과품의(040510)(1)" xfId="31860"/>
    <cellStyle name="통_출장계획서_새벽시장1_최신-SQ인증업체현황1343사(03년평가완료031229수정)" xfId="31861"/>
    <cellStyle name="통_출장계획서_새벽시장1_최신-SQ인증업체현황1343사(03년평가완료031229수정)_용접업종 평가결과품의(040510)" xfId="31862"/>
    <cellStyle name="통_출장계획서_새벽시장1_최신-SQ인증업체현황1343사(03년평가완료031229수정)_용접업종 평가결과품의(040510)(1)" xfId="31863"/>
    <cellStyle name="통_출장계획서_새벽시장1_최신-SQ인증업체현황1343사(03년평가완료031229수정)_주단조용접업종 평가결과품의(040510)(1)" xfId="31864"/>
    <cellStyle name="통_출장계획서_새벽시장3" xfId="31865"/>
    <cellStyle name="통_출장계획서_새벽시장3_도금 열처리 주단조 평가품의(040329)" xfId="31866"/>
    <cellStyle name="통_출장계획서_새벽시장3_도금 열처리 주단조 평가품의(040329)_도금 열처리 주단조 평가품의(040329)" xfId="31867"/>
    <cellStyle name="통_출장계획서_새벽시장3_도금 열처리 주단조 평가품의(040329)업체" xfId="31868"/>
    <cellStyle name="통_출장계획서_새벽시장3_열처리결과품의(031017)개발" xfId="31869"/>
    <cellStyle name="통_출장계획서_새벽시장3_열처리결과품의(031017)개발_도금 열처리 주단조 평가품의(040329)" xfId="31870"/>
    <cellStyle name="통_출장계획서_새벽시장3_용접업종 평가결과품의(040510)" xfId="31871"/>
    <cellStyle name="통_출장계획서_새벽시장3_용접업종 평가결과품의(040510)_용접업종 평가결과품의(040510)" xfId="31872"/>
    <cellStyle name="통_출장계획서_새벽시장3_용접업종 평가결과품의(040510)_용접업종 평가결과품의(040510)(1)" xfId="31873"/>
    <cellStyle name="통_출장계획서_새벽시장3_용접업종 평가결과품의(040510)_주단조용접업종 평가결과품의(040510)(1)" xfId="31874"/>
    <cellStyle name="통_출장계획서_새벽시장3_주단조 업종 평가결과품의(040407)" xfId="31875"/>
    <cellStyle name="통_출장계획서_새벽시장3_주단조 업종 평가결과품의(040407)_용접업종 평가결과품의(040510)" xfId="31876"/>
    <cellStyle name="통_출장계획서_새벽시장3_주단조 업종 평가결과품의(040407)_용접업종 평가결과품의(040510)(1)" xfId="31877"/>
    <cellStyle name="통_출장계획서_새벽시장3_주단조 업종 평가결과품의(040407)_주단조용접업종 평가결과품의(040510)(1)" xfId="31878"/>
    <cellStyle name="통_출장계획서_새벽시장3_주단조 업종 평가결과품의(040416)(1)" xfId="31879"/>
    <cellStyle name="통_출장계획서_새벽시장3_주단조 업종 평가결과품의(040416)(1)_용접업종 평가결과품의(040510)" xfId="31880"/>
    <cellStyle name="통_출장계획서_새벽시장3_주단조 업종 평가결과품의(040416)(1)_용접업종 평가결과품의(040510)(1)" xfId="31881"/>
    <cellStyle name="통_출장계획서_새벽시장3_주단조 업종 평가결과품의(040416)(1)_주단조용접업종 평가결과품의(040510)(1)" xfId="31882"/>
    <cellStyle name="통_출장계획서_새벽시장3_최신-SQ인증업체현황1343사(03년평가완료031229수정)" xfId="31883"/>
    <cellStyle name="통_출장계획서_새벽시장3_최신-SQ인증업체현황1343사(03년평가완료031229수정)_용접업종 평가결과품의(040510)" xfId="31884"/>
    <cellStyle name="통_출장계획서_새벽시장3_최신-SQ인증업체현황1343사(03년평가완료031229수정)_용접업종 평가결과품의(040510)(1)" xfId="31885"/>
    <cellStyle name="통_출장계획서_새벽시장3_최신-SQ인증업체현황1343사(03년평가완료031229수정)_주단조용접업종 평가결과품의(040510)(1)" xfId="31886"/>
    <cellStyle name="통_출장계획서_새벽시장5" xfId="31887"/>
    <cellStyle name="통_출장계획서_새벽시장5_도금 열처리 주단조 평가품의(040329)" xfId="31888"/>
    <cellStyle name="통_출장계획서_새벽시장5_도금 열처리 주단조 평가품의(040329)_도금 열처리 주단조 평가품의(040329)" xfId="31889"/>
    <cellStyle name="통_출장계획서_새벽시장5_도금 열처리 주단조 평가품의(040329)업체" xfId="31890"/>
    <cellStyle name="통_출장계획서_새벽시장5_열처리결과품의(031017)개발" xfId="31891"/>
    <cellStyle name="통_출장계획서_새벽시장5_열처리결과품의(031017)개발_도금 열처리 주단조 평가품의(040329)" xfId="31892"/>
    <cellStyle name="통_출장계획서_새벽시장5_용접업종 평가결과품의(040510)" xfId="31893"/>
    <cellStyle name="통_출장계획서_새벽시장5_용접업종 평가결과품의(040510)_용접업종 평가결과품의(040510)" xfId="31894"/>
    <cellStyle name="통_출장계획서_새벽시장5_용접업종 평가결과품의(040510)_용접업종 평가결과품의(040510)(1)" xfId="31895"/>
    <cellStyle name="통_출장계획서_새벽시장5_용접업종 평가결과품의(040510)_주단조용접업종 평가결과품의(040510)(1)" xfId="31896"/>
    <cellStyle name="통_출장계획서_새벽시장5_주단조 업종 평가결과품의(040407)" xfId="31897"/>
    <cellStyle name="통_출장계획서_새벽시장5_주단조 업종 평가결과품의(040407)_용접업종 평가결과품의(040510)" xfId="31898"/>
    <cellStyle name="통_출장계획서_새벽시장5_주단조 업종 평가결과품의(040407)_용접업종 평가결과품의(040510)(1)" xfId="31899"/>
    <cellStyle name="통_출장계획서_새벽시장5_주단조 업종 평가결과품의(040407)_주단조용접업종 평가결과품의(040510)(1)" xfId="31900"/>
    <cellStyle name="통_출장계획서_새벽시장5_주단조 업종 평가결과품의(040416)(1)" xfId="31901"/>
    <cellStyle name="통_출장계획서_새벽시장5_주단조 업종 평가결과품의(040416)(1)_용접업종 평가결과품의(040510)" xfId="31902"/>
    <cellStyle name="통_출장계획서_새벽시장5_주단조 업종 평가결과품의(040416)(1)_용접업종 평가결과품의(040510)(1)" xfId="31903"/>
    <cellStyle name="통_출장계획서_새벽시장5_주단조 업종 평가결과품의(040416)(1)_주단조용접업종 평가결과품의(040510)(1)" xfId="31904"/>
    <cellStyle name="통_출장계획서_새벽시장5_최신-SQ인증업체현황1343사(03년평가완료031229수정)" xfId="31905"/>
    <cellStyle name="통_출장계획서_새벽시장5_최신-SQ인증업체현황1343사(03년평가완료031229수정)_용접업종 평가결과품의(040510)" xfId="31906"/>
    <cellStyle name="통_출장계획서_새벽시장5_최신-SQ인증업체현황1343사(03년평가완료031229수정)_용접업종 평가결과품의(040510)(1)" xfId="31907"/>
    <cellStyle name="통_출장계획서_새벽시장5_최신-SQ인증업체현황1343사(03년평가완료031229수정)_주단조용접업종 평가결과품의(040510)(1)" xfId="31908"/>
    <cellStyle name="통_출장계획서_새벽시장7" xfId="31909"/>
    <cellStyle name="통_출장계획서_새벽시장7_도금 열처리 주단조 평가품의(040329)" xfId="31910"/>
    <cellStyle name="통_출장계획서_새벽시장7_도금 열처리 주단조 평가품의(040329)_도금 열처리 주단조 평가품의(040329)" xfId="31911"/>
    <cellStyle name="통_출장계획서_새벽시장7_도금 열처리 주단조 평가품의(040329)업체" xfId="31912"/>
    <cellStyle name="통_출장계획서_새벽시장7_열처리결과품의(031017)개발" xfId="31913"/>
    <cellStyle name="통_출장계획서_새벽시장7_열처리결과품의(031017)개발_도금 열처리 주단조 평가품의(040329)" xfId="31914"/>
    <cellStyle name="통_출장계획서_새벽시장7_용접업종 평가결과품의(040510)" xfId="31915"/>
    <cellStyle name="통_출장계획서_새벽시장7_용접업종 평가결과품의(040510)_용접업종 평가결과품의(040510)" xfId="31916"/>
    <cellStyle name="통_출장계획서_새벽시장7_용접업종 평가결과품의(040510)_용접업종 평가결과품의(040510)(1)" xfId="31917"/>
    <cellStyle name="통_출장계획서_새벽시장7_용접업종 평가결과품의(040510)_주단조용접업종 평가결과품의(040510)(1)" xfId="31918"/>
    <cellStyle name="통_출장계획서_새벽시장7_주단조 업종 평가결과품의(040407)" xfId="31919"/>
    <cellStyle name="통_출장계획서_새벽시장7_주단조 업종 평가결과품의(040407)_용접업종 평가결과품의(040510)" xfId="31920"/>
    <cellStyle name="통_출장계획서_새벽시장7_주단조 업종 평가결과품의(040407)_용접업종 평가결과품의(040510)(1)" xfId="31921"/>
    <cellStyle name="통_출장계획서_새벽시장7_주단조 업종 평가결과품의(040407)_주단조용접업종 평가결과품의(040510)(1)" xfId="31922"/>
    <cellStyle name="통_출장계획서_새벽시장7_주단조 업종 평가결과품의(040416)(1)" xfId="31923"/>
    <cellStyle name="통_출장계획서_새벽시장7_주단조 업종 평가결과품의(040416)(1)_용접업종 평가결과품의(040510)" xfId="31924"/>
    <cellStyle name="통_출장계획서_새벽시장7_주단조 업종 평가결과품의(040416)(1)_용접업종 평가결과품의(040510)(1)" xfId="31925"/>
    <cellStyle name="통_출장계획서_새벽시장7_주단조 업종 평가결과품의(040416)(1)_주단조용접업종 평가결과품의(040510)(1)" xfId="31926"/>
    <cellStyle name="통_출장계획서_새벽시장7_최신-SQ인증업체현황1343사(03년평가완료031229수정)" xfId="31927"/>
    <cellStyle name="통_출장계획서_새벽시장7_최신-SQ인증업체현황1343사(03년평가완료031229수정)_용접업종 평가결과품의(040510)" xfId="31928"/>
    <cellStyle name="통_출장계획서_새벽시장7_최신-SQ인증업체현황1343사(03년평가완료031229수정)_용접업종 평가결과품의(040510)(1)" xfId="31929"/>
    <cellStyle name="통_출장계획서_새벽시장7_최신-SQ인증업체현황1343사(03년평가완료031229수정)_주단조용접업종 평가결과품의(040510)(1)" xfId="31930"/>
    <cellStyle name="통_출장계획서_새벽시장8.10xls" xfId="31931"/>
    <cellStyle name="통_출장계획서_새벽시장8.10xls_도금 열처리 주단조 평가품의(040329)" xfId="31932"/>
    <cellStyle name="통_출장계획서_새벽시장8.10xls_도금 열처리 주단조 평가품의(040329)_도금 열처리 주단조 평가품의(040329)" xfId="31933"/>
    <cellStyle name="통_출장계획서_새벽시장8.10xls_도금 열처리 주단조 평가품의(040329)업체" xfId="31934"/>
    <cellStyle name="통_출장계획서_새벽시장8.10xls_열처리결과품의(031017)개발" xfId="31935"/>
    <cellStyle name="통_출장계획서_새벽시장8.10xls_열처리결과품의(031017)개발_도금 열처리 주단조 평가품의(040329)" xfId="31936"/>
    <cellStyle name="통_출장계획서_새벽시장8.10xls_용접업종 평가결과품의(040510)" xfId="31937"/>
    <cellStyle name="통_출장계획서_새벽시장8.10xls_용접업종 평가결과품의(040510)_용접업종 평가결과품의(040510)" xfId="31938"/>
    <cellStyle name="통_출장계획서_새벽시장8.10xls_용접업종 평가결과품의(040510)_용접업종 평가결과품의(040510)(1)" xfId="31939"/>
    <cellStyle name="통_출장계획서_새벽시장8.10xls_용접업종 평가결과품의(040510)_주단조용접업종 평가결과품의(040510)(1)" xfId="31940"/>
    <cellStyle name="통_출장계획서_새벽시장8.10xls_주단조 업종 평가결과품의(040407)" xfId="31941"/>
    <cellStyle name="통_출장계획서_새벽시장8.10xls_주단조 업종 평가결과품의(040407)_용접업종 평가결과품의(040510)" xfId="31942"/>
    <cellStyle name="통_출장계획서_새벽시장8.10xls_주단조 업종 평가결과품의(040407)_용접업종 평가결과품의(040510)(1)" xfId="31943"/>
    <cellStyle name="통_출장계획서_새벽시장8.10xls_주단조 업종 평가결과품의(040407)_주단조용접업종 평가결과품의(040510)(1)" xfId="31944"/>
    <cellStyle name="통_출장계획서_새벽시장8.10xls_주단조 업종 평가결과품의(040416)(1)" xfId="31945"/>
    <cellStyle name="통_출장계획서_새벽시장8.10xls_주단조 업종 평가결과품의(040416)(1)_용접업종 평가결과품의(040510)" xfId="31946"/>
    <cellStyle name="통_출장계획서_새벽시장8.10xls_주단조 업종 평가결과품의(040416)(1)_용접업종 평가결과품의(040510)(1)" xfId="31947"/>
    <cellStyle name="통_출장계획서_새벽시장8.10xls_주단조 업종 평가결과품의(040416)(1)_주단조용접업종 평가결과품의(040510)(1)" xfId="31948"/>
    <cellStyle name="통_출장계획서_새벽시장8.10xls_최신-SQ인증업체현황1343사(03년평가완료031229수정)" xfId="31949"/>
    <cellStyle name="통_출장계획서_새벽시장8.10xls_최신-SQ인증업체현황1343사(03년평가완료031229수정)_용접업종 평가결과품의(040510)" xfId="31950"/>
    <cellStyle name="통_출장계획서_새벽시장8.10xls_최신-SQ인증업체현황1343사(03년평가완료031229수정)_용접업종 평가결과품의(040510)(1)" xfId="31951"/>
    <cellStyle name="통_출장계획서_새벽시장8.10xls_최신-SQ인증업체현황1343사(03년평가완료031229수정)_주단조용접업종 평가결과품의(040510)(1)" xfId="31952"/>
    <cellStyle name="통_출장계획서_새벽시장8.26xls" xfId="31953"/>
    <cellStyle name="통_출장계획서_새벽시장8.26xls_도금 열처리 주단조 평가품의(040329)" xfId="31954"/>
    <cellStyle name="통_출장계획서_새벽시장8.26xls_도금 열처리 주단조 평가품의(040329)_도금 열처리 주단조 평가품의(040329)" xfId="31955"/>
    <cellStyle name="통_출장계획서_새벽시장8.26xls_도금 열처리 주단조 평가품의(040329)업체" xfId="31956"/>
    <cellStyle name="통_출장계획서_새벽시장8.26xls_열처리결과품의(031017)개발" xfId="31957"/>
    <cellStyle name="통_출장계획서_새벽시장8.26xls_열처리결과품의(031017)개발_도금 열처리 주단조 평가품의(040329)" xfId="31958"/>
    <cellStyle name="통_출장계획서_새벽시장8.26xls_용접업종 평가결과품의(040510)" xfId="31959"/>
    <cellStyle name="통_출장계획서_새벽시장8.26xls_용접업종 평가결과품의(040510)_용접업종 평가결과품의(040510)" xfId="31960"/>
    <cellStyle name="통_출장계획서_새벽시장8.26xls_용접업종 평가결과품의(040510)_용접업종 평가결과품의(040510)(1)" xfId="31961"/>
    <cellStyle name="통_출장계획서_새벽시장8.26xls_용접업종 평가결과품의(040510)_주단조용접업종 평가결과품의(040510)(1)" xfId="31962"/>
    <cellStyle name="통_출장계획서_새벽시장8.26xls_주단조 업종 평가결과품의(040407)" xfId="31963"/>
    <cellStyle name="통_출장계획서_새벽시장8.26xls_주단조 업종 평가결과품의(040407)_용접업종 평가결과품의(040510)" xfId="31964"/>
    <cellStyle name="통_출장계획서_새벽시장8.26xls_주단조 업종 평가결과품의(040407)_용접업종 평가결과품의(040510)(1)" xfId="31965"/>
    <cellStyle name="통_출장계획서_새벽시장8.26xls_주단조 업종 평가결과품의(040407)_주단조용접업종 평가결과품의(040510)(1)" xfId="31966"/>
    <cellStyle name="통_출장계획서_새벽시장8.26xls_주단조 업종 평가결과품의(040416)(1)" xfId="31967"/>
    <cellStyle name="통_출장계획서_새벽시장8.26xls_주단조 업종 평가결과품의(040416)(1)_용접업종 평가결과품의(040510)" xfId="31968"/>
    <cellStyle name="통_출장계획서_새벽시장8.26xls_주단조 업종 평가결과품의(040416)(1)_용접업종 평가결과품의(040510)(1)" xfId="31969"/>
    <cellStyle name="통_출장계획서_새벽시장8.26xls_주단조 업종 평가결과품의(040416)(1)_주단조용접업종 평가결과품의(040510)(1)" xfId="31970"/>
    <cellStyle name="통_출장계획서_새벽시장8.26xls_최신-SQ인증업체현황1343사(03년평가완료031229수정)" xfId="31971"/>
    <cellStyle name="통_출장계획서_새벽시장8.26xls_최신-SQ인증업체현황1343사(03년평가완료031229수정)_용접업종 평가결과품의(040510)" xfId="31972"/>
    <cellStyle name="통_출장계획서_새벽시장8.26xls_최신-SQ인증업체현황1343사(03년평가완료031229수정)_용접업종 평가결과품의(040510)(1)" xfId="31973"/>
    <cellStyle name="통_출장계획서_새벽시장8.26xls_최신-SQ인증업체현황1343사(03년평가완료031229수정)_주단조용접업종 평가결과품의(040510)(1)" xfId="31974"/>
    <cellStyle name="통_출장계획서_새벽시장9.16" xfId="31975"/>
    <cellStyle name="통_출장계획서_새벽시장9.16_도금 열처리 주단조 평가품의(040329)" xfId="31976"/>
    <cellStyle name="통_출장계획서_새벽시장9.16_도금 열처리 주단조 평가품의(040329)_도금 열처리 주단조 평가품의(040329)" xfId="31977"/>
    <cellStyle name="통_출장계획서_새벽시장9.16_도금 열처리 주단조 평가품의(040329)업체" xfId="31978"/>
    <cellStyle name="통_출장계획서_새벽시장9.16_열처리결과품의(031017)개발" xfId="31979"/>
    <cellStyle name="통_출장계획서_새벽시장9.16_열처리결과품의(031017)개발_도금 열처리 주단조 평가품의(040329)" xfId="31980"/>
    <cellStyle name="통_출장계획서_새벽시장9.16_용접업종 평가결과품의(040510)" xfId="31981"/>
    <cellStyle name="통_출장계획서_새벽시장9.16_용접업종 평가결과품의(040510)_용접업종 평가결과품의(040510)" xfId="31982"/>
    <cellStyle name="통_출장계획서_새벽시장9.16_용접업종 평가결과품의(040510)_용접업종 평가결과품의(040510)(1)" xfId="31983"/>
    <cellStyle name="통_출장계획서_새벽시장9.16_용접업종 평가결과품의(040510)_주단조용접업종 평가결과품의(040510)(1)" xfId="31984"/>
    <cellStyle name="통_출장계획서_새벽시장9.16_주단조 업종 평가결과품의(040407)" xfId="31985"/>
    <cellStyle name="통_출장계획서_새벽시장9.16_주단조 업종 평가결과품의(040407)_용접업종 평가결과품의(040510)" xfId="31986"/>
    <cellStyle name="통_출장계획서_새벽시장9.16_주단조 업종 평가결과품의(040407)_용접업종 평가결과품의(040510)(1)" xfId="31987"/>
    <cellStyle name="통_출장계획서_새벽시장9.16_주단조 업종 평가결과품의(040407)_주단조용접업종 평가결과품의(040510)(1)" xfId="31988"/>
    <cellStyle name="통_출장계획서_새벽시장9.16_주단조 업종 평가결과품의(040416)(1)" xfId="31989"/>
    <cellStyle name="통_출장계획서_새벽시장9.16_주단조 업종 평가결과품의(040416)(1)_용접업종 평가결과품의(040510)" xfId="31990"/>
    <cellStyle name="통_출장계획서_새벽시장9.16_주단조 업종 평가결과품의(040416)(1)_용접업종 평가결과품의(040510)(1)" xfId="31991"/>
    <cellStyle name="통_출장계획서_새벽시장9.16_주단조 업종 평가결과품의(040416)(1)_주단조용접업종 평가결과품의(040510)(1)" xfId="31992"/>
    <cellStyle name="통_출장계획서_새벽시장9.16_최신-SQ인증업체현황1343사(03년평가완료031229수정)" xfId="31993"/>
    <cellStyle name="통_출장계획서_새벽시장9.16_최신-SQ인증업체현황1343사(03년평가완료031229수정)_용접업종 평가결과품의(040510)" xfId="31994"/>
    <cellStyle name="통_출장계획서_새벽시장9.16_최신-SQ인증업체현황1343사(03년평가완료031229수정)_용접업종 평가결과품의(040510)(1)" xfId="31995"/>
    <cellStyle name="통_출장계획서_새벽시장9.16_최신-SQ인증업체현황1343사(03년평가완료031229수정)_주단조용접업종 평가결과품의(040510)(1)" xfId="31996"/>
    <cellStyle name="통_출장계획서_열처리결과품의(031017)개발" xfId="31997"/>
    <cellStyle name="통_출장계획서_열처리결과품의(031017)개발_도금 열처리 주단조 평가품의(040329)" xfId="31998"/>
    <cellStyle name="통_출장계획서_용접업종 평가결과품의(040510)" xfId="31999"/>
    <cellStyle name="통_출장계획서_용접업종 평가결과품의(040510)_용접업종 평가결과품의(040510)" xfId="32000"/>
    <cellStyle name="통_출장계획서_용접업종 평가결과품의(040510)_용접업종 평가결과품의(040510)(1)" xfId="32001"/>
    <cellStyle name="통_출장계획서_용접업종 평가결과품의(040510)_주단조용접업종 평가결과품의(040510)(1)" xfId="32002"/>
    <cellStyle name="통_출장계획서_주단조 업종 평가결과품의(040407)" xfId="32003"/>
    <cellStyle name="통_출장계획서_주단조 업종 평가결과품의(040407)_용접업종 평가결과품의(040510)" xfId="32004"/>
    <cellStyle name="통_출장계획서_주단조 업종 평가결과품의(040407)_용접업종 평가결과품의(040510)(1)" xfId="32005"/>
    <cellStyle name="통_출장계획서_주단조 업종 평가결과품의(040407)_주단조용접업종 평가결과품의(040510)(1)" xfId="32006"/>
    <cellStyle name="통_출장계획서_주단조 업종 평가결과품의(040416)(1)" xfId="32007"/>
    <cellStyle name="통_출장계획서_주단조 업종 평가결과품의(040416)(1)_용접업종 평가결과품의(040510)" xfId="32008"/>
    <cellStyle name="통_출장계획서_주단조 업종 평가결과품의(040416)(1)_용접업종 평가결과품의(040510)(1)" xfId="32009"/>
    <cellStyle name="통_출장계획서_주단조 업종 평가결과품의(040416)(1)_주단조용접업종 평가결과품의(040510)(1)" xfId="32010"/>
    <cellStyle name="통_출장계획서_최신-SQ인증업체현황1343사(03년평가완료031229수정)" xfId="32011"/>
    <cellStyle name="통_출장계획서_최신-SQ인증업체현황1343사(03년평가완료031229수정)_용접업종 평가결과품의(040510)" xfId="32012"/>
    <cellStyle name="통_출장계획서_최신-SQ인증업체현황1343사(03년평가완료031229수정)_용접업종 평가결과품의(040510)(1)" xfId="32013"/>
    <cellStyle name="통_출장계획서_최신-SQ인증업체현황1343사(03년평가완료031229수정)_주단조용접업종 평가결과품의(040510)(1)" xfId="32014"/>
    <cellStyle name="통화 [" xfId="32015"/>
    <cellStyle name="통화 [0] 2" xfId="32017"/>
    <cellStyle name="통화 [0] 2 2" xfId="32018"/>
    <cellStyle name="팒" xfId="32020"/>
    <cellStyle name="팒 2" xfId="32021"/>
    <cellStyle name="팹繫_1-3墩 " xfId="32022"/>
    <cellStyle name="퍼센트" xfId="32025"/>
    <cellStyle name="퍼센트 2" xfId="32026"/>
    <cellStyle name="퍼센트 2 2" xfId="32027"/>
    <cellStyle name="퍼센트 3" xfId="32028"/>
    <cellStyle name="표" xfId="32029"/>
    <cellStyle name="표_ROTATION 유동" xfId="32030"/>
    <cellStyle name="표_ROTATION 유동_도금 열처리 주단조 평가품의(040329)" xfId="32031"/>
    <cellStyle name="표_ROTATION 유동_도금 열처리 주단조 평가품의(040329)_도금 열처리 주단조 평가품의(040329)" xfId="32032"/>
    <cellStyle name="표_ROTATION 유동_도금 열처리 주단조 평가품의(040329)업체" xfId="32033"/>
    <cellStyle name="표_ROTATION 유동_열처리결과품의(031017)개발" xfId="32034"/>
    <cellStyle name="표_ROTATION 유동_열처리결과품의(031017)개발_도금 열처리 주단조 평가품의(040329)" xfId="32035"/>
    <cellStyle name="표_ROTATION 유동_용접업종 평가결과품의(040510)" xfId="32036"/>
    <cellStyle name="표_ROTATION 유동_용접업종 평가결과품의(040510)_용접업종 평가결과품의(040510)" xfId="32037"/>
    <cellStyle name="표_ROTATION 유동_용접업종 평가결과품의(040510)_용접업종 평가결과품의(040510)(1)" xfId="32038"/>
    <cellStyle name="표_ROTATION 유동_용접업종 평가결과품의(040510)_주단조용접업종 평가결과품의(040510)(1)" xfId="32039"/>
    <cellStyle name="표_ROTATION 유동_주단조 업종 평가결과품의(040407)" xfId="32040"/>
    <cellStyle name="표_ROTATION 유동_주단조 업종 평가결과품의(040407)_용접업종 평가결과품의(040510)" xfId="32041"/>
    <cellStyle name="표_ROTATION 유동_주단조 업종 평가결과품의(040407)_용접업종 평가결과품의(040510)(1)" xfId="32042"/>
    <cellStyle name="표_ROTATION 유동_주단조 업종 평가결과품의(040407)_주단조용접업종 평가결과품의(040510)(1)" xfId="32043"/>
    <cellStyle name="표_ROTATION 유동_주단조 업종 평가결과품의(040416)(1)" xfId="32044"/>
    <cellStyle name="표_ROTATION 유동_주단조 업종 평가결과품의(040416)(1)_용접업종 평가결과품의(040510)" xfId="32045"/>
    <cellStyle name="표_ROTATION 유동_주단조 업종 평가결과품의(040416)(1)_용접업종 평가결과품의(040510)(1)" xfId="32046"/>
    <cellStyle name="표_ROTATION 유동_주단조 업종 평가결과품의(040416)(1)_주단조용접업종 평가결과품의(040510)(1)" xfId="32047"/>
    <cellStyle name="표_ROTATION 유동_최신-SQ인증업체현황1343사(03년평가완료031229수정)" xfId="32048"/>
    <cellStyle name="표_ROTATION 유동_최신-SQ인증업체현황1343사(03년평가완료031229수정)_용접업종 평가결과품의(040510)" xfId="32049"/>
    <cellStyle name="표_ROTATION 유동_최신-SQ인증업체현황1343사(03년평가완료031229수정)_용접업종 평가결과품의(040510)(1)" xfId="32050"/>
    <cellStyle name="표_ROTATION 유동_최신-SQ인증업체현황1343사(03년평가완료031229수정)_주단조용접업종 평가결과품의(040510)(1)" xfId="32051"/>
    <cellStyle name="표_SLIDE 폭" xfId="32052"/>
    <cellStyle name="표_SLIDE 폭_도금 열처리 주단조 평가품의(040329)" xfId="32053"/>
    <cellStyle name="표_SLIDE 폭_도금 열처리 주단조 평가품의(040329)_도금 열처리 주단조 평가품의(040329)" xfId="32054"/>
    <cellStyle name="표_SLIDE 폭_도금 열처리 주단조 평가품의(040329)업체" xfId="32055"/>
    <cellStyle name="표_SLIDE 폭_열처리결과품의(031017)개발" xfId="32056"/>
    <cellStyle name="표_SLIDE 폭_열처리결과품의(031017)개발_도금 열처리 주단조 평가품의(040329)" xfId="32057"/>
    <cellStyle name="표_SLIDE 폭_용접업종 평가결과품의(040510)" xfId="32058"/>
    <cellStyle name="표_SLIDE 폭_용접업종 평가결과품의(040510)_용접업종 평가결과품의(040510)" xfId="32059"/>
    <cellStyle name="표_SLIDE 폭_용접업종 평가결과품의(040510)_용접업종 평가결과품의(040510)(1)" xfId="32060"/>
    <cellStyle name="표_SLIDE 폭_용접업종 평가결과품의(040510)_주단조용접업종 평가결과품의(040510)(1)" xfId="32061"/>
    <cellStyle name="표_SLIDE 폭_주단조 업종 평가결과품의(040407)" xfId="32062"/>
    <cellStyle name="표_SLIDE 폭_주단조 업종 평가결과품의(040407)_용접업종 평가결과품의(040510)" xfId="32063"/>
    <cellStyle name="표_SLIDE 폭_주단조 업종 평가결과품의(040407)_용접업종 평가결과품의(040510)(1)" xfId="32064"/>
    <cellStyle name="표_SLIDE 폭_주단조 업종 평가결과품의(040407)_주단조용접업종 평가결과품의(040510)(1)" xfId="32065"/>
    <cellStyle name="표_SLIDE 폭_주단조 업종 평가결과품의(040416)(1)" xfId="32066"/>
    <cellStyle name="표_SLIDE 폭_주단조 업종 평가결과품의(040416)(1)_용접업종 평가결과품의(040510)" xfId="32067"/>
    <cellStyle name="표_SLIDE 폭_주단조 업종 평가결과품의(040416)(1)_용접업종 평가결과품의(040510)(1)" xfId="32068"/>
    <cellStyle name="표_SLIDE 폭_주단조 업종 평가결과품의(040416)(1)_주단조용접업종 평가결과품의(040510)(1)" xfId="32069"/>
    <cellStyle name="표_SLIDE 폭_최신-SQ인증업체현황1343사(03년평가완료031229수정)" xfId="32070"/>
    <cellStyle name="표_SLIDE 폭_최신-SQ인증업체현황1343사(03년평가완료031229수정)_용접업종 평가결과품의(040510)" xfId="32071"/>
    <cellStyle name="표_SLIDE 폭_최신-SQ인증업체현황1343사(03년평가완료031229수정)_용접업종 평가결과품의(040510)(1)" xfId="32072"/>
    <cellStyle name="표_SLIDE 폭_최신-SQ인증업체현황1343사(03년평가완료031229수정)_주단조용접업종 평가결과품의(040510)(1)" xfId="32073"/>
    <cellStyle name="표_도금 열처리 주단조 평가품의(040329)" xfId="32074"/>
    <cellStyle name="표_도금 열처리 주단조 평가품의(040329)_도금 열처리 주단조 평가품의(040329)" xfId="32075"/>
    <cellStyle name="표_도금 열처리 주단조 평가품의(040329)업체" xfId="32076"/>
    <cellStyle name="표_사전회의(1208)" xfId="32077"/>
    <cellStyle name="표_사전회의(1208)_ROTATION 유동" xfId="32078"/>
    <cellStyle name="표_사전회의(1208)_ROTATION 유동_도금 열처리 주단조 평가품의(040329)" xfId="32079"/>
    <cellStyle name="표_사전회의(1208)_ROTATION 유동_도금 열처리 주단조 평가품의(040329)_도금 열처리 주단조 평가품의(040329)" xfId="32080"/>
    <cellStyle name="표_사전회의(1208)_ROTATION 유동_도금 열처리 주단조 평가품의(040329)업체" xfId="32081"/>
    <cellStyle name="표_사전회의(1208)_ROTATION 유동_열처리결과품의(031017)개발" xfId="32082"/>
    <cellStyle name="표_사전회의(1208)_ROTATION 유동_열처리결과품의(031017)개발_도금 열처리 주단조 평가품의(040329)" xfId="32083"/>
    <cellStyle name="표_사전회의(1208)_ROTATION 유동_용접업종 평가결과품의(040510)" xfId="32084"/>
    <cellStyle name="표_사전회의(1208)_ROTATION 유동_용접업종 평가결과품의(040510)_용접업종 평가결과품의(040510)" xfId="32085"/>
    <cellStyle name="표_사전회의(1208)_ROTATION 유동_용접업종 평가결과품의(040510)_용접업종 평가결과품의(040510)(1)" xfId="32086"/>
    <cellStyle name="표_사전회의(1208)_ROTATION 유동_용접업종 평가결과품의(040510)_주단조용접업종 평가결과품의(040510)(1)" xfId="32087"/>
    <cellStyle name="표_사전회의(1208)_ROTATION 유동_주단조 업종 평가결과품의(040407)" xfId="32088"/>
    <cellStyle name="표_사전회의(1208)_ROTATION 유동_주단조 업종 평가결과품의(040407)_용접업종 평가결과품의(040510)" xfId="32089"/>
    <cellStyle name="표_사전회의(1208)_ROTATION 유동_주단조 업종 평가결과품의(040407)_용접업종 평가결과품의(040510)(1)" xfId="32090"/>
    <cellStyle name="표_사전회의(1208)_ROTATION 유동_주단조 업종 평가결과품의(040407)_주단조용접업종 평가결과품의(040510)(1)" xfId="32091"/>
    <cellStyle name="표_사전회의(1208)_ROTATION 유동_주단조 업종 평가결과품의(040416)(1)" xfId="32092"/>
    <cellStyle name="표_사전회의(1208)_ROTATION 유동_주단조 업종 평가결과품의(040416)(1)_용접업종 평가결과품의(040510)" xfId="32093"/>
    <cellStyle name="표_사전회의(1208)_ROTATION 유동_주단조 업종 평가결과품의(040416)(1)_용접업종 평가결과품의(040510)(1)" xfId="32094"/>
    <cellStyle name="표_사전회의(1208)_ROTATION 유동_주단조 업종 평가결과품의(040416)(1)_주단조용접업종 평가결과품의(040510)(1)" xfId="32095"/>
    <cellStyle name="표_사전회의(1208)_ROTATION 유동_최신-SQ인증업체현황1343사(03년평가완료031229수정)" xfId="32096"/>
    <cellStyle name="표_사전회의(1208)_ROTATION 유동_최신-SQ인증업체현황1343사(03년평가완료031229수정)_용접업종 평가결과품의(040510)" xfId="32097"/>
    <cellStyle name="표_사전회의(1208)_ROTATION 유동_최신-SQ인증업체현황1343사(03년평가완료031229수정)_용접업종 평가결과품의(040510)(1)" xfId="32098"/>
    <cellStyle name="표_사전회의(1208)_ROTATION 유동_최신-SQ인증업체현황1343사(03년평가완료031229수정)_주단조용접업종 평가결과품의(040510)(1)" xfId="32099"/>
    <cellStyle name="표_사전회의(1208)_SLIDE 폭" xfId="32100"/>
    <cellStyle name="표_사전회의(1208)_SLIDE 폭_도금 열처리 주단조 평가품의(040329)" xfId="32101"/>
    <cellStyle name="표_사전회의(1208)_SLIDE 폭_도금 열처리 주단조 평가품의(040329)_도금 열처리 주단조 평가품의(040329)" xfId="32102"/>
    <cellStyle name="표_사전회의(1208)_SLIDE 폭_도금 열처리 주단조 평가품의(040329)업체" xfId="32103"/>
    <cellStyle name="표_사전회의(1208)_SLIDE 폭_열처리결과품의(031017)개발" xfId="32104"/>
    <cellStyle name="표_사전회의(1208)_SLIDE 폭_열처리결과품의(031017)개발_도금 열처리 주단조 평가품의(040329)" xfId="32105"/>
    <cellStyle name="표_사전회의(1208)_SLIDE 폭_용접업종 평가결과품의(040510)" xfId="32106"/>
    <cellStyle name="표_사전회의(1208)_SLIDE 폭_용접업종 평가결과품의(040510)_용접업종 평가결과품의(040510)" xfId="32107"/>
    <cellStyle name="표_사전회의(1208)_SLIDE 폭_용접업종 평가결과품의(040510)_용접업종 평가결과품의(040510)(1)" xfId="32108"/>
    <cellStyle name="표_사전회의(1208)_SLIDE 폭_용접업종 평가결과품의(040510)_주단조용접업종 평가결과품의(040510)(1)" xfId="32109"/>
    <cellStyle name="표_사전회의(1208)_SLIDE 폭_주단조 업종 평가결과품의(040407)" xfId="32110"/>
    <cellStyle name="표_사전회의(1208)_SLIDE 폭_주단조 업종 평가결과품의(040407)_용접업종 평가결과품의(040510)" xfId="32111"/>
    <cellStyle name="표_사전회의(1208)_SLIDE 폭_주단조 업종 평가결과품의(040407)_용접업종 평가결과품의(040510)(1)" xfId="32112"/>
    <cellStyle name="표_사전회의(1208)_SLIDE 폭_주단조 업종 평가결과품의(040407)_주단조용접업종 평가결과품의(040510)(1)" xfId="32113"/>
    <cellStyle name="표_사전회의(1208)_SLIDE 폭_주단조 업종 평가결과품의(040416)(1)" xfId="32114"/>
    <cellStyle name="표_사전회의(1208)_SLIDE 폭_주단조 업종 평가결과품의(040416)(1)_용접업종 평가결과품의(040510)" xfId="32115"/>
    <cellStyle name="표_사전회의(1208)_SLIDE 폭_주단조 업종 평가결과품의(040416)(1)_용접업종 평가결과품의(040510)(1)" xfId="32116"/>
    <cellStyle name="표_사전회의(1208)_SLIDE 폭_주단조 업종 평가결과품의(040416)(1)_주단조용접업종 평가결과품의(040510)(1)" xfId="32117"/>
    <cellStyle name="표_사전회의(1208)_SLIDE 폭_최신-SQ인증업체현황1343사(03년평가완료031229수정)" xfId="32118"/>
    <cellStyle name="표_사전회의(1208)_SLIDE 폭_최신-SQ인증업체현황1343사(03년평가완료031229수정)_용접업종 평가결과품의(040510)" xfId="32119"/>
    <cellStyle name="표_사전회의(1208)_SLIDE 폭_최신-SQ인증업체현황1343사(03년평가완료031229수정)_용접업종 평가결과품의(040510)(1)" xfId="32120"/>
    <cellStyle name="표_사전회의(1208)_SLIDE 폭_최신-SQ인증업체현황1343사(03년평가완료031229수정)_주단조용접업종 평가결과품의(040510)(1)" xfId="32121"/>
    <cellStyle name="표_사전회의(1208)_도금 열처리 주단조 평가품의(040329)" xfId="32122"/>
    <cellStyle name="표_사전회의(1208)_도금 열처리 주단조 평가품의(040329)_도금 열처리 주단조 평가품의(040329)" xfId="32123"/>
    <cellStyle name="표_사전회의(1208)_도금 열처리 주단조 평가품의(040329)업체" xfId="32124"/>
    <cellStyle name="표_사전회의(1208)_새벽시장1" xfId="32125"/>
    <cellStyle name="표_사전회의(1208)_새벽시장1_도금 열처리 주단조 평가품의(040329)" xfId="32126"/>
    <cellStyle name="표_사전회의(1208)_새벽시장1_도금 열처리 주단조 평가품의(040329)_도금 열처리 주단조 평가품의(040329)" xfId="32127"/>
    <cellStyle name="표_사전회의(1208)_새벽시장1_도금 열처리 주단조 평가품의(040329)업체" xfId="32128"/>
    <cellStyle name="표_사전회의(1208)_새벽시장1_열처리결과품의(031017)개발" xfId="32129"/>
    <cellStyle name="표_사전회의(1208)_새벽시장1_열처리결과품의(031017)개발_도금 열처리 주단조 평가품의(040329)" xfId="32130"/>
    <cellStyle name="표_사전회의(1208)_새벽시장1_용접업종 평가결과품의(040510)" xfId="32131"/>
    <cellStyle name="표_사전회의(1208)_새벽시장1_용접업종 평가결과품의(040510)_용접업종 평가결과품의(040510)" xfId="32132"/>
    <cellStyle name="표_사전회의(1208)_새벽시장1_용접업종 평가결과품의(040510)_용접업종 평가결과품의(040510)(1)" xfId="32133"/>
    <cellStyle name="표_사전회의(1208)_새벽시장1_용접업종 평가결과품의(040510)_주단조용접업종 평가결과품의(040510)(1)" xfId="32134"/>
    <cellStyle name="표_사전회의(1208)_새벽시장1_주단조 업종 평가결과품의(040407)" xfId="32135"/>
    <cellStyle name="표_사전회의(1208)_새벽시장1_주단조 업종 평가결과품의(040407)_용접업종 평가결과품의(040510)" xfId="32136"/>
    <cellStyle name="표_사전회의(1208)_새벽시장1_주단조 업종 평가결과품의(040407)_용접업종 평가결과품의(040510)(1)" xfId="32137"/>
    <cellStyle name="표_사전회의(1208)_새벽시장1_주단조 업종 평가결과품의(040407)_주단조용접업종 평가결과품의(040510)(1)" xfId="32138"/>
    <cellStyle name="표_사전회의(1208)_새벽시장1_주단조 업종 평가결과품의(040416)(1)" xfId="32139"/>
    <cellStyle name="표_사전회의(1208)_새벽시장1_주단조 업종 평가결과품의(040416)(1)_용접업종 평가결과품의(040510)" xfId="32140"/>
    <cellStyle name="표_사전회의(1208)_새벽시장1_주단조 업종 평가결과품의(040416)(1)_용접업종 평가결과품의(040510)(1)" xfId="32141"/>
    <cellStyle name="표_사전회의(1208)_새벽시장1_주단조 업종 평가결과품의(040416)(1)_주단조용접업종 평가결과품의(040510)(1)" xfId="32142"/>
    <cellStyle name="표_사전회의(1208)_새벽시장1_최신-SQ인증업체현황1343사(03년평가완료031229수정)" xfId="32143"/>
    <cellStyle name="표_사전회의(1208)_새벽시장1_최신-SQ인증업체현황1343사(03년평가완료031229수정)_용접업종 평가결과품의(040510)" xfId="32144"/>
    <cellStyle name="표_사전회의(1208)_새벽시장1_최신-SQ인증업체현황1343사(03년평가완료031229수정)_용접업종 평가결과품의(040510)(1)" xfId="32145"/>
    <cellStyle name="표_사전회의(1208)_새벽시장1_최신-SQ인증업체현황1343사(03년평가완료031229수정)_주단조용접업종 평가결과품의(040510)(1)" xfId="32146"/>
    <cellStyle name="표_사전회의(1208)_새벽시장3" xfId="32147"/>
    <cellStyle name="표_사전회의(1208)_새벽시장3_도금 열처리 주단조 평가품의(040329)" xfId="32148"/>
    <cellStyle name="표_사전회의(1208)_새벽시장3_도금 열처리 주단조 평가품의(040329)_도금 열처리 주단조 평가품의(040329)" xfId="32149"/>
    <cellStyle name="표_사전회의(1208)_새벽시장3_도금 열처리 주단조 평가품의(040329)업체" xfId="32150"/>
    <cellStyle name="표_사전회의(1208)_새벽시장3_열처리결과품의(031017)개발" xfId="32151"/>
    <cellStyle name="표_사전회의(1208)_새벽시장3_열처리결과품의(031017)개발_도금 열처리 주단조 평가품의(040329)" xfId="32152"/>
    <cellStyle name="표_사전회의(1208)_새벽시장3_용접업종 평가결과품의(040510)" xfId="32153"/>
    <cellStyle name="표_사전회의(1208)_새벽시장3_용접업종 평가결과품의(040510)_용접업종 평가결과품의(040510)" xfId="32154"/>
    <cellStyle name="표_사전회의(1208)_새벽시장3_용접업종 평가결과품의(040510)_용접업종 평가결과품의(040510)(1)" xfId="32155"/>
    <cellStyle name="표_사전회의(1208)_새벽시장3_용접업종 평가결과품의(040510)_주단조용접업종 평가결과품의(040510)(1)" xfId="32156"/>
    <cellStyle name="표_사전회의(1208)_새벽시장3_주단조 업종 평가결과품의(040407)" xfId="32157"/>
    <cellStyle name="표_사전회의(1208)_새벽시장3_주단조 업종 평가결과품의(040407)_용접업종 평가결과품의(040510)" xfId="32158"/>
    <cellStyle name="표_사전회의(1208)_새벽시장3_주단조 업종 평가결과품의(040407)_용접업종 평가결과품의(040510)(1)" xfId="32159"/>
    <cellStyle name="표_사전회의(1208)_새벽시장3_주단조 업종 평가결과품의(040407)_주단조용접업종 평가결과품의(040510)(1)" xfId="32160"/>
    <cellStyle name="표_사전회의(1208)_새벽시장3_주단조 업종 평가결과품의(040416)(1)" xfId="32161"/>
    <cellStyle name="표_사전회의(1208)_새벽시장3_주단조 업종 평가결과품의(040416)(1)_용접업종 평가결과품의(040510)" xfId="32162"/>
    <cellStyle name="표_사전회의(1208)_새벽시장3_주단조 업종 평가결과품의(040416)(1)_용접업종 평가결과품의(040510)(1)" xfId="32163"/>
    <cellStyle name="표_사전회의(1208)_새벽시장3_주단조 업종 평가결과품의(040416)(1)_주단조용접업종 평가결과품의(040510)(1)" xfId="32164"/>
    <cellStyle name="표_사전회의(1208)_새벽시장3_최신-SQ인증업체현황1343사(03년평가완료031229수정)" xfId="32165"/>
    <cellStyle name="표_사전회의(1208)_새벽시장3_최신-SQ인증업체현황1343사(03년평가완료031229수정)_용접업종 평가결과품의(040510)" xfId="32166"/>
    <cellStyle name="표_사전회의(1208)_새벽시장3_최신-SQ인증업체현황1343사(03년평가완료031229수정)_용접업종 평가결과품의(040510)(1)" xfId="32167"/>
    <cellStyle name="표_사전회의(1208)_새벽시장3_최신-SQ인증업체현황1343사(03년평가완료031229수정)_주단조용접업종 평가결과품의(040510)(1)" xfId="32168"/>
    <cellStyle name="표_사전회의(1208)_새벽시장5" xfId="32169"/>
    <cellStyle name="표_사전회의(1208)_새벽시장5_도금 열처리 주단조 평가품의(040329)" xfId="32170"/>
    <cellStyle name="표_사전회의(1208)_새벽시장5_도금 열처리 주단조 평가품의(040329)_도금 열처리 주단조 평가품의(040329)" xfId="32171"/>
    <cellStyle name="표_사전회의(1208)_새벽시장5_도금 열처리 주단조 평가품의(040329)업체" xfId="32172"/>
    <cellStyle name="표_사전회의(1208)_새벽시장5_열처리결과품의(031017)개발" xfId="32173"/>
    <cellStyle name="표_사전회의(1208)_새벽시장5_열처리결과품의(031017)개발_도금 열처리 주단조 평가품의(040329)" xfId="32174"/>
    <cellStyle name="표_사전회의(1208)_새벽시장5_용접업종 평가결과품의(040510)" xfId="32175"/>
    <cellStyle name="표_사전회의(1208)_새벽시장5_용접업종 평가결과품의(040510)_용접업종 평가결과품의(040510)" xfId="32176"/>
    <cellStyle name="표_사전회의(1208)_새벽시장5_용접업종 평가결과품의(040510)_용접업종 평가결과품의(040510)(1)" xfId="32177"/>
    <cellStyle name="표_사전회의(1208)_새벽시장5_용접업종 평가결과품의(040510)_주단조용접업종 평가결과품의(040510)(1)" xfId="32178"/>
    <cellStyle name="표_사전회의(1208)_새벽시장5_주단조 업종 평가결과품의(040407)" xfId="32179"/>
    <cellStyle name="표_사전회의(1208)_새벽시장5_주단조 업종 평가결과품의(040407)_용접업종 평가결과품의(040510)" xfId="32180"/>
    <cellStyle name="표_사전회의(1208)_새벽시장5_주단조 업종 평가결과품의(040407)_용접업종 평가결과품의(040510)(1)" xfId="32181"/>
    <cellStyle name="표_사전회의(1208)_새벽시장5_주단조 업종 평가결과품의(040407)_주단조용접업종 평가결과품의(040510)(1)" xfId="32182"/>
    <cellStyle name="표_사전회의(1208)_새벽시장5_주단조 업종 평가결과품의(040416)(1)" xfId="32183"/>
    <cellStyle name="표_사전회의(1208)_새벽시장5_주단조 업종 평가결과품의(040416)(1)_용접업종 평가결과품의(040510)" xfId="32184"/>
    <cellStyle name="표_사전회의(1208)_새벽시장5_주단조 업종 평가결과품의(040416)(1)_용접업종 평가결과품의(040510)(1)" xfId="32185"/>
    <cellStyle name="표_사전회의(1208)_새벽시장5_주단조 업종 평가결과품의(040416)(1)_주단조용접업종 평가결과품의(040510)(1)" xfId="32186"/>
    <cellStyle name="표_사전회의(1208)_새벽시장5_최신-SQ인증업체현황1343사(03년평가완료031229수정)" xfId="32187"/>
    <cellStyle name="표_사전회의(1208)_새벽시장5_최신-SQ인증업체현황1343사(03년평가완료031229수정)_용접업종 평가결과품의(040510)" xfId="32188"/>
    <cellStyle name="표_사전회의(1208)_새벽시장5_최신-SQ인증업체현황1343사(03년평가완료031229수정)_용접업종 평가결과품의(040510)(1)" xfId="32189"/>
    <cellStyle name="표_사전회의(1208)_새벽시장5_최신-SQ인증업체현황1343사(03년평가완료031229수정)_주단조용접업종 평가결과품의(040510)(1)" xfId="32190"/>
    <cellStyle name="표_사전회의(1208)_새벽시장7" xfId="32191"/>
    <cellStyle name="표_사전회의(1208)_새벽시장7_도금 열처리 주단조 평가품의(040329)" xfId="32192"/>
    <cellStyle name="표_사전회의(1208)_새벽시장7_도금 열처리 주단조 평가품의(040329)_도금 열처리 주단조 평가품의(040329)" xfId="32193"/>
    <cellStyle name="표_사전회의(1208)_새벽시장7_도금 열처리 주단조 평가품의(040329)업체" xfId="32194"/>
    <cellStyle name="표_사전회의(1208)_새벽시장7_열처리결과품의(031017)개발" xfId="32195"/>
    <cellStyle name="표_사전회의(1208)_새벽시장7_열처리결과품의(031017)개발_도금 열처리 주단조 평가품의(040329)" xfId="32196"/>
    <cellStyle name="표_사전회의(1208)_새벽시장7_용접업종 평가결과품의(040510)" xfId="32197"/>
    <cellStyle name="표_사전회의(1208)_새벽시장7_용접업종 평가결과품의(040510)_용접업종 평가결과품의(040510)" xfId="32198"/>
    <cellStyle name="표_사전회의(1208)_새벽시장7_용접업종 평가결과품의(040510)_용접업종 평가결과품의(040510)(1)" xfId="32199"/>
    <cellStyle name="표_사전회의(1208)_새벽시장7_용접업종 평가결과품의(040510)_주단조용접업종 평가결과품의(040510)(1)" xfId="32200"/>
    <cellStyle name="표_사전회의(1208)_새벽시장7_주단조 업종 평가결과품의(040407)" xfId="32201"/>
    <cellStyle name="표_사전회의(1208)_새벽시장7_주단조 업종 평가결과품의(040407)_용접업종 평가결과품의(040510)" xfId="32202"/>
    <cellStyle name="표_사전회의(1208)_새벽시장7_주단조 업종 평가결과품의(040407)_용접업종 평가결과품의(040510)(1)" xfId="32203"/>
    <cellStyle name="표_사전회의(1208)_새벽시장7_주단조 업종 평가결과품의(040407)_주단조용접업종 평가결과품의(040510)(1)" xfId="32204"/>
    <cellStyle name="표_사전회의(1208)_새벽시장7_주단조 업종 평가결과품의(040416)(1)" xfId="32205"/>
    <cellStyle name="표_사전회의(1208)_새벽시장7_주단조 업종 평가결과품의(040416)(1)_용접업종 평가결과품의(040510)" xfId="32206"/>
    <cellStyle name="표_사전회의(1208)_새벽시장7_주단조 업종 평가결과품의(040416)(1)_용접업종 평가결과품의(040510)(1)" xfId="32207"/>
    <cellStyle name="표_사전회의(1208)_새벽시장7_주단조 업종 평가결과품의(040416)(1)_주단조용접업종 평가결과품의(040510)(1)" xfId="32208"/>
    <cellStyle name="표_사전회의(1208)_새벽시장7_최신-SQ인증업체현황1343사(03년평가완료031229수정)" xfId="32209"/>
    <cellStyle name="표_사전회의(1208)_새벽시장7_최신-SQ인증업체현황1343사(03년평가완료031229수정)_용접업종 평가결과품의(040510)" xfId="32210"/>
    <cellStyle name="표_사전회의(1208)_새벽시장7_최신-SQ인증업체현황1343사(03년평가완료031229수정)_용접업종 평가결과품의(040510)(1)" xfId="32211"/>
    <cellStyle name="표_사전회의(1208)_새벽시장7_최신-SQ인증업체현황1343사(03년평가완료031229수정)_주단조용접업종 평가결과품의(040510)(1)" xfId="32212"/>
    <cellStyle name="표_사전회의(1208)_새벽시장8.10xls" xfId="32213"/>
    <cellStyle name="표_사전회의(1208)_새벽시장8.10xls_도금 열처리 주단조 평가품의(040329)" xfId="32214"/>
    <cellStyle name="표_사전회의(1208)_새벽시장8.10xls_도금 열처리 주단조 평가품의(040329)_도금 열처리 주단조 평가품의(040329)" xfId="32215"/>
    <cellStyle name="표_사전회의(1208)_새벽시장8.10xls_도금 열처리 주단조 평가품의(040329)업체" xfId="32216"/>
    <cellStyle name="표_사전회의(1208)_새벽시장8.10xls_열처리결과품의(031017)개발" xfId="32217"/>
    <cellStyle name="표_사전회의(1208)_새벽시장8.10xls_열처리결과품의(031017)개발_도금 열처리 주단조 평가품의(040329)" xfId="32218"/>
    <cellStyle name="표_사전회의(1208)_새벽시장8.10xls_용접업종 평가결과품의(040510)" xfId="32219"/>
    <cellStyle name="표_사전회의(1208)_새벽시장8.10xls_용접업종 평가결과품의(040510)_용접업종 평가결과품의(040510)" xfId="32220"/>
    <cellStyle name="표_사전회의(1208)_새벽시장8.10xls_용접업종 평가결과품의(040510)_용접업종 평가결과품의(040510)(1)" xfId="32221"/>
    <cellStyle name="표_사전회의(1208)_새벽시장8.10xls_용접업종 평가결과품의(040510)_주단조용접업종 평가결과품의(040510)(1)" xfId="32222"/>
    <cellStyle name="표_사전회의(1208)_새벽시장8.10xls_주단조 업종 평가결과품의(040407)" xfId="32223"/>
    <cellStyle name="표_사전회의(1208)_새벽시장8.10xls_주단조 업종 평가결과품의(040407)_용접업종 평가결과품의(040510)" xfId="32224"/>
    <cellStyle name="표_사전회의(1208)_새벽시장8.10xls_주단조 업종 평가결과품의(040407)_용접업종 평가결과품의(040510)(1)" xfId="32225"/>
    <cellStyle name="표_사전회의(1208)_새벽시장8.10xls_주단조 업종 평가결과품의(040407)_주단조용접업종 평가결과품의(040510)(1)" xfId="32226"/>
    <cellStyle name="표_사전회의(1208)_새벽시장8.10xls_주단조 업종 평가결과품의(040416)(1)" xfId="32227"/>
    <cellStyle name="표_사전회의(1208)_새벽시장8.10xls_주단조 업종 평가결과품의(040416)(1)_용접업종 평가결과품의(040510)" xfId="32228"/>
    <cellStyle name="표_사전회의(1208)_새벽시장8.10xls_주단조 업종 평가결과품의(040416)(1)_용접업종 평가결과품의(040510)(1)" xfId="32229"/>
    <cellStyle name="표_사전회의(1208)_새벽시장8.10xls_주단조 업종 평가결과품의(040416)(1)_주단조용접업종 평가결과품의(040510)(1)" xfId="32230"/>
    <cellStyle name="표_사전회의(1208)_새벽시장8.10xls_최신-SQ인증업체현황1343사(03년평가완료031229수정)" xfId="32231"/>
    <cellStyle name="표_사전회의(1208)_새벽시장8.10xls_최신-SQ인증업체현황1343사(03년평가완료031229수정)_용접업종 평가결과품의(040510)" xfId="32232"/>
    <cellStyle name="표_사전회의(1208)_새벽시장8.10xls_최신-SQ인증업체현황1343사(03년평가완료031229수정)_용접업종 평가결과품의(040510)(1)" xfId="32233"/>
    <cellStyle name="표_사전회의(1208)_새벽시장8.10xls_최신-SQ인증업체현황1343사(03년평가완료031229수정)_주단조용접업종 평가결과품의(040510)(1)" xfId="32234"/>
    <cellStyle name="표_사전회의(1208)_새벽시장8.26xls" xfId="32235"/>
    <cellStyle name="표_사전회의(1208)_새벽시장8.26xls_도금 열처리 주단조 평가품의(040329)" xfId="32236"/>
    <cellStyle name="표_사전회의(1208)_새벽시장8.26xls_도금 열처리 주단조 평가품의(040329)_도금 열처리 주단조 평가품의(040329)" xfId="32237"/>
    <cellStyle name="표_사전회의(1208)_새벽시장8.26xls_도금 열처리 주단조 평가품의(040329)업체" xfId="32238"/>
    <cellStyle name="표_사전회의(1208)_새벽시장8.26xls_열처리결과품의(031017)개발" xfId="32239"/>
    <cellStyle name="표_사전회의(1208)_새벽시장8.26xls_열처리결과품의(031017)개발_도금 열처리 주단조 평가품의(040329)" xfId="32240"/>
    <cellStyle name="표_사전회의(1208)_새벽시장8.26xls_용접업종 평가결과품의(040510)" xfId="32241"/>
    <cellStyle name="표_사전회의(1208)_새벽시장8.26xls_용접업종 평가결과품의(040510)_용접업종 평가결과품의(040510)" xfId="32242"/>
    <cellStyle name="표_사전회의(1208)_새벽시장8.26xls_용접업종 평가결과품의(040510)_용접업종 평가결과품의(040510)(1)" xfId="32243"/>
    <cellStyle name="표_사전회의(1208)_새벽시장8.26xls_용접업종 평가결과품의(040510)_주단조용접업종 평가결과품의(040510)(1)" xfId="32244"/>
    <cellStyle name="표_사전회의(1208)_새벽시장8.26xls_주단조 업종 평가결과품의(040407)" xfId="32245"/>
    <cellStyle name="표_사전회의(1208)_새벽시장8.26xls_주단조 업종 평가결과품의(040407)_용접업종 평가결과품의(040510)" xfId="32246"/>
    <cellStyle name="표_사전회의(1208)_새벽시장8.26xls_주단조 업종 평가결과품의(040407)_용접업종 평가결과품의(040510)(1)" xfId="32247"/>
    <cellStyle name="표_사전회의(1208)_새벽시장8.26xls_주단조 업종 평가결과품의(040407)_주단조용접업종 평가결과품의(040510)(1)" xfId="32248"/>
    <cellStyle name="표_사전회의(1208)_새벽시장8.26xls_주단조 업종 평가결과품의(040416)(1)" xfId="32249"/>
    <cellStyle name="표_사전회의(1208)_새벽시장8.26xls_주단조 업종 평가결과품의(040416)(1)_용접업종 평가결과품의(040510)" xfId="32250"/>
    <cellStyle name="표_사전회의(1208)_새벽시장8.26xls_주단조 업종 평가결과품의(040416)(1)_용접업종 평가결과품의(040510)(1)" xfId="32251"/>
    <cellStyle name="표_사전회의(1208)_새벽시장8.26xls_주단조 업종 평가결과품의(040416)(1)_주단조용접업종 평가결과품의(040510)(1)" xfId="32252"/>
    <cellStyle name="표_사전회의(1208)_새벽시장8.26xls_최신-SQ인증업체현황1343사(03년평가완료031229수정)" xfId="32253"/>
    <cellStyle name="표_사전회의(1208)_새벽시장8.26xls_최신-SQ인증업체현황1343사(03년평가완료031229수정)_용접업종 평가결과품의(040510)" xfId="32254"/>
    <cellStyle name="표_사전회의(1208)_새벽시장8.26xls_최신-SQ인증업체현황1343사(03년평가완료031229수정)_용접업종 평가결과품의(040510)(1)" xfId="32255"/>
    <cellStyle name="표_사전회의(1208)_새벽시장8.26xls_최신-SQ인증업체현황1343사(03년평가완료031229수정)_주단조용접업종 평가결과품의(040510)(1)" xfId="32256"/>
    <cellStyle name="표_사전회의(1208)_새벽시장9.16" xfId="32257"/>
    <cellStyle name="표_사전회의(1208)_새벽시장9.16_도금 열처리 주단조 평가품의(040329)" xfId="32258"/>
    <cellStyle name="표_사전회의(1208)_새벽시장9.16_도금 열처리 주단조 평가품의(040329)_도금 열처리 주단조 평가품의(040329)" xfId="32259"/>
    <cellStyle name="표_사전회의(1208)_새벽시장9.16_도금 열처리 주단조 평가품의(040329)업체" xfId="32260"/>
    <cellStyle name="표_사전회의(1208)_새벽시장9.16_열처리결과품의(031017)개발" xfId="32261"/>
    <cellStyle name="표_사전회의(1208)_새벽시장9.16_열처리결과품의(031017)개발_도금 열처리 주단조 평가품의(040329)" xfId="32262"/>
    <cellStyle name="표_사전회의(1208)_새벽시장9.16_용접업종 평가결과품의(040510)" xfId="32263"/>
    <cellStyle name="표_사전회의(1208)_새벽시장9.16_용접업종 평가결과품의(040510)_용접업종 평가결과품의(040510)" xfId="32264"/>
    <cellStyle name="표_사전회의(1208)_새벽시장9.16_용접업종 평가결과품의(040510)_용접업종 평가결과품의(040510)(1)" xfId="32265"/>
    <cellStyle name="표_사전회의(1208)_새벽시장9.16_용접업종 평가결과품의(040510)_주단조용접업종 평가결과품의(040510)(1)" xfId="32266"/>
    <cellStyle name="표_사전회의(1208)_새벽시장9.16_주단조 업종 평가결과품의(040407)" xfId="32267"/>
    <cellStyle name="표_사전회의(1208)_새벽시장9.16_주단조 업종 평가결과품의(040407)_용접업종 평가결과품의(040510)" xfId="32268"/>
    <cellStyle name="표_사전회의(1208)_새벽시장9.16_주단조 업종 평가결과품의(040407)_용접업종 평가결과품의(040510)(1)" xfId="32269"/>
    <cellStyle name="표_사전회의(1208)_새벽시장9.16_주단조 업종 평가결과품의(040407)_주단조용접업종 평가결과품의(040510)(1)" xfId="32270"/>
    <cellStyle name="표_사전회의(1208)_새벽시장9.16_주단조 업종 평가결과품의(040416)(1)" xfId="32271"/>
    <cellStyle name="표_사전회의(1208)_새벽시장9.16_주단조 업종 평가결과품의(040416)(1)_용접업종 평가결과품의(040510)" xfId="32272"/>
    <cellStyle name="표_사전회의(1208)_새벽시장9.16_주단조 업종 평가결과품의(040416)(1)_용접업종 평가결과품의(040510)(1)" xfId="32273"/>
    <cellStyle name="표_사전회의(1208)_새벽시장9.16_주단조 업종 평가결과품의(040416)(1)_주단조용접업종 평가결과품의(040510)(1)" xfId="32274"/>
    <cellStyle name="표_사전회의(1208)_새벽시장9.16_최신-SQ인증업체현황1343사(03년평가완료031229수정)" xfId="32275"/>
    <cellStyle name="표_사전회의(1208)_새벽시장9.16_최신-SQ인증업체현황1343사(03년평가완료031229수정)_용접업종 평가결과품의(040510)" xfId="32276"/>
    <cellStyle name="표_사전회의(1208)_새벽시장9.16_최신-SQ인증업체현황1343사(03년평가완료031229수정)_용접업종 평가결과품의(040510)(1)" xfId="32277"/>
    <cellStyle name="표_사전회의(1208)_새벽시장9.16_최신-SQ인증업체현황1343사(03년평가완료031229수정)_주단조용접업종 평가결과품의(040510)(1)" xfId="32278"/>
    <cellStyle name="표_사전회의(1208)_열처리결과품의(031017)개발" xfId="32279"/>
    <cellStyle name="표_사전회의(1208)_열처리결과품의(031017)개발_도금 열처리 주단조 평가품의(040329)" xfId="32280"/>
    <cellStyle name="표_사전회의(1208)_용접업종 평가결과품의(040510)" xfId="32281"/>
    <cellStyle name="표_사전회의(1208)_용접업종 평가결과품의(040510)_용접업종 평가결과품의(040510)" xfId="32282"/>
    <cellStyle name="표_사전회의(1208)_용접업종 평가결과품의(040510)_용접업종 평가결과품의(040510)(1)" xfId="32283"/>
    <cellStyle name="표_사전회의(1208)_용접업종 평가결과품의(040510)_주단조용접업종 평가결과품의(040510)(1)" xfId="32284"/>
    <cellStyle name="표_사전회의(1208)_주단조 업종 평가결과품의(040407)" xfId="32285"/>
    <cellStyle name="표_사전회의(1208)_주단조 업종 평가결과품의(040407)_용접업종 평가결과품의(040510)" xfId="32286"/>
    <cellStyle name="표_사전회의(1208)_주단조 업종 평가결과품의(040407)_용접업종 평가결과품의(040510)(1)" xfId="32287"/>
    <cellStyle name="표_사전회의(1208)_주단조 업종 평가결과품의(040407)_주단조용접업종 평가결과품의(040510)(1)" xfId="32288"/>
    <cellStyle name="표_사전회의(1208)_주단조 업종 평가결과품의(040416)(1)" xfId="32289"/>
    <cellStyle name="표_사전회의(1208)_주단조 업종 평가결과품의(040416)(1)_용접업종 평가결과품의(040510)" xfId="32290"/>
    <cellStyle name="표_사전회의(1208)_주단조 업종 평가결과품의(040416)(1)_용접업종 평가결과품의(040510)(1)" xfId="32291"/>
    <cellStyle name="표_사전회의(1208)_주단조 업종 평가결과품의(040416)(1)_주단조용접업종 평가결과품의(040510)(1)" xfId="32292"/>
    <cellStyle name="표_사전회의(1208)_최신-SQ인증업체현황1343사(03년평가완료031229수정)" xfId="32293"/>
    <cellStyle name="표_사전회의(1208)_최신-SQ인증업체현황1343사(03년평가완료031229수정)_용접업종 평가결과품의(040510)" xfId="32294"/>
    <cellStyle name="표_사전회의(1208)_최신-SQ인증업체현황1343사(03년평가완료031229수정)_용접업종 평가결과품의(040510)(1)" xfId="32295"/>
    <cellStyle name="표_사전회의(1208)_최신-SQ인증업체현황1343사(03년평가완료031229수정)_주단조용접업종 평가결과품의(040510)(1)" xfId="32296"/>
    <cellStyle name="표_새벽시장1" xfId="32297"/>
    <cellStyle name="표_새벽시장1_도금 열처리 주단조 평가품의(040329)" xfId="32298"/>
    <cellStyle name="표_새벽시장1_도금 열처리 주단조 평가품의(040329)_도금 열처리 주단조 평가품의(040329)" xfId="32299"/>
    <cellStyle name="표_새벽시장1_도금 열처리 주단조 평가품의(040329)업체" xfId="32300"/>
    <cellStyle name="표_새벽시장1_열처리결과품의(031017)개발" xfId="32301"/>
    <cellStyle name="표_새벽시장1_열처리결과품의(031017)개발_도금 열처리 주단조 평가품의(040329)" xfId="32302"/>
    <cellStyle name="표_새벽시장1_용접업종 평가결과품의(040510)" xfId="32303"/>
    <cellStyle name="표_새벽시장1_용접업종 평가결과품의(040510)_용접업종 평가결과품의(040510)" xfId="32304"/>
    <cellStyle name="표_새벽시장1_용접업종 평가결과품의(040510)_용접업종 평가결과품의(040510)(1)" xfId="32305"/>
    <cellStyle name="표_새벽시장1_용접업종 평가결과품의(040510)_주단조용접업종 평가결과품의(040510)(1)" xfId="32306"/>
    <cellStyle name="표_새벽시장1_주단조 업종 평가결과품의(040407)" xfId="32307"/>
    <cellStyle name="표_새벽시장1_주단조 업종 평가결과품의(040407)_용접업종 평가결과품의(040510)" xfId="32308"/>
    <cellStyle name="표_새벽시장1_주단조 업종 평가결과품의(040407)_용접업종 평가결과품의(040510)(1)" xfId="32309"/>
    <cellStyle name="표_새벽시장1_주단조 업종 평가결과품의(040407)_주단조용접업종 평가결과품의(040510)(1)" xfId="32310"/>
    <cellStyle name="표_새벽시장1_주단조 업종 평가결과품의(040416)(1)" xfId="32311"/>
    <cellStyle name="표_새벽시장1_주단조 업종 평가결과품의(040416)(1)_용접업종 평가결과품의(040510)" xfId="32312"/>
    <cellStyle name="표_새벽시장1_주단조 업종 평가결과품의(040416)(1)_용접업종 평가결과품의(040510)(1)" xfId="32313"/>
    <cellStyle name="표_새벽시장1_주단조 업종 평가결과품의(040416)(1)_주단조용접업종 평가결과품의(040510)(1)" xfId="32314"/>
    <cellStyle name="표_새벽시장1_최신-SQ인증업체현황1343사(03년평가완료031229수정)" xfId="32315"/>
    <cellStyle name="표_새벽시장1_최신-SQ인증업체현황1343사(03년평가완료031229수정)_용접업종 평가결과품의(040510)" xfId="32316"/>
    <cellStyle name="표_새벽시장1_최신-SQ인증업체현황1343사(03년평가완료031229수정)_용접업종 평가결과품의(040510)(1)" xfId="32317"/>
    <cellStyle name="표_새벽시장1_최신-SQ인증업체현황1343사(03년평가완료031229수정)_주단조용접업종 평가결과품의(040510)(1)" xfId="32318"/>
    <cellStyle name="표_새벽시장3" xfId="32319"/>
    <cellStyle name="표_새벽시장3_도금 열처리 주단조 평가품의(040329)" xfId="32320"/>
    <cellStyle name="표_새벽시장3_도금 열처리 주단조 평가품의(040329)_도금 열처리 주단조 평가품의(040329)" xfId="32321"/>
    <cellStyle name="표_새벽시장3_도금 열처리 주단조 평가품의(040329)업체" xfId="32322"/>
    <cellStyle name="표_새벽시장3_열처리결과품의(031017)개발" xfId="32323"/>
    <cellStyle name="표_새벽시장3_열처리결과품의(031017)개발_도금 열처리 주단조 평가품의(040329)" xfId="32324"/>
    <cellStyle name="표_새벽시장3_용접업종 평가결과품의(040510)" xfId="32325"/>
    <cellStyle name="표_새벽시장3_용접업종 평가결과품의(040510)_용접업종 평가결과품의(040510)" xfId="32326"/>
    <cellStyle name="표_새벽시장3_용접업종 평가결과품의(040510)_용접업종 평가결과품의(040510)(1)" xfId="32327"/>
    <cellStyle name="표_새벽시장3_용접업종 평가결과품의(040510)_주단조용접업종 평가결과품의(040510)(1)" xfId="32328"/>
    <cellStyle name="표_새벽시장3_주단조 업종 평가결과품의(040407)" xfId="32329"/>
    <cellStyle name="표_새벽시장3_주단조 업종 평가결과품의(040407)_용접업종 평가결과품의(040510)" xfId="32330"/>
    <cellStyle name="표_새벽시장3_주단조 업종 평가결과품의(040407)_용접업종 평가결과품의(040510)(1)" xfId="32331"/>
    <cellStyle name="표_새벽시장3_주단조 업종 평가결과품의(040407)_주단조용접업종 평가결과품의(040510)(1)" xfId="32332"/>
    <cellStyle name="표_새벽시장3_주단조 업종 평가결과품의(040416)(1)" xfId="32333"/>
    <cellStyle name="표_새벽시장3_주단조 업종 평가결과품의(040416)(1)_용접업종 평가결과품의(040510)" xfId="32334"/>
    <cellStyle name="표_새벽시장3_주단조 업종 평가결과품의(040416)(1)_용접업종 평가결과품의(040510)(1)" xfId="32335"/>
    <cellStyle name="표_새벽시장3_주단조 업종 평가결과품의(040416)(1)_주단조용접업종 평가결과품의(040510)(1)" xfId="32336"/>
    <cellStyle name="표_새벽시장3_최신-SQ인증업체현황1343사(03년평가완료031229수정)" xfId="32337"/>
    <cellStyle name="표_새벽시장3_최신-SQ인증업체현황1343사(03년평가완료031229수정)_용접업종 평가결과품의(040510)" xfId="32338"/>
    <cellStyle name="표_새벽시장3_최신-SQ인증업체현황1343사(03년평가완료031229수정)_용접업종 평가결과품의(040510)(1)" xfId="32339"/>
    <cellStyle name="표_새벽시장3_최신-SQ인증업체현황1343사(03년평가완료031229수정)_주단조용접업종 평가결과품의(040510)(1)" xfId="32340"/>
    <cellStyle name="표_새벽시장5" xfId="32341"/>
    <cellStyle name="표_새벽시장5_도금 열처리 주단조 평가품의(040329)" xfId="32342"/>
    <cellStyle name="표_새벽시장5_도금 열처리 주단조 평가품의(040329)_도금 열처리 주단조 평가품의(040329)" xfId="32343"/>
    <cellStyle name="표_새벽시장5_도금 열처리 주단조 평가품의(040329)업체" xfId="32344"/>
    <cellStyle name="표_새벽시장5_열처리결과품의(031017)개발" xfId="32345"/>
    <cellStyle name="표_새벽시장5_열처리결과품의(031017)개발_도금 열처리 주단조 평가품의(040329)" xfId="32346"/>
    <cellStyle name="표_새벽시장5_용접업종 평가결과품의(040510)" xfId="32347"/>
    <cellStyle name="표_새벽시장5_용접업종 평가결과품의(040510)_용접업종 평가결과품의(040510)" xfId="32348"/>
    <cellStyle name="표_새벽시장5_용접업종 평가결과품의(040510)_용접업종 평가결과품의(040510)(1)" xfId="32349"/>
    <cellStyle name="표_새벽시장5_용접업종 평가결과품의(040510)_주단조용접업종 평가결과품의(040510)(1)" xfId="32350"/>
    <cellStyle name="표_새벽시장5_주단조 업종 평가결과품의(040407)" xfId="32351"/>
    <cellStyle name="표_새벽시장5_주단조 업종 평가결과품의(040407)_용접업종 평가결과품의(040510)" xfId="32352"/>
    <cellStyle name="표_새벽시장5_주단조 업종 평가결과품의(040407)_용접업종 평가결과품의(040510)(1)" xfId="32353"/>
    <cellStyle name="표_새벽시장5_주단조 업종 평가결과품의(040407)_주단조용접업종 평가결과품의(040510)(1)" xfId="32354"/>
    <cellStyle name="표_새벽시장5_주단조 업종 평가결과품의(040416)(1)" xfId="32355"/>
    <cellStyle name="표_새벽시장5_주단조 업종 평가결과품의(040416)(1)_용접업종 평가결과품의(040510)" xfId="32356"/>
    <cellStyle name="표_새벽시장5_주단조 업종 평가결과품의(040416)(1)_용접업종 평가결과품의(040510)(1)" xfId="32357"/>
    <cellStyle name="표_새벽시장5_주단조 업종 평가결과품의(040416)(1)_주단조용접업종 평가결과품의(040510)(1)" xfId="32358"/>
    <cellStyle name="표_새벽시장5_최신-SQ인증업체현황1343사(03년평가완료031229수정)" xfId="32359"/>
    <cellStyle name="표_새벽시장5_최신-SQ인증업체현황1343사(03년평가완료031229수정)_용접업종 평가결과품의(040510)" xfId="32360"/>
    <cellStyle name="표_새벽시장5_최신-SQ인증업체현황1343사(03년평가완료031229수정)_용접업종 평가결과품의(040510)(1)" xfId="32361"/>
    <cellStyle name="표_새벽시장5_최신-SQ인증업체현황1343사(03년평가완료031229수정)_주단조용접업종 평가결과품의(040510)(1)" xfId="32362"/>
    <cellStyle name="표_새벽시장7" xfId="32363"/>
    <cellStyle name="표_새벽시장7_도금 열처리 주단조 평가품의(040329)" xfId="32364"/>
    <cellStyle name="표_새벽시장7_도금 열처리 주단조 평가품의(040329)_도금 열처리 주단조 평가품의(040329)" xfId="32365"/>
    <cellStyle name="표_새벽시장7_도금 열처리 주단조 평가품의(040329)업체" xfId="32366"/>
    <cellStyle name="표_새벽시장7_열처리결과품의(031017)개발" xfId="32367"/>
    <cellStyle name="표_새벽시장7_열처리결과품의(031017)개발_도금 열처리 주단조 평가품의(040329)" xfId="32368"/>
    <cellStyle name="표_새벽시장7_용접업종 평가결과품의(040510)" xfId="32369"/>
    <cellStyle name="표_새벽시장7_용접업종 평가결과품의(040510)_용접업종 평가결과품의(040510)" xfId="32370"/>
    <cellStyle name="표_새벽시장7_용접업종 평가결과품의(040510)_용접업종 평가결과품의(040510)(1)" xfId="32371"/>
    <cellStyle name="표_새벽시장7_용접업종 평가결과품의(040510)_주단조용접업종 평가결과품의(040510)(1)" xfId="32372"/>
    <cellStyle name="표_새벽시장7_주단조 업종 평가결과품의(040407)" xfId="32373"/>
    <cellStyle name="표_새벽시장7_주단조 업종 평가결과품의(040407)_용접업종 평가결과품의(040510)" xfId="32374"/>
    <cellStyle name="표_새벽시장7_주단조 업종 평가결과품의(040407)_용접업종 평가결과품의(040510)(1)" xfId="32375"/>
    <cellStyle name="표_새벽시장7_주단조 업종 평가결과품의(040407)_주단조용접업종 평가결과품의(040510)(1)" xfId="32376"/>
    <cellStyle name="표_새벽시장7_주단조 업종 평가결과품의(040416)(1)" xfId="32377"/>
    <cellStyle name="표_새벽시장7_주단조 업종 평가결과품의(040416)(1)_용접업종 평가결과품의(040510)" xfId="32378"/>
    <cellStyle name="표_새벽시장7_주단조 업종 평가결과품의(040416)(1)_용접업종 평가결과품의(040510)(1)" xfId="32379"/>
    <cellStyle name="표_새벽시장7_주단조 업종 평가결과품의(040416)(1)_주단조용접업종 평가결과품의(040510)(1)" xfId="32380"/>
    <cellStyle name="표_새벽시장7_최신-SQ인증업체현황1343사(03년평가완료031229수정)" xfId="32381"/>
    <cellStyle name="표_새벽시장7_최신-SQ인증업체현황1343사(03년평가완료031229수정)_용접업종 평가결과품의(040510)" xfId="32382"/>
    <cellStyle name="표_새벽시장7_최신-SQ인증업체현황1343사(03년평가완료031229수정)_용접업종 평가결과품의(040510)(1)" xfId="32383"/>
    <cellStyle name="표_새벽시장7_최신-SQ인증업체현황1343사(03년평가완료031229수정)_주단조용접업종 평가결과품의(040510)(1)" xfId="32384"/>
    <cellStyle name="표_새벽시장8.10xls" xfId="32385"/>
    <cellStyle name="표_새벽시장8.10xls_도금 열처리 주단조 평가품의(040329)" xfId="32386"/>
    <cellStyle name="표_새벽시장8.10xls_도금 열처리 주단조 평가품의(040329)_도금 열처리 주단조 평가품의(040329)" xfId="32387"/>
    <cellStyle name="표_새벽시장8.10xls_도금 열처리 주단조 평가품의(040329)업체" xfId="32388"/>
    <cellStyle name="표_새벽시장8.10xls_열처리결과품의(031017)개발" xfId="32389"/>
    <cellStyle name="표_새벽시장8.10xls_열처리결과품의(031017)개발_도금 열처리 주단조 평가품의(040329)" xfId="32390"/>
    <cellStyle name="표_새벽시장8.10xls_용접업종 평가결과품의(040510)" xfId="32391"/>
    <cellStyle name="표_새벽시장8.10xls_용접업종 평가결과품의(040510)_용접업종 평가결과품의(040510)" xfId="32392"/>
    <cellStyle name="표_새벽시장8.10xls_용접업종 평가결과품의(040510)_용접업종 평가결과품의(040510)(1)" xfId="32393"/>
    <cellStyle name="표_새벽시장8.10xls_용접업종 평가결과품의(040510)_주단조용접업종 평가결과품의(040510)(1)" xfId="32394"/>
    <cellStyle name="표_새벽시장8.10xls_주단조 업종 평가결과품의(040407)" xfId="32395"/>
    <cellStyle name="표_새벽시장8.10xls_주단조 업종 평가결과품의(040407)_용접업종 평가결과품의(040510)" xfId="32396"/>
    <cellStyle name="표_새벽시장8.10xls_주단조 업종 평가결과품의(040407)_용접업종 평가결과품의(040510)(1)" xfId="32397"/>
    <cellStyle name="표_새벽시장8.10xls_주단조 업종 평가결과품의(040407)_주단조용접업종 평가결과품의(040510)(1)" xfId="32398"/>
    <cellStyle name="표_새벽시장8.10xls_주단조 업종 평가결과품의(040416)(1)" xfId="32399"/>
    <cellStyle name="표_새벽시장8.10xls_주단조 업종 평가결과품의(040416)(1)_용접업종 평가결과품의(040510)" xfId="32400"/>
    <cellStyle name="표_새벽시장8.10xls_주단조 업종 평가결과품의(040416)(1)_용접업종 평가결과품의(040510)(1)" xfId="32401"/>
    <cellStyle name="표_새벽시장8.10xls_주단조 업종 평가결과품의(040416)(1)_주단조용접업종 평가결과품의(040510)(1)" xfId="32402"/>
    <cellStyle name="표_새벽시장8.10xls_최신-SQ인증업체현황1343사(03년평가완료031229수정)" xfId="32403"/>
    <cellStyle name="표_새벽시장8.10xls_최신-SQ인증업체현황1343사(03년평가완료031229수정)_용접업종 평가결과품의(040510)" xfId="32404"/>
    <cellStyle name="표_새벽시장8.10xls_최신-SQ인증업체현황1343사(03년평가완료031229수정)_용접업종 평가결과품의(040510)(1)" xfId="32405"/>
    <cellStyle name="표_새벽시장8.10xls_최신-SQ인증업체현황1343사(03년평가완료031229수정)_주단조용접업종 평가결과품의(040510)(1)" xfId="32406"/>
    <cellStyle name="표_새벽시장8.26xls" xfId="32407"/>
    <cellStyle name="표_새벽시장8.26xls_도금 열처리 주단조 평가품의(040329)" xfId="32408"/>
    <cellStyle name="표_새벽시장8.26xls_도금 열처리 주단조 평가품의(040329)_도금 열처리 주단조 평가품의(040329)" xfId="32409"/>
    <cellStyle name="표_새벽시장8.26xls_도금 열처리 주단조 평가품의(040329)업체" xfId="32410"/>
    <cellStyle name="표_새벽시장8.26xls_열처리결과품의(031017)개발" xfId="32411"/>
    <cellStyle name="표_새벽시장8.26xls_열처리결과품의(031017)개발_도금 열처리 주단조 평가품의(040329)" xfId="32412"/>
    <cellStyle name="표_새벽시장8.26xls_용접업종 평가결과품의(040510)" xfId="32413"/>
    <cellStyle name="표_새벽시장8.26xls_용접업종 평가결과품의(040510)_용접업종 평가결과품의(040510)" xfId="32414"/>
    <cellStyle name="표_새벽시장8.26xls_용접업종 평가결과품의(040510)_용접업종 평가결과품의(040510)(1)" xfId="32415"/>
    <cellStyle name="표_새벽시장8.26xls_용접업종 평가결과품의(040510)_주단조용접업종 평가결과품의(040510)(1)" xfId="32416"/>
    <cellStyle name="표_새벽시장8.26xls_주단조 업종 평가결과품의(040407)" xfId="32417"/>
    <cellStyle name="표_새벽시장8.26xls_주단조 업종 평가결과품의(040407)_용접업종 평가결과품의(040510)" xfId="32418"/>
    <cellStyle name="표_새벽시장8.26xls_주단조 업종 평가결과품의(040407)_용접업종 평가결과품의(040510)(1)" xfId="32419"/>
    <cellStyle name="표_새벽시장8.26xls_주단조 업종 평가결과품의(040407)_주단조용접업종 평가결과품의(040510)(1)" xfId="32420"/>
    <cellStyle name="표_새벽시장8.26xls_주단조 업종 평가결과품의(040416)(1)" xfId="32421"/>
    <cellStyle name="표_새벽시장8.26xls_주단조 업종 평가결과품의(040416)(1)_용접업종 평가결과품의(040510)" xfId="32422"/>
    <cellStyle name="표_새벽시장8.26xls_주단조 업종 평가결과품의(040416)(1)_용접업종 평가결과품의(040510)(1)" xfId="32423"/>
    <cellStyle name="표_새벽시장8.26xls_주단조 업종 평가결과품의(040416)(1)_주단조용접업종 평가결과품의(040510)(1)" xfId="32424"/>
    <cellStyle name="표_새벽시장8.26xls_최신-SQ인증업체현황1343사(03년평가완료031229수정)" xfId="32425"/>
    <cellStyle name="표_새벽시장8.26xls_최신-SQ인증업체현황1343사(03년평가완료031229수정)_용접업종 평가결과품의(040510)" xfId="32426"/>
    <cellStyle name="표_새벽시장8.26xls_최신-SQ인증업체현황1343사(03년평가완료031229수정)_용접업종 평가결과품의(040510)(1)" xfId="32427"/>
    <cellStyle name="표_새벽시장8.26xls_최신-SQ인증업체현황1343사(03년평가완료031229수정)_주단조용접업종 평가결과품의(040510)(1)" xfId="32428"/>
    <cellStyle name="표_새벽시장9.16" xfId="32429"/>
    <cellStyle name="표_새벽시장9.16_도금 열처리 주단조 평가품의(040329)" xfId="32430"/>
    <cellStyle name="표_새벽시장9.16_도금 열처리 주단조 평가품의(040329)_도금 열처리 주단조 평가품의(040329)" xfId="32431"/>
    <cellStyle name="표_새벽시장9.16_도금 열처리 주단조 평가품의(040329)업체" xfId="32432"/>
    <cellStyle name="표_새벽시장9.16_열처리결과품의(031017)개발" xfId="32433"/>
    <cellStyle name="표_새벽시장9.16_열처리결과품의(031017)개발_도금 열처리 주단조 평가품의(040329)" xfId="32434"/>
    <cellStyle name="표_새벽시장9.16_용접업종 평가결과품의(040510)" xfId="32435"/>
    <cellStyle name="표_새벽시장9.16_용접업종 평가결과품의(040510)_용접업종 평가결과품의(040510)" xfId="32436"/>
    <cellStyle name="표_새벽시장9.16_용접업종 평가결과품의(040510)_용접업종 평가결과품의(040510)(1)" xfId="32437"/>
    <cellStyle name="표_새벽시장9.16_용접업종 평가결과품의(040510)_주단조용접업종 평가결과품의(040510)(1)" xfId="32438"/>
    <cellStyle name="표_새벽시장9.16_주단조 업종 평가결과품의(040407)" xfId="32439"/>
    <cellStyle name="표_새벽시장9.16_주단조 업종 평가결과품의(040407)_용접업종 평가결과품의(040510)" xfId="32440"/>
    <cellStyle name="표_새벽시장9.16_주단조 업종 평가결과품의(040407)_용접업종 평가결과품의(040510)(1)" xfId="32441"/>
    <cellStyle name="표_새벽시장9.16_주단조 업종 평가결과품의(040407)_주단조용접업종 평가결과품의(040510)(1)" xfId="32442"/>
    <cellStyle name="표_새벽시장9.16_주단조 업종 평가결과품의(040416)(1)" xfId="32443"/>
    <cellStyle name="표_새벽시장9.16_주단조 업종 평가결과품의(040416)(1)_용접업종 평가결과품의(040510)" xfId="32444"/>
    <cellStyle name="표_새벽시장9.16_주단조 업종 평가결과품의(040416)(1)_용접업종 평가결과품의(040510)(1)" xfId="32445"/>
    <cellStyle name="표_새벽시장9.16_주단조 업종 평가결과품의(040416)(1)_주단조용접업종 평가결과품의(040510)(1)" xfId="32446"/>
    <cellStyle name="표_새벽시장9.16_최신-SQ인증업체현황1343사(03년평가완료031229수정)" xfId="32447"/>
    <cellStyle name="표_새벽시장9.16_최신-SQ인증업체현황1343사(03년평가완료031229수정)_용접업종 평가결과품의(040510)" xfId="32448"/>
    <cellStyle name="표_새벽시장9.16_최신-SQ인증업체현황1343사(03년평가완료031229수정)_용접업종 평가결과품의(040510)(1)" xfId="32449"/>
    <cellStyle name="표_새벽시장9.16_최신-SQ인증업체현황1343사(03년평가완료031229수정)_주단조용접업종 평가결과품의(040510)(1)" xfId="32450"/>
    <cellStyle name="표_열처리결과품의(031017)개발" xfId="32451"/>
    <cellStyle name="표_열처리결과품의(031017)개발_도금 열처리 주단조 평가품의(040329)" xfId="32452"/>
    <cellStyle name="표_용접업종 평가결과품의(040510)" xfId="32453"/>
    <cellStyle name="표_용접업종 평가결과품의(040510)_용접업종 평가결과품의(040510)" xfId="32454"/>
    <cellStyle name="표_용접업종 평가결과품의(040510)_용접업종 평가결과품의(040510)(1)" xfId="32455"/>
    <cellStyle name="표_용접업종 평가결과품의(040510)_주단조용접업종 평가결과품의(040510)(1)" xfId="32456"/>
    <cellStyle name="표_주단조 업종 평가결과품의(040407)" xfId="32457"/>
    <cellStyle name="표_주단조 업종 평가결과품의(040407)_용접업종 평가결과품의(040510)" xfId="32458"/>
    <cellStyle name="표_주단조 업종 평가결과품의(040407)_용접업종 평가결과품의(040510)(1)" xfId="32459"/>
    <cellStyle name="표_주단조 업종 평가결과품의(040407)_주단조용접업종 평가결과품의(040510)(1)" xfId="32460"/>
    <cellStyle name="표_주단조 업종 평가결과품의(040416)(1)" xfId="32461"/>
    <cellStyle name="표_주단조 업종 평가결과품의(040416)(1)_용접업종 평가결과품의(040510)" xfId="32462"/>
    <cellStyle name="표_주단조 업종 평가결과품의(040416)(1)_용접업종 평가결과품의(040510)(1)" xfId="32463"/>
    <cellStyle name="표_주단조 업종 평가결과품의(040416)(1)_주단조용접업종 평가결과품의(040510)(1)" xfId="32464"/>
    <cellStyle name="표_최신-SQ인증업체현황1343사(03년평가완료031229수정)" xfId="32465"/>
    <cellStyle name="표_최신-SQ인증업체현황1343사(03년평가완료031229수정)_용접업종 평가결과품의(040510)" xfId="32466"/>
    <cellStyle name="표_최신-SQ인증업체현황1343사(03년평가완료031229수정)_용접업종 평가결과품의(040510)(1)" xfId="32467"/>
    <cellStyle name="표_최신-SQ인증업체현황1343사(03년평가완료031229수정)_주단조용접업종 평가결과품의(040510)(1)" xfId="32468"/>
    <cellStyle name="표_출장계획서" xfId="32469"/>
    <cellStyle name="표_출장계획서_ROTATION 유동" xfId="32470"/>
    <cellStyle name="표_출장계획서_ROTATION 유동_도금 열처리 주단조 평가품의(040329)" xfId="32471"/>
    <cellStyle name="표_출장계획서_ROTATION 유동_도금 열처리 주단조 평가품의(040329)_도금 열처리 주단조 평가품의(040329)" xfId="32472"/>
    <cellStyle name="표_출장계획서_ROTATION 유동_도금 열처리 주단조 평가품의(040329)업체" xfId="32473"/>
    <cellStyle name="표_출장계획서_ROTATION 유동_열처리결과품의(031017)개발" xfId="32474"/>
    <cellStyle name="표_출장계획서_ROTATION 유동_열처리결과품의(031017)개발_도금 열처리 주단조 평가품의(040329)" xfId="32475"/>
    <cellStyle name="표_출장계획서_ROTATION 유동_용접업종 평가결과품의(040510)" xfId="32476"/>
    <cellStyle name="표_출장계획서_ROTATION 유동_용접업종 평가결과품의(040510)_용접업종 평가결과품의(040510)" xfId="32477"/>
    <cellStyle name="표_출장계획서_ROTATION 유동_용접업종 평가결과품의(040510)_용접업종 평가결과품의(040510)(1)" xfId="32478"/>
    <cellStyle name="표_출장계획서_ROTATION 유동_용접업종 평가결과품의(040510)_주단조용접업종 평가결과품의(040510)(1)" xfId="32479"/>
    <cellStyle name="표_출장계획서_ROTATION 유동_주단조 업종 평가결과품의(040407)" xfId="32480"/>
    <cellStyle name="표_출장계획서_ROTATION 유동_주단조 업종 평가결과품의(040407)_용접업종 평가결과품의(040510)" xfId="32481"/>
    <cellStyle name="표_출장계획서_ROTATION 유동_주단조 업종 평가결과품의(040407)_용접업종 평가결과품의(040510)(1)" xfId="32482"/>
    <cellStyle name="표_출장계획서_ROTATION 유동_주단조 업종 평가결과품의(040407)_주단조용접업종 평가결과품의(040510)(1)" xfId="32483"/>
    <cellStyle name="표_출장계획서_ROTATION 유동_주단조 업종 평가결과품의(040416)(1)" xfId="32484"/>
    <cellStyle name="표_출장계획서_ROTATION 유동_주단조 업종 평가결과품의(040416)(1)_용접업종 평가결과품의(040510)" xfId="32485"/>
    <cellStyle name="표_출장계획서_ROTATION 유동_주단조 업종 평가결과품의(040416)(1)_용접업종 평가결과품의(040510)(1)" xfId="32486"/>
    <cellStyle name="표_출장계획서_ROTATION 유동_주단조 업종 평가결과품의(040416)(1)_주단조용접업종 평가결과품의(040510)(1)" xfId="32487"/>
    <cellStyle name="표_출장계획서_ROTATION 유동_최신-SQ인증업체현황1343사(03년평가완료031229수정)" xfId="32488"/>
    <cellStyle name="표_출장계획서_ROTATION 유동_최신-SQ인증업체현황1343사(03년평가완료031229수정)_용접업종 평가결과품의(040510)" xfId="32489"/>
    <cellStyle name="표_출장계획서_ROTATION 유동_최신-SQ인증업체현황1343사(03년평가완료031229수정)_용접업종 평가결과품의(040510)(1)" xfId="32490"/>
    <cellStyle name="표_출장계획서_ROTATION 유동_최신-SQ인증업체현황1343사(03년평가완료031229수정)_주단조용접업종 평가결과품의(040510)(1)" xfId="32491"/>
    <cellStyle name="표_출장계획서_SLIDE 폭" xfId="32492"/>
    <cellStyle name="표_출장계획서_SLIDE 폭_도금 열처리 주단조 평가품의(040329)" xfId="32493"/>
    <cellStyle name="표_출장계획서_SLIDE 폭_도금 열처리 주단조 평가품의(040329)_도금 열처리 주단조 평가품의(040329)" xfId="32494"/>
    <cellStyle name="표_출장계획서_SLIDE 폭_도금 열처리 주단조 평가품의(040329)업체" xfId="32495"/>
    <cellStyle name="표_출장계획서_SLIDE 폭_열처리결과품의(031017)개발" xfId="32496"/>
    <cellStyle name="표_출장계획서_SLIDE 폭_열처리결과품의(031017)개발_도금 열처리 주단조 평가품의(040329)" xfId="32497"/>
    <cellStyle name="표_출장계획서_SLIDE 폭_용접업종 평가결과품의(040510)" xfId="32498"/>
    <cellStyle name="표_출장계획서_SLIDE 폭_용접업종 평가결과품의(040510)_용접업종 평가결과품의(040510)" xfId="32499"/>
    <cellStyle name="표_출장계획서_SLIDE 폭_용접업종 평가결과품의(040510)_용접업종 평가결과품의(040510)(1)" xfId="32500"/>
    <cellStyle name="표_출장계획서_SLIDE 폭_용접업종 평가결과품의(040510)_주단조용접업종 평가결과품의(040510)(1)" xfId="32501"/>
    <cellStyle name="표_출장계획서_SLIDE 폭_주단조 업종 평가결과품의(040407)" xfId="32502"/>
    <cellStyle name="표_출장계획서_SLIDE 폭_주단조 업종 평가결과품의(040407)_용접업종 평가결과품의(040510)" xfId="32503"/>
    <cellStyle name="표_출장계획서_SLIDE 폭_주단조 업종 평가결과품의(040407)_용접업종 평가결과품의(040510)(1)" xfId="32504"/>
    <cellStyle name="표_출장계획서_SLIDE 폭_주단조 업종 평가결과품의(040407)_주단조용접업종 평가결과품의(040510)(1)" xfId="32505"/>
    <cellStyle name="표_출장계획서_SLIDE 폭_주단조 업종 평가결과품의(040416)(1)" xfId="32506"/>
    <cellStyle name="표_출장계획서_SLIDE 폭_주단조 업종 평가결과품의(040416)(1)_용접업종 평가결과품의(040510)" xfId="32507"/>
    <cellStyle name="표_출장계획서_SLIDE 폭_주단조 업종 평가결과품의(040416)(1)_용접업종 평가결과품의(040510)(1)" xfId="32508"/>
    <cellStyle name="표_출장계획서_SLIDE 폭_주단조 업종 평가결과품의(040416)(1)_주단조용접업종 평가결과품의(040510)(1)" xfId="32509"/>
    <cellStyle name="표_출장계획서_SLIDE 폭_최신-SQ인증업체현황1343사(03년평가완료031229수정)" xfId="32510"/>
    <cellStyle name="표_출장계획서_SLIDE 폭_최신-SQ인증업체현황1343사(03년평가완료031229수정)_용접업종 평가결과품의(040510)" xfId="32511"/>
    <cellStyle name="표_출장계획서_SLIDE 폭_최신-SQ인증업체현황1343사(03년평가완료031229수정)_용접업종 평가결과품의(040510)(1)" xfId="32512"/>
    <cellStyle name="표_출장계획서_SLIDE 폭_최신-SQ인증업체현황1343사(03년평가완료031229수정)_주단조용접업종 평가결과품의(040510)(1)" xfId="32513"/>
    <cellStyle name="표_출장계획서_도금 열처리 주단조 평가품의(040329)" xfId="32514"/>
    <cellStyle name="표_출장계획서_도금 열처리 주단조 평가품의(040329)_도금 열처리 주단조 평가품의(040329)" xfId="32515"/>
    <cellStyle name="표_출장계획서_도금 열처리 주단조 평가품의(040329)업체" xfId="32516"/>
    <cellStyle name="표_출장계획서_새벽시장1" xfId="32517"/>
    <cellStyle name="표_출장계획서_새벽시장1_도금 열처리 주단조 평가품의(040329)" xfId="32518"/>
    <cellStyle name="표_출장계획서_새벽시장1_도금 열처리 주단조 평가품의(040329)_도금 열처리 주단조 평가품의(040329)" xfId="32519"/>
    <cellStyle name="표_출장계획서_새벽시장1_도금 열처리 주단조 평가품의(040329)업체" xfId="32520"/>
    <cellStyle name="표_출장계획서_새벽시장1_열처리결과품의(031017)개발" xfId="32521"/>
    <cellStyle name="표_출장계획서_새벽시장1_열처리결과품의(031017)개발_도금 열처리 주단조 평가품의(040329)" xfId="32522"/>
    <cellStyle name="표_출장계획서_새벽시장1_용접업종 평가결과품의(040510)" xfId="32523"/>
    <cellStyle name="표_출장계획서_새벽시장1_용접업종 평가결과품의(040510)_용접업종 평가결과품의(040510)" xfId="32524"/>
    <cellStyle name="표_출장계획서_새벽시장1_용접업종 평가결과품의(040510)_용접업종 평가결과품의(040510)(1)" xfId="32525"/>
    <cellStyle name="표_출장계획서_새벽시장1_용접업종 평가결과품의(040510)_주단조용접업종 평가결과품의(040510)(1)" xfId="32526"/>
    <cellStyle name="표_출장계획서_새벽시장1_주단조 업종 평가결과품의(040407)" xfId="32527"/>
    <cellStyle name="표_출장계획서_새벽시장1_주단조 업종 평가결과품의(040407)_용접업종 평가결과품의(040510)" xfId="32528"/>
    <cellStyle name="표_출장계획서_새벽시장1_주단조 업종 평가결과품의(040407)_용접업종 평가결과품의(040510)(1)" xfId="32529"/>
    <cellStyle name="표_출장계획서_새벽시장1_주단조 업종 평가결과품의(040407)_주단조용접업종 평가결과품의(040510)(1)" xfId="32530"/>
    <cellStyle name="표_출장계획서_새벽시장1_주단조 업종 평가결과품의(040416)(1)" xfId="32531"/>
    <cellStyle name="표_출장계획서_새벽시장1_주단조 업종 평가결과품의(040416)(1)_용접업종 평가결과품의(040510)" xfId="32532"/>
    <cellStyle name="표_출장계획서_새벽시장1_주단조 업종 평가결과품의(040416)(1)_용접업종 평가결과품의(040510)(1)" xfId="32533"/>
    <cellStyle name="표_출장계획서_새벽시장1_주단조 업종 평가결과품의(040416)(1)_주단조용접업종 평가결과품의(040510)(1)" xfId="32534"/>
    <cellStyle name="표_출장계획서_새벽시장1_최신-SQ인증업체현황1343사(03년평가완료031229수정)" xfId="32535"/>
    <cellStyle name="표_출장계획서_새벽시장1_최신-SQ인증업체현황1343사(03년평가완료031229수정)_용접업종 평가결과품의(040510)" xfId="32536"/>
    <cellStyle name="표_출장계획서_새벽시장1_최신-SQ인증업체현황1343사(03년평가완료031229수정)_용접업종 평가결과품의(040510)(1)" xfId="32537"/>
    <cellStyle name="표_출장계획서_새벽시장1_최신-SQ인증업체현황1343사(03년평가완료031229수정)_주단조용접업종 평가결과품의(040510)(1)" xfId="32538"/>
    <cellStyle name="표_출장계획서_새벽시장3" xfId="32539"/>
    <cellStyle name="표_출장계획서_새벽시장3_도금 열처리 주단조 평가품의(040329)" xfId="32540"/>
    <cellStyle name="표_출장계획서_새벽시장3_도금 열처리 주단조 평가품의(040329)_도금 열처리 주단조 평가품의(040329)" xfId="32541"/>
    <cellStyle name="표_출장계획서_새벽시장3_도금 열처리 주단조 평가품의(040329)업체" xfId="32542"/>
    <cellStyle name="표_출장계획서_새벽시장3_열처리결과품의(031017)개발" xfId="32543"/>
    <cellStyle name="표_출장계획서_새벽시장3_열처리결과품의(031017)개발_도금 열처리 주단조 평가품의(040329)" xfId="32544"/>
    <cellStyle name="표_출장계획서_새벽시장3_용접업종 평가결과품의(040510)" xfId="32545"/>
    <cellStyle name="표_출장계획서_새벽시장3_용접업종 평가결과품의(040510)_용접업종 평가결과품의(040510)" xfId="32546"/>
    <cellStyle name="표_출장계획서_새벽시장3_용접업종 평가결과품의(040510)_용접업종 평가결과품의(040510)(1)" xfId="32547"/>
    <cellStyle name="표_출장계획서_새벽시장3_용접업종 평가결과품의(040510)_주단조용접업종 평가결과품의(040510)(1)" xfId="32548"/>
    <cellStyle name="표_출장계획서_새벽시장3_주단조 업종 평가결과품의(040407)" xfId="32549"/>
    <cellStyle name="표_출장계획서_새벽시장3_주단조 업종 평가결과품의(040407)_용접업종 평가결과품의(040510)" xfId="32550"/>
    <cellStyle name="표_출장계획서_새벽시장3_주단조 업종 평가결과품의(040407)_용접업종 평가결과품의(040510)(1)" xfId="32551"/>
    <cellStyle name="표_출장계획서_새벽시장3_주단조 업종 평가결과품의(040407)_주단조용접업종 평가결과품의(040510)(1)" xfId="32552"/>
    <cellStyle name="표_출장계획서_새벽시장3_주단조 업종 평가결과품의(040416)(1)" xfId="32553"/>
    <cellStyle name="표_출장계획서_새벽시장3_주단조 업종 평가결과품의(040416)(1)_용접업종 평가결과품의(040510)" xfId="32554"/>
    <cellStyle name="표_출장계획서_새벽시장3_주단조 업종 평가결과품의(040416)(1)_용접업종 평가결과품의(040510)(1)" xfId="32555"/>
    <cellStyle name="표_출장계획서_새벽시장3_주단조 업종 평가결과품의(040416)(1)_주단조용접업종 평가결과품의(040510)(1)" xfId="32556"/>
    <cellStyle name="표_출장계획서_새벽시장3_최신-SQ인증업체현황1343사(03년평가완료031229수정)" xfId="32557"/>
    <cellStyle name="표_출장계획서_새벽시장3_최신-SQ인증업체현황1343사(03년평가완료031229수정)_용접업종 평가결과품의(040510)" xfId="32558"/>
    <cellStyle name="표_출장계획서_새벽시장3_최신-SQ인증업체현황1343사(03년평가완료031229수정)_용접업종 평가결과품의(040510)(1)" xfId="32559"/>
    <cellStyle name="표_출장계획서_새벽시장3_최신-SQ인증업체현황1343사(03년평가완료031229수정)_주단조용접업종 평가결과품의(040510)(1)" xfId="32560"/>
    <cellStyle name="표_출장계획서_새벽시장5" xfId="32561"/>
    <cellStyle name="표_출장계획서_새벽시장5_도금 열처리 주단조 평가품의(040329)" xfId="32562"/>
    <cellStyle name="표_출장계획서_새벽시장5_도금 열처리 주단조 평가품의(040329)_도금 열처리 주단조 평가품의(040329)" xfId="32563"/>
    <cellStyle name="표_출장계획서_새벽시장5_도금 열처리 주단조 평가품의(040329)업체" xfId="32564"/>
    <cellStyle name="표_출장계획서_새벽시장5_열처리결과품의(031017)개발" xfId="32565"/>
    <cellStyle name="표_출장계획서_새벽시장5_열처리결과품의(031017)개발_도금 열처리 주단조 평가품의(040329)" xfId="32566"/>
    <cellStyle name="표_출장계획서_새벽시장5_용접업종 평가결과품의(040510)" xfId="32567"/>
    <cellStyle name="표_출장계획서_새벽시장5_용접업종 평가결과품의(040510)_용접업종 평가결과품의(040510)" xfId="32568"/>
    <cellStyle name="표_출장계획서_새벽시장5_용접업종 평가결과품의(040510)_용접업종 평가결과품의(040510)(1)" xfId="32569"/>
    <cellStyle name="표_출장계획서_새벽시장5_용접업종 평가결과품의(040510)_주단조용접업종 평가결과품의(040510)(1)" xfId="32570"/>
    <cellStyle name="표_출장계획서_새벽시장5_주단조 업종 평가결과품의(040407)" xfId="32571"/>
    <cellStyle name="표_출장계획서_새벽시장5_주단조 업종 평가결과품의(040407)_용접업종 평가결과품의(040510)" xfId="32572"/>
    <cellStyle name="표_출장계획서_새벽시장5_주단조 업종 평가결과품의(040407)_용접업종 평가결과품의(040510)(1)" xfId="32573"/>
    <cellStyle name="표_출장계획서_새벽시장5_주단조 업종 평가결과품의(040407)_주단조용접업종 평가결과품의(040510)(1)" xfId="32574"/>
    <cellStyle name="표_출장계획서_새벽시장5_주단조 업종 평가결과품의(040416)(1)" xfId="32575"/>
    <cellStyle name="표_출장계획서_새벽시장5_주단조 업종 평가결과품의(040416)(1)_용접업종 평가결과품의(040510)" xfId="32576"/>
    <cellStyle name="표_출장계획서_새벽시장5_주단조 업종 평가결과품의(040416)(1)_용접업종 평가결과품의(040510)(1)" xfId="32577"/>
    <cellStyle name="표_출장계획서_새벽시장5_주단조 업종 평가결과품의(040416)(1)_주단조용접업종 평가결과품의(040510)(1)" xfId="32578"/>
    <cellStyle name="표_출장계획서_새벽시장5_최신-SQ인증업체현황1343사(03년평가완료031229수정)" xfId="32579"/>
    <cellStyle name="표_출장계획서_새벽시장5_최신-SQ인증업체현황1343사(03년평가완료031229수정)_용접업종 평가결과품의(040510)" xfId="32580"/>
    <cellStyle name="표_출장계획서_새벽시장5_최신-SQ인증업체현황1343사(03년평가완료031229수정)_용접업종 평가결과품의(040510)(1)" xfId="32581"/>
    <cellStyle name="표_출장계획서_새벽시장5_최신-SQ인증업체현황1343사(03년평가완료031229수정)_주단조용접업종 평가결과품의(040510)(1)" xfId="32582"/>
    <cellStyle name="표_출장계획서_새벽시장7" xfId="32583"/>
    <cellStyle name="표_출장계획서_새벽시장7_도금 열처리 주단조 평가품의(040329)" xfId="32584"/>
    <cellStyle name="표_출장계획서_새벽시장7_도금 열처리 주단조 평가품의(040329)_도금 열처리 주단조 평가품의(040329)" xfId="32585"/>
    <cellStyle name="표_출장계획서_새벽시장7_도금 열처리 주단조 평가품의(040329)업체" xfId="32586"/>
    <cellStyle name="표_출장계획서_새벽시장7_열처리결과품의(031017)개발" xfId="32587"/>
    <cellStyle name="표_출장계획서_새벽시장7_열처리결과품의(031017)개발_도금 열처리 주단조 평가품의(040329)" xfId="32588"/>
    <cellStyle name="표_출장계획서_새벽시장7_용접업종 평가결과품의(040510)" xfId="32589"/>
    <cellStyle name="표_출장계획서_새벽시장7_용접업종 평가결과품의(040510)_용접업종 평가결과품의(040510)" xfId="32590"/>
    <cellStyle name="표_출장계획서_새벽시장7_용접업종 평가결과품의(040510)_용접업종 평가결과품의(040510)(1)" xfId="32591"/>
    <cellStyle name="표_출장계획서_새벽시장7_용접업종 평가결과품의(040510)_주단조용접업종 평가결과품의(040510)(1)" xfId="32592"/>
    <cellStyle name="표_출장계획서_새벽시장7_주단조 업종 평가결과품의(040407)" xfId="32593"/>
    <cellStyle name="표_출장계획서_새벽시장7_주단조 업종 평가결과품의(040407)_용접업종 평가결과품의(040510)" xfId="32594"/>
    <cellStyle name="표_출장계획서_새벽시장7_주단조 업종 평가결과품의(040407)_용접업종 평가결과품의(040510)(1)" xfId="32595"/>
    <cellStyle name="표_출장계획서_새벽시장7_주단조 업종 평가결과품의(040407)_주단조용접업종 평가결과품의(040510)(1)" xfId="32596"/>
    <cellStyle name="표_출장계획서_새벽시장7_주단조 업종 평가결과품의(040416)(1)" xfId="32597"/>
    <cellStyle name="표_출장계획서_새벽시장7_주단조 업종 평가결과품의(040416)(1)_용접업종 평가결과품의(040510)" xfId="32598"/>
    <cellStyle name="표_출장계획서_새벽시장7_주단조 업종 평가결과품의(040416)(1)_용접업종 평가결과품의(040510)(1)" xfId="32599"/>
    <cellStyle name="표_출장계획서_새벽시장7_주단조 업종 평가결과품의(040416)(1)_주단조용접업종 평가결과품의(040510)(1)" xfId="32600"/>
    <cellStyle name="표_출장계획서_새벽시장7_최신-SQ인증업체현황1343사(03년평가완료031229수정)" xfId="32601"/>
    <cellStyle name="표_출장계획서_새벽시장7_최신-SQ인증업체현황1343사(03년평가완료031229수정)_용접업종 평가결과품의(040510)" xfId="32602"/>
    <cellStyle name="표_출장계획서_새벽시장7_최신-SQ인증업체현황1343사(03년평가완료031229수정)_용접업종 평가결과품의(040510)(1)" xfId="32603"/>
    <cellStyle name="표_출장계획서_새벽시장7_최신-SQ인증업체현황1343사(03년평가완료031229수정)_주단조용접업종 평가결과품의(040510)(1)" xfId="32604"/>
    <cellStyle name="표_출장계획서_새벽시장8.10xls" xfId="32605"/>
    <cellStyle name="표_출장계획서_새벽시장8.10xls_도금 열처리 주단조 평가품의(040329)" xfId="32606"/>
    <cellStyle name="표_출장계획서_새벽시장8.10xls_도금 열처리 주단조 평가품의(040329)_도금 열처리 주단조 평가품의(040329)" xfId="32607"/>
    <cellStyle name="표_출장계획서_새벽시장8.10xls_도금 열처리 주단조 평가품의(040329)업체" xfId="32608"/>
    <cellStyle name="표_출장계획서_새벽시장8.10xls_열처리결과품의(031017)개발" xfId="32609"/>
    <cellStyle name="표_출장계획서_새벽시장8.10xls_열처리결과품의(031017)개발_도금 열처리 주단조 평가품의(040329)" xfId="32610"/>
    <cellStyle name="표_출장계획서_새벽시장8.10xls_용접업종 평가결과품의(040510)" xfId="32611"/>
    <cellStyle name="표_출장계획서_새벽시장8.10xls_용접업종 평가결과품의(040510)_용접업종 평가결과품의(040510)" xfId="32612"/>
    <cellStyle name="표_출장계획서_새벽시장8.10xls_용접업종 평가결과품의(040510)_용접업종 평가결과품의(040510)(1)" xfId="32613"/>
    <cellStyle name="표_출장계획서_새벽시장8.10xls_용접업종 평가결과품의(040510)_주단조용접업종 평가결과품의(040510)(1)" xfId="32614"/>
    <cellStyle name="표_출장계획서_새벽시장8.10xls_주단조 업종 평가결과품의(040407)" xfId="32615"/>
    <cellStyle name="표_출장계획서_새벽시장8.10xls_주단조 업종 평가결과품의(040407)_용접업종 평가결과품의(040510)" xfId="32616"/>
    <cellStyle name="표_출장계획서_새벽시장8.10xls_주단조 업종 평가결과품의(040407)_용접업종 평가결과품의(040510)(1)" xfId="32617"/>
    <cellStyle name="표_출장계획서_새벽시장8.10xls_주단조 업종 평가결과품의(040407)_주단조용접업종 평가결과품의(040510)(1)" xfId="32618"/>
    <cellStyle name="표_출장계획서_새벽시장8.10xls_주단조 업종 평가결과품의(040416)(1)" xfId="32619"/>
    <cellStyle name="표_출장계획서_새벽시장8.10xls_주단조 업종 평가결과품의(040416)(1)_용접업종 평가결과품의(040510)" xfId="32620"/>
    <cellStyle name="표_출장계획서_새벽시장8.10xls_주단조 업종 평가결과품의(040416)(1)_용접업종 평가결과품의(040510)(1)" xfId="32621"/>
    <cellStyle name="표_출장계획서_새벽시장8.10xls_주단조 업종 평가결과품의(040416)(1)_주단조용접업종 평가결과품의(040510)(1)" xfId="32622"/>
    <cellStyle name="표_출장계획서_새벽시장8.10xls_최신-SQ인증업체현황1343사(03년평가완료031229수정)" xfId="32623"/>
    <cellStyle name="표_출장계획서_새벽시장8.10xls_최신-SQ인증업체현황1343사(03년평가완료031229수정)_용접업종 평가결과품의(040510)" xfId="32624"/>
    <cellStyle name="표_출장계획서_새벽시장8.10xls_최신-SQ인증업체현황1343사(03년평가완료031229수정)_용접업종 평가결과품의(040510)(1)" xfId="32625"/>
    <cellStyle name="표_출장계획서_새벽시장8.10xls_최신-SQ인증업체현황1343사(03년평가완료031229수정)_주단조용접업종 평가결과품의(040510)(1)" xfId="32626"/>
    <cellStyle name="표_출장계획서_새벽시장8.26xls" xfId="32627"/>
    <cellStyle name="표_출장계획서_새벽시장8.26xls_도금 열처리 주단조 평가품의(040329)" xfId="32628"/>
    <cellStyle name="표_출장계획서_새벽시장8.26xls_도금 열처리 주단조 평가품의(040329)_도금 열처리 주단조 평가품의(040329)" xfId="32629"/>
    <cellStyle name="표_출장계획서_새벽시장8.26xls_도금 열처리 주단조 평가품의(040329)업체" xfId="32630"/>
    <cellStyle name="표_출장계획서_새벽시장8.26xls_열처리결과품의(031017)개발" xfId="32631"/>
    <cellStyle name="표_출장계획서_새벽시장8.26xls_열처리결과품의(031017)개발_도금 열처리 주단조 평가품의(040329)" xfId="32632"/>
    <cellStyle name="표_출장계획서_새벽시장8.26xls_용접업종 평가결과품의(040510)" xfId="32633"/>
    <cellStyle name="표_출장계획서_새벽시장8.26xls_용접업종 평가결과품의(040510)_용접업종 평가결과품의(040510)" xfId="32634"/>
    <cellStyle name="표_출장계획서_새벽시장8.26xls_용접업종 평가결과품의(040510)_용접업종 평가결과품의(040510)(1)" xfId="32635"/>
    <cellStyle name="표_출장계획서_새벽시장8.26xls_용접업종 평가결과품의(040510)_주단조용접업종 평가결과품의(040510)(1)" xfId="32636"/>
    <cellStyle name="표_출장계획서_새벽시장8.26xls_주단조 업종 평가결과품의(040407)" xfId="32637"/>
    <cellStyle name="표_출장계획서_새벽시장8.26xls_주단조 업종 평가결과품의(040407)_용접업종 평가결과품의(040510)" xfId="32638"/>
    <cellStyle name="표_출장계획서_새벽시장8.26xls_주단조 업종 평가결과품의(040407)_용접업종 평가결과품의(040510)(1)" xfId="32639"/>
    <cellStyle name="표_출장계획서_새벽시장8.26xls_주단조 업종 평가결과품의(040407)_주단조용접업종 평가결과품의(040510)(1)" xfId="32640"/>
    <cellStyle name="표_출장계획서_새벽시장8.26xls_주단조 업종 평가결과품의(040416)(1)" xfId="32641"/>
    <cellStyle name="표_출장계획서_새벽시장8.26xls_주단조 업종 평가결과품의(040416)(1)_용접업종 평가결과품의(040510)" xfId="32642"/>
    <cellStyle name="표_출장계획서_새벽시장8.26xls_주단조 업종 평가결과품의(040416)(1)_용접업종 평가결과품의(040510)(1)" xfId="32643"/>
    <cellStyle name="표_출장계획서_새벽시장8.26xls_주단조 업종 평가결과품의(040416)(1)_주단조용접업종 평가결과품의(040510)(1)" xfId="32644"/>
    <cellStyle name="표_출장계획서_새벽시장8.26xls_최신-SQ인증업체현황1343사(03년평가완료031229수정)" xfId="32645"/>
    <cellStyle name="표_출장계획서_새벽시장8.26xls_최신-SQ인증업체현황1343사(03년평가완료031229수정)_용접업종 평가결과품의(040510)" xfId="32646"/>
    <cellStyle name="표_출장계획서_새벽시장8.26xls_최신-SQ인증업체현황1343사(03년평가완료031229수정)_용접업종 평가결과품의(040510)(1)" xfId="32647"/>
    <cellStyle name="표_출장계획서_새벽시장8.26xls_최신-SQ인증업체현황1343사(03년평가완료031229수정)_주단조용접업종 평가결과품의(040510)(1)" xfId="32648"/>
    <cellStyle name="표_출장계획서_새벽시장9.16" xfId="32649"/>
    <cellStyle name="표_출장계획서_새벽시장9.16_도금 열처리 주단조 평가품의(040329)" xfId="32650"/>
    <cellStyle name="표_출장계획서_새벽시장9.16_도금 열처리 주단조 평가품의(040329)_도금 열처리 주단조 평가품의(040329)" xfId="32651"/>
    <cellStyle name="표_출장계획서_새벽시장9.16_도금 열처리 주단조 평가품의(040329)업체" xfId="32652"/>
    <cellStyle name="표_출장계획서_새벽시장9.16_열처리결과품의(031017)개발" xfId="32653"/>
    <cellStyle name="표_출장계획서_새벽시장9.16_열처리결과품의(031017)개발_도금 열처리 주단조 평가품의(040329)" xfId="32654"/>
    <cellStyle name="표_출장계획서_새벽시장9.16_용접업종 평가결과품의(040510)" xfId="32655"/>
    <cellStyle name="표_출장계획서_새벽시장9.16_용접업종 평가결과품의(040510)_용접업종 평가결과품의(040510)" xfId="32656"/>
    <cellStyle name="표_출장계획서_새벽시장9.16_용접업종 평가결과품의(040510)_용접업종 평가결과품의(040510)(1)" xfId="32657"/>
    <cellStyle name="표_출장계획서_새벽시장9.16_용접업종 평가결과품의(040510)_주단조용접업종 평가결과품의(040510)(1)" xfId="32658"/>
    <cellStyle name="표_출장계획서_새벽시장9.16_주단조 업종 평가결과품의(040407)" xfId="32659"/>
    <cellStyle name="표_출장계획서_새벽시장9.16_주단조 업종 평가결과품의(040407)_용접업종 평가결과품의(040510)" xfId="32660"/>
    <cellStyle name="표_출장계획서_새벽시장9.16_주단조 업종 평가결과품의(040407)_용접업종 평가결과품의(040510)(1)" xfId="32661"/>
    <cellStyle name="표_출장계획서_새벽시장9.16_주단조 업종 평가결과품의(040407)_주단조용접업종 평가결과품의(040510)(1)" xfId="32662"/>
    <cellStyle name="표_출장계획서_새벽시장9.16_주단조 업종 평가결과품의(040416)(1)" xfId="32663"/>
    <cellStyle name="표_출장계획서_새벽시장9.16_주단조 업종 평가결과품의(040416)(1)_용접업종 평가결과품의(040510)" xfId="32664"/>
    <cellStyle name="표_출장계획서_새벽시장9.16_주단조 업종 평가결과품의(040416)(1)_용접업종 평가결과품의(040510)(1)" xfId="32665"/>
    <cellStyle name="표_출장계획서_새벽시장9.16_주단조 업종 평가결과품의(040416)(1)_주단조용접업종 평가결과품의(040510)(1)" xfId="32666"/>
    <cellStyle name="표_출장계획서_새벽시장9.16_최신-SQ인증업체현황1343사(03년평가완료031229수정)" xfId="32667"/>
    <cellStyle name="표_출장계획서_새벽시장9.16_최신-SQ인증업체현황1343사(03년평가완료031229수정)_용접업종 평가결과품의(040510)" xfId="32668"/>
    <cellStyle name="표_출장계획서_새벽시장9.16_최신-SQ인증업체현황1343사(03년평가완료031229수정)_용접업종 평가결과품의(040510)(1)" xfId="32669"/>
    <cellStyle name="표_출장계획서_새벽시장9.16_최신-SQ인증업체현황1343사(03년평가완료031229수정)_주단조용접업종 평가결과품의(040510)(1)" xfId="32670"/>
    <cellStyle name="표_출장계획서_열처리결과품의(031017)개발" xfId="32671"/>
    <cellStyle name="표_출장계획서_열처리결과품의(031017)개발_도금 열처리 주단조 평가품의(040329)" xfId="32672"/>
    <cellStyle name="표_출장계획서_용접업종 평가결과품의(040510)" xfId="32673"/>
    <cellStyle name="표_출장계획서_용접업종 평가결과품의(040510)_용접업종 평가결과품의(040510)" xfId="32674"/>
    <cellStyle name="표_출장계획서_용접업종 평가결과품의(040510)_용접업종 평가결과품의(040510)(1)" xfId="32675"/>
    <cellStyle name="표_출장계획서_용접업종 평가결과품의(040510)_주단조용접업종 평가결과품의(040510)(1)" xfId="32676"/>
    <cellStyle name="표_출장계획서_주단조 업종 평가결과품의(040407)" xfId="32677"/>
    <cellStyle name="표_출장계획서_주단조 업종 평가결과품의(040407)_용접업종 평가결과품의(040510)" xfId="32678"/>
    <cellStyle name="표_출장계획서_주단조 업종 평가결과품의(040407)_용접업종 평가결과품의(040510)(1)" xfId="32679"/>
    <cellStyle name="표_출장계획서_주단조 업종 평가결과품의(040407)_주단조용접업종 평가결과품의(040510)(1)" xfId="32680"/>
    <cellStyle name="표_출장계획서_주단조 업종 평가결과품의(040416)(1)" xfId="32681"/>
    <cellStyle name="표_출장계획서_주단조 업종 평가결과품의(040416)(1)_용접업종 평가결과품의(040510)" xfId="32682"/>
    <cellStyle name="표_출장계획서_주단조 업종 평가결과품의(040416)(1)_용접업종 평가결과품의(040510)(1)" xfId="32683"/>
    <cellStyle name="표_출장계획서_주단조 업종 평가결과품의(040416)(1)_주단조용접업종 평가결과품의(040510)(1)" xfId="32684"/>
    <cellStyle name="표_출장계획서_최신-SQ인증업체현황1343사(03년평가완료031229수정)" xfId="32685"/>
    <cellStyle name="표_출장계획서_최신-SQ인증업체현황1343사(03년평가완료031229수정)_용접업종 평가결과품의(040510)" xfId="32686"/>
    <cellStyle name="표_출장계획서_최신-SQ인증업체현황1343사(03년평가완료031229수정)_용접업종 평가결과품의(040510)(1)" xfId="32687"/>
    <cellStyle name="표_출장계획서_최신-SQ인증업체현황1343사(03년평가완료031229수정)_주단조용접업종 평가결과품의(040510)(1)" xfId="32688"/>
    <cellStyle name="표준 10" xfId="32690"/>
    <cellStyle name="표준 10 10" xfId="32691"/>
    <cellStyle name="표준 10 10 2" xfId="32692"/>
    <cellStyle name="표준 10 10 2 2" xfId="32693"/>
    <cellStyle name="표준 10 10 2 2 2" xfId="32694"/>
    <cellStyle name="표준 10 10 2 2 2 2" xfId="32695"/>
    <cellStyle name="표준 10 10 2 2 2 3" xfId="32696"/>
    <cellStyle name="표준 10 10 2 2 3" xfId="32697"/>
    <cellStyle name="표준 10 10 2 2 4" xfId="32698"/>
    <cellStyle name="표준 10 10 2 3" xfId="32699"/>
    <cellStyle name="표준 10 10 2 3 2" xfId="32700"/>
    <cellStyle name="표준 10 10 2 3 3" xfId="32701"/>
    <cellStyle name="표준 10 10 2 4" xfId="32702"/>
    <cellStyle name="표준 10 10 2 5" xfId="32703"/>
    <cellStyle name="표준 10 10 3" xfId="32704"/>
    <cellStyle name="표준 10 10 3 2" xfId="32705"/>
    <cellStyle name="표준 10 10 3 2 2" xfId="32706"/>
    <cellStyle name="표준 10 10 3 2 2 2" xfId="32707"/>
    <cellStyle name="표준 10 10 3 2 2 3" xfId="32708"/>
    <cellStyle name="표준 10 10 3 2 3" xfId="32709"/>
    <cellStyle name="표준 10 10 3 2 4" xfId="32710"/>
    <cellStyle name="표준 10 10 3 3" xfId="32711"/>
    <cellStyle name="표준 10 10 3 3 2" xfId="32712"/>
    <cellStyle name="표준 10 10 3 3 3" xfId="32713"/>
    <cellStyle name="표준 10 10 3 4" xfId="32714"/>
    <cellStyle name="표준 10 10 3 5" xfId="32715"/>
    <cellStyle name="표준 10 10 4" xfId="32716"/>
    <cellStyle name="표준 10 10 4 2" xfId="32717"/>
    <cellStyle name="표준 10 10 4 2 2" xfId="32718"/>
    <cellStyle name="표준 10 10 4 2 3" xfId="32719"/>
    <cellStyle name="표준 10 10 4 3" xfId="32720"/>
    <cellStyle name="표준 10 10 4 4" xfId="32721"/>
    <cellStyle name="표준 10 10 5" xfId="32722"/>
    <cellStyle name="표준 10 10 5 2" xfId="32723"/>
    <cellStyle name="표준 10 10 5 3" xfId="32724"/>
    <cellStyle name="표준 10 10 6" xfId="32725"/>
    <cellStyle name="표준 10 10 7" xfId="32726"/>
    <cellStyle name="표준 10 11" xfId="32727"/>
    <cellStyle name="표준 10 11 2" xfId="32728"/>
    <cellStyle name="표준 10 11 2 2" xfId="32729"/>
    <cellStyle name="표준 10 11 2 2 2" xfId="32730"/>
    <cellStyle name="표준 10 11 2 2 3" xfId="32731"/>
    <cellStyle name="표준 10 11 2 3" xfId="32732"/>
    <cellStyle name="표준 10 11 2 4" xfId="32733"/>
    <cellStyle name="표준 10 11 3" xfId="32734"/>
    <cellStyle name="표준 10 11 3 2" xfId="32735"/>
    <cellStyle name="표준 10 11 3 3" xfId="32736"/>
    <cellStyle name="표준 10 11 4" xfId="32737"/>
    <cellStyle name="표준 10 11 5" xfId="32738"/>
    <cellStyle name="표준 10 12" xfId="32739"/>
    <cellStyle name="표준 10 12 2" xfId="32740"/>
    <cellStyle name="표준 10 12 2 2" xfId="32741"/>
    <cellStyle name="표준 10 12 2 2 2" xfId="32742"/>
    <cellStyle name="표준 10 12 2 2 3" xfId="32743"/>
    <cellStyle name="표준 10 12 2 3" xfId="32744"/>
    <cellStyle name="표준 10 12 2 4" xfId="32745"/>
    <cellStyle name="표준 10 12 3" xfId="32746"/>
    <cellStyle name="표준 10 12 3 2" xfId="32747"/>
    <cellStyle name="표준 10 12 3 3" xfId="32748"/>
    <cellStyle name="표준 10 12 4" xfId="32749"/>
    <cellStyle name="표준 10 12 5" xfId="32750"/>
    <cellStyle name="표준 10 13" xfId="32751"/>
    <cellStyle name="표준 10 13 2" xfId="32752"/>
    <cellStyle name="표준 10 13 2 2" xfId="32753"/>
    <cellStyle name="표준 10 13 2 2 2" xfId="32754"/>
    <cellStyle name="표준 10 13 2 2 3" xfId="32755"/>
    <cellStyle name="표준 10 13 2 3" xfId="32756"/>
    <cellStyle name="표준 10 13 2 4" xfId="32757"/>
    <cellStyle name="표준 10 13 3" xfId="32758"/>
    <cellStyle name="표준 10 13 3 2" xfId="32759"/>
    <cellStyle name="표준 10 13 3 3" xfId="32760"/>
    <cellStyle name="표준 10 13 4" xfId="32761"/>
    <cellStyle name="표준 10 13 5" xfId="32762"/>
    <cellStyle name="표준 10 14" xfId="32763"/>
    <cellStyle name="표준 10 14 2" xfId="32764"/>
    <cellStyle name="표준 10 14 2 2" xfId="32765"/>
    <cellStyle name="표준 10 14 2 3" xfId="32766"/>
    <cellStyle name="표준 10 14 3" xfId="32767"/>
    <cellStyle name="표준 10 14 4" xfId="32768"/>
    <cellStyle name="표준 10 15" xfId="32769"/>
    <cellStyle name="표준 10 15 2" xfId="32770"/>
    <cellStyle name="표준 10 15 3" xfId="32771"/>
    <cellStyle name="표준 10 16" xfId="32772"/>
    <cellStyle name="표준 10 17" xfId="32773"/>
    <cellStyle name="표준 10 18" xfId="32774"/>
    <cellStyle name="표준 10 2" xfId="32775"/>
    <cellStyle name="표준 10 2 10" xfId="32776"/>
    <cellStyle name="표준 10 2 10 2" xfId="32777"/>
    <cellStyle name="표준 10 2 10 2 2" xfId="32778"/>
    <cellStyle name="표준 10 2 10 2 2 2" xfId="32779"/>
    <cellStyle name="표준 10 2 10 2 2 3" xfId="32780"/>
    <cellStyle name="표준 10 2 10 2 3" xfId="32781"/>
    <cellStyle name="표준 10 2 10 2 4" xfId="32782"/>
    <cellStyle name="표준 10 2 10 3" xfId="32783"/>
    <cellStyle name="표준 10 2 10 3 2" xfId="32784"/>
    <cellStyle name="표준 10 2 10 3 3" xfId="32785"/>
    <cellStyle name="표준 10 2 10 4" xfId="32786"/>
    <cellStyle name="표준 10 2 10 5" xfId="32787"/>
    <cellStyle name="표준 10 2 11" xfId="32788"/>
    <cellStyle name="표준 10 2 11 2" xfId="32789"/>
    <cellStyle name="표준 10 2 11 2 2" xfId="32790"/>
    <cellStyle name="표준 10 2 11 2 3" xfId="32791"/>
    <cellStyle name="표준 10 2 11 3" xfId="32792"/>
    <cellStyle name="표준 10 2 11 4" xfId="32793"/>
    <cellStyle name="표준 10 2 12" xfId="32794"/>
    <cellStyle name="표준 10 2 12 2" xfId="32795"/>
    <cellStyle name="표준 10 2 12 3" xfId="32796"/>
    <cellStyle name="표준 10 2 13" xfId="32797"/>
    <cellStyle name="표준 10 2 14" xfId="32798"/>
    <cellStyle name="표준 10 2 2" xfId="32799"/>
    <cellStyle name="표준 10 2 2 10" xfId="32800"/>
    <cellStyle name="표준 10 2 2 10 2" xfId="32801"/>
    <cellStyle name="표준 10 2 2 10 2 2" xfId="32802"/>
    <cellStyle name="표준 10 2 2 10 2 3" xfId="32803"/>
    <cellStyle name="표준 10 2 2 10 3" xfId="32804"/>
    <cellStyle name="표준 10 2 2 10 4" xfId="32805"/>
    <cellStyle name="표준 10 2 2 11" xfId="32806"/>
    <cellStyle name="표준 10 2 2 11 2" xfId="32807"/>
    <cellStyle name="표준 10 2 2 11 3" xfId="32808"/>
    <cellStyle name="표준 10 2 2 12" xfId="32809"/>
    <cellStyle name="표준 10 2 2 13" xfId="32810"/>
    <cellStyle name="표준 10 2 2 2" xfId="32811"/>
    <cellStyle name="표준 10 2 2 2 10" xfId="32812"/>
    <cellStyle name="표준 10 2 2 2 2" xfId="32813"/>
    <cellStyle name="표준 10 2 2 2 2 2" xfId="32814"/>
    <cellStyle name="표준 10 2 2 2 2 2 2" xfId="32815"/>
    <cellStyle name="표준 10 2 2 2 2 2 2 2" xfId="32816"/>
    <cellStyle name="표준 10 2 2 2 2 2 2 2 2" xfId="32817"/>
    <cellStyle name="표준 10 2 2 2 2 2 2 2 3" xfId="32818"/>
    <cellStyle name="표준 10 2 2 2 2 2 2 3" xfId="32819"/>
    <cellStyle name="표준 10 2 2 2 2 2 2 4" xfId="32820"/>
    <cellStyle name="표준 10 2 2 2 2 2 3" xfId="32821"/>
    <cellStyle name="표준 10 2 2 2 2 2 3 2" xfId="32822"/>
    <cellStyle name="표준 10 2 2 2 2 2 3 3" xfId="32823"/>
    <cellStyle name="표준 10 2 2 2 2 2 4" xfId="32824"/>
    <cellStyle name="표준 10 2 2 2 2 2 5" xfId="32825"/>
    <cellStyle name="표준 10 2 2 2 2 3" xfId="32826"/>
    <cellStyle name="표준 10 2 2 2 2 3 2" xfId="32827"/>
    <cellStyle name="표준 10 2 2 2 2 3 2 2" xfId="32828"/>
    <cellStyle name="표준 10 2 2 2 2 3 2 2 2" xfId="32829"/>
    <cellStyle name="표준 10 2 2 2 2 3 2 2 3" xfId="32830"/>
    <cellStyle name="표준 10 2 2 2 2 3 2 3" xfId="32831"/>
    <cellStyle name="표준 10 2 2 2 2 3 2 4" xfId="32832"/>
    <cellStyle name="표준 10 2 2 2 2 3 3" xfId="32833"/>
    <cellStyle name="표준 10 2 2 2 2 3 3 2" xfId="32834"/>
    <cellStyle name="표준 10 2 2 2 2 3 3 3" xfId="32835"/>
    <cellStyle name="표준 10 2 2 2 2 3 4" xfId="32836"/>
    <cellStyle name="표준 10 2 2 2 2 3 5" xfId="32837"/>
    <cellStyle name="표준 10 2 2 2 2 4" xfId="32838"/>
    <cellStyle name="표준 10 2 2 2 2 4 2" xfId="32839"/>
    <cellStyle name="표준 10 2 2 2 2 4 2 2" xfId="32840"/>
    <cellStyle name="표준 10 2 2 2 2 4 2 3" xfId="32841"/>
    <cellStyle name="표준 10 2 2 2 2 4 3" xfId="32842"/>
    <cellStyle name="표준 10 2 2 2 2 4 4" xfId="32843"/>
    <cellStyle name="표준 10 2 2 2 2 5" xfId="32844"/>
    <cellStyle name="표준 10 2 2 2 2 5 2" xfId="32845"/>
    <cellStyle name="표준 10 2 2 2 2 5 3" xfId="32846"/>
    <cellStyle name="표준 10 2 2 2 2 6" xfId="32847"/>
    <cellStyle name="표준 10 2 2 2 2 7" xfId="32848"/>
    <cellStyle name="표준 10 2 2 2 3" xfId="32849"/>
    <cellStyle name="표준 10 2 2 2 3 2" xfId="32850"/>
    <cellStyle name="표준 10 2 2 2 3 2 2" xfId="32851"/>
    <cellStyle name="표준 10 2 2 2 3 2 2 2" xfId="32852"/>
    <cellStyle name="표준 10 2 2 2 3 2 2 2 2" xfId="32853"/>
    <cellStyle name="표준 10 2 2 2 3 2 2 2 3" xfId="32854"/>
    <cellStyle name="표준 10 2 2 2 3 2 2 3" xfId="32855"/>
    <cellStyle name="표준 10 2 2 2 3 2 2 4" xfId="32856"/>
    <cellStyle name="표준 10 2 2 2 3 2 3" xfId="32857"/>
    <cellStyle name="표준 10 2 2 2 3 2 3 2" xfId="32858"/>
    <cellStyle name="표준 10 2 2 2 3 2 3 3" xfId="32859"/>
    <cellStyle name="표준 10 2 2 2 3 2 4" xfId="32860"/>
    <cellStyle name="표준 10 2 2 2 3 2 5" xfId="32861"/>
    <cellStyle name="표준 10 2 2 2 3 3" xfId="32862"/>
    <cellStyle name="표준 10 2 2 2 3 3 2" xfId="32863"/>
    <cellStyle name="표준 10 2 2 2 3 3 2 2" xfId="32864"/>
    <cellStyle name="표준 10 2 2 2 3 3 2 2 2" xfId="32865"/>
    <cellStyle name="표준 10 2 2 2 3 3 2 2 3" xfId="32866"/>
    <cellStyle name="표준 10 2 2 2 3 3 2 3" xfId="32867"/>
    <cellStyle name="표준 10 2 2 2 3 3 2 4" xfId="32868"/>
    <cellStyle name="표준 10 2 2 2 3 3 3" xfId="32869"/>
    <cellStyle name="표준 10 2 2 2 3 3 3 2" xfId="32870"/>
    <cellStyle name="표준 10 2 2 2 3 3 3 3" xfId="32871"/>
    <cellStyle name="표준 10 2 2 2 3 3 4" xfId="32872"/>
    <cellStyle name="표준 10 2 2 2 3 3 5" xfId="32873"/>
    <cellStyle name="표준 10 2 2 2 3 4" xfId="32874"/>
    <cellStyle name="표준 10 2 2 2 3 4 2" xfId="32875"/>
    <cellStyle name="표준 10 2 2 2 3 4 2 2" xfId="32876"/>
    <cellStyle name="표준 10 2 2 2 3 4 2 3" xfId="32877"/>
    <cellStyle name="표준 10 2 2 2 3 4 3" xfId="32878"/>
    <cellStyle name="표준 10 2 2 2 3 4 4" xfId="32879"/>
    <cellStyle name="표준 10 2 2 2 3 5" xfId="32880"/>
    <cellStyle name="표준 10 2 2 2 3 5 2" xfId="32881"/>
    <cellStyle name="표준 10 2 2 2 3 5 3" xfId="32882"/>
    <cellStyle name="표준 10 2 2 2 3 6" xfId="32883"/>
    <cellStyle name="표준 10 2 2 2 3 7" xfId="32884"/>
    <cellStyle name="표준 10 2 2 2 4" xfId="32885"/>
    <cellStyle name="표준 10 2 2 2 4 2" xfId="32886"/>
    <cellStyle name="표준 10 2 2 2 4 2 2" xfId="32887"/>
    <cellStyle name="표준 10 2 2 2 4 2 2 2" xfId="32888"/>
    <cellStyle name="표준 10 2 2 2 4 2 2 3" xfId="32889"/>
    <cellStyle name="표준 10 2 2 2 4 2 3" xfId="32890"/>
    <cellStyle name="표준 10 2 2 2 4 2 4" xfId="32891"/>
    <cellStyle name="표준 10 2 2 2 4 3" xfId="32892"/>
    <cellStyle name="표준 10 2 2 2 4 3 2" xfId="32893"/>
    <cellStyle name="표준 10 2 2 2 4 3 3" xfId="32894"/>
    <cellStyle name="표준 10 2 2 2 4 4" xfId="32895"/>
    <cellStyle name="표준 10 2 2 2 4 5" xfId="32896"/>
    <cellStyle name="표준 10 2 2 2 5" xfId="32897"/>
    <cellStyle name="표준 10 2 2 2 5 2" xfId="32898"/>
    <cellStyle name="표준 10 2 2 2 5 2 2" xfId="32899"/>
    <cellStyle name="표준 10 2 2 2 5 2 2 2" xfId="32900"/>
    <cellStyle name="표준 10 2 2 2 5 2 2 3" xfId="32901"/>
    <cellStyle name="표준 10 2 2 2 5 2 3" xfId="32902"/>
    <cellStyle name="표준 10 2 2 2 5 2 4" xfId="32903"/>
    <cellStyle name="표준 10 2 2 2 5 3" xfId="32904"/>
    <cellStyle name="표준 10 2 2 2 5 3 2" xfId="32905"/>
    <cellStyle name="표준 10 2 2 2 5 3 3" xfId="32906"/>
    <cellStyle name="표준 10 2 2 2 5 4" xfId="32907"/>
    <cellStyle name="표준 10 2 2 2 5 5" xfId="32908"/>
    <cellStyle name="표준 10 2 2 2 6" xfId="32909"/>
    <cellStyle name="표준 10 2 2 2 6 2" xfId="32910"/>
    <cellStyle name="표준 10 2 2 2 6 2 2" xfId="32911"/>
    <cellStyle name="표준 10 2 2 2 6 2 2 2" xfId="32912"/>
    <cellStyle name="표준 10 2 2 2 6 2 2 3" xfId="32913"/>
    <cellStyle name="표준 10 2 2 2 6 2 3" xfId="32914"/>
    <cellStyle name="표준 10 2 2 2 6 2 4" xfId="32915"/>
    <cellStyle name="표준 10 2 2 2 6 3" xfId="32916"/>
    <cellStyle name="표준 10 2 2 2 6 3 2" xfId="32917"/>
    <cellStyle name="표준 10 2 2 2 6 3 3" xfId="32918"/>
    <cellStyle name="표준 10 2 2 2 6 4" xfId="32919"/>
    <cellStyle name="표준 10 2 2 2 6 5" xfId="32920"/>
    <cellStyle name="표준 10 2 2 2 7" xfId="32921"/>
    <cellStyle name="표준 10 2 2 2 7 2" xfId="32922"/>
    <cellStyle name="표준 10 2 2 2 7 2 2" xfId="32923"/>
    <cellStyle name="표준 10 2 2 2 7 2 3" xfId="32924"/>
    <cellStyle name="표준 10 2 2 2 7 3" xfId="32925"/>
    <cellStyle name="표준 10 2 2 2 7 4" xfId="32926"/>
    <cellStyle name="표준 10 2 2 2 8" xfId="32927"/>
    <cellStyle name="표준 10 2 2 2 8 2" xfId="32928"/>
    <cellStyle name="표준 10 2 2 2 8 3" xfId="32929"/>
    <cellStyle name="표준 10 2 2 2 9" xfId="32930"/>
    <cellStyle name="표준 10 2 2 3" xfId="32931"/>
    <cellStyle name="표준 10 2 2 3 10" xfId="32932"/>
    <cellStyle name="표준 10 2 2 3 2" xfId="32933"/>
    <cellStyle name="표준 10 2 2 3 2 2" xfId="32934"/>
    <cellStyle name="표준 10 2 2 3 2 2 2" xfId="32935"/>
    <cellStyle name="표준 10 2 2 3 2 2 2 2" xfId="32936"/>
    <cellStyle name="표준 10 2 2 3 2 2 2 2 2" xfId="32937"/>
    <cellStyle name="표준 10 2 2 3 2 2 2 2 3" xfId="32938"/>
    <cellStyle name="표준 10 2 2 3 2 2 2 3" xfId="32939"/>
    <cellStyle name="표준 10 2 2 3 2 2 2 4" xfId="32940"/>
    <cellStyle name="표준 10 2 2 3 2 2 3" xfId="32941"/>
    <cellStyle name="표준 10 2 2 3 2 2 3 2" xfId="32942"/>
    <cellStyle name="표준 10 2 2 3 2 2 3 3" xfId="32943"/>
    <cellStyle name="표준 10 2 2 3 2 2 4" xfId="32944"/>
    <cellStyle name="표준 10 2 2 3 2 2 5" xfId="32945"/>
    <cellStyle name="표준 10 2 2 3 2 3" xfId="32946"/>
    <cellStyle name="표준 10 2 2 3 2 3 2" xfId="32947"/>
    <cellStyle name="표준 10 2 2 3 2 3 2 2" xfId="32948"/>
    <cellStyle name="표준 10 2 2 3 2 3 2 2 2" xfId="32949"/>
    <cellStyle name="표준 10 2 2 3 2 3 2 2 3" xfId="32950"/>
    <cellStyle name="표준 10 2 2 3 2 3 2 3" xfId="32951"/>
    <cellStyle name="표준 10 2 2 3 2 3 2 4" xfId="32952"/>
    <cellStyle name="표준 10 2 2 3 2 3 3" xfId="32953"/>
    <cellStyle name="표준 10 2 2 3 2 3 3 2" xfId="32954"/>
    <cellStyle name="표준 10 2 2 3 2 3 3 3" xfId="32955"/>
    <cellStyle name="표준 10 2 2 3 2 3 4" xfId="32956"/>
    <cellStyle name="표준 10 2 2 3 2 3 5" xfId="32957"/>
    <cellStyle name="표준 10 2 2 3 2 4" xfId="32958"/>
    <cellStyle name="표준 10 2 2 3 2 4 2" xfId="32959"/>
    <cellStyle name="표준 10 2 2 3 2 4 2 2" xfId="32960"/>
    <cellStyle name="표준 10 2 2 3 2 4 2 3" xfId="32961"/>
    <cellStyle name="표준 10 2 2 3 2 4 3" xfId="32962"/>
    <cellStyle name="표준 10 2 2 3 2 4 4" xfId="32963"/>
    <cellStyle name="표준 10 2 2 3 2 5" xfId="32964"/>
    <cellStyle name="표준 10 2 2 3 2 5 2" xfId="32965"/>
    <cellStyle name="표준 10 2 2 3 2 5 3" xfId="32966"/>
    <cellStyle name="표준 10 2 2 3 2 6" xfId="32967"/>
    <cellStyle name="표준 10 2 2 3 2 7" xfId="32968"/>
    <cellStyle name="표준 10 2 2 3 3" xfId="32969"/>
    <cellStyle name="표준 10 2 2 3 3 2" xfId="32970"/>
    <cellStyle name="표준 10 2 2 3 3 2 2" xfId="32971"/>
    <cellStyle name="표준 10 2 2 3 3 2 2 2" xfId="32972"/>
    <cellStyle name="표준 10 2 2 3 3 2 2 2 2" xfId="32973"/>
    <cellStyle name="표준 10 2 2 3 3 2 2 2 3" xfId="32974"/>
    <cellStyle name="표준 10 2 2 3 3 2 2 3" xfId="32975"/>
    <cellStyle name="표준 10 2 2 3 3 2 2 4" xfId="32976"/>
    <cellStyle name="표준 10 2 2 3 3 2 3" xfId="32977"/>
    <cellStyle name="표준 10 2 2 3 3 2 3 2" xfId="32978"/>
    <cellStyle name="표준 10 2 2 3 3 2 3 3" xfId="32979"/>
    <cellStyle name="표준 10 2 2 3 3 2 4" xfId="32980"/>
    <cellStyle name="표준 10 2 2 3 3 2 5" xfId="32981"/>
    <cellStyle name="표준 10 2 2 3 3 3" xfId="32982"/>
    <cellStyle name="표준 10 2 2 3 3 3 2" xfId="32983"/>
    <cellStyle name="표준 10 2 2 3 3 3 2 2" xfId="32984"/>
    <cellStyle name="표준 10 2 2 3 3 3 2 2 2" xfId="32985"/>
    <cellStyle name="표준 10 2 2 3 3 3 2 2 3" xfId="32986"/>
    <cellStyle name="표준 10 2 2 3 3 3 2 3" xfId="32987"/>
    <cellStyle name="표준 10 2 2 3 3 3 2 4" xfId="32988"/>
    <cellStyle name="표준 10 2 2 3 3 3 3" xfId="32989"/>
    <cellStyle name="표준 10 2 2 3 3 3 3 2" xfId="32990"/>
    <cellStyle name="표준 10 2 2 3 3 3 3 3" xfId="32991"/>
    <cellStyle name="표준 10 2 2 3 3 3 4" xfId="32992"/>
    <cellStyle name="표준 10 2 2 3 3 3 5" xfId="32993"/>
    <cellStyle name="표준 10 2 2 3 3 4" xfId="32994"/>
    <cellStyle name="표준 10 2 2 3 3 4 2" xfId="32995"/>
    <cellStyle name="표준 10 2 2 3 3 4 2 2" xfId="32996"/>
    <cellStyle name="표준 10 2 2 3 3 4 2 3" xfId="32997"/>
    <cellStyle name="표준 10 2 2 3 3 4 3" xfId="32998"/>
    <cellStyle name="표준 10 2 2 3 3 4 4" xfId="32999"/>
    <cellStyle name="표준 10 2 2 3 3 5" xfId="33000"/>
    <cellStyle name="표준 10 2 2 3 3 5 2" xfId="33001"/>
    <cellStyle name="표준 10 2 2 3 3 5 3" xfId="33002"/>
    <cellStyle name="표준 10 2 2 3 3 6" xfId="33003"/>
    <cellStyle name="표준 10 2 2 3 3 7" xfId="33004"/>
    <cellStyle name="표준 10 2 2 3 4" xfId="33005"/>
    <cellStyle name="표준 10 2 2 3 4 2" xfId="33006"/>
    <cellStyle name="표준 10 2 2 3 4 2 2" xfId="33007"/>
    <cellStyle name="표준 10 2 2 3 4 2 2 2" xfId="33008"/>
    <cellStyle name="표준 10 2 2 3 4 2 2 3" xfId="33009"/>
    <cellStyle name="표준 10 2 2 3 4 2 3" xfId="33010"/>
    <cellStyle name="표준 10 2 2 3 4 2 4" xfId="33011"/>
    <cellStyle name="표준 10 2 2 3 4 3" xfId="33012"/>
    <cellStyle name="표준 10 2 2 3 4 3 2" xfId="33013"/>
    <cellStyle name="표준 10 2 2 3 4 3 3" xfId="33014"/>
    <cellStyle name="표준 10 2 2 3 4 4" xfId="33015"/>
    <cellStyle name="표준 10 2 2 3 4 5" xfId="33016"/>
    <cellStyle name="표준 10 2 2 3 5" xfId="33017"/>
    <cellStyle name="표준 10 2 2 3 5 2" xfId="33018"/>
    <cellStyle name="표준 10 2 2 3 5 2 2" xfId="33019"/>
    <cellStyle name="표준 10 2 2 3 5 2 2 2" xfId="33020"/>
    <cellStyle name="표준 10 2 2 3 5 2 2 3" xfId="33021"/>
    <cellStyle name="표준 10 2 2 3 5 2 3" xfId="33022"/>
    <cellStyle name="표준 10 2 2 3 5 2 4" xfId="33023"/>
    <cellStyle name="표준 10 2 2 3 5 3" xfId="33024"/>
    <cellStyle name="표준 10 2 2 3 5 3 2" xfId="33025"/>
    <cellStyle name="표준 10 2 2 3 5 3 3" xfId="33026"/>
    <cellStyle name="표준 10 2 2 3 5 4" xfId="33027"/>
    <cellStyle name="표준 10 2 2 3 5 5" xfId="33028"/>
    <cellStyle name="표준 10 2 2 3 6" xfId="33029"/>
    <cellStyle name="표준 10 2 2 3 6 2" xfId="33030"/>
    <cellStyle name="표준 10 2 2 3 6 2 2" xfId="33031"/>
    <cellStyle name="표준 10 2 2 3 6 2 2 2" xfId="33032"/>
    <cellStyle name="표준 10 2 2 3 6 2 2 3" xfId="33033"/>
    <cellStyle name="표준 10 2 2 3 6 2 3" xfId="33034"/>
    <cellStyle name="표준 10 2 2 3 6 2 4" xfId="33035"/>
    <cellStyle name="표준 10 2 2 3 6 3" xfId="33036"/>
    <cellStyle name="표준 10 2 2 3 6 3 2" xfId="33037"/>
    <cellStyle name="표준 10 2 2 3 6 3 3" xfId="33038"/>
    <cellStyle name="표준 10 2 2 3 6 4" xfId="33039"/>
    <cellStyle name="표준 10 2 2 3 6 5" xfId="33040"/>
    <cellStyle name="표준 10 2 2 3 7" xfId="33041"/>
    <cellStyle name="표준 10 2 2 3 7 2" xfId="33042"/>
    <cellStyle name="표준 10 2 2 3 7 2 2" xfId="33043"/>
    <cellStyle name="표준 10 2 2 3 7 2 3" xfId="33044"/>
    <cellStyle name="표준 10 2 2 3 7 3" xfId="33045"/>
    <cellStyle name="표준 10 2 2 3 7 4" xfId="33046"/>
    <cellStyle name="표준 10 2 2 3 8" xfId="33047"/>
    <cellStyle name="표준 10 2 2 3 8 2" xfId="33048"/>
    <cellStyle name="표준 10 2 2 3 8 3" xfId="33049"/>
    <cellStyle name="표준 10 2 2 3 9" xfId="33050"/>
    <cellStyle name="표준 10 2 2 4" xfId="33051"/>
    <cellStyle name="표준 10 2 2 4 10" xfId="33052"/>
    <cellStyle name="표준 10 2 2 4 2" xfId="33053"/>
    <cellStyle name="표준 10 2 2 4 2 2" xfId="33054"/>
    <cellStyle name="표준 10 2 2 4 2 2 2" xfId="33055"/>
    <cellStyle name="표준 10 2 2 4 2 2 2 2" xfId="33056"/>
    <cellStyle name="표준 10 2 2 4 2 2 2 2 2" xfId="33057"/>
    <cellStyle name="표준 10 2 2 4 2 2 2 2 3" xfId="33058"/>
    <cellStyle name="표준 10 2 2 4 2 2 2 3" xfId="33059"/>
    <cellStyle name="표준 10 2 2 4 2 2 2 4" xfId="33060"/>
    <cellStyle name="표준 10 2 2 4 2 2 3" xfId="33061"/>
    <cellStyle name="표준 10 2 2 4 2 2 3 2" xfId="33062"/>
    <cellStyle name="표준 10 2 2 4 2 2 3 3" xfId="33063"/>
    <cellStyle name="표준 10 2 2 4 2 2 4" xfId="33064"/>
    <cellStyle name="표준 10 2 2 4 2 2 5" xfId="33065"/>
    <cellStyle name="표준 10 2 2 4 2 3" xfId="33066"/>
    <cellStyle name="표준 10 2 2 4 2 3 2" xfId="33067"/>
    <cellStyle name="표준 10 2 2 4 2 3 2 2" xfId="33068"/>
    <cellStyle name="표준 10 2 2 4 2 3 2 2 2" xfId="33069"/>
    <cellStyle name="표준 10 2 2 4 2 3 2 2 3" xfId="33070"/>
    <cellStyle name="표준 10 2 2 4 2 3 2 3" xfId="33071"/>
    <cellStyle name="표준 10 2 2 4 2 3 2 4" xfId="33072"/>
    <cellStyle name="표준 10 2 2 4 2 3 3" xfId="33073"/>
    <cellStyle name="표준 10 2 2 4 2 3 3 2" xfId="33074"/>
    <cellStyle name="표준 10 2 2 4 2 3 3 3" xfId="33075"/>
    <cellStyle name="표준 10 2 2 4 2 3 4" xfId="33076"/>
    <cellStyle name="표준 10 2 2 4 2 3 5" xfId="33077"/>
    <cellStyle name="표준 10 2 2 4 2 4" xfId="33078"/>
    <cellStyle name="표준 10 2 2 4 2 4 2" xfId="33079"/>
    <cellStyle name="표준 10 2 2 4 2 4 2 2" xfId="33080"/>
    <cellStyle name="표준 10 2 2 4 2 4 2 3" xfId="33081"/>
    <cellStyle name="표준 10 2 2 4 2 4 3" xfId="33082"/>
    <cellStyle name="표준 10 2 2 4 2 4 4" xfId="33083"/>
    <cellStyle name="표준 10 2 2 4 2 5" xfId="33084"/>
    <cellStyle name="표준 10 2 2 4 2 5 2" xfId="33085"/>
    <cellStyle name="표준 10 2 2 4 2 5 3" xfId="33086"/>
    <cellStyle name="표준 10 2 2 4 2 6" xfId="33087"/>
    <cellStyle name="표준 10 2 2 4 2 7" xfId="33088"/>
    <cellStyle name="표준 10 2 2 4 3" xfId="33089"/>
    <cellStyle name="표준 10 2 2 4 3 2" xfId="33090"/>
    <cellStyle name="표준 10 2 2 4 3 2 2" xfId="33091"/>
    <cellStyle name="표준 10 2 2 4 3 2 2 2" xfId="33092"/>
    <cellStyle name="표준 10 2 2 4 3 2 2 2 2" xfId="33093"/>
    <cellStyle name="표준 10 2 2 4 3 2 2 2 3" xfId="33094"/>
    <cellStyle name="표준 10 2 2 4 3 2 2 3" xfId="33095"/>
    <cellStyle name="표준 10 2 2 4 3 2 2 4" xfId="33096"/>
    <cellStyle name="표준 10 2 2 4 3 2 3" xfId="33097"/>
    <cellStyle name="표준 10 2 2 4 3 2 3 2" xfId="33098"/>
    <cellStyle name="표준 10 2 2 4 3 2 3 3" xfId="33099"/>
    <cellStyle name="표준 10 2 2 4 3 2 4" xfId="33100"/>
    <cellStyle name="표준 10 2 2 4 3 2 5" xfId="33101"/>
    <cellStyle name="표준 10 2 2 4 3 3" xfId="33102"/>
    <cellStyle name="표준 10 2 2 4 3 3 2" xfId="33103"/>
    <cellStyle name="표준 10 2 2 4 3 3 2 2" xfId="33104"/>
    <cellStyle name="표준 10 2 2 4 3 3 2 2 2" xfId="33105"/>
    <cellStyle name="표준 10 2 2 4 3 3 2 2 3" xfId="33106"/>
    <cellStyle name="표준 10 2 2 4 3 3 2 3" xfId="33107"/>
    <cellStyle name="표준 10 2 2 4 3 3 2 4" xfId="33108"/>
    <cellStyle name="표준 10 2 2 4 3 3 3" xfId="33109"/>
    <cellStyle name="표준 10 2 2 4 3 3 3 2" xfId="33110"/>
    <cellStyle name="표준 10 2 2 4 3 3 3 3" xfId="33111"/>
    <cellStyle name="표준 10 2 2 4 3 3 4" xfId="33112"/>
    <cellStyle name="표준 10 2 2 4 3 3 5" xfId="33113"/>
    <cellStyle name="표준 10 2 2 4 3 4" xfId="33114"/>
    <cellStyle name="표준 10 2 2 4 3 4 2" xfId="33115"/>
    <cellStyle name="표준 10 2 2 4 3 4 2 2" xfId="33116"/>
    <cellStyle name="표준 10 2 2 4 3 4 2 3" xfId="33117"/>
    <cellStyle name="표준 10 2 2 4 3 4 3" xfId="33118"/>
    <cellStyle name="표준 10 2 2 4 3 4 4" xfId="33119"/>
    <cellStyle name="표준 10 2 2 4 3 5" xfId="33120"/>
    <cellStyle name="표준 10 2 2 4 3 5 2" xfId="33121"/>
    <cellStyle name="표준 10 2 2 4 3 5 3" xfId="33122"/>
    <cellStyle name="표준 10 2 2 4 3 6" xfId="33123"/>
    <cellStyle name="표준 10 2 2 4 3 7" xfId="33124"/>
    <cellStyle name="표준 10 2 2 4 4" xfId="33125"/>
    <cellStyle name="표준 10 2 2 4 4 2" xfId="33126"/>
    <cellStyle name="표준 10 2 2 4 4 2 2" xfId="33127"/>
    <cellStyle name="표준 10 2 2 4 4 2 2 2" xfId="33128"/>
    <cellStyle name="표준 10 2 2 4 4 2 2 3" xfId="33129"/>
    <cellStyle name="표준 10 2 2 4 4 2 3" xfId="33130"/>
    <cellStyle name="표준 10 2 2 4 4 2 4" xfId="33131"/>
    <cellStyle name="표준 10 2 2 4 4 3" xfId="33132"/>
    <cellStyle name="표준 10 2 2 4 4 3 2" xfId="33133"/>
    <cellStyle name="표준 10 2 2 4 4 3 3" xfId="33134"/>
    <cellStyle name="표준 10 2 2 4 4 4" xfId="33135"/>
    <cellStyle name="표준 10 2 2 4 4 5" xfId="33136"/>
    <cellStyle name="표준 10 2 2 4 5" xfId="33137"/>
    <cellStyle name="표준 10 2 2 4 5 2" xfId="33138"/>
    <cellStyle name="표준 10 2 2 4 5 2 2" xfId="33139"/>
    <cellStyle name="표준 10 2 2 4 5 2 2 2" xfId="33140"/>
    <cellStyle name="표준 10 2 2 4 5 2 2 3" xfId="33141"/>
    <cellStyle name="표준 10 2 2 4 5 2 3" xfId="33142"/>
    <cellStyle name="표준 10 2 2 4 5 2 4" xfId="33143"/>
    <cellStyle name="표준 10 2 2 4 5 3" xfId="33144"/>
    <cellStyle name="표준 10 2 2 4 5 3 2" xfId="33145"/>
    <cellStyle name="표준 10 2 2 4 5 3 3" xfId="33146"/>
    <cellStyle name="표준 10 2 2 4 5 4" xfId="33147"/>
    <cellStyle name="표준 10 2 2 4 5 5" xfId="33148"/>
    <cellStyle name="표준 10 2 2 4 6" xfId="33149"/>
    <cellStyle name="표준 10 2 2 4 6 2" xfId="33150"/>
    <cellStyle name="표준 10 2 2 4 6 2 2" xfId="33151"/>
    <cellStyle name="표준 10 2 2 4 6 2 2 2" xfId="33152"/>
    <cellStyle name="표준 10 2 2 4 6 2 2 3" xfId="33153"/>
    <cellStyle name="표준 10 2 2 4 6 2 3" xfId="33154"/>
    <cellStyle name="표준 10 2 2 4 6 2 4" xfId="33155"/>
    <cellStyle name="표준 10 2 2 4 6 3" xfId="33156"/>
    <cellStyle name="표준 10 2 2 4 6 3 2" xfId="33157"/>
    <cellStyle name="표준 10 2 2 4 6 3 3" xfId="33158"/>
    <cellStyle name="표준 10 2 2 4 6 4" xfId="33159"/>
    <cellStyle name="표준 10 2 2 4 6 5" xfId="33160"/>
    <cellStyle name="표준 10 2 2 4 7" xfId="33161"/>
    <cellStyle name="표준 10 2 2 4 7 2" xfId="33162"/>
    <cellStyle name="표준 10 2 2 4 7 2 2" xfId="33163"/>
    <cellStyle name="표준 10 2 2 4 7 2 3" xfId="33164"/>
    <cellStyle name="표준 10 2 2 4 7 3" xfId="33165"/>
    <cellStyle name="표준 10 2 2 4 7 4" xfId="33166"/>
    <cellStyle name="표준 10 2 2 4 8" xfId="33167"/>
    <cellStyle name="표준 10 2 2 4 8 2" xfId="33168"/>
    <cellStyle name="표준 10 2 2 4 8 3" xfId="33169"/>
    <cellStyle name="표준 10 2 2 4 9" xfId="33170"/>
    <cellStyle name="표준 10 2 2 5" xfId="33171"/>
    <cellStyle name="표준 10 2 2 5 2" xfId="33172"/>
    <cellStyle name="표준 10 2 2 5 2 2" xfId="33173"/>
    <cellStyle name="표준 10 2 2 5 2 2 2" xfId="33174"/>
    <cellStyle name="표준 10 2 2 5 2 2 2 2" xfId="33175"/>
    <cellStyle name="표준 10 2 2 5 2 2 2 3" xfId="33176"/>
    <cellStyle name="표준 10 2 2 5 2 2 3" xfId="33177"/>
    <cellStyle name="표준 10 2 2 5 2 2 4" xfId="33178"/>
    <cellStyle name="표준 10 2 2 5 2 3" xfId="33179"/>
    <cellStyle name="표준 10 2 2 5 2 3 2" xfId="33180"/>
    <cellStyle name="표준 10 2 2 5 2 3 3" xfId="33181"/>
    <cellStyle name="표준 10 2 2 5 2 4" xfId="33182"/>
    <cellStyle name="표준 10 2 2 5 2 5" xfId="33183"/>
    <cellStyle name="표준 10 2 2 5 3" xfId="33184"/>
    <cellStyle name="표준 10 2 2 5 3 2" xfId="33185"/>
    <cellStyle name="표준 10 2 2 5 3 2 2" xfId="33186"/>
    <cellStyle name="표준 10 2 2 5 3 2 2 2" xfId="33187"/>
    <cellStyle name="표준 10 2 2 5 3 2 2 3" xfId="33188"/>
    <cellStyle name="표준 10 2 2 5 3 2 3" xfId="33189"/>
    <cellStyle name="표준 10 2 2 5 3 2 4" xfId="33190"/>
    <cellStyle name="표준 10 2 2 5 3 3" xfId="33191"/>
    <cellStyle name="표준 10 2 2 5 3 3 2" xfId="33192"/>
    <cellStyle name="표준 10 2 2 5 3 3 3" xfId="33193"/>
    <cellStyle name="표준 10 2 2 5 3 4" xfId="33194"/>
    <cellStyle name="표준 10 2 2 5 3 5" xfId="33195"/>
    <cellStyle name="표준 10 2 2 5 4" xfId="33196"/>
    <cellStyle name="표준 10 2 2 5 4 2" xfId="33197"/>
    <cellStyle name="표준 10 2 2 5 4 2 2" xfId="33198"/>
    <cellStyle name="표준 10 2 2 5 4 2 3" xfId="33199"/>
    <cellStyle name="표준 10 2 2 5 4 3" xfId="33200"/>
    <cellStyle name="표준 10 2 2 5 4 4" xfId="33201"/>
    <cellStyle name="표준 10 2 2 5 5" xfId="33202"/>
    <cellStyle name="표준 10 2 2 5 5 2" xfId="33203"/>
    <cellStyle name="표준 10 2 2 5 5 3" xfId="33204"/>
    <cellStyle name="표준 10 2 2 5 6" xfId="33205"/>
    <cellStyle name="표준 10 2 2 5 7" xfId="33206"/>
    <cellStyle name="표준 10 2 2 6" xfId="33207"/>
    <cellStyle name="표준 10 2 2 6 2" xfId="33208"/>
    <cellStyle name="표준 10 2 2 6 2 2" xfId="33209"/>
    <cellStyle name="표준 10 2 2 6 2 2 2" xfId="33210"/>
    <cellStyle name="표준 10 2 2 6 2 2 2 2" xfId="33211"/>
    <cellStyle name="표준 10 2 2 6 2 2 2 3" xfId="33212"/>
    <cellStyle name="표준 10 2 2 6 2 2 3" xfId="33213"/>
    <cellStyle name="표준 10 2 2 6 2 2 4" xfId="33214"/>
    <cellStyle name="표준 10 2 2 6 2 3" xfId="33215"/>
    <cellStyle name="표준 10 2 2 6 2 3 2" xfId="33216"/>
    <cellStyle name="표준 10 2 2 6 2 3 3" xfId="33217"/>
    <cellStyle name="표준 10 2 2 6 2 4" xfId="33218"/>
    <cellStyle name="표준 10 2 2 6 2 5" xfId="33219"/>
    <cellStyle name="표준 10 2 2 6 3" xfId="33220"/>
    <cellStyle name="표준 10 2 2 6 3 2" xfId="33221"/>
    <cellStyle name="표준 10 2 2 6 3 2 2" xfId="33222"/>
    <cellStyle name="표준 10 2 2 6 3 2 2 2" xfId="33223"/>
    <cellStyle name="표준 10 2 2 6 3 2 2 3" xfId="33224"/>
    <cellStyle name="표준 10 2 2 6 3 2 3" xfId="33225"/>
    <cellStyle name="표준 10 2 2 6 3 2 4" xfId="33226"/>
    <cellStyle name="표준 10 2 2 6 3 3" xfId="33227"/>
    <cellStyle name="표준 10 2 2 6 3 3 2" xfId="33228"/>
    <cellStyle name="표준 10 2 2 6 3 3 3" xfId="33229"/>
    <cellStyle name="표준 10 2 2 6 3 4" xfId="33230"/>
    <cellStyle name="표준 10 2 2 6 3 5" xfId="33231"/>
    <cellStyle name="표준 10 2 2 6 4" xfId="33232"/>
    <cellStyle name="표준 10 2 2 6 4 2" xfId="33233"/>
    <cellStyle name="표준 10 2 2 6 4 2 2" xfId="33234"/>
    <cellStyle name="표준 10 2 2 6 4 2 3" xfId="33235"/>
    <cellStyle name="표준 10 2 2 6 4 3" xfId="33236"/>
    <cellStyle name="표준 10 2 2 6 4 4" xfId="33237"/>
    <cellStyle name="표준 10 2 2 6 5" xfId="33238"/>
    <cellStyle name="표준 10 2 2 6 5 2" xfId="33239"/>
    <cellStyle name="표준 10 2 2 6 5 3" xfId="33240"/>
    <cellStyle name="표준 10 2 2 6 6" xfId="33241"/>
    <cellStyle name="표준 10 2 2 6 7" xfId="33242"/>
    <cellStyle name="표준 10 2 2 7" xfId="33243"/>
    <cellStyle name="표준 10 2 2 7 2" xfId="33244"/>
    <cellStyle name="표준 10 2 2 7 2 2" xfId="33245"/>
    <cellStyle name="표준 10 2 2 7 2 2 2" xfId="33246"/>
    <cellStyle name="표준 10 2 2 7 2 2 3" xfId="33247"/>
    <cellStyle name="표준 10 2 2 7 2 3" xfId="33248"/>
    <cellStyle name="표준 10 2 2 7 2 4" xfId="33249"/>
    <cellStyle name="표준 10 2 2 7 3" xfId="33250"/>
    <cellStyle name="표준 10 2 2 7 3 2" xfId="33251"/>
    <cellStyle name="표준 10 2 2 7 3 3" xfId="33252"/>
    <cellStyle name="표준 10 2 2 7 4" xfId="33253"/>
    <cellStyle name="표준 10 2 2 7 5" xfId="33254"/>
    <cellStyle name="표준 10 2 2 8" xfId="33255"/>
    <cellStyle name="표준 10 2 2 8 2" xfId="33256"/>
    <cellStyle name="표준 10 2 2 8 2 2" xfId="33257"/>
    <cellStyle name="표준 10 2 2 8 2 2 2" xfId="33258"/>
    <cellStyle name="표준 10 2 2 8 2 2 3" xfId="33259"/>
    <cellStyle name="표준 10 2 2 8 2 3" xfId="33260"/>
    <cellStyle name="표준 10 2 2 8 2 4" xfId="33261"/>
    <cellStyle name="표준 10 2 2 8 3" xfId="33262"/>
    <cellStyle name="표준 10 2 2 8 3 2" xfId="33263"/>
    <cellStyle name="표준 10 2 2 8 3 3" xfId="33264"/>
    <cellStyle name="표준 10 2 2 8 4" xfId="33265"/>
    <cellStyle name="표준 10 2 2 8 5" xfId="33266"/>
    <cellStyle name="표준 10 2 2 9" xfId="33267"/>
    <cellStyle name="표준 10 2 2 9 2" xfId="33268"/>
    <cellStyle name="표준 10 2 2 9 2 2" xfId="33269"/>
    <cellStyle name="표준 10 2 2 9 2 2 2" xfId="33270"/>
    <cellStyle name="표준 10 2 2 9 2 2 3" xfId="33271"/>
    <cellStyle name="표준 10 2 2 9 2 3" xfId="33272"/>
    <cellStyle name="표준 10 2 2 9 2 4" xfId="33273"/>
    <cellStyle name="표준 10 2 2 9 3" xfId="33274"/>
    <cellStyle name="표준 10 2 2 9 3 2" xfId="33275"/>
    <cellStyle name="표준 10 2 2 9 3 3" xfId="33276"/>
    <cellStyle name="표준 10 2 2 9 4" xfId="33277"/>
    <cellStyle name="표준 10 2 2 9 5" xfId="33278"/>
    <cellStyle name="표준 10 2 3" xfId="33279"/>
    <cellStyle name="표준 10 2 3 10" xfId="33280"/>
    <cellStyle name="표준 10 2 3 2" xfId="33281"/>
    <cellStyle name="표준 10 2 3 2 2" xfId="33282"/>
    <cellStyle name="표준 10 2 3 2 2 2" xfId="33283"/>
    <cellStyle name="표준 10 2 3 2 2 2 2" xfId="33284"/>
    <cellStyle name="표준 10 2 3 2 2 2 2 2" xfId="33285"/>
    <cellStyle name="표준 10 2 3 2 2 2 2 3" xfId="33286"/>
    <cellStyle name="표준 10 2 3 2 2 2 3" xfId="33287"/>
    <cellStyle name="표준 10 2 3 2 2 2 4" xfId="33288"/>
    <cellStyle name="표준 10 2 3 2 2 3" xfId="33289"/>
    <cellStyle name="표준 10 2 3 2 2 3 2" xfId="33290"/>
    <cellStyle name="표준 10 2 3 2 2 3 3" xfId="33291"/>
    <cellStyle name="표준 10 2 3 2 2 4" xfId="33292"/>
    <cellStyle name="표준 10 2 3 2 2 5" xfId="33293"/>
    <cellStyle name="표준 10 2 3 2 3" xfId="33294"/>
    <cellStyle name="표준 10 2 3 2 3 2" xfId="33295"/>
    <cellStyle name="표준 10 2 3 2 3 2 2" xfId="33296"/>
    <cellStyle name="표준 10 2 3 2 3 2 2 2" xfId="33297"/>
    <cellStyle name="표준 10 2 3 2 3 2 2 3" xfId="33298"/>
    <cellStyle name="표준 10 2 3 2 3 2 3" xfId="33299"/>
    <cellStyle name="표준 10 2 3 2 3 2 4" xfId="33300"/>
    <cellStyle name="표준 10 2 3 2 3 3" xfId="33301"/>
    <cellStyle name="표준 10 2 3 2 3 3 2" xfId="33302"/>
    <cellStyle name="표준 10 2 3 2 3 3 3" xfId="33303"/>
    <cellStyle name="표준 10 2 3 2 3 4" xfId="33304"/>
    <cellStyle name="표준 10 2 3 2 3 5" xfId="33305"/>
    <cellStyle name="표준 10 2 3 2 4" xfId="33306"/>
    <cellStyle name="표준 10 2 3 2 4 2" xfId="33307"/>
    <cellStyle name="표준 10 2 3 2 4 2 2" xfId="33308"/>
    <cellStyle name="표준 10 2 3 2 4 2 3" xfId="33309"/>
    <cellStyle name="표준 10 2 3 2 4 3" xfId="33310"/>
    <cellStyle name="표준 10 2 3 2 4 4" xfId="33311"/>
    <cellStyle name="표준 10 2 3 2 5" xfId="33312"/>
    <cellStyle name="표준 10 2 3 2 5 2" xfId="33313"/>
    <cellStyle name="표준 10 2 3 2 5 3" xfId="33314"/>
    <cellStyle name="표준 10 2 3 2 6" xfId="33315"/>
    <cellStyle name="표준 10 2 3 2 7" xfId="33316"/>
    <cellStyle name="표준 10 2 3 3" xfId="33317"/>
    <cellStyle name="표준 10 2 3 3 2" xfId="33318"/>
    <cellStyle name="표준 10 2 3 3 2 2" xfId="33319"/>
    <cellStyle name="표준 10 2 3 3 2 2 2" xfId="33320"/>
    <cellStyle name="표준 10 2 3 3 2 2 2 2" xfId="33321"/>
    <cellStyle name="표준 10 2 3 3 2 2 2 3" xfId="33322"/>
    <cellStyle name="표준 10 2 3 3 2 2 3" xfId="33323"/>
    <cellStyle name="표준 10 2 3 3 2 2 4" xfId="33324"/>
    <cellStyle name="표준 10 2 3 3 2 3" xfId="33325"/>
    <cellStyle name="표준 10 2 3 3 2 3 2" xfId="33326"/>
    <cellStyle name="표준 10 2 3 3 2 3 3" xfId="33327"/>
    <cellStyle name="표준 10 2 3 3 2 4" xfId="33328"/>
    <cellStyle name="표준 10 2 3 3 2 5" xfId="33329"/>
    <cellStyle name="표준 10 2 3 3 3" xfId="33330"/>
    <cellStyle name="표준 10 2 3 3 3 2" xfId="33331"/>
    <cellStyle name="표준 10 2 3 3 3 2 2" xfId="33332"/>
    <cellStyle name="표준 10 2 3 3 3 2 2 2" xfId="33333"/>
    <cellStyle name="표준 10 2 3 3 3 2 2 3" xfId="33334"/>
    <cellStyle name="표준 10 2 3 3 3 2 3" xfId="33335"/>
    <cellStyle name="표준 10 2 3 3 3 2 4" xfId="33336"/>
    <cellStyle name="표준 10 2 3 3 3 3" xfId="33337"/>
    <cellStyle name="표준 10 2 3 3 3 3 2" xfId="33338"/>
    <cellStyle name="표준 10 2 3 3 3 3 3" xfId="33339"/>
    <cellStyle name="표준 10 2 3 3 3 4" xfId="33340"/>
    <cellStyle name="표준 10 2 3 3 3 5" xfId="33341"/>
    <cellStyle name="표준 10 2 3 3 4" xfId="33342"/>
    <cellStyle name="표준 10 2 3 3 4 2" xfId="33343"/>
    <cellStyle name="표준 10 2 3 3 4 2 2" xfId="33344"/>
    <cellStyle name="표준 10 2 3 3 4 2 3" xfId="33345"/>
    <cellStyle name="표준 10 2 3 3 4 3" xfId="33346"/>
    <cellStyle name="표준 10 2 3 3 4 4" xfId="33347"/>
    <cellStyle name="표준 10 2 3 3 5" xfId="33348"/>
    <cellStyle name="표준 10 2 3 3 5 2" xfId="33349"/>
    <cellStyle name="표준 10 2 3 3 5 3" xfId="33350"/>
    <cellStyle name="표준 10 2 3 3 6" xfId="33351"/>
    <cellStyle name="표준 10 2 3 3 7" xfId="33352"/>
    <cellStyle name="표준 10 2 3 4" xfId="33353"/>
    <cellStyle name="표준 10 2 3 4 2" xfId="33354"/>
    <cellStyle name="표준 10 2 3 4 2 2" xfId="33355"/>
    <cellStyle name="표준 10 2 3 4 2 2 2" xfId="33356"/>
    <cellStyle name="표준 10 2 3 4 2 2 3" xfId="33357"/>
    <cellStyle name="표준 10 2 3 4 2 3" xfId="33358"/>
    <cellStyle name="표준 10 2 3 4 2 4" xfId="33359"/>
    <cellStyle name="표준 10 2 3 4 3" xfId="33360"/>
    <cellStyle name="표준 10 2 3 4 3 2" xfId="33361"/>
    <cellStyle name="표준 10 2 3 4 3 3" xfId="33362"/>
    <cellStyle name="표준 10 2 3 4 4" xfId="33363"/>
    <cellStyle name="표준 10 2 3 4 5" xfId="33364"/>
    <cellStyle name="표준 10 2 3 5" xfId="33365"/>
    <cellStyle name="표준 10 2 3 5 2" xfId="33366"/>
    <cellStyle name="표준 10 2 3 5 2 2" xfId="33367"/>
    <cellStyle name="표준 10 2 3 5 2 2 2" xfId="33368"/>
    <cellStyle name="표준 10 2 3 5 2 2 3" xfId="33369"/>
    <cellStyle name="표준 10 2 3 5 2 3" xfId="33370"/>
    <cellStyle name="표준 10 2 3 5 2 4" xfId="33371"/>
    <cellStyle name="표준 10 2 3 5 3" xfId="33372"/>
    <cellStyle name="표준 10 2 3 5 3 2" xfId="33373"/>
    <cellStyle name="표준 10 2 3 5 3 3" xfId="33374"/>
    <cellStyle name="표준 10 2 3 5 4" xfId="33375"/>
    <cellStyle name="표준 10 2 3 5 5" xfId="33376"/>
    <cellStyle name="표준 10 2 3 6" xfId="33377"/>
    <cellStyle name="표준 10 2 3 6 2" xfId="33378"/>
    <cellStyle name="표준 10 2 3 6 2 2" xfId="33379"/>
    <cellStyle name="표준 10 2 3 6 2 2 2" xfId="33380"/>
    <cellStyle name="표준 10 2 3 6 2 2 3" xfId="33381"/>
    <cellStyle name="표준 10 2 3 6 2 3" xfId="33382"/>
    <cellStyle name="표준 10 2 3 6 2 4" xfId="33383"/>
    <cellStyle name="표준 10 2 3 6 3" xfId="33384"/>
    <cellStyle name="표준 10 2 3 6 3 2" xfId="33385"/>
    <cellStyle name="표준 10 2 3 6 3 3" xfId="33386"/>
    <cellStyle name="표준 10 2 3 6 4" xfId="33387"/>
    <cellStyle name="표준 10 2 3 6 5" xfId="33388"/>
    <cellStyle name="표준 10 2 3 7" xfId="33389"/>
    <cellStyle name="표준 10 2 3 7 2" xfId="33390"/>
    <cellStyle name="표준 10 2 3 7 2 2" xfId="33391"/>
    <cellStyle name="표준 10 2 3 7 2 3" xfId="33392"/>
    <cellStyle name="표준 10 2 3 7 3" xfId="33393"/>
    <cellStyle name="표준 10 2 3 7 4" xfId="33394"/>
    <cellStyle name="표준 10 2 3 8" xfId="33395"/>
    <cellStyle name="표준 10 2 3 8 2" xfId="33396"/>
    <cellStyle name="표준 10 2 3 8 3" xfId="33397"/>
    <cellStyle name="표준 10 2 3 9" xfId="33398"/>
    <cellStyle name="표준 10 2 4" xfId="33399"/>
    <cellStyle name="표준 10 2 4 10" xfId="33400"/>
    <cellStyle name="표준 10 2 4 2" xfId="33401"/>
    <cellStyle name="표준 10 2 4 2 2" xfId="33402"/>
    <cellStyle name="표준 10 2 4 2 2 2" xfId="33403"/>
    <cellStyle name="표준 10 2 4 2 2 2 2" xfId="33404"/>
    <cellStyle name="표준 10 2 4 2 2 2 2 2" xfId="33405"/>
    <cellStyle name="표준 10 2 4 2 2 2 2 3" xfId="33406"/>
    <cellStyle name="표준 10 2 4 2 2 2 3" xfId="33407"/>
    <cellStyle name="표준 10 2 4 2 2 2 4" xfId="33408"/>
    <cellStyle name="표준 10 2 4 2 2 3" xfId="33409"/>
    <cellStyle name="표준 10 2 4 2 2 3 2" xfId="33410"/>
    <cellStyle name="표준 10 2 4 2 2 3 3" xfId="33411"/>
    <cellStyle name="표준 10 2 4 2 2 4" xfId="33412"/>
    <cellStyle name="표준 10 2 4 2 2 5" xfId="33413"/>
    <cellStyle name="표준 10 2 4 2 3" xfId="33414"/>
    <cellStyle name="표준 10 2 4 2 3 2" xfId="33415"/>
    <cellStyle name="표준 10 2 4 2 3 2 2" xfId="33416"/>
    <cellStyle name="표준 10 2 4 2 3 2 2 2" xfId="33417"/>
    <cellStyle name="표준 10 2 4 2 3 2 2 3" xfId="33418"/>
    <cellStyle name="표준 10 2 4 2 3 2 3" xfId="33419"/>
    <cellStyle name="표준 10 2 4 2 3 2 4" xfId="33420"/>
    <cellStyle name="표준 10 2 4 2 3 3" xfId="33421"/>
    <cellStyle name="표준 10 2 4 2 3 3 2" xfId="33422"/>
    <cellStyle name="표준 10 2 4 2 3 3 3" xfId="33423"/>
    <cellStyle name="표준 10 2 4 2 3 4" xfId="33424"/>
    <cellStyle name="표준 10 2 4 2 3 5" xfId="33425"/>
    <cellStyle name="표준 10 2 4 2 4" xfId="33426"/>
    <cellStyle name="표준 10 2 4 2 4 2" xfId="33427"/>
    <cellStyle name="표준 10 2 4 2 4 2 2" xfId="33428"/>
    <cellStyle name="표준 10 2 4 2 4 2 3" xfId="33429"/>
    <cellStyle name="표준 10 2 4 2 4 3" xfId="33430"/>
    <cellStyle name="표준 10 2 4 2 4 4" xfId="33431"/>
    <cellStyle name="표준 10 2 4 2 5" xfId="33432"/>
    <cellStyle name="표준 10 2 4 2 5 2" xfId="33433"/>
    <cellStyle name="표준 10 2 4 2 5 3" xfId="33434"/>
    <cellStyle name="표준 10 2 4 2 6" xfId="33435"/>
    <cellStyle name="표준 10 2 4 2 7" xfId="33436"/>
    <cellStyle name="표준 10 2 4 3" xfId="33437"/>
    <cellStyle name="표준 10 2 4 3 2" xfId="33438"/>
    <cellStyle name="표준 10 2 4 3 2 2" xfId="33439"/>
    <cellStyle name="표준 10 2 4 3 2 2 2" xfId="33440"/>
    <cellStyle name="표준 10 2 4 3 2 2 2 2" xfId="33441"/>
    <cellStyle name="표준 10 2 4 3 2 2 2 3" xfId="33442"/>
    <cellStyle name="표준 10 2 4 3 2 2 3" xfId="33443"/>
    <cellStyle name="표준 10 2 4 3 2 2 4" xfId="33444"/>
    <cellStyle name="표준 10 2 4 3 2 3" xfId="33445"/>
    <cellStyle name="표준 10 2 4 3 2 3 2" xfId="33446"/>
    <cellStyle name="표준 10 2 4 3 2 3 3" xfId="33447"/>
    <cellStyle name="표준 10 2 4 3 2 4" xfId="33448"/>
    <cellStyle name="표준 10 2 4 3 2 5" xfId="33449"/>
    <cellStyle name="표준 10 2 4 3 3" xfId="33450"/>
    <cellStyle name="표준 10 2 4 3 3 2" xfId="33451"/>
    <cellStyle name="표준 10 2 4 3 3 2 2" xfId="33452"/>
    <cellStyle name="표준 10 2 4 3 3 2 2 2" xfId="33453"/>
    <cellStyle name="표준 10 2 4 3 3 2 2 3" xfId="33454"/>
    <cellStyle name="표준 10 2 4 3 3 2 3" xfId="33455"/>
    <cellStyle name="표준 10 2 4 3 3 2 4" xfId="33456"/>
    <cellStyle name="표준 10 2 4 3 3 3" xfId="33457"/>
    <cellStyle name="표준 10 2 4 3 3 3 2" xfId="33458"/>
    <cellStyle name="표준 10 2 4 3 3 3 3" xfId="33459"/>
    <cellStyle name="표준 10 2 4 3 3 4" xfId="33460"/>
    <cellStyle name="표준 10 2 4 3 3 5" xfId="33461"/>
    <cellStyle name="표준 10 2 4 3 4" xfId="33462"/>
    <cellStyle name="표준 10 2 4 3 4 2" xfId="33463"/>
    <cellStyle name="표준 10 2 4 3 4 2 2" xfId="33464"/>
    <cellStyle name="표준 10 2 4 3 4 2 3" xfId="33465"/>
    <cellStyle name="표준 10 2 4 3 4 3" xfId="33466"/>
    <cellStyle name="표준 10 2 4 3 4 4" xfId="33467"/>
    <cellStyle name="표준 10 2 4 3 5" xfId="33468"/>
    <cellStyle name="표준 10 2 4 3 5 2" xfId="33469"/>
    <cellStyle name="표준 10 2 4 3 5 3" xfId="33470"/>
    <cellStyle name="표준 10 2 4 3 6" xfId="33471"/>
    <cellStyle name="표준 10 2 4 3 7" xfId="33472"/>
    <cellStyle name="표준 10 2 4 4" xfId="33473"/>
    <cellStyle name="표준 10 2 4 4 2" xfId="33474"/>
    <cellStyle name="표준 10 2 4 4 2 2" xfId="33475"/>
    <cellStyle name="표준 10 2 4 4 2 2 2" xfId="33476"/>
    <cellStyle name="표준 10 2 4 4 2 2 3" xfId="33477"/>
    <cellStyle name="표준 10 2 4 4 2 3" xfId="33478"/>
    <cellStyle name="표준 10 2 4 4 2 4" xfId="33479"/>
    <cellStyle name="표준 10 2 4 4 3" xfId="33480"/>
    <cellStyle name="표준 10 2 4 4 3 2" xfId="33481"/>
    <cellStyle name="표준 10 2 4 4 3 3" xfId="33482"/>
    <cellStyle name="표준 10 2 4 4 4" xfId="33483"/>
    <cellStyle name="표준 10 2 4 4 5" xfId="33484"/>
    <cellStyle name="표준 10 2 4 5" xfId="33485"/>
    <cellStyle name="표준 10 2 4 5 2" xfId="33486"/>
    <cellStyle name="표준 10 2 4 5 2 2" xfId="33487"/>
    <cellStyle name="표준 10 2 4 5 2 2 2" xfId="33488"/>
    <cellStyle name="표준 10 2 4 5 2 2 3" xfId="33489"/>
    <cellStyle name="표준 10 2 4 5 2 3" xfId="33490"/>
    <cellStyle name="표준 10 2 4 5 2 4" xfId="33491"/>
    <cellStyle name="표준 10 2 4 5 3" xfId="33492"/>
    <cellStyle name="표준 10 2 4 5 3 2" xfId="33493"/>
    <cellStyle name="표준 10 2 4 5 3 3" xfId="33494"/>
    <cellStyle name="표준 10 2 4 5 4" xfId="33495"/>
    <cellStyle name="표준 10 2 4 5 5" xfId="33496"/>
    <cellStyle name="표준 10 2 4 6" xfId="33497"/>
    <cellStyle name="표준 10 2 4 6 2" xfId="33498"/>
    <cellStyle name="표준 10 2 4 6 2 2" xfId="33499"/>
    <cellStyle name="표준 10 2 4 6 2 2 2" xfId="33500"/>
    <cellStyle name="표준 10 2 4 6 2 2 3" xfId="33501"/>
    <cellStyle name="표준 10 2 4 6 2 3" xfId="33502"/>
    <cellStyle name="표준 10 2 4 6 2 4" xfId="33503"/>
    <cellStyle name="표준 10 2 4 6 3" xfId="33504"/>
    <cellStyle name="표준 10 2 4 6 3 2" xfId="33505"/>
    <cellStyle name="표준 10 2 4 6 3 3" xfId="33506"/>
    <cellStyle name="표준 10 2 4 6 4" xfId="33507"/>
    <cellStyle name="표준 10 2 4 6 5" xfId="33508"/>
    <cellStyle name="표준 10 2 4 7" xfId="33509"/>
    <cellStyle name="표준 10 2 4 7 2" xfId="33510"/>
    <cellStyle name="표준 10 2 4 7 2 2" xfId="33511"/>
    <cellStyle name="표준 10 2 4 7 2 3" xfId="33512"/>
    <cellStyle name="표준 10 2 4 7 3" xfId="33513"/>
    <cellStyle name="표준 10 2 4 7 4" xfId="33514"/>
    <cellStyle name="표준 10 2 4 8" xfId="33515"/>
    <cellStyle name="표준 10 2 4 8 2" xfId="33516"/>
    <cellStyle name="표준 10 2 4 8 3" xfId="33517"/>
    <cellStyle name="표준 10 2 4 9" xfId="33518"/>
    <cellStyle name="표준 10 2 5" xfId="33519"/>
    <cellStyle name="표준 10 2 5 10" xfId="33520"/>
    <cellStyle name="표준 10 2 5 2" xfId="33521"/>
    <cellStyle name="표준 10 2 5 2 2" xfId="33522"/>
    <cellStyle name="표준 10 2 5 2 2 2" xfId="33523"/>
    <cellStyle name="표준 10 2 5 2 2 2 2" xfId="33524"/>
    <cellStyle name="표준 10 2 5 2 2 2 2 2" xfId="33525"/>
    <cellStyle name="표준 10 2 5 2 2 2 2 3" xfId="33526"/>
    <cellStyle name="표준 10 2 5 2 2 2 3" xfId="33527"/>
    <cellStyle name="표준 10 2 5 2 2 2 4" xfId="33528"/>
    <cellStyle name="표준 10 2 5 2 2 3" xfId="33529"/>
    <cellStyle name="표준 10 2 5 2 2 3 2" xfId="33530"/>
    <cellStyle name="표준 10 2 5 2 2 3 3" xfId="33531"/>
    <cellStyle name="표준 10 2 5 2 2 4" xfId="33532"/>
    <cellStyle name="표준 10 2 5 2 2 5" xfId="33533"/>
    <cellStyle name="표준 10 2 5 2 3" xfId="33534"/>
    <cellStyle name="표준 10 2 5 2 3 2" xfId="33535"/>
    <cellStyle name="표준 10 2 5 2 3 2 2" xfId="33536"/>
    <cellStyle name="표준 10 2 5 2 3 2 2 2" xfId="33537"/>
    <cellStyle name="표준 10 2 5 2 3 2 2 3" xfId="33538"/>
    <cellStyle name="표준 10 2 5 2 3 2 3" xfId="33539"/>
    <cellStyle name="표준 10 2 5 2 3 2 4" xfId="33540"/>
    <cellStyle name="표준 10 2 5 2 3 3" xfId="33541"/>
    <cellStyle name="표준 10 2 5 2 3 3 2" xfId="33542"/>
    <cellStyle name="표준 10 2 5 2 3 3 3" xfId="33543"/>
    <cellStyle name="표준 10 2 5 2 3 4" xfId="33544"/>
    <cellStyle name="표준 10 2 5 2 3 5" xfId="33545"/>
    <cellStyle name="표준 10 2 5 2 4" xfId="33546"/>
    <cellStyle name="표준 10 2 5 2 4 2" xfId="33547"/>
    <cellStyle name="표준 10 2 5 2 4 2 2" xfId="33548"/>
    <cellStyle name="표준 10 2 5 2 4 2 3" xfId="33549"/>
    <cellStyle name="표준 10 2 5 2 4 3" xfId="33550"/>
    <cellStyle name="표준 10 2 5 2 4 4" xfId="33551"/>
    <cellStyle name="표준 10 2 5 2 5" xfId="33552"/>
    <cellStyle name="표준 10 2 5 2 5 2" xfId="33553"/>
    <cellStyle name="표준 10 2 5 2 5 3" xfId="33554"/>
    <cellStyle name="표준 10 2 5 2 6" xfId="33555"/>
    <cellStyle name="표준 10 2 5 2 7" xfId="33556"/>
    <cellStyle name="표준 10 2 5 3" xfId="33557"/>
    <cellStyle name="표준 10 2 5 3 2" xfId="33558"/>
    <cellStyle name="표준 10 2 5 3 2 2" xfId="33559"/>
    <cellStyle name="표준 10 2 5 3 2 2 2" xfId="33560"/>
    <cellStyle name="표준 10 2 5 3 2 2 2 2" xfId="33561"/>
    <cellStyle name="표준 10 2 5 3 2 2 2 3" xfId="33562"/>
    <cellStyle name="표준 10 2 5 3 2 2 3" xfId="33563"/>
    <cellStyle name="표준 10 2 5 3 2 2 4" xfId="33564"/>
    <cellStyle name="표준 10 2 5 3 2 3" xfId="33565"/>
    <cellStyle name="표준 10 2 5 3 2 3 2" xfId="33566"/>
    <cellStyle name="표준 10 2 5 3 2 3 3" xfId="33567"/>
    <cellStyle name="표준 10 2 5 3 2 4" xfId="33568"/>
    <cellStyle name="표준 10 2 5 3 2 5" xfId="33569"/>
    <cellStyle name="표준 10 2 5 3 3" xfId="33570"/>
    <cellStyle name="표준 10 2 5 3 3 2" xfId="33571"/>
    <cellStyle name="표준 10 2 5 3 3 2 2" xfId="33572"/>
    <cellStyle name="표준 10 2 5 3 3 2 2 2" xfId="33573"/>
    <cellStyle name="표준 10 2 5 3 3 2 2 3" xfId="33574"/>
    <cellStyle name="표준 10 2 5 3 3 2 3" xfId="33575"/>
    <cellStyle name="표준 10 2 5 3 3 2 4" xfId="33576"/>
    <cellStyle name="표준 10 2 5 3 3 3" xfId="33577"/>
    <cellStyle name="표준 10 2 5 3 3 3 2" xfId="33578"/>
    <cellStyle name="표준 10 2 5 3 3 3 3" xfId="33579"/>
    <cellStyle name="표준 10 2 5 3 3 4" xfId="33580"/>
    <cellStyle name="표준 10 2 5 3 3 5" xfId="33581"/>
    <cellStyle name="표준 10 2 5 3 4" xfId="33582"/>
    <cellStyle name="표준 10 2 5 3 4 2" xfId="33583"/>
    <cellStyle name="표준 10 2 5 3 4 2 2" xfId="33584"/>
    <cellStyle name="표준 10 2 5 3 4 2 3" xfId="33585"/>
    <cellStyle name="표준 10 2 5 3 4 3" xfId="33586"/>
    <cellStyle name="표준 10 2 5 3 4 4" xfId="33587"/>
    <cellStyle name="표준 10 2 5 3 5" xfId="33588"/>
    <cellStyle name="표준 10 2 5 3 5 2" xfId="33589"/>
    <cellStyle name="표준 10 2 5 3 5 3" xfId="33590"/>
    <cellStyle name="표준 10 2 5 3 6" xfId="33591"/>
    <cellStyle name="표준 10 2 5 3 7" xfId="33592"/>
    <cellStyle name="표준 10 2 5 4" xfId="33593"/>
    <cellStyle name="표준 10 2 5 4 2" xfId="33594"/>
    <cellStyle name="표준 10 2 5 4 2 2" xfId="33595"/>
    <cellStyle name="표준 10 2 5 4 2 2 2" xfId="33596"/>
    <cellStyle name="표준 10 2 5 4 2 2 3" xfId="33597"/>
    <cellStyle name="표준 10 2 5 4 2 3" xfId="33598"/>
    <cellStyle name="표준 10 2 5 4 2 4" xfId="33599"/>
    <cellStyle name="표준 10 2 5 4 3" xfId="33600"/>
    <cellStyle name="표준 10 2 5 4 3 2" xfId="33601"/>
    <cellStyle name="표준 10 2 5 4 3 3" xfId="33602"/>
    <cellStyle name="표준 10 2 5 4 4" xfId="33603"/>
    <cellStyle name="표준 10 2 5 4 5" xfId="33604"/>
    <cellStyle name="표준 10 2 5 5" xfId="33605"/>
    <cellStyle name="표준 10 2 5 5 2" xfId="33606"/>
    <cellStyle name="표준 10 2 5 5 2 2" xfId="33607"/>
    <cellStyle name="표준 10 2 5 5 2 2 2" xfId="33608"/>
    <cellStyle name="표준 10 2 5 5 2 2 3" xfId="33609"/>
    <cellStyle name="표준 10 2 5 5 2 3" xfId="33610"/>
    <cellStyle name="표준 10 2 5 5 2 4" xfId="33611"/>
    <cellStyle name="표준 10 2 5 5 3" xfId="33612"/>
    <cellStyle name="표준 10 2 5 5 3 2" xfId="33613"/>
    <cellStyle name="표준 10 2 5 5 3 3" xfId="33614"/>
    <cellStyle name="표준 10 2 5 5 4" xfId="33615"/>
    <cellStyle name="표준 10 2 5 5 5" xfId="33616"/>
    <cellStyle name="표준 10 2 5 6" xfId="33617"/>
    <cellStyle name="표준 10 2 5 6 2" xfId="33618"/>
    <cellStyle name="표준 10 2 5 6 2 2" xfId="33619"/>
    <cellStyle name="표준 10 2 5 6 2 2 2" xfId="33620"/>
    <cellStyle name="표준 10 2 5 6 2 2 3" xfId="33621"/>
    <cellStyle name="표준 10 2 5 6 2 3" xfId="33622"/>
    <cellStyle name="표준 10 2 5 6 2 4" xfId="33623"/>
    <cellStyle name="표준 10 2 5 6 3" xfId="33624"/>
    <cellStyle name="표준 10 2 5 6 3 2" xfId="33625"/>
    <cellStyle name="표준 10 2 5 6 3 3" xfId="33626"/>
    <cellStyle name="표준 10 2 5 6 4" xfId="33627"/>
    <cellStyle name="표준 10 2 5 6 5" xfId="33628"/>
    <cellStyle name="표준 10 2 5 7" xfId="33629"/>
    <cellStyle name="표준 10 2 5 7 2" xfId="33630"/>
    <cellStyle name="표준 10 2 5 7 2 2" xfId="33631"/>
    <cellStyle name="표준 10 2 5 7 2 3" xfId="33632"/>
    <cellStyle name="표준 10 2 5 7 3" xfId="33633"/>
    <cellStyle name="표준 10 2 5 7 4" xfId="33634"/>
    <cellStyle name="표준 10 2 5 8" xfId="33635"/>
    <cellStyle name="표준 10 2 5 8 2" xfId="33636"/>
    <cellStyle name="표준 10 2 5 8 3" xfId="33637"/>
    <cellStyle name="표준 10 2 5 9" xfId="33638"/>
    <cellStyle name="표준 10 2 6" xfId="33639"/>
    <cellStyle name="표준 10 2 6 2" xfId="33640"/>
    <cellStyle name="표준 10 2 6 2 2" xfId="33641"/>
    <cellStyle name="표준 10 2 6 2 2 2" xfId="33642"/>
    <cellStyle name="표준 10 2 6 2 2 2 2" xfId="33643"/>
    <cellStyle name="표준 10 2 6 2 2 2 3" xfId="33644"/>
    <cellStyle name="표준 10 2 6 2 2 3" xfId="33645"/>
    <cellStyle name="표준 10 2 6 2 2 4" xfId="33646"/>
    <cellStyle name="표준 10 2 6 2 3" xfId="33647"/>
    <cellStyle name="표준 10 2 6 2 3 2" xfId="33648"/>
    <cellStyle name="표준 10 2 6 2 3 3" xfId="33649"/>
    <cellStyle name="표준 10 2 6 2 4" xfId="33650"/>
    <cellStyle name="표준 10 2 6 2 5" xfId="33651"/>
    <cellStyle name="표준 10 2 6 3" xfId="33652"/>
    <cellStyle name="표준 10 2 6 3 2" xfId="33653"/>
    <cellStyle name="표준 10 2 6 3 2 2" xfId="33654"/>
    <cellStyle name="표준 10 2 6 3 2 2 2" xfId="33655"/>
    <cellStyle name="표준 10 2 6 3 2 2 3" xfId="33656"/>
    <cellStyle name="표준 10 2 6 3 2 3" xfId="33657"/>
    <cellStyle name="표준 10 2 6 3 2 4" xfId="33658"/>
    <cellStyle name="표준 10 2 6 3 3" xfId="33659"/>
    <cellStyle name="표준 10 2 6 3 3 2" xfId="33660"/>
    <cellStyle name="표준 10 2 6 3 3 3" xfId="33661"/>
    <cellStyle name="표준 10 2 6 3 4" xfId="33662"/>
    <cellStyle name="표준 10 2 6 3 5" xfId="33663"/>
    <cellStyle name="표준 10 2 6 4" xfId="33664"/>
    <cellStyle name="표준 10 2 6 4 2" xfId="33665"/>
    <cellStyle name="표준 10 2 6 4 2 2" xfId="33666"/>
    <cellStyle name="표준 10 2 6 4 2 3" xfId="33667"/>
    <cellStyle name="표준 10 2 6 4 3" xfId="33668"/>
    <cellStyle name="표준 10 2 6 4 4" xfId="33669"/>
    <cellStyle name="표준 10 2 6 5" xfId="33670"/>
    <cellStyle name="표준 10 2 6 5 2" xfId="33671"/>
    <cellStyle name="표준 10 2 6 5 3" xfId="33672"/>
    <cellStyle name="표준 10 2 6 6" xfId="33673"/>
    <cellStyle name="표준 10 2 6 7" xfId="33674"/>
    <cellStyle name="표준 10 2 7" xfId="33675"/>
    <cellStyle name="표준 10 2 7 2" xfId="33676"/>
    <cellStyle name="표준 10 2 7 2 2" xfId="33677"/>
    <cellStyle name="표준 10 2 7 2 2 2" xfId="33678"/>
    <cellStyle name="표준 10 2 7 2 2 2 2" xfId="33679"/>
    <cellStyle name="표준 10 2 7 2 2 2 3" xfId="33680"/>
    <cellStyle name="표준 10 2 7 2 2 3" xfId="33681"/>
    <cellStyle name="표준 10 2 7 2 2 4" xfId="33682"/>
    <cellStyle name="표준 10 2 7 2 3" xfId="33683"/>
    <cellStyle name="표준 10 2 7 2 3 2" xfId="33684"/>
    <cellStyle name="표준 10 2 7 2 3 3" xfId="33685"/>
    <cellStyle name="표준 10 2 7 2 4" xfId="33686"/>
    <cellStyle name="표준 10 2 7 2 5" xfId="33687"/>
    <cellStyle name="표준 10 2 7 3" xfId="33688"/>
    <cellStyle name="표준 10 2 7 3 2" xfId="33689"/>
    <cellStyle name="표준 10 2 7 3 2 2" xfId="33690"/>
    <cellStyle name="표준 10 2 7 3 2 2 2" xfId="33691"/>
    <cellStyle name="표준 10 2 7 3 2 2 3" xfId="33692"/>
    <cellStyle name="표준 10 2 7 3 2 3" xfId="33693"/>
    <cellStyle name="표준 10 2 7 3 2 4" xfId="33694"/>
    <cellStyle name="표준 10 2 7 3 3" xfId="33695"/>
    <cellStyle name="표준 10 2 7 3 3 2" xfId="33696"/>
    <cellStyle name="표준 10 2 7 3 3 3" xfId="33697"/>
    <cellStyle name="표준 10 2 7 3 4" xfId="33698"/>
    <cellStyle name="표준 10 2 7 3 5" xfId="33699"/>
    <cellStyle name="표준 10 2 7 4" xfId="33700"/>
    <cellStyle name="표준 10 2 7 4 2" xfId="33701"/>
    <cellStyle name="표준 10 2 7 4 2 2" xfId="33702"/>
    <cellStyle name="표준 10 2 7 4 2 3" xfId="33703"/>
    <cellStyle name="표준 10 2 7 4 3" xfId="33704"/>
    <cellStyle name="표준 10 2 7 4 4" xfId="33705"/>
    <cellStyle name="표준 10 2 7 5" xfId="33706"/>
    <cellStyle name="표준 10 2 7 5 2" xfId="33707"/>
    <cellStyle name="표준 10 2 7 5 3" xfId="33708"/>
    <cellStyle name="표준 10 2 7 6" xfId="33709"/>
    <cellStyle name="표준 10 2 7 7" xfId="33710"/>
    <cellStyle name="표준 10 2 8" xfId="33711"/>
    <cellStyle name="표준 10 2 8 2" xfId="33712"/>
    <cellStyle name="표준 10 2 8 2 2" xfId="33713"/>
    <cellStyle name="표준 10 2 8 2 2 2" xfId="33714"/>
    <cellStyle name="표준 10 2 8 2 2 3" xfId="33715"/>
    <cellStyle name="표준 10 2 8 2 3" xfId="33716"/>
    <cellStyle name="표준 10 2 8 2 4" xfId="33717"/>
    <cellStyle name="표준 10 2 8 3" xfId="33718"/>
    <cellStyle name="표준 10 2 8 3 2" xfId="33719"/>
    <cellStyle name="표준 10 2 8 3 3" xfId="33720"/>
    <cellStyle name="표준 10 2 8 4" xfId="33721"/>
    <cellStyle name="표준 10 2 8 5" xfId="33722"/>
    <cellStyle name="표준 10 2 9" xfId="33723"/>
    <cellStyle name="표준 10 2 9 2" xfId="33724"/>
    <cellStyle name="표준 10 2 9 2 2" xfId="33725"/>
    <cellStyle name="표준 10 2 9 2 2 2" xfId="33726"/>
    <cellStyle name="표준 10 2 9 2 2 3" xfId="33727"/>
    <cellStyle name="표준 10 2 9 2 3" xfId="33728"/>
    <cellStyle name="표준 10 2 9 2 4" xfId="33729"/>
    <cellStyle name="표준 10 2 9 3" xfId="33730"/>
    <cellStyle name="표준 10 2 9 3 2" xfId="33731"/>
    <cellStyle name="표준 10 2 9 3 3" xfId="33732"/>
    <cellStyle name="표준 10 2 9 4" xfId="33733"/>
    <cellStyle name="표준 10 2 9 5" xfId="33734"/>
    <cellStyle name="표준 10 3" xfId="33735"/>
    <cellStyle name="표준 10 3 10" xfId="33736"/>
    <cellStyle name="표준 10 3 10 2" xfId="33737"/>
    <cellStyle name="표준 10 3 10 2 2" xfId="33738"/>
    <cellStyle name="표준 10 3 10 2 2 2" xfId="33739"/>
    <cellStyle name="표준 10 3 10 2 2 3" xfId="33740"/>
    <cellStyle name="표준 10 3 10 2 3" xfId="33741"/>
    <cellStyle name="표준 10 3 10 2 4" xfId="33742"/>
    <cellStyle name="표준 10 3 10 3" xfId="33743"/>
    <cellStyle name="표준 10 3 10 3 2" xfId="33744"/>
    <cellStyle name="표준 10 3 10 3 3" xfId="33745"/>
    <cellStyle name="표준 10 3 10 4" xfId="33746"/>
    <cellStyle name="표준 10 3 10 5" xfId="33747"/>
    <cellStyle name="표준 10 3 11" xfId="33748"/>
    <cellStyle name="표준 10 3 11 2" xfId="33749"/>
    <cellStyle name="표준 10 3 11 2 2" xfId="33750"/>
    <cellStyle name="표준 10 3 11 2 3" xfId="33751"/>
    <cellStyle name="표준 10 3 11 3" xfId="33752"/>
    <cellStyle name="표준 10 3 11 4" xfId="33753"/>
    <cellStyle name="표준 10 3 12" xfId="33754"/>
    <cellStyle name="표준 10 3 12 2" xfId="33755"/>
    <cellStyle name="표준 10 3 12 3" xfId="33756"/>
    <cellStyle name="표준 10 3 13" xfId="33757"/>
    <cellStyle name="표준 10 3 14" xfId="33758"/>
    <cellStyle name="표준 10 3 2" xfId="33759"/>
    <cellStyle name="표준 10 3 2 10" xfId="33760"/>
    <cellStyle name="표준 10 3 2 10 2" xfId="33761"/>
    <cellStyle name="표준 10 3 2 10 2 2" xfId="33762"/>
    <cellStyle name="표준 10 3 2 10 2 3" xfId="33763"/>
    <cellStyle name="표준 10 3 2 10 3" xfId="33764"/>
    <cellStyle name="표준 10 3 2 10 4" xfId="33765"/>
    <cellStyle name="표준 10 3 2 11" xfId="33766"/>
    <cellStyle name="표준 10 3 2 11 2" xfId="33767"/>
    <cellStyle name="표준 10 3 2 11 3" xfId="33768"/>
    <cellStyle name="표준 10 3 2 12" xfId="33769"/>
    <cellStyle name="표준 10 3 2 13" xfId="33770"/>
    <cellStyle name="표준 10 3 2 2" xfId="33771"/>
    <cellStyle name="표준 10 3 2 2 10" xfId="33772"/>
    <cellStyle name="표준 10 3 2 2 2" xfId="33773"/>
    <cellStyle name="표준 10 3 2 2 2 2" xfId="33774"/>
    <cellStyle name="표준 10 3 2 2 2 2 2" xfId="33775"/>
    <cellStyle name="표준 10 3 2 2 2 2 2 2" xfId="33776"/>
    <cellStyle name="표준 10 3 2 2 2 2 2 2 2" xfId="33777"/>
    <cellStyle name="표준 10 3 2 2 2 2 2 2 3" xfId="33778"/>
    <cellStyle name="표준 10 3 2 2 2 2 2 3" xfId="33779"/>
    <cellStyle name="표준 10 3 2 2 2 2 2 4" xfId="33780"/>
    <cellStyle name="표준 10 3 2 2 2 2 3" xfId="33781"/>
    <cellStyle name="표준 10 3 2 2 2 2 3 2" xfId="33782"/>
    <cellStyle name="표준 10 3 2 2 2 2 3 3" xfId="33783"/>
    <cellStyle name="표준 10 3 2 2 2 2 4" xfId="33784"/>
    <cellStyle name="표준 10 3 2 2 2 2 5" xfId="33785"/>
    <cellStyle name="표준 10 3 2 2 2 3" xfId="33786"/>
    <cellStyle name="표준 10 3 2 2 2 3 2" xfId="33787"/>
    <cellStyle name="표준 10 3 2 2 2 3 2 2" xfId="33788"/>
    <cellStyle name="표준 10 3 2 2 2 3 2 2 2" xfId="33789"/>
    <cellStyle name="표준 10 3 2 2 2 3 2 2 3" xfId="33790"/>
    <cellStyle name="표준 10 3 2 2 2 3 2 3" xfId="33791"/>
    <cellStyle name="표준 10 3 2 2 2 3 2 4" xfId="33792"/>
    <cellStyle name="표준 10 3 2 2 2 3 3" xfId="33793"/>
    <cellStyle name="표준 10 3 2 2 2 3 3 2" xfId="33794"/>
    <cellStyle name="표준 10 3 2 2 2 3 3 3" xfId="33795"/>
    <cellStyle name="표준 10 3 2 2 2 3 4" xfId="33796"/>
    <cellStyle name="표준 10 3 2 2 2 3 5" xfId="33797"/>
    <cellStyle name="표준 10 3 2 2 2 4" xfId="33798"/>
    <cellStyle name="표준 10 3 2 2 2 4 2" xfId="33799"/>
    <cellStyle name="표준 10 3 2 2 2 4 2 2" xfId="33800"/>
    <cellStyle name="표준 10 3 2 2 2 4 2 3" xfId="33801"/>
    <cellStyle name="표준 10 3 2 2 2 4 3" xfId="33802"/>
    <cellStyle name="표준 10 3 2 2 2 4 4" xfId="33803"/>
    <cellStyle name="표준 10 3 2 2 2 5" xfId="33804"/>
    <cellStyle name="표준 10 3 2 2 2 5 2" xfId="33805"/>
    <cellStyle name="표준 10 3 2 2 2 5 3" xfId="33806"/>
    <cellStyle name="표준 10 3 2 2 2 6" xfId="33807"/>
    <cellStyle name="표준 10 3 2 2 2 7" xfId="33808"/>
    <cellStyle name="표준 10 3 2 2 3" xfId="33809"/>
    <cellStyle name="표준 10 3 2 2 3 2" xfId="33810"/>
    <cellStyle name="표준 10 3 2 2 3 2 2" xfId="33811"/>
    <cellStyle name="표준 10 3 2 2 3 2 2 2" xfId="33812"/>
    <cellStyle name="표준 10 3 2 2 3 2 2 2 2" xfId="33813"/>
    <cellStyle name="표준 10 3 2 2 3 2 2 2 3" xfId="33814"/>
    <cellStyle name="표준 10 3 2 2 3 2 2 3" xfId="33815"/>
    <cellStyle name="표준 10 3 2 2 3 2 2 4" xfId="33816"/>
    <cellStyle name="표준 10 3 2 2 3 2 3" xfId="33817"/>
    <cellStyle name="표준 10 3 2 2 3 2 3 2" xfId="33818"/>
    <cellStyle name="표준 10 3 2 2 3 2 3 3" xfId="33819"/>
    <cellStyle name="표준 10 3 2 2 3 2 4" xfId="33820"/>
    <cellStyle name="표준 10 3 2 2 3 2 5" xfId="33821"/>
    <cellStyle name="표준 10 3 2 2 3 3" xfId="33822"/>
    <cellStyle name="표준 10 3 2 2 3 3 2" xfId="33823"/>
    <cellStyle name="표준 10 3 2 2 3 3 2 2" xfId="33824"/>
    <cellStyle name="표준 10 3 2 2 3 3 2 2 2" xfId="33825"/>
    <cellStyle name="표준 10 3 2 2 3 3 2 2 3" xfId="33826"/>
    <cellStyle name="표준 10 3 2 2 3 3 2 3" xfId="33827"/>
    <cellStyle name="표준 10 3 2 2 3 3 2 4" xfId="33828"/>
    <cellStyle name="표준 10 3 2 2 3 3 3" xfId="33829"/>
    <cellStyle name="표준 10 3 2 2 3 3 3 2" xfId="33830"/>
    <cellStyle name="표준 10 3 2 2 3 3 3 3" xfId="33831"/>
    <cellStyle name="표준 10 3 2 2 3 3 4" xfId="33832"/>
    <cellStyle name="표준 10 3 2 2 3 3 5" xfId="33833"/>
    <cellStyle name="표준 10 3 2 2 3 4" xfId="33834"/>
    <cellStyle name="표준 10 3 2 2 3 4 2" xfId="33835"/>
    <cellStyle name="표준 10 3 2 2 3 4 2 2" xfId="33836"/>
    <cellStyle name="표준 10 3 2 2 3 4 2 3" xfId="33837"/>
    <cellStyle name="표준 10 3 2 2 3 4 3" xfId="33838"/>
    <cellStyle name="표준 10 3 2 2 3 4 4" xfId="33839"/>
    <cellStyle name="표준 10 3 2 2 3 5" xfId="33840"/>
    <cellStyle name="표준 10 3 2 2 3 5 2" xfId="33841"/>
    <cellStyle name="표준 10 3 2 2 3 5 3" xfId="33842"/>
    <cellStyle name="표준 10 3 2 2 3 6" xfId="33843"/>
    <cellStyle name="표준 10 3 2 2 3 7" xfId="33844"/>
    <cellStyle name="표준 10 3 2 2 4" xfId="33845"/>
    <cellStyle name="표준 10 3 2 2 4 2" xfId="33846"/>
    <cellStyle name="표준 10 3 2 2 4 2 2" xfId="33847"/>
    <cellStyle name="표준 10 3 2 2 4 2 2 2" xfId="33848"/>
    <cellStyle name="표준 10 3 2 2 4 2 2 3" xfId="33849"/>
    <cellStyle name="표준 10 3 2 2 4 2 3" xfId="33850"/>
    <cellStyle name="표준 10 3 2 2 4 2 4" xfId="33851"/>
    <cellStyle name="표준 10 3 2 2 4 3" xfId="33852"/>
    <cellStyle name="표준 10 3 2 2 4 3 2" xfId="33853"/>
    <cellStyle name="표준 10 3 2 2 4 3 3" xfId="33854"/>
    <cellStyle name="표준 10 3 2 2 4 4" xfId="33855"/>
    <cellStyle name="표준 10 3 2 2 4 5" xfId="33856"/>
    <cellStyle name="표준 10 3 2 2 5" xfId="33857"/>
    <cellStyle name="표준 10 3 2 2 5 2" xfId="33858"/>
    <cellStyle name="표준 10 3 2 2 5 2 2" xfId="33859"/>
    <cellStyle name="표준 10 3 2 2 5 2 2 2" xfId="33860"/>
    <cellStyle name="표준 10 3 2 2 5 2 2 3" xfId="33861"/>
    <cellStyle name="표준 10 3 2 2 5 2 3" xfId="33862"/>
    <cellStyle name="표준 10 3 2 2 5 2 4" xfId="33863"/>
    <cellStyle name="표준 10 3 2 2 5 3" xfId="33864"/>
    <cellStyle name="표준 10 3 2 2 5 3 2" xfId="33865"/>
    <cellStyle name="표준 10 3 2 2 5 3 3" xfId="33866"/>
    <cellStyle name="표준 10 3 2 2 5 4" xfId="33867"/>
    <cellStyle name="표준 10 3 2 2 5 5" xfId="33868"/>
    <cellStyle name="표준 10 3 2 2 6" xfId="33869"/>
    <cellStyle name="표준 10 3 2 2 6 2" xfId="33870"/>
    <cellStyle name="표준 10 3 2 2 6 2 2" xfId="33871"/>
    <cellStyle name="표준 10 3 2 2 6 2 2 2" xfId="33872"/>
    <cellStyle name="표준 10 3 2 2 6 2 2 3" xfId="33873"/>
    <cellStyle name="표준 10 3 2 2 6 2 3" xfId="33874"/>
    <cellStyle name="표준 10 3 2 2 6 2 4" xfId="33875"/>
    <cellStyle name="표준 10 3 2 2 6 3" xfId="33876"/>
    <cellStyle name="표준 10 3 2 2 6 3 2" xfId="33877"/>
    <cellStyle name="표준 10 3 2 2 6 3 3" xfId="33878"/>
    <cellStyle name="표준 10 3 2 2 6 4" xfId="33879"/>
    <cellStyle name="표준 10 3 2 2 6 5" xfId="33880"/>
    <cellStyle name="표준 10 3 2 2 7" xfId="33881"/>
    <cellStyle name="표준 10 3 2 2 7 2" xfId="33882"/>
    <cellStyle name="표준 10 3 2 2 7 2 2" xfId="33883"/>
    <cellStyle name="표준 10 3 2 2 7 2 3" xfId="33884"/>
    <cellStyle name="표준 10 3 2 2 7 3" xfId="33885"/>
    <cellStyle name="표준 10 3 2 2 7 4" xfId="33886"/>
    <cellStyle name="표준 10 3 2 2 8" xfId="33887"/>
    <cellStyle name="표준 10 3 2 2 8 2" xfId="33888"/>
    <cellStyle name="표준 10 3 2 2 8 3" xfId="33889"/>
    <cellStyle name="표준 10 3 2 2 9" xfId="33890"/>
    <cellStyle name="표준 10 3 2 3" xfId="33891"/>
    <cellStyle name="표준 10 3 2 3 10" xfId="33892"/>
    <cellStyle name="표준 10 3 2 3 2" xfId="33893"/>
    <cellStyle name="표준 10 3 2 3 2 2" xfId="33894"/>
    <cellStyle name="표준 10 3 2 3 2 2 2" xfId="33895"/>
    <cellStyle name="표준 10 3 2 3 2 2 2 2" xfId="33896"/>
    <cellStyle name="표준 10 3 2 3 2 2 2 2 2" xfId="33897"/>
    <cellStyle name="표준 10 3 2 3 2 2 2 2 3" xfId="33898"/>
    <cellStyle name="표준 10 3 2 3 2 2 2 3" xfId="33899"/>
    <cellStyle name="표준 10 3 2 3 2 2 2 4" xfId="33900"/>
    <cellStyle name="표준 10 3 2 3 2 2 3" xfId="33901"/>
    <cellStyle name="표준 10 3 2 3 2 2 3 2" xfId="33902"/>
    <cellStyle name="표준 10 3 2 3 2 2 3 3" xfId="33903"/>
    <cellStyle name="표준 10 3 2 3 2 2 4" xfId="33904"/>
    <cellStyle name="표준 10 3 2 3 2 2 5" xfId="33905"/>
    <cellStyle name="표준 10 3 2 3 2 3" xfId="33906"/>
    <cellStyle name="표준 10 3 2 3 2 3 2" xfId="33907"/>
    <cellStyle name="표준 10 3 2 3 2 3 2 2" xfId="33908"/>
    <cellStyle name="표준 10 3 2 3 2 3 2 2 2" xfId="33909"/>
    <cellStyle name="표준 10 3 2 3 2 3 2 2 3" xfId="33910"/>
    <cellStyle name="표준 10 3 2 3 2 3 2 3" xfId="33911"/>
    <cellStyle name="표준 10 3 2 3 2 3 2 4" xfId="33912"/>
    <cellStyle name="표준 10 3 2 3 2 3 3" xfId="33913"/>
    <cellStyle name="표준 10 3 2 3 2 3 3 2" xfId="33914"/>
    <cellStyle name="표준 10 3 2 3 2 3 3 3" xfId="33915"/>
    <cellStyle name="표준 10 3 2 3 2 3 4" xfId="33916"/>
    <cellStyle name="표준 10 3 2 3 2 3 5" xfId="33917"/>
    <cellStyle name="표준 10 3 2 3 2 4" xfId="33918"/>
    <cellStyle name="표준 10 3 2 3 2 4 2" xfId="33919"/>
    <cellStyle name="표준 10 3 2 3 2 4 2 2" xfId="33920"/>
    <cellStyle name="표준 10 3 2 3 2 4 2 3" xfId="33921"/>
    <cellStyle name="표준 10 3 2 3 2 4 3" xfId="33922"/>
    <cellStyle name="표준 10 3 2 3 2 4 4" xfId="33923"/>
    <cellStyle name="표준 10 3 2 3 2 5" xfId="33924"/>
    <cellStyle name="표준 10 3 2 3 2 5 2" xfId="33925"/>
    <cellStyle name="표준 10 3 2 3 2 5 3" xfId="33926"/>
    <cellStyle name="표준 10 3 2 3 2 6" xfId="33927"/>
    <cellStyle name="표준 10 3 2 3 2 7" xfId="33928"/>
    <cellStyle name="표준 10 3 2 3 3" xfId="33929"/>
    <cellStyle name="표준 10 3 2 3 3 2" xfId="33930"/>
    <cellStyle name="표준 10 3 2 3 3 2 2" xfId="33931"/>
    <cellStyle name="표준 10 3 2 3 3 2 2 2" xfId="33932"/>
    <cellStyle name="표준 10 3 2 3 3 2 2 2 2" xfId="33933"/>
    <cellStyle name="표준 10 3 2 3 3 2 2 2 3" xfId="33934"/>
    <cellStyle name="표준 10 3 2 3 3 2 2 3" xfId="33935"/>
    <cellStyle name="표준 10 3 2 3 3 2 2 4" xfId="33936"/>
    <cellStyle name="표준 10 3 2 3 3 2 3" xfId="33937"/>
    <cellStyle name="표준 10 3 2 3 3 2 3 2" xfId="33938"/>
    <cellStyle name="표준 10 3 2 3 3 2 3 3" xfId="33939"/>
    <cellStyle name="표준 10 3 2 3 3 2 4" xfId="33940"/>
    <cellStyle name="표준 10 3 2 3 3 2 5" xfId="33941"/>
    <cellStyle name="표준 10 3 2 3 3 3" xfId="33942"/>
    <cellStyle name="표준 10 3 2 3 3 3 2" xfId="33943"/>
    <cellStyle name="표준 10 3 2 3 3 3 2 2" xfId="33944"/>
    <cellStyle name="표준 10 3 2 3 3 3 2 2 2" xfId="33945"/>
    <cellStyle name="표준 10 3 2 3 3 3 2 2 3" xfId="33946"/>
    <cellStyle name="표준 10 3 2 3 3 3 2 3" xfId="33947"/>
    <cellStyle name="표준 10 3 2 3 3 3 2 4" xfId="33948"/>
    <cellStyle name="표준 10 3 2 3 3 3 3" xfId="33949"/>
    <cellStyle name="표준 10 3 2 3 3 3 3 2" xfId="33950"/>
    <cellStyle name="표준 10 3 2 3 3 3 3 3" xfId="33951"/>
    <cellStyle name="표준 10 3 2 3 3 3 4" xfId="33952"/>
    <cellStyle name="표준 10 3 2 3 3 3 5" xfId="33953"/>
    <cellStyle name="표준 10 3 2 3 3 4" xfId="33954"/>
    <cellStyle name="표준 10 3 2 3 3 4 2" xfId="33955"/>
    <cellStyle name="표준 10 3 2 3 3 4 2 2" xfId="33956"/>
    <cellStyle name="표준 10 3 2 3 3 4 2 3" xfId="33957"/>
    <cellStyle name="표준 10 3 2 3 3 4 3" xfId="33958"/>
    <cellStyle name="표준 10 3 2 3 3 4 4" xfId="33959"/>
    <cellStyle name="표준 10 3 2 3 3 5" xfId="33960"/>
    <cellStyle name="표준 10 3 2 3 3 5 2" xfId="33961"/>
    <cellStyle name="표준 10 3 2 3 3 5 3" xfId="33962"/>
    <cellStyle name="표준 10 3 2 3 3 6" xfId="33963"/>
    <cellStyle name="표준 10 3 2 3 3 7" xfId="33964"/>
    <cellStyle name="표준 10 3 2 3 4" xfId="33965"/>
    <cellStyle name="표준 10 3 2 3 4 2" xfId="33966"/>
    <cellStyle name="표준 10 3 2 3 4 2 2" xfId="33967"/>
    <cellStyle name="표준 10 3 2 3 4 2 2 2" xfId="33968"/>
    <cellStyle name="표준 10 3 2 3 4 2 2 3" xfId="33969"/>
    <cellStyle name="표준 10 3 2 3 4 2 3" xfId="33970"/>
    <cellStyle name="표준 10 3 2 3 4 2 4" xfId="33971"/>
    <cellStyle name="표준 10 3 2 3 4 3" xfId="33972"/>
    <cellStyle name="표준 10 3 2 3 4 3 2" xfId="33973"/>
    <cellStyle name="표준 10 3 2 3 4 3 3" xfId="33974"/>
    <cellStyle name="표준 10 3 2 3 4 4" xfId="33975"/>
    <cellStyle name="표준 10 3 2 3 4 5" xfId="33976"/>
    <cellStyle name="표준 10 3 2 3 5" xfId="33977"/>
    <cellStyle name="표준 10 3 2 3 5 2" xfId="33978"/>
    <cellStyle name="표준 10 3 2 3 5 2 2" xfId="33979"/>
    <cellStyle name="표준 10 3 2 3 5 2 2 2" xfId="33980"/>
    <cellStyle name="표준 10 3 2 3 5 2 2 3" xfId="33981"/>
    <cellStyle name="표준 10 3 2 3 5 2 3" xfId="33982"/>
    <cellStyle name="표준 10 3 2 3 5 2 4" xfId="33983"/>
    <cellStyle name="표준 10 3 2 3 5 3" xfId="33984"/>
    <cellStyle name="표준 10 3 2 3 5 3 2" xfId="33985"/>
    <cellStyle name="표준 10 3 2 3 5 3 3" xfId="33986"/>
    <cellStyle name="표준 10 3 2 3 5 4" xfId="33987"/>
    <cellStyle name="표준 10 3 2 3 5 5" xfId="33988"/>
    <cellStyle name="표준 10 3 2 3 6" xfId="33989"/>
    <cellStyle name="표준 10 3 2 3 6 2" xfId="33990"/>
    <cellStyle name="표준 10 3 2 3 6 2 2" xfId="33991"/>
    <cellStyle name="표준 10 3 2 3 6 2 2 2" xfId="33992"/>
    <cellStyle name="표준 10 3 2 3 6 2 2 3" xfId="33993"/>
    <cellStyle name="표준 10 3 2 3 6 2 3" xfId="33994"/>
    <cellStyle name="표준 10 3 2 3 6 2 4" xfId="33995"/>
    <cellStyle name="표준 10 3 2 3 6 3" xfId="33996"/>
    <cellStyle name="표준 10 3 2 3 6 3 2" xfId="33997"/>
    <cellStyle name="표준 10 3 2 3 6 3 3" xfId="33998"/>
    <cellStyle name="표준 10 3 2 3 6 4" xfId="33999"/>
    <cellStyle name="표준 10 3 2 3 6 5" xfId="34000"/>
    <cellStyle name="표준 10 3 2 3 7" xfId="34001"/>
    <cellStyle name="표준 10 3 2 3 7 2" xfId="34002"/>
    <cellStyle name="표준 10 3 2 3 7 2 2" xfId="34003"/>
    <cellStyle name="표준 10 3 2 3 7 2 3" xfId="34004"/>
    <cellStyle name="표준 10 3 2 3 7 3" xfId="34005"/>
    <cellStyle name="표준 10 3 2 3 7 4" xfId="34006"/>
    <cellStyle name="표준 10 3 2 3 8" xfId="34007"/>
    <cellStyle name="표준 10 3 2 3 8 2" xfId="34008"/>
    <cellStyle name="표준 10 3 2 3 8 3" xfId="34009"/>
    <cellStyle name="표준 10 3 2 3 9" xfId="34010"/>
    <cellStyle name="표준 10 3 2 4" xfId="34011"/>
    <cellStyle name="표준 10 3 2 4 10" xfId="34012"/>
    <cellStyle name="표준 10 3 2 4 2" xfId="34013"/>
    <cellStyle name="표준 10 3 2 4 2 2" xfId="34014"/>
    <cellStyle name="표준 10 3 2 4 2 2 2" xfId="34015"/>
    <cellStyle name="표준 10 3 2 4 2 2 2 2" xfId="34016"/>
    <cellStyle name="표준 10 3 2 4 2 2 2 2 2" xfId="34017"/>
    <cellStyle name="표준 10 3 2 4 2 2 2 2 3" xfId="34018"/>
    <cellStyle name="표준 10 3 2 4 2 2 2 3" xfId="34019"/>
    <cellStyle name="표준 10 3 2 4 2 2 2 4" xfId="34020"/>
    <cellStyle name="표준 10 3 2 4 2 2 3" xfId="34021"/>
    <cellStyle name="표준 10 3 2 4 2 2 3 2" xfId="34022"/>
    <cellStyle name="표준 10 3 2 4 2 2 3 3" xfId="34023"/>
    <cellStyle name="표준 10 3 2 4 2 2 4" xfId="34024"/>
    <cellStyle name="표준 10 3 2 4 2 2 5" xfId="34025"/>
    <cellStyle name="표준 10 3 2 4 2 3" xfId="34026"/>
    <cellStyle name="표준 10 3 2 4 2 3 2" xfId="34027"/>
    <cellStyle name="표준 10 3 2 4 2 3 2 2" xfId="34028"/>
    <cellStyle name="표준 10 3 2 4 2 3 2 2 2" xfId="34029"/>
    <cellStyle name="표준 10 3 2 4 2 3 2 2 3" xfId="34030"/>
    <cellStyle name="표준 10 3 2 4 2 3 2 3" xfId="34031"/>
    <cellStyle name="표준 10 3 2 4 2 3 2 4" xfId="34032"/>
    <cellStyle name="표준 10 3 2 4 2 3 3" xfId="34033"/>
    <cellStyle name="표준 10 3 2 4 2 3 3 2" xfId="34034"/>
    <cellStyle name="표준 10 3 2 4 2 3 3 3" xfId="34035"/>
    <cellStyle name="표준 10 3 2 4 2 3 4" xfId="34036"/>
    <cellStyle name="표준 10 3 2 4 2 3 5" xfId="34037"/>
    <cellStyle name="표준 10 3 2 4 2 4" xfId="34038"/>
    <cellStyle name="표준 10 3 2 4 2 4 2" xfId="34039"/>
    <cellStyle name="표준 10 3 2 4 2 4 2 2" xfId="34040"/>
    <cellStyle name="표준 10 3 2 4 2 4 2 3" xfId="34041"/>
    <cellStyle name="표준 10 3 2 4 2 4 3" xfId="34042"/>
    <cellStyle name="표준 10 3 2 4 2 4 4" xfId="34043"/>
    <cellStyle name="표준 10 3 2 4 2 5" xfId="34044"/>
    <cellStyle name="표준 10 3 2 4 2 5 2" xfId="34045"/>
    <cellStyle name="표준 10 3 2 4 2 5 3" xfId="34046"/>
    <cellStyle name="표준 10 3 2 4 2 6" xfId="34047"/>
    <cellStyle name="표준 10 3 2 4 2 7" xfId="34048"/>
    <cellStyle name="표준 10 3 2 4 3" xfId="34049"/>
    <cellStyle name="표준 10 3 2 4 3 2" xfId="34050"/>
    <cellStyle name="표준 10 3 2 4 3 2 2" xfId="34051"/>
    <cellStyle name="표준 10 3 2 4 3 2 2 2" xfId="34052"/>
    <cellStyle name="표준 10 3 2 4 3 2 2 2 2" xfId="34053"/>
    <cellStyle name="표준 10 3 2 4 3 2 2 2 3" xfId="34054"/>
    <cellStyle name="표준 10 3 2 4 3 2 2 3" xfId="34055"/>
    <cellStyle name="표준 10 3 2 4 3 2 2 4" xfId="34056"/>
    <cellStyle name="표준 10 3 2 4 3 2 3" xfId="34057"/>
    <cellStyle name="표준 10 3 2 4 3 2 3 2" xfId="34058"/>
    <cellStyle name="표준 10 3 2 4 3 2 3 3" xfId="34059"/>
    <cellStyle name="표준 10 3 2 4 3 2 4" xfId="34060"/>
    <cellStyle name="표준 10 3 2 4 3 2 5" xfId="34061"/>
    <cellStyle name="표준 10 3 2 4 3 3" xfId="34062"/>
    <cellStyle name="표준 10 3 2 4 3 3 2" xfId="34063"/>
    <cellStyle name="표준 10 3 2 4 3 3 2 2" xfId="34064"/>
    <cellStyle name="표준 10 3 2 4 3 3 2 2 2" xfId="34065"/>
    <cellStyle name="표준 10 3 2 4 3 3 2 2 3" xfId="34066"/>
    <cellStyle name="표준 10 3 2 4 3 3 2 3" xfId="34067"/>
    <cellStyle name="표준 10 3 2 4 3 3 2 4" xfId="34068"/>
    <cellStyle name="표준 10 3 2 4 3 3 3" xfId="34069"/>
    <cellStyle name="표준 10 3 2 4 3 3 3 2" xfId="34070"/>
    <cellStyle name="표준 10 3 2 4 3 3 3 3" xfId="34071"/>
    <cellStyle name="표준 10 3 2 4 3 3 4" xfId="34072"/>
    <cellStyle name="표준 10 3 2 4 3 3 5" xfId="34073"/>
    <cellStyle name="표준 10 3 2 4 3 4" xfId="34074"/>
    <cellStyle name="표준 10 3 2 4 3 4 2" xfId="34075"/>
    <cellStyle name="표준 10 3 2 4 3 4 2 2" xfId="34076"/>
    <cellStyle name="표준 10 3 2 4 3 4 2 3" xfId="34077"/>
    <cellStyle name="표준 10 3 2 4 3 4 3" xfId="34078"/>
    <cellStyle name="표준 10 3 2 4 3 4 4" xfId="34079"/>
    <cellStyle name="표준 10 3 2 4 3 5" xfId="34080"/>
    <cellStyle name="표준 10 3 2 4 3 5 2" xfId="34081"/>
    <cellStyle name="표준 10 3 2 4 3 5 3" xfId="34082"/>
    <cellStyle name="표준 10 3 2 4 3 6" xfId="34083"/>
    <cellStyle name="표준 10 3 2 4 3 7" xfId="34084"/>
    <cellStyle name="표준 10 3 2 4 4" xfId="34085"/>
    <cellStyle name="표준 10 3 2 4 4 2" xfId="34086"/>
    <cellStyle name="표준 10 3 2 4 4 2 2" xfId="34087"/>
    <cellStyle name="표준 10 3 2 4 4 2 2 2" xfId="34088"/>
    <cellStyle name="표준 10 3 2 4 4 2 2 3" xfId="34089"/>
    <cellStyle name="표준 10 3 2 4 4 2 3" xfId="34090"/>
    <cellStyle name="표준 10 3 2 4 4 2 4" xfId="34091"/>
    <cellStyle name="표준 10 3 2 4 4 3" xfId="34092"/>
    <cellStyle name="표준 10 3 2 4 4 3 2" xfId="34093"/>
    <cellStyle name="표준 10 3 2 4 4 3 3" xfId="34094"/>
    <cellStyle name="표준 10 3 2 4 4 4" xfId="34095"/>
    <cellStyle name="표준 10 3 2 4 4 5" xfId="34096"/>
    <cellStyle name="표준 10 3 2 4 5" xfId="34097"/>
    <cellStyle name="표준 10 3 2 4 5 2" xfId="34098"/>
    <cellStyle name="표준 10 3 2 4 5 2 2" xfId="34099"/>
    <cellStyle name="표준 10 3 2 4 5 2 2 2" xfId="34100"/>
    <cellStyle name="표준 10 3 2 4 5 2 2 3" xfId="34101"/>
    <cellStyle name="표준 10 3 2 4 5 2 3" xfId="34102"/>
    <cellStyle name="표준 10 3 2 4 5 2 4" xfId="34103"/>
    <cellStyle name="표준 10 3 2 4 5 3" xfId="34104"/>
    <cellStyle name="표준 10 3 2 4 5 3 2" xfId="34105"/>
    <cellStyle name="표준 10 3 2 4 5 3 3" xfId="34106"/>
    <cellStyle name="표준 10 3 2 4 5 4" xfId="34107"/>
    <cellStyle name="표준 10 3 2 4 5 5" xfId="34108"/>
    <cellStyle name="표준 10 3 2 4 6" xfId="34109"/>
    <cellStyle name="표준 10 3 2 4 6 2" xfId="34110"/>
    <cellStyle name="표준 10 3 2 4 6 2 2" xfId="34111"/>
    <cellStyle name="표준 10 3 2 4 6 2 2 2" xfId="34112"/>
    <cellStyle name="표준 10 3 2 4 6 2 2 3" xfId="34113"/>
    <cellStyle name="표준 10 3 2 4 6 2 3" xfId="34114"/>
    <cellStyle name="표준 10 3 2 4 6 2 4" xfId="34115"/>
    <cellStyle name="표준 10 3 2 4 6 3" xfId="34116"/>
    <cellStyle name="표준 10 3 2 4 6 3 2" xfId="34117"/>
    <cellStyle name="표준 10 3 2 4 6 3 3" xfId="34118"/>
    <cellStyle name="표준 10 3 2 4 6 4" xfId="34119"/>
    <cellStyle name="표준 10 3 2 4 6 5" xfId="34120"/>
    <cellStyle name="표준 10 3 2 4 7" xfId="34121"/>
    <cellStyle name="표준 10 3 2 4 7 2" xfId="34122"/>
    <cellStyle name="표준 10 3 2 4 7 2 2" xfId="34123"/>
    <cellStyle name="표준 10 3 2 4 7 2 3" xfId="34124"/>
    <cellStyle name="표준 10 3 2 4 7 3" xfId="34125"/>
    <cellStyle name="표준 10 3 2 4 7 4" xfId="34126"/>
    <cellStyle name="표준 10 3 2 4 8" xfId="34127"/>
    <cellStyle name="표준 10 3 2 4 8 2" xfId="34128"/>
    <cellStyle name="표준 10 3 2 4 8 3" xfId="34129"/>
    <cellStyle name="표준 10 3 2 4 9" xfId="34130"/>
    <cellStyle name="표준 10 3 2 5" xfId="34131"/>
    <cellStyle name="표준 10 3 2 5 2" xfId="34132"/>
    <cellStyle name="표준 10 3 2 5 2 2" xfId="34133"/>
    <cellStyle name="표준 10 3 2 5 2 2 2" xfId="34134"/>
    <cellStyle name="표준 10 3 2 5 2 2 2 2" xfId="34135"/>
    <cellStyle name="표준 10 3 2 5 2 2 2 3" xfId="34136"/>
    <cellStyle name="표준 10 3 2 5 2 2 3" xfId="34137"/>
    <cellStyle name="표준 10 3 2 5 2 2 4" xfId="34138"/>
    <cellStyle name="표준 10 3 2 5 2 3" xfId="34139"/>
    <cellStyle name="표준 10 3 2 5 2 3 2" xfId="34140"/>
    <cellStyle name="표준 10 3 2 5 2 3 3" xfId="34141"/>
    <cellStyle name="표준 10 3 2 5 2 4" xfId="34142"/>
    <cellStyle name="표준 10 3 2 5 2 5" xfId="34143"/>
    <cellStyle name="표준 10 3 2 5 3" xfId="34144"/>
    <cellStyle name="표준 10 3 2 5 3 2" xfId="34145"/>
    <cellStyle name="표준 10 3 2 5 3 2 2" xfId="34146"/>
    <cellStyle name="표준 10 3 2 5 3 2 2 2" xfId="34147"/>
    <cellStyle name="표준 10 3 2 5 3 2 2 3" xfId="34148"/>
    <cellStyle name="표준 10 3 2 5 3 2 3" xfId="34149"/>
    <cellStyle name="표준 10 3 2 5 3 2 4" xfId="34150"/>
    <cellStyle name="표준 10 3 2 5 3 3" xfId="34151"/>
    <cellStyle name="표준 10 3 2 5 3 3 2" xfId="34152"/>
    <cellStyle name="표준 10 3 2 5 3 3 3" xfId="34153"/>
    <cellStyle name="표준 10 3 2 5 3 4" xfId="34154"/>
    <cellStyle name="표준 10 3 2 5 3 5" xfId="34155"/>
    <cellStyle name="표준 10 3 2 5 4" xfId="34156"/>
    <cellStyle name="표준 10 3 2 5 4 2" xfId="34157"/>
    <cellStyle name="표준 10 3 2 5 4 2 2" xfId="34158"/>
    <cellStyle name="표준 10 3 2 5 4 2 3" xfId="34159"/>
    <cellStyle name="표준 10 3 2 5 4 3" xfId="34160"/>
    <cellStyle name="표준 10 3 2 5 4 4" xfId="34161"/>
    <cellStyle name="표준 10 3 2 5 5" xfId="34162"/>
    <cellStyle name="표준 10 3 2 5 5 2" xfId="34163"/>
    <cellStyle name="표준 10 3 2 5 5 3" xfId="34164"/>
    <cellStyle name="표준 10 3 2 5 6" xfId="34165"/>
    <cellStyle name="표준 10 3 2 5 7" xfId="34166"/>
    <cellStyle name="표준 10 3 2 6" xfId="34167"/>
    <cellStyle name="표준 10 3 2 6 2" xfId="34168"/>
    <cellStyle name="표준 10 3 2 6 2 2" xfId="34169"/>
    <cellStyle name="표준 10 3 2 6 2 2 2" xfId="34170"/>
    <cellStyle name="표준 10 3 2 6 2 2 2 2" xfId="34171"/>
    <cellStyle name="표준 10 3 2 6 2 2 2 3" xfId="34172"/>
    <cellStyle name="표준 10 3 2 6 2 2 3" xfId="34173"/>
    <cellStyle name="표준 10 3 2 6 2 2 4" xfId="34174"/>
    <cellStyle name="표준 10 3 2 6 2 3" xfId="34175"/>
    <cellStyle name="표준 10 3 2 6 2 3 2" xfId="34176"/>
    <cellStyle name="표준 10 3 2 6 2 3 3" xfId="34177"/>
    <cellStyle name="표준 10 3 2 6 2 4" xfId="34178"/>
    <cellStyle name="표준 10 3 2 6 2 5" xfId="34179"/>
    <cellStyle name="표준 10 3 2 6 3" xfId="34180"/>
    <cellStyle name="표준 10 3 2 6 3 2" xfId="34181"/>
    <cellStyle name="표준 10 3 2 6 3 2 2" xfId="34182"/>
    <cellStyle name="표준 10 3 2 6 3 2 2 2" xfId="34183"/>
    <cellStyle name="표준 10 3 2 6 3 2 2 3" xfId="34184"/>
    <cellStyle name="표준 10 3 2 6 3 2 3" xfId="34185"/>
    <cellStyle name="표준 10 3 2 6 3 2 4" xfId="34186"/>
    <cellStyle name="표준 10 3 2 6 3 3" xfId="34187"/>
    <cellStyle name="표준 10 3 2 6 3 3 2" xfId="34188"/>
    <cellStyle name="표준 10 3 2 6 3 3 3" xfId="34189"/>
    <cellStyle name="표준 10 3 2 6 3 4" xfId="34190"/>
    <cellStyle name="표준 10 3 2 6 3 5" xfId="34191"/>
    <cellStyle name="표준 10 3 2 6 4" xfId="34192"/>
    <cellStyle name="표준 10 3 2 6 4 2" xfId="34193"/>
    <cellStyle name="표준 10 3 2 6 4 2 2" xfId="34194"/>
    <cellStyle name="표준 10 3 2 6 4 2 3" xfId="34195"/>
    <cellStyle name="표준 10 3 2 6 4 3" xfId="34196"/>
    <cellStyle name="표준 10 3 2 6 4 4" xfId="34197"/>
    <cellStyle name="표준 10 3 2 6 5" xfId="34198"/>
    <cellStyle name="표준 10 3 2 6 5 2" xfId="34199"/>
    <cellStyle name="표준 10 3 2 6 5 3" xfId="34200"/>
    <cellStyle name="표준 10 3 2 6 6" xfId="34201"/>
    <cellStyle name="표준 10 3 2 6 7" xfId="34202"/>
    <cellStyle name="표준 10 3 2 7" xfId="34203"/>
    <cellStyle name="표준 10 3 2 7 2" xfId="34204"/>
    <cellStyle name="표준 10 3 2 7 2 2" xfId="34205"/>
    <cellStyle name="표준 10 3 2 7 2 2 2" xfId="34206"/>
    <cellStyle name="표준 10 3 2 7 2 2 3" xfId="34207"/>
    <cellStyle name="표준 10 3 2 7 2 3" xfId="34208"/>
    <cellStyle name="표준 10 3 2 7 2 4" xfId="34209"/>
    <cellStyle name="표준 10 3 2 7 3" xfId="34210"/>
    <cellStyle name="표준 10 3 2 7 3 2" xfId="34211"/>
    <cellStyle name="표준 10 3 2 7 3 3" xfId="34212"/>
    <cellStyle name="표준 10 3 2 7 4" xfId="34213"/>
    <cellStyle name="표준 10 3 2 7 5" xfId="34214"/>
    <cellStyle name="표준 10 3 2 8" xfId="34215"/>
    <cellStyle name="표준 10 3 2 8 2" xfId="34216"/>
    <cellStyle name="표준 10 3 2 8 2 2" xfId="34217"/>
    <cellStyle name="표준 10 3 2 8 2 2 2" xfId="34218"/>
    <cellStyle name="표준 10 3 2 8 2 2 3" xfId="34219"/>
    <cellStyle name="표준 10 3 2 8 2 3" xfId="34220"/>
    <cellStyle name="표준 10 3 2 8 2 4" xfId="34221"/>
    <cellStyle name="표준 10 3 2 8 3" xfId="34222"/>
    <cellStyle name="표준 10 3 2 8 3 2" xfId="34223"/>
    <cellStyle name="표준 10 3 2 8 3 3" xfId="34224"/>
    <cellStyle name="표준 10 3 2 8 4" xfId="34225"/>
    <cellStyle name="표준 10 3 2 8 5" xfId="34226"/>
    <cellStyle name="표준 10 3 2 9" xfId="34227"/>
    <cellStyle name="표준 10 3 2 9 2" xfId="34228"/>
    <cellStyle name="표준 10 3 2 9 2 2" xfId="34229"/>
    <cellStyle name="표준 10 3 2 9 2 2 2" xfId="34230"/>
    <cellStyle name="표준 10 3 2 9 2 2 3" xfId="34231"/>
    <cellStyle name="표준 10 3 2 9 2 3" xfId="34232"/>
    <cellStyle name="표준 10 3 2 9 2 4" xfId="34233"/>
    <cellStyle name="표준 10 3 2 9 3" xfId="34234"/>
    <cellStyle name="표준 10 3 2 9 3 2" xfId="34235"/>
    <cellStyle name="표준 10 3 2 9 3 3" xfId="34236"/>
    <cellStyle name="표준 10 3 2 9 4" xfId="34237"/>
    <cellStyle name="표준 10 3 2 9 5" xfId="34238"/>
    <cellStyle name="표준 10 3 3" xfId="34239"/>
    <cellStyle name="표준 10 3 3 10" xfId="34240"/>
    <cellStyle name="표준 10 3 3 2" xfId="34241"/>
    <cellStyle name="표준 10 3 3 2 2" xfId="34242"/>
    <cellStyle name="표준 10 3 3 2 2 2" xfId="34243"/>
    <cellStyle name="표준 10 3 3 2 2 2 2" xfId="34244"/>
    <cellStyle name="표준 10 3 3 2 2 2 2 2" xfId="34245"/>
    <cellStyle name="표준 10 3 3 2 2 2 2 3" xfId="34246"/>
    <cellStyle name="표준 10 3 3 2 2 2 3" xfId="34247"/>
    <cellStyle name="표준 10 3 3 2 2 2 4" xfId="34248"/>
    <cellStyle name="표준 10 3 3 2 2 3" xfId="34249"/>
    <cellStyle name="표준 10 3 3 2 2 3 2" xfId="34250"/>
    <cellStyle name="표준 10 3 3 2 2 3 3" xfId="34251"/>
    <cellStyle name="표준 10 3 3 2 2 4" xfId="34252"/>
    <cellStyle name="표준 10 3 3 2 2 5" xfId="34253"/>
    <cellStyle name="표준 10 3 3 2 3" xfId="34254"/>
    <cellStyle name="표준 10 3 3 2 3 2" xfId="34255"/>
    <cellStyle name="표준 10 3 3 2 3 2 2" xfId="34256"/>
    <cellStyle name="표준 10 3 3 2 3 2 2 2" xfId="34257"/>
    <cellStyle name="표준 10 3 3 2 3 2 2 3" xfId="34258"/>
    <cellStyle name="표준 10 3 3 2 3 2 3" xfId="34259"/>
    <cellStyle name="표준 10 3 3 2 3 2 4" xfId="34260"/>
    <cellStyle name="표준 10 3 3 2 3 3" xfId="34261"/>
    <cellStyle name="표준 10 3 3 2 3 3 2" xfId="34262"/>
    <cellStyle name="표준 10 3 3 2 3 3 3" xfId="34263"/>
    <cellStyle name="표준 10 3 3 2 3 4" xfId="34264"/>
    <cellStyle name="표준 10 3 3 2 3 5" xfId="34265"/>
    <cellStyle name="표준 10 3 3 2 4" xfId="34266"/>
    <cellStyle name="표준 10 3 3 2 4 2" xfId="34267"/>
    <cellStyle name="표준 10 3 3 2 4 2 2" xfId="34268"/>
    <cellStyle name="표준 10 3 3 2 4 2 3" xfId="34269"/>
    <cellStyle name="표준 10 3 3 2 4 3" xfId="34270"/>
    <cellStyle name="표준 10 3 3 2 4 4" xfId="34271"/>
    <cellStyle name="표준 10 3 3 2 5" xfId="34272"/>
    <cellStyle name="표준 10 3 3 2 5 2" xfId="34273"/>
    <cellStyle name="표준 10 3 3 2 5 3" xfId="34274"/>
    <cellStyle name="표준 10 3 3 2 6" xfId="34275"/>
    <cellStyle name="표준 10 3 3 2 7" xfId="34276"/>
    <cellStyle name="표준 10 3 3 3" xfId="34277"/>
    <cellStyle name="표준 10 3 3 3 2" xfId="34278"/>
    <cellStyle name="표준 10 3 3 3 2 2" xfId="34279"/>
    <cellStyle name="표준 10 3 3 3 2 2 2" xfId="34280"/>
    <cellStyle name="표준 10 3 3 3 2 2 2 2" xfId="34281"/>
    <cellStyle name="표준 10 3 3 3 2 2 2 3" xfId="34282"/>
    <cellStyle name="표준 10 3 3 3 2 2 3" xfId="34283"/>
    <cellStyle name="표준 10 3 3 3 2 2 4" xfId="34284"/>
    <cellStyle name="표준 10 3 3 3 2 3" xfId="34285"/>
    <cellStyle name="표준 10 3 3 3 2 3 2" xfId="34286"/>
    <cellStyle name="표준 10 3 3 3 2 3 3" xfId="34287"/>
    <cellStyle name="표준 10 3 3 3 2 4" xfId="34288"/>
    <cellStyle name="표준 10 3 3 3 2 5" xfId="34289"/>
    <cellStyle name="표준 10 3 3 3 3" xfId="34290"/>
    <cellStyle name="표준 10 3 3 3 3 2" xfId="34291"/>
    <cellStyle name="표준 10 3 3 3 3 2 2" xfId="34292"/>
    <cellStyle name="표준 10 3 3 3 3 2 2 2" xfId="34293"/>
    <cellStyle name="표준 10 3 3 3 3 2 2 3" xfId="34294"/>
    <cellStyle name="표준 10 3 3 3 3 2 3" xfId="34295"/>
    <cellStyle name="표준 10 3 3 3 3 2 4" xfId="34296"/>
    <cellStyle name="표준 10 3 3 3 3 3" xfId="34297"/>
    <cellStyle name="표준 10 3 3 3 3 3 2" xfId="34298"/>
    <cellStyle name="표준 10 3 3 3 3 3 3" xfId="34299"/>
    <cellStyle name="표준 10 3 3 3 3 4" xfId="34300"/>
    <cellStyle name="표준 10 3 3 3 3 5" xfId="34301"/>
    <cellStyle name="표준 10 3 3 3 4" xfId="34302"/>
    <cellStyle name="표준 10 3 3 3 4 2" xfId="34303"/>
    <cellStyle name="표준 10 3 3 3 4 2 2" xfId="34304"/>
    <cellStyle name="표준 10 3 3 3 4 2 3" xfId="34305"/>
    <cellStyle name="표준 10 3 3 3 4 3" xfId="34306"/>
    <cellStyle name="표준 10 3 3 3 4 4" xfId="34307"/>
    <cellStyle name="표준 10 3 3 3 5" xfId="34308"/>
    <cellStyle name="표준 10 3 3 3 5 2" xfId="34309"/>
    <cellStyle name="표준 10 3 3 3 5 3" xfId="34310"/>
    <cellStyle name="표준 10 3 3 3 6" xfId="34311"/>
    <cellStyle name="표준 10 3 3 3 7" xfId="34312"/>
    <cellStyle name="표준 10 3 3 4" xfId="34313"/>
    <cellStyle name="표준 10 3 3 4 2" xfId="34314"/>
    <cellStyle name="표준 10 3 3 4 2 2" xfId="34315"/>
    <cellStyle name="표준 10 3 3 4 2 2 2" xfId="34316"/>
    <cellStyle name="표준 10 3 3 4 2 2 3" xfId="34317"/>
    <cellStyle name="표준 10 3 3 4 2 3" xfId="34318"/>
    <cellStyle name="표준 10 3 3 4 2 4" xfId="34319"/>
    <cellStyle name="표준 10 3 3 4 3" xfId="34320"/>
    <cellStyle name="표준 10 3 3 4 3 2" xfId="34321"/>
    <cellStyle name="표준 10 3 3 4 3 3" xfId="34322"/>
    <cellStyle name="표준 10 3 3 4 4" xfId="34323"/>
    <cellStyle name="표준 10 3 3 4 5" xfId="34324"/>
    <cellStyle name="표준 10 3 3 5" xfId="34325"/>
    <cellStyle name="표준 10 3 3 5 2" xfId="34326"/>
    <cellStyle name="표준 10 3 3 5 2 2" xfId="34327"/>
    <cellStyle name="표준 10 3 3 5 2 2 2" xfId="34328"/>
    <cellStyle name="표준 10 3 3 5 2 2 3" xfId="34329"/>
    <cellStyle name="표준 10 3 3 5 2 3" xfId="34330"/>
    <cellStyle name="표준 10 3 3 5 2 4" xfId="34331"/>
    <cellStyle name="표준 10 3 3 5 3" xfId="34332"/>
    <cellStyle name="표준 10 3 3 5 3 2" xfId="34333"/>
    <cellStyle name="표준 10 3 3 5 3 3" xfId="34334"/>
    <cellStyle name="표준 10 3 3 5 4" xfId="34335"/>
    <cellStyle name="표준 10 3 3 5 5" xfId="34336"/>
    <cellStyle name="표준 10 3 3 6" xfId="34337"/>
    <cellStyle name="표준 10 3 3 6 2" xfId="34338"/>
    <cellStyle name="표준 10 3 3 6 2 2" xfId="34339"/>
    <cellStyle name="표준 10 3 3 6 2 2 2" xfId="34340"/>
    <cellStyle name="표준 10 3 3 6 2 2 3" xfId="34341"/>
    <cellStyle name="표준 10 3 3 6 2 3" xfId="34342"/>
    <cellStyle name="표준 10 3 3 6 2 4" xfId="34343"/>
    <cellStyle name="표준 10 3 3 6 3" xfId="34344"/>
    <cellStyle name="표준 10 3 3 6 3 2" xfId="34345"/>
    <cellStyle name="표준 10 3 3 6 3 3" xfId="34346"/>
    <cellStyle name="표준 10 3 3 6 4" xfId="34347"/>
    <cellStyle name="표준 10 3 3 6 5" xfId="34348"/>
    <cellStyle name="표준 10 3 3 7" xfId="34349"/>
    <cellStyle name="표준 10 3 3 7 2" xfId="34350"/>
    <cellStyle name="표준 10 3 3 7 2 2" xfId="34351"/>
    <cellStyle name="표준 10 3 3 7 2 3" xfId="34352"/>
    <cellStyle name="표준 10 3 3 7 3" xfId="34353"/>
    <cellStyle name="표준 10 3 3 7 4" xfId="34354"/>
    <cellStyle name="표준 10 3 3 8" xfId="34355"/>
    <cellStyle name="표준 10 3 3 8 2" xfId="34356"/>
    <cellStyle name="표준 10 3 3 8 3" xfId="34357"/>
    <cellStyle name="표준 10 3 3 9" xfId="34358"/>
    <cellStyle name="표준 10 3 4" xfId="34359"/>
    <cellStyle name="표준 10 3 4 10" xfId="34360"/>
    <cellStyle name="표준 10 3 4 2" xfId="34361"/>
    <cellStyle name="표준 10 3 4 2 2" xfId="34362"/>
    <cellStyle name="표준 10 3 4 2 2 2" xfId="34363"/>
    <cellStyle name="표준 10 3 4 2 2 2 2" xfId="34364"/>
    <cellStyle name="표준 10 3 4 2 2 2 2 2" xfId="34365"/>
    <cellStyle name="표준 10 3 4 2 2 2 2 3" xfId="34366"/>
    <cellStyle name="표준 10 3 4 2 2 2 3" xfId="34367"/>
    <cellStyle name="표준 10 3 4 2 2 2 4" xfId="34368"/>
    <cellStyle name="표준 10 3 4 2 2 3" xfId="34369"/>
    <cellStyle name="표준 10 3 4 2 2 3 2" xfId="34370"/>
    <cellStyle name="표준 10 3 4 2 2 3 3" xfId="34371"/>
    <cellStyle name="표준 10 3 4 2 2 4" xfId="34372"/>
    <cellStyle name="표준 10 3 4 2 2 5" xfId="34373"/>
    <cellStyle name="표준 10 3 4 2 3" xfId="34374"/>
    <cellStyle name="표준 10 3 4 2 3 2" xfId="34375"/>
    <cellStyle name="표준 10 3 4 2 3 2 2" xfId="34376"/>
    <cellStyle name="표준 10 3 4 2 3 2 2 2" xfId="34377"/>
    <cellStyle name="표준 10 3 4 2 3 2 2 3" xfId="34378"/>
    <cellStyle name="표준 10 3 4 2 3 2 3" xfId="34379"/>
    <cellStyle name="표준 10 3 4 2 3 2 4" xfId="34380"/>
    <cellStyle name="표준 10 3 4 2 3 3" xfId="34381"/>
    <cellStyle name="표준 10 3 4 2 3 3 2" xfId="34382"/>
    <cellStyle name="표준 10 3 4 2 3 3 3" xfId="34383"/>
    <cellStyle name="표준 10 3 4 2 3 4" xfId="34384"/>
    <cellStyle name="표준 10 3 4 2 3 5" xfId="34385"/>
    <cellStyle name="표준 10 3 4 2 4" xfId="34386"/>
    <cellStyle name="표준 10 3 4 2 4 2" xfId="34387"/>
    <cellStyle name="표준 10 3 4 2 4 2 2" xfId="34388"/>
    <cellStyle name="표준 10 3 4 2 4 2 3" xfId="34389"/>
    <cellStyle name="표준 10 3 4 2 4 3" xfId="34390"/>
    <cellStyle name="표준 10 3 4 2 4 4" xfId="34391"/>
    <cellStyle name="표준 10 3 4 2 5" xfId="34392"/>
    <cellStyle name="표준 10 3 4 2 5 2" xfId="34393"/>
    <cellStyle name="표준 10 3 4 2 5 3" xfId="34394"/>
    <cellStyle name="표준 10 3 4 2 6" xfId="34395"/>
    <cellStyle name="표준 10 3 4 2 7" xfId="34396"/>
    <cellStyle name="표준 10 3 4 3" xfId="34397"/>
    <cellStyle name="표준 10 3 4 3 2" xfId="34398"/>
    <cellStyle name="표준 10 3 4 3 2 2" xfId="34399"/>
    <cellStyle name="표준 10 3 4 3 2 2 2" xfId="34400"/>
    <cellStyle name="표준 10 3 4 3 2 2 2 2" xfId="34401"/>
    <cellStyle name="표준 10 3 4 3 2 2 2 3" xfId="34402"/>
    <cellStyle name="표준 10 3 4 3 2 2 3" xfId="34403"/>
    <cellStyle name="표준 10 3 4 3 2 2 4" xfId="34404"/>
    <cellStyle name="표준 10 3 4 3 2 3" xfId="34405"/>
    <cellStyle name="표준 10 3 4 3 2 3 2" xfId="34406"/>
    <cellStyle name="표준 10 3 4 3 2 3 3" xfId="34407"/>
    <cellStyle name="표준 10 3 4 3 2 4" xfId="34408"/>
    <cellStyle name="표준 10 3 4 3 2 5" xfId="34409"/>
    <cellStyle name="표준 10 3 4 3 3" xfId="34410"/>
    <cellStyle name="표준 10 3 4 3 3 2" xfId="34411"/>
    <cellStyle name="표준 10 3 4 3 3 2 2" xfId="34412"/>
    <cellStyle name="표준 10 3 4 3 3 2 2 2" xfId="34413"/>
    <cellStyle name="표준 10 3 4 3 3 2 2 3" xfId="34414"/>
    <cellStyle name="표준 10 3 4 3 3 2 3" xfId="34415"/>
    <cellStyle name="표준 10 3 4 3 3 2 4" xfId="34416"/>
    <cellStyle name="표준 10 3 4 3 3 3" xfId="34417"/>
    <cellStyle name="표준 10 3 4 3 3 3 2" xfId="34418"/>
    <cellStyle name="표준 10 3 4 3 3 3 3" xfId="34419"/>
    <cellStyle name="표준 10 3 4 3 3 4" xfId="34420"/>
    <cellStyle name="표준 10 3 4 3 3 5" xfId="34421"/>
    <cellStyle name="표준 10 3 4 3 4" xfId="34422"/>
    <cellStyle name="표준 10 3 4 3 4 2" xfId="34423"/>
    <cellStyle name="표준 10 3 4 3 4 2 2" xfId="34424"/>
    <cellStyle name="표준 10 3 4 3 4 2 3" xfId="34425"/>
    <cellStyle name="표준 10 3 4 3 4 3" xfId="34426"/>
    <cellStyle name="표준 10 3 4 3 4 4" xfId="34427"/>
    <cellStyle name="표준 10 3 4 3 5" xfId="34428"/>
    <cellStyle name="표준 10 3 4 3 5 2" xfId="34429"/>
    <cellStyle name="표준 10 3 4 3 5 3" xfId="34430"/>
    <cellStyle name="표준 10 3 4 3 6" xfId="34431"/>
    <cellStyle name="표준 10 3 4 3 7" xfId="34432"/>
    <cellStyle name="표준 10 3 4 4" xfId="34433"/>
    <cellStyle name="표준 10 3 4 4 2" xfId="34434"/>
    <cellStyle name="표준 10 3 4 4 2 2" xfId="34435"/>
    <cellStyle name="표준 10 3 4 4 2 2 2" xfId="34436"/>
    <cellStyle name="표준 10 3 4 4 2 2 3" xfId="34437"/>
    <cellStyle name="표준 10 3 4 4 2 3" xfId="34438"/>
    <cellStyle name="표준 10 3 4 4 2 4" xfId="34439"/>
    <cellStyle name="표준 10 3 4 4 3" xfId="34440"/>
    <cellStyle name="표준 10 3 4 4 3 2" xfId="34441"/>
    <cellStyle name="표준 10 3 4 4 3 3" xfId="34442"/>
    <cellStyle name="표준 10 3 4 4 4" xfId="34443"/>
    <cellStyle name="표준 10 3 4 4 5" xfId="34444"/>
    <cellStyle name="표준 10 3 4 5" xfId="34445"/>
    <cellStyle name="표준 10 3 4 5 2" xfId="34446"/>
    <cellStyle name="표준 10 3 4 5 2 2" xfId="34447"/>
    <cellStyle name="표준 10 3 4 5 2 2 2" xfId="34448"/>
    <cellStyle name="표준 10 3 4 5 2 2 3" xfId="34449"/>
    <cellStyle name="표준 10 3 4 5 2 3" xfId="34450"/>
    <cellStyle name="표준 10 3 4 5 2 4" xfId="34451"/>
    <cellStyle name="표준 10 3 4 5 3" xfId="34452"/>
    <cellStyle name="표준 10 3 4 5 3 2" xfId="34453"/>
    <cellStyle name="표준 10 3 4 5 3 3" xfId="34454"/>
    <cellStyle name="표준 10 3 4 5 4" xfId="34455"/>
    <cellStyle name="표준 10 3 4 5 5" xfId="34456"/>
    <cellStyle name="표준 10 3 4 6" xfId="34457"/>
    <cellStyle name="표준 10 3 4 6 2" xfId="34458"/>
    <cellStyle name="표준 10 3 4 6 2 2" xfId="34459"/>
    <cellStyle name="표준 10 3 4 6 2 2 2" xfId="34460"/>
    <cellStyle name="표준 10 3 4 6 2 2 3" xfId="34461"/>
    <cellStyle name="표준 10 3 4 6 2 3" xfId="34462"/>
    <cellStyle name="표준 10 3 4 6 2 4" xfId="34463"/>
    <cellStyle name="표준 10 3 4 6 3" xfId="34464"/>
    <cellStyle name="표준 10 3 4 6 3 2" xfId="34465"/>
    <cellStyle name="표준 10 3 4 6 3 3" xfId="34466"/>
    <cellStyle name="표준 10 3 4 6 4" xfId="34467"/>
    <cellStyle name="표준 10 3 4 6 5" xfId="34468"/>
    <cellStyle name="표준 10 3 4 7" xfId="34469"/>
    <cellStyle name="표준 10 3 4 7 2" xfId="34470"/>
    <cellStyle name="표준 10 3 4 7 2 2" xfId="34471"/>
    <cellStyle name="표준 10 3 4 7 2 3" xfId="34472"/>
    <cellStyle name="표준 10 3 4 7 3" xfId="34473"/>
    <cellStyle name="표준 10 3 4 7 4" xfId="34474"/>
    <cellStyle name="표준 10 3 4 8" xfId="34475"/>
    <cellStyle name="표준 10 3 4 8 2" xfId="34476"/>
    <cellStyle name="표준 10 3 4 8 3" xfId="34477"/>
    <cellStyle name="표준 10 3 4 9" xfId="34478"/>
    <cellStyle name="표준 10 3 5" xfId="34479"/>
    <cellStyle name="표준 10 3 5 10" xfId="34480"/>
    <cellStyle name="표준 10 3 5 2" xfId="34481"/>
    <cellStyle name="표준 10 3 5 2 2" xfId="34482"/>
    <cellStyle name="표준 10 3 5 2 2 2" xfId="34483"/>
    <cellStyle name="표준 10 3 5 2 2 2 2" xfId="34484"/>
    <cellStyle name="표준 10 3 5 2 2 2 2 2" xfId="34485"/>
    <cellStyle name="표준 10 3 5 2 2 2 2 3" xfId="34486"/>
    <cellStyle name="표준 10 3 5 2 2 2 3" xfId="34487"/>
    <cellStyle name="표준 10 3 5 2 2 2 4" xfId="34488"/>
    <cellStyle name="표준 10 3 5 2 2 3" xfId="34489"/>
    <cellStyle name="표준 10 3 5 2 2 3 2" xfId="34490"/>
    <cellStyle name="표준 10 3 5 2 2 3 3" xfId="34491"/>
    <cellStyle name="표준 10 3 5 2 2 4" xfId="34492"/>
    <cellStyle name="표준 10 3 5 2 2 5" xfId="34493"/>
    <cellStyle name="표준 10 3 5 2 3" xfId="34494"/>
    <cellStyle name="표준 10 3 5 2 3 2" xfId="34495"/>
    <cellStyle name="표준 10 3 5 2 3 2 2" xfId="34496"/>
    <cellStyle name="표준 10 3 5 2 3 2 2 2" xfId="34497"/>
    <cellStyle name="표준 10 3 5 2 3 2 2 3" xfId="34498"/>
    <cellStyle name="표준 10 3 5 2 3 2 3" xfId="34499"/>
    <cellStyle name="표준 10 3 5 2 3 2 4" xfId="34500"/>
    <cellStyle name="표준 10 3 5 2 3 3" xfId="34501"/>
    <cellStyle name="표준 10 3 5 2 3 3 2" xfId="34502"/>
    <cellStyle name="표준 10 3 5 2 3 3 3" xfId="34503"/>
    <cellStyle name="표준 10 3 5 2 3 4" xfId="34504"/>
    <cellStyle name="표준 10 3 5 2 3 5" xfId="34505"/>
    <cellStyle name="표준 10 3 5 2 4" xfId="34506"/>
    <cellStyle name="표준 10 3 5 2 4 2" xfId="34507"/>
    <cellStyle name="표준 10 3 5 2 4 2 2" xfId="34508"/>
    <cellStyle name="표준 10 3 5 2 4 2 3" xfId="34509"/>
    <cellStyle name="표준 10 3 5 2 4 3" xfId="34510"/>
    <cellStyle name="표준 10 3 5 2 4 4" xfId="34511"/>
    <cellStyle name="표준 10 3 5 2 5" xfId="34512"/>
    <cellStyle name="표준 10 3 5 2 5 2" xfId="34513"/>
    <cellStyle name="표준 10 3 5 2 5 3" xfId="34514"/>
    <cellStyle name="표준 10 3 5 2 6" xfId="34515"/>
    <cellStyle name="표준 10 3 5 2 7" xfId="34516"/>
    <cellStyle name="표준 10 3 5 3" xfId="34517"/>
    <cellStyle name="표준 10 3 5 3 2" xfId="34518"/>
    <cellStyle name="표준 10 3 5 3 2 2" xfId="34519"/>
    <cellStyle name="표준 10 3 5 3 2 2 2" xfId="34520"/>
    <cellStyle name="표준 10 3 5 3 2 2 2 2" xfId="34521"/>
    <cellStyle name="표준 10 3 5 3 2 2 2 3" xfId="34522"/>
    <cellStyle name="표준 10 3 5 3 2 2 3" xfId="34523"/>
    <cellStyle name="표준 10 3 5 3 2 2 4" xfId="34524"/>
    <cellStyle name="표준 10 3 5 3 2 3" xfId="34525"/>
    <cellStyle name="표준 10 3 5 3 2 3 2" xfId="34526"/>
    <cellStyle name="표준 10 3 5 3 2 3 3" xfId="34527"/>
    <cellStyle name="표준 10 3 5 3 2 4" xfId="34528"/>
    <cellStyle name="표준 10 3 5 3 2 5" xfId="34529"/>
    <cellStyle name="표준 10 3 5 3 3" xfId="34530"/>
    <cellStyle name="표준 10 3 5 3 3 2" xfId="34531"/>
    <cellStyle name="표준 10 3 5 3 3 2 2" xfId="34532"/>
    <cellStyle name="표준 10 3 5 3 3 2 2 2" xfId="34533"/>
    <cellStyle name="표준 10 3 5 3 3 2 2 3" xfId="34534"/>
    <cellStyle name="표준 10 3 5 3 3 2 3" xfId="34535"/>
    <cellStyle name="표준 10 3 5 3 3 2 4" xfId="34536"/>
    <cellStyle name="표준 10 3 5 3 3 3" xfId="34537"/>
    <cellStyle name="표준 10 3 5 3 3 3 2" xfId="34538"/>
    <cellStyle name="표준 10 3 5 3 3 3 3" xfId="34539"/>
    <cellStyle name="표준 10 3 5 3 3 4" xfId="34540"/>
    <cellStyle name="표준 10 3 5 3 3 5" xfId="34541"/>
    <cellStyle name="표준 10 3 5 3 4" xfId="34542"/>
    <cellStyle name="표준 10 3 5 3 4 2" xfId="34543"/>
    <cellStyle name="표준 10 3 5 3 4 2 2" xfId="34544"/>
    <cellStyle name="표준 10 3 5 3 4 2 3" xfId="34545"/>
    <cellStyle name="표준 10 3 5 3 4 3" xfId="34546"/>
    <cellStyle name="표준 10 3 5 3 4 4" xfId="34547"/>
    <cellStyle name="표준 10 3 5 3 5" xfId="34548"/>
    <cellStyle name="표준 10 3 5 3 5 2" xfId="34549"/>
    <cellStyle name="표준 10 3 5 3 5 3" xfId="34550"/>
    <cellStyle name="표준 10 3 5 3 6" xfId="34551"/>
    <cellStyle name="표준 10 3 5 3 7" xfId="34552"/>
    <cellStyle name="표준 10 3 5 4" xfId="34553"/>
    <cellStyle name="표준 10 3 5 4 2" xfId="34554"/>
    <cellStyle name="표준 10 3 5 4 2 2" xfId="34555"/>
    <cellStyle name="표준 10 3 5 4 2 2 2" xfId="34556"/>
    <cellStyle name="표준 10 3 5 4 2 2 3" xfId="34557"/>
    <cellStyle name="표준 10 3 5 4 2 3" xfId="34558"/>
    <cellStyle name="표준 10 3 5 4 2 4" xfId="34559"/>
    <cellStyle name="표준 10 3 5 4 3" xfId="34560"/>
    <cellStyle name="표준 10 3 5 4 3 2" xfId="34561"/>
    <cellStyle name="표준 10 3 5 4 3 3" xfId="34562"/>
    <cellStyle name="표준 10 3 5 4 4" xfId="34563"/>
    <cellStyle name="표준 10 3 5 4 5" xfId="34564"/>
    <cellStyle name="표준 10 3 5 5" xfId="34565"/>
    <cellStyle name="표준 10 3 5 5 2" xfId="34566"/>
    <cellStyle name="표준 10 3 5 5 2 2" xfId="34567"/>
    <cellStyle name="표준 10 3 5 5 2 2 2" xfId="34568"/>
    <cellStyle name="표준 10 3 5 5 2 2 3" xfId="34569"/>
    <cellStyle name="표준 10 3 5 5 2 3" xfId="34570"/>
    <cellStyle name="표준 10 3 5 5 2 4" xfId="34571"/>
    <cellStyle name="표준 10 3 5 5 3" xfId="34572"/>
    <cellStyle name="표준 10 3 5 5 3 2" xfId="34573"/>
    <cellStyle name="표준 10 3 5 5 3 3" xfId="34574"/>
    <cellStyle name="표준 10 3 5 5 4" xfId="34575"/>
    <cellStyle name="표준 10 3 5 5 5" xfId="34576"/>
    <cellStyle name="표준 10 3 5 6" xfId="34577"/>
    <cellStyle name="표준 10 3 5 6 2" xfId="34578"/>
    <cellStyle name="표준 10 3 5 6 2 2" xfId="34579"/>
    <cellStyle name="표준 10 3 5 6 2 2 2" xfId="34580"/>
    <cellStyle name="표준 10 3 5 6 2 2 3" xfId="34581"/>
    <cellStyle name="표준 10 3 5 6 2 3" xfId="34582"/>
    <cellStyle name="표준 10 3 5 6 2 4" xfId="34583"/>
    <cellStyle name="표준 10 3 5 6 3" xfId="34584"/>
    <cellStyle name="표준 10 3 5 6 3 2" xfId="34585"/>
    <cellStyle name="표준 10 3 5 6 3 3" xfId="34586"/>
    <cellStyle name="표준 10 3 5 6 4" xfId="34587"/>
    <cellStyle name="표준 10 3 5 6 5" xfId="34588"/>
    <cellStyle name="표준 10 3 5 7" xfId="34589"/>
    <cellStyle name="표준 10 3 5 7 2" xfId="34590"/>
    <cellStyle name="표준 10 3 5 7 2 2" xfId="34591"/>
    <cellStyle name="표준 10 3 5 7 2 3" xfId="34592"/>
    <cellStyle name="표준 10 3 5 7 3" xfId="34593"/>
    <cellStyle name="표준 10 3 5 7 4" xfId="34594"/>
    <cellStyle name="표준 10 3 5 8" xfId="34595"/>
    <cellStyle name="표준 10 3 5 8 2" xfId="34596"/>
    <cellStyle name="표준 10 3 5 8 3" xfId="34597"/>
    <cellStyle name="표준 10 3 5 9" xfId="34598"/>
    <cellStyle name="표준 10 3 6" xfId="34599"/>
    <cellStyle name="표준 10 3 6 2" xfId="34600"/>
    <cellStyle name="표준 10 3 6 2 2" xfId="34601"/>
    <cellStyle name="표준 10 3 6 2 2 2" xfId="34602"/>
    <cellStyle name="표준 10 3 6 2 2 2 2" xfId="34603"/>
    <cellStyle name="표준 10 3 6 2 2 2 3" xfId="34604"/>
    <cellStyle name="표준 10 3 6 2 2 3" xfId="34605"/>
    <cellStyle name="표준 10 3 6 2 2 4" xfId="34606"/>
    <cellStyle name="표준 10 3 6 2 3" xfId="34607"/>
    <cellStyle name="표준 10 3 6 2 3 2" xfId="34608"/>
    <cellStyle name="표준 10 3 6 2 3 3" xfId="34609"/>
    <cellStyle name="표준 10 3 6 2 4" xfId="34610"/>
    <cellStyle name="표준 10 3 6 2 5" xfId="34611"/>
    <cellStyle name="표준 10 3 6 3" xfId="34612"/>
    <cellStyle name="표준 10 3 6 3 2" xfId="34613"/>
    <cellStyle name="표준 10 3 6 3 2 2" xfId="34614"/>
    <cellStyle name="표준 10 3 6 3 2 2 2" xfId="34615"/>
    <cellStyle name="표준 10 3 6 3 2 2 3" xfId="34616"/>
    <cellStyle name="표준 10 3 6 3 2 3" xfId="34617"/>
    <cellStyle name="표준 10 3 6 3 2 4" xfId="34618"/>
    <cellStyle name="표준 10 3 6 3 3" xfId="34619"/>
    <cellStyle name="표준 10 3 6 3 3 2" xfId="34620"/>
    <cellStyle name="표준 10 3 6 3 3 3" xfId="34621"/>
    <cellStyle name="표준 10 3 6 3 4" xfId="34622"/>
    <cellStyle name="표준 10 3 6 3 5" xfId="34623"/>
    <cellStyle name="표준 10 3 6 4" xfId="34624"/>
    <cellStyle name="표준 10 3 6 4 2" xfId="34625"/>
    <cellStyle name="표준 10 3 6 4 2 2" xfId="34626"/>
    <cellStyle name="표준 10 3 6 4 2 3" xfId="34627"/>
    <cellStyle name="표준 10 3 6 4 3" xfId="34628"/>
    <cellStyle name="표준 10 3 6 4 4" xfId="34629"/>
    <cellStyle name="표준 10 3 6 5" xfId="34630"/>
    <cellStyle name="표준 10 3 6 5 2" xfId="34631"/>
    <cellStyle name="표준 10 3 6 5 3" xfId="34632"/>
    <cellStyle name="표준 10 3 6 6" xfId="34633"/>
    <cellStyle name="표준 10 3 6 7" xfId="34634"/>
    <cellStyle name="표준 10 3 7" xfId="34635"/>
    <cellStyle name="표준 10 3 7 2" xfId="34636"/>
    <cellStyle name="표준 10 3 7 2 2" xfId="34637"/>
    <cellStyle name="표준 10 3 7 2 2 2" xfId="34638"/>
    <cellStyle name="표준 10 3 7 2 2 2 2" xfId="34639"/>
    <cellStyle name="표준 10 3 7 2 2 2 3" xfId="34640"/>
    <cellStyle name="표준 10 3 7 2 2 3" xfId="34641"/>
    <cellStyle name="표준 10 3 7 2 2 4" xfId="34642"/>
    <cellStyle name="표준 10 3 7 2 3" xfId="34643"/>
    <cellStyle name="표준 10 3 7 2 3 2" xfId="34644"/>
    <cellStyle name="표준 10 3 7 2 3 3" xfId="34645"/>
    <cellStyle name="표준 10 3 7 2 4" xfId="34646"/>
    <cellStyle name="표준 10 3 7 2 5" xfId="34647"/>
    <cellStyle name="표준 10 3 7 3" xfId="34648"/>
    <cellStyle name="표준 10 3 7 3 2" xfId="34649"/>
    <cellStyle name="표준 10 3 7 3 2 2" xfId="34650"/>
    <cellStyle name="표준 10 3 7 3 2 2 2" xfId="34651"/>
    <cellStyle name="표준 10 3 7 3 2 2 3" xfId="34652"/>
    <cellStyle name="표준 10 3 7 3 2 3" xfId="34653"/>
    <cellStyle name="표준 10 3 7 3 2 4" xfId="34654"/>
    <cellStyle name="표준 10 3 7 3 3" xfId="34655"/>
    <cellStyle name="표준 10 3 7 3 3 2" xfId="34656"/>
    <cellStyle name="표준 10 3 7 3 3 3" xfId="34657"/>
    <cellStyle name="표준 10 3 7 3 4" xfId="34658"/>
    <cellStyle name="표준 10 3 7 3 5" xfId="34659"/>
    <cellStyle name="표준 10 3 7 4" xfId="34660"/>
    <cellStyle name="표준 10 3 7 4 2" xfId="34661"/>
    <cellStyle name="표준 10 3 7 4 2 2" xfId="34662"/>
    <cellStyle name="표준 10 3 7 4 2 3" xfId="34663"/>
    <cellStyle name="표준 10 3 7 4 3" xfId="34664"/>
    <cellStyle name="표준 10 3 7 4 4" xfId="34665"/>
    <cellStyle name="표준 10 3 7 5" xfId="34666"/>
    <cellStyle name="표준 10 3 7 5 2" xfId="34667"/>
    <cellStyle name="표준 10 3 7 5 3" xfId="34668"/>
    <cellStyle name="표준 10 3 7 6" xfId="34669"/>
    <cellStyle name="표준 10 3 7 7" xfId="34670"/>
    <cellStyle name="표준 10 3 8" xfId="34671"/>
    <cellStyle name="표준 10 3 8 2" xfId="34672"/>
    <cellStyle name="표준 10 3 8 2 2" xfId="34673"/>
    <cellStyle name="표준 10 3 8 2 2 2" xfId="34674"/>
    <cellStyle name="표준 10 3 8 2 2 3" xfId="34675"/>
    <cellStyle name="표준 10 3 8 2 3" xfId="34676"/>
    <cellStyle name="표준 10 3 8 2 4" xfId="34677"/>
    <cellStyle name="표준 10 3 8 3" xfId="34678"/>
    <cellStyle name="표준 10 3 8 3 2" xfId="34679"/>
    <cellStyle name="표준 10 3 8 3 3" xfId="34680"/>
    <cellStyle name="표준 10 3 8 4" xfId="34681"/>
    <cellStyle name="표준 10 3 8 5" xfId="34682"/>
    <cellStyle name="표준 10 3 9" xfId="34683"/>
    <cellStyle name="표준 10 3 9 2" xfId="34684"/>
    <cellStyle name="표준 10 3 9 2 2" xfId="34685"/>
    <cellStyle name="표준 10 3 9 2 2 2" xfId="34686"/>
    <cellStyle name="표준 10 3 9 2 2 3" xfId="34687"/>
    <cellStyle name="표준 10 3 9 2 3" xfId="34688"/>
    <cellStyle name="표준 10 3 9 2 4" xfId="34689"/>
    <cellStyle name="표준 10 3 9 3" xfId="34690"/>
    <cellStyle name="표준 10 3 9 3 2" xfId="34691"/>
    <cellStyle name="표준 10 3 9 3 3" xfId="34692"/>
    <cellStyle name="표준 10 3 9 4" xfId="34693"/>
    <cellStyle name="표준 10 3 9 5" xfId="34694"/>
    <cellStyle name="표준 10 4" xfId="34695"/>
    <cellStyle name="표준 10 4 10" xfId="34696"/>
    <cellStyle name="표준 10 4 10 2" xfId="34697"/>
    <cellStyle name="표준 10 4 10 2 2" xfId="34698"/>
    <cellStyle name="표준 10 4 10 2 2 2" xfId="34699"/>
    <cellStyle name="표준 10 4 10 2 2 3" xfId="34700"/>
    <cellStyle name="표준 10 4 10 2 3" xfId="34701"/>
    <cellStyle name="표준 10 4 10 2 4" xfId="34702"/>
    <cellStyle name="표준 10 4 10 3" xfId="34703"/>
    <cellStyle name="표준 10 4 10 3 2" xfId="34704"/>
    <cellStyle name="표준 10 4 10 3 3" xfId="34705"/>
    <cellStyle name="표준 10 4 10 4" xfId="34706"/>
    <cellStyle name="표준 10 4 10 5" xfId="34707"/>
    <cellStyle name="표준 10 4 11" xfId="34708"/>
    <cellStyle name="표준 10 4 11 2" xfId="34709"/>
    <cellStyle name="표준 10 4 11 2 2" xfId="34710"/>
    <cellStyle name="표준 10 4 11 2 3" xfId="34711"/>
    <cellStyle name="표준 10 4 11 3" xfId="34712"/>
    <cellStyle name="표준 10 4 11 4" xfId="34713"/>
    <cellStyle name="표준 10 4 12" xfId="34714"/>
    <cellStyle name="표준 10 4 12 2" xfId="34715"/>
    <cellStyle name="표준 10 4 12 3" xfId="34716"/>
    <cellStyle name="표준 10 4 13" xfId="34717"/>
    <cellStyle name="표준 10 4 14" xfId="34718"/>
    <cellStyle name="표준 10 4 2" xfId="34719"/>
    <cellStyle name="표준 10 4 2 10" xfId="34720"/>
    <cellStyle name="표준 10 4 2 10 2" xfId="34721"/>
    <cellStyle name="표준 10 4 2 10 2 2" xfId="34722"/>
    <cellStyle name="표준 10 4 2 10 2 3" xfId="34723"/>
    <cellStyle name="표준 10 4 2 10 3" xfId="34724"/>
    <cellStyle name="표준 10 4 2 10 4" xfId="34725"/>
    <cellStyle name="표준 10 4 2 11" xfId="34726"/>
    <cellStyle name="표준 10 4 2 11 2" xfId="34727"/>
    <cellStyle name="표준 10 4 2 11 3" xfId="34728"/>
    <cellStyle name="표준 10 4 2 12" xfId="34729"/>
    <cellStyle name="표준 10 4 2 13" xfId="34730"/>
    <cellStyle name="표준 10 4 2 2" xfId="34731"/>
    <cellStyle name="표준 10 4 2 2 10" xfId="34732"/>
    <cellStyle name="표준 10 4 2 2 2" xfId="34733"/>
    <cellStyle name="표준 10 4 2 2 2 2" xfId="34734"/>
    <cellStyle name="표준 10 4 2 2 2 2 2" xfId="34735"/>
    <cellStyle name="표준 10 4 2 2 2 2 2 2" xfId="34736"/>
    <cellStyle name="표준 10 4 2 2 2 2 2 2 2" xfId="34737"/>
    <cellStyle name="표준 10 4 2 2 2 2 2 2 3" xfId="34738"/>
    <cellStyle name="표준 10 4 2 2 2 2 2 3" xfId="34739"/>
    <cellStyle name="표준 10 4 2 2 2 2 2 4" xfId="34740"/>
    <cellStyle name="표준 10 4 2 2 2 2 3" xfId="34741"/>
    <cellStyle name="표준 10 4 2 2 2 2 3 2" xfId="34742"/>
    <cellStyle name="표준 10 4 2 2 2 2 3 3" xfId="34743"/>
    <cellStyle name="표준 10 4 2 2 2 2 4" xfId="34744"/>
    <cellStyle name="표준 10 4 2 2 2 2 5" xfId="34745"/>
    <cellStyle name="표준 10 4 2 2 2 3" xfId="34746"/>
    <cellStyle name="표준 10 4 2 2 2 3 2" xfId="34747"/>
    <cellStyle name="표준 10 4 2 2 2 3 2 2" xfId="34748"/>
    <cellStyle name="표준 10 4 2 2 2 3 2 2 2" xfId="34749"/>
    <cellStyle name="표준 10 4 2 2 2 3 2 2 3" xfId="34750"/>
    <cellStyle name="표준 10 4 2 2 2 3 2 3" xfId="34751"/>
    <cellStyle name="표준 10 4 2 2 2 3 2 4" xfId="34752"/>
    <cellStyle name="표준 10 4 2 2 2 3 3" xfId="34753"/>
    <cellStyle name="표준 10 4 2 2 2 3 3 2" xfId="34754"/>
    <cellStyle name="표준 10 4 2 2 2 3 3 3" xfId="34755"/>
    <cellStyle name="표준 10 4 2 2 2 3 4" xfId="34756"/>
    <cellStyle name="표준 10 4 2 2 2 3 5" xfId="34757"/>
    <cellStyle name="표준 10 4 2 2 2 4" xfId="34758"/>
    <cellStyle name="표준 10 4 2 2 2 4 2" xfId="34759"/>
    <cellStyle name="표준 10 4 2 2 2 4 2 2" xfId="34760"/>
    <cellStyle name="표준 10 4 2 2 2 4 2 3" xfId="34761"/>
    <cellStyle name="표준 10 4 2 2 2 4 3" xfId="34762"/>
    <cellStyle name="표준 10 4 2 2 2 4 4" xfId="34763"/>
    <cellStyle name="표준 10 4 2 2 2 5" xfId="34764"/>
    <cellStyle name="표준 10 4 2 2 2 5 2" xfId="34765"/>
    <cellStyle name="표준 10 4 2 2 2 5 3" xfId="34766"/>
    <cellStyle name="표준 10 4 2 2 2 6" xfId="34767"/>
    <cellStyle name="표준 10 4 2 2 2 7" xfId="34768"/>
    <cellStyle name="표준 10 4 2 2 3" xfId="34769"/>
    <cellStyle name="표준 10 4 2 2 3 2" xfId="34770"/>
    <cellStyle name="표준 10 4 2 2 3 2 2" xfId="34771"/>
    <cellStyle name="표준 10 4 2 2 3 2 2 2" xfId="34772"/>
    <cellStyle name="표준 10 4 2 2 3 2 2 2 2" xfId="34773"/>
    <cellStyle name="표준 10 4 2 2 3 2 2 2 3" xfId="34774"/>
    <cellStyle name="표준 10 4 2 2 3 2 2 3" xfId="34775"/>
    <cellStyle name="표준 10 4 2 2 3 2 2 4" xfId="34776"/>
    <cellStyle name="표준 10 4 2 2 3 2 3" xfId="34777"/>
    <cellStyle name="표준 10 4 2 2 3 2 3 2" xfId="34778"/>
    <cellStyle name="표준 10 4 2 2 3 2 3 3" xfId="34779"/>
    <cellStyle name="표준 10 4 2 2 3 2 4" xfId="34780"/>
    <cellStyle name="표준 10 4 2 2 3 2 5" xfId="34781"/>
    <cellStyle name="표준 10 4 2 2 3 3" xfId="34782"/>
    <cellStyle name="표준 10 4 2 2 3 3 2" xfId="34783"/>
    <cellStyle name="표준 10 4 2 2 3 3 2 2" xfId="34784"/>
    <cellStyle name="표준 10 4 2 2 3 3 2 2 2" xfId="34785"/>
    <cellStyle name="표준 10 4 2 2 3 3 2 2 3" xfId="34786"/>
    <cellStyle name="표준 10 4 2 2 3 3 2 3" xfId="34787"/>
    <cellStyle name="표준 10 4 2 2 3 3 2 4" xfId="34788"/>
    <cellStyle name="표준 10 4 2 2 3 3 3" xfId="34789"/>
    <cellStyle name="표준 10 4 2 2 3 3 3 2" xfId="34790"/>
    <cellStyle name="표준 10 4 2 2 3 3 3 3" xfId="34791"/>
    <cellStyle name="표준 10 4 2 2 3 3 4" xfId="34792"/>
    <cellStyle name="표준 10 4 2 2 3 3 5" xfId="34793"/>
    <cellStyle name="표준 10 4 2 2 3 4" xfId="34794"/>
    <cellStyle name="표준 10 4 2 2 3 4 2" xfId="34795"/>
    <cellStyle name="표준 10 4 2 2 3 4 2 2" xfId="34796"/>
    <cellStyle name="표준 10 4 2 2 3 4 2 3" xfId="34797"/>
    <cellStyle name="표준 10 4 2 2 3 4 3" xfId="34798"/>
    <cellStyle name="표준 10 4 2 2 3 4 4" xfId="34799"/>
    <cellStyle name="표준 10 4 2 2 3 5" xfId="34800"/>
    <cellStyle name="표준 10 4 2 2 3 5 2" xfId="34801"/>
    <cellStyle name="표준 10 4 2 2 3 5 3" xfId="34802"/>
    <cellStyle name="표준 10 4 2 2 3 6" xfId="34803"/>
    <cellStyle name="표준 10 4 2 2 3 7" xfId="34804"/>
    <cellStyle name="표준 10 4 2 2 4" xfId="34805"/>
    <cellStyle name="표준 10 4 2 2 4 2" xfId="34806"/>
    <cellStyle name="표준 10 4 2 2 4 2 2" xfId="34807"/>
    <cellStyle name="표준 10 4 2 2 4 2 2 2" xfId="34808"/>
    <cellStyle name="표준 10 4 2 2 4 2 2 3" xfId="34809"/>
    <cellStyle name="표준 10 4 2 2 4 2 3" xfId="34810"/>
    <cellStyle name="표준 10 4 2 2 4 2 4" xfId="34811"/>
    <cellStyle name="표준 10 4 2 2 4 3" xfId="34812"/>
    <cellStyle name="표준 10 4 2 2 4 3 2" xfId="34813"/>
    <cellStyle name="표준 10 4 2 2 4 3 3" xfId="34814"/>
    <cellStyle name="표준 10 4 2 2 4 4" xfId="34815"/>
    <cellStyle name="표준 10 4 2 2 4 5" xfId="34816"/>
    <cellStyle name="표준 10 4 2 2 5" xfId="34817"/>
    <cellStyle name="표준 10 4 2 2 5 2" xfId="34818"/>
    <cellStyle name="표준 10 4 2 2 5 2 2" xfId="34819"/>
    <cellStyle name="표준 10 4 2 2 5 2 2 2" xfId="34820"/>
    <cellStyle name="표준 10 4 2 2 5 2 2 3" xfId="34821"/>
    <cellStyle name="표준 10 4 2 2 5 2 3" xfId="34822"/>
    <cellStyle name="표준 10 4 2 2 5 2 4" xfId="34823"/>
    <cellStyle name="표준 10 4 2 2 5 3" xfId="34824"/>
    <cellStyle name="표준 10 4 2 2 5 3 2" xfId="34825"/>
    <cellStyle name="표준 10 4 2 2 5 3 3" xfId="34826"/>
    <cellStyle name="표준 10 4 2 2 5 4" xfId="34827"/>
    <cellStyle name="표준 10 4 2 2 5 5" xfId="34828"/>
    <cellStyle name="표준 10 4 2 2 6" xfId="34829"/>
    <cellStyle name="표준 10 4 2 2 6 2" xfId="34830"/>
    <cellStyle name="표준 10 4 2 2 6 2 2" xfId="34831"/>
    <cellStyle name="표준 10 4 2 2 6 2 2 2" xfId="34832"/>
    <cellStyle name="표준 10 4 2 2 6 2 2 3" xfId="34833"/>
    <cellStyle name="표준 10 4 2 2 6 2 3" xfId="34834"/>
    <cellStyle name="표준 10 4 2 2 6 2 4" xfId="34835"/>
    <cellStyle name="표준 10 4 2 2 6 3" xfId="34836"/>
    <cellStyle name="표준 10 4 2 2 6 3 2" xfId="34837"/>
    <cellStyle name="표준 10 4 2 2 6 3 3" xfId="34838"/>
    <cellStyle name="표준 10 4 2 2 6 4" xfId="34839"/>
    <cellStyle name="표준 10 4 2 2 6 5" xfId="34840"/>
    <cellStyle name="표준 10 4 2 2 7" xfId="34841"/>
    <cellStyle name="표준 10 4 2 2 7 2" xfId="34842"/>
    <cellStyle name="표준 10 4 2 2 7 2 2" xfId="34843"/>
    <cellStyle name="표준 10 4 2 2 7 2 3" xfId="34844"/>
    <cellStyle name="표준 10 4 2 2 7 3" xfId="34845"/>
    <cellStyle name="표준 10 4 2 2 7 4" xfId="34846"/>
    <cellStyle name="표준 10 4 2 2 8" xfId="34847"/>
    <cellStyle name="표준 10 4 2 2 8 2" xfId="34848"/>
    <cellStyle name="표준 10 4 2 2 8 3" xfId="34849"/>
    <cellStyle name="표준 10 4 2 2 9" xfId="34850"/>
    <cellStyle name="표준 10 4 2 3" xfId="34851"/>
    <cellStyle name="표준 10 4 2 3 10" xfId="34852"/>
    <cellStyle name="표준 10 4 2 3 2" xfId="34853"/>
    <cellStyle name="표준 10 4 2 3 2 2" xfId="34854"/>
    <cellStyle name="표준 10 4 2 3 2 2 2" xfId="34855"/>
    <cellStyle name="표준 10 4 2 3 2 2 2 2" xfId="34856"/>
    <cellStyle name="표준 10 4 2 3 2 2 2 2 2" xfId="34857"/>
    <cellStyle name="표준 10 4 2 3 2 2 2 2 3" xfId="34858"/>
    <cellStyle name="표준 10 4 2 3 2 2 2 3" xfId="34859"/>
    <cellStyle name="표준 10 4 2 3 2 2 2 4" xfId="34860"/>
    <cellStyle name="표준 10 4 2 3 2 2 3" xfId="34861"/>
    <cellStyle name="표준 10 4 2 3 2 2 3 2" xfId="34862"/>
    <cellStyle name="표준 10 4 2 3 2 2 3 3" xfId="34863"/>
    <cellStyle name="표준 10 4 2 3 2 2 4" xfId="34864"/>
    <cellStyle name="표준 10 4 2 3 2 2 5" xfId="34865"/>
    <cellStyle name="표준 10 4 2 3 2 3" xfId="34866"/>
    <cellStyle name="표준 10 4 2 3 2 3 2" xfId="34867"/>
    <cellStyle name="표준 10 4 2 3 2 3 2 2" xfId="34868"/>
    <cellStyle name="표준 10 4 2 3 2 3 2 2 2" xfId="34869"/>
    <cellStyle name="표준 10 4 2 3 2 3 2 2 3" xfId="34870"/>
    <cellStyle name="표준 10 4 2 3 2 3 2 3" xfId="34871"/>
    <cellStyle name="표준 10 4 2 3 2 3 2 4" xfId="34872"/>
    <cellStyle name="표준 10 4 2 3 2 3 3" xfId="34873"/>
    <cellStyle name="표준 10 4 2 3 2 3 3 2" xfId="34874"/>
    <cellStyle name="표준 10 4 2 3 2 3 3 3" xfId="34875"/>
    <cellStyle name="표준 10 4 2 3 2 3 4" xfId="34876"/>
    <cellStyle name="표준 10 4 2 3 2 3 5" xfId="34877"/>
    <cellStyle name="표준 10 4 2 3 2 4" xfId="34878"/>
    <cellStyle name="표준 10 4 2 3 2 4 2" xfId="34879"/>
    <cellStyle name="표준 10 4 2 3 2 4 2 2" xfId="34880"/>
    <cellStyle name="표준 10 4 2 3 2 4 2 3" xfId="34881"/>
    <cellStyle name="표준 10 4 2 3 2 4 3" xfId="34882"/>
    <cellStyle name="표준 10 4 2 3 2 4 4" xfId="34883"/>
    <cellStyle name="표준 10 4 2 3 2 5" xfId="34884"/>
    <cellStyle name="표준 10 4 2 3 2 5 2" xfId="34885"/>
    <cellStyle name="표준 10 4 2 3 2 5 3" xfId="34886"/>
    <cellStyle name="표준 10 4 2 3 2 6" xfId="34887"/>
    <cellStyle name="표준 10 4 2 3 2 7" xfId="34888"/>
    <cellStyle name="표준 10 4 2 3 3" xfId="34889"/>
    <cellStyle name="표준 10 4 2 3 3 2" xfId="34890"/>
    <cellStyle name="표준 10 4 2 3 3 2 2" xfId="34891"/>
    <cellStyle name="표준 10 4 2 3 3 2 2 2" xfId="34892"/>
    <cellStyle name="표준 10 4 2 3 3 2 2 2 2" xfId="34893"/>
    <cellStyle name="표준 10 4 2 3 3 2 2 2 3" xfId="34894"/>
    <cellStyle name="표준 10 4 2 3 3 2 2 3" xfId="34895"/>
    <cellStyle name="표준 10 4 2 3 3 2 2 4" xfId="34896"/>
    <cellStyle name="표준 10 4 2 3 3 2 3" xfId="34897"/>
    <cellStyle name="표준 10 4 2 3 3 2 3 2" xfId="34898"/>
    <cellStyle name="표준 10 4 2 3 3 2 3 3" xfId="34899"/>
    <cellStyle name="표준 10 4 2 3 3 2 4" xfId="34900"/>
    <cellStyle name="표준 10 4 2 3 3 2 5" xfId="34901"/>
    <cellStyle name="표준 10 4 2 3 3 3" xfId="34902"/>
    <cellStyle name="표준 10 4 2 3 3 3 2" xfId="34903"/>
    <cellStyle name="표준 10 4 2 3 3 3 2 2" xfId="34904"/>
    <cellStyle name="표준 10 4 2 3 3 3 2 2 2" xfId="34905"/>
    <cellStyle name="표준 10 4 2 3 3 3 2 2 3" xfId="34906"/>
    <cellStyle name="표준 10 4 2 3 3 3 2 3" xfId="34907"/>
    <cellStyle name="표준 10 4 2 3 3 3 2 4" xfId="34908"/>
    <cellStyle name="표준 10 4 2 3 3 3 3" xfId="34909"/>
    <cellStyle name="표준 10 4 2 3 3 3 3 2" xfId="34910"/>
    <cellStyle name="표준 10 4 2 3 3 3 3 3" xfId="34911"/>
    <cellStyle name="표준 10 4 2 3 3 3 4" xfId="34912"/>
    <cellStyle name="표준 10 4 2 3 3 3 5" xfId="34913"/>
    <cellStyle name="표준 10 4 2 3 3 4" xfId="34914"/>
    <cellStyle name="표준 10 4 2 3 3 4 2" xfId="34915"/>
    <cellStyle name="표준 10 4 2 3 3 4 2 2" xfId="34916"/>
    <cellStyle name="표준 10 4 2 3 3 4 2 3" xfId="34917"/>
    <cellStyle name="표준 10 4 2 3 3 4 3" xfId="34918"/>
    <cellStyle name="표준 10 4 2 3 3 4 4" xfId="34919"/>
    <cellStyle name="표준 10 4 2 3 3 5" xfId="34920"/>
    <cellStyle name="표준 10 4 2 3 3 5 2" xfId="34921"/>
    <cellStyle name="표준 10 4 2 3 3 5 3" xfId="34922"/>
    <cellStyle name="표준 10 4 2 3 3 6" xfId="34923"/>
    <cellStyle name="표준 10 4 2 3 3 7" xfId="34924"/>
    <cellStyle name="표준 10 4 2 3 4" xfId="34925"/>
    <cellStyle name="표준 10 4 2 3 4 2" xfId="34926"/>
    <cellStyle name="표준 10 4 2 3 4 2 2" xfId="34927"/>
    <cellStyle name="표준 10 4 2 3 4 2 2 2" xfId="34928"/>
    <cellStyle name="표준 10 4 2 3 4 2 2 3" xfId="34929"/>
    <cellStyle name="표준 10 4 2 3 4 2 3" xfId="34930"/>
    <cellStyle name="표준 10 4 2 3 4 2 4" xfId="34931"/>
    <cellStyle name="표준 10 4 2 3 4 3" xfId="34932"/>
    <cellStyle name="표준 10 4 2 3 4 3 2" xfId="34933"/>
    <cellStyle name="표준 10 4 2 3 4 3 3" xfId="34934"/>
    <cellStyle name="표준 10 4 2 3 4 4" xfId="34935"/>
    <cellStyle name="표준 10 4 2 3 4 5" xfId="34936"/>
    <cellStyle name="표준 10 4 2 3 5" xfId="34937"/>
    <cellStyle name="표준 10 4 2 3 5 2" xfId="34938"/>
    <cellStyle name="표준 10 4 2 3 5 2 2" xfId="34939"/>
    <cellStyle name="표준 10 4 2 3 5 2 2 2" xfId="34940"/>
    <cellStyle name="표준 10 4 2 3 5 2 2 3" xfId="34941"/>
    <cellStyle name="표준 10 4 2 3 5 2 3" xfId="34942"/>
    <cellStyle name="표준 10 4 2 3 5 2 4" xfId="34943"/>
    <cellStyle name="표준 10 4 2 3 5 3" xfId="34944"/>
    <cellStyle name="표준 10 4 2 3 5 3 2" xfId="34945"/>
    <cellStyle name="표준 10 4 2 3 5 3 3" xfId="34946"/>
    <cellStyle name="표준 10 4 2 3 5 4" xfId="34947"/>
    <cellStyle name="표준 10 4 2 3 5 5" xfId="34948"/>
    <cellStyle name="표준 10 4 2 3 6" xfId="34949"/>
    <cellStyle name="표준 10 4 2 3 6 2" xfId="34950"/>
    <cellStyle name="표준 10 4 2 3 6 2 2" xfId="34951"/>
    <cellStyle name="표준 10 4 2 3 6 2 2 2" xfId="34952"/>
    <cellStyle name="표준 10 4 2 3 6 2 2 3" xfId="34953"/>
    <cellStyle name="표준 10 4 2 3 6 2 3" xfId="34954"/>
    <cellStyle name="표준 10 4 2 3 6 2 4" xfId="34955"/>
    <cellStyle name="표준 10 4 2 3 6 3" xfId="34956"/>
    <cellStyle name="표준 10 4 2 3 6 3 2" xfId="34957"/>
    <cellStyle name="표준 10 4 2 3 6 3 3" xfId="34958"/>
    <cellStyle name="표준 10 4 2 3 6 4" xfId="34959"/>
    <cellStyle name="표준 10 4 2 3 6 5" xfId="34960"/>
    <cellStyle name="표준 10 4 2 3 7" xfId="34961"/>
    <cellStyle name="표준 10 4 2 3 7 2" xfId="34962"/>
    <cellStyle name="표준 10 4 2 3 7 2 2" xfId="34963"/>
    <cellStyle name="표준 10 4 2 3 7 2 3" xfId="34964"/>
    <cellStyle name="표준 10 4 2 3 7 3" xfId="34965"/>
    <cellStyle name="표준 10 4 2 3 7 4" xfId="34966"/>
    <cellStyle name="표준 10 4 2 3 8" xfId="34967"/>
    <cellStyle name="표준 10 4 2 3 8 2" xfId="34968"/>
    <cellStyle name="표준 10 4 2 3 8 3" xfId="34969"/>
    <cellStyle name="표준 10 4 2 3 9" xfId="34970"/>
    <cellStyle name="표준 10 4 2 4" xfId="34971"/>
    <cellStyle name="표준 10 4 2 4 10" xfId="34972"/>
    <cellStyle name="표준 10 4 2 4 2" xfId="34973"/>
    <cellStyle name="표준 10 4 2 4 2 2" xfId="34974"/>
    <cellStyle name="표준 10 4 2 4 2 2 2" xfId="34975"/>
    <cellStyle name="표준 10 4 2 4 2 2 2 2" xfId="34976"/>
    <cellStyle name="표준 10 4 2 4 2 2 2 2 2" xfId="34977"/>
    <cellStyle name="표준 10 4 2 4 2 2 2 2 3" xfId="34978"/>
    <cellStyle name="표준 10 4 2 4 2 2 2 3" xfId="34979"/>
    <cellStyle name="표준 10 4 2 4 2 2 2 4" xfId="34980"/>
    <cellStyle name="표준 10 4 2 4 2 2 3" xfId="34981"/>
    <cellStyle name="표준 10 4 2 4 2 2 3 2" xfId="34982"/>
    <cellStyle name="표준 10 4 2 4 2 2 3 3" xfId="34983"/>
    <cellStyle name="표준 10 4 2 4 2 2 4" xfId="34984"/>
    <cellStyle name="표준 10 4 2 4 2 2 5" xfId="34985"/>
    <cellStyle name="표준 10 4 2 4 2 3" xfId="34986"/>
    <cellStyle name="표준 10 4 2 4 2 3 2" xfId="34987"/>
    <cellStyle name="표준 10 4 2 4 2 3 2 2" xfId="34988"/>
    <cellStyle name="표준 10 4 2 4 2 3 2 2 2" xfId="34989"/>
    <cellStyle name="표준 10 4 2 4 2 3 2 2 3" xfId="34990"/>
    <cellStyle name="표준 10 4 2 4 2 3 2 3" xfId="34991"/>
    <cellStyle name="표준 10 4 2 4 2 3 2 4" xfId="34992"/>
    <cellStyle name="표준 10 4 2 4 2 3 3" xfId="34993"/>
    <cellStyle name="표준 10 4 2 4 2 3 3 2" xfId="34994"/>
    <cellStyle name="표준 10 4 2 4 2 3 3 3" xfId="34995"/>
    <cellStyle name="표준 10 4 2 4 2 3 4" xfId="34996"/>
    <cellStyle name="표준 10 4 2 4 2 3 5" xfId="34997"/>
    <cellStyle name="표준 10 4 2 4 2 4" xfId="34998"/>
    <cellStyle name="표준 10 4 2 4 2 4 2" xfId="34999"/>
    <cellStyle name="표준 10 4 2 4 2 4 2 2" xfId="35000"/>
    <cellStyle name="표준 10 4 2 4 2 4 2 3" xfId="35001"/>
    <cellStyle name="표준 10 4 2 4 2 4 3" xfId="35002"/>
    <cellStyle name="표준 10 4 2 4 2 4 4" xfId="35003"/>
    <cellStyle name="표준 10 4 2 4 2 5" xfId="35004"/>
    <cellStyle name="표준 10 4 2 4 2 5 2" xfId="35005"/>
    <cellStyle name="표준 10 4 2 4 2 5 3" xfId="35006"/>
    <cellStyle name="표준 10 4 2 4 2 6" xfId="35007"/>
    <cellStyle name="표준 10 4 2 4 2 7" xfId="35008"/>
    <cellStyle name="표준 10 4 2 4 3" xfId="35009"/>
    <cellStyle name="표준 10 4 2 4 3 2" xfId="35010"/>
    <cellStyle name="표준 10 4 2 4 3 2 2" xfId="35011"/>
    <cellStyle name="표준 10 4 2 4 3 2 2 2" xfId="35012"/>
    <cellStyle name="표준 10 4 2 4 3 2 2 2 2" xfId="35013"/>
    <cellStyle name="표준 10 4 2 4 3 2 2 2 3" xfId="35014"/>
    <cellStyle name="표준 10 4 2 4 3 2 2 3" xfId="35015"/>
    <cellStyle name="표준 10 4 2 4 3 2 2 4" xfId="35016"/>
    <cellStyle name="표준 10 4 2 4 3 2 3" xfId="35017"/>
    <cellStyle name="표준 10 4 2 4 3 2 3 2" xfId="35018"/>
    <cellStyle name="표준 10 4 2 4 3 2 3 3" xfId="35019"/>
    <cellStyle name="표준 10 4 2 4 3 2 4" xfId="35020"/>
    <cellStyle name="표준 10 4 2 4 3 2 5" xfId="35021"/>
    <cellStyle name="표준 10 4 2 4 3 3" xfId="35022"/>
    <cellStyle name="표준 10 4 2 4 3 3 2" xfId="35023"/>
    <cellStyle name="표준 10 4 2 4 3 3 2 2" xfId="35024"/>
    <cellStyle name="표준 10 4 2 4 3 3 2 2 2" xfId="35025"/>
    <cellStyle name="표준 10 4 2 4 3 3 2 2 3" xfId="35026"/>
    <cellStyle name="표준 10 4 2 4 3 3 2 3" xfId="35027"/>
    <cellStyle name="표준 10 4 2 4 3 3 2 4" xfId="35028"/>
    <cellStyle name="표준 10 4 2 4 3 3 3" xfId="35029"/>
    <cellStyle name="표준 10 4 2 4 3 3 3 2" xfId="35030"/>
    <cellStyle name="표준 10 4 2 4 3 3 3 3" xfId="35031"/>
    <cellStyle name="표준 10 4 2 4 3 3 4" xfId="35032"/>
    <cellStyle name="표준 10 4 2 4 3 3 5" xfId="35033"/>
    <cellStyle name="표준 10 4 2 4 3 4" xfId="35034"/>
    <cellStyle name="표준 10 4 2 4 3 4 2" xfId="35035"/>
    <cellStyle name="표준 10 4 2 4 3 4 2 2" xfId="35036"/>
    <cellStyle name="표준 10 4 2 4 3 4 2 3" xfId="35037"/>
    <cellStyle name="표준 10 4 2 4 3 4 3" xfId="35038"/>
    <cellStyle name="표준 10 4 2 4 3 4 4" xfId="35039"/>
    <cellStyle name="표준 10 4 2 4 3 5" xfId="35040"/>
    <cellStyle name="표준 10 4 2 4 3 5 2" xfId="35041"/>
    <cellStyle name="표준 10 4 2 4 3 5 3" xfId="35042"/>
    <cellStyle name="표준 10 4 2 4 3 6" xfId="35043"/>
    <cellStyle name="표준 10 4 2 4 3 7" xfId="35044"/>
    <cellStyle name="표준 10 4 2 4 4" xfId="35045"/>
    <cellStyle name="표준 10 4 2 4 4 2" xfId="35046"/>
    <cellStyle name="표준 10 4 2 4 4 2 2" xfId="35047"/>
    <cellStyle name="표준 10 4 2 4 4 2 2 2" xfId="35048"/>
    <cellStyle name="표준 10 4 2 4 4 2 2 3" xfId="35049"/>
    <cellStyle name="표준 10 4 2 4 4 2 3" xfId="35050"/>
    <cellStyle name="표준 10 4 2 4 4 2 4" xfId="35051"/>
    <cellStyle name="표준 10 4 2 4 4 3" xfId="35052"/>
    <cellStyle name="표준 10 4 2 4 4 3 2" xfId="35053"/>
    <cellStyle name="표준 10 4 2 4 4 3 3" xfId="35054"/>
    <cellStyle name="표준 10 4 2 4 4 4" xfId="35055"/>
    <cellStyle name="표준 10 4 2 4 4 5" xfId="35056"/>
    <cellStyle name="표준 10 4 2 4 5" xfId="35057"/>
    <cellStyle name="표준 10 4 2 4 5 2" xfId="35058"/>
    <cellStyle name="표준 10 4 2 4 5 2 2" xfId="35059"/>
    <cellStyle name="표준 10 4 2 4 5 2 2 2" xfId="35060"/>
    <cellStyle name="표준 10 4 2 4 5 2 2 3" xfId="35061"/>
    <cellStyle name="표준 10 4 2 4 5 2 3" xfId="35062"/>
    <cellStyle name="표준 10 4 2 4 5 2 4" xfId="35063"/>
    <cellStyle name="표준 10 4 2 4 5 3" xfId="35064"/>
    <cellStyle name="표준 10 4 2 4 5 3 2" xfId="35065"/>
    <cellStyle name="표준 10 4 2 4 5 3 3" xfId="35066"/>
    <cellStyle name="표준 10 4 2 4 5 4" xfId="35067"/>
    <cellStyle name="표준 10 4 2 4 5 5" xfId="35068"/>
    <cellStyle name="표준 10 4 2 4 6" xfId="35069"/>
    <cellStyle name="표준 10 4 2 4 6 2" xfId="35070"/>
    <cellStyle name="표준 10 4 2 4 6 2 2" xfId="35071"/>
    <cellStyle name="표준 10 4 2 4 6 2 2 2" xfId="35072"/>
    <cellStyle name="표준 10 4 2 4 6 2 2 3" xfId="35073"/>
    <cellStyle name="표준 10 4 2 4 6 2 3" xfId="35074"/>
    <cellStyle name="표준 10 4 2 4 6 2 4" xfId="35075"/>
    <cellStyle name="표준 10 4 2 4 6 3" xfId="35076"/>
    <cellStyle name="표준 10 4 2 4 6 3 2" xfId="35077"/>
    <cellStyle name="표준 10 4 2 4 6 3 3" xfId="35078"/>
    <cellStyle name="표준 10 4 2 4 6 4" xfId="35079"/>
    <cellStyle name="표준 10 4 2 4 6 5" xfId="35080"/>
    <cellStyle name="표준 10 4 2 4 7" xfId="35081"/>
    <cellStyle name="표준 10 4 2 4 7 2" xfId="35082"/>
    <cellStyle name="표준 10 4 2 4 7 2 2" xfId="35083"/>
    <cellStyle name="표준 10 4 2 4 7 2 3" xfId="35084"/>
    <cellStyle name="표준 10 4 2 4 7 3" xfId="35085"/>
    <cellStyle name="표준 10 4 2 4 7 4" xfId="35086"/>
    <cellStyle name="표준 10 4 2 4 8" xfId="35087"/>
    <cellStyle name="표준 10 4 2 4 8 2" xfId="35088"/>
    <cellStyle name="표준 10 4 2 4 8 3" xfId="35089"/>
    <cellStyle name="표준 10 4 2 4 9" xfId="35090"/>
    <cellStyle name="표준 10 4 2 5" xfId="35091"/>
    <cellStyle name="표준 10 4 2 5 2" xfId="35092"/>
    <cellStyle name="표준 10 4 2 5 2 2" xfId="35093"/>
    <cellStyle name="표준 10 4 2 5 2 2 2" xfId="35094"/>
    <cellStyle name="표준 10 4 2 5 2 2 2 2" xfId="35095"/>
    <cellStyle name="표준 10 4 2 5 2 2 2 3" xfId="35096"/>
    <cellStyle name="표준 10 4 2 5 2 2 3" xfId="35097"/>
    <cellStyle name="표준 10 4 2 5 2 2 4" xfId="35098"/>
    <cellStyle name="표준 10 4 2 5 2 3" xfId="35099"/>
    <cellStyle name="표준 10 4 2 5 2 3 2" xfId="35100"/>
    <cellStyle name="표준 10 4 2 5 2 3 3" xfId="35101"/>
    <cellStyle name="표준 10 4 2 5 2 4" xfId="35102"/>
    <cellStyle name="표준 10 4 2 5 2 5" xfId="35103"/>
    <cellStyle name="표준 10 4 2 5 3" xfId="35104"/>
    <cellStyle name="표준 10 4 2 5 3 2" xfId="35105"/>
    <cellStyle name="표준 10 4 2 5 3 2 2" xfId="35106"/>
    <cellStyle name="표준 10 4 2 5 3 2 2 2" xfId="35107"/>
    <cellStyle name="표준 10 4 2 5 3 2 2 3" xfId="35108"/>
    <cellStyle name="표준 10 4 2 5 3 2 3" xfId="35109"/>
    <cellStyle name="표준 10 4 2 5 3 2 4" xfId="35110"/>
    <cellStyle name="표준 10 4 2 5 3 3" xfId="35111"/>
    <cellStyle name="표준 10 4 2 5 3 3 2" xfId="35112"/>
    <cellStyle name="표준 10 4 2 5 3 3 3" xfId="35113"/>
    <cellStyle name="표준 10 4 2 5 3 4" xfId="35114"/>
    <cellStyle name="표준 10 4 2 5 3 5" xfId="35115"/>
    <cellStyle name="표준 10 4 2 5 4" xfId="35116"/>
    <cellStyle name="표준 10 4 2 5 4 2" xfId="35117"/>
    <cellStyle name="표준 10 4 2 5 4 2 2" xfId="35118"/>
    <cellStyle name="표준 10 4 2 5 4 2 3" xfId="35119"/>
    <cellStyle name="표준 10 4 2 5 4 3" xfId="35120"/>
    <cellStyle name="표준 10 4 2 5 4 4" xfId="35121"/>
    <cellStyle name="표준 10 4 2 5 5" xfId="35122"/>
    <cellStyle name="표준 10 4 2 5 5 2" xfId="35123"/>
    <cellStyle name="표준 10 4 2 5 5 3" xfId="35124"/>
    <cellStyle name="표준 10 4 2 5 6" xfId="35125"/>
    <cellStyle name="표준 10 4 2 5 7" xfId="35126"/>
    <cellStyle name="표준 10 4 2 6" xfId="35127"/>
    <cellStyle name="표준 10 4 2 6 2" xfId="35128"/>
    <cellStyle name="표준 10 4 2 6 2 2" xfId="35129"/>
    <cellStyle name="표준 10 4 2 6 2 2 2" xfId="35130"/>
    <cellStyle name="표준 10 4 2 6 2 2 2 2" xfId="35131"/>
    <cellStyle name="표준 10 4 2 6 2 2 2 3" xfId="35132"/>
    <cellStyle name="표준 10 4 2 6 2 2 3" xfId="35133"/>
    <cellStyle name="표준 10 4 2 6 2 2 4" xfId="35134"/>
    <cellStyle name="표준 10 4 2 6 2 3" xfId="35135"/>
    <cellStyle name="표준 10 4 2 6 2 3 2" xfId="35136"/>
    <cellStyle name="표준 10 4 2 6 2 3 3" xfId="35137"/>
    <cellStyle name="표준 10 4 2 6 2 4" xfId="35138"/>
    <cellStyle name="표준 10 4 2 6 2 5" xfId="35139"/>
    <cellStyle name="표준 10 4 2 6 3" xfId="35140"/>
    <cellStyle name="표준 10 4 2 6 3 2" xfId="35141"/>
    <cellStyle name="표준 10 4 2 6 3 2 2" xfId="35142"/>
    <cellStyle name="표준 10 4 2 6 3 2 2 2" xfId="35143"/>
    <cellStyle name="표준 10 4 2 6 3 2 2 3" xfId="35144"/>
    <cellStyle name="표준 10 4 2 6 3 2 3" xfId="35145"/>
    <cellStyle name="표준 10 4 2 6 3 2 4" xfId="35146"/>
    <cellStyle name="표준 10 4 2 6 3 3" xfId="35147"/>
    <cellStyle name="표준 10 4 2 6 3 3 2" xfId="35148"/>
    <cellStyle name="표준 10 4 2 6 3 3 3" xfId="35149"/>
    <cellStyle name="표준 10 4 2 6 3 4" xfId="35150"/>
    <cellStyle name="표준 10 4 2 6 3 5" xfId="35151"/>
    <cellStyle name="표준 10 4 2 6 4" xfId="35152"/>
    <cellStyle name="표준 10 4 2 6 4 2" xfId="35153"/>
    <cellStyle name="표준 10 4 2 6 4 2 2" xfId="35154"/>
    <cellStyle name="표준 10 4 2 6 4 2 3" xfId="35155"/>
    <cellStyle name="표준 10 4 2 6 4 3" xfId="35156"/>
    <cellStyle name="표준 10 4 2 6 4 4" xfId="35157"/>
    <cellStyle name="표준 10 4 2 6 5" xfId="35158"/>
    <cellStyle name="표준 10 4 2 6 5 2" xfId="35159"/>
    <cellStyle name="표준 10 4 2 6 5 3" xfId="35160"/>
    <cellStyle name="표준 10 4 2 6 6" xfId="35161"/>
    <cellStyle name="표준 10 4 2 6 7" xfId="35162"/>
    <cellStyle name="표준 10 4 2 7" xfId="35163"/>
    <cellStyle name="표준 10 4 2 7 2" xfId="35164"/>
    <cellStyle name="표준 10 4 2 7 2 2" xfId="35165"/>
    <cellStyle name="표준 10 4 2 7 2 2 2" xfId="35166"/>
    <cellStyle name="표준 10 4 2 7 2 2 3" xfId="35167"/>
    <cellStyle name="표준 10 4 2 7 2 3" xfId="35168"/>
    <cellStyle name="표준 10 4 2 7 2 4" xfId="35169"/>
    <cellStyle name="표준 10 4 2 7 3" xfId="35170"/>
    <cellStyle name="표준 10 4 2 7 3 2" xfId="35171"/>
    <cellStyle name="표준 10 4 2 7 3 3" xfId="35172"/>
    <cellStyle name="표준 10 4 2 7 4" xfId="35173"/>
    <cellStyle name="표준 10 4 2 7 5" xfId="35174"/>
    <cellStyle name="표준 10 4 2 8" xfId="35175"/>
    <cellStyle name="표준 10 4 2 8 2" xfId="35176"/>
    <cellStyle name="표준 10 4 2 8 2 2" xfId="35177"/>
    <cellStyle name="표준 10 4 2 8 2 2 2" xfId="35178"/>
    <cellStyle name="표준 10 4 2 8 2 2 3" xfId="35179"/>
    <cellStyle name="표준 10 4 2 8 2 3" xfId="35180"/>
    <cellStyle name="표준 10 4 2 8 2 4" xfId="35181"/>
    <cellStyle name="표준 10 4 2 8 3" xfId="35182"/>
    <cellStyle name="표준 10 4 2 8 3 2" xfId="35183"/>
    <cellStyle name="표준 10 4 2 8 3 3" xfId="35184"/>
    <cellStyle name="표준 10 4 2 8 4" xfId="35185"/>
    <cellStyle name="표준 10 4 2 8 5" xfId="35186"/>
    <cellStyle name="표준 10 4 2 9" xfId="35187"/>
    <cellStyle name="표준 10 4 2 9 2" xfId="35188"/>
    <cellStyle name="표준 10 4 2 9 2 2" xfId="35189"/>
    <cellStyle name="표준 10 4 2 9 2 2 2" xfId="35190"/>
    <cellStyle name="표준 10 4 2 9 2 2 3" xfId="35191"/>
    <cellStyle name="표준 10 4 2 9 2 3" xfId="35192"/>
    <cellStyle name="표준 10 4 2 9 2 4" xfId="35193"/>
    <cellStyle name="표준 10 4 2 9 3" xfId="35194"/>
    <cellStyle name="표준 10 4 2 9 3 2" xfId="35195"/>
    <cellStyle name="표준 10 4 2 9 3 3" xfId="35196"/>
    <cellStyle name="표준 10 4 2 9 4" xfId="35197"/>
    <cellStyle name="표준 10 4 2 9 5" xfId="35198"/>
    <cellStyle name="표준 10 4 3" xfId="35199"/>
    <cellStyle name="표준 10 4 3 10" xfId="35200"/>
    <cellStyle name="표준 10 4 3 2" xfId="35201"/>
    <cellStyle name="표준 10 4 3 2 2" xfId="35202"/>
    <cellStyle name="표준 10 4 3 2 2 2" xfId="35203"/>
    <cellStyle name="표준 10 4 3 2 2 2 2" xfId="35204"/>
    <cellStyle name="표준 10 4 3 2 2 2 2 2" xfId="35205"/>
    <cellStyle name="표준 10 4 3 2 2 2 2 3" xfId="35206"/>
    <cellStyle name="표준 10 4 3 2 2 2 3" xfId="35207"/>
    <cellStyle name="표준 10 4 3 2 2 2 4" xfId="35208"/>
    <cellStyle name="표준 10 4 3 2 2 3" xfId="35209"/>
    <cellStyle name="표준 10 4 3 2 2 3 2" xfId="35210"/>
    <cellStyle name="표준 10 4 3 2 2 3 3" xfId="35211"/>
    <cellStyle name="표준 10 4 3 2 2 4" xfId="35212"/>
    <cellStyle name="표준 10 4 3 2 2 5" xfId="35213"/>
    <cellStyle name="표준 10 4 3 2 3" xfId="35214"/>
    <cellStyle name="표준 10 4 3 2 3 2" xfId="35215"/>
    <cellStyle name="표준 10 4 3 2 3 2 2" xfId="35216"/>
    <cellStyle name="표준 10 4 3 2 3 2 2 2" xfId="35217"/>
    <cellStyle name="표준 10 4 3 2 3 2 2 3" xfId="35218"/>
    <cellStyle name="표준 10 4 3 2 3 2 3" xfId="35219"/>
    <cellStyle name="표준 10 4 3 2 3 2 4" xfId="35220"/>
    <cellStyle name="표준 10 4 3 2 3 3" xfId="35221"/>
    <cellStyle name="표준 10 4 3 2 3 3 2" xfId="35222"/>
    <cellStyle name="표준 10 4 3 2 3 3 3" xfId="35223"/>
    <cellStyle name="표준 10 4 3 2 3 4" xfId="35224"/>
    <cellStyle name="표준 10 4 3 2 3 5" xfId="35225"/>
    <cellStyle name="표준 10 4 3 2 4" xfId="35226"/>
    <cellStyle name="표준 10 4 3 2 4 2" xfId="35227"/>
    <cellStyle name="표준 10 4 3 2 4 2 2" xfId="35228"/>
    <cellStyle name="표준 10 4 3 2 4 2 3" xfId="35229"/>
    <cellStyle name="표준 10 4 3 2 4 3" xfId="35230"/>
    <cellStyle name="표준 10 4 3 2 4 4" xfId="35231"/>
    <cellStyle name="표준 10 4 3 2 5" xfId="35232"/>
    <cellStyle name="표준 10 4 3 2 5 2" xfId="35233"/>
    <cellStyle name="표준 10 4 3 2 5 3" xfId="35234"/>
    <cellStyle name="표준 10 4 3 2 6" xfId="35235"/>
    <cellStyle name="표준 10 4 3 2 7" xfId="35236"/>
    <cellStyle name="표준 10 4 3 3" xfId="35237"/>
    <cellStyle name="표준 10 4 3 3 2" xfId="35238"/>
    <cellStyle name="표준 10 4 3 3 2 2" xfId="35239"/>
    <cellStyle name="표준 10 4 3 3 2 2 2" xfId="35240"/>
    <cellStyle name="표준 10 4 3 3 2 2 2 2" xfId="35241"/>
    <cellStyle name="표준 10 4 3 3 2 2 2 3" xfId="35242"/>
    <cellStyle name="표준 10 4 3 3 2 2 3" xfId="35243"/>
    <cellStyle name="표준 10 4 3 3 2 2 4" xfId="35244"/>
    <cellStyle name="표준 10 4 3 3 2 3" xfId="35245"/>
    <cellStyle name="표준 10 4 3 3 2 3 2" xfId="35246"/>
    <cellStyle name="표준 10 4 3 3 2 3 3" xfId="35247"/>
    <cellStyle name="표준 10 4 3 3 2 4" xfId="35248"/>
    <cellStyle name="표준 10 4 3 3 2 5" xfId="35249"/>
    <cellStyle name="표준 10 4 3 3 3" xfId="35250"/>
    <cellStyle name="표준 10 4 3 3 3 2" xfId="35251"/>
    <cellStyle name="표준 10 4 3 3 3 2 2" xfId="35252"/>
    <cellStyle name="표준 10 4 3 3 3 2 2 2" xfId="35253"/>
    <cellStyle name="표준 10 4 3 3 3 2 2 3" xfId="35254"/>
    <cellStyle name="표준 10 4 3 3 3 2 3" xfId="35255"/>
    <cellStyle name="표준 10 4 3 3 3 2 4" xfId="35256"/>
    <cellStyle name="표준 10 4 3 3 3 3" xfId="35257"/>
    <cellStyle name="표준 10 4 3 3 3 3 2" xfId="35258"/>
    <cellStyle name="표준 10 4 3 3 3 3 3" xfId="35259"/>
    <cellStyle name="표준 10 4 3 3 3 4" xfId="35260"/>
    <cellStyle name="표준 10 4 3 3 3 5" xfId="35261"/>
    <cellStyle name="표준 10 4 3 3 4" xfId="35262"/>
    <cellStyle name="표준 10 4 3 3 4 2" xfId="35263"/>
    <cellStyle name="표준 10 4 3 3 4 2 2" xfId="35264"/>
    <cellStyle name="표준 10 4 3 3 4 2 3" xfId="35265"/>
    <cellStyle name="표준 10 4 3 3 4 3" xfId="35266"/>
    <cellStyle name="표준 10 4 3 3 4 4" xfId="35267"/>
    <cellStyle name="표준 10 4 3 3 5" xfId="35268"/>
    <cellStyle name="표준 10 4 3 3 5 2" xfId="35269"/>
    <cellStyle name="표준 10 4 3 3 5 3" xfId="35270"/>
    <cellStyle name="표준 10 4 3 3 6" xfId="35271"/>
    <cellStyle name="표준 10 4 3 3 7" xfId="35272"/>
    <cellStyle name="표준 10 4 3 4" xfId="35273"/>
    <cellStyle name="표준 10 4 3 4 2" xfId="35274"/>
    <cellStyle name="표준 10 4 3 4 2 2" xfId="35275"/>
    <cellStyle name="표준 10 4 3 4 2 2 2" xfId="35276"/>
    <cellStyle name="표준 10 4 3 4 2 2 3" xfId="35277"/>
    <cellStyle name="표준 10 4 3 4 2 3" xfId="35278"/>
    <cellStyle name="표준 10 4 3 4 2 4" xfId="35279"/>
    <cellStyle name="표준 10 4 3 4 3" xfId="35280"/>
    <cellStyle name="표준 10 4 3 4 3 2" xfId="35281"/>
    <cellStyle name="표준 10 4 3 4 3 3" xfId="35282"/>
    <cellStyle name="표준 10 4 3 4 4" xfId="35283"/>
    <cellStyle name="표준 10 4 3 4 5" xfId="35284"/>
    <cellStyle name="표준 10 4 3 5" xfId="35285"/>
    <cellStyle name="표준 10 4 3 5 2" xfId="35286"/>
    <cellStyle name="표준 10 4 3 5 2 2" xfId="35287"/>
    <cellStyle name="표준 10 4 3 5 2 2 2" xfId="35288"/>
    <cellStyle name="표준 10 4 3 5 2 2 3" xfId="35289"/>
    <cellStyle name="표준 10 4 3 5 2 3" xfId="35290"/>
    <cellStyle name="표준 10 4 3 5 2 4" xfId="35291"/>
    <cellStyle name="표준 10 4 3 5 3" xfId="35292"/>
    <cellStyle name="표준 10 4 3 5 3 2" xfId="35293"/>
    <cellStyle name="표준 10 4 3 5 3 3" xfId="35294"/>
    <cellStyle name="표준 10 4 3 5 4" xfId="35295"/>
    <cellStyle name="표준 10 4 3 5 5" xfId="35296"/>
    <cellStyle name="표준 10 4 3 6" xfId="35297"/>
    <cellStyle name="표준 10 4 3 6 2" xfId="35298"/>
    <cellStyle name="표준 10 4 3 6 2 2" xfId="35299"/>
    <cellStyle name="표준 10 4 3 6 2 2 2" xfId="35300"/>
    <cellStyle name="표준 10 4 3 6 2 2 3" xfId="35301"/>
    <cellStyle name="표준 10 4 3 6 2 3" xfId="35302"/>
    <cellStyle name="표준 10 4 3 6 2 4" xfId="35303"/>
    <cellStyle name="표준 10 4 3 6 3" xfId="35304"/>
    <cellStyle name="표준 10 4 3 6 3 2" xfId="35305"/>
    <cellStyle name="표준 10 4 3 6 3 3" xfId="35306"/>
    <cellStyle name="표준 10 4 3 6 4" xfId="35307"/>
    <cellStyle name="표준 10 4 3 6 5" xfId="35308"/>
    <cellStyle name="표준 10 4 3 7" xfId="35309"/>
    <cellStyle name="표준 10 4 3 7 2" xfId="35310"/>
    <cellStyle name="표준 10 4 3 7 2 2" xfId="35311"/>
    <cellStyle name="표준 10 4 3 7 2 3" xfId="35312"/>
    <cellStyle name="표준 10 4 3 7 3" xfId="35313"/>
    <cellStyle name="표준 10 4 3 7 4" xfId="35314"/>
    <cellStyle name="표준 10 4 3 8" xfId="35315"/>
    <cellStyle name="표준 10 4 3 8 2" xfId="35316"/>
    <cellStyle name="표준 10 4 3 8 3" xfId="35317"/>
    <cellStyle name="표준 10 4 3 9" xfId="35318"/>
    <cellStyle name="표준 10 4 4" xfId="35319"/>
    <cellStyle name="표준 10 4 4 10" xfId="35320"/>
    <cellStyle name="표준 10 4 4 2" xfId="35321"/>
    <cellStyle name="표준 10 4 4 2 2" xfId="35322"/>
    <cellStyle name="표준 10 4 4 2 2 2" xfId="35323"/>
    <cellStyle name="표준 10 4 4 2 2 2 2" xfId="35324"/>
    <cellStyle name="표준 10 4 4 2 2 2 2 2" xfId="35325"/>
    <cellStyle name="표준 10 4 4 2 2 2 2 3" xfId="35326"/>
    <cellStyle name="표준 10 4 4 2 2 2 3" xfId="35327"/>
    <cellStyle name="표준 10 4 4 2 2 2 4" xfId="35328"/>
    <cellStyle name="표준 10 4 4 2 2 3" xfId="35329"/>
    <cellStyle name="표준 10 4 4 2 2 3 2" xfId="35330"/>
    <cellStyle name="표준 10 4 4 2 2 3 3" xfId="35331"/>
    <cellStyle name="표준 10 4 4 2 2 4" xfId="35332"/>
    <cellStyle name="표준 10 4 4 2 2 5" xfId="35333"/>
    <cellStyle name="표준 10 4 4 2 3" xfId="35334"/>
    <cellStyle name="표준 10 4 4 2 3 2" xfId="35335"/>
    <cellStyle name="표준 10 4 4 2 3 2 2" xfId="35336"/>
    <cellStyle name="표준 10 4 4 2 3 2 2 2" xfId="35337"/>
    <cellStyle name="표준 10 4 4 2 3 2 2 3" xfId="35338"/>
    <cellStyle name="표준 10 4 4 2 3 2 3" xfId="35339"/>
    <cellStyle name="표준 10 4 4 2 3 2 4" xfId="35340"/>
    <cellStyle name="표준 10 4 4 2 3 3" xfId="35341"/>
    <cellStyle name="표준 10 4 4 2 3 3 2" xfId="35342"/>
    <cellStyle name="표준 10 4 4 2 3 3 3" xfId="35343"/>
    <cellStyle name="표준 10 4 4 2 3 4" xfId="35344"/>
    <cellStyle name="표준 10 4 4 2 3 5" xfId="35345"/>
    <cellStyle name="표준 10 4 4 2 4" xfId="35346"/>
    <cellStyle name="표준 10 4 4 2 4 2" xfId="35347"/>
    <cellStyle name="표준 10 4 4 2 4 2 2" xfId="35348"/>
    <cellStyle name="표준 10 4 4 2 4 2 3" xfId="35349"/>
    <cellStyle name="표준 10 4 4 2 4 3" xfId="35350"/>
    <cellStyle name="표준 10 4 4 2 4 4" xfId="35351"/>
    <cellStyle name="표준 10 4 4 2 5" xfId="35352"/>
    <cellStyle name="표준 10 4 4 2 5 2" xfId="35353"/>
    <cellStyle name="표준 10 4 4 2 5 3" xfId="35354"/>
    <cellStyle name="표준 10 4 4 2 6" xfId="35355"/>
    <cellStyle name="표준 10 4 4 2 7" xfId="35356"/>
    <cellStyle name="표준 10 4 4 3" xfId="35357"/>
    <cellStyle name="표준 10 4 4 3 2" xfId="35358"/>
    <cellStyle name="표준 10 4 4 3 2 2" xfId="35359"/>
    <cellStyle name="표준 10 4 4 3 2 2 2" xfId="35360"/>
    <cellStyle name="표준 10 4 4 3 2 2 2 2" xfId="35361"/>
    <cellStyle name="표준 10 4 4 3 2 2 2 3" xfId="35362"/>
    <cellStyle name="표준 10 4 4 3 2 2 3" xfId="35363"/>
    <cellStyle name="표준 10 4 4 3 2 2 4" xfId="35364"/>
    <cellStyle name="표준 10 4 4 3 2 3" xfId="35365"/>
    <cellStyle name="표준 10 4 4 3 2 3 2" xfId="35366"/>
    <cellStyle name="표준 10 4 4 3 2 3 3" xfId="35367"/>
    <cellStyle name="표준 10 4 4 3 2 4" xfId="35368"/>
    <cellStyle name="표준 10 4 4 3 2 5" xfId="35369"/>
    <cellStyle name="표준 10 4 4 3 3" xfId="35370"/>
    <cellStyle name="표준 10 4 4 3 3 2" xfId="35371"/>
    <cellStyle name="표준 10 4 4 3 3 2 2" xfId="35372"/>
    <cellStyle name="표준 10 4 4 3 3 2 2 2" xfId="35373"/>
    <cellStyle name="표준 10 4 4 3 3 2 2 3" xfId="35374"/>
    <cellStyle name="표준 10 4 4 3 3 2 3" xfId="35375"/>
    <cellStyle name="표준 10 4 4 3 3 2 4" xfId="35376"/>
    <cellStyle name="표준 10 4 4 3 3 3" xfId="35377"/>
    <cellStyle name="표준 10 4 4 3 3 3 2" xfId="35378"/>
    <cellStyle name="표준 10 4 4 3 3 3 3" xfId="35379"/>
    <cellStyle name="표준 10 4 4 3 3 4" xfId="35380"/>
    <cellStyle name="표준 10 4 4 3 3 5" xfId="35381"/>
    <cellStyle name="표준 10 4 4 3 4" xfId="35382"/>
    <cellStyle name="표준 10 4 4 3 4 2" xfId="35383"/>
    <cellStyle name="표준 10 4 4 3 4 2 2" xfId="35384"/>
    <cellStyle name="표준 10 4 4 3 4 2 3" xfId="35385"/>
    <cellStyle name="표준 10 4 4 3 4 3" xfId="35386"/>
    <cellStyle name="표준 10 4 4 3 4 4" xfId="35387"/>
    <cellStyle name="표준 10 4 4 3 5" xfId="35388"/>
    <cellStyle name="표준 10 4 4 3 5 2" xfId="35389"/>
    <cellStyle name="표준 10 4 4 3 5 3" xfId="35390"/>
    <cellStyle name="표준 10 4 4 3 6" xfId="35391"/>
    <cellStyle name="표준 10 4 4 3 7" xfId="35392"/>
    <cellStyle name="표준 10 4 4 4" xfId="35393"/>
    <cellStyle name="표준 10 4 4 4 2" xfId="35394"/>
    <cellStyle name="표준 10 4 4 4 2 2" xfId="35395"/>
    <cellStyle name="표준 10 4 4 4 2 2 2" xfId="35396"/>
    <cellStyle name="표준 10 4 4 4 2 2 3" xfId="35397"/>
    <cellStyle name="표준 10 4 4 4 2 3" xfId="35398"/>
    <cellStyle name="표준 10 4 4 4 2 4" xfId="35399"/>
    <cellStyle name="표준 10 4 4 4 3" xfId="35400"/>
    <cellStyle name="표준 10 4 4 4 3 2" xfId="35401"/>
    <cellStyle name="표준 10 4 4 4 3 3" xfId="35402"/>
    <cellStyle name="표준 10 4 4 4 4" xfId="35403"/>
    <cellStyle name="표준 10 4 4 4 5" xfId="35404"/>
    <cellStyle name="표준 10 4 4 5" xfId="35405"/>
    <cellStyle name="표준 10 4 4 5 2" xfId="35406"/>
    <cellStyle name="표준 10 4 4 5 2 2" xfId="35407"/>
    <cellStyle name="표준 10 4 4 5 2 2 2" xfId="35408"/>
    <cellStyle name="표준 10 4 4 5 2 2 3" xfId="35409"/>
    <cellStyle name="표준 10 4 4 5 2 3" xfId="35410"/>
    <cellStyle name="표준 10 4 4 5 2 4" xfId="35411"/>
    <cellStyle name="표준 10 4 4 5 3" xfId="35412"/>
    <cellStyle name="표준 10 4 4 5 3 2" xfId="35413"/>
    <cellStyle name="표준 10 4 4 5 3 3" xfId="35414"/>
    <cellStyle name="표준 10 4 4 5 4" xfId="35415"/>
    <cellStyle name="표준 10 4 4 5 5" xfId="35416"/>
    <cellStyle name="표준 10 4 4 6" xfId="35417"/>
    <cellStyle name="표준 10 4 4 6 2" xfId="35418"/>
    <cellStyle name="표준 10 4 4 6 2 2" xfId="35419"/>
    <cellStyle name="표준 10 4 4 6 2 2 2" xfId="35420"/>
    <cellStyle name="표준 10 4 4 6 2 2 3" xfId="35421"/>
    <cellStyle name="표준 10 4 4 6 2 3" xfId="35422"/>
    <cellStyle name="표준 10 4 4 6 2 4" xfId="35423"/>
    <cellStyle name="표준 10 4 4 6 3" xfId="35424"/>
    <cellStyle name="표준 10 4 4 6 3 2" xfId="35425"/>
    <cellStyle name="표준 10 4 4 6 3 3" xfId="35426"/>
    <cellStyle name="표준 10 4 4 6 4" xfId="35427"/>
    <cellStyle name="표준 10 4 4 6 5" xfId="35428"/>
    <cellStyle name="표준 10 4 4 7" xfId="35429"/>
    <cellStyle name="표준 10 4 4 7 2" xfId="35430"/>
    <cellStyle name="표준 10 4 4 7 2 2" xfId="35431"/>
    <cellStyle name="표준 10 4 4 7 2 3" xfId="35432"/>
    <cellStyle name="표준 10 4 4 7 3" xfId="35433"/>
    <cellStyle name="표준 10 4 4 7 4" xfId="35434"/>
    <cellStyle name="표준 10 4 4 8" xfId="35435"/>
    <cellStyle name="표준 10 4 4 8 2" xfId="35436"/>
    <cellStyle name="표준 10 4 4 8 3" xfId="35437"/>
    <cellStyle name="표준 10 4 4 9" xfId="35438"/>
    <cellStyle name="표준 10 4 5" xfId="35439"/>
    <cellStyle name="표준 10 4 5 10" xfId="35440"/>
    <cellStyle name="표준 10 4 5 2" xfId="35441"/>
    <cellStyle name="표준 10 4 5 2 2" xfId="35442"/>
    <cellStyle name="표준 10 4 5 2 2 2" xfId="35443"/>
    <cellStyle name="표준 10 4 5 2 2 2 2" xfId="35444"/>
    <cellStyle name="표준 10 4 5 2 2 2 2 2" xfId="35445"/>
    <cellStyle name="표준 10 4 5 2 2 2 2 3" xfId="35446"/>
    <cellStyle name="표준 10 4 5 2 2 2 3" xfId="35447"/>
    <cellStyle name="표준 10 4 5 2 2 2 4" xfId="35448"/>
    <cellStyle name="표준 10 4 5 2 2 3" xfId="35449"/>
    <cellStyle name="표준 10 4 5 2 2 3 2" xfId="35450"/>
    <cellStyle name="표준 10 4 5 2 2 3 3" xfId="35451"/>
    <cellStyle name="표준 10 4 5 2 2 4" xfId="35452"/>
    <cellStyle name="표준 10 4 5 2 2 5" xfId="35453"/>
    <cellStyle name="표준 10 4 5 2 3" xfId="35454"/>
    <cellStyle name="표준 10 4 5 2 3 2" xfId="35455"/>
    <cellStyle name="표준 10 4 5 2 3 2 2" xfId="35456"/>
    <cellStyle name="표준 10 4 5 2 3 2 2 2" xfId="35457"/>
    <cellStyle name="표준 10 4 5 2 3 2 2 3" xfId="35458"/>
    <cellStyle name="표준 10 4 5 2 3 2 3" xfId="35459"/>
    <cellStyle name="표준 10 4 5 2 3 2 4" xfId="35460"/>
    <cellStyle name="표준 10 4 5 2 3 3" xfId="35461"/>
    <cellStyle name="표준 10 4 5 2 3 3 2" xfId="35462"/>
    <cellStyle name="표준 10 4 5 2 3 3 3" xfId="35463"/>
    <cellStyle name="표준 10 4 5 2 3 4" xfId="35464"/>
    <cellStyle name="표준 10 4 5 2 3 5" xfId="35465"/>
    <cellStyle name="표준 10 4 5 2 4" xfId="35466"/>
    <cellStyle name="표준 10 4 5 2 4 2" xfId="35467"/>
    <cellStyle name="표준 10 4 5 2 4 2 2" xfId="35468"/>
    <cellStyle name="표준 10 4 5 2 4 2 3" xfId="35469"/>
    <cellStyle name="표준 10 4 5 2 4 3" xfId="35470"/>
    <cellStyle name="표준 10 4 5 2 4 4" xfId="35471"/>
    <cellStyle name="표준 10 4 5 2 5" xfId="35472"/>
    <cellStyle name="표준 10 4 5 2 5 2" xfId="35473"/>
    <cellStyle name="표준 10 4 5 2 5 3" xfId="35474"/>
    <cellStyle name="표준 10 4 5 2 6" xfId="35475"/>
    <cellStyle name="표준 10 4 5 2 7" xfId="35476"/>
    <cellStyle name="표준 10 4 5 3" xfId="35477"/>
    <cellStyle name="표준 10 4 5 3 2" xfId="35478"/>
    <cellStyle name="표준 10 4 5 3 2 2" xfId="35479"/>
    <cellStyle name="표준 10 4 5 3 2 2 2" xfId="35480"/>
    <cellStyle name="표준 10 4 5 3 2 2 2 2" xfId="35481"/>
    <cellStyle name="표준 10 4 5 3 2 2 2 3" xfId="35482"/>
    <cellStyle name="표준 10 4 5 3 2 2 3" xfId="35483"/>
    <cellStyle name="표준 10 4 5 3 2 2 4" xfId="35484"/>
    <cellStyle name="표준 10 4 5 3 2 3" xfId="35485"/>
    <cellStyle name="표준 10 4 5 3 2 3 2" xfId="35486"/>
    <cellStyle name="표준 10 4 5 3 2 3 3" xfId="35487"/>
    <cellStyle name="표준 10 4 5 3 2 4" xfId="35488"/>
    <cellStyle name="표준 10 4 5 3 2 5" xfId="35489"/>
    <cellStyle name="표준 10 4 5 3 3" xfId="35490"/>
    <cellStyle name="표준 10 4 5 3 3 2" xfId="35491"/>
    <cellStyle name="표준 10 4 5 3 3 2 2" xfId="35492"/>
    <cellStyle name="표준 10 4 5 3 3 2 2 2" xfId="35493"/>
    <cellStyle name="표준 10 4 5 3 3 2 2 3" xfId="35494"/>
    <cellStyle name="표준 10 4 5 3 3 2 3" xfId="35495"/>
    <cellStyle name="표준 10 4 5 3 3 2 4" xfId="35496"/>
    <cellStyle name="표준 10 4 5 3 3 3" xfId="35497"/>
    <cellStyle name="표준 10 4 5 3 3 3 2" xfId="35498"/>
    <cellStyle name="표준 10 4 5 3 3 3 3" xfId="35499"/>
    <cellStyle name="표준 10 4 5 3 3 4" xfId="35500"/>
    <cellStyle name="표준 10 4 5 3 3 5" xfId="35501"/>
    <cellStyle name="표준 10 4 5 3 4" xfId="35502"/>
    <cellStyle name="표준 10 4 5 3 4 2" xfId="35503"/>
    <cellStyle name="표준 10 4 5 3 4 2 2" xfId="35504"/>
    <cellStyle name="표준 10 4 5 3 4 2 3" xfId="35505"/>
    <cellStyle name="표준 10 4 5 3 4 3" xfId="35506"/>
    <cellStyle name="표준 10 4 5 3 4 4" xfId="35507"/>
    <cellStyle name="표준 10 4 5 3 5" xfId="35508"/>
    <cellStyle name="표준 10 4 5 3 5 2" xfId="35509"/>
    <cellStyle name="표준 10 4 5 3 5 3" xfId="35510"/>
    <cellStyle name="표준 10 4 5 3 6" xfId="35511"/>
    <cellStyle name="표준 10 4 5 3 7" xfId="35512"/>
    <cellStyle name="표준 10 4 5 4" xfId="35513"/>
    <cellStyle name="표준 10 4 5 4 2" xfId="35514"/>
    <cellStyle name="표준 10 4 5 4 2 2" xfId="35515"/>
    <cellStyle name="표준 10 4 5 4 2 2 2" xfId="35516"/>
    <cellStyle name="표준 10 4 5 4 2 2 3" xfId="35517"/>
    <cellStyle name="표준 10 4 5 4 2 3" xfId="35518"/>
    <cellStyle name="표준 10 4 5 4 2 4" xfId="35519"/>
    <cellStyle name="표준 10 4 5 4 3" xfId="35520"/>
    <cellStyle name="표준 10 4 5 4 3 2" xfId="35521"/>
    <cellStyle name="표준 10 4 5 4 3 3" xfId="35522"/>
    <cellStyle name="표준 10 4 5 4 4" xfId="35523"/>
    <cellStyle name="표준 10 4 5 4 5" xfId="35524"/>
    <cellStyle name="표준 10 4 5 5" xfId="35525"/>
    <cellStyle name="표준 10 4 5 5 2" xfId="35526"/>
    <cellStyle name="표준 10 4 5 5 2 2" xfId="35527"/>
    <cellStyle name="표준 10 4 5 5 2 2 2" xfId="35528"/>
    <cellStyle name="표준 10 4 5 5 2 2 3" xfId="35529"/>
    <cellStyle name="표준 10 4 5 5 2 3" xfId="35530"/>
    <cellStyle name="표준 10 4 5 5 2 4" xfId="35531"/>
    <cellStyle name="표준 10 4 5 5 3" xfId="35532"/>
    <cellStyle name="표준 10 4 5 5 3 2" xfId="35533"/>
    <cellStyle name="표준 10 4 5 5 3 3" xfId="35534"/>
    <cellStyle name="표준 10 4 5 5 4" xfId="35535"/>
    <cellStyle name="표준 10 4 5 5 5" xfId="35536"/>
    <cellStyle name="표준 10 4 5 6" xfId="35537"/>
    <cellStyle name="표준 10 4 5 6 2" xfId="35538"/>
    <cellStyle name="표준 10 4 5 6 2 2" xfId="35539"/>
    <cellStyle name="표준 10 4 5 6 2 2 2" xfId="35540"/>
    <cellStyle name="표준 10 4 5 6 2 2 3" xfId="35541"/>
    <cellStyle name="표준 10 4 5 6 2 3" xfId="35542"/>
    <cellStyle name="표준 10 4 5 6 2 4" xfId="35543"/>
    <cellStyle name="표준 10 4 5 6 3" xfId="35544"/>
    <cellStyle name="표준 10 4 5 6 3 2" xfId="35545"/>
    <cellStyle name="표준 10 4 5 6 3 3" xfId="35546"/>
    <cellStyle name="표준 10 4 5 6 4" xfId="35547"/>
    <cellStyle name="표준 10 4 5 6 5" xfId="35548"/>
    <cellStyle name="표준 10 4 5 7" xfId="35549"/>
    <cellStyle name="표준 10 4 5 7 2" xfId="35550"/>
    <cellStyle name="표준 10 4 5 7 2 2" xfId="35551"/>
    <cellStyle name="표준 10 4 5 7 2 3" xfId="35552"/>
    <cellStyle name="표준 10 4 5 7 3" xfId="35553"/>
    <cellStyle name="표준 10 4 5 7 4" xfId="35554"/>
    <cellStyle name="표준 10 4 5 8" xfId="35555"/>
    <cellStyle name="표준 10 4 5 8 2" xfId="35556"/>
    <cellStyle name="표준 10 4 5 8 3" xfId="35557"/>
    <cellStyle name="표준 10 4 5 9" xfId="35558"/>
    <cellStyle name="표준 10 4 6" xfId="35559"/>
    <cellStyle name="표준 10 4 6 2" xfId="35560"/>
    <cellStyle name="표준 10 4 6 2 2" xfId="35561"/>
    <cellStyle name="표준 10 4 6 2 2 2" xfId="35562"/>
    <cellStyle name="표준 10 4 6 2 2 2 2" xfId="35563"/>
    <cellStyle name="표준 10 4 6 2 2 2 3" xfId="35564"/>
    <cellStyle name="표준 10 4 6 2 2 3" xfId="35565"/>
    <cellStyle name="표준 10 4 6 2 2 4" xfId="35566"/>
    <cellStyle name="표준 10 4 6 2 3" xfId="35567"/>
    <cellStyle name="표준 10 4 6 2 3 2" xfId="35568"/>
    <cellStyle name="표준 10 4 6 2 3 3" xfId="35569"/>
    <cellStyle name="표준 10 4 6 2 4" xfId="35570"/>
    <cellStyle name="표준 10 4 6 2 5" xfId="35571"/>
    <cellStyle name="표준 10 4 6 3" xfId="35572"/>
    <cellStyle name="표준 10 4 6 3 2" xfId="35573"/>
    <cellStyle name="표준 10 4 6 3 2 2" xfId="35574"/>
    <cellStyle name="표준 10 4 6 3 2 2 2" xfId="35575"/>
    <cellStyle name="표준 10 4 6 3 2 2 3" xfId="35576"/>
    <cellStyle name="표준 10 4 6 3 2 3" xfId="35577"/>
    <cellStyle name="표준 10 4 6 3 2 4" xfId="35578"/>
    <cellStyle name="표준 10 4 6 3 3" xfId="35579"/>
    <cellStyle name="표준 10 4 6 3 3 2" xfId="35580"/>
    <cellStyle name="표준 10 4 6 3 3 3" xfId="35581"/>
    <cellStyle name="표준 10 4 6 3 4" xfId="35582"/>
    <cellStyle name="표준 10 4 6 3 5" xfId="35583"/>
    <cellStyle name="표준 10 4 6 4" xfId="35584"/>
    <cellStyle name="표준 10 4 6 4 2" xfId="35585"/>
    <cellStyle name="표준 10 4 6 4 2 2" xfId="35586"/>
    <cellStyle name="표준 10 4 6 4 2 3" xfId="35587"/>
    <cellStyle name="표준 10 4 6 4 3" xfId="35588"/>
    <cellStyle name="표준 10 4 6 4 4" xfId="35589"/>
    <cellStyle name="표준 10 4 6 5" xfId="35590"/>
    <cellStyle name="표준 10 4 6 5 2" xfId="35591"/>
    <cellStyle name="표준 10 4 6 5 3" xfId="35592"/>
    <cellStyle name="표준 10 4 6 6" xfId="35593"/>
    <cellStyle name="표준 10 4 6 7" xfId="35594"/>
    <cellStyle name="표준 10 4 7" xfId="35595"/>
    <cellStyle name="표준 10 4 7 2" xfId="35596"/>
    <cellStyle name="표준 10 4 7 2 2" xfId="35597"/>
    <cellStyle name="표준 10 4 7 2 2 2" xfId="35598"/>
    <cellStyle name="표준 10 4 7 2 2 2 2" xfId="35599"/>
    <cellStyle name="표준 10 4 7 2 2 2 3" xfId="35600"/>
    <cellStyle name="표준 10 4 7 2 2 3" xfId="35601"/>
    <cellStyle name="표준 10 4 7 2 2 4" xfId="35602"/>
    <cellStyle name="표준 10 4 7 2 3" xfId="35603"/>
    <cellStyle name="표준 10 4 7 2 3 2" xfId="35604"/>
    <cellStyle name="표준 10 4 7 2 3 3" xfId="35605"/>
    <cellStyle name="표준 10 4 7 2 4" xfId="35606"/>
    <cellStyle name="표준 10 4 7 2 5" xfId="35607"/>
    <cellStyle name="표준 10 4 7 3" xfId="35608"/>
    <cellStyle name="표준 10 4 7 3 2" xfId="35609"/>
    <cellStyle name="표준 10 4 7 3 2 2" xfId="35610"/>
    <cellStyle name="표준 10 4 7 3 2 2 2" xfId="35611"/>
    <cellStyle name="표준 10 4 7 3 2 2 3" xfId="35612"/>
    <cellStyle name="표준 10 4 7 3 2 3" xfId="35613"/>
    <cellStyle name="표준 10 4 7 3 2 4" xfId="35614"/>
    <cellStyle name="표준 10 4 7 3 3" xfId="35615"/>
    <cellStyle name="표준 10 4 7 3 3 2" xfId="35616"/>
    <cellStyle name="표준 10 4 7 3 3 3" xfId="35617"/>
    <cellStyle name="표준 10 4 7 3 4" xfId="35618"/>
    <cellStyle name="표준 10 4 7 3 5" xfId="35619"/>
    <cellStyle name="표준 10 4 7 4" xfId="35620"/>
    <cellStyle name="표준 10 4 7 4 2" xfId="35621"/>
    <cellStyle name="표준 10 4 7 4 2 2" xfId="35622"/>
    <cellStyle name="표준 10 4 7 4 2 3" xfId="35623"/>
    <cellStyle name="표준 10 4 7 4 3" xfId="35624"/>
    <cellStyle name="표준 10 4 7 4 4" xfId="35625"/>
    <cellStyle name="표준 10 4 7 5" xfId="35626"/>
    <cellStyle name="표준 10 4 7 5 2" xfId="35627"/>
    <cellStyle name="표준 10 4 7 5 3" xfId="35628"/>
    <cellStyle name="표준 10 4 7 6" xfId="35629"/>
    <cellStyle name="표준 10 4 7 7" xfId="35630"/>
    <cellStyle name="표준 10 4 8" xfId="35631"/>
    <cellStyle name="표준 10 4 8 2" xfId="35632"/>
    <cellStyle name="표준 10 4 8 2 2" xfId="35633"/>
    <cellStyle name="표준 10 4 8 2 2 2" xfId="35634"/>
    <cellStyle name="표준 10 4 8 2 2 3" xfId="35635"/>
    <cellStyle name="표준 10 4 8 2 3" xfId="35636"/>
    <cellStyle name="표준 10 4 8 2 4" xfId="35637"/>
    <cellStyle name="표준 10 4 8 3" xfId="35638"/>
    <cellStyle name="표준 10 4 8 3 2" xfId="35639"/>
    <cellStyle name="표준 10 4 8 3 3" xfId="35640"/>
    <cellStyle name="표준 10 4 8 4" xfId="35641"/>
    <cellStyle name="표준 10 4 8 5" xfId="35642"/>
    <cellStyle name="표준 10 4 9" xfId="35643"/>
    <cellStyle name="표준 10 4 9 2" xfId="35644"/>
    <cellStyle name="표준 10 4 9 2 2" xfId="35645"/>
    <cellStyle name="표준 10 4 9 2 2 2" xfId="35646"/>
    <cellStyle name="표준 10 4 9 2 2 3" xfId="35647"/>
    <cellStyle name="표준 10 4 9 2 3" xfId="35648"/>
    <cellStyle name="표준 10 4 9 2 4" xfId="35649"/>
    <cellStyle name="표준 10 4 9 3" xfId="35650"/>
    <cellStyle name="표준 10 4 9 3 2" xfId="35651"/>
    <cellStyle name="표준 10 4 9 3 3" xfId="35652"/>
    <cellStyle name="표준 10 4 9 4" xfId="35653"/>
    <cellStyle name="표준 10 4 9 5" xfId="35654"/>
    <cellStyle name="표준 10 5" xfId="35655"/>
    <cellStyle name="표준 10 5 10" xfId="35656"/>
    <cellStyle name="표준 10 5 10 2" xfId="35657"/>
    <cellStyle name="표준 10 5 10 2 2" xfId="35658"/>
    <cellStyle name="표준 10 5 10 2 3" xfId="35659"/>
    <cellStyle name="표준 10 5 10 3" xfId="35660"/>
    <cellStyle name="표준 10 5 10 4" xfId="35661"/>
    <cellStyle name="표준 10 5 11" xfId="35662"/>
    <cellStyle name="표준 10 5 11 2" xfId="35663"/>
    <cellStyle name="표준 10 5 11 3" xfId="35664"/>
    <cellStyle name="표준 10 5 12" xfId="35665"/>
    <cellStyle name="표준 10 5 13" xfId="35666"/>
    <cellStyle name="표준 10 5 2" xfId="35667"/>
    <cellStyle name="표준 10 5 2 10" xfId="35668"/>
    <cellStyle name="표준 10 5 2 2" xfId="35669"/>
    <cellStyle name="표준 10 5 2 2 2" xfId="35670"/>
    <cellStyle name="표준 10 5 2 2 2 2" xfId="35671"/>
    <cellStyle name="표준 10 5 2 2 2 2 2" xfId="35672"/>
    <cellStyle name="표준 10 5 2 2 2 2 2 2" xfId="35673"/>
    <cellStyle name="표준 10 5 2 2 2 2 2 3" xfId="35674"/>
    <cellStyle name="표준 10 5 2 2 2 2 3" xfId="35675"/>
    <cellStyle name="표준 10 5 2 2 2 2 4" xfId="35676"/>
    <cellStyle name="표준 10 5 2 2 2 3" xfId="35677"/>
    <cellStyle name="표준 10 5 2 2 2 3 2" xfId="35678"/>
    <cellStyle name="표준 10 5 2 2 2 3 3" xfId="35679"/>
    <cellStyle name="표준 10 5 2 2 2 4" xfId="35680"/>
    <cellStyle name="표준 10 5 2 2 2 5" xfId="35681"/>
    <cellStyle name="표준 10 5 2 2 3" xfId="35682"/>
    <cellStyle name="표준 10 5 2 2 3 2" xfId="35683"/>
    <cellStyle name="표준 10 5 2 2 3 2 2" xfId="35684"/>
    <cellStyle name="표준 10 5 2 2 3 2 2 2" xfId="35685"/>
    <cellStyle name="표준 10 5 2 2 3 2 2 3" xfId="35686"/>
    <cellStyle name="표준 10 5 2 2 3 2 3" xfId="35687"/>
    <cellStyle name="표준 10 5 2 2 3 2 4" xfId="35688"/>
    <cellStyle name="표준 10 5 2 2 3 3" xfId="35689"/>
    <cellStyle name="표준 10 5 2 2 3 3 2" xfId="35690"/>
    <cellStyle name="표준 10 5 2 2 3 3 3" xfId="35691"/>
    <cellStyle name="표준 10 5 2 2 3 4" xfId="35692"/>
    <cellStyle name="표준 10 5 2 2 3 5" xfId="35693"/>
    <cellStyle name="표준 10 5 2 2 4" xfId="35694"/>
    <cellStyle name="표준 10 5 2 2 4 2" xfId="35695"/>
    <cellStyle name="표준 10 5 2 2 4 2 2" xfId="35696"/>
    <cellStyle name="표준 10 5 2 2 4 2 3" xfId="35697"/>
    <cellStyle name="표준 10 5 2 2 4 3" xfId="35698"/>
    <cellStyle name="표준 10 5 2 2 4 4" xfId="35699"/>
    <cellStyle name="표준 10 5 2 2 5" xfId="35700"/>
    <cellStyle name="표준 10 5 2 2 5 2" xfId="35701"/>
    <cellStyle name="표준 10 5 2 2 5 3" xfId="35702"/>
    <cellStyle name="표준 10 5 2 2 6" xfId="35703"/>
    <cellStyle name="표준 10 5 2 2 7" xfId="35704"/>
    <cellStyle name="표준 10 5 2 3" xfId="35705"/>
    <cellStyle name="표준 10 5 2 3 2" xfId="35706"/>
    <cellStyle name="표준 10 5 2 3 2 2" xfId="35707"/>
    <cellStyle name="표준 10 5 2 3 2 2 2" xfId="35708"/>
    <cellStyle name="표준 10 5 2 3 2 2 2 2" xfId="35709"/>
    <cellStyle name="표준 10 5 2 3 2 2 2 3" xfId="35710"/>
    <cellStyle name="표준 10 5 2 3 2 2 3" xfId="35711"/>
    <cellStyle name="표준 10 5 2 3 2 2 4" xfId="35712"/>
    <cellStyle name="표준 10 5 2 3 2 3" xfId="35713"/>
    <cellStyle name="표준 10 5 2 3 2 3 2" xfId="35714"/>
    <cellStyle name="표준 10 5 2 3 2 3 3" xfId="35715"/>
    <cellStyle name="표준 10 5 2 3 2 4" xfId="35716"/>
    <cellStyle name="표준 10 5 2 3 2 5" xfId="35717"/>
    <cellStyle name="표준 10 5 2 3 3" xfId="35718"/>
    <cellStyle name="표준 10 5 2 3 3 2" xfId="35719"/>
    <cellStyle name="표준 10 5 2 3 3 2 2" xfId="35720"/>
    <cellStyle name="표준 10 5 2 3 3 2 2 2" xfId="35721"/>
    <cellStyle name="표준 10 5 2 3 3 2 2 3" xfId="35722"/>
    <cellStyle name="표준 10 5 2 3 3 2 3" xfId="35723"/>
    <cellStyle name="표준 10 5 2 3 3 2 4" xfId="35724"/>
    <cellStyle name="표준 10 5 2 3 3 3" xfId="35725"/>
    <cellStyle name="표준 10 5 2 3 3 3 2" xfId="35726"/>
    <cellStyle name="표준 10 5 2 3 3 3 3" xfId="35727"/>
    <cellStyle name="표준 10 5 2 3 3 4" xfId="35728"/>
    <cellStyle name="표준 10 5 2 3 3 5" xfId="35729"/>
    <cellStyle name="표준 10 5 2 3 4" xfId="35730"/>
    <cellStyle name="표준 10 5 2 3 4 2" xfId="35731"/>
    <cellStyle name="표준 10 5 2 3 4 2 2" xfId="35732"/>
    <cellStyle name="표준 10 5 2 3 4 2 3" xfId="35733"/>
    <cellStyle name="표준 10 5 2 3 4 3" xfId="35734"/>
    <cellStyle name="표준 10 5 2 3 4 4" xfId="35735"/>
    <cellStyle name="표준 10 5 2 3 5" xfId="35736"/>
    <cellStyle name="표준 10 5 2 3 5 2" xfId="35737"/>
    <cellStyle name="표준 10 5 2 3 5 3" xfId="35738"/>
    <cellStyle name="표준 10 5 2 3 6" xfId="35739"/>
    <cellStyle name="표준 10 5 2 3 7" xfId="35740"/>
    <cellStyle name="표준 10 5 2 4" xfId="35741"/>
    <cellStyle name="표준 10 5 2 4 2" xfId="35742"/>
    <cellStyle name="표준 10 5 2 4 2 2" xfId="35743"/>
    <cellStyle name="표준 10 5 2 4 2 2 2" xfId="35744"/>
    <cellStyle name="표준 10 5 2 4 2 2 3" xfId="35745"/>
    <cellStyle name="표준 10 5 2 4 2 3" xfId="35746"/>
    <cellStyle name="표준 10 5 2 4 2 4" xfId="35747"/>
    <cellStyle name="표준 10 5 2 4 3" xfId="35748"/>
    <cellStyle name="표준 10 5 2 4 3 2" xfId="35749"/>
    <cellStyle name="표준 10 5 2 4 3 3" xfId="35750"/>
    <cellStyle name="표준 10 5 2 4 4" xfId="35751"/>
    <cellStyle name="표준 10 5 2 4 5" xfId="35752"/>
    <cellStyle name="표준 10 5 2 5" xfId="35753"/>
    <cellStyle name="표준 10 5 2 5 2" xfId="35754"/>
    <cellStyle name="표준 10 5 2 5 2 2" xfId="35755"/>
    <cellStyle name="표준 10 5 2 5 2 2 2" xfId="35756"/>
    <cellStyle name="표준 10 5 2 5 2 2 3" xfId="35757"/>
    <cellStyle name="표준 10 5 2 5 2 3" xfId="35758"/>
    <cellStyle name="표준 10 5 2 5 2 4" xfId="35759"/>
    <cellStyle name="표준 10 5 2 5 3" xfId="35760"/>
    <cellStyle name="표준 10 5 2 5 3 2" xfId="35761"/>
    <cellStyle name="표준 10 5 2 5 3 3" xfId="35762"/>
    <cellStyle name="표준 10 5 2 5 4" xfId="35763"/>
    <cellStyle name="표준 10 5 2 5 5" xfId="35764"/>
    <cellStyle name="표준 10 5 2 6" xfId="35765"/>
    <cellStyle name="표준 10 5 2 6 2" xfId="35766"/>
    <cellStyle name="표준 10 5 2 6 2 2" xfId="35767"/>
    <cellStyle name="표준 10 5 2 6 2 2 2" xfId="35768"/>
    <cellStyle name="표준 10 5 2 6 2 2 3" xfId="35769"/>
    <cellStyle name="표준 10 5 2 6 2 3" xfId="35770"/>
    <cellStyle name="표준 10 5 2 6 2 4" xfId="35771"/>
    <cellStyle name="표준 10 5 2 6 3" xfId="35772"/>
    <cellStyle name="표준 10 5 2 6 3 2" xfId="35773"/>
    <cellStyle name="표준 10 5 2 6 3 3" xfId="35774"/>
    <cellStyle name="표준 10 5 2 6 4" xfId="35775"/>
    <cellStyle name="표준 10 5 2 6 5" xfId="35776"/>
    <cellStyle name="표준 10 5 2 7" xfId="35777"/>
    <cellStyle name="표준 10 5 2 7 2" xfId="35778"/>
    <cellStyle name="표준 10 5 2 7 2 2" xfId="35779"/>
    <cellStyle name="표준 10 5 2 7 2 3" xfId="35780"/>
    <cellStyle name="표준 10 5 2 7 3" xfId="35781"/>
    <cellStyle name="표준 10 5 2 7 4" xfId="35782"/>
    <cellStyle name="표준 10 5 2 8" xfId="35783"/>
    <cellStyle name="표준 10 5 2 8 2" xfId="35784"/>
    <cellStyle name="표준 10 5 2 8 3" xfId="35785"/>
    <cellStyle name="표준 10 5 2 9" xfId="35786"/>
    <cellStyle name="표준 10 5 3" xfId="35787"/>
    <cellStyle name="표준 10 5 3 10" xfId="35788"/>
    <cellStyle name="표준 10 5 3 2" xfId="35789"/>
    <cellStyle name="표준 10 5 3 2 2" xfId="35790"/>
    <cellStyle name="표준 10 5 3 2 2 2" xfId="35791"/>
    <cellStyle name="표준 10 5 3 2 2 2 2" xfId="35792"/>
    <cellStyle name="표준 10 5 3 2 2 2 2 2" xfId="35793"/>
    <cellStyle name="표준 10 5 3 2 2 2 2 3" xfId="35794"/>
    <cellStyle name="표준 10 5 3 2 2 2 3" xfId="35795"/>
    <cellStyle name="표준 10 5 3 2 2 2 4" xfId="35796"/>
    <cellStyle name="표준 10 5 3 2 2 3" xfId="35797"/>
    <cellStyle name="표준 10 5 3 2 2 3 2" xfId="35798"/>
    <cellStyle name="표준 10 5 3 2 2 3 3" xfId="35799"/>
    <cellStyle name="표준 10 5 3 2 2 4" xfId="35800"/>
    <cellStyle name="표준 10 5 3 2 2 5" xfId="35801"/>
    <cellStyle name="표준 10 5 3 2 3" xfId="35802"/>
    <cellStyle name="표준 10 5 3 2 3 2" xfId="35803"/>
    <cellStyle name="표준 10 5 3 2 3 2 2" xfId="35804"/>
    <cellStyle name="표준 10 5 3 2 3 2 2 2" xfId="35805"/>
    <cellStyle name="표준 10 5 3 2 3 2 2 3" xfId="35806"/>
    <cellStyle name="표준 10 5 3 2 3 2 3" xfId="35807"/>
    <cellStyle name="표준 10 5 3 2 3 2 4" xfId="35808"/>
    <cellStyle name="표준 10 5 3 2 3 3" xfId="35809"/>
    <cellStyle name="표준 10 5 3 2 3 3 2" xfId="35810"/>
    <cellStyle name="표준 10 5 3 2 3 3 3" xfId="35811"/>
    <cellStyle name="표준 10 5 3 2 3 4" xfId="35812"/>
    <cellStyle name="표준 10 5 3 2 3 5" xfId="35813"/>
    <cellStyle name="표준 10 5 3 2 4" xfId="35814"/>
    <cellStyle name="표준 10 5 3 2 4 2" xfId="35815"/>
    <cellStyle name="표준 10 5 3 2 4 2 2" xfId="35816"/>
    <cellStyle name="표준 10 5 3 2 4 2 3" xfId="35817"/>
    <cellStyle name="표준 10 5 3 2 4 3" xfId="35818"/>
    <cellStyle name="표준 10 5 3 2 4 4" xfId="35819"/>
    <cellStyle name="표준 10 5 3 2 5" xfId="35820"/>
    <cellStyle name="표준 10 5 3 2 5 2" xfId="35821"/>
    <cellStyle name="표준 10 5 3 2 5 3" xfId="35822"/>
    <cellStyle name="표준 10 5 3 2 6" xfId="35823"/>
    <cellStyle name="표준 10 5 3 2 7" xfId="35824"/>
    <cellStyle name="표준 10 5 3 3" xfId="35825"/>
    <cellStyle name="표준 10 5 3 3 2" xfId="35826"/>
    <cellStyle name="표준 10 5 3 3 2 2" xfId="35827"/>
    <cellStyle name="표준 10 5 3 3 2 2 2" xfId="35828"/>
    <cellStyle name="표준 10 5 3 3 2 2 2 2" xfId="35829"/>
    <cellStyle name="표준 10 5 3 3 2 2 2 3" xfId="35830"/>
    <cellStyle name="표준 10 5 3 3 2 2 3" xfId="35831"/>
    <cellStyle name="표준 10 5 3 3 2 2 4" xfId="35832"/>
    <cellStyle name="표준 10 5 3 3 2 3" xfId="35833"/>
    <cellStyle name="표준 10 5 3 3 2 3 2" xfId="35834"/>
    <cellStyle name="표준 10 5 3 3 2 3 3" xfId="35835"/>
    <cellStyle name="표준 10 5 3 3 2 4" xfId="35836"/>
    <cellStyle name="표준 10 5 3 3 2 5" xfId="35837"/>
    <cellStyle name="표준 10 5 3 3 3" xfId="35838"/>
    <cellStyle name="표준 10 5 3 3 3 2" xfId="35839"/>
    <cellStyle name="표준 10 5 3 3 3 2 2" xfId="35840"/>
    <cellStyle name="표준 10 5 3 3 3 2 2 2" xfId="35841"/>
    <cellStyle name="표준 10 5 3 3 3 2 2 3" xfId="35842"/>
    <cellStyle name="표준 10 5 3 3 3 2 3" xfId="35843"/>
    <cellStyle name="표준 10 5 3 3 3 2 4" xfId="35844"/>
    <cellStyle name="표준 10 5 3 3 3 3" xfId="35845"/>
    <cellStyle name="표준 10 5 3 3 3 3 2" xfId="35846"/>
    <cellStyle name="표준 10 5 3 3 3 3 3" xfId="35847"/>
    <cellStyle name="표준 10 5 3 3 3 4" xfId="35848"/>
    <cellStyle name="표준 10 5 3 3 3 5" xfId="35849"/>
    <cellStyle name="표준 10 5 3 3 4" xfId="35850"/>
    <cellStyle name="표준 10 5 3 3 4 2" xfId="35851"/>
    <cellStyle name="표준 10 5 3 3 4 2 2" xfId="35852"/>
    <cellStyle name="표준 10 5 3 3 4 2 3" xfId="35853"/>
    <cellStyle name="표준 10 5 3 3 4 3" xfId="35854"/>
    <cellStyle name="표준 10 5 3 3 4 4" xfId="35855"/>
    <cellStyle name="표준 10 5 3 3 5" xfId="35856"/>
    <cellStyle name="표준 10 5 3 3 5 2" xfId="35857"/>
    <cellStyle name="표준 10 5 3 3 5 3" xfId="35858"/>
    <cellStyle name="표준 10 5 3 3 6" xfId="35859"/>
    <cellStyle name="표준 10 5 3 3 7" xfId="35860"/>
    <cellStyle name="표준 10 5 3 4" xfId="35861"/>
    <cellStyle name="표준 10 5 3 4 2" xfId="35862"/>
    <cellStyle name="표준 10 5 3 4 2 2" xfId="35863"/>
    <cellStyle name="표준 10 5 3 4 2 2 2" xfId="35864"/>
    <cellStyle name="표준 10 5 3 4 2 2 3" xfId="35865"/>
    <cellStyle name="표준 10 5 3 4 2 3" xfId="35866"/>
    <cellStyle name="표준 10 5 3 4 2 4" xfId="35867"/>
    <cellStyle name="표준 10 5 3 4 3" xfId="35868"/>
    <cellStyle name="표준 10 5 3 4 3 2" xfId="35869"/>
    <cellStyle name="표준 10 5 3 4 3 3" xfId="35870"/>
    <cellStyle name="표준 10 5 3 4 4" xfId="35871"/>
    <cellStyle name="표준 10 5 3 4 5" xfId="35872"/>
    <cellStyle name="표준 10 5 3 5" xfId="35873"/>
    <cellStyle name="표준 10 5 3 5 2" xfId="35874"/>
    <cellStyle name="표준 10 5 3 5 2 2" xfId="35875"/>
    <cellStyle name="표준 10 5 3 5 2 2 2" xfId="35876"/>
    <cellStyle name="표준 10 5 3 5 2 2 3" xfId="35877"/>
    <cellStyle name="표준 10 5 3 5 2 3" xfId="35878"/>
    <cellStyle name="표준 10 5 3 5 2 4" xfId="35879"/>
    <cellStyle name="표준 10 5 3 5 3" xfId="35880"/>
    <cellStyle name="표준 10 5 3 5 3 2" xfId="35881"/>
    <cellStyle name="표준 10 5 3 5 3 3" xfId="35882"/>
    <cellStyle name="표준 10 5 3 5 4" xfId="35883"/>
    <cellStyle name="표준 10 5 3 5 5" xfId="35884"/>
    <cellStyle name="표준 10 5 3 6" xfId="35885"/>
    <cellStyle name="표준 10 5 3 6 2" xfId="35886"/>
    <cellStyle name="표준 10 5 3 6 2 2" xfId="35887"/>
    <cellStyle name="표준 10 5 3 6 2 2 2" xfId="35888"/>
    <cellStyle name="표준 10 5 3 6 2 2 3" xfId="35889"/>
    <cellStyle name="표준 10 5 3 6 2 3" xfId="35890"/>
    <cellStyle name="표준 10 5 3 6 2 4" xfId="35891"/>
    <cellStyle name="표준 10 5 3 6 3" xfId="35892"/>
    <cellStyle name="표준 10 5 3 6 3 2" xfId="35893"/>
    <cellStyle name="표준 10 5 3 6 3 3" xfId="35894"/>
    <cellStyle name="표준 10 5 3 6 4" xfId="35895"/>
    <cellStyle name="표준 10 5 3 6 5" xfId="35896"/>
    <cellStyle name="표준 10 5 3 7" xfId="35897"/>
    <cellStyle name="표준 10 5 3 7 2" xfId="35898"/>
    <cellStyle name="표준 10 5 3 7 2 2" xfId="35899"/>
    <cellStyle name="표준 10 5 3 7 2 3" xfId="35900"/>
    <cellStyle name="표준 10 5 3 7 3" xfId="35901"/>
    <cellStyle name="표준 10 5 3 7 4" xfId="35902"/>
    <cellStyle name="표준 10 5 3 8" xfId="35903"/>
    <cellStyle name="표준 10 5 3 8 2" xfId="35904"/>
    <cellStyle name="표준 10 5 3 8 3" xfId="35905"/>
    <cellStyle name="표준 10 5 3 9" xfId="35906"/>
    <cellStyle name="표준 10 5 4" xfId="35907"/>
    <cellStyle name="표준 10 5 4 10" xfId="35908"/>
    <cellStyle name="표준 10 5 4 2" xfId="35909"/>
    <cellStyle name="표준 10 5 4 2 2" xfId="35910"/>
    <cellStyle name="표준 10 5 4 2 2 2" xfId="35911"/>
    <cellStyle name="표준 10 5 4 2 2 2 2" xfId="35912"/>
    <cellStyle name="표준 10 5 4 2 2 2 2 2" xfId="35913"/>
    <cellStyle name="표준 10 5 4 2 2 2 2 3" xfId="35914"/>
    <cellStyle name="표준 10 5 4 2 2 2 3" xfId="35915"/>
    <cellStyle name="표준 10 5 4 2 2 2 4" xfId="35916"/>
    <cellStyle name="표준 10 5 4 2 2 3" xfId="35917"/>
    <cellStyle name="표준 10 5 4 2 2 3 2" xfId="35918"/>
    <cellStyle name="표준 10 5 4 2 2 3 3" xfId="35919"/>
    <cellStyle name="표준 10 5 4 2 2 4" xfId="35920"/>
    <cellStyle name="표준 10 5 4 2 2 5" xfId="35921"/>
    <cellStyle name="표준 10 5 4 2 3" xfId="35922"/>
    <cellStyle name="표준 10 5 4 2 3 2" xfId="35923"/>
    <cellStyle name="표준 10 5 4 2 3 2 2" xfId="35924"/>
    <cellStyle name="표준 10 5 4 2 3 2 2 2" xfId="35925"/>
    <cellStyle name="표준 10 5 4 2 3 2 2 3" xfId="35926"/>
    <cellStyle name="표준 10 5 4 2 3 2 3" xfId="35927"/>
    <cellStyle name="표준 10 5 4 2 3 2 4" xfId="35928"/>
    <cellStyle name="표준 10 5 4 2 3 3" xfId="35929"/>
    <cellStyle name="표준 10 5 4 2 3 3 2" xfId="35930"/>
    <cellStyle name="표준 10 5 4 2 3 3 3" xfId="35931"/>
    <cellStyle name="표준 10 5 4 2 3 4" xfId="35932"/>
    <cellStyle name="표준 10 5 4 2 3 5" xfId="35933"/>
    <cellStyle name="표준 10 5 4 2 4" xfId="35934"/>
    <cellStyle name="표준 10 5 4 2 4 2" xfId="35935"/>
    <cellStyle name="표준 10 5 4 2 4 2 2" xfId="35936"/>
    <cellStyle name="표준 10 5 4 2 4 2 3" xfId="35937"/>
    <cellStyle name="표준 10 5 4 2 4 3" xfId="35938"/>
    <cellStyle name="표준 10 5 4 2 4 4" xfId="35939"/>
    <cellStyle name="표준 10 5 4 2 5" xfId="35940"/>
    <cellStyle name="표준 10 5 4 2 5 2" xfId="35941"/>
    <cellStyle name="표준 10 5 4 2 5 3" xfId="35942"/>
    <cellStyle name="표준 10 5 4 2 6" xfId="35943"/>
    <cellStyle name="표준 10 5 4 2 7" xfId="35944"/>
    <cellStyle name="표준 10 5 4 3" xfId="35945"/>
    <cellStyle name="표준 10 5 4 3 2" xfId="35946"/>
    <cellStyle name="표준 10 5 4 3 2 2" xfId="35947"/>
    <cellStyle name="표준 10 5 4 3 2 2 2" xfId="35948"/>
    <cellStyle name="표준 10 5 4 3 2 2 2 2" xfId="35949"/>
    <cellStyle name="표준 10 5 4 3 2 2 2 3" xfId="35950"/>
    <cellStyle name="표준 10 5 4 3 2 2 3" xfId="35951"/>
    <cellStyle name="표준 10 5 4 3 2 2 4" xfId="35952"/>
    <cellStyle name="표준 10 5 4 3 2 3" xfId="35953"/>
    <cellStyle name="표준 10 5 4 3 2 3 2" xfId="35954"/>
    <cellStyle name="표준 10 5 4 3 2 3 3" xfId="35955"/>
    <cellStyle name="표준 10 5 4 3 2 4" xfId="35956"/>
    <cellStyle name="표준 10 5 4 3 2 5" xfId="35957"/>
    <cellStyle name="표준 10 5 4 3 3" xfId="35958"/>
    <cellStyle name="표준 10 5 4 3 3 2" xfId="35959"/>
    <cellStyle name="표준 10 5 4 3 3 2 2" xfId="35960"/>
    <cellStyle name="표준 10 5 4 3 3 2 2 2" xfId="35961"/>
    <cellStyle name="표준 10 5 4 3 3 2 2 3" xfId="35962"/>
    <cellStyle name="표준 10 5 4 3 3 2 3" xfId="35963"/>
    <cellStyle name="표준 10 5 4 3 3 2 4" xfId="35964"/>
    <cellStyle name="표준 10 5 4 3 3 3" xfId="35965"/>
    <cellStyle name="표준 10 5 4 3 3 3 2" xfId="35966"/>
    <cellStyle name="표준 10 5 4 3 3 3 3" xfId="35967"/>
    <cellStyle name="표준 10 5 4 3 3 4" xfId="35968"/>
    <cellStyle name="표준 10 5 4 3 3 5" xfId="35969"/>
    <cellStyle name="표준 10 5 4 3 4" xfId="35970"/>
    <cellStyle name="표준 10 5 4 3 4 2" xfId="35971"/>
    <cellStyle name="표준 10 5 4 3 4 2 2" xfId="35972"/>
    <cellStyle name="표준 10 5 4 3 4 2 3" xfId="35973"/>
    <cellStyle name="표준 10 5 4 3 4 3" xfId="35974"/>
    <cellStyle name="표준 10 5 4 3 4 4" xfId="35975"/>
    <cellStyle name="표준 10 5 4 3 5" xfId="35976"/>
    <cellStyle name="표준 10 5 4 3 5 2" xfId="35977"/>
    <cellStyle name="표준 10 5 4 3 5 3" xfId="35978"/>
    <cellStyle name="표준 10 5 4 3 6" xfId="35979"/>
    <cellStyle name="표준 10 5 4 3 7" xfId="35980"/>
    <cellStyle name="표준 10 5 4 4" xfId="35981"/>
    <cellStyle name="표준 10 5 4 4 2" xfId="35982"/>
    <cellStyle name="표준 10 5 4 4 2 2" xfId="35983"/>
    <cellStyle name="표준 10 5 4 4 2 2 2" xfId="35984"/>
    <cellStyle name="표준 10 5 4 4 2 2 3" xfId="35985"/>
    <cellStyle name="표준 10 5 4 4 2 3" xfId="35986"/>
    <cellStyle name="표준 10 5 4 4 2 4" xfId="35987"/>
    <cellStyle name="표준 10 5 4 4 3" xfId="35988"/>
    <cellStyle name="표준 10 5 4 4 3 2" xfId="35989"/>
    <cellStyle name="표준 10 5 4 4 3 3" xfId="35990"/>
    <cellStyle name="표준 10 5 4 4 4" xfId="35991"/>
    <cellStyle name="표준 10 5 4 4 5" xfId="35992"/>
    <cellStyle name="표준 10 5 4 5" xfId="35993"/>
    <cellStyle name="표준 10 5 4 5 2" xfId="35994"/>
    <cellStyle name="표준 10 5 4 5 2 2" xfId="35995"/>
    <cellStyle name="표준 10 5 4 5 2 2 2" xfId="35996"/>
    <cellStyle name="표준 10 5 4 5 2 2 3" xfId="35997"/>
    <cellStyle name="표준 10 5 4 5 2 3" xfId="35998"/>
    <cellStyle name="표준 10 5 4 5 2 4" xfId="35999"/>
    <cellStyle name="표준 10 5 4 5 3" xfId="36000"/>
    <cellStyle name="표준 10 5 4 5 3 2" xfId="36001"/>
    <cellStyle name="표준 10 5 4 5 3 3" xfId="36002"/>
    <cellStyle name="표준 10 5 4 5 4" xfId="36003"/>
    <cellStyle name="표준 10 5 4 5 5" xfId="36004"/>
    <cellStyle name="표준 10 5 4 6" xfId="36005"/>
    <cellStyle name="표준 10 5 4 6 2" xfId="36006"/>
    <cellStyle name="표준 10 5 4 6 2 2" xfId="36007"/>
    <cellStyle name="표준 10 5 4 6 2 2 2" xfId="36008"/>
    <cellStyle name="표준 10 5 4 6 2 2 3" xfId="36009"/>
    <cellStyle name="표준 10 5 4 6 2 3" xfId="36010"/>
    <cellStyle name="표준 10 5 4 6 2 4" xfId="36011"/>
    <cellStyle name="표준 10 5 4 6 3" xfId="36012"/>
    <cellStyle name="표준 10 5 4 6 3 2" xfId="36013"/>
    <cellStyle name="표준 10 5 4 6 3 3" xfId="36014"/>
    <cellStyle name="표준 10 5 4 6 4" xfId="36015"/>
    <cellStyle name="표준 10 5 4 6 5" xfId="36016"/>
    <cellStyle name="표준 10 5 4 7" xfId="36017"/>
    <cellStyle name="표준 10 5 4 7 2" xfId="36018"/>
    <cellStyle name="표준 10 5 4 7 2 2" xfId="36019"/>
    <cellStyle name="표준 10 5 4 7 2 3" xfId="36020"/>
    <cellStyle name="표준 10 5 4 7 3" xfId="36021"/>
    <cellStyle name="표준 10 5 4 7 4" xfId="36022"/>
    <cellStyle name="표준 10 5 4 8" xfId="36023"/>
    <cellStyle name="표준 10 5 4 8 2" xfId="36024"/>
    <cellStyle name="표준 10 5 4 8 3" xfId="36025"/>
    <cellStyle name="표준 10 5 4 9" xfId="36026"/>
    <cellStyle name="표준 10 5 5" xfId="36027"/>
    <cellStyle name="표준 10 5 5 2" xfId="36028"/>
    <cellStyle name="표준 10 5 5 2 2" xfId="36029"/>
    <cellStyle name="표준 10 5 5 2 2 2" xfId="36030"/>
    <cellStyle name="표준 10 5 5 2 2 2 2" xfId="36031"/>
    <cellStyle name="표준 10 5 5 2 2 2 3" xfId="36032"/>
    <cellStyle name="표준 10 5 5 2 2 3" xfId="36033"/>
    <cellStyle name="표준 10 5 5 2 2 4" xfId="36034"/>
    <cellStyle name="표준 10 5 5 2 3" xfId="36035"/>
    <cellStyle name="표준 10 5 5 2 3 2" xfId="36036"/>
    <cellStyle name="표준 10 5 5 2 3 3" xfId="36037"/>
    <cellStyle name="표준 10 5 5 2 4" xfId="36038"/>
    <cellStyle name="표준 10 5 5 2 5" xfId="36039"/>
    <cellStyle name="표준 10 5 5 3" xfId="36040"/>
    <cellStyle name="표준 10 5 5 3 2" xfId="36041"/>
    <cellStyle name="표준 10 5 5 3 2 2" xfId="36042"/>
    <cellStyle name="표준 10 5 5 3 2 2 2" xfId="36043"/>
    <cellStyle name="표준 10 5 5 3 2 2 3" xfId="36044"/>
    <cellStyle name="표준 10 5 5 3 2 3" xfId="36045"/>
    <cellStyle name="표준 10 5 5 3 2 4" xfId="36046"/>
    <cellStyle name="표준 10 5 5 3 3" xfId="36047"/>
    <cellStyle name="표준 10 5 5 3 3 2" xfId="36048"/>
    <cellStyle name="표준 10 5 5 3 3 3" xfId="36049"/>
    <cellStyle name="표준 10 5 5 3 4" xfId="36050"/>
    <cellStyle name="표준 10 5 5 3 5" xfId="36051"/>
    <cellStyle name="표준 10 5 5 4" xfId="36052"/>
    <cellStyle name="표준 10 5 5 4 2" xfId="36053"/>
    <cellStyle name="표준 10 5 5 4 2 2" xfId="36054"/>
    <cellStyle name="표준 10 5 5 4 2 3" xfId="36055"/>
    <cellStyle name="표준 10 5 5 4 3" xfId="36056"/>
    <cellStyle name="표준 10 5 5 4 4" xfId="36057"/>
    <cellStyle name="표준 10 5 5 5" xfId="36058"/>
    <cellStyle name="표준 10 5 5 5 2" xfId="36059"/>
    <cellStyle name="표준 10 5 5 5 3" xfId="36060"/>
    <cellStyle name="표준 10 5 5 6" xfId="36061"/>
    <cellStyle name="표준 10 5 5 7" xfId="36062"/>
    <cellStyle name="표준 10 5 6" xfId="36063"/>
    <cellStyle name="표준 10 5 6 2" xfId="36064"/>
    <cellStyle name="표준 10 5 6 2 2" xfId="36065"/>
    <cellStyle name="표준 10 5 6 2 2 2" xfId="36066"/>
    <cellStyle name="표준 10 5 6 2 2 2 2" xfId="36067"/>
    <cellStyle name="표준 10 5 6 2 2 2 3" xfId="36068"/>
    <cellStyle name="표준 10 5 6 2 2 3" xfId="36069"/>
    <cellStyle name="표준 10 5 6 2 2 4" xfId="36070"/>
    <cellStyle name="표준 10 5 6 2 3" xfId="36071"/>
    <cellStyle name="표준 10 5 6 2 3 2" xfId="36072"/>
    <cellStyle name="표준 10 5 6 2 3 3" xfId="36073"/>
    <cellStyle name="표준 10 5 6 2 4" xfId="36074"/>
    <cellStyle name="표준 10 5 6 2 5" xfId="36075"/>
    <cellStyle name="표준 10 5 6 3" xfId="36076"/>
    <cellStyle name="표준 10 5 6 3 2" xfId="36077"/>
    <cellStyle name="표준 10 5 6 3 2 2" xfId="36078"/>
    <cellStyle name="표준 10 5 6 3 2 2 2" xfId="36079"/>
    <cellStyle name="표준 10 5 6 3 2 2 3" xfId="36080"/>
    <cellStyle name="표준 10 5 6 3 2 3" xfId="36081"/>
    <cellStyle name="표준 10 5 6 3 2 4" xfId="36082"/>
    <cellStyle name="표준 10 5 6 3 3" xfId="36083"/>
    <cellStyle name="표준 10 5 6 3 3 2" xfId="36084"/>
    <cellStyle name="표준 10 5 6 3 3 3" xfId="36085"/>
    <cellStyle name="표준 10 5 6 3 4" xfId="36086"/>
    <cellStyle name="표준 10 5 6 3 5" xfId="36087"/>
    <cellStyle name="표준 10 5 6 4" xfId="36088"/>
    <cellStyle name="표준 10 5 6 4 2" xfId="36089"/>
    <cellStyle name="표준 10 5 6 4 2 2" xfId="36090"/>
    <cellStyle name="표준 10 5 6 4 2 3" xfId="36091"/>
    <cellStyle name="표준 10 5 6 4 3" xfId="36092"/>
    <cellStyle name="표준 10 5 6 4 4" xfId="36093"/>
    <cellStyle name="표준 10 5 6 5" xfId="36094"/>
    <cellStyle name="표준 10 5 6 5 2" xfId="36095"/>
    <cellStyle name="표준 10 5 6 5 3" xfId="36096"/>
    <cellStyle name="표준 10 5 6 6" xfId="36097"/>
    <cellStyle name="표준 10 5 6 7" xfId="36098"/>
    <cellStyle name="표준 10 5 7" xfId="36099"/>
    <cellStyle name="표준 10 5 7 2" xfId="36100"/>
    <cellStyle name="표준 10 5 7 2 2" xfId="36101"/>
    <cellStyle name="표준 10 5 7 2 2 2" xfId="36102"/>
    <cellStyle name="표준 10 5 7 2 2 3" xfId="36103"/>
    <cellStyle name="표준 10 5 7 2 3" xfId="36104"/>
    <cellStyle name="표준 10 5 7 2 4" xfId="36105"/>
    <cellStyle name="표준 10 5 7 3" xfId="36106"/>
    <cellStyle name="표준 10 5 7 3 2" xfId="36107"/>
    <cellStyle name="표준 10 5 7 3 3" xfId="36108"/>
    <cellStyle name="표준 10 5 7 4" xfId="36109"/>
    <cellStyle name="표준 10 5 7 5" xfId="36110"/>
    <cellStyle name="표준 10 5 8" xfId="36111"/>
    <cellStyle name="표준 10 5 8 2" xfId="36112"/>
    <cellStyle name="표준 10 5 8 2 2" xfId="36113"/>
    <cellStyle name="표준 10 5 8 2 2 2" xfId="36114"/>
    <cellStyle name="표준 10 5 8 2 2 3" xfId="36115"/>
    <cellStyle name="표준 10 5 8 2 3" xfId="36116"/>
    <cellStyle name="표준 10 5 8 2 4" xfId="36117"/>
    <cellStyle name="표준 10 5 8 3" xfId="36118"/>
    <cellStyle name="표준 10 5 8 3 2" xfId="36119"/>
    <cellStyle name="표준 10 5 8 3 3" xfId="36120"/>
    <cellStyle name="표준 10 5 8 4" xfId="36121"/>
    <cellStyle name="표준 10 5 8 5" xfId="36122"/>
    <cellStyle name="표준 10 5 9" xfId="36123"/>
    <cellStyle name="표준 10 5 9 2" xfId="36124"/>
    <cellStyle name="표준 10 5 9 2 2" xfId="36125"/>
    <cellStyle name="표준 10 5 9 2 2 2" xfId="36126"/>
    <cellStyle name="표준 10 5 9 2 2 3" xfId="36127"/>
    <cellStyle name="표준 10 5 9 2 3" xfId="36128"/>
    <cellStyle name="표준 10 5 9 2 4" xfId="36129"/>
    <cellStyle name="표준 10 5 9 3" xfId="36130"/>
    <cellStyle name="표준 10 5 9 3 2" xfId="36131"/>
    <cellStyle name="표준 10 5 9 3 3" xfId="36132"/>
    <cellStyle name="표준 10 5 9 4" xfId="36133"/>
    <cellStyle name="표준 10 5 9 5" xfId="36134"/>
    <cellStyle name="표준 10 6" xfId="36135"/>
    <cellStyle name="표준 10 6 10" xfId="36136"/>
    <cellStyle name="표준 10 6 2" xfId="36137"/>
    <cellStyle name="표준 10 6 2 2" xfId="36138"/>
    <cellStyle name="표준 10 6 2 2 2" xfId="36139"/>
    <cellStyle name="표준 10 6 2 2 2 2" xfId="36140"/>
    <cellStyle name="표준 10 6 2 2 2 2 2" xfId="36141"/>
    <cellStyle name="표준 10 6 2 2 2 2 3" xfId="36142"/>
    <cellStyle name="표준 10 6 2 2 2 3" xfId="36143"/>
    <cellStyle name="표준 10 6 2 2 2 4" xfId="36144"/>
    <cellStyle name="표준 10 6 2 2 3" xfId="36145"/>
    <cellStyle name="표준 10 6 2 2 3 2" xfId="36146"/>
    <cellStyle name="표준 10 6 2 2 3 3" xfId="36147"/>
    <cellStyle name="표준 10 6 2 2 4" xfId="36148"/>
    <cellStyle name="표준 10 6 2 2 5" xfId="36149"/>
    <cellStyle name="표준 10 6 2 3" xfId="36150"/>
    <cellStyle name="표준 10 6 2 3 2" xfId="36151"/>
    <cellStyle name="표준 10 6 2 3 2 2" xfId="36152"/>
    <cellStyle name="표준 10 6 2 3 2 2 2" xfId="36153"/>
    <cellStyle name="표준 10 6 2 3 2 2 3" xfId="36154"/>
    <cellStyle name="표준 10 6 2 3 2 3" xfId="36155"/>
    <cellStyle name="표준 10 6 2 3 2 4" xfId="36156"/>
    <cellStyle name="표준 10 6 2 3 3" xfId="36157"/>
    <cellStyle name="표준 10 6 2 3 3 2" xfId="36158"/>
    <cellStyle name="표준 10 6 2 3 3 3" xfId="36159"/>
    <cellStyle name="표준 10 6 2 3 4" xfId="36160"/>
    <cellStyle name="표준 10 6 2 3 5" xfId="36161"/>
    <cellStyle name="표준 10 6 2 4" xfId="36162"/>
    <cellStyle name="표준 10 6 2 4 2" xfId="36163"/>
    <cellStyle name="표준 10 6 2 4 2 2" xfId="36164"/>
    <cellStyle name="표준 10 6 2 4 2 3" xfId="36165"/>
    <cellStyle name="표준 10 6 2 4 3" xfId="36166"/>
    <cellStyle name="표준 10 6 2 4 4" xfId="36167"/>
    <cellStyle name="표준 10 6 2 5" xfId="36168"/>
    <cellStyle name="표준 10 6 2 5 2" xfId="36169"/>
    <cellStyle name="표준 10 6 2 5 3" xfId="36170"/>
    <cellStyle name="표준 10 6 2 6" xfId="36171"/>
    <cellStyle name="표준 10 6 2 7" xfId="36172"/>
    <cellStyle name="표준 10 6 3" xfId="36173"/>
    <cellStyle name="표준 10 6 3 2" xfId="36174"/>
    <cellStyle name="표준 10 6 3 2 2" xfId="36175"/>
    <cellStyle name="표준 10 6 3 2 2 2" xfId="36176"/>
    <cellStyle name="표준 10 6 3 2 2 2 2" xfId="36177"/>
    <cellStyle name="표준 10 6 3 2 2 2 3" xfId="36178"/>
    <cellStyle name="표준 10 6 3 2 2 3" xfId="36179"/>
    <cellStyle name="표준 10 6 3 2 2 4" xfId="36180"/>
    <cellStyle name="표준 10 6 3 2 3" xfId="36181"/>
    <cellStyle name="표준 10 6 3 2 3 2" xfId="36182"/>
    <cellStyle name="표준 10 6 3 2 3 3" xfId="36183"/>
    <cellStyle name="표준 10 6 3 2 4" xfId="36184"/>
    <cellStyle name="표준 10 6 3 2 5" xfId="36185"/>
    <cellStyle name="표준 10 6 3 3" xfId="36186"/>
    <cellStyle name="표준 10 6 3 3 2" xfId="36187"/>
    <cellStyle name="표준 10 6 3 3 2 2" xfId="36188"/>
    <cellStyle name="표준 10 6 3 3 2 2 2" xfId="36189"/>
    <cellStyle name="표준 10 6 3 3 2 2 3" xfId="36190"/>
    <cellStyle name="표준 10 6 3 3 2 3" xfId="36191"/>
    <cellStyle name="표준 10 6 3 3 2 4" xfId="36192"/>
    <cellStyle name="표준 10 6 3 3 3" xfId="36193"/>
    <cellStyle name="표준 10 6 3 3 3 2" xfId="36194"/>
    <cellStyle name="표준 10 6 3 3 3 3" xfId="36195"/>
    <cellStyle name="표준 10 6 3 3 4" xfId="36196"/>
    <cellStyle name="표준 10 6 3 3 5" xfId="36197"/>
    <cellStyle name="표준 10 6 3 4" xfId="36198"/>
    <cellStyle name="표준 10 6 3 4 2" xfId="36199"/>
    <cellStyle name="표준 10 6 3 4 2 2" xfId="36200"/>
    <cellStyle name="표준 10 6 3 4 2 3" xfId="36201"/>
    <cellStyle name="표준 10 6 3 4 3" xfId="36202"/>
    <cellStyle name="표준 10 6 3 4 4" xfId="36203"/>
    <cellStyle name="표준 10 6 3 5" xfId="36204"/>
    <cellStyle name="표준 10 6 3 5 2" xfId="36205"/>
    <cellStyle name="표준 10 6 3 5 3" xfId="36206"/>
    <cellStyle name="표준 10 6 3 6" xfId="36207"/>
    <cellStyle name="표준 10 6 3 7" xfId="36208"/>
    <cellStyle name="표준 10 6 4" xfId="36209"/>
    <cellStyle name="표준 10 6 4 2" xfId="36210"/>
    <cellStyle name="표준 10 6 4 2 2" xfId="36211"/>
    <cellStyle name="표준 10 6 4 2 2 2" xfId="36212"/>
    <cellStyle name="표준 10 6 4 2 2 3" xfId="36213"/>
    <cellStyle name="표준 10 6 4 2 3" xfId="36214"/>
    <cellStyle name="표준 10 6 4 2 4" xfId="36215"/>
    <cellStyle name="표준 10 6 4 3" xfId="36216"/>
    <cellStyle name="표준 10 6 4 3 2" xfId="36217"/>
    <cellStyle name="표준 10 6 4 3 3" xfId="36218"/>
    <cellStyle name="표준 10 6 4 4" xfId="36219"/>
    <cellStyle name="표준 10 6 4 5" xfId="36220"/>
    <cellStyle name="표준 10 6 5" xfId="36221"/>
    <cellStyle name="표준 10 6 5 2" xfId="36222"/>
    <cellStyle name="표준 10 6 5 2 2" xfId="36223"/>
    <cellStyle name="표준 10 6 5 2 2 2" xfId="36224"/>
    <cellStyle name="표준 10 6 5 2 2 3" xfId="36225"/>
    <cellStyle name="표준 10 6 5 2 3" xfId="36226"/>
    <cellStyle name="표준 10 6 5 2 4" xfId="36227"/>
    <cellStyle name="표준 10 6 5 3" xfId="36228"/>
    <cellStyle name="표준 10 6 5 3 2" xfId="36229"/>
    <cellStyle name="표준 10 6 5 3 3" xfId="36230"/>
    <cellStyle name="표준 10 6 5 4" xfId="36231"/>
    <cellStyle name="표준 10 6 5 5" xfId="36232"/>
    <cellStyle name="표준 10 6 6" xfId="36233"/>
    <cellStyle name="표준 10 6 6 2" xfId="36234"/>
    <cellStyle name="표준 10 6 6 2 2" xfId="36235"/>
    <cellStyle name="표준 10 6 6 2 2 2" xfId="36236"/>
    <cellStyle name="표준 10 6 6 2 2 3" xfId="36237"/>
    <cellStyle name="표준 10 6 6 2 3" xfId="36238"/>
    <cellStyle name="표준 10 6 6 2 4" xfId="36239"/>
    <cellStyle name="표준 10 6 6 3" xfId="36240"/>
    <cellStyle name="표준 10 6 6 3 2" xfId="36241"/>
    <cellStyle name="표준 10 6 6 3 3" xfId="36242"/>
    <cellStyle name="표준 10 6 6 4" xfId="36243"/>
    <cellStyle name="표준 10 6 6 5" xfId="36244"/>
    <cellStyle name="표준 10 6 7" xfId="36245"/>
    <cellStyle name="표준 10 6 7 2" xfId="36246"/>
    <cellStyle name="표준 10 6 7 2 2" xfId="36247"/>
    <cellStyle name="표준 10 6 7 2 3" xfId="36248"/>
    <cellStyle name="표준 10 6 7 3" xfId="36249"/>
    <cellStyle name="표준 10 6 7 4" xfId="36250"/>
    <cellStyle name="표준 10 6 8" xfId="36251"/>
    <cellStyle name="표준 10 6 8 2" xfId="36252"/>
    <cellStyle name="표준 10 6 8 3" xfId="36253"/>
    <cellStyle name="표준 10 6 9" xfId="36254"/>
    <cellStyle name="표준 10 7" xfId="36255"/>
    <cellStyle name="표준 10 7 10" xfId="36256"/>
    <cellStyle name="표준 10 7 2" xfId="36257"/>
    <cellStyle name="표준 10 7 2 2" xfId="36258"/>
    <cellStyle name="표준 10 7 2 2 2" xfId="36259"/>
    <cellStyle name="표준 10 7 2 2 2 2" xfId="36260"/>
    <cellStyle name="표준 10 7 2 2 2 2 2" xfId="36261"/>
    <cellStyle name="표준 10 7 2 2 2 2 3" xfId="36262"/>
    <cellStyle name="표준 10 7 2 2 2 3" xfId="36263"/>
    <cellStyle name="표준 10 7 2 2 2 4" xfId="36264"/>
    <cellStyle name="표준 10 7 2 2 3" xfId="36265"/>
    <cellStyle name="표준 10 7 2 2 3 2" xfId="36266"/>
    <cellStyle name="표준 10 7 2 2 3 3" xfId="36267"/>
    <cellStyle name="표준 10 7 2 2 4" xfId="36268"/>
    <cellStyle name="표준 10 7 2 2 5" xfId="36269"/>
    <cellStyle name="표준 10 7 2 3" xfId="36270"/>
    <cellStyle name="표준 10 7 2 3 2" xfId="36271"/>
    <cellStyle name="표준 10 7 2 3 2 2" xfId="36272"/>
    <cellStyle name="표준 10 7 2 3 2 2 2" xfId="36273"/>
    <cellStyle name="표준 10 7 2 3 2 2 3" xfId="36274"/>
    <cellStyle name="표준 10 7 2 3 2 3" xfId="36275"/>
    <cellStyle name="표준 10 7 2 3 2 4" xfId="36276"/>
    <cellStyle name="표준 10 7 2 3 3" xfId="36277"/>
    <cellStyle name="표준 10 7 2 3 3 2" xfId="36278"/>
    <cellStyle name="표준 10 7 2 3 3 3" xfId="36279"/>
    <cellStyle name="표준 10 7 2 3 4" xfId="36280"/>
    <cellStyle name="표준 10 7 2 3 5" xfId="36281"/>
    <cellStyle name="표준 10 7 2 4" xfId="36282"/>
    <cellStyle name="표준 10 7 2 4 2" xfId="36283"/>
    <cellStyle name="표준 10 7 2 4 2 2" xfId="36284"/>
    <cellStyle name="표준 10 7 2 4 2 3" xfId="36285"/>
    <cellStyle name="표준 10 7 2 4 3" xfId="36286"/>
    <cellStyle name="표준 10 7 2 4 4" xfId="36287"/>
    <cellStyle name="표준 10 7 2 5" xfId="36288"/>
    <cellStyle name="표준 10 7 2 5 2" xfId="36289"/>
    <cellStyle name="표준 10 7 2 5 3" xfId="36290"/>
    <cellStyle name="표준 10 7 2 6" xfId="36291"/>
    <cellStyle name="표준 10 7 2 7" xfId="36292"/>
    <cellStyle name="표준 10 7 3" xfId="36293"/>
    <cellStyle name="표준 10 7 3 2" xfId="36294"/>
    <cellStyle name="표준 10 7 3 2 2" xfId="36295"/>
    <cellStyle name="표준 10 7 3 2 2 2" xfId="36296"/>
    <cellStyle name="표준 10 7 3 2 2 2 2" xfId="36297"/>
    <cellStyle name="표준 10 7 3 2 2 2 3" xfId="36298"/>
    <cellStyle name="표준 10 7 3 2 2 3" xfId="36299"/>
    <cellStyle name="표준 10 7 3 2 2 4" xfId="36300"/>
    <cellStyle name="표준 10 7 3 2 3" xfId="36301"/>
    <cellStyle name="표준 10 7 3 2 3 2" xfId="36302"/>
    <cellStyle name="표준 10 7 3 2 3 3" xfId="36303"/>
    <cellStyle name="표준 10 7 3 2 4" xfId="36304"/>
    <cellStyle name="표준 10 7 3 2 5" xfId="36305"/>
    <cellStyle name="표준 10 7 3 3" xfId="36306"/>
    <cellStyle name="표준 10 7 3 3 2" xfId="36307"/>
    <cellStyle name="표준 10 7 3 3 2 2" xfId="36308"/>
    <cellStyle name="표준 10 7 3 3 2 2 2" xfId="36309"/>
    <cellStyle name="표준 10 7 3 3 2 2 3" xfId="36310"/>
    <cellStyle name="표준 10 7 3 3 2 3" xfId="36311"/>
    <cellStyle name="표준 10 7 3 3 2 4" xfId="36312"/>
    <cellStyle name="표준 10 7 3 3 3" xfId="36313"/>
    <cellStyle name="표준 10 7 3 3 3 2" xfId="36314"/>
    <cellStyle name="표준 10 7 3 3 3 3" xfId="36315"/>
    <cellStyle name="표준 10 7 3 3 4" xfId="36316"/>
    <cellStyle name="표준 10 7 3 3 5" xfId="36317"/>
    <cellStyle name="표준 10 7 3 4" xfId="36318"/>
    <cellStyle name="표준 10 7 3 4 2" xfId="36319"/>
    <cellStyle name="표준 10 7 3 4 2 2" xfId="36320"/>
    <cellStyle name="표준 10 7 3 4 2 3" xfId="36321"/>
    <cellStyle name="표준 10 7 3 4 3" xfId="36322"/>
    <cellStyle name="표준 10 7 3 4 4" xfId="36323"/>
    <cellStyle name="표준 10 7 3 5" xfId="36324"/>
    <cellStyle name="표준 10 7 3 5 2" xfId="36325"/>
    <cellStyle name="표준 10 7 3 5 3" xfId="36326"/>
    <cellStyle name="표준 10 7 3 6" xfId="36327"/>
    <cellStyle name="표준 10 7 3 7" xfId="36328"/>
    <cellStyle name="표준 10 7 4" xfId="36329"/>
    <cellStyle name="표준 10 7 4 2" xfId="36330"/>
    <cellStyle name="표준 10 7 4 2 2" xfId="36331"/>
    <cellStyle name="표준 10 7 4 2 2 2" xfId="36332"/>
    <cellStyle name="표준 10 7 4 2 2 3" xfId="36333"/>
    <cellStyle name="표준 10 7 4 2 3" xfId="36334"/>
    <cellStyle name="표준 10 7 4 2 4" xfId="36335"/>
    <cellStyle name="표준 10 7 4 3" xfId="36336"/>
    <cellStyle name="표준 10 7 4 3 2" xfId="36337"/>
    <cellStyle name="표준 10 7 4 3 3" xfId="36338"/>
    <cellStyle name="표준 10 7 4 4" xfId="36339"/>
    <cellStyle name="표준 10 7 4 5" xfId="36340"/>
    <cellStyle name="표준 10 7 5" xfId="36341"/>
    <cellStyle name="표준 10 7 5 2" xfId="36342"/>
    <cellStyle name="표준 10 7 5 2 2" xfId="36343"/>
    <cellStyle name="표준 10 7 5 2 2 2" xfId="36344"/>
    <cellStyle name="표준 10 7 5 2 2 3" xfId="36345"/>
    <cellStyle name="표준 10 7 5 2 3" xfId="36346"/>
    <cellStyle name="표준 10 7 5 2 4" xfId="36347"/>
    <cellStyle name="표준 10 7 5 3" xfId="36348"/>
    <cellStyle name="표준 10 7 5 3 2" xfId="36349"/>
    <cellStyle name="표준 10 7 5 3 3" xfId="36350"/>
    <cellStyle name="표준 10 7 5 4" xfId="36351"/>
    <cellStyle name="표준 10 7 5 5" xfId="36352"/>
    <cellStyle name="표준 10 7 6" xfId="36353"/>
    <cellStyle name="표준 10 7 6 2" xfId="36354"/>
    <cellStyle name="표준 10 7 6 2 2" xfId="36355"/>
    <cellStyle name="표준 10 7 6 2 2 2" xfId="36356"/>
    <cellStyle name="표준 10 7 6 2 2 3" xfId="36357"/>
    <cellStyle name="표준 10 7 6 2 3" xfId="36358"/>
    <cellStyle name="표준 10 7 6 2 4" xfId="36359"/>
    <cellStyle name="표준 10 7 6 3" xfId="36360"/>
    <cellStyle name="표준 10 7 6 3 2" xfId="36361"/>
    <cellStyle name="표준 10 7 6 3 3" xfId="36362"/>
    <cellStyle name="표준 10 7 6 4" xfId="36363"/>
    <cellStyle name="표준 10 7 6 5" xfId="36364"/>
    <cellStyle name="표준 10 7 7" xfId="36365"/>
    <cellStyle name="표준 10 7 7 2" xfId="36366"/>
    <cellStyle name="표준 10 7 7 2 2" xfId="36367"/>
    <cellStyle name="표준 10 7 7 2 3" xfId="36368"/>
    <cellStyle name="표준 10 7 7 3" xfId="36369"/>
    <cellStyle name="표준 10 7 7 4" xfId="36370"/>
    <cellStyle name="표준 10 7 8" xfId="36371"/>
    <cellStyle name="표준 10 7 8 2" xfId="36372"/>
    <cellStyle name="표준 10 7 8 3" xfId="36373"/>
    <cellStyle name="표준 10 7 9" xfId="36374"/>
    <cellStyle name="표준 10 8" xfId="36375"/>
    <cellStyle name="표준 10 8 10" xfId="36376"/>
    <cellStyle name="표준 10 8 2" xfId="36377"/>
    <cellStyle name="표준 10 8 2 2" xfId="36378"/>
    <cellStyle name="표준 10 8 2 2 2" xfId="36379"/>
    <cellStyle name="표준 10 8 2 2 2 2" xfId="36380"/>
    <cellStyle name="표준 10 8 2 2 2 2 2" xfId="36381"/>
    <cellStyle name="표준 10 8 2 2 2 2 3" xfId="36382"/>
    <cellStyle name="표준 10 8 2 2 2 3" xfId="36383"/>
    <cellStyle name="표준 10 8 2 2 2 4" xfId="36384"/>
    <cellStyle name="표준 10 8 2 2 3" xfId="36385"/>
    <cellStyle name="표준 10 8 2 2 3 2" xfId="36386"/>
    <cellStyle name="표준 10 8 2 2 3 3" xfId="36387"/>
    <cellStyle name="표준 10 8 2 2 4" xfId="36388"/>
    <cellStyle name="표준 10 8 2 2 5" xfId="36389"/>
    <cellStyle name="표준 10 8 2 3" xfId="36390"/>
    <cellStyle name="표준 10 8 2 3 2" xfId="36391"/>
    <cellStyle name="표준 10 8 2 3 2 2" xfId="36392"/>
    <cellStyle name="표준 10 8 2 3 2 2 2" xfId="36393"/>
    <cellStyle name="표준 10 8 2 3 2 2 3" xfId="36394"/>
    <cellStyle name="표준 10 8 2 3 2 3" xfId="36395"/>
    <cellStyle name="표준 10 8 2 3 2 4" xfId="36396"/>
    <cellStyle name="표준 10 8 2 3 3" xfId="36397"/>
    <cellStyle name="표준 10 8 2 3 3 2" xfId="36398"/>
    <cellStyle name="표준 10 8 2 3 3 3" xfId="36399"/>
    <cellStyle name="표준 10 8 2 3 4" xfId="36400"/>
    <cellStyle name="표준 10 8 2 3 5" xfId="36401"/>
    <cellStyle name="표준 10 8 2 4" xfId="36402"/>
    <cellStyle name="표준 10 8 2 4 2" xfId="36403"/>
    <cellStyle name="표준 10 8 2 4 2 2" xfId="36404"/>
    <cellStyle name="표준 10 8 2 4 2 3" xfId="36405"/>
    <cellStyle name="표준 10 8 2 4 3" xfId="36406"/>
    <cellStyle name="표준 10 8 2 4 4" xfId="36407"/>
    <cellStyle name="표준 10 8 2 5" xfId="36408"/>
    <cellStyle name="표준 10 8 2 5 2" xfId="36409"/>
    <cellStyle name="표준 10 8 2 5 3" xfId="36410"/>
    <cellStyle name="표준 10 8 2 6" xfId="36411"/>
    <cellStyle name="표준 10 8 2 7" xfId="36412"/>
    <cellStyle name="표준 10 8 3" xfId="36413"/>
    <cellStyle name="표준 10 8 3 2" xfId="36414"/>
    <cellStyle name="표준 10 8 3 2 2" xfId="36415"/>
    <cellStyle name="표준 10 8 3 2 2 2" xfId="36416"/>
    <cellStyle name="표준 10 8 3 2 2 2 2" xfId="36417"/>
    <cellStyle name="표준 10 8 3 2 2 2 3" xfId="36418"/>
    <cellStyle name="표준 10 8 3 2 2 3" xfId="36419"/>
    <cellStyle name="표준 10 8 3 2 2 4" xfId="36420"/>
    <cellStyle name="표준 10 8 3 2 3" xfId="36421"/>
    <cellStyle name="표준 10 8 3 2 3 2" xfId="36422"/>
    <cellStyle name="표준 10 8 3 2 3 3" xfId="36423"/>
    <cellStyle name="표준 10 8 3 2 4" xfId="36424"/>
    <cellStyle name="표준 10 8 3 2 5" xfId="36425"/>
    <cellStyle name="표준 10 8 3 3" xfId="36426"/>
    <cellStyle name="표준 10 8 3 3 2" xfId="36427"/>
    <cellStyle name="표준 10 8 3 3 2 2" xfId="36428"/>
    <cellStyle name="표준 10 8 3 3 2 2 2" xfId="36429"/>
    <cellStyle name="표준 10 8 3 3 2 2 3" xfId="36430"/>
    <cellStyle name="표준 10 8 3 3 2 3" xfId="36431"/>
    <cellStyle name="표준 10 8 3 3 2 4" xfId="36432"/>
    <cellStyle name="표준 10 8 3 3 3" xfId="36433"/>
    <cellStyle name="표준 10 8 3 3 3 2" xfId="36434"/>
    <cellStyle name="표준 10 8 3 3 3 3" xfId="36435"/>
    <cellStyle name="표준 10 8 3 3 4" xfId="36436"/>
    <cellStyle name="표준 10 8 3 3 5" xfId="36437"/>
    <cellStyle name="표준 10 8 3 4" xfId="36438"/>
    <cellStyle name="표준 10 8 3 4 2" xfId="36439"/>
    <cellStyle name="표준 10 8 3 4 2 2" xfId="36440"/>
    <cellStyle name="표준 10 8 3 4 2 3" xfId="36441"/>
    <cellStyle name="표준 10 8 3 4 3" xfId="36442"/>
    <cellStyle name="표준 10 8 3 4 4" xfId="36443"/>
    <cellStyle name="표준 10 8 3 5" xfId="36444"/>
    <cellStyle name="표준 10 8 3 5 2" xfId="36445"/>
    <cellStyle name="표준 10 8 3 5 3" xfId="36446"/>
    <cellStyle name="표준 10 8 3 6" xfId="36447"/>
    <cellStyle name="표준 10 8 3 7" xfId="36448"/>
    <cellStyle name="표준 10 8 4" xfId="36449"/>
    <cellStyle name="표준 10 8 4 2" xfId="36450"/>
    <cellStyle name="표준 10 8 4 2 2" xfId="36451"/>
    <cellStyle name="표준 10 8 4 2 2 2" xfId="36452"/>
    <cellStyle name="표준 10 8 4 2 2 3" xfId="36453"/>
    <cellStyle name="표준 10 8 4 2 3" xfId="36454"/>
    <cellStyle name="표준 10 8 4 2 4" xfId="36455"/>
    <cellStyle name="표준 10 8 4 3" xfId="36456"/>
    <cellStyle name="표준 10 8 4 3 2" xfId="36457"/>
    <cellStyle name="표준 10 8 4 3 3" xfId="36458"/>
    <cellStyle name="표준 10 8 4 4" xfId="36459"/>
    <cellStyle name="표준 10 8 4 5" xfId="36460"/>
    <cellStyle name="표준 10 8 5" xfId="36461"/>
    <cellStyle name="표준 10 8 5 2" xfId="36462"/>
    <cellStyle name="표준 10 8 5 2 2" xfId="36463"/>
    <cellStyle name="표준 10 8 5 2 2 2" xfId="36464"/>
    <cellStyle name="표준 10 8 5 2 2 3" xfId="36465"/>
    <cellStyle name="표준 10 8 5 2 3" xfId="36466"/>
    <cellStyle name="표준 10 8 5 2 4" xfId="36467"/>
    <cellStyle name="표준 10 8 5 3" xfId="36468"/>
    <cellStyle name="표준 10 8 5 3 2" xfId="36469"/>
    <cellStyle name="표준 10 8 5 3 3" xfId="36470"/>
    <cellStyle name="표준 10 8 5 4" xfId="36471"/>
    <cellStyle name="표준 10 8 5 5" xfId="36472"/>
    <cellStyle name="표준 10 8 6" xfId="36473"/>
    <cellStyle name="표준 10 8 6 2" xfId="36474"/>
    <cellStyle name="표준 10 8 6 2 2" xfId="36475"/>
    <cellStyle name="표준 10 8 6 2 2 2" xfId="36476"/>
    <cellStyle name="표준 10 8 6 2 2 3" xfId="36477"/>
    <cellStyle name="표준 10 8 6 2 3" xfId="36478"/>
    <cellStyle name="표준 10 8 6 2 4" xfId="36479"/>
    <cellStyle name="표준 10 8 6 3" xfId="36480"/>
    <cellStyle name="표준 10 8 6 3 2" xfId="36481"/>
    <cellStyle name="표준 10 8 6 3 3" xfId="36482"/>
    <cellStyle name="표준 10 8 6 4" xfId="36483"/>
    <cellStyle name="표준 10 8 6 5" xfId="36484"/>
    <cellStyle name="표준 10 8 7" xfId="36485"/>
    <cellStyle name="표준 10 8 7 2" xfId="36486"/>
    <cellStyle name="표준 10 8 7 2 2" xfId="36487"/>
    <cellStyle name="표준 10 8 7 2 3" xfId="36488"/>
    <cellStyle name="표준 10 8 7 3" xfId="36489"/>
    <cellStyle name="표준 10 8 7 4" xfId="36490"/>
    <cellStyle name="표준 10 8 8" xfId="36491"/>
    <cellStyle name="표준 10 8 8 2" xfId="36492"/>
    <cellStyle name="표준 10 8 8 3" xfId="36493"/>
    <cellStyle name="표준 10 8 9" xfId="36494"/>
    <cellStyle name="표준 10 9" xfId="36495"/>
    <cellStyle name="표준 10 9 2" xfId="36496"/>
    <cellStyle name="표준 10 9 2 2" xfId="36497"/>
    <cellStyle name="표준 10 9 2 2 2" xfId="36498"/>
    <cellStyle name="표준 10 9 2 2 2 2" xfId="36499"/>
    <cellStyle name="표준 10 9 2 2 2 3" xfId="36500"/>
    <cellStyle name="표준 10 9 2 2 3" xfId="36501"/>
    <cellStyle name="표준 10 9 2 2 4" xfId="36502"/>
    <cellStyle name="표준 10 9 2 3" xfId="36503"/>
    <cellStyle name="표준 10 9 2 3 2" xfId="36504"/>
    <cellStyle name="표준 10 9 2 3 3" xfId="36505"/>
    <cellStyle name="표준 10 9 2 4" xfId="36506"/>
    <cellStyle name="표준 10 9 2 5" xfId="36507"/>
    <cellStyle name="표준 10 9 3" xfId="36508"/>
    <cellStyle name="표준 10 9 3 2" xfId="36509"/>
    <cellStyle name="표준 10 9 3 2 2" xfId="36510"/>
    <cellStyle name="표준 10 9 3 2 2 2" xfId="36511"/>
    <cellStyle name="표준 10 9 3 2 2 3" xfId="36512"/>
    <cellStyle name="표준 10 9 3 2 3" xfId="36513"/>
    <cellStyle name="표준 10 9 3 2 4" xfId="36514"/>
    <cellStyle name="표준 10 9 3 3" xfId="36515"/>
    <cellStyle name="표준 10 9 3 3 2" xfId="36516"/>
    <cellStyle name="표준 10 9 3 3 3" xfId="36517"/>
    <cellStyle name="표준 10 9 3 4" xfId="36518"/>
    <cellStyle name="표준 10 9 3 5" xfId="36519"/>
    <cellStyle name="표준 10 9 4" xfId="36520"/>
    <cellStyle name="표준 10 9 4 2" xfId="36521"/>
    <cellStyle name="표준 10 9 4 2 2" xfId="36522"/>
    <cellStyle name="표준 10 9 4 2 3" xfId="36523"/>
    <cellStyle name="표준 10 9 4 3" xfId="36524"/>
    <cellStyle name="표준 10 9 4 4" xfId="36525"/>
    <cellStyle name="표준 10 9 5" xfId="36526"/>
    <cellStyle name="표준 10 9 5 2" xfId="36527"/>
    <cellStyle name="표준 10 9 5 3" xfId="36528"/>
    <cellStyle name="표준 10 9 6" xfId="36529"/>
    <cellStyle name="표준 10 9 7" xfId="36530"/>
    <cellStyle name="표준 10_Sheet3" xfId="36531"/>
    <cellStyle name="표준 100" xfId="36532"/>
    <cellStyle name="표준 101" xfId="36533"/>
    <cellStyle name="표준 102" xfId="36534"/>
    <cellStyle name="표준 103" xfId="36535"/>
    <cellStyle name="표준 104" xfId="36536"/>
    <cellStyle name="표준 105" xfId="36537"/>
    <cellStyle name="표준 106" xfId="36538"/>
    <cellStyle name="표준 107" xfId="36539"/>
    <cellStyle name="표준 108" xfId="36540"/>
    <cellStyle name="표준 109" xfId="36541"/>
    <cellStyle name="표준 11" xfId="36542"/>
    <cellStyle name="표준 11 10" xfId="36543"/>
    <cellStyle name="표준 11 10 2" xfId="36544"/>
    <cellStyle name="표준 11 10 2 2" xfId="36545"/>
    <cellStyle name="표준 11 10 2 2 2" xfId="36546"/>
    <cellStyle name="표준 11 10 2 2 3" xfId="36547"/>
    <cellStyle name="표준 11 10 2 3" xfId="36548"/>
    <cellStyle name="표준 11 10 2 4" xfId="36549"/>
    <cellStyle name="표준 11 10 3" xfId="36550"/>
    <cellStyle name="표준 11 10 3 2" xfId="36551"/>
    <cellStyle name="표준 11 10 3 3" xfId="36552"/>
    <cellStyle name="표준 11 10 4" xfId="36553"/>
    <cellStyle name="표준 11 10 5" xfId="36554"/>
    <cellStyle name="표준 11 11" xfId="36555"/>
    <cellStyle name="표준 11 11 2" xfId="36556"/>
    <cellStyle name="표준 11 11 2 2" xfId="36557"/>
    <cellStyle name="표준 11 11 2 3" xfId="36558"/>
    <cellStyle name="표준 11 11 3" xfId="36559"/>
    <cellStyle name="표준 11 11 4" xfId="36560"/>
    <cellStyle name="표준 11 12" xfId="36561"/>
    <cellStyle name="표준 11 12 2" xfId="36562"/>
    <cellStyle name="표준 11 12 3" xfId="36563"/>
    <cellStyle name="표준 11 13" xfId="36564"/>
    <cellStyle name="표준 11 14" xfId="36565"/>
    <cellStyle name="표준 11 2" xfId="36566"/>
    <cellStyle name="표준 11 2 10" xfId="36567"/>
    <cellStyle name="표준 11 2 10 2" xfId="36568"/>
    <cellStyle name="표준 11 2 10 2 2" xfId="36569"/>
    <cellStyle name="표준 11 2 10 2 3" xfId="36570"/>
    <cellStyle name="표준 11 2 10 3" xfId="36571"/>
    <cellStyle name="표준 11 2 10 4" xfId="36572"/>
    <cellStyle name="표준 11 2 11" xfId="36573"/>
    <cellStyle name="표준 11 2 11 2" xfId="36574"/>
    <cellStyle name="표준 11 2 11 3" xfId="36575"/>
    <cellStyle name="표준 11 2 12" xfId="36576"/>
    <cellStyle name="표준 11 2 13" xfId="36577"/>
    <cellStyle name="표준 11 2 2" xfId="36578"/>
    <cellStyle name="표준 11 2 2 10" xfId="36579"/>
    <cellStyle name="표준 11 2 2 2" xfId="36580"/>
    <cellStyle name="표준 11 2 2 2 2" xfId="36581"/>
    <cellStyle name="표준 11 2 2 2 2 2" xfId="36582"/>
    <cellStyle name="표준 11 2 2 2 2 2 2" xfId="36583"/>
    <cellStyle name="표준 11 2 2 2 2 2 2 2" xfId="36584"/>
    <cellStyle name="표준 11 2 2 2 2 2 2 3" xfId="36585"/>
    <cellStyle name="표준 11 2 2 2 2 2 3" xfId="36586"/>
    <cellStyle name="표준 11 2 2 2 2 2 4" xfId="36587"/>
    <cellStyle name="표준 11 2 2 2 2 3" xfId="36588"/>
    <cellStyle name="표준 11 2 2 2 2 3 2" xfId="36589"/>
    <cellStyle name="표준 11 2 2 2 2 3 3" xfId="36590"/>
    <cellStyle name="표준 11 2 2 2 2 4" xfId="36591"/>
    <cellStyle name="표준 11 2 2 2 2 5" xfId="36592"/>
    <cellStyle name="표준 11 2 2 2 3" xfId="36593"/>
    <cellStyle name="표준 11 2 2 2 3 2" xfId="36594"/>
    <cellStyle name="표준 11 2 2 2 3 2 2" xfId="36595"/>
    <cellStyle name="표준 11 2 2 2 3 2 2 2" xfId="36596"/>
    <cellStyle name="표준 11 2 2 2 3 2 2 3" xfId="36597"/>
    <cellStyle name="표준 11 2 2 2 3 2 3" xfId="36598"/>
    <cellStyle name="표준 11 2 2 2 3 2 4" xfId="36599"/>
    <cellStyle name="표준 11 2 2 2 3 3" xfId="36600"/>
    <cellStyle name="표준 11 2 2 2 3 3 2" xfId="36601"/>
    <cellStyle name="표준 11 2 2 2 3 3 3" xfId="36602"/>
    <cellStyle name="표준 11 2 2 2 3 4" xfId="36603"/>
    <cellStyle name="표준 11 2 2 2 3 5" xfId="36604"/>
    <cellStyle name="표준 11 2 2 2 4" xfId="36605"/>
    <cellStyle name="표준 11 2 2 2 4 2" xfId="36606"/>
    <cellStyle name="표준 11 2 2 2 4 2 2" xfId="36607"/>
    <cellStyle name="표준 11 2 2 2 4 2 3" xfId="36608"/>
    <cellStyle name="표준 11 2 2 2 4 3" xfId="36609"/>
    <cellStyle name="표준 11 2 2 2 4 4" xfId="36610"/>
    <cellStyle name="표준 11 2 2 2 5" xfId="36611"/>
    <cellStyle name="표준 11 2 2 2 5 2" xfId="36612"/>
    <cellStyle name="표준 11 2 2 2 5 3" xfId="36613"/>
    <cellStyle name="표준 11 2 2 2 6" xfId="36614"/>
    <cellStyle name="표준 11 2 2 2 7" xfId="36615"/>
    <cellStyle name="표준 11 2 2 3" xfId="36616"/>
    <cellStyle name="표준 11 2 2 3 2" xfId="36617"/>
    <cellStyle name="표준 11 2 2 3 2 2" xfId="36618"/>
    <cellStyle name="표준 11 2 2 3 2 2 2" xfId="36619"/>
    <cellStyle name="표준 11 2 2 3 2 2 2 2" xfId="36620"/>
    <cellStyle name="표준 11 2 2 3 2 2 2 3" xfId="36621"/>
    <cellStyle name="표준 11 2 2 3 2 2 3" xfId="36622"/>
    <cellStyle name="표준 11 2 2 3 2 2 4" xfId="36623"/>
    <cellStyle name="표준 11 2 2 3 2 3" xfId="36624"/>
    <cellStyle name="표준 11 2 2 3 2 3 2" xfId="36625"/>
    <cellStyle name="표준 11 2 2 3 2 3 3" xfId="36626"/>
    <cellStyle name="표준 11 2 2 3 2 4" xfId="36627"/>
    <cellStyle name="표준 11 2 2 3 2 5" xfId="36628"/>
    <cellStyle name="표준 11 2 2 3 3" xfId="36629"/>
    <cellStyle name="표준 11 2 2 3 3 2" xfId="36630"/>
    <cellStyle name="표준 11 2 2 3 3 2 2" xfId="36631"/>
    <cellStyle name="표준 11 2 2 3 3 2 2 2" xfId="36632"/>
    <cellStyle name="표준 11 2 2 3 3 2 2 3" xfId="36633"/>
    <cellStyle name="표준 11 2 2 3 3 2 3" xfId="36634"/>
    <cellStyle name="표준 11 2 2 3 3 2 4" xfId="36635"/>
    <cellStyle name="표준 11 2 2 3 3 3" xfId="36636"/>
    <cellStyle name="표준 11 2 2 3 3 3 2" xfId="36637"/>
    <cellStyle name="표준 11 2 2 3 3 3 3" xfId="36638"/>
    <cellStyle name="표준 11 2 2 3 3 4" xfId="36639"/>
    <cellStyle name="표준 11 2 2 3 3 5" xfId="36640"/>
    <cellStyle name="표준 11 2 2 3 4" xfId="36641"/>
    <cellStyle name="표준 11 2 2 3 4 2" xfId="36642"/>
    <cellStyle name="표준 11 2 2 3 4 2 2" xfId="36643"/>
    <cellStyle name="표준 11 2 2 3 4 2 3" xfId="36644"/>
    <cellStyle name="표준 11 2 2 3 4 3" xfId="36645"/>
    <cellStyle name="표준 11 2 2 3 4 4" xfId="36646"/>
    <cellStyle name="표준 11 2 2 3 5" xfId="36647"/>
    <cellStyle name="표준 11 2 2 3 5 2" xfId="36648"/>
    <cellStyle name="표준 11 2 2 3 5 3" xfId="36649"/>
    <cellStyle name="표준 11 2 2 3 6" xfId="36650"/>
    <cellStyle name="표준 11 2 2 3 7" xfId="36651"/>
    <cellStyle name="표준 11 2 2 4" xfId="36652"/>
    <cellStyle name="표준 11 2 2 4 2" xfId="36653"/>
    <cellStyle name="표준 11 2 2 4 2 2" xfId="36654"/>
    <cellStyle name="표준 11 2 2 4 2 2 2" xfId="36655"/>
    <cellStyle name="표준 11 2 2 4 2 2 3" xfId="36656"/>
    <cellStyle name="표준 11 2 2 4 2 3" xfId="36657"/>
    <cellStyle name="표준 11 2 2 4 2 4" xfId="36658"/>
    <cellStyle name="표준 11 2 2 4 3" xfId="36659"/>
    <cellStyle name="표준 11 2 2 4 3 2" xfId="36660"/>
    <cellStyle name="표준 11 2 2 4 3 3" xfId="36661"/>
    <cellStyle name="표준 11 2 2 4 4" xfId="36662"/>
    <cellStyle name="표준 11 2 2 4 5" xfId="36663"/>
    <cellStyle name="표준 11 2 2 5" xfId="36664"/>
    <cellStyle name="표준 11 2 2 5 2" xfId="36665"/>
    <cellStyle name="표준 11 2 2 5 2 2" xfId="36666"/>
    <cellStyle name="표준 11 2 2 5 2 2 2" xfId="36667"/>
    <cellStyle name="표준 11 2 2 5 2 2 3" xfId="36668"/>
    <cellStyle name="표준 11 2 2 5 2 3" xfId="36669"/>
    <cellStyle name="표준 11 2 2 5 2 4" xfId="36670"/>
    <cellStyle name="표준 11 2 2 5 3" xfId="36671"/>
    <cellStyle name="표준 11 2 2 5 3 2" xfId="36672"/>
    <cellStyle name="표준 11 2 2 5 3 3" xfId="36673"/>
    <cellStyle name="표준 11 2 2 5 4" xfId="36674"/>
    <cellStyle name="표준 11 2 2 5 5" xfId="36675"/>
    <cellStyle name="표준 11 2 2 6" xfId="36676"/>
    <cellStyle name="표준 11 2 2 6 2" xfId="36677"/>
    <cellStyle name="표준 11 2 2 6 2 2" xfId="36678"/>
    <cellStyle name="표준 11 2 2 6 2 2 2" xfId="36679"/>
    <cellStyle name="표준 11 2 2 6 2 2 3" xfId="36680"/>
    <cellStyle name="표준 11 2 2 6 2 3" xfId="36681"/>
    <cellStyle name="표준 11 2 2 6 2 4" xfId="36682"/>
    <cellStyle name="표준 11 2 2 6 3" xfId="36683"/>
    <cellStyle name="표준 11 2 2 6 3 2" xfId="36684"/>
    <cellStyle name="표준 11 2 2 6 3 3" xfId="36685"/>
    <cellStyle name="표준 11 2 2 6 4" xfId="36686"/>
    <cellStyle name="표준 11 2 2 6 5" xfId="36687"/>
    <cellStyle name="표준 11 2 2 7" xfId="36688"/>
    <cellStyle name="표준 11 2 2 7 2" xfId="36689"/>
    <cellStyle name="표준 11 2 2 7 2 2" xfId="36690"/>
    <cellStyle name="표준 11 2 2 7 2 3" xfId="36691"/>
    <cellStyle name="표준 11 2 2 7 3" xfId="36692"/>
    <cellStyle name="표준 11 2 2 7 4" xfId="36693"/>
    <cellStyle name="표준 11 2 2 8" xfId="36694"/>
    <cellStyle name="표준 11 2 2 8 2" xfId="36695"/>
    <cellStyle name="표준 11 2 2 8 3" xfId="36696"/>
    <cellStyle name="표준 11 2 2 9" xfId="36697"/>
    <cellStyle name="표준 11 2 3" xfId="36698"/>
    <cellStyle name="표준 11 2 3 10" xfId="36699"/>
    <cellStyle name="표준 11 2 3 2" xfId="36700"/>
    <cellStyle name="표준 11 2 3 2 2" xfId="36701"/>
    <cellStyle name="표준 11 2 3 2 2 2" xfId="36702"/>
    <cellStyle name="표준 11 2 3 2 2 2 2" xfId="36703"/>
    <cellStyle name="표준 11 2 3 2 2 2 2 2" xfId="36704"/>
    <cellStyle name="표준 11 2 3 2 2 2 2 3" xfId="36705"/>
    <cellStyle name="표준 11 2 3 2 2 2 3" xfId="36706"/>
    <cellStyle name="표준 11 2 3 2 2 2 4" xfId="36707"/>
    <cellStyle name="표준 11 2 3 2 2 3" xfId="36708"/>
    <cellStyle name="표준 11 2 3 2 2 3 2" xfId="36709"/>
    <cellStyle name="표준 11 2 3 2 2 3 3" xfId="36710"/>
    <cellStyle name="표준 11 2 3 2 2 4" xfId="36711"/>
    <cellStyle name="표준 11 2 3 2 2 5" xfId="36712"/>
    <cellStyle name="표준 11 2 3 2 3" xfId="36713"/>
    <cellStyle name="표준 11 2 3 2 3 2" xfId="36714"/>
    <cellStyle name="표준 11 2 3 2 3 2 2" xfId="36715"/>
    <cellStyle name="표준 11 2 3 2 3 2 2 2" xfId="36716"/>
    <cellStyle name="표준 11 2 3 2 3 2 2 3" xfId="36717"/>
    <cellStyle name="표준 11 2 3 2 3 2 3" xfId="36718"/>
    <cellStyle name="표준 11 2 3 2 3 2 4" xfId="36719"/>
    <cellStyle name="표준 11 2 3 2 3 3" xfId="36720"/>
    <cellStyle name="표준 11 2 3 2 3 3 2" xfId="36721"/>
    <cellStyle name="표준 11 2 3 2 3 3 3" xfId="36722"/>
    <cellStyle name="표준 11 2 3 2 3 4" xfId="36723"/>
    <cellStyle name="표준 11 2 3 2 3 5" xfId="36724"/>
    <cellStyle name="표준 11 2 3 2 4" xfId="36725"/>
    <cellStyle name="표준 11 2 3 2 4 2" xfId="36726"/>
    <cellStyle name="표준 11 2 3 2 4 2 2" xfId="36727"/>
    <cellStyle name="표준 11 2 3 2 4 2 3" xfId="36728"/>
    <cellStyle name="표준 11 2 3 2 4 3" xfId="36729"/>
    <cellStyle name="표준 11 2 3 2 4 4" xfId="36730"/>
    <cellStyle name="표준 11 2 3 2 5" xfId="36731"/>
    <cellStyle name="표준 11 2 3 2 5 2" xfId="36732"/>
    <cellStyle name="표준 11 2 3 2 5 3" xfId="36733"/>
    <cellStyle name="표준 11 2 3 2 6" xfId="36734"/>
    <cellStyle name="표준 11 2 3 2 7" xfId="36735"/>
    <cellStyle name="표준 11 2 3 3" xfId="36736"/>
    <cellStyle name="표준 11 2 3 3 2" xfId="36737"/>
    <cellStyle name="표준 11 2 3 3 2 2" xfId="36738"/>
    <cellStyle name="표준 11 2 3 3 2 2 2" xfId="36739"/>
    <cellStyle name="표준 11 2 3 3 2 2 2 2" xfId="36740"/>
    <cellStyle name="표준 11 2 3 3 2 2 2 3" xfId="36741"/>
    <cellStyle name="표준 11 2 3 3 2 2 3" xfId="36742"/>
    <cellStyle name="표준 11 2 3 3 2 2 4" xfId="36743"/>
    <cellStyle name="표준 11 2 3 3 2 3" xfId="36744"/>
    <cellStyle name="표준 11 2 3 3 2 3 2" xfId="36745"/>
    <cellStyle name="표준 11 2 3 3 2 3 3" xfId="36746"/>
    <cellStyle name="표준 11 2 3 3 2 4" xfId="36747"/>
    <cellStyle name="표준 11 2 3 3 2 5" xfId="36748"/>
    <cellStyle name="표준 11 2 3 3 3" xfId="36749"/>
    <cellStyle name="표준 11 2 3 3 3 2" xfId="36750"/>
    <cellStyle name="표준 11 2 3 3 3 2 2" xfId="36751"/>
    <cellStyle name="표준 11 2 3 3 3 2 2 2" xfId="36752"/>
    <cellStyle name="표준 11 2 3 3 3 2 2 3" xfId="36753"/>
    <cellStyle name="표준 11 2 3 3 3 2 3" xfId="36754"/>
    <cellStyle name="표준 11 2 3 3 3 2 4" xfId="36755"/>
    <cellStyle name="표준 11 2 3 3 3 3" xfId="36756"/>
    <cellStyle name="표준 11 2 3 3 3 3 2" xfId="36757"/>
    <cellStyle name="표준 11 2 3 3 3 3 3" xfId="36758"/>
    <cellStyle name="표준 11 2 3 3 3 4" xfId="36759"/>
    <cellStyle name="표준 11 2 3 3 3 5" xfId="36760"/>
    <cellStyle name="표준 11 2 3 3 4" xfId="36761"/>
    <cellStyle name="표준 11 2 3 3 4 2" xfId="36762"/>
    <cellStyle name="표준 11 2 3 3 4 2 2" xfId="36763"/>
    <cellStyle name="표준 11 2 3 3 4 2 3" xfId="36764"/>
    <cellStyle name="표준 11 2 3 3 4 3" xfId="36765"/>
    <cellStyle name="표준 11 2 3 3 4 4" xfId="36766"/>
    <cellStyle name="표준 11 2 3 3 5" xfId="36767"/>
    <cellStyle name="표준 11 2 3 3 5 2" xfId="36768"/>
    <cellStyle name="표준 11 2 3 3 5 3" xfId="36769"/>
    <cellStyle name="표준 11 2 3 3 6" xfId="36770"/>
    <cellStyle name="표준 11 2 3 3 7" xfId="36771"/>
    <cellStyle name="표준 11 2 3 4" xfId="36772"/>
    <cellStyle name="표준 11 2 3 4 2" xfId="36773"/>
    <cellStyle name="표준 11 2 3 4 2 2" xfId="36774"/>
    <cellStyle name="표준 11 2 3 4 2 2 2" xfId="36775"/>
    <cellStyle name="표준 11 2 3 4 2 2 3" xfId="36776"/>
    <cellStyle name="표준 11 2 3 4 2 3" xfId="36777"/>
    <cellStyle name="표준 11 2 3 4 2 4" xfId="36778"/>
    <cellStyle name="표준 11 2 3 4 3" xfId="36779"/>
    <cellStyle name="표준 11 2 3 4 3 2" xfId="36780"/>
    <cellStyle name="표준 11 2 3 4 3 3" xfId="36781"/>
    <cellStyle name="표준 11 2 3 4 4" xfId="36782"/>
    <cellStyle name="표준 11 2 3 4 5" xfId="36783"/>
    <cellStyle name="표준 11 2 3 5" xfId="36784"/>
    <cellStyle name="표준 11 2 3 5 2" xfId="36785"/>
    <cellStyle name="표준 11 2 3 5 2 2" xfId="36786"/>
    <cellStyle name="표준 11 2 3 5 2 2 2" xfId="36787"/>
    <cellStyle name="표준 11 2 3 5 2 2 3" xfId="36788"/>
    <cellStyle name="표준 11 2 3 5 2 3" xfId="36789"/>
    <cellStyle name="표준 11 2 3 5 2 4" xfId="36790"/>
    <cellStyle name="표준 11 2 3 5 3" xfId="36791"/>
    <cellStyle name="표준 11 2 3 5 3 2" xfId="36792"/>
    <cellStyle name="표준 11 2 3 5 3 3" xfId="36793"/>
    <cellStyle name="표준 11 2 3 5 4" xfId="36794"/>
    <cellStyle name="표준 11 2 3 5 5" xfId="36795"/>
    <cellStyle name="표준 11 2 3 6" xfId="36796"/>
    <cellStyle name="표준 11 2 3 6 2" xfId="36797"/>
    <cellStyle name="표준 11 2 3 6 2 2" xfId="36798"/>
    <cellStyle name="표준 11 2 3 6 2 2 2" xfId="36799"/>
    <cellStyle name="표준 11 2 3 6 2 2 3" xfId="36800"/>
    <cellStyle name="표준 11 2 3 6 2 3" xfId="36801"/>
    <cellStyle name="표준 11 2 3 6 2 4" xfId="36802"/>
    <cellStyle name="표준 11 2 3 6 3" xfId="36803"/>
    <cellStyle name="표준 11 2 3 6 3 2" xfId="36804"/>
    <cellStyle name="표준 11 2 3 6 3 3" xfId="36805"/>
    <cellStyle name="표준 11 2 3 6 4" xfId="36806"/>
    <cellStyle name="표준 11 2 3 6 5" xfId="36807"/>
    <cellStyle name="표준 11 2 3 7" xfId="36808"/>
    <cellStyle name="표준 11 2 3 7 2" xfId="36809"/>
    <cellStyle name="표준 11 2 3 7 2 2" xfId="36810"/>
    <cellStyle name="표준 11 2 3 7 2 3" xfId="36811"/>
    <cellStyle name="표준 11 2 3 7 3" xfId="36812"/>
    <cellStyle name="표준 11 2 3 7 4" xfId="36813"/>
    <cellStyle name="표준 11 2 3 8" xfId="36814"/>
    <cellStyle name="표준 11 2 3 8 2" xfId="36815"/>
    <cellStyle name="표준 11 2 3 8 3" xfId="36816"/>
    <cellStyle name="표준 11 2 3 9" xfId="36817"/>
    <cellStyle name="표준 11 2 4" xfId="36818"/>
    <cellStyle name="표준 11 2 4 10" xfId="36819"/>
    <cellStyle name="표준 11 2 4 2" xfId="36820"/>
    <cellStyle name="표준 11 2 4 2 2" xfId="36821"/>
    <cellStyle name="표준 11 2 4 2 2 2" xfId="36822"/>
    <cellStyle name="표준 11 2 4 2 2 2 2" xfId="36823"/>
    <cellStyle name="표준 11 2 4 2 2 2 2 2" xfId="36824"/>
    <cellStyle name="표준 11 2 4 2 2 2 2 3" xfId="36825"/>
    <cellStyle name="표준 11 2 4 2 2 2 3" xfId="36826"/>
    <cellStyle name="표준 11 2 4 2 2 2 4" xfId="36827"/>
    <cellStyle name="표준 11 2 4 2 2 3" xfId="36828"/>
    <cellStyle name="표준 11 2 4 2 2 3 2" xfId="36829"/>
    <cellStyle name="표준 11 2 4 2 2 3 3" xfId="36830"/>
    <cellStyle name="표준 11 2 4 2 2 4" xfId="36831"/>
    <cellStyle name="표준 11 2 4 2 2 5" xfId="36832"/>
    <cellStyle name="표준 11 2 4 2 3" xfId="36833"/>
    <cellStyle name="표준 11 2 4 2 3 2" xfId="36834"/>
    <cellStyle name="표준 11 2 4 2 3 2 2" xfId="36835"/>
    <cellStyle name="표준 11 2 4 2 3 2 2 2" xfId="36836"/>
    <cellStyle name="표준 11 2 4 2 3 2 2 3" xfId="36837"/>
    <cellStyle name="표준 11 2 4 2 3 2 3" xfId="36838"/>
    <cellStyle name="표준 11 2 4 2 3 2 4" xfId="36839"/>
    <cellStyle name="표준 11 2 4 2 3 3" xfId="36840"/>
    <cellStyle name="표준 11 2 4 2 3 3 2" xfId="36841"/>
    <cellStyle name="표준 11 2 4 2 3 3 3" xfId="36842"/>
    <cellStyle name="표준 11 2 4 2 3 4" xfId="36843"/>
    <cellStyle name="표준 11 2 4 2 3 5" xfId="36844"/>
    <cellStyle name="표준 11 2 4 2 4" xfId="36845"/>
    <cellStyle name="표준 11 2 4 2 4 2" xfId="36846"/>
    <cellStyle name="표준 11 2 4 2 4 2 2" xfId="36847"/>
    <cellStyle name="표준 11 2 4 2 4 2 3" xfId="36848"/>
    <cellStyle name="표준 11 2 4 2 4 3" xfId="36849"/>
    <cellStyle name="표준 11 2 4 2 4 4" xfId="36850"/>
    <cellStyle name="표준 11 2 4 2 5" xfId="36851"/>
    <cellStyle name="표준 11 2 4 2 5 2" xfId="36852"/>
    <cellStyle name="표준 11 2 4 2 5 3" xfId="36853"/>
    <cellStyle name="표준 11 2 4 2 6" xfId="36854"/>
    <cellStyle name="표준 11 2 4 2 7" xfId="36855"/>
    <cellStyle name="표준 11 2 4 3" xfId="36856"/>
    <cellStyle name="표준 11 2 4 3 2" xfId="36857"/>
    <cellStyle name="표준 11 2 4 3 2 2" xfId="36858"/>
    <cellStyle name="표준 11 2 4 3 2 2 2" xfId="36859"/>
    <cellStyle name="표준 11 2 4 3 2 2 2 2" xfId="36860"/>
    <cellStyle name="표준 11 2 4 3 2 2 2 3" xfId="36861"/>
    <cellStyle name="표준 11 2 4 3 2 2 3" xfId="36862"/>
    <cellStyle name="표준 11 2 4 3 2 2 4" xfId="36863"/>
    <cellStyle name="표준 11 2 4 3 2 3" xfId="36864"/>
    <cellStyle name="표준 11 2 4 3 2 3 2" xfId="36865"/>
    <cellStyle name="표준 11 2 4 3 2 3 3" xfId="36866"/>
    <cellStyle name="표준 11 2 4 3 2 4" xfId="36867"/>
    <cellStyle name="표준 11 2 4 3 2 5" xfId="36868"/>
    <cellStyle name="표준 11 2 4 3 3" xfId="36869"/>
    <cellStyle name="표준 11 2 4 3 3 2" xfId="36870"/>
    <cellStyle name="표준 11 2 4 3 3 2 2" xfId="36871"/>
    <cellStyle name="표준 11 2 4 3 3 2 2 2" xfId="36872"/>
    <cellStyle name="표준 11 2 4 3 3 2 2 3" xfId="36873"/>
    <cellStyle name="표준 11 2 4 3 3 2 3" xfId="36874"/>
    <cellStyle name="표준 11 2 4 3 3 2 4" xfId="36875"/>
    <cellStyle name="표준 11 2 4 3 3 3" xfId="36876"/>
    <cellStyle name="표준 11 2 4 3 3 3 2" xfId="36877"/>
    <cellStyle name="표준 11 2 4 3 3 3 3" xfId="36878"/>
    <cellStyle name="표준 11 2 4 3 3 4" xfId="36879"/>
    <cellStyle name="표준 11 2 4 3 3 5" xfId="36880"/>
    <cellStyle name="표준 11 2 4 3 4" xfId="36881"/>
    <cellStyle name="표준 11 2 4 3 4 2" xfId="36882"/>
    <cellStyle name="표준 11 2 4 3 4 2 2" xfId="36883"/>
    <cellStyle name="표준 11 2 4 3 4 2 3" xfId="36884"/>
    <cellStyle name="표준 11 2 4 3 4 3" xfId="36885"/>
    <cellStyle name="표준 11 2 4 3 4 4" xfId="36886"/>
    <cellStyle name="표준 11 2 4 3 5" xfId="36887"/>
    <cellStyle name="표준 11 2 4 3 5 2" xfId="36888"/>
    <cellStyle name="표준 11 2 4 3 5 3" xfId="36889"/>
    <cellStyle name="표준 11 2 4 3 6" xfId="36890"/>
    <cellStyle name="표준 11 2 4 3 7" xfId="36891"/>
    <cellStyle name="표준 11 2 4 4" xfId="36892"/>
    <cellStyle name="표준 11 2 4 4 2" xfId="36893"/>
    <cellStyle name="표준 11 2 4 4 2 2" xfId="36894"/>
    <cellStyle name="표준 11 2 4 4 2 2 2" xfId="36895"/>
    <cellStyle name="표준 11 2 4 4 2 2 3" xfId="36896"/>
    <cellStyle name="표준 11 2 4 4 2 3" xfId="36897"/>
    <cellStyle name="표준 11 2 4 4 2 4" xfId="36898"/>
    <cellStyle name="표준 11 2 4 4 3" xfId="36899"/>
    <cellStyle name="표준 11 2 4 4 3 2" xfId="36900"/>
    <cellStyle name="표준 11 2 4 4 3 3" xfId="36901"/>
    <cellStyle name="표준 11 2 4 4 4" xfId="36902"/>
    <cellStyle name="표준 11 2 4 4 5" xfId="36903"/>
    <cellStyle name="표준 11 2 4 5" xfId="36904"/>
    <cellStyle name="표준 11 2 4 5 2" xfId="36905"/>
    <cellStyle name="표준 11 2 4 5 2 2" xfId="36906"/>
    <cellStyle name="표준 11 2 4 5 2 2 2" xfId="36907"/>
    <cellStyle name="표준 11 2 4 5 2 2 3" xfId="36908"/>
    <cellStyle name="표준 11 2 4 5 2 3" xfId="36909"/>
    <cellStyle name="표준 11 2 4 5 2 4" xfId="36910"/>
    <cellStyle name="표준 11 2 4 5 3" xfId="36911"/>
    <cellStyle name="표준 11 2 4 5 3 2" xfId="36912"/>
    <cellStyle name="표준 11 2 4 5 3 3" xfId="36913"/>
    <cellStyle name="표준 11 2 4 5 4" xfId="36914"/>
    <cellStyle name="표준 11 2 4 5 5" xfId="36915"/>
    <cellStyle name="표준 11 2 4 6" xfId="36916"/>
    <cellStyle name="표준 11 2 4 6 2" xfId="36917"/>
    <cellStyle name="표준 11 2 4 6 2 2" xfId="36918"/>
    <cellStyle name="표준 11 2 4 6 2 2 2" xfId="36919"/>
    <cellStyle name="표준 11 2 4 6 2 2 3" xfId="36920"/>
    <cellStyle name="표준 11 2 4 6 2 3" xfId="36921"/>
    <cellStyle name="표준 11 2 4 6 2 4" xfId="36922"/>
    <cellStyle name="표준 11 2 4 6 3" xfId="36923"/>
    <cellStyle name="표준 11 2 4 6 3 2" xfId="36924"/>
    <cellStyle name="표준 11 2 4 6 3 3" xfId="36925"/>
    <cellStyle name="표준 11 2 4 6 4" xfId="36926"/>
    <cellStyle name="표준 11 2 4 6 5" xfId="36927"/>
    <cellStyle name="표준 11 2 4 7" xfId="36928"/>
    <cellStyle name="표준 11 2 4 7 2" xfId="36929"/>
    <cellStyle name="표준 11 2 4 7 2 2" xfId="36930"/>
    <cellStyle name="표준 11 2 4 7 2 3" xfId="36931"/>
    <cellStyle name="표준 11 2 4 7 3" xfId="36932"/>
    <cellStyle name="표준 11 2 4 7 4" xfId="36933"/>
    <cellStyle name="표준 11 2 4 8" xfId="36934"/>
    <cellStyle name="표준 11 2 4 8 2" xfId="36935"/>
    <cellStyle name="표준 11 2 4 8 3" xfId="36936"/>
    <cellStyle name="표준 11 2 4 9" xfId="36937"/>
    <cellStyle name="표준 11 2 5" xfId="36938"/>
    <cellStyle name="표준 11 2 5 2" xfId="36939"/>
    <cellStyle name="표준 11 2 5 2 2" xfId="36940"/>
    <cellStyle name="표준 11 2 5 2 2 2" xfId="36941"/>
    <cellStyle name="표준 11 2 5 2 2 2 2" xfId="36942"/>
    <cellStyle name="표준 11 2 5 2 2 2 3" xfId="36943"/>
    <cellStyle name="표준 11 2 5 2 2 3" xfId="36944"/>
    <cellStyle name="표준 11 2 5 2 2 4" xfId="36945"/>
    <cellStyle name="표준 11 2 5 2 3" xfId="36946"/>
    <cellStyle name="표준 11 2 5 2 3 2" xfId="36947"/>
    <cellStyle name="표준 11 2 5 2 3 3" xfId="36948"/>
    <cellStyle name="표준 11 2 5 2 4" xfId="36949"/>
    <cellStyle name="표준 11 2 5 2 5" xfId="36950"/>
    <cellStyle name="표준 11 2 5 3" xfId="36951"/>
    <cellStyle name="표준 11 2 5 3 2" xfId="36952"/>
    <cellStyle name="표준 11 2 5 3 2 2" xfId="36953"/>
    <cellStyle name="표준 11 2 5 3 2 2 2" xfId="36954"/>
    <cellStyle name="표준 11 2 5 3 2 2 3" xfId="36955"/>
    <cellStyle name="표준 11 2 5 3 2 3" xfId="36956"/>
    <cellStyle name="표준 11 2 5 3 2 4" xfId="36957"/>
    <cellStyle name="표준 11 2 5 3 3" xfId="36958"/>
    <cellStyle name="표준 11 2 5 3 3 2" xfId="36959"/>
    <cellStyle name="표준 11 2 5 3 3 3" xfId="36960"/>
    <cellStyle name="표준 11 2 5 3 4" xfId="36961"/>
    <cellStyle name="표준 11 2 5 3 5" xfId="36962"/>
    <cellStyle name="표준 11 2 5 4" xfId="36963"/>
    <cellStyle name="표준 11 2 5 4 2" xfId="36964"/>
    <cellStyle name="표준 11 2 5 4 2 2" xfId="36965"/>
    <cellStyle name="표준 11 2 5 4 2 3" xfId="36966"/>
    <cellStyle name="표준 11 2 5 4 3" xfId="36967"/>
    <cellStyle name="표준 11 2 5 4 4" xfId="36968"/>
    <cellStyle name="표준 11 2 5 5" xfId="36969"/>
    <cellStyle name="표준 11 2 5 5 2" xfId="36970"/>
    <cellStyle name="표준 11 2 5 5 3" xfId="36971"/>
    <cellStyle name="표준 11 2 5 6" xfId="36972"/>
    <cellStyle name="표준 11 2 5 7" xfId="36973"/>
    <cellStyle name="표준 11 2 6" xfId="36974"/>
    <cellStyle name="표준 11 2 6 2" xfId="36975"/>
    <cellStyle name="표준 11 2 6 2 2" xfId="36976"/>
    <cellStyle name="표준 11 2 6 2 2 2" xfId="36977"/>
    <cellStyle name="표준 11 2 6 2 2 2 2" xfId="36978"/>
    <cellStyle name="표준 11 2 6 2 2 2 3" xfId="36979"/>
    <cellStyle name="표준 11 2 6 2 2 3" xfId="36980"/>
    <cellStyle name="표준 11 2 6 2 2 4" xfId="36981"/>
    <cellStyle name="표준 11 2 6 2 3" xfId="36982"/>
    <cellStyle name="표준 11 2 6 2 3 2" xfId="36983"/>
    <cellStyle name="표준 11 2 6 2 3 3" xfId="36984"/>
    <cellStyle name="표준 11 2 6 2 4" xfId="36985"/>
    <cellStyle name="표준 11 2 6 2 5" xfId="36986"/>
    <cellStyle name="표준 11 2 6 3" xfId="36987"/>
    <cellStyle name="표준 11 2 6 3 2" xfId="36988"/>
    <cellStyle name="표준 11 2 6 3 2 2" xfId="36989"/>
    <cellStyle name="표준 11 2 6 3 2 2 2" xfId="36990"/>
    <cellStyle name="표준 11 2 6 3 2 2 3" xfId="36991"/>
    <cellStyle name="표준 11 2 6 3 2 3" xfId="36992"/>
    <cellStyle name="표준 11 2 6 3 2 4" xfId="36993"/>
    <cellStyle name="표준 11 2 6 3 3" xfId="36994"/>
    <cellStyle name="표준 11 2 6 3 3 2" xfId="36995"/>
    <cellStyle name="표준 11 2 6 3 3 3" xfId="36996"/>
    <cellStyle name="표준 11 2 6 3 4" xfId="36997"/>
    <cellStyle name="표준 11 2 6 3 5" xfId="36998"/>
    <cellStyle name="표준 11 2 6 4" xfId="36999"/>
    <cellStyle name="표준 11 2 6 4 2" xfId="37000"/>
    <cellStyle name="표준 11 2 6 4 2 2" xfId="37001"/>
    <cellStyle name="표준 11 2 6 4 2 3" xfId="37002"/>
    <cellStyle name="표준 11 2 6 4 3" xfId="37003"/>
    <cellStyle name="표준 11 2 6 4 4" xfId="37004"/>
    <cellStyle name="표준 11 2 6 5" xfId="37005"/>
    <cellStyle name="표준 11 2 6 5 2" xfId="37006"/>
    <cellStyle name="표준 11 2 6 5 3" xfId="37007"/>
    <cellStyle name="표준 11 2 6 6" xfId="37008"/>
    <cellStyle name="표준 11 2 6 7" xfId="37009"/>
    <cellStyle name="표준 11 2 7" xfId="37010"/>
    <cellStyle name="표준 11 2 7 2" xfId="37011"/>
    <cellStyle name="표준 11 2 7 2 2" xfId="37012"/>
    <cellStyle name="표준 11 2 7 2 2 2" xfId="37013"/>
    <cellStyle name="표준 11 2 7 2 2 3" xfId="37014"/>
    <cellStyle name="표준 11 2 7 2 3" xfId="37015"/>
    <cellStyle name="표준 11 2 7 2 4" xfId="37016"/>
    <cellStyle name="표준 11 2 7 3" xfId="37017"/>
    <cellStyle name="표준 11 2 7 3 2" xfId="37018"/>
    <cellStyle name="표준 11 2 7 3 3" xfId="37019"/>
    <cellStyle name="표준 11 2 7 4" xfId="37020"/>
    <cellStyle name="표준 11 2 7 5" xfId="37021"/>
    <cellStyle name="표준 11 2 8" xfId="37022"/>
    <cellStyle name="표준 11 2 8 2" xfId="37023"/>
    <cellStyle name="표준 11 2 8 2 2" xfId="37024"/>
    <cellStyle name="표준 11 2 8 2 2 2" xfId="37025"/>
    <cellStyle name="표준 11 2 8 2 2 3" xfId="37026"/>
    <cellStyle name="표준 11 2 8 2 3" xfId="37027"/>
    <cellStyle name="표준 11 2 8 2 4" xfId="37028"/>
    <cellStyle name="표준 11 2 8 3" xfId="37029"/>
    <cellStyle name="표준 11 2 8 3 2" xfId="37030"/>
    <cellStyle name="표준 11 2 8 3 3" xfId="37031"/>
    <cellStyle name="표준 11 2 8 4" xfId="37032"/>
    <cellStyle name="표준 11 2 8 5" xfId="37033"/>
    <cellStyle name="표준 11 2 9" xfId="37034"/>
    <cellStyle name="표준 11 2 9 2" xfId="37035"/>
    <cellStyle name="표준 11 2 9 2 2" xfId="37036"/>
    <cellStyle name="표준 11 2 9 2 2 2" xfId="37037"/>
    <cellStyle name="표준 11 2 9 2 2 3" xfId="37038"/>
    <cellStyle name="표준 11 2 9 2 3" xfId="37039"/>
    <cellStyle name="표준 11 2 9 2 4" xfId="37040"/>
    <cellStyle name="표준 11 2 9 3" xfId="37041"/>
    <cellStyle name="표준 11 2 9 3 2" xfId="37042"/>
    <cellStyle name="표준 11 2 9 3 3" xfId="37043"/>
    <cellStyle name="표준 11 2 9 4" xfId="37044"/>
    <cellStyle name="표준 11 2 9 5" xfId="37045"/>
    <cellStyle name="표준 11 3" xfId="37046"/>
    <cellStyle name="표준 11 3 10" xfId="37047"/>
    <cellStyle name="표준 11 3 2" xfId="37048"/>
    <cellStyle name="표준 11 3 2 2" xfId="37049"/>
    <cellStyle name="표준 11 3 2 2 2" xfId="37050"/>
    <cellStyle name="표준 11 3 2 2 2 2" xfId="37051"/>
    <cellStyle name="표준 11 3 2 2 2 2 2" xfId="37052"/>
    <cellStyle name="표준 11 3 2 2 2 2 3" xfId="37053"/>
    <cellStyle name="표준 11 3 2 2 2 3" xfId="37054"/>
    <cellStyle name="표준 11 3 2 2 2 4" xfId="37055"/>
    <cellStyle name="표준 11 3 2 2 3" xfId="37056"/>
    <cellStyle name="표준 11 3 2 2 3 2" xfId="37057"/>
    <cellStyle name="표준 11 3 2 2 3 3" xfId="37058"/>
    <cellStyle name="표준 11 3 2 2 4" xfId="37059"/>
    <cellStyle name="표준 11 3 2 2 5" xfId="37060"/>
    <cellStyle name="표준 11 3 2 3" xfId="37061"/>
    <cellStyle name="표준 11 3 2 3 2" xfId="37062"/>
    <cellStyle name="표준 11 3 2 3 2 2" xfId="37063"/>
    <cellStyle name="표준 11 3 2 3 2 2 2" xfId="37064"/>
    <cellStyle name="표준 11 3 2 3 2 2 3" xfId="37065"/>
    <cellStyle name="표준 11 3 2 3 2 3" xfId="37066"/>
    <cellStyle name="표준 11 3 2 3 2 4" xfId="37067"/>
    <cellStyle name="표준 11 3 2 3 3" xfId="37068"/>
    <cellStyle name="표준 11 3 2 3 3 2" xfId="37069"/>
    <cellStyle name="표준 11 3 2 3 3 3" xfId="37070"/>
    <cellStyle name="표준 11 3 2 3 4" xfId="37071"/>
    <cellStyle name="표준 11 3 2 3 5" xfId="37072"/>
    <cellStyle name="표준 11 3 2 4" xfId="37073"/>
    <cellStyle name="표준 11 3 2 4 2" xfId="37074"/>
    <cellStyle name="표준 11 3 2 4 2 2" xfId="37075"/>
    <cellStyle name="표준 11 3 2 4 2 3" xfId="37076"/>
    <cellStyle name="표준 11 3 2 4 3" xfId="37077"/>
    <cellStyle name="표준 11 3 2 4 4" xfId="37078"/>
    <cellStyle name="표준 11 3 2 5" xfId="37079"/>
    <cellStyle name="표준 11 3 2 5 2" xfId="37080"/>
    <cellStyle name="표준 11 3 2 5 3" xfId="37081"/>
    <cellStyle name="표준 11 3 2 6" xfId="37082"/>
    <cellStyle name="표준 11 3 2 7" xfId="37083"/>
    <cellStyle name="표준 11 3 3" xfId="37084"/>
    <cellStyle name="표준 11 3 3 2" xfId="37085"/>
    <cellStyle name="표준 11 3 3 2 2" xfId="37086"/>
    <cellStyle name="표준 11 3 3 2 2 2" xfId="37087"/>
    <cellStyle name="표준 11 3 3 2 2 2 2" xfId="37088"/>
    <cellStyle name="표준 11 3 3 2 2 2 3" xfId="37089"/>
    <cellStyle name="표준 11 3 3 2 2 3" xfId="37090"/>
    <cellStyle name="표준 11 3 3 2 2 4" xfId="37091"/>
    <cellStyle name="표준 11 3 3 2 3" xfId="37092"/>
    <cellStyle name="표준 11 3 3 2 3 2" xfId="37093"/>
    <cellStyle name="표준 11 3 3 2 3 3" xfId="37094"/>
    <cellStyle name="표준 11 3 3 2 4" xfId="37095"/>
    <cellStyle name="표준 11 3 3 2 5" xfId="37096"/>
    <cellStyle name="표준 11 3 3 3" xfId="37097"/>
    <cellStyle name="표준 11 3 3 3 2" xfId="37098"/>
    <cellStyle name="표준 11 3 3 3 2 2" xfId="37099"/>
    <cellStyle name="표준 11 3 3 3 2 2 2" xfId="37100"/>
    <cellStyle name="표준 11 3 3 3 2 2 3" xfId="37101"/>
    <cellStyle name="표준 11 3 3 3 2 3" xfId="37102"/>
    <cellStyle name="표준 11 3 3 3 2 4" xfId="37103"/>
    <cellStyle name="표준 11 3 3 3 3" xfId="37104"/>
    <cellStyle name="표준 11 3 3 3 3 2" xfId="37105"/>
    <cellStyle name="표준 11 3 3 3 3 3" xfId="37106"/>
    <cellStyle name="표준 11 3 3 3 4" xfId="37107"/>
    <cellStyle name="표준 11 3 3 3 5" xfId="37108"/>
    <cellStyle name="표준 11 3 3 4" xfId="37109"/>
    <cellStyle name="표준 11 3 3 4 2" xfId="37110"/>
    <cellStyle name="표준 11 3 3 4 2 2" xfId="37111"/>
    <cellStyle name="표준 11 3 3 4 2 3" xfId="37112"/>
    <cellStyle name="표준 11 3 3 4 3" xfId="37113"/>
    <cellStyle name="표준 11 3 3 4 4" xfId="37114"/>
    <cellStyle name="표준 11 3 3 5" xfId="37115"/>
    <cellStyle name="표준 11 3 3 5 2" xfId="37116"/>
    <cellStyle name="표준 11 3 3 5 3" xfId="37117"/>
    <cellStyle name="표준 11 3 3 6" xfId="37118"/>
    <cellStyle name="표준 11 3 3 7" xfId="37119"/>
    <cellStyle name="표준 11 3 4" xfId="37120"/>
    <cellStyle name="표준 11 3 4 2" xfId="37121"/>
    <cellStyle name="표준 11 3 4 2 2" xfId="37122"/>
    <cellStyle name="표준 11 3 4 2 2 2" xfId="37123"/>
    <cellStyle name="표준 11 3 4 2 2 3" xfId="37124"/>
    <cellStyle name="표준 11 3 4 2 3" xfId="37125"/>
    <cellStyle name="표준 11 3 4 2 4" xfId="37126"/>
    <cellStyle name="표준 11 3 4 3" xfId="37127"/>
    <cellStyle name="표준 11 3 4 3 2" xfId="37128"/>
    <cellStyle name="표준 11 3 4 3 3" xfId="37129"/>
    <cellStyle name="표준 11 3 4 4" xfId="37130"/>
    <cellStyle name="표준 11 3 4 5" xfId="37131"/>
    <cellStyle name="표준 11 3 5" xfId="37132"/>
    <cellStyle name="표준 11 3 5 2" xfId="37133"/>
    <cellStyle name="표준 11 3 5 2 2" xfId="37134"/>
    <cellStyle name="표준 11 3 5 2 2 2" xfId="37135"/>
    <cellStyle name="표준 11 3 5 2 2 3" xfId="37136"/>
    <cellStyle name="표준 11 3 5 2 3" xfId="37137"/>
    <cellStyle name="표준 11 3 5 2 4" xfId="37138"/>
    <cellStyle name="표준 11 3 5 3" xfId="37139"/>
    <cellStyle name="표준 11 3 5 3 2" xfId="37140"/>
    <cellStyle name="표준 11 3 5 3 3" xfId="37141"/>
    <cellStyle name="표준 11 3 5 4" xfId="37142"/>
    <cellStyle name="표준 11 3 5 5" xfId="37143"/>
    <cellStyle name="표준 11 3 6" xfId="37144"/>
    <cellStyle name="표준 11 3 6 2" xfId="37145"/>
    <cellStyle name="표준 11 3 6 2 2" xfId="37146"/>
    <cellStyle name="표준 11 3 6 2 2 2" xfId="37147"/>
    <cellStyle name="표준 11 3 6 2 2 3" xfId="37148"/>
    <cellStyle name="표준 11 3 6 2 3" xfId="37149"/>
    <cellStyle name="표준 11 3 6 2 4" xfId="37150"/>
    <cellStyle name="표준 11 3 6 3" xfId="37151"/>
    <cellStyle name="표준 11 3 6 3 2" xfId="37152"/>
    <cellStyle name="표준 11 3 6 3 3" xfId="37153"/>
    <cellStyle name="표준 11 3 6 4" xfId="37154"/>
    <cellStyle name="표준 11 3 6 5" xfId="37155"/>
    <cellStyle name="표준 11 3 7" xfId="37156"/>
    <cellStyle name="표준 11 3 7 2" xfId="37157"/>
    <cellStyle name="표준 11 3 7 2 2" xfId="37158"/>
    <cellStyle name="표준 11 3 7 2 3" xfId="37159"/>
    <cellStyle name="표준 11 3 7 3" xfId="37160"/>
    <cellStyle name="표준 11 3 7 4" xfId="37161"/>
    <cellStyle name="표준 11 3 8" xfId="37162"/>
    <cellStyle name="표준 11 3 8 2" xfId="37163"/>
    <cellStyle name="표준 11 3 8 3" xfId="37164"/>
    <cellStyle name="표준 11 3 9" xfId="37165"/>
    <cellStyle name="표준 11 4" xfId="37166"/>
    <cellStyle name="표준 11 4 10" xfId="37167"/>
    <cellStyle name="표준 11 4 2" xfId="37168"/>
    <cellStyle name="표준 11 4 2 2" xfId="37169"/>
    <cellStyle name="표준 11 4 2 2 2" xfId="37170"/>
    <cellStyle name="표준 11 4 2 2 2 2" xfId="37171"/>
    <cellStyle name="표준 11 4 2 2 2 2 2" xfId="37172"/>
    <cellStyle name="표준 11 4 2 2 2 2 3" xfId="37173"/>
    <cellStyle name="표준 11 4 2 2 2 3" xfId="37174"/>
    <cellStyle name="표준 11 4 2 2 2 4" xfId="37175"/>
    <cellStyle name="표준 11 4 2 2 3" xfId="37176"/>
    <cellStyle name="표준 11 4 2 2 3 2" xfId="37177"/>
    <cellStyle name="표준 11 4 2 2 3 3" xfId="37178"/>
    <cellStyle name="표준 11 4 2 2 4" xfId="37179"/>
    <cellStyle name="표준 11 4 2 2 5" xfId="37180"/>
    <cellStyle name="표준 11 4 2 3" xfId="37181"/>
    <cellStyle name="표준 11 4 2 3 2" xfId="37182"/>
    <cellStyle name="표준 11 4 2 3 2 2" xfId="37183"/>
    <cellStyle name="표준 11 4 2 3 2 2 2" xfId="37184"/>
    <cellStyle name="표준 11 4 2 3 2 2 3" xfId="37185"/>
    <cellStyle name="표준 11 4 2 3 2 3" xfId="37186"/>
    <cellStyle name="표준 11 4 2 3 2 4" xfId="37187"/>
    <cellStyle name="표준 11 4 2 3 3" xfId="37188"/>
    <cellStyle name="표준 11 4 2 3 3 2" xfId="37189"/>
    <cellStyle name="표준 11 4 2 3 3 3" xfId="37190"/>
    <cellStyle name="표준 11 4 2 3 4" xfId="37191"/>
    <cellStyle name="표준 11 4 2 3 5" xfId="37192"/>
    <cellStyle name="표준 11 4 2 4" xfId="37193"/>
    <cellStyle name="표준 11 4 2 4 2" xfId="37194"/>
    <cellStyle name="표준 11 4 2 4 2 2" xfId="37195"/>
    <cellStyle name="표준 11 4 2 4 2 3" xfId="37196"/>
    <cellStyle name="표준 11 4 2 4 3" xfId="37197"/>
    <cellStyle name="표준 11 4 2 4 4" xfId="37198"/>
    <cellStyle name="표준 11 4 2 5" xfId="37199"/>
    <cellStyle name="표준 11 4 2 5 2" xfId="37200"/>
    <cellStyle name="표준 11 4 2 5 3" xfId="37201"/>
    <cellStyle name="표준 11 4 2 6" xfId="37202"/>
    <cellStyle name="표준 11 4 2 7" xfId="37203"/>
    <cellStyle name="표준 11 4 3" xfId="37204"/>
    <cellStyle name="표준 11 4 3 2" xfId="37205"/>
    <cellStyle name="표준 11 4 3 2 2" xfId="37206"/>
    <cellStyle name="표준 11 4 3 2 2 2" xfId="37207"/>
    <cellStyle name="표준 11 4 3 2 2 2 2" xfId="37208"/>
    <cellStyle name="표준 11 4 3 2 2 2 3" xfId="37209"/>
    <cellStyle name="표준 11 4 3 2 2 3" xfId="37210"/>
    <cellStyle name="표준 11 4 3 2 2 4" xfId="37211"/>
    <cellStyle name="표준 11 4 3 2 3" xfId="37212"/>
    <cellStyle name="표준 11 4 3 2 3 2" xfId="37213"/>
    <cellStyle name="표준 11 4 3 2 3 3" xfId="37214"/>
    <cellStyle name="표준 11 4 3 2 4" xfId="37215"/>
    <cellStyle name="표준 11 4 3 2 5" xfId="37216"/>
    <cellStyle name="표준 11 4 3 3" xfId="37217"/>
    <cellStyle name="표준 11 4 3 3 2" xfId="37218"/>
    <cellStyle name="표준 11 4 3 3 2 2" xfId="37219"/>
    <cellStyle name="표준 11 4 3 3 2 2 2" xfId="37220"/>
    <cellStyle name="표준 11 4 3 3 2 2 3" xfId="37221"/>
    <cellStyle name="표준 11 4 3 3 2 3" xfId="37222"/>
    <cellStyle name="표준 11 4 3 3 2 4" xfId="37223"/>
    <cellStyle name="표준 11 4 3 3 3" xfId="37224"/>
    <cellStyle name="표준 11 4 3 3 3 2" xfId="37225"/>
    <cellStyle name="표준 11 4 3 3 3 3" xfId="37226"/>
    <cellStyle name="표준 11 4 3 3 4" xfId="37227"/>
    <cellStyle name="표준 11 4 3 3 5" xfId="37228"/>
    <cellStyle name="표준 11 4 3 4" xfId="37229"/>
    <cellStyle name="표준 11 4 3 4 2" xfId="37230"/>
    <cellStyle name="표준 11 4 3 4 2 2" xfId="37231"/>
    <cellStyle name="표준 11 4 3 4 2 3" xfId="37232"/>
    <cellStyle name="표준 11 4 3 4 3" xfId="37233"/>
    <cellStyle name="표준 11 4 3 4 4" xfId="37234"/>
    <cellStyle name="표준 11 4 3 5" xfId="37235"/>
    <cellStyle name="표준 11 4 3 5 2" xfId="37236"/>
    <cellStyle name="표준 11 4 3 5 3" xfId="37237"/>
    <cellStyle name="표준 11 4 3 6" xfId="37238"/>
    <cellStyle name="표준 11 4 3 7" xfId="37239"/>
    <cellStyle name="표준 11 4 4" xfId="37240"/>
    <cellStyle name="표준 11 4 4 2" xfId="37241"/>
    <cellStyle name="표준 11 4 4 2 2" xfId="37242"/>
    <cellStyle name="표준 11 4 4 2 2 2" xfId="37243"/>
    <cellStyle name="표준 11 4 4 2 2 3" xfId="37244"/>
    <cellStyle name="표준 11 4 4 2 3" xfId="37245"/>
    <cellStyle name="표준 11 4 4 2 4" xfId="37246"/>
    <cellStyle name="표준 11 4 4 3" xfId="37247"/>
    <cellStyle name="표준 11 4 4 3 2" xfId="37248"/>
    <cellStyle name="표준 11 4 4 3 3" xfId="37249"/>
    <cellStyle name="표준 11 4 4 4" xfId="37250"/>
    <cellStyle name="표준 11 4 4 5" xfId="37251"/>
    <cellStyle name="표준 11 4 5" xfId="37252"/>
    <cellStyle name="표준 11 4 5 2" xfId="37253"/>
    <cellStyle name="표준 11 4 5 2 2" xfId="37254"/>
    <cellStyle name="표준 11 4 5 2 2 2" xfId="37255"/>
    <cellStyle name="표준 11 4 5 2 2 3" xfId="37256"/>
    <cellStyle name="표준 11 4 5 2 3" xfId="37257"/>
    <cellStyle name="표준 11 4 5 2 4" xfId="37258"/>
    <cellStyle name="표준 11 4 5 3" xfId="37259"/>
    <cellStyle name="표준 11 4 5 3 2" xfId="37260"/>
    <cellStyle name="표준 11 4 5 3 3" xfId="37261"/>
    <cellStyle name="표준 11 4 5 4" xfId="37262"/>
    <cellStyle name="표준 11 4 5 5" xfId="37263"/>
    <cellStyle name="표준 11 4 6" xfId="37264"/>
    <cellStyle name="표준 11 4 6 2" xfId="37265"/>
    <cellStyle name="표준 11 4 6 2 2" xfId="37266"/>
    <cellStyle name="표준 11 4 6 2 2 2" xfId="37267"/>
    <cellStyle name="표준 11 4 6 2 2 3" xfId="37268"/>
    <cellStyle name="표준 11 4 6 2 3" xfId="37269"/>
    <cellStyle name="표준 11 4 6 2 4" xfId="37270"/>
    <cellStyle name="표준 11 4 6 3" xfId="37271"/>
    <cellStyle name="표준 11 4 6 3 2" xfId="37272"/>
    <cellStyle name="표준 11 4 6 3 3" xfId="37273"/>
    <cellStyle name="표준 11 4 6 4" xfId="37274"/>
    <cellStyle name="표준 11 4 6 5" xfId="37275"/>
    <cellStyle name="표준 11 4 7" xfId="37276"/>
    <cellStyle name="표준 11 4 7 2" xfId="37277"/>
    <cellStyle name="표준 11 4 7 2 2" xfId="37278"/>
    <cellStyle name="표준 11 4 7 2 3" xfId="37279"/>
    <cellStyle name="표준 11 4 7 3" xfId="37280"/>
    <cellStyle name="표준 11 4 7 4" xfId="37281"/>
    <cellStyle name="표준 11 4 8" xfId="37282"/>
    <cellStyle name="표준 11 4 8 2" xfId="37283"/>
    <cellStyle name="표준 11 4 8 3" xfId="37284"/>
    <cellStyle name="표준 11 4 9" xfId="37285"/>
    <cellStyle name="표준 11 5" xfId="37286"/>
    <cellStyle name="표준 11 5 10" xfId="37287"/>
    <cellStyle name="표준 11 5 2" xfId="37288"/>
    <cellStyle name="표준 11 5 2 2" xfId="37289"/>
    <cellStyle name="표준 11 5 2 2 2" xfId="37290"/>
    <cellStyle name="표준 11 5 2 2 2 2" xfId="37291"/>
    <cellStyle name="표준 11 5 2 2 2 2 2" xfId="37292"/>
    <cellStyle name="표준 11 5 2 2 2 2 3" xfId="37293"/>
    <cellStyle name="표준 11 5 2 2 2 3" xfId="37294"/>
    <cellStyle name="표준 11 5 2 2 2 4" xfId="37295"/>
    <cellStyle name="표준 11 5 2 2 3" xfId="37296"/>
    <cellStyle name="표준 11 5 2 2 3 2" xfId="37297"/>
    <cellStyle name="표준 11 5 2 2 3 3" xfId="37298"/>
    <cellStyle name="표준 11 5 2 2 4" xfId="37299"/>
    <cellStyle name="표준 11 5 2 2 5" xfId="37300"/>
    <cellStyle name="표준 11 5 2 3" xfId="37301"/>
    <cellStyle name="표준 11 5 2 3 2" xfId="37302"/>
    <cellStyle name="표준 11 5 2 3 2 2" xfId="37303"/>
    <cellStyle name="표준 11 5 2 3 2 2 2" xfId="37304"/>
    <cellStyle name="표준 11 5 2 3 2 2 3" xfId="37305"/>
    <cellStyle name="표준 11 5 2 3 2 3" xfId="37306"/>
    <cellStyle name="표준 11 5 2 3 2 4" xfId="37307"/>
    <cellStyle name="표준 11 5 2 3 3" xfId="37308"/>
    <cellStyle name="표준 11 5 2 3 3 2" xfId="37309"/>
    <cellStyle name="표준 11 5 2 3 3 3" xfId="37310"/>
    <cellStyle name="표준 11 5 2 3 4" xfId="37311"/>
    <cellStyle name="표준 11 5 2 3 5" xfId="37312"/>
    <cellStyle name="표준 11 5 2 4" xfId="37313"/>
    <cellStyle name="표준 11 5 2 4 2" xfId="37314"/>
    <cellStyle name="표준 11 5 2 4 2 2" xfId="37315"/>
    <cellStyle name="표준 11 5 2 4 2 3" xfId="37316"/>
    <cellStyle name="표준 11 5 2 4 3" xfId="37317"/>
    <cellStyle name="표준 11 5 2 4 4" xfId="37318"/>
    <cellStyle name="표준 11 5 2 5" xfId="37319"/>
    <cellStyle name="표준 11 5 2 5 2" xfId="37320"/>
    <cellStyle name="표준 11 5 2 5 3" xfId="37321"/>
    <cellStyle name="표준 11 5 2 6" xfId="37322"/>
    <cellStyle name="표준 11 5 2 7" xfId="37323"/>
    <cellStyle name="표준 11 5 3" xfId="37324"/>
    <cellStyle name="표준 11 5 3 2" xfId="37325"/>
    <cellStyle name="표준 11 5 3 2 2" xfId="37326"/>
    <cellStyle name="표준 11 5 3 2 2 2" xfId="37327"/>
    <cellStyle name="표준 11 5 3 2 2 2 2" xfId="37328"/>
    <cellStyle name="표준 11 5 3 2 2 2 3" xfId="37329"/>
    <cellStyle name="표준 11 5 3 2 2 3" xfId="37330"/>
    <cellStyle name="표준 11 5 3 2 2 4" xfId="37331"/>
    <cellStyle name="표준 11 5 3 2 3" xfId="37332"/>
    <cellStyle name="표준 11 5 3 2 3 2" xfId="37333"/>
    <cellStyle name="표준 11 5 3 2 3 3" xfId="37334"/>
    <cellStyle name="표준 11 5 3 2 4" xfId="37335"/>
    <cellStyle name="표준 11 5 3 2 5" xfId="37336"/>
    <cellStyle name="표준 11 5 3 3" xfId="37337"/>
    <cellStyle name="표준 11 5 3 3 2" xfId="37338"/>
    <cellStyle name="표준 11 5 3 3 2 2" xfId="37339"/>
    <cellStyle name="표준 11 5 3 3 2 2 2" xfId="37340"/>
    <cellStyle name="표준 11 5 3 3 2 2 3" xfId="37341"/>
    <cellStyle name="표준 11 5 3 3 2 3" xfId="37342"/>
    <cellStyle name="표준 11 5 3 3 2 4" xfId="37343"/>
    <cellStyle name="표준 11 5 3 3 3" xfId="37344"/>
    <cellStyle name="표준 11 5 3 3 3 2" xfId="37345"/>
    <cellStyle name="표준 11 5 3 3 3 3" xfId="37346"/>
    <cellStyle name="표준 11 5 3 3 4" xfId="37347"/>
    <cellStyle name="표준 11 5 3 3 5" xfId="37348"/>
    <cellStyle name="표준 11 5 3 4" xfId="37349"/>
    <cellStyle name="표준 11 5 3 4 2" xfId="37350"/>
    <cellStyle name="표준 11 5 3 4 2 2" xfId="37351"/>
    <cellStyle name="표준 11 5 3 4 2 3" xfId="37352"/>
    <cellStyle name="표준 11 5 3 4 3" xfId="37353"/>
    <cellStyle name="표준 11 5 3 4 4" xfId="37354"/>
    <cellStyle name="표준 11 5 3 5" xfId="37355"/>
    <cellStyle name="표준 11 5 3 5 2" xfId="37356"/>
    <cellStyle name="표준 11 5 3 5 3" xfId="37357"/>
    <cellStyle name="표준 11 5 3 6" xfId="37358"/>
    <cellStyle name="표준 11 5 3 7" xfId="37359"/>
    <cellStyle name="표준 11 5 4" xfId="37360"/>
    <cellStyle name="표준 11 5 4 2" xfId="37361"/>
    <cellStyle name="표준 11 5 4 2 2" xfId="37362"/>
    <cellStyle name="표준 11 5 4 2 2 2" xfId="37363"/>
    <cellStyle name="표준 11 5 4 2 2 3" xfId="37364"/>
    <cellStyle name="표준 11 5 4 2 3" xfId="37365"/>
    <cellStyle name="표준 11 5 4 2 4" xfId="37366"/>
    <cellStyle name="표준 11 5 4 3" xfId="37367"/>
    <cellStyle name="표준 11 5 4 3 2" xfId="37368"/>
    <cellStyle name="표준 11 5 4 3 3" xfId="37369"/>
    <cellStyle name="표준 11 5 4 4" xfId="37370"/>
    <cellStyle name="표준 11 5 4 5" xfId="37371"/>
    <cellStyle name="표준 11 5 5" xfId="37372"/>
    <cellStyle name="표준 11 5 5 2" xfId="37373"/>
    <cellStyle name="표준 11 5 5 2 2" xfId="37374"/>
    <cellStyle name="표준 11 5 5 2 2 2" xfId="37375"/>
    <cellStyle name="표준 11 5 5 2 2 3" xfId="37376"/>
    <cellStyle name="표준 11 5 5 2 3" xfId="37377"/>
    <cellStyle name="표준 11 5 5 2 4" xfId="37378"/>
    <cellStyle name="표준 11 5 5 3" xfId="37379"/>
    <cellStyle name="표준 11 5 5 3 2" xfId="37380"/>
    <cellStyle name="표준 11 5 5 3 3" xfId="37381"/>
    <cellStyle name="표준 11 5 5 4" xfId="37382"/>
    <cellStyle name="표준 11 5 5 5" xfId="37383"/>
    <cellStyle name="표준 11 5 6" xfId="37384"/>
    <cellStyle name="표준 11 5 6 2" xfId="37385"/>
    <cellStyle name="표준 11 5 6 2 2" xfId="37386"/>
    <cellStyle name="표준 11 5 6 2 2 2" xfId="37387"/>
    <cellStyle name="표준 11 5 6 2 2 3" xfId="37388"/>
    <cellStyle name="표준 11 5 6 2 3" xfId="37389"/>
    <cellStyle name="표준 11 5 6 2 4" xfId="37390"/>
    <cellStyle name="표준 11 5 6 3" xfId="37391"/>
    <cellStyle name="표준 11 5 6 3 2" xfId="37392"/>
    <cellStyle name="표준 11 5 6 3 3" xfId="37393"/>
    <cellStyle name="표준 11 5 6 4" xfId="37394"/>
    <cellStyle name="표준 11 5 6 5" xfId="37395"/>
    <cellStyle name="표준 11 5 7" xfId="37396"/>
    <cellStyle name="표준 11 5 7 2" xfId="37397"/>
    <cellStyle name="표준 11 5 7 2 2" xfId="37398"/>
    <cellStyle name="표준 11 5 7 2 3" xfId="37399"/>
    <cellStyle name="표준 11 5 7 3" xfId="37400"/>
    <cellStyle name="표준 11 5 7 4" xfId="37401"/>
    <cellStyle name="표준 11 5 8" xfId="37402"/>
    <cellStyle name="표준 11 5 8 2" xfId="37403"/>
    <cellStyle name="표준 11 5 8 3" xfId="37404"/>
    <cellStyle name="표준 11 5 9" xfId="37405"/>
    <cellStyle name="표준 11 6" xfId="37406"/>
    <cellStyle name="표준 11 6 2" xfId="37407"/>
    <cellStyle name="표준 11 6 2 2" xfId="37408"/>
    <cellStyle name="표준 11 6 2 2 2" xfId="37409"/>
    <cellStyle name="표준 11 6 2 2 2 2" xfId="37410"/>
    <cellStyle name="표준 11 6 2 2 2 3" xfId="37411"/>
    <cellStyle name="표준 11 6 2 2 3" xfId="37412"/>
    <cellStyle name="표준 11 6 2 2 4" xfId="37413"/>
    <cellStyle name="표준 11 6 2 3" xfId="37414"/>
    <cellStyle name="표준 11 6 2 3 2" xfId="37415"/>
    <cellStyle name="표준 11 6 2 3 3" xfId="37416"/>
    <cellStyle name="표준 11 6 2 4" xfId="37417"/>
    <cellStyle name="표준 11 6 2 5" xfId="37418"/>
    <cellStyle name="표준 11 6 3" xfId="37419"/>
    <cellStyle name="표준 11 6 3 2" xfId="37420"/>
    <cellStyle name="표준 11 6 3 2 2" xfId="37421"/>
    <cellStyle name="표준 11 6 3 2 2 2" xfId="37422"/>
    <cellStyle name="표준 11 6 3 2 2 3" xfId="37423"/>
    <cellStyle name="표준 11 6 3 2 3" xfId="37424"/>
    <cellStyle name="표준 11 6 3 2 4" xfId="37425"/>
    <cellStyle name="표준 11 6 3 3" xfId="37426"/>
    <cellStyle name="표준 11 6 3 3 2" xfId="37427"/>
    <cellStyle name="표준 11 6 3 3 3" xfId="37428"/>
    <cellStyle name="표준 11 6 3 4" xfId="37429"/>
    <cellStyle name="표준 11 6 3 5" xfId="37430"/>
    <cellStyle name="표준 11 6 4" xfId="37431"/>
    <cellStyle name="표준 11 6 4 2" xfId="37432"/>
    <cellStyle name="표준 11 6 4 2 2" xfId="37433"/>
    <cellStyle name="표준 11 6 4 2 3" xfId="37434"/>
    <cellStyle name="표준 11 6 4 3" xfId="37435"/>
    <cellStyle name="표준 11 6 4 4" xfId="37436"/>
    <cellStyle name="표준 11 6 5" xfId="37437"/>
    <cellStyle name="표준 11 6 5 2" xfId="37438"/>
    <cellStyle name="표준 11 6 5 3" xfId="37439"/>
    <cellStyle name="표준 11 6 6" xfId="37440"/>
    <cellStyle name="표준 11 6 7" xfId="37441"/>
    <cellStyle name="표준 11 7" xfId="37442"/>
    <cellStyle name="표준 11 7 2" xfId="37443"/>
    <cellStyle name="표준 11 7 2 2" xfId="37444"/>
    <cellStyle name="표준 11 7 2 2 2" xfId="37445"/>
    <cellStyle name="표준 11 7 2 2 2 2" xfId="37446"/>
    <cellStyle name="표준 11 7 2 2 2 3" xfId="37447"/>
    <cellStyle name="표준 11 7 2 2 3" xfId="37448"/>
    <cellStyle name="표준 11 7 2 2 4" xfId="37449"/>
    <cellStyle name="표준 11 7 2 3" xfId="37450"/>
    <cellStyle name="표준 11 7 2 3 2" xfId="37451"/>
    <cellStyle name="표준 11 7 2 3 3" xfId="37452"/>
    <cellStyle name="표준 11 7 2 4" xfId="37453"/>
    <cellStyle name="표준 11 7 2 5" xfId="37454"/>
    <cellStyle name="표준 11 7 3" xfId="37455"/>
    <cellStyle name="표준 11 7 3 2" xfId="37456"/>
    <cellStyle name="표준 11 7 3 2 2" xfId="37457"/>
    <cellStyle name="표준 11 7 3 2 2 2" xfId="37458"/>
    <cellStyle name="표준 11 7 3 2 2 3" xfId="37459"/>
    <cellStyle name="표준 11 7 3 2 3" xfId="37460"/>
    <cellStyle name="표준 11 7 3 2 4" xfId="37461"/>
    <cellStyle name="표준 11 7 3 3" xfId="37462"/>
    <cellStyle name="표준 11 7 3 3 2" xfId="37463"/>
    <cellStyle name="표준 11 7 3 3 3" xfId="37464"/>
    <cellStyle name="표준 11 7 3 4" xfId="37465"/>
    <cellStyle name="표준 11 7 3 5" xfId="37466"/>
    <cellStyle name="표준 11 7 4" xfId="37467"/>
    <cellStyle name="표준 11 7 4 2" xfId="37468"/>
    <cellStyle name="표준 11 7 4 2 2" xfId="37469"/>
    <cellStyle name="표준 11 7 4 2 3" xfId="37470"/>
    <cellStyle name="표준 11 7 4 3" xfId="37471"/>
    <cellStyle name="표준 11 7 4 4" xfId="37472"/>
    <cellStyle name="표준 11 7 5" xfId="37473"/>
    <cellStyle name="표준 11 7 5 2" xfId="37474"/>
    <cellStyle name="표준 11 7 5 3" xfId="37475"/>
    <cellStyle name="표준 11 7 6" xfId="37476"/>
    <cellStyle name="표준 11 7 7" xfId="37477"/>
    <cellStyle name="표준 11 8" xfId="37478"/>
    <cellStyle name="표준 11 8 2" xfId="37479"/>
    <cellStyle name="표준 11 8 2 2" xfId="37480"/>
    <cellStyle name="표준 11 8 2 2 2" xfId="37481"/>
    <cellStyle name="표준 11 8 2 2 3" xfId="37482"/>
    <cellStyle name="표준 11 8 2 3" xfId="37483"/>
    <cellStyle name="표준 11 8 2 4" xfId="37484"/>
    <cellStyle name="표준 11 8 3" xfId="37485"/>
    <cellStyle name="표준 11 8 3 2" xfId="37486"/>
    <cellStyle name="표준 11 8 3 3" xfId="37487"/>
    <cellStyle name="표준 11 8 4" xfId="37488"/>
    <cellStyle name="표준 11 8 5" xfId="37489"/>
    <cellStyle name="표준 11 9" xfId="37490"/>
    <cellStyle name="표준 11 9 2" xfId="37491"/>
    <cellStyle name="표준 11 9 2 2" xfId="37492"/>
    <cellStyle name="표준 11 9 2 2 2" xfId="37493"/>
    <cellStyle name="표준 11 9 2 2 3" xfId="37494"/>
    <cellStyle name="표준 11 9 2 3" xfId="37495"/>
    <cellStyle name="표준 11 9 2 4" xfId="37496"/>
    <cellStyle name="표준 11 9 3" xfId="37497"/>
    <cellStyle name="표준 11 9 3 2" xfId="37498"/>
    <cellStyle name="표준 11 9 3 3" xfId="37499"/>
    <cellStyle name="표준 11 9 4" xfId="37500"/>
    <cellStyle name="표준 11 9 5" xfId="37501"/>
    <cellStyle name="표준 110" xfId="37502"/>
    <cellStyle name="표준 111" xfId="37503"/>
    <cellStyle name="표준 112" xfId="37504"/>
    <cellStyle name="표준 113" xfId="37505"/>
    <cellStyle name="표준 114" xfId="37506"/>
    <cellStyle name="표준 115" xfId="37507"/>
    <cellStyle name="표준 116" xfId="37508"/>
    <cellStyle name="표준 117" xfId="37509"/>
    <cellStyle name="표준 118" xfId="37510"/>
    <cellStyle name="표준 119" xfId="37511"/>
    <cellStyle name="표준 12" xfId="37512"/>
    <cellStyle name="표준 12 10" xfId="37513"/>
    <cellStyle name="표준 12 10 2" xfId="37514"/>
    <cellStyle name="표준 12 10 2 2" xfId="37515"/>
    <cellStyle name="표준 12 10 2 3" xfId="37516"/>
    <cellStyle name="표준 12 10 3" xfId="37517"/>
    <cellStyle name="표준 12 10 4" xfId="37518"/>
    <cellStyle name="표준 12 11" xfId="37519"/>
    <cellStyle name="표준 12 11 2" xfId="37520"/>
    <cellStyle name="표준 12 11 3" xfId="37521"/>
    <cellStyle name="표준 12 12" xfId="37522"/>
    <cellStyle name="표준 12 13" xfId="37523"/>
    <cellStyle name="표준 12 14" xfId="37524"/>
    <cellStyle name="표준 12 2" xfId="37525"/>
    <cellStyle name="표준 12 2 10" xfId="37526"/>
    <cellStyle name="표준 12 2 11" xfId="37527"/>
    <cellStyle name="표준 12 2 2" xfId="37528"/>
    <cellStyle name="표준 12 2 2 2" xfId="37529"/>
    <cellStyle name="표준 12 2 2 2 2" xfId="37530"/>
    <cellStyle name="표준 12 2 2 2 2 2" xfId="37531"/>
    <cellStyle name="표준 12 2 2 2 2 2 2" xfId="37532"/>
    <cellStyle name="표준 12 2 2 2 2 2 3" xfId="37533"/>
    <cellStyle name="표준 12 2 2 2 2 3" xfId="37534"/>
    <cellStyle name="표준 12 2 2 2 2 4" xfId="37535"/>
    <cellStyle name="표준 12 2 2 2 3" xfId="37536"/>
    <cellStyle name="표준 12 2 2 2 3 2" xfId="37537"/>
    <cellStyle name="표준 12 2 2 2 3 3" xfId="37538"/>
    <cellStyle name="표준 12 2 2 2 4" xfId="37539"/>
    <cellStyle name="표준 12 2 2 2 5" xfId="37540"/>
    <cellStyle name="표준 12 2 2 3" xfId="37541"/>
    <cellStyle name="표준 12 2 2 3 2" xfId="37542"/>
    <cellStyle name="표준 12 2 2 3 2 2" xfId="37543"/>
    <cellStyle name="표준 12 2 2 3 2 2 2" xfId="37544"/>
    <cellStyle name="표준 12 2 2 3 2 2 3" xfId="37545"/>
    <cellStyle name="표준 12 2 2 3 2 3" xfId="37546"/>
    <cellStyle name="표준 12 2 2 3 2 4" xfId="37547"/>
    <cellStyle name="표준 12 2 2 3 3" xfId="37548"/>
    <cellStyle name="표준 12 2 2 3 3 2" xfId="37549"/>
    <cellStyle name="표준 12 2 2 3 3 3" xfId="37550"/>
    <cellStyle name="표준 12 2 2 3 4" xfId="37551"/>
    <cellStyle name="표준 12 2 2 3 5" xfId="37552"/>
    <cellStyle name="표준 12 2 2 4" xfId="37553"/>
    <cellStyle name="표준 12 2 2 4 2" xfId="37554"/>
    <cellStyle name="표준 12 2 2 4 2 2" xfId="37555"/>
    <cellStyle name="표준 12 2 2 4 2 3" xfId="37556"/>
    <cellStyle name="표준 12 2 2 4 3" xfId="37557"/>
    <cellStyle name="표준 12 2 2 4 4" xfId="37558"/>
    <cellStyle name="표준 12 2 2 5" xfId="37559"/>
    <cellStyle name="표준 12 2 2 5 2" xfId="37560"/>
    <cellStyle name="표준 12 2 2 5 3" xfId="37561"/>
    <cellStyle name="표준 12 2 2 6" xfId="37562"/>
    <cellStyle name="표준 12 2 2 7" xfId="37563"/>
    <cellStyle name="표준 12 2 2 8" xfId="37564"/>
    <cellStyle name="표준 12 2 3" xfId="37565"/>
    <cellStyle name="표준 12 2 3 2" xfId="37566"/>
    <cellStyle name="표준 12 2 3 2 2" xfId="37567"/>
    <cellStyle name="표준 12 2 3 2 2 2" xfId="37568"/>
    <cellStyle name="표준 12 2 3 2 2 2 2" xfId="37569"/>
    <cellStyle name="표준 12 2 3 2 2 2 3" xfId="37570"/>
    <cellStyle name="표준 12 2 3 2 2 3" xfId="37571"/>
    <cellStyle name="표준 12 2 3 2 2 4" xfId="37572"/>
    <cellStyle name="표준 12 2 3 2 3" xfId="37573"/>
    <cellStyle name="표준 12 2 3 2 3 2" xfId="37574"/>
    <cellStyle name="표준 12 2 3 2 3 3" xfId="37575"/>
    <cellStyle name="표준 12 2 3 2 4" xfId="37576"/>
    <cellStyle name="표준 12 2 3 2 5" xfId="37577"/>
    <cellStyle name="표준 12 2 3 3" xfId="37578"/>
    <cellStyle name="표준 12 2 3 3 2" xfId="37579"/>
    <cellStyle name="표준 12 2 3 3 2 2" xfId="37580"/>
    <cellStyle name="표준 12 2 3 3 2 2 2" xfId="37581"/>
    <cellStyle name="표준 12 2 3 3 2 2 3" xfId="37582"/>
    <cellStyle name="표준 12 2 3 3 2 3" xfId="37583"/>
    <cellStyle name="표준 12 2 3 3 2 4" xfId="37584"/>
    <cellStyle name="표준 12 2 3 3 3" xfId="37585"/>
    <cellStyle name="표준 12 2 3 3 3 2" xfId="37586"/>
    <cellStyle name="표준 12 2 3 3 3 3" xfId="37587"/>
    <cellStyle name="표준 12 2 3 3 4" xfId="37588"/>
    <cellStyle name="표준 12 2 3 3 5" xfId="37589"/>
    <cellStyle name="표준 12 2 3 4" xfId="37590"/>
    <cellStyle name="표준 12 2 3 4 2" xfId="37591"/>
    <cellStyle name="표준 12 2 3 4 2 2" xfId="37592"/>
    <cellStyle name="표준 12 2 3 4 2 3" xfId="37593"/>
    <cellStyle name="표준 12 2 3 4 3" xfId="37594"/>
    <cellStyle name="표준 12 2 3 4 4" xfId="37595"/>
    <cellStyle name="표준 12 2 3 5" xfId="37596"/>
    <cellStyle name="표준 12 2 3 5 2" xfId="37597"/>
    <cellStyle name="표준 12 2 3 5 3" xfId="37598"/>
    <cellStyle name="표준 12 2 3 6" xfId="37599"/>
    <cellStyle name="표준 12 2 3 7" xfId="37600"/>
    <cellStyle name="표준 12 2 4" xfId="37601"/>
    <cellStyle name="표준 12 2 4 2" xfId="37602"/>
    <cellStyle name="표준 12 2 4 2 2" xfId="37603"/>
    <cellStyle name="표준 12 2 4 2 2 2" xfId="37604"/>
    <cellStyle name="표준 12 2 4 2 2 3" xfId="37605"/>
    <cellStyle name="표준 12 2 4 2 3" xfId="37606"/>
    <cellStyle name="표준 12 2 4 2 4" xfId="37607"/>
    <cellStyle name="표준 12 2 4 3" xfId="37608"/>
    <cellStyle name="표준 12 2 4 3 2" xfId="37609"/>
    <cellStyle name="표준 12 2 4 3 3" xfId="37610"/>
    <cellStyle name="표준 12 2 4 4" xfId="37611"/>
    <cellStyle name="표준 12 2 4 5" xfId="37612"/>
    <cellStyle name="표준 12 2 5" xfId="37613"/>
    <cellStyle name="표준 12 2 5 2" xfId="37614"/>
    <cellStyle name="표준 12 2 5 2 2" xfId="37615"/>
    <cellStyle name="표준 12 2 5 2 2 2" xfId="37616"/>
    <cellStyle name="표준 12 2 5 2 2 3" xfId="37617"/>
    <cellStyle name="표준 12 2 5 2 3" xfId="37618"/>
    <cellStyle name="표준 12 2 5 2 4" xfId="37619"/>
    <cellStyle name="표준 12 2 5 3" xfId="37620"/>
    <cellStyle name="표준 12 2 5 3 2" xfId="37621"/>
    <cellStyle name="표준 12 2 5 3 3" xfId="37622"/>
    <cellStyle name="표준 12 2 5 4" xfId="37623"/>
    <cellStyle name="표준 12 2 5 5" xfId="37624"/>
    <cellStyle name="표준 12 2 6" xfId="37625"/>
    <cellStyle name="표준 12 2 6 2" xfId="37626"/>
    <cellStyle name="표준 12 2 6 2 2" xfId="37627"/>
    <cellStyle name="표준 12 2 6 2 2 2" xfId="37628"/>
    <cellStyle name="표준 12 2 6 2 2 3" xfId="37629"/>
    <cellStyle name="표준 12 2 6 2 3" xfId="37630"/>
    <cellStyle name="표준 12 2 6 2 4" xfId="37631"/>
    <cellStyle name="표준 12 2 6 3" xfId="37632"/>
    <cellStyle name="표준 12 2 6 3 2" xfId="37633"/>
    <cellStyle name="표준 12 2 6 3 3" xfId="37634"/>
    <cellStyle name="표준 12 2 6 4" xfId="37635"/>
    <cellStyle name="표준 12 2 6 5" xfId="37636"/>
    <cellStyle name="표준 12 2 7" xfId="37637"/>
    <cellStyle name="표준 12 2 7 2" xfId="37638"/>
    <cellStyle name="표준 12 2 7 2 2" xfId="37639"/>
    <cellStyle name="표준 12 2 7 2 3" xfId="37640"/>
    <cellStyle name="표준 12 2 7 3" xfId="37641"/>
    <cellStyle name="표준 12 2 7 4" xfId="37642"/>
    <cellStyle name="표준 12 2 8" xfId="37643"/>
    <cellStyle name="표준 12 2 8 2" xfId="37644"/>
    <cellStyle name="표준 12 2 8 3" xfId="37645"/>
    <cellStyle name="표준 12 2 9" xfId="37646"/>
    <cellStyle name="표준 12 3" xfId="37647"/>
    <cellStyle name="표준 12 3 10" xfId="37648"/>
    <cellStyle name="표준 12 3 11" xfId="37649"/>
    <cellStyle name="표준 12 3 2" xfId="37650"/>
    <cellStyle name="표준 12 3 2 2" xfId="37651"/>
    <cellStyle name="표준 12 3 2 2 2" xfId="37652"/>
    <cellStyle name="표준 12 3 2 2 2 2" xfId="37653"/>
    <cellStyle name="표준 12 3 2 2 2 2 2" xfId="37654"/>
    <cellStyle name="표준 12 3 2 2 2 2 3" xfId="37655"/>
    <cellStyle name="표준 12 3 2 2 2 3" xfId="37656"/>
    <cellStyle name="표준 12 3 2 2 2 4" xfId="37657"/>
    <cellStyle name="표준 12 3 2 2 3" xfId="37658"/>
    <cellStyle name="표준 12 3 2 2 3 2" xfId="37659"/>
    <cellStyle name="표준 12 3 2 2 3 3" xfId="37660"/>
    <cellStyle name="표준 12 3 2 2 4" xfId="37661"/>
    <cellStyle name="표준 12 3 2 2 5" xfId="37662"/>
    <cellStyle name="표준 12 3 2 3" xfId="37663"/>
    <cellStyle name="표준 12 3 2 3 2" xfId="37664"/>
    <cellStyle name="표준 12 3 2 3 2 2" xfId="37665"/>
    <cellStyle name="표준 12 3 2 3 2 2 2" xfId="37666"/>
    <cellStyle name="표준 12 3 2 3 2 2 3" xfId="37667"/>
    <cellStyle name="표준 12 3 2 3 2 3" xfId="37668"/>
    <cellStyle name="표준 12 3 2 3 2 4" xfId="37669"/>
    <cellStyle name="표준 12 3 2 3 3" xfId="37670"/>
    <cellStyle name="표준 12 3 2 3 3 2" xfId="37671"/>
    <cellStyle name="표준 12 3 2 3 3 3" xfId="37672"/>
    <cellStyle name="표준 12 3 2 3 4" xfId="37673"/>
    <cellStyle name="표준 12 3 2 3 5" xfId="37674"/>
    <cellStyle name="표준 12 3 2 4" xfId="37675"/>
    <cellStyle name="표준 12 3 2 4 2" xfId="37676"/>
    <cellStyle name="표준 12 3 2 4 2 2" xfId="37677"/>
    <cellStyle name="표준 12 3 2 4 2 3" xfId="37678"/>
    <cellStyle name="표준 12 3 2 4 3" xfId="37679"/>
    <cellStyle name="표준 12 3 2 4 4" xfId="37680"/>
    <cellStyle name="표준 12 3 2 5" xfId="37681"/>
    <cellStyle name="표준 12 3 2 5 2" xfId="37682"/>
    <cellStyle name="표준 12 3 2 5 3" xfId="37683"/>
    <cellStyle name="표준 12 3 2 6" xfId="37684"/>
    <cellStyle name="표준 12 3 2 7" xfId="37685"/>
    <cellStyle name="표준 12 3 3" xfId="37686"/>
    <cellStyle name="표준 12 3 3 2" xfId="37687"/>
    <cellStyle name="표준 12 3 3 2 2" xfId="37688"/>
    <cellStyle name="표준 12 3 3 2 2 2" xfId="37689"/>
    <cellStyle name="표준 12 3 3 2 2 2 2" xfId="37690"/>
    <cellStyle name="표준 12 3 3 2 2 2 3" xfId="37691"/>
    <cellStyle name="표준 12 3 3 2 2 3" xfId="37692"/>
    <cellStyle name="표준 12 3 3 2 2 4" xfId="37693"/>
    <cellStyle name="표준 12 3 3 2 3" xfId="37694"/>
    <cellStyle name="표준 12 3 3 2 3 2" xfId="37695"/>
    <cellStyle name="표준 12 3 3 2 3 3" xfId="37696"/>
    <cellStyle name="표준 12 3 3 2 4" xfId="37697"/>
    <cellStyle name="표준 12 3 3 2 5" xfId="37698"/>
    <cellStyle name="표준 12 3 3 3" xfId="37699"/>
    <cellStyle name="표준 12 3 3 3 2" xfId="37700"/>
    <cellStyle name="표준 12 3 3 3 2 2" xfId="37701"/>
    <cellStyle name="표준 12 3 3 3 2 2 2" xfId="37702"/>
    <cellStyle name="표준 12 3 3 3 2 2 3" xfId="37703"/>
    <cellStyle name="표준 12 3 3 3 2 3" xfId="37704"/>
    <cellStyle name="표준 12 3 3 3 2 4" xfId="37705"/>
    <cellStyle name="표준 12 3 3 3 3" xfId="37706"/>
    <cellStyle name="표준 12 3 3 3 3 2" xfId="37707"/>
    <cellStyle name="표준 12 3 3 3 3 3" xfId="37708"/>
    <cellStyle name="표준 12 3 3 3 4" xfId="37709"/>
    <cellStyle name="표준 12 3 3 3 5" xfId="37710"/>
    <cellStyle name="표준 12 3 3 4" xfId="37711"/>
    <cellStyle name="표준 12 3 3 4 2" xfId="37712"/>
    <cellStyle name="표준 12 3 3 4 2 2" xfId="37713"/>
    <cellStyle name="표준 12 3 3 4 2 3" xfId="37714"/>
    <cellStyle name="표준 12 3 3 4 3" xfId="37715"/>
    <cellStyle name="표준 12 3 3 4 4" xfId="37716"/>
    <cellStyle name="표준 12 3 3 5" xfId="37717"/>
    <cellStyle name="표준 12 3 3 5 2" xfId="37718"/>
    <cellStyle name="표준 12 3 3 5 3" xfId="37719"/>
    <cellStyle name="표준 12 3 3 6" xfId="37720"/>
    <cellStyle name="표준 12 3 3 7" xfId="37721"/>
    <cellStyle name="표준 12 3 4" xfId="37722"/>
    <cellStyle name="표준 12 3 4 2" xfId="37723"/>
    <cellStyle name="표준 12 3 4 2 2" xfId="37724"/>
    <cellStyle name="표준 12 3 4 2 2 2" xfId="37725"/>
    <cellStyle name="표준 12 3 4 2 2 3" xfId="37726"/>
    <cellStyle name="표준 12 3 4 2 3" xfId="37727"/>
    <cellStyle name="표준 12 3 4 2 4" xfId="37728"/>
    <cellStyle name="표준 12 3 4 3" xfId="37729"/>
    <cellStyle name="표준 12 3 4 3 2" xfId="37730"/>
    <cellStyle name="표준 12 3 4 3 3" xfId="37731"/>
    <cellStyle name="표준 12 3 4 4" xfId="37732"/>
    <cellStyle name="표준 12 3 4 5" xfId="37733"/>
    <cellStyle name="표준 12 3 5" xfId="37734"/>
    <cellStyle name="표준 12 3 5 2" xfId="37735"/>
    <cellStyle name="표준 12 3 5 2 2" xfId="37736"/>
    <cellStyle name="표준 12 3 5 2 2 2" xfId="37737"/>
    <cellStyle name="표준 12 3 5 2 2 3" xfId="37738"/>
    <cellStyle name="표준 12 3 5 2 3" xfId="37739"/>
    <cellStyle name="표준 12 3 5 2 4" xfId="37740"/>
    <cellStyle name="표준 12 3 5 3" xfId="37741"/>
    <cellStyle name="표준 12 3 5 3 2" xfId="37742"/>
    <cellStyle name="표준 12 3 5 3 3" xfId="37743"/>
    <cellStyle name="표준 12 3 5 4" xfId="37744"/>
    <cellStyle name="표준 12 3 5 5" xfId="37745"/>
    <cellStyle name="표준 12 3 6" xfId="37746"/>
    <cellStyle name="표준 12 3 6 2" xfId="37747"/>
    <cellStyle name="표준 12 3 6 2 2" xfId="37748"/>
    <cellStyle name="표준 12 3 6 2 2 2" xfId="37749"/>
    <cellStyle name="표준 12 3 6 2 2 3" xfId="37750"/>
    <cellStyle name="표준 12 3 6 2 3" xfId="37751"/>
    <cellStyle name="표준 12 3 6 2 4" xfId="37752"/>
    <cellStyle name="표준 12 3 6 3" xfId="37753"/>
    <cellStyle name="표준 12 3 6 3 2" xfId="37754"/>
    <cellStyle name="표준 12 3 6 3 3" xfId="37755"/>
    <cellStyle name="표준 12 3 6 4" xfId="37756"/>
    <cellStyle name="표준 12 3 6 5" xfId="37757"/>
    <cellStyle name="표준 12 3 7" xfId="37758"/>
    <cellStyle name="표준 12 3 7 2" xfId="37759"/>
    <cellStyle name="표준 12 3 7 2 2" xfId="37760"/>
    <cellStyle name="표준 12 3 7 2 3" xfId="37761"/>
    <cellStyle name="표준 12 3 7 3" xfId="37762"/>
    <cellStyle name="표준 12 3 7 4" xfId="37763"/>
    <cellStyle name="표준 12 3 8" xfId="37764"/>
    <cellStyle name="표준 12 3 8 2" xfId="37765"/>
    <cellStyle name="표준 12 3 8 3" xfId="37766"/>
    <cellStyle name="표준 12 3 9" xfId="37767"/>
    <cellStyle name="표준 12 4" xfId="37768"/>
    <cellStyle name="표준 12 4 10" xfId="37769"/>
    <cellStyle name="표준 12 4 11" xfId="37770"/>
    <cellStyle name="표준 12 4 2" xfId="37771"/>
    <cellStyle name="표준 12 4 2 2" xfId="37772"/>
    <cellStyle name="표준 12 4 2 2 2" xfId="37773"/>
    <cellStyle name="표준 12 4 2 2 2 2" xfId="37774"/>
    <cellStyle name="표준 12 4 2 2 2 2 2" xfId="37775"/>
    <cellStyle name="표준 12 4 2 2 2 2 3" xfId="37776"/>
    <cellStyle name="표준 12 4 2 2 2 3" xfId="37777"/>
    <cellStyle name="표준 12 4 2 2 2 4" xfId="37778"/>
    <cellStyle name="표준 12 4 2 2 3" xfId="37779"/>
    <cellStyle name="표준 12 4 2 2 3 2" xfId="37780"/>
    <cellStyle name="표준 12 4 2 2 3 3" xfId="37781"/>
    <cellStyle name="표준 12 4 2 2 4" xfId="37782"/>
    <cellStyle name="표준 12 4 2 2 5" xfId="37783"/>
    <cellStyle name="표준 12 4 2 3" xfId="37784"/>
    <cellStyle name="표준 12 4 2 3 2" xfId="37785"/>
    <cellStyle name="표준 12 4 2 3 2 2" xfId="37786"/>
    <cellStyle name="표준 12 4 2 3 2 2 2" xfId="37787"/>
    <cellStyle name="표준 12 4 2 3 2 2 3" xfId="37788"/>
    <cellStyle name="표준 12 4 2 3 2 3" xfId="37789"/>
    <cellStyle name="표준 12 4 2 3 2 4" xfId="37790"/>
    <cellStyle name="표준 12 4 2 3 3" xfId="37791"/>
    <cellStyle name="표준 12 4 2 3 3 2" xfId="37792"/>
    <cellStyle name="표준 12 4 2 3 3 3" xfId="37793"/>
    <cellStyle name="표준 12 4 2 3 4" xfId="37794"/>
    <cellStyle name="표준 12 4 2 3 5" xfId="37795"/>
    <cellStyle name="표준 12 4 2 4" xfId="37796"/>
    <cellStyle name="표준 12 4 2 4 2" xfId="37797"/>
    <cellStyle name="표준 12 4 2 4 2 2" xfId="37798"/>
    <cellStyle name="표준 12 4 2 4 2 3" xfId="37799"/>
    <cellStyle name="표준 12 4 2 4 3" xfId="37800"/>
    <cellStyle name="표준 12 4 2 4 4" xfId="37801"/>
    <cellStyle name="표준 12 4 2 5" xfId="37802"/>
    <cellStyle name="표준 12 4 2 5 2" xfId="37803"/>
    <cellStyle name="표준 12 4 2 5 3" xfId="37804"/>
    <cellStyle name="표준 12 4 2 6" xfId="37805"/>
    <cellStyle name="표준 12 4 2 7" xfId="37806"/>
    <cellStyle name="표준 12 4 3" xfId="37807"/>
    <cellStyle name="표준 12 4 3 2" xfId="37808"/>
    <cellStyle name="표준 12 4 3 2 2" xfId="37809"/>
    <cellStyle name="표준 12 4 3 2 2 2" xfId="37810"/>
    <cellStyle name="표준 12 4 3 2 2 2 2" xfId="37811"/>
    <cellStyle name="표준 12 4 3 2 2 2 3" xfId="37812"/>
    <cellStyle name="표준 12 4 3 2 2 3" xfId="37813"/>
    <cellStyle name="표준 12 4 3 2 2 4" xfId="37814"/>
    <cellStyle name="표준 12 4 3 2 3" xfId="37815"/>
    <cellStyle name="표준 12 4 3 2 3 2" xfId="37816"/>
    <cellStyle name="표준 12 4 3 2 3 3" xfId="37817"/>
    <cellStyle name="표준 12 4 3 2 4" xfId="37818"/>
    <cellStyle name="표준 12 4 3 2 5" xfId="37819"/>
    <cellStyle name="표준 12 4 3 3" xfId="37820"/>
    <cellStyle name="표준 12 4 3 3 2" xfId="37821"/>
    <cellStyle name="표준 12 4 3 3 2 2" xfId="37822"/>
    <cellStyle name="표준 12 4 3 3 2 2 2" xfId="37823"/>
    <cellStyle name="표준 12 4 3 3 2 2 3" xfId="37824"/>
    <cellStyle name="표준 12 4 3 3 2 3" xfId="37825"/>
    <cellStyle name="표준 12 4 3 3 2 4" xfId="37826"/>
    <cellStyle name="표준 12 4 3 3 3" xfId="37827"/>
    <cellStyle name="표준 12 4 3 3 3 2" xfId="37828"/>
    <cellStyle name="표준 12 4 3 3 3 3" xfId="37829"/>
    <cellStyle name="표준 12 4 3 3 4" xfId="37830"/>
    <cellStyle name="표준 12 4 3 3 5" xfId="37831"/>
    <cellStyle name="표준 12 4 3 4" xfId="37832"/>
    <cellStyle name="표준 12 4 3 4 2" xfId="37833"/>
    <cellStyle name="표준 12 4 3 4 2 2" xfId="37834"/>
    <cellStyle name="표준 12 4 3 4 2 3" xfId="37835"/>
    <cellStyle name="표준 12 4 3 4 3" xfId="37836"/>
    <cellStyle name="표준 12 4 3 4 4" xfId="37837"/>
    <cellStyle name="표준 12 4 3 5" xfId="37838"/>
    <cellStyle name="표준 12 4 3 5 2" xfId="37839"/>
    <cellStyle name="표준 12 4 3 5 3" xfId="37840"/>
    <cellStyle name="표준 12 4 3 6" xfId="37841"/>
    <cellStyle name="표준 12 4 3 7" xfId="37842"/>
    <cellStyle name="표준 12 4 4" xfId="37843"/>
    <cellStyle name="표준 12 4 4 2" xfId="37844"/>
    <cellStyle name="표준 12 4 4 2 2" xfId="37845"/>
    <cellStyle name="표준 12 4 4 2 2 2" xfId="37846"/>
    <cellStyle name="표준 12 4 4 2 2 3" xfId="37847"/>
    <cellStyle name="표준 12 4 4 2 3" xfId="37848"/>
    <cellStyle name="표준 12 4 4 2 4" xfId="37849"/>
    <cellStyle name="표준 12 4 4 3" xfId="37850"/>
    <cellStyle name="표준 12 4 4 3 2" xfId="37851"/>
    <cellStyle name="표준 12 4 4 3 3" xfId="37852"/>
    <cellStyle name="표준 12 4 4 4" xfId="37853"/>
    <cellStyle name="표준 12 4 4 5" xfId="37854"/>
    <cellStyle name="표준 12 4 5" xfId="37855"/>
    <cellStyle name="표준 12 4 5 2" xfId="37856"/>
    <cellStyle name="표준 12 4 5 2 2" xfId="37857"/>
    <cellStyle name="표준 12 4 5 2 2 2" xfId="37858"/>
    <cellStyle name="표준 12 4 5 2 2 3" xfId="37859"/>
    <cellStyle name="표준 12 4 5 2 3" xfId="37860"/>
    <cellStyle name="표준 12 4 5 2 4" xfId="37861"/>
    <cellStyle name="표준 12 4 5 3" xfId="37862"/>
    <cellStyle name="표준 12 4 5 3 2" xfId="37863"/>
    <cellStyle name="표준 12 4 5 3 3" xfId="37864"/>
    <cellStyle name="표준 12 4 5 4" xfId="37865"/>
    <cellStyle name="표준 12 4 5 5" xfId="37866"/>
    <cellStyle name="표준 12 4 6" xfId="37867"/>
    <cellStyle name="표준 12 4 6 2" xfId="37868"/>
    <cellStyle name="표준 12 4 6 2 2" xfId="37869"/>
    <cellStyle name="표준 12 4 6 2 2 2" xfId="37870"/>
    <cellStyle name="표준 12 4 6 2 2 3" xfId="37871"/>
    <cellStyle name="표준 12 4 6 2 3" xfId="37872"/>
    <cellStyle name="표준 12 4 6 2 4" xfId="37873"/>
    <cellStyle name="표준 12 4 6 3" xfId="37874"/>
    <cellStyle name="표준 12 4 6 3 2" xfId="37875"/>
    <cellStyle name="표준 12 4 6 3 3" xfId="37876"/>
    <cellStyle name="표준 12 4 6 4" xfId="37877"/>
    <cellStyle name="표준 12 4 6 5" xfId="37878"/>
    <cellStyle name="표준 12 4 7" xfId="37879"/>
    <cellStyle name="표준 12 4 7 2" xfId="37880"/>
    <cellStyle name="표준 12 4 7 2 2" xfId="37881"/>
    <cellStyle name="표준 12 4 7 2 3" xfId="37882"/>
    <cellStyle name="표준 12 4 7 3" xfId="37883"/>
    <cellStyle name="표준 12 4 7 4" xfId="37884"/>
    <cellStyle name="표준 12 4 8" xfId="37885"/>
    <cellStyle name="표준 12 4 8 2" xfId="37886"/>
    <cellStyle name="표준 12 4 8 3" xfId="37887"/>
    <cellStyle name="표준 12 4 9" xfId="37888"/>
    <cellStyle name="표준 12 5" xfId="37889"/>
    <cellStyle name="표준 12 5 2" xfId="37890"/>
    <cellStyle name="표준 12 5 2 2" xfId="37891"/>
    <cellStyle name="표준 12 5 2 2 2" xfId="37892"/>
    <cellStyle name="표준 12 5 2 2 2 2" xfId="37893"/>
    <cellStyle name="표준 12 5 2 2 2 3" xfId="37894"/>
    <cellStyle name="표준 12 5 2 2 3" xfId="37895"/>
    <cellStyle name="표준 12 5 2 2 4" xfId="37896"/>
    <cellStyle name="표준 12 5 2 3" xfId="37897"/>
    <cellStyle name="표준 12 5 2 3 2" xfId="37898"/>
    <cellStyle name="표준 12 5 2 3 3" xfId="37899"/>
    <cellStyle name="표준 12 5 2 4" xfId="37900"/>
    <cellStyle name="표준 12 5 2 5" xfId="37901"/>
    <cellStyle name="표준 12 5 3" xfId="37902"/>
    <cellStyle name="표준 12 5 3 2" xfId="37903"/>
    <cellStyle name="표준 12 5 3 2 2" xfId="37904"/>
    <cellStyle name="표준 12 5 3 2 2 2" xfId="37905"/>
    <cellStyle name="표준 12 5 3 2 2 3" xfId="37906"/>
    <cellStyle name="표준 12 5 3 2 3" xfId="37907"/>
    <cellStyle name="표준 12 5 3 2 4" xfId="37908"/>
    <cellStyle name="표준 12 5 3 3" xfId="37909"/>
    <cellStyle name="표준 12 5 3 3 2" xfId="37910"/>
    <cellStyle name="표준 12 5 3 3 3" xfId="37911"/>
    <cellStyle name="표준 12 5 3 4" xfId="37912"/>
    <cellStyle name="표준 12 5 3 5" xfId="37913"/>
    <cellStyle name="표준 12 5 4" xfId="37914"/>
    <cellStyle name="표준 12 5 4 2" xfId="37915"/>
    <cellStyle name="표준 12 5 4 2 2" xfId="37916"/>
    <cellStyle name="표준 12 5 4 2 3" xfId="37917"/>
    <cellStyle name="표준 12 5 4 3" xfId="37918"/>
    <cellStyle name="표준 12 5 4 4" xfId="37919"/>
    <cellStyle name="표준 12 5 5" xfId="37920"/>
    <cellStyle name="표준 12 5 5 2" xfId="37921"/>
    <cellStyle name="표준 12 5 5 3" xfId="37922"/>
    <cellStyle name="표준 12 5 6" xfId="37923"/>
    <cellStyle name="표준 12 5 7" xfId="37924"/>
    <cellStyle name="표준 12 5 8" xfId="37925"/>
    <cellStyle name="표준 12 6" xfId="37926"/>
    <cellStyle name="표준 12 6 2" xfId="37927"/>
    <cellStyle name="표준 12 6 2 2" xfId="37928"/>
    <cellStyle name="표준 12 6 2 2 2" xfId="37929"/>
    <cellStyle name="표준 12 6 2 2 2 2" xfId="37930"/>
    <cellStyle name="표준 12 6 2 2 2 3" xfId="37931"/>
    <cellStyle name="표준 12 6 2 2 3" xfId="37932"/>
    <cellStyle name="표준 12 6 2 2 4" xfId="37933"/>
    <cellStyle name="표준 12 6 2 3" xfId="37934"/>
    <cellStyle name="표준 12 6 2 3 2" xfId="37935"/>
    <cellStyle name="표준 12 6 2 3 3" xfId="37936"/>
    <cellStyle name="표준 12 6 2 4" xfId="37937"/>
    <cellStyle name="표준 12 6 2 5" xfId="37938"/>
    <cellStyle name="표준 12 6 3" xfId="37939"/>
    <cellStyle name="표준 12 6 3 2" xfId="37940"/>
    <cellStyle name="표준 12 6 3 2 2" xfId="37941"/>
    <cellStyle name="표준 12 6 3 2 2 2" xfId="37942"/>
    <cellStyle name="표준 12 6 3 2 2 3" xfId="37943"/>
    <cellStyle name="표준 12 6 3 2 3" xfId="37944"/>
    <cellStyle name="표준 12 6 3 2 4" xfId="37945"/>
    <cellStyle name="표준 12 6 3 3" xfId="37946"/>
    <cellStyle name="표준 12 6 3 3 2" xfId="37947"/>
    <cellStyle name="표준 12 6 3 3 3" xfId="37948"/>
    <cellStyle name="표준 12 6 3 4" xfId="37949"/>
    <cellStyle name="표준 12 6 3 5" xfId="37950"/>
    <cellStyle name="표준 12 6 4" xfId="37951"/>
    <cellStyle name="표준 12 6 4 2" xfId="37952"/>
    <cellStyle name="표준 12 6 4 2 2" xfId="37953"/>
    <cellStyle name="표준 12 6 4 2 3" xfId="37954"/>
    <cellStyle name="표준 12 6 4 3" xfId="37955"/>
    <cellStyle name="표준 12 6 4 4" xfId="37956"/>
    <cellStyle name="표준 12 6 5" xfId="37957"/>
    <cellStyle name="표준 12 6 5 2" xfId="37958"/>
    <cellStyle name="표준 12 6 5 3" xfId="37959"/>
    <cellStyle name="표준 12 6 6" xfId="37960"/>
    <cellStyle name="표준 12 6 7" xfId="37961"/>
    <cellStyle name="표준 12 6 8" xfId="37962"/>
    <cellStyle name="표준 12 7" xfId="37963"/>
    <cellStyle name="표준 12 7 2" xfId="37964"/>
    <cellStyle name="표준 12 7 2 2" xfId="37965"/>
    <cellStyle name="표준 12 7 2 2 2" xfId="37966"/>
    <cellStyle name="표준 12 7 2 2 3" xfId="37967"/>
    <cellStyle name="표준 12 7 2 3" xfId="37968"/>
    <cellStyle name="표준 12 7 2 4" xfId="37969"/>
    <cellStyle name="표준 12 7 3" xfId="37970"/>
    <cellStyle name="표준 12 7 3 2" xfId="37971"/>
    <cellStyle name="표준 12 7 3 3" xfId="37972"/>
    <cellStyle name="표준 12 7 4" xfId="37973"/>
    <cellStyle name="표준 12 7 5" xfId="37974"/>
    <cellStyle name="표준 12 7 6" xfId="37975"/>
    <cellStyle name="표준 12 8" xfId="37976"/>
    <cellStyle name="표준 12 8 2" xfId="37977"/>
    <cellStyle name="표준 12 8 2 2" xfId="37978"/>
    <cellStyle name="표준 12 8 2 2 2" xfId="37979"/>
    <cellStyle name="표준 12 8 2 2 3" xfId="37980"/>
    <cellStyle name="표준 12 8 2 3" xfId="37981"/>
    <cellStyle name="표준 12 8 2 4" xfId="37982"/>
    <cellStyle name="표준 12 8 3" xfId="37983"/>
    <cellStyle name="표준 12 8 3 2" xfId="37984"/>
    <cellStyle name="표준 12 8 3 3" xfId="37985"/>
    <cellStyle name="표준 12 8 4" xfId="37986"/>
    <cellStyle name="표준 12 8 5" xfId="37987"/>
    <cellStyle name="표준 12 9" xfId="37988"/>
    <cellStyle name="표준 12 9 2" xfId="37989"/>
    <cellStyle name="표준 12 9 2 2" xfId="37990"/>
    <cellStyle name="표준 12 9 2 2 2" xfId="37991"/>
    <cellStyle name="표준 12 9 2 2 3" xfId="37992"/>
    <cellStyle name="표준 12 9 2 3" xfId="37993"/>
    <cellStyle name="표준 12 9 2 4" xfId="37994"/>
    <cellStyle name="표준 12 9 3" xfId="37995"/>
    <cellStyle name="표준 12 9 3 2" xfId="37996"/>
    <cellStyle name="표준 12 9 3 3" xfId="37997"/>
    <cellStyle name="표준 12 9 4" xfId="37998"/>
    <cellStyle name="표준 12 9 5" xfId="37999"/>
    <cellStyle name="표준 120" xfId="38000"/>
    <cellStyle name="표준 121" xfId="38001"/>
    <cellStyle name="표준 122" xfId="38002"/>
    <cellStyle name="표준 123" xfId="38003"/>
    <cellStyle name="표준 124" xfId="38004"/>
    <cellStyle name="표준 125" xfId="38005"/>
    <cellStyle name="표준 126" xfId="38006"/>
    <cellStyle name="표준 127" xfId="38007"/>
    <cellStyle name="표준 128" xfId="38008"/>
    <cellStyle name="표준 129" xfId="38009"/>
    <cellStyle name="표준 13" xfId="38010"/>
    <cellStyle name="표준 13 2" xfId="38011"/>
    <cellStyle name="표준 13 2 2" xfId="38012"/>
    <cellStyle name="표준 13 2 2 2" xfId="38013"/>
    <cellStyle name="표준 13 2 2 2 2" xfId="38014"/>
    <cellStyle name="표준 13 2 2 2 3" xfId="38015"/>
    <cellStyle name="표준 13 2 2 3" xfId="38016"/>
    <cellStyle name="표준 13 2 2 4" xfId="38017"/>
    <cellStyle name="표준 13 2 3" xfId="38018"/>
    <cellStyle name="표준 13 2 3 2" xfId="38019"/>
    <cellStyle name="표준 13 2 3 3" xfId="38020"/>
    <cellStyle name="표준 13 2 4" xfId="38021"/>
    <cellStyle name="표준 13 2 5" xfId="38022"/>
    <cellStyle name="표준 13 3" xfId="38023"/>
    <cellStyle name="표준 13 3 2" xfId="38024"/>
    <cellStyle name="표준 13 3 2 2" xfId="38025"/>
    <cellStyle name="표준 13 3 2 2 2" xfId="38026"/>
    <cellStyle name="표준 13 3 2 2 3" xfId="38027"/>
    <cellStyle name="표준 13 3 2 3" xfId="38028"/>
    <cellStyle name="표준 13 3 2 4" xfId="38029"/>
    <cellStyle name="표준 13 3 3" xfId="38030"/>
    <cellStyle name="표준 13 3 3 2" xfId="38031"/>
    <cellStyle name="표준 13 3 3 3" xfId="38032"/>
    <cellStyle name="표준 13 3 4" xfId="38033"/>
    <cellStyle name="표준 13 3 5" xfId="38034"/>
    <cellStyle name="표준 13 4" xfId="38035"/>
    <cellStyle name="표준 13 4 2" xfId="38036"/>
    <cellStyle name="표준 13 4 2 2" xfId="38037"/>
    <cellStyle name="표준 13 4 2 3" xfId="38038"/>
    <cellStyle name="표준 13 4 3" xfId="38039"/>
    <cellStyle name="표준 13 4 4" xfId="38040"/>
    <cellStyle name="표준 13 5" xfId="38041"/>
    <cellStyle name="표준 13 5 2" xfId="38042"/>
    <cellStyle name="표준 13 5 3" xfId="38043"/>
    <cellStyle name="표준 13 6" xfId="38044"/>
    <cellStyle name="표준 13 7" xfId="38045"/>
    <cellStyle name="표준 13 8" xfId="38046"/>
    <cellStyle name="표준 130" xfId="38047"/>
    <cellStyle name="표준 131" xfId="38048"/>
    <cellStyle name="표준 132" xfId="38049"/>
    <cellStyle name="표준 133" xfId="38050"/>
    <cellStyle name="표준 134" xfId="38051"/>
    <cellStyle name="표준 135" xfId="38052"/>
    <cellStyle name="표준 136" xfId="38053"/>
    <cellStyle name="표준 137" xfId="38054"/>
    <cellStyle name="표준 138" xfId="38055"/>
    <cellStyle name="표준 139" xfId="38056"/>
    <cellStyle name="표준 14" xfId="38057"/>
    <cellStyle name="표준 14 2" xfId="38058"/>
    <cellStyle name="표준 14 2 2" xfId="38059"/>
    <cellStyle name="표준 14 2 3" xfId="38060"/>
    <cellStyle name="표준 14 3" xfId="38061"/>
    <cellStyle name="표준 14 4" xfId="38062"/>
    <cellStyle name="표준 14 5" xfId="38063"/>
    <cellStyle name="표준 140" xfId="38064"/>
    <cellStyle name="표준 141" xfId="38065"/>
    <cellStyle name="표준 142" xfId="38066"/>
    <cellStyle name="표준 143" xfId="38067"/>
    <cellStyle name="표준 144" xfId="38068"/>
    <cellStyle name="표준 15" xfId="38069"/>
    <cellStyle name="표준 15 10" xfId="38070"/>
    <cellStyle name="표준 15 11" xfId="38071"/>
    <cellStyle name="표준 15 12" xfId="38072"/>
    <cellStyle name="표준 15 13" xfId="38073"/>
    <cellStyle name="표준 15 14" xfId="38074"/>
    <cellStyle name="표준 15 15" xfId="38075"/>
    <cellStyle name="표준 15 16" xfId="38076"/>
    <cellStyle name="표준 15 17" xfId="38077"/>
    <cellStyle name="표준 15 18" xfId="38078"/>
    <cellStyle name="표준 15 19" xfId="38079"/>
    <cellStyle name="표준 15 2" xfId="38080"/>
    <cellStyle name="표준 15 20" xfId="38081"/>
    <cellStyle name="표준 15 21" xfId="38082"/>
    <cellStyle name="표준 15 22" xfId="38083"/>
    <cellStyle name="표준 15 23" xfId="38084"/>
    <cellStyle name="표준 15 24" xfId="38085"/>
    <cellStyle name="표준 15 25" xfId="38086"/>
    <cellStyle name="표준 15 26" xfId="38087"/>
    <cellStyle name="표준 15 27" xfId="38088"/>
    <cellStyle name="표준 15 28" xfId="38089"/>
    <cellStyle name="표준 15 29" xfId="38090"/>
    <cellStyle name="표준 15 3" xfId="38091"/>
    <cellStyle name="표준 15 30" xfId="38092"/>
    <cellStyle name="표준 15 31" xfId="38093"/>
    <cellStyle name="표준 15 32" xfId="38094"/>
    <cellStyle name="표준 15 33" xfId="38095"/>
    <cellStyle name="표준 15 34" xfId="38096"/>
    <cellStyle name="표준 15 35" xfId="38097"/>
    <cellStyle name="표준 15 36" xfId="38098"/>
    <cellStyle name="표준 15 37" xfId="38099"/>
    <cellStyle name="표준 15 38" xfId="38100"/>
    <cellStyle name="표준 15 39" xfId="38101"/>
    <cellStyle name="표준 15 4" xfId="38102"/>
    <cellStyle name="표준 15 40" xfId="38103"/>
    <cellStyle name="표준 15 5" xfId="38104"/>
    <cellStyle name="표준 15 6" xfId="38105"/>
    <cellStyle name="표준 15 7" xfId="38106"/>
    <cellStyle name="표준 15 8" xfId="38107"/>
    <cellStyle name="표준 15 9" xfId="38108"/>
    <cellStyle name="표준 152" xfId="38109"/>
    <cellStyle name="표준 153" xfId="38110"/>
    <cellStyle name="표준 16" xfId="38111"/>
    <cellStyle name="표준 16 2" xfId="38112"/>
    <cellStyle name="표준 16 3" xfId="38113"/>
    <cellStyle name="표준 17" xfId="38114"/>
    <cellStyle name="표준 17 2" xfId="38115"/>
    <cellStyle name="표준 17 3" xfId="38116"/>
    <cellStyle name="표준 17 4" xfId="38117"/>
    <cellStyle name="표준 18" xfId="38118"/>
    <cellStyle name="표준 18 2" xfId="38119"/>
    <cellStyle name="표준 18 3" xfId="38120"/>
    <cellStyle name="표준 19" xfId="38121"/>
    <cellStyle name="표준 19 2" xfId="38122"/>
    <cellStyle name="표준 19 3" xfId="38123"/>
    <cellStyle name="표준 2" xfId="38124"/>
    <cellStyle name="표준 2 10" xfId="38125"/>
    <cellStyle name="표준 2 10 2" xfId="38126"/>
    <cellStyle name="표준 2 10 3" xfId="38127"/>
    <cellStyle name="표준 2 11" xfId="38128"/>
    <cellStyle name="표준 2 11 2" xfId="38129"/>
    <cellStyle name="표준 2 11 3" xfId="38130"/>
    <cellStyle name="표준 2 12" xfId="38131"/>
    <cellStyle name="표준 2 12 2" xfId="38132"/>
    <cellStyle name="표준 2 13" xfId="38133"/>
    <cellStyle name="표준 2 13 2" xfId="38134"/>
    <cellStyle name="표준 2 14" xfId="38135"/>
    <cellStyle name="표준 2 14 2" xfId="38136"/>
    <cellStyle name="표준 2 15" xfId="38137"/>
    <cellStyle name="표준 2 15 2" xfId="38138"/>
    <cellStyle name="표준 2 16" xfId="38139"/>
    <cellStyle name="표준 2 16 2" xfId="38140"/>
    <cellStyle name="표준 2 17" xfId="38141"/>
    <cellStyle name="표준 2 17 2" xfId="38142"/>
    <cellStyle name="표준 2 18" xfId="38143"/>
    <cellStyle name="표준 2 18 2" xfId="38144"/>
    <cellStyle name="표준 2 19" xfId="38145"/>
    <cellStyle name="표준 2 19 2" xfId="38146"/>
    <cellStyle name="표준 2 2" xfId="38147"/>
    <cellStyle name="표준 2 2 10" xfId="38148"/>
    <cellStyle name="표준 2 2 10 2" xfId="38149"/>
    <cellStyle name="표준 2 2 11" xfId="38150"/>
    <cellStyle name="표준 2 2 11 2" xfId="38151"/>
    <cellStyle name="표준 2 2 12" xfId="38152"/>
    <cellStyle name="표준 2 2 12 2" xfId="38153"/>
    <cellStyle name="표준 2 2 13" xfId="38154"/>
    <cellStyle name="표준 2 2 14" xfId="38155"/>
    <cellStyle name="표준 2 2 15" xfId="38156"/>
    <cellStyle name="표준 2 2 16" xfId="38157"/>
    <cellStyle name="표준 2 2 17" xfId="38158"/>
    <cellStyle name="표준 2 2 18" xfId="38159"/>
    <cellStyle name="표준 2 2 19" xfId="38160"/>
    <cellStyle name="표준 2 2 2" xfId="38161"/>
    <cellStyle name="표준 2 2 2 2" xfId="38162"/>
    <cellStyle name="표준 2 2 2 2 2" xfId="38163"/>
    <cellStyle name="표준 2 2 2 2 2 2" xfId="38164"/>
    <cellStyle name="표준 2 2 2 2 2 2 2" xfId="38165"/>
    <cellStyle name="표준 2 2 2 2 2 2 2 2" xfId="38166"/>
    <cellStyle name="표준 2 2 2 2 2 2 3" xfId="38167"/>
    <cellStyle name="표준 2 2 2 2 2 2 3 2" xfId="38168"/>
    <cellStyle name="표준 2 2 2 2 2 2 4" xfId="38169"/>
    <cellStyle name="표준 2 2 2 2 2 2 4 2" xfId="38170"/>
    <cellStyle name="표준 2 2 2 2 2 2 5" xfId="38171"/>
    <cellStyle name="표준 2 2 2 2 2 3" xfId="38172"/>
    <cellStyle name="표준 2 2 2 2 2 3 2" xfId="38173"/>
    <cellStyle name="표준 2 2 2 2 2 4" xfId="38174"/>
    <cellStyle name="표준 2 2 2 2 3" xfId="38175"/>
    <cellStyle name="표준 2 2 2 2 3 2" xfId="38176"/>
    <cellStyle name="표준 2 2 2 2 4" xfId="38177"/>
    <cellStyle name="표준 2 2 2 2 4 2" xfId="38178"/>
    <cellStyle name="표준 2 2 2 2 5" xfId="38179"/>
    <cellStyle name="표준 2 2 2 2 5 2" xfId="38180"/>
    <cellStyle name="표준 2 2 2 2 6" xfId="38181"/>
    <cellStyle name="표준 2 2 2 2 7" xfId="38182"/>
    <cellStyle name="표준 2 2 2 3" xfId="38183"/>
    <cellStyle name="표준 2 2 2 3 2" xfId="38184"/>
    <cellStyle name="표준 2 2 2 4" xfId="38185"/>
    <cellStyle name="표준 2 2 2 4 2" xfId="38186"/>
    <cellStyle name="표준 2 2 2 4 2 2" xfId="38187"/>
    <cellStyle name="표준 2 2 2 4 3" xfId="38188"/>
    <cellStyle name="표준 2 2 2 4 3 2" xfId="38189"/>
    <cellStyle name="표준 2 2 2 4 4" xfId="38190"/>
    <cellStyle name="표준 2 2 2 4 4 2" xfId="38191"/>
    <cellStyle name="표준 2 2 2 4 5" xfId="38192"/>
    <cellStyle name="표준 2 2 2 5" xfId="38193"/>
    <cellStyle name="표준 2 2 2 5 2" xfId="38194"/>
    <cellStyle name="표준 2 2 2 6" xfId="38195"/>
    <cellStyle name="표준 2 2 2 6 2" xfId="38196"/>
    <cellStyle name="표준 2 2 2 7" xfId="38197"/>
    <cellStyle name="표준 2 2 2 8" xfId="38198"/>
    <cellStyle name="표준 2 2 2 9" xfId="38199"/>
    <cellStyle name="표준 2 2 20" xfId="38200"/>
    <cellStyle name="표준 2 2 21" xfId="38201"/>
    <cellStyle name="표준 2 2 22" xfId="38202"/>
    <cellStyle name="표준 2 2 23" xfId="38203"/>
    <cellStyle name="표준 2 2 24" xfId="38204"/>
    <cellStyle name="표준 2 2 25" xfId="38205"/>
    <cellStyle name="표준 2 2 26" xfId="38206"/>
    <cellStyle name="표준 2 2 27" xfId="38207"/>
    <cellStyle name="표준 2 2 28" xfId="38208"/>
    <cellStyle name="표준 2 2 29" xfId="38209"/>
    <cellStyle name="표준 2 2 3" xfId="38210"/>
    <cellStyle name="표준 2 2 3 2" xfId="38211"/>
    <cellStyle name="표준 2 2 30" xfId="38212"/>
    <cellStyle name="표준 2 2 31" xfId="38213"/>
    <cellStyle name="표준 2 2 32" xfId="38214"/>
    <cellStyle name="표준 2 2 33" xfId="38215"/>
    <cellStyle name="표준 2 2 34" xfId="38216"/>
    <cellStyle name="표준 2 2 35" xfId="38217"/>
    <cellStyle name="표준 2 2 36" xfId="38218"/>
    <cellStyle name="표준 2 2 37" xfId="38219"/>
    <cellStyle name="표준 2 2 38" xfId="38220"/>
    <cellStyle name="표준 2 2 39" xfId="38221"/>
    <cellStyle name="표준 2 2 4" xfId="38222"/>
    <cellStyle name="표준 2 2 4 2" xfId="38223"/>
    <cellStyle name="표준 2 2 40" xfId="38224"/>
    <cellStyle name="표준 2 2 41" xfId="38225"/>
    <cellStyle name="표준 2 2 42" xfId="38226"/>
    <cellStyle name="표준 2 2 5" xfId="38227"/>
    <cellStyle name="표준 2 2 5 2" xfId="38228"/>
    <cellStyle name="표준 2 2 6" xfId="38229"/>
    <cellStyle name="표준 2 2 6 2" xfId="38230"/>
    <cellStyle name="표준 2 2 7" xfId="38231"/>
    <cellStyle name="표준 2 2 7 2" xfId="38232"/>
    <cellStyle name="표준 2 2 8" xfId="38233"/>
    <cellStyle name="표준 2 2 8 2" xfId="38234"/>
    <cellStyle name="표준 2 2 8 2 2" xfId="38235"/>
    <cellStyle name="표준 2 2 8 2 2 2" xfId="38236"/>
    <cellStyle name="표준 2 2 8 2 2 2 2" xfId="38237"/>
    <cellStyle name="표준 2 2 8 2 2 3" xfId="38238"/>
    <cellStyle name="표준 2 2 8 2 2 3 2" xfId="38239"/>
    <cellStyle name="표준 2 2 8 2 2 4" xfId="38240"/>
    <cellStyle name="표준 2 2 8 2 2 4 2" xfId="38241"/>
    <cellStyle name="표준 2 2 8 2 2 5" xfId="38242"/>
    <cellStyle name="표준 2 2 8 2 3" xfId="38243"/>
    <cellStyle name="표준 2 2 8 2 3 2" xfId="38244"/>
    <cellStyle name="표준 2 2 8 2 4" xfId="38245"/>
    <cellStyle name="표준 2 2 8 3" xfId="38246"/>
    <cellStyle name="표준 2 2 8 3 2" xfId="38247"/>
    <cellStyle name="표준 2 2 8 4" xfId="38248"/>
    <cellStyle name="표준 2 2 8 4 2" xfId="38249"/>
    <cellStyle name="표준 2 2 8 5" xfId="38250"/>
    <cellStyle name="표준 2 2 9" xfId="38251"/>
    <cellStyle name="표준 2 2 9 2" xfId="38252"/>
    <cellStyle name="표준 2 2 9 2 2" xfId="38253"/>
    <cellStyle name="표준 2 2 9 3" xfId="38254"/>
    <cellStyle name="표준 2 2 9 3 2" xfId="38255"/>
    <cellStyle name="표준 2 2 9 4" xfId="38256"/>
    <cellStyle name="표준 2 2 9 4 2" xfId="38257"/>
    <cellStyle name="표준 2 2 9 5" xfId="38258"/>
    <cellStyle name="표준 2 20" xfId="38259"/>
    <cellStyle name="표준 2 20 2" xfId="38260"/>
    <cellStyle name="표준 2 21" xfId="38261"/>
    <cellStyle name="표준 2 21 2" xfId="38262"/>
    <cellStyle name="표준 2 22" xfId="38263"/>
    <cellStyle name="표준 2 23" xfId="38264"/>
    <cellStyle name="표준 2 24" xfId="38265"/>
    <cellStyle name="표준 2 25" xfId="38266"/>
    <cellStyle name="표준 2 26" xfId="38267"/>
    <cellStyle name="표준 2 27" xfId="38268"/>
    <cellStyle name="표준 2 28" xfId="38269"/>
    <cellStyle name="표준 2 29" xfId="38270"/>
    <cellStyle name="표준 2 3" xfId="38271"/>
    <cellStyle name="표준 2 3 2" xfId="38272"/>
    <cellStyle name="표준 2 3 2 2" xfId="38273"/>
    <cellStyle name="표준 2 3 2 2 2" xfId="38274"/>
    <cellStyle name="표준 2 3 2 2 2 2" xfId="38275"/>
    <cellStyle name="표준 2 3 2 2 2 2 2" xfId="38276"/>
    <cellStyle name="표준 2 3 2 2 2 3" xfId="38277"/>
    <cellStyle name="표준 2 3 2 2 2 3 2" xfId="38278"/>
    <cellStyle name="표준 2 3 2 2 2 4" xfId="38279"/>
    <cellStyle name="표준 2 3 2 2 2 4 2" xfId="38280"/>
    <cellStyle name="표준 2 3 2 2 2 5" xfId="38281"/>
    <cellStyle name="표준 2 3 2 2 3" xfId="38282"/>
    <cellStyle name="표준 2 3 2 2 3 2" xfId="38283"/>
    <cellStyle name="표준 2 3 2 2 4" xfId="38284"/>
    <cellStyle name="표준 2 3 2 3" xfId="38285"/>
    <cellStyle name="표준 2 3 2 3 2" xfId="38286"/>
    <cellStyle name="표준 2 3 2 4" xfId="38287"/>
    <cellStyle name="표준 2 3 2 4 2" xfId="38288"/>
    <cellStyle name="표준 2 3 2 5" xfId="38289"/>
    <cellStyle name="표준 2 3 2 5 2" xfId="38290"/>
    <cellStyle name="표준 2 3 2 6" xfId="38291"/>
    <cellStyle name="표준 2 3 3" xfId="38292"/>
    <cellStyle name="표준 2 3 3 2" xfId="38293"/>
    <cellStyle name="표준 2 3 4" xfId="38294"/>
    <cellStyle name="표준 2 3 4 2" xfId="38295"/>
    <cellStyle name="표준 2 3 4 2 2" xfId="38296"/>
    <cellStyle name="표준 2 3 4 3" xfId="38297"/>
    <cellStyle name="표준 2 3 4 3 2" xfId="38298"/>
    <cellStyle name="표준 2 3 4 4" xfId="38299"/>
    <cellStyle name="표준 2 3 4 4 2" xfId="38300"/>
    <cellStyle name="표준 2 3 4 5" xfId="38301"/>
    <cellStyle name="표준 2 3 5" xfId="38302"/>
    <cellStyle name="표준 2 3 5 2" xfId="38303"/>
    <cellStyle name="표준 2 3 6" xfId="38304"/>
    <cellStyle name="표준 2 3 6 2" xfId="38305"/>
    <cellStyle name="표준 2 3 7" xfId="38306"/>
    <cellStyle name="표준 2 3 8" xfId="38307"/>
    <cellStyle name="표준 2 3 9" xfId="38308"/>
    <cellStyle name="표준 2 30" xfId="38309"/>
    <cellStyle name="표준 2 31" xfId="38310"/>
    <cellStyle name="표준 2 32" xfId="38311"/>
    <cellStyle name="표준 2 33" xfId="38312"/>
    <cellStyle name="표준 2 34" xfId="38313"/>
    <cellStyle name="표준 2 35" xfId="38314"/>
    <cellStyle name="표준 2 36" xfId="38315"/>
    <cellStyle name="표준 2 37" xfId="38316"/>
    <cellStyle name="표준 2 38" xfId="38317"/>
    <cellStyle name="표준 2 39" xfId="38318"/>
    <cellStyle name="표준 2 4" xfId="38319"/>
    <cellStyle name="표준 2 4 2" xfId="9"/>
    <cellStyle name="표준 2 4 2 2" xfId="38320"/>
    <cellStyle name="표준 2 4 2 3" xfId="38321"/>
    <cellStyle name="표준 2 4 3" xfId="38322"/>
    <cellStyle name="표준 2 4 4" xfId="38323"/>
    <cellStyle name="표준 2 4 5" xfId="38324"/>
    <cellStyle name="표준 2 40" xfId="38325"/>
    <cellStyle name="표준 2 41" xfId="38326"/>
    <cellStyle name="표준 2 42" xfId="38327"/>
    <cellStyle name="표준 2 43" xfId="38328"/>
    <cellStyle name="표준 2 44" xfId="38329"/>
    <cellStyle name="표준 2 45" xfId="38330"/>
    <cellStyle name="표준 2 46" xfId="38331"/>
    <cellStyle name="표준 2 47" xfId="38332"/>
    <cellStyle name="표준 2 48" xfId="51157"/>
    <cellStyle name="표준 2 5" xfId="38333"/>
    <cellStyle name="표준 2 5 2" xfId="38334"/>
    <cellStyle name="표준 2 5 2 2" xfId="38335"/>
    <cellStyle name="표준 2 5 2 3" xfId="38336"/>
    <cellStyle name="표준 2 5 3" xfId="38337"/>
    <cellStyle name="표준 2 5 4" xfId="38338"/>
    <cellStyle name="표준 2 5 5" xfId="38339"/>
    <cellStyle name="표준 2 6" xfId="38340"/>
    <cellStyle name="표준 2 6 2" xfId="38341"/>
    <cellStyle name="표준 2 6 2 2" xfId="38342"/>
    <cellStyle name="표준 2 6 3" xfId="38343"/>
    <cellStyle name="표준 2 6 4" xfId="38344"/>
    <cellStyle name="표준 2 7" xfId="38345"/>
    <cellStyle name="표준 2 7 2" xfId="38346"/>
    <cellStyle name="표준 2 7 3" xfId="38347"/>
    <cellStyle name="표준 2 8" xfId="38348"/>
    <cellStyle name="표준 2 8 2" xfId="38349"/>
    <cellStyle name="표준 2 8 2 2" xfId="38350"/>
    <cellStyle name="표준 2 8 2 2 2" xfId="38351"/>
    <cellStyle name="표준 2 8 2 2 2 2" xfId="38352"/>
    <cellStyle name="표준 2 8 2 2 3" xfId="38353"/>
    <cellStyle name="표준 2 8 2 2 3 2" xfId="38354"/>
    <cellStyle name="표준 2 8 2 2 4" xfId="38355"/>
    <cellStyle name="표준 2 8 2 2 4 2" xfId="38356"/>
    <cellStyle name="표준 2 8 2 2 5" xfId="38357"/>
    <cellStyle name="표준 2 8 2 3" xfId="38358"/>
    <cellStyle name="표준 2 8 2 3 2" xfId="38359"/>
    <cellStyle name="표준 2 8 2 4" xfId="38360"/>
    <cellStyle name="표준 2 8 3" xfId="38361"/>
    <cellStyle name="표준 2 8 3 2" xfId="38362"/>
    <cellStyle name="표준 2 8 4" xfId="38363"/>
    <cellStyle name="표준 2 8 4 2" xfId="38364"/>
    <cellStyle name="표준 2 8 5" xfId="38365"/>
    <cellStyle name="표준 2 8 6" xfId="38366"/>
    <cellStyle name="표준 2 9" xfId="38367"/>
    <cellStyle name="표준 2 9 2" xfId="38368"/>
    <cellStyle name="표준 2 9 2 2" xfId="38369"/>
    <cellStyle name="표준 2 9 3" xfId="38370"/>
    <cellStyle name="표준 2 9 3 2" xfId="38371"/>
    <cellStyle name="표준 2 9 4" xfId="38372"/>
    <cellStyle name="표준 2 9 4 2" xfId="38373"/>
    <cellStyle name="표준 2 9 5" xfId="38374"/>
    <cellStyle name="표준 2 9 6" xfId="38375"/>
    <cellStyle name="표준 2_(파워시스템)품질운영_조직인력(110221)_rev1_8845" xfId="38376"/>
    <cellStyle name="표준 20" xfId="38377"/>
    <cellStyle name="표준 20 2" xfId="38378"/>
    <cellStyle name="표준 20 3" xfId="38379"/>
    <cellStyle name="표준 21" xfId="38380"/>
    <cellStyle name="표준 21 2" xfId="38381"/>
    <cellStyle name="표준 21 3" xfId="38382"/>
    <cellStyle name="표준 22" xfId="38383"/>
    <cellStyle name="표준 22 2" xfId="38384"/>
    <cellStyle name="표준 22 3" xfId="38385"/>
    <cellStyle name="표준 23" xfId="38386"/>
    <cellStyle name="표준 23 2" xfId="38387"/>
    <cellStyle name="표준 23 3" xfId="38388"/>
    <cellStyle name="표준 24" xfId="38389"/>
    <cellStyle name="표준 24 2" xfId="38390"/>
    <cellStyle name="표준 24 3" xfId="38391"/>
    <cellStyle name="표준 25" xfId="38392"/>
    <cellStyle name="표준 25 2" xfId="38393"/>
    <cellStyle name="표준 25 2 2" xfId="38394"/>
    <cellStyle name="표준 25 3" xfId="38395"/>
    <cellStyle name="표준 26" xfId="38396"/>
    <cellStyle name="표준 26 2" xfId="38397"/>
    <cellStyle name="표준 26 3" xfId="38398"/>
    <cellStyle name="표준 27" xfId="38399"/>
    <cellStyle name="표준 27 2" xfId="38400"/>
    <cellStyle name="표준 28" xfId="38401"/>
    <cellStyle name="표준 28 2" xfId="38402"/>
    <cellStyle name="표준 29" xfId="38403"/>
    <cellStyle name="표준 29 2" xfId="38404"/>
    <cellStyle name="표준 3" xfId="38405"/>
    <cellStyle name="표준 3 10" xfId="38406"/>
    <cellStyle name="표준 3 10 2" xfId="38407"/>
    <cellStyle name="표준 3 10 2 2" xfId="38408"/>
    <cellStyle name="표준 3 10 2 2 2" xfId="38409"/>
    <cellStyle name="표준 3 10 2 2 2 2" xfId="38410"/>
    <cellStyle name="표준 3 10 2 2 2 3" xfId="38411"/>
    <cellStyle name="표준 3 10 2 2 3" xfId="38412"/>
    <cellStyle name="표준 3 10 2 2 4" xfId="38413"/>
    <cellStyle name="표준 3 10 2 3" xfId="38414"/>
    <cellStyle name="표준 3 10 2 3 2" xfId="38415"/>
    <cellStyle name="표준 3 10 2 3 3" xfId="38416"/>
    <cellStyle name="표준 3 10 2 4" xfId="38417"/>
    <cellStyle name="표준 3 10 2 5" xfId="38418"/>
    <cellStyle name="표준 3 10 3" xfId="38419"/>
    <cellStyle name="표준 3 10 3 2" xfId="38420"/>
    <cellStyle name="표준 3 10 3 2 2" xfId="38421"/>
    <cellStyle name="표준 3 10 3 2 2 2" xfId="38422"/>
    <cellStyle name="표준 3 10 3 2 2 3" xfId="38423"/>
    <cellStyle name="표준 3 10 3 2 3" xfId="38424"/>
    <cellStyle name="표준 3 10 3 2 4" xfId="38425"/>
    <cellStyle name="표준 3 10 3 3" xfId="38426"/>
    <cellStyle name="표준 3 10 3 3 2" xfId="38427"/>
    <cellStyle name="표준 3 10 3 3 3" xfId="38428"/>
    <cellStyle name="표준 3 10 3 4" xfId="38429"/>
    <cellStyle name="표준 3 10 3 5" xfId="38430"/>
    <cellStyle name="표준 3 10 4" xfId="38431"/>
    <cellStyle name="표준 3 10 4 2" xfId="38432"/>
    <cellStyle name="표준 3 10 4 2 2" xfId="38433"/>
    <cellStyle name="표준 3 10 4 2 3" xfId="38434"/>
    <cellStyle name="표준 3 10 4 3" xfId="38435"/>
    <cellStyle name="표준 3 10 4 4" xfId="38436"/>
    <cellStyle name="표준 3 10 5" xfId="38437"/>
    <cellStyle name="표준 3 10 5 2" xfId="38438"/>
    <cellStyle name="표준 3 10 5 3" xfId="38439"/>
    <cellStyle name="표준 3 10 6" xfId="38440"/>
    <cellStyle name="표준 3 10 7" xfId="38441"/>
    <cellStyle name="표준 3 10 8" xfId="38442"/>
    <cellStyle name="표준 3 11" xfId="38443"/>
    <cellStyle name="표준 3 11 2" xfId="38444"/>
    <cellStyle name="표준 3 11 2 2" xfId="38445"/>
    <cellStyle name="표준 3 11 2 2 2" xfId="38446"/>
    <cellStyle name="표준 3 11 2 2 2 2" xfId="38447"/>
    <cellStyle name="표준 3 11 2 2 2 3" xfId="38448"/>
    <cellStyle name="표준 3 11 2 2 3" xfId="38449"/>
    <cellStyle name="표준 3 11 2 2 4" xfId="38450"/>
    <cellStyle name="표준 3 11 2 3" xfId="38451"/>
    <cellStyle name="표준 3 11 2 3 2" xfId="38452"/>
    <cellStyle name="표준 3 11 2 3 3" xfId="38453"/>
    <cellStyle name="표준 3 11 2 4" xfId="38454"/>
    <cellStyle name="표준 3 11 2 5" xfId="38455"/>
    <cellStyle name="표준 3 11 3" xfId="38456"/>
    <cellStyle name="표준 3 11 3 2" xfId="38457"/>
    <cellStyle name="표준 3 11 3 2 2" xfId="38458"/>
    <cellStyle name="표준 3 11 3 2 2 2" xfId="38459"/>
    <cellStyle name="표준 3 11 3 2 2 3" xfId="38460"/>
    <cellStyle name="표준 3 11 3 2 3" xfId="38461"/>
    <cellStyle name="표준 3 11 3 2 4" xfId="38462"/>
    <cellStyle name="표준 3 11 3 3" xfId="38463"/>
    <cellStyle name="표준 3 11 3 3 2" xfId="38464"/>
    <cellStyle name="표준 3 11 3 3 3" xfId="38465"/>
    <cellStyle name="표준 3 11 3 4" xfId="38466"/>
    <cellStyle name="표준 3 11 3 5" xfId="38467"/>
    <cellStyle name="표준 3 11 4" xfId="38468"/>
    <cellStyle name="표준 3 11 4 2" xfId="38469"/>
    <cellStyle name="표준 3 11 4 2 2" xfId="38470"/>
    <cellStyle name="표준 3 11 4 2 3" xfId="38471"/>
    <cellStyle name="표준 3 11 4 3" xfId="38472"/>
    <cellStyle name="표준 3 11 4 4" xfId="38473"/>
    <cellStyle name="표준 3 11 5" xfId="38474"/>
    <cellStyle name="표준 3 11 5 2" xfId="38475"/>
    <cellStyle name="표준 3 11 5 3" xfId="38476"/>
    <cellStyle name="표준 3 11 6" xfId="38477"/>
    <cellStyle name="표준 3 11 7" xfId="38478"/>
    <cellStyle name="표준 3 12" xfId="38479"/>
    <cellStyle name="표준 3 12 2" xfId="38480"/>
    <cellStyle name="표준 3 12 2 2" xfId="38481"/>
    <cellStyle name="표준 3 12 2 2 2" xfId="38482"/>
    <cellStyle name="표준 3 12 2 2 3" xfId="38483"/>
    <cellStyle name="표준 3 12 2 3" xfId="38484"/>
    <cellStyle name="표준 3 12 2 4" xfId="38485"/>
    <cellStyle name="표준 3 12 3" xfId="38486"/>
    <cellStyle name="표준 3 12 3 2" xfId="38487"/>
    <cellStyle name="표준 3 12 3 3" xfId="38488"/>
    <cellStyle name="표준 3 12 4" xfId="38489"/>
    <cellStyle name="표준 3 12 5" xfId="38490"/>
    <cellStyle name="표준 3 13" xfId="38491"/>
    <cellStyle name="표준 3 13 2" xfId="38492"/>
    <cellStyle name="표준 3 13 2 2" xfId="38493"/>
    <cellStyle name="표준 3 13 2 2 2" xfId="38494"/>
    <cellStyle name="표준 3 13 2 2 3" xfId="38495"/>
    <cellStyle name="표준 3 13 2 3" xfId="38496"/>
    <cellStyle name="표준 3 13 2 4" xfId="38497"/>
    <cellStyle name="표준 3 13 3" xfId="38498"/>
    <cellStyle name="표준 3 13 3 2" xfId="38499"/>
    <cellStyle name="표준 3 13 3 3" xfId="38500"/>
    <cellStyle name="표준 3 13 4" xfId="38501"/>
    <cellStyle name="표준 3 13 5" xfId="38502"/>
    <cellStyle name="표준 3 14" xfId="38503"/>
    <cellStyle name="표준 3 14 2" xfId="38504"/>
    <cellStyle name="표준 3 14 2 2" xfId="38505"/>
    <cellStyle name="표준 3 14 2 2 2" xfId="38506"/>
    <cellStyle name="표준 3 14 2 2 3" xfId="38507"/>
    <cellStyle name="표준 3 14 2 3" xfId="38508"/>
    <cellStyle name="표준 3 14 2 4" xfId="38509"/>
    <cellStyle name="표준 3 14 3" xfId="38510"/>
    <cellStyle name="표준 3 14 3 2" xfId="38511"/>
    <cellStyle name="표준 3 14 3 3" xfId="38512"/>
    <cellStyle name="표준 3 14 4" xfId="38513"/>
    <cellStyle name="표준 3 14 5" xfId="38514"/>
    <cellStyle name="표준 3 15" xfId="38515"/>
    <cellStyle name="표준 3 15 2" xfId="38516"/>
    <cellStyle name="표준 3 15 2 2" xfId="38517"/>
    <cellStyle name="표준 3 15 2 3" xfId="38518"/>
    <cellStyle name="표준 3 15 3" xfId="38519"/>
    <cellStyle name="표준 3 15 4" xfId="38520"/>
    <cellStyle name="표준 3 16" xfId="38521"/>
    <cellStyle name="표준 3 16 2" xfId="38522"/>
    <cellStyle name="표준 3 16 3" xfId="38523"/>
    <cellStyle name="표준 3 17" xfId="38524"/>
    <cellStyle name="표준 3 17 2" xfId="38525"/>
    <cellStyle name="표준 3 17 3" xfId="38526"/>
    <cellStyle name="표준 3 18" xfId="38527"/>
    <cellStyle name="표준 3 18 2" xfId="38528"/>
    <cellStyle name="표준 3 18 3" xfId="38529"/>
    <cellStyle name="표준 3 19" xfId="38530"/>
    <cellStyle name="표준 3 2" xfId="38531"/>
    <cellStyle name="표준 3 2 2" xfId="38532"/>
    <cellStyle name="표준 3 2 2 2" xfId="38533"/>
    <cellStyle name="표준 3 2 2 3" xfId="38534"/>
    <cellStyle name="표준 3 2 3" xfId="38535"/>
    <cellStyle name="표준 3 2 4" xfId="38536"/>
    <cellStyle name="표준 3 20" xfId="38537"/>
    <cellStyle name="표준 3 21" xfId="38538"/>
    <cellStyle name="표준 3 22" xfId="38539"/>
    <cellStyle name="표준 3 23" xfId="38540"/>
    <cellStyle name="표준 3 3" xfId="38541"/>
    <cellStyle name="표준 3 3 10" xfId="38542"/>
    <cellStyle name="표준 3 3 10 2" xfId="38543"/>
    <cellStyle name="표준 3 3 10 2 2" xfId="38544"/>
    <cellStyle name="표준 3 3 10 2 2 2" xfId="38545"/>
    <cellStyle name="표준 3 3 10 2 2 3" xfId="38546"/>
    <cellStyle name="표준 3 3 10 2 3" xfId="38547"/>
    <cellStyle name="표준 3 3 10 2 4" xfId="38548"/>
    <cellStyle name="표준 3 3 10 3" xfId="38549"/>
    <cellStyle name="표준 3 3 10 3 2" xfId="38550"/>
    <cellStyle name="표준 3 3 10 3 3" xfId="38551"/>
    <cellStyle name="표준 3 3 10 4" xfId="38552"/>
    <cellStyle name="표준 3 3 10 5" xfId="38553"/>
    <cellStyle name="표준 3 3 11" xfId="38554"/>
    <cellStyle name="표준 3 3 11 2" xfId="38555"/>
    <cellStyle name="표준 3 3 11 2 2" xfId="38556"/>
    <cellStyle name="표준 3 3 11 2 3" xfId="38557"/>
    <cellStyle name="표준 3 3 11 3" xfId="38558"/>
    <cellStyle name="표준 3 3 11 4" xfId="38559"/>
    <cellStyle name="표준 3 3 12" xfId="38560"/>
    <cellStyle name="표준 3 3 12 2" xfId="38561"/>
    <cellStyle name="표준 3 3 12 3" xfId="38562"/>
    <cellStyle name="표준 3 3 13" xfId="38563"/>
    <cellStyle name="표준 3 3 14" xfId="38564"/>
    <cellStyle name="표준 3 3 15" xfId="38565"/>
    <cellStyle name="표준 3 3 16" xfId="38566"/>
    <cellStyle name="표준 3 3 2" xfId="38567"/>
    <cellStyle name="표준 3 3 2 10" xfId="38568"/>
    <cellStyle name="표준 3 3 2 10 2" xfId="38569"/>
    <cellStyle name="표준 3 3 2 10 2 2" xfId="38570"/>
    <cellStyle name="표준 3 3 2 10 2 3" xfId="38571"/>
    <cellStyle name="표준 3 3 2 10 3" xfId="38572"/>
    <cellStyle name="표준 3 3 2 10 4" xfId="38573"/>
    <cellStyle name="표준 3 3 2 11" xfId="38574"/>
    <cellStyle name="표준 3 3 2 11 2" xfId="38575"/>
    <cellStyle name="표준 3 3 2 11 3" xfId="38576"/>
    <cellStyle name="표준 3 3 2 12" xfId="38577"/>
    <cellStyle name="표준 3 3 2 13" xfId="38578"/>
    <cellStyle name="표준 3 3 2 14" xfId="38579"/>
    <cellStyle name="표준 3 3 2 15" xfId="38580"/>
    <cellStyle name="표준 3 3 2 2" xfId="38581"/>
    <cellStyle name="표준 3 3 2 2 10" xfId="38582"/>
    <cellStyle name="표준 3 3 2 2 2" xfId="38583"/>
    <cellStyle name="표준 3 3 2 2 2 2" xfId="38584"/>
    <cellStyle name="표준 3 3 2 2 2 2 2" xfId="38585"/>
    <cellStyle name="표준 3 3 2 2 2 2 2 2" xfId="38586"/>
    <cellStyle name="표준 3 3 2 2 2 2 2 2 2" xfId="38587"/>
    <cellStyle name="표준 3 3 2 2 2 2 2 2 3" xfId="38588"/>
    <cellStyle name="표준 3 3 2 2 2 2 2 3" xfId="38589"/>
    <cellStyle name="표준 3 3 2 2 2 2 2 4" xfId="38590"/>
    <cellStyle name="표준 3 3 2 2 2 2 3" xfId="38591"/>
    <cellStyle name="표준 3 3 2 2 2 2 3 2" xfId="38592"/>
    <cellStyle name="표준 3 3 2 2 2 2 3 3" xfId="38593"/>
    <cellStyle name="표준 3 3 2 2 2 2 4" xfId="38594"/>
    <cellStyle name="표준 3 3 2 2 2 2 5" xfId="38595"/>
    <cellStyle name="표준 3 3 2 2 2 3" xfId="38596"/>
    <cellStyle name="표준 3 3 2 2 2 3 2" xfId="38597"/>
    <cellStyle name="표준 3 3 2 2 2 3 2 2" xfId="38598"/>
    <cellStyle name="표준 3 3 2 2 2 3 2 2 2" xfId="38599"/>
    <cellStyle name="표준 3 3 2 2 2 3 2 2 3" xfId="38600"/>
    <cellStyle name="표준 3 3 2 2 2 3 2 3" xfId="38601"/>
    <cellStyle name="표준 3 3 2 2 2 3 2 4" xfId="38602"/>
    <cellStyle name="표준 3 3 2 2 2 3 3" xfId="38603"/>
    <cellStyle name="표준 3 3 2 2 2 3 3 2" xfId="38604"/>
    <cellStyle name="표준 3 3 2 2 2 3 3 3" xfId="38605"/>
    <cellStyle name="표준 3 3 2 2 2 3 4" xfId="38606"/>
    <cellStyle name="표준 3 3 2 2 2 3 5" xfId="38607"/>
    <cellStyle name="표준 3 3 2 2 2 4" xfId="38608"/>
    <cellStyle name="표준 3 3 2 2 2 4 2" xfId="38609"/>
    <cellStyle name="표준 3 3 2 2 2 4 2 2" xfId="38610"/>
    <cellStyle name="표준 3 3 2 2 2 4 2 3" xfId="38611"/>
    <cellStyle name="표준 3 3 2 2 2 4 3" xfId="38612"/>
    <cellStyle name="표준 3 3 2 2 2 4 4" xfId="38613"/>
    <cellStyle name="표준 3 3 2 2 2 5" xfId="38614"/>
    <cellStyle name="표준 3 3 2 2 2 5 2" xfId="38615"/>
    <cellStyle name="표준 3 3 2 2 2 5 3" xfId="38616"/>
    <cellStyle name="표준 3 3 2 2 2 6" xfId="38617"/>
    <cellStyle name="표준 3 3 2 2 2 7" xfId="38618"/>
    <cellStyle name="표준 3 3 2 2 3" xfId="38619"/>
    <cellStyle name="표준 3 3 2 2 3 2" xfId="38620"/>
    <cellStyle name="표준 3 3 2 2 3 2 2" xfId="38621"/>
    <cellStyle name="표준 3 3 2 2 3 2 2 2" xfId="38622"/>
    <cellStyle name="표준 3 3 2 2 3 2 2 2 2" xfId="38623"/>
    <cellStyle name="표준 3 3 2 2 3 2 2 2 3" xfId="38624"/>
    <cellStyle name="표준 3 3 2 2 3 2 2 3" xfId="38625"/>
    <cellStyle name="표준 3 3 2 2 3 2 2 4" xfId="38626"/>
    <cellStyle name="표준 3 3 2 2 3 2 3" xfId="38627"/>
    <cellStyle name="표준 3 3 2 2 3 2 3 2" xfId="38628"/>
    <cellStyle name="표준 3 3 2 2 3 2 3 3" xfId="38629"/>
    <cellStyle name="표준 3 3 2 2 3 2 4" xfId="38630"/>
    <cellStyle name="표준 3 3 2 2 3 2 5" xfId="38631"/>
    <cellStyle name="표준 3 3 2 2 3 3" xfId="38632"/>
    <cellStyle name="표준 3 3 2 2 3 3 2" xfId="38633"/>
    <cellStyle name="표준 3 3 2 2 3 3 2 2" xfId="38634"/>
    <cellStyle name="표준 3 3 2 2 3 3 2 2 2" xfId="38635"/>
    <cellStyle name="표준 3 3 2 2 3 3 2 2 3" xfId="38636"/>
    <cellStyle name="표준 3 3 2 2 3 3 2 3" xfId="38637"/>
    <cellStyle name="표준 3 3 2 2 3 3 2 4" xfId="38638"/>
    <cellStyle name="표준 3 3 2 2 3 3 3" xfId="38639"/>
    <cellStyle name="표준 3 3 2 2 3 3 3 2" xfId="38640"/>
    <cellStyle name="표준 3 3 2 2 3 3 3 3" xfId="38641"/>
    <cellStyle name="표준 3 3 2 2 3 3 4" xfId="38642"/>
    <cellStyle name="표준 3 3 2 2 3 3 5" xfId="38643"/>
    <cellStyle name="표준 3 3 2 2 3 4" xfId="38644"/>
    <cellStyle name="표준 3 3 2 2 3 4 2" xfId="38645"/>
    <cellStyle name="표준 3 3 2 2 3 4 2 2" xfId="38646"/>
    <cellStyle name="표준 3 3 2 2 3 4 2 3" xfId="38647"/>
    <cellStyle name="표준 3 3 2 2 3 4 3" xfId="38648"/>
    <cellStyle name="표준 3 3 2 2 3 4 4" xfId="38649"/>
    <cellStyle name="표준 3 3 2 2 3 5" xfId="38650"/>
    <cellStyle name="표준 3 3 2 2 3 5 2" xfId="38651"/>
    <cellStyle name="표준 3 3 2 2 3 5 3" xfId="38652"/>
    <cellStyle name="표준 3 3 2 2 3 6" xfId="38653"/>
    <cellStyle name="표준 3 3 2 2 3 7" xfId="38654"/>
    <cellStyle name="표준 3 3 2 2 4" xfId="38655"/>
    <cellStyle name="표준 3 3 2 2 4 2" xfId="38656"/>
    <cellStyle name="표준 3 3 2 2 4 2 2" xfId="38657"/>
    <cellStyle name="표준 3 3 2 2 4 2 2 2" xfId="38658"/>
    <cellStyle name="표준 3 3 2 2 4 2 2 3" xfId="38659"/>
    <cellStyle name="표준 3 3 2 2 4 2 3" xfId="38660"/>
    <cellStyle name="표준 3 3 2 2 4 2 4" xfId="38661"/>
    <cellStyle name="표준 3 3 2 2 4 3" xfId="38662"/>
    <cellStyle name="표준 3 3 2 2 4 3 2" xfId="38663"/>
    <cellStyle name="표준 3 3 2 2 4 3 3" xfId="38664"/>
    <cellStyle name="표준 3 3 2 2 4 4" xfId="38665"/>
    <cellStyle name="표준 3 3 2 2 4 5" xfId="38666"/>
    <cellStyle name="표준 3 3 2 2 5" xfId="38667"/>
    <cellStyle name="표준 3 3 2 2 5 2" xfId="38668"/>
    <cellStyle name="표준 3 3 2 2 5 2 2" xfId="38669"/>
    <cellStyle name="표준 3 3 2 2 5 2 2 2" xfId="38670"/>
    <cellStyle name="표준 3 3 2 2 5 2 2 3" xfId="38671"/>
    <cellStyle name="표준 3 3 2 2 5 2 3" xfId="38672"/>
    <cellStyle name="표준 3 3 2 2 5 2 4" xfId="38673"/>
    <cellStyle name="표준 3 3 2 2 5 3" xfId="38674"/>
    <cellStyle name="표준 3 3 2 2 5 3 2" xfId="38675"/>
    <cellStyle name="표준 3 3 2 2 5 3 3" xfId="38676"/>
    <cellStyle name="표준 3 3 2 2 5 4" xfId="38677"/>
    <cellStyle name="표준 3 3 2 2 5 5" xfId="38678"/>
    <cellStyle name="표준 3 3 2 2 6" xfId="38679"/>
    <cellStyle name="표준 3 3 2 2 6 2" xfId="38680"/>
    <cellStyle name="표준 3 3 2 2 6 2 2" xfId="38681"/>
    <cellStyle name="표준 3 3 2 2 6 2 2 2" xfId="38682"/>
    <cellStyle name="표준 3 3 2 2 6 2 2 3" xfId="38683"/>
    <cellStyle name="표준 3 3 2 2 6 2 3" xfId="38684"/>
    <cellStyle name="표준 3 3 2 2 6 2 4" xfId="38685"/>
    <cellStyle name="표준 3 3 2 2 6 3" xfId="38686"/>
    <cellStyle name="표준 3 3 2 2 6 3 2" xfId="38687"/>
    <cellStyle name="표준 3 3 2 2 6 3 3" xfId="38688"/>
    <cellStyle name="표준 3 3 2 2 6 4" xfId="38689"/>
    <cellStyle name="표준 3 3 2 2 6 5" xfId="38690"/>
    <cellStyle name="표준 3 3 2 2 7" xfId="38691"/>
    <cellStyle name="표준 3 3 2 2 7 2" xfId="38692"/>
    <cellStyle name="표준 3 3 2 2 7 2 2" xfId="38693"/>
    <cellStyle name="표준 3 3 2 2 7 2 3" xfId="38694"/>
    <cellStyle name="표준 3 3 2 2 7 3" xfId="38695"/>
    <cellStyle name="표준 3 3 2 2 7 4" xfId="38696"/>
    <cellStyle name="표준 3 3 2 2 8" xfId="38697"/>
    <cellStyle name="표준 3 3 2 2 8 2" xfId="38698"/>
    <cellStyle name="표준 3 3 2 2 8 3" xfId="38699"/>
    <cellStyle name="표준 3 3 2 2 9" xfId="38700"/>
    <cellStyle name="표준 3 3 2 3" xfId="38701"/>
    <cellStyle name="표준 3 3 2 3 10" xfId="38702"/>
    <cellStyle name="표준 3 3 2 3 2" xfId="38703"/>
    <cellStyle name="표준 3 3 2 3 2 2" xfId="38704"/>
    <cellStyle name="표준 3 3 2 3 2 2 2" xfId="38705"/>
    <cellStyle name="표준 3 3 2 3 2 2 2 2" xfId="38706"/>
    <cellStyle name="표준 3 3 2 3 2 2 2 2 2" xfId="38707"/>
    <cellStyle name="표준 3 3 2 3 2 2 2 2 3" xfId="38708"/>
    <cellStyle name="표준 3 3 2 3 2 2 2 3" xfId="38709"/>
    <cellStyle name="표준 3 3 2 3 2 2 2 4" xfId="38710"/>
    <cellStyle name="표준 3 3 2 3 2 2 3" xfId="38711"/>
    <cellStyle name="표준 3 3 2 3 2 2 3 2" xfId="38712"/>
    <cellStyle name="표준 3 3 2 3 2 2 3 3" xfId="38713"/>
    <cellStyle name="표준 3 3 2 3 2 2 4" xfId="38714"/>
    <cellStyle name="표준 3 3 2 3 2 2 5" xfId="38715"/>
    <cellStyle name="표준 3 3 2 3 2 3" xfId="38716"/>
    <cellStyle name="표준 3 3 2 3 2 3 2" xfId="38717"/>
    <cellStyle name="표준 3 3 2 3 2 3 2 2" xfId="38718"/>
    <cellStyle name="표준 3 3 2 3 2 3 2 2 2" xfId="38719"/>
    <cellStyle name="표준 3 3 2 3 2 3 2 2 3" xfId="38720"/>
    <cellStyle name="표준 3 3 2 3 2 3 2 3" xfId="38721"/>
    <cellStyle name="표준 3 3 2 3 2 3 2 4" xfId="38722"/>
    <cellStyle name="표준 3 3 2 3 2 3 3" xfId="38723"/>
    <cellStyle name="표준 3 3 2 3 2 3 3 2" xfId="38724"/>
    <cellStyle name="표준 3 3 2 3 2 3 3 3" xfId="38725"/>
    <cellStyle name="표준 3 3 2 3 2 3 4" xfId="38726"/>
    <cellStyle name="표준 3 3 2 3 2 3 5" xfId="38727"/>
    <cellStyle name="표준 3 3 2 3 2 4" xfId="38728"/>
    <cellStyle name="표준 3 3 2 3 2 4 2" xfId="38729"/>
    <cellStyle name="표준 3 3 2 3 2 4 2 2" xfId="38730"/>
    <cellStyle name="표준 3 3 2 3 2 4 2 3" xfId="38731"/>
    <cellStyle name="표준 3 3 2 3 2 4 3" xfId="38732"/>
    <cellStyle name="표준 3 3 2 3 2 4 4" xfId="38733"/>
    <cellStyle name="표준 3 3 2 3 2 5" xfId="38734"/>
    <cellStyle name="표준 3 3 2 3 2 5 2" xfId="38735"/>
    <cellStyle name="표준 3 3 2 3 2 5 3" xfId="38736"/>
    <cellStyle name="표준 3 3 2 3 2 6" xfId="38737"/>
    <cellStyle name="표준 3 3 2 3 2 7" xfId="38738"/>
    <cellStyle name="표준 3 3 2 3 3" xfId="38739"/>
    <cellStyle name="표준 3 3 2 3 3 2" xfId="38740"/>
    <cellStyle name="표준 3 3 2 3 3 2 2" xfId="38741"/>
    <cellStyle name="표준 3 3 2 3 3 2 2 2" xfId="38742"/>
    <cellStyle name="표준 3 3 2 3 3 2 2 2 2" xfId="38743"/>
    <cellStyle name="표준 3 3 2 3 3 2 2 2 3" xfId="38744"/>
    <cellStyle name="표준 3 3 2 3 3 2 2 3" xfId="38745"/>
    <cellStyle name="표준 3 3 2 3 3 2 2 4" xfId="38746"/>
    <cellStyle name="표준 3 3 2 3 3 2 3" xfId="38747"/>
    <cellStyle name="표준 3 3 2 3 3 2 3 2" xfId="38748"/>
    <cellStyle name="표준 3 3 2 3 3 2 3 3" xfId="38749"/>
    <cellStyle name="표준 3 3 2 3 3 2 4" xfId="38750"/>
    <cellStyle name="표준 3 3 2 3 3 2 5" xfId="38751"/>
    <cellStyle name="표준 3 3 2 3 3 3" xfId="38752"/>
    <cellStyle name="표준 3 3 2 3 3 3 2" xfId="38753"/>
    <cellStyle name="표준 3 3 2 3 3 3 2 2" xfId="38754"/>
    <cellStyle name="표준 3 3 2 3 3 3 2 2 2" xfId="38755"/>
    <cellStyle name="표준 3 3 2 3 3 3 2 2 3" xfId="38756"/>
    <cellStyle name="표준 3 3 2 3 3 3 2 3" xfId="38757"/>
    <cellStyle name="표준 3 3 2 3 3 3 2 4" xfId="38758"/>
    <cellStyle name="표준 3 3 2 3 3 3 3" xfId="38759"/>
    <cellStyle name="표준 3 3 2 3 3 3 3 2" xfId="38760"/>
    <cellStyle name="표준 3 3 2 3 3 3 3 3" xfId="38761"/>
    <cellStyle name="표준 3 3 2 3 3 3 4" xfId="38762"/>
    <cellStyle name="표준 3 3 2 3 3 3 5" xfId="38763"/>
    <cellStyle name="표준 3 3 2 3 3 4" xfId="38764"/>
    <cellStyle name="표준 3 3 2 3 3 4 2" xfId="38765"/>
    <cellStyle name="표준 3 3 2 3 3 4 2 2" xfId="38766"/>
    <cellStyle name="표준 3 3 2 3 3 4 2 3" xfId="38767"/>
    <cellStyle name="표준 3 3 2 3 3 4 3" xfId="38768"/>
    <cellStyle name="표준 3 3 2 3 3 4 4" xfId="38769"/>
    <cellStyle name="표준 3 3 2 3 3 5" xfId="38770"/>
    <cellStyle name="표준 3 3 2 3 3 5 2" xfId="38771"/>
    <cellStyle name="표준 3 3 2 3 3 5 3" xfId="38772"/>
    <cellStyle name="표준 3 3 2 3 3 6" xfId="38773"/>
    <cellStyle name="표준 3 3 2 3 3 7" xfId="38774"/>
    <cellStyle name="표준 3 3 2 3 4" xfId="38775"/>
    <cellStyle name="표준 3 3 2 3 4 2" xfId="38776"/>
    <cellStyle name="표준 3 3 2 3 4 2 2" xfId="38777"/>
    <cellStyle name="표준 3 3 2 3 4 2 2 2" xfId="38778"/>
    <cellStyle name="표준 3 3 2 3 4 2 2 3" xfId="38779"/>
    <cellStyle name="표준 3 3 2 3 4 2 3" xfId="38780"/>
    <cellStyle name="표준 3 3 2 3 4 2 4" xfId="38781"/>
    <cellStyle name="표준 3 3 2 3 4 3" xfId="38782"/>
    <cellStyle name="표준 3 3 2 3 4 3 2" xfId="38783"/>
    <cellStyle name="표준 3 3 2 3 4 3 3" xfId="38784"/>
    <cellStyle name="표준 3 3 2 3 4 4" xfId="38785"/>
    <cellStyle name="표준 3 3 2 3 4 5" xfId="38786"/>
    <cellStyle name="표준 3 3 2 3 5" xfId="38787"/>
    <cellStyle name="표준 3 3 2 3 5 2" xfId="38788"/>
    <cellStyle name="표준 3 3 2 3 5 2 2" xfId="38789"/>
    <cellStyle name="표준 3 3 2 3 5 2 2 2" xfId="38790"/>
    <cellStyle name="표준 3 3 2 3 5 2 2 3" xfId="38791"/>
    <cellStyle name="표준 3 3 2 3 5 2 3" xfId="38792"/>
    <cellStyle name="표준 3 3 2 3 5 2 4" xfId="38793"/>
    <cellStyle name="표준 3 3 2 3 5 3" xfId="38794"/>
    <cellStyle name="표준 3 3 2 3 5 3 2" xfId="38795"/>
    <cellStyle name="표준 3 3 2 3 5 3 3" xfId="38796"/>
    <cellStyle name="표준 3 3 2 3 5 4" xfId="38797"/>
    <cellStyle name="표준 3 3 2 3 5 5" xfId="38798"/>
    <cellStyle name="표준 3 3 2 3 6" xfId="38799"/>
    <cellStyle name="표준 3 3 2 3 6 2" xfId="38800"/>
    <cellStyle name="표준 3 3 2 3 6 2 2" xfId="38801"/>
    <cellStyle name="표준 3 3 2 3 6 2 2 2" xfId="38802"/>
    <cellStyle name="표준 3 3 2 3 6 2 2 3" xfId="38803"/>
    <cellStyle name="표준 3 3 2 3 6 2 3" xfId="38804"/>
    <cellStyle name="표준 3 3 2 3 6 2 4" xfId="38805"/>
    <cellStyle name="표준 3 3 2 3 6 3" xfId="38806"/>
    <cellStyle name="표준 3 3 2 3 6 3 2" xfId="38807"/>
    <cellStyle name="표준 3 3 2 3 6 3 3" xfId="38808"/>
    <cellStyle name="표준 3 3 2 3 6 4" xfId="38809"/>
    <cellStyle name="표준 3 3 2 3 6 5" xfId="38810"/>
    <cellStyle name="표준 3 3 2 3 7" xfId="38811"/>
    <cellStyle name="표준 3 3 2 3 7 2" xfId="38812"/>
    <cellStyle name="표준 3 3 2 3 7 2 2" xfId="38813"/>
    <cellStyle name="표준 3 3 2 3 7 2 3" xfId="38814"/>
    <cellStyle name="표준 3 3 2 3 7 3" xfId="38815"/>
    <cellStyle name="표준 3 3 2 3 7 4" xfId="38816"/>
    <cellStyle name="표준 3 3 2 3 8" xfId="38817"/>
    <cellStyle name="표준 3 3 2 3 8 2" xfId="38818"/>
    <cellStyle name="표준 3 3 2 3 8 3" xfId="38819"/>
    <cellStyle name="표준 3 3 2 3 9" xfId="38820"/>
    <cellStyle name="표준 3 3 2 4" xfId="38821"/>
    <cellStyle name="표준 3 3 2 4 10" xfId="38822"/>
    <cellStyle name="표준 3 3 2 4 2" xfId="38823"/>
    <cellStyle name="표준 3 3 2 4 2 2" xfId="38824"/>
    <cellStyle name="표준 3 3 2 4 2 2 2" xfId="38825"/>
    <cellStyle name="표준 3 3 2 4 2 2 2 2" xfId="38826"/>
    <cellStyle name="표준 3 3 2 4 2 2 2 2 2" xfId="38827"/>
    <cellStyle name="표준 3 3 2 4 2 2 2 2 3" xfId="38828"/>
    <cellStyle name="표준 3 3 2 4 2 2 2 3" xfId="38829"/>
    <cellStyle name="표준 3 3 2 4 2 2 2 4" xfId="38830"/>
    <cellStyle name="표준 3 3 2 4 2 2 3" xfId="38831"/>
    <cellStyle name="표준 3 3 2 4 2 2 3 2" xfId="38832"/>
    <cellStyle name="표준 3 3 2 4 2 2 3 3" xfId="38833"/>
    <cellStyle name="표준 3 3 2 4 2 2 4" xfId="38834"/>
    <cellStyle name="표준 3 3 2 4 2 2 5" xfId="38835"/>
    <cellStyle name="표준 3 3 2 4 2 3" xfId="38836"/>
    <cellStyle name="표준 3 3 2 4 2 3 2" xfId="38837"/>
    <cellStyle name="표준 3 3 2 4 2 3 2 2" xfId="38838"/>
    <cellStyle name="표준 3 3 2 4 2 3 2 2 2" xfId="38839"/>
    <cellStyle name="표준 3 3 2 4 2 3 2 2 3" xfId="38840"/>
    <cellStyle name="표준 3 3 2 4 2 3 2 3" xfId="38841"/>
    <cellStyle name="표준 3 3 2 4 2 3 2 4" xfId="38842"/>
    <cellStyle name="표준 3 3 2 4 2 3 3" xfId="38843"/>
    <cellStyle name="표준 3 3 2 4 2 3 3 2" xfId="38844"/>
    <cellStyle name="표준 3 3 2 4 2 3 3 3" xfId="38845"/>
    <cellStyle name="표준 3 3 2 4 2 3 4" xfId="38846"/>
    <cellStyle name="표준 3 3 2 4 2 3 5" xfId="38847"/>
    <cellStyle name="표준 3 3 2 4 2 4" xfId="38848"/>
    <cellStyle name="표준 3 3 2 4 2 4 2" xfId="38849"/>
    <cellStyle name="표준 3 3 2 4 2 4 2 2" xfId="38850"/>
    <cellStyle name="표준 3 3 2 4 2 4 2 3" xfId="38851"/>
    <cellStyle name="표준 3 3 2 4 2 4 3" xfId="38852"/>
    <cellStyle name="표준 3 3 2 4 2 4 4" xfId="38853"/>
    <cellStyle name="표준 3 3 2 4 2 5" xfId="38854"/>
    <cellStyle name="표준 3 3 2 4 2 5 2" xfId="38855"/>
    <cellStyle name="표준 3 3 2 4 2 5 3" xfId="38856"/>
    <cellStyle name="표준 3 3 2 4 2 6" xfId="38857"/>
    <cellStyle name="표준 3 3 2 4 2 7" xfId="38858"/>
    <cellStyle name="표준 3 3 2 4 3" xfId="38859"/>
    <cellStyle name="표준 3 3 2 4 3 2" xfId="38860"/>
    <cellStyle name="표준 3 3 2 4 3 2 2" xfId="38861"/>
    <cellStyle name="표준 3 3 2 4 3 2 2 2" xfId="38862"/>
    <cellStyle name="표준 3 3 2 4 3 2 2 2 2" xfId="38863"/>
    <cellStyle name="표준 3 3 2 4 3 2 2 2 3" xfId="38864"/>
    <cellStyle name="표준 3 3 2 4 3 2 2 3" xfId="38865"/>
    <cellStyle name="표준 3 3 2 4 3 2 2 4" xfId="38866"/>
    <cellStyle name="표준 3 3 2 4 3 2 3" xfId="38867"/>
    <cellStyle name="표준 3 3 2 4 3 2 3 2" xfId="38868"/>
    <cellStyle name="표준 3 3 2 4 3 2 3 3" xfId="38869"/>
    <cellStyle name="표준 3 3 2 4 3 2 4" xfId="38870"/>
    <cellStyle name="표준 3 3 2 4 3 2 5" xfId="38871"/>
    <cellStyle name="표준 3 3 2 4 3 3" xfId="38872"/>
    <cellStyle name="표준 3 3 2 4 3 3 2" xfId="38873"/>
    <cellStyle name="표준 3 3 2 4 3 3 2 2" xfId="38874"/>
    <cellStyle name="표준 3 3 2 4 3 3 2 2 2" xfId="38875"/>
    <cellStyle name="표준 3 3 2 4 3 3 2 2 3" xfId="38876"/>
    <cellStyle name="표준 3 3 2 4 3 3 2 3" xfId="38877"/>
    <cellStyle name="표준 3 3 2 4 3 3 2 4" xfId="38878"/>
    <cellStyle name="표준 3 3 2 4 3 3 3" xfId="38879"/>
    <cellStyle name="표준 3 3 2 4 3 3 3 2" xfId="38880"/>
    <cellStyle name="표준 3 3 2 4 3 3 3 3" xfId="38881"/>
    <cellStyle name="표준 3 3 2 4 3 3 4" xfId="38882"/>
    <cellStyle name="표준 3 3 2 4 3 3 5" xfId="38883"/>
    <cellStyle name="표준 3 3 2 4 3 4" xfId="38884"/>
    <cellStyle name="표준 3 3 2 4 3 4 2" xfId="38885"/>
    <cellStyle name="표준 3 3 2 4 3 4 2 2" xfId="38886"/>
    <cellStyle name="표준 3 3 2 4 3 4 2 3" xfId="38887"/>
    <cellStyle name="표준 3 3 2 4 3 4 3" xfId="38888"/>
    <cellStyle name="표준 3 3 2 4 3 4 4" xfId="38889"/>
    <cellStyle name="표준 3 3 2 4 3 5" xfId="38890"/>
    <cellStyle name="표준 3 3 2 4 3 5 2" xfId="38891"/>
    <cellStyle name="표준 3 3 2 4 3 5 3" xfId="38892"/>
    <cellStyle name="표준 3 3 2 4 3 6" xfId="38893"/>
    <cellStyle name="표준 3 3 2 4 3 7" xfId="38894"/>
    <cellStyle name="표준 3 3 2 4 4" xfId="38895"/>
    <cellStyle name="표준 3 3 2 4 4 2" xfId="38896"/>
    <cellStyle name="표준 3 3 2 4 4 2 2" xfId="38897"/>
    <cellStyle name="표준 3 3 2 4 4 2 2 2" xfId="38898"/>
    <cellStyle name="표준 3 3 2 4 4 2 2 3" xfId="38899"/>
    <cellStyle name="표준 3 3 2 4 4 2 3" xfId="38900"/>
    <cellStyle name="표준 3 3 2 4 4 2 4" xfId="38901"/>
    <cellStyle name="표준 3 3 2 4 4 3" xfId="38902"/>
    <cellStyle name="표준 3 3 2 4 4 3 2" xfId="38903"/>
    <cellStyle name="표준 3 3 2 4 4 3 3" xfId="38904"/>
    <cellStyle name="표준 3 3 2 4 4 4" xfId="38905"/>
    <cellStyle name="표준 3 3 2 4 4 5" xfId="38906"/>
    <cellStyle name="표준 3 3 2 4 5" xfId="38907"/>
    <cellStyle name="표준 3 3 2 4 5 2" xfId="38908"/>
    <cellStyle name="표준 3 3 2 4 5 2 2" xfId="38909"/>
    <cellStyle name="표준 3 3 2 4 5 2 2 2" xfId="38910"/>
    <cellStyle name="표준 3 3 2 4 5 2 2 3" xfId="38911"/>
    <cellStyle name="표준 3 3 2 4 5 2 3" xfId="38912"/>
    <cellStyle name="표준 3 3 2 4 5 2 4" xfId="38913"/>
    <cellStyle name="표준 3 3 2 4 5 3" xfId="38914"/>
    <cellStyle name="표준 3 3 2 4 5 3 2" xfId="38915"/>
    <cellStyle name="표준 3 3 2 4 5 3 3" xfId="38916"/>
    <cellStyle name="표준 3 3 2 4 5 4" xfId="38917"/>
    <cellStyle name="표준 3 3 2 4 5 5" xfId="38918"/>
    <cellStyle name="표준 3 3 2 4 6" xfId="38919"/>
    <cellStyle name="표준 3 3 2 4 6 2" xfId="38920"/>
    <cellStyle name="표준 3 3 2 4 6 2 2" xfId="38921"/>
    <cellStyle name="표준 3 3 2 4 6 2 2 2" xfId="38922"/>
    <cellStyle name="표준 3 3 2 4 6 2 2 3" xfId="38923"/>
    <cellStyle name="표준 3 3 2 4 6 2 3" xfId="38924"/>
    <cellStyle name="표준 3 3 2 4 6 2 4" xfId="38925"/>
    <cellStyle name="표준 3 3 2 4 6 3" xfId="38926"/>
    <cellStyle name="표준 3 3 2 4 6 3 2" xfId="38927"/>
    <cellStyle name="표준 3 3 2 4 6 3 3" xfId="38928"/>
    <cellStyle name="표준 3 3 2 4 6 4" xfId="38929"/>
    <cellStyle name="표준 3 3 2 4 6 5" xfId="38930"/>
    <cellStyle name="표준 3 3 2 4 7" xfId="38931"/>
    <cellStyle name="표준 3 3 2 4 7 2" xfId="38932"/>
    <cellStyle name="표준 3 3 2 4 7 2 2" xfId="38933"/>
    <cellStyle name="표준 3 3 2 4 7 2 3" xfId="38934"/>
    <cellStyle name="표준 3 3 2 4 7 3" xfId="38935"/>
    <cellStyle name="표준 3 3 2 4 7 4" xfId="38936"/>
    <cellStyle name="표준 3 3 2 4 8" xfId="38937"/>
    <cellStyle name="표준 3 3 2 4 8 2" xfId="38938"/>
    <cellStyle name="표준 3 3 2 4 8 3" xfId="38939"/>
    <cellStyle name="표준 3 3 2 4 9" xfId="38940"/>
    <cellStyle name="표준 3 3 2 5" xfId="38941"/>
    <cellStyle name="표준 3 3 2 5 2" xfId="38942"/>
    <cellStyle name="표준 3 3 2 5 2 2" xfId="38943"/>
    <cellStyle name="표준 3 3 2 5 2 2 2" xfId="38944"/>
    <cellStyle name="표준 3 3 2 5 2 2 2 2" xfId="38945"/>
    <cellStyle name="표준 3 3 2 5 2 2 2 3" xfId="38946"/>
    <cellStyle name="표준 3 3 2 5 2 2 3" xfId="38947"/>
    <cellStyle name="표준 3 3 2 5 2 2 4" xfId="38948"/>
    <cellStyle name="표준 3 3 2 5 2 3" xfId="38949"/>
    <cellStyle name="표준 3 3 2 5 2 3 2" xfId="38950"/>
    <cellStyle name="표준 3 3 2 5 2 3 3" xfId="38951"/>
    <cellStyle name="표준 3 3 2 5 2 4" xfId="38952"/>
    <cellStyle name="표준 3 3 2 5 2 5" xfId="38953"/>
    <cellStyle name="표준 3 3 2 5 3" xfId="38954"/>
    <cellStyle name="표준 3 3 2 5 3 2" xfId="38955"/>
    <cellStyle name="표준 3 3 2 5 3 2 2" xfId="38956"/>
    <cellStyle name="표준 3 3 2 5 3 2 2 2" xfId="38957"/>
    <cellStyle name="표준 3 3 2 5 3 2 2 3" xfId="38958"/>
    <cellStyle name="표준 3 3 2 5 3 2 3" xfId="38959"/>
    <cellStyle name="표준 3 3 2 5 3 2 4" xfId="38960"/>
    <cellStyle name="표준 3 3 2 5 3 3" xfId="38961"/>
    <cellStyle name="표준 3 3 2 5 3 3 2" xfId="38962"/>
    <cellStyle name="표준 3 3 2 5 3 3 3" xfId="38963"/>
    <cellStyle name="표준 3 3 2 5 3 4" xfId="38964"/>
    <cellStyle name="표준 3 3 2 5 3 5" xfId="38965"/>
    <cellStyle name="표준 3 3 2 5 4" xfId="38966"/>
    <cellStyle name="표준 3 3 2 5 4 2" xfId="38967"/>
    <cellStyle name="표준 3 3 2 5 4 2 2" xfId="38968"/>
    <cellStyle name="표준 3 3 2 5 4 2 3" xfId="38969"/>
    <cellStyle name="표준 3 3 2 5 4 3" xfId="38970"/>
    <cellStyle name="표준 3 3 2 5 4 4" xfId="38971"/>
    <cellStyle name="표준 3 3 2 5 5" xfId="38972"/>
    <cellStyle name="표준 3 3 2 5 5 2" xfId="38973"/>
    <cellStyle name="표준 3 3 2 5 5 3" xfId="38974"/>
    <cellStyle name="표준 3 3 2 5 6" xfId="38975"/>
    <cellStyle name="표준 3 3 2 5 7" xfId="38976"/>
    <cellStyle name="표준 3 3 2 6" xfId="38977"/>
    <cellStyle name="표준 3 3 2 6 2" xfId="38978"/>
    <cellStyle name="표준 3 3 2 6 2 2" xfId="38979"/>
    <cellStyle name="표준 3 3 2 6 2 2 2" xfId="38980"/>
    <cellStyle name="표준 3 3 2 6 2 2 2 2" xfId="38981"/>
    <cellStyle name="표준 3 3 2 6 2 2 2 3" xfId="38982"/>
    <cellStyle name="표준 3 3 2 6 2 2 3" xfId="38983"/>
    <cellStyle name="표준 3 3 2 6 2 2 4" xfId="38984"/>
    <cellStyle name="표준 3 3 2 6 2 3" xfId="38985"/>
    <cellStyle name="표준 3 3 2 6 2 3 2" xfId="38986"/>
    <cellStyle name="표준 3 3 2 6 2 3 3" xfId="38987"/>
    <cellStyle name="표준 3 3 2 6 2 4" xfId="38988"/>
    <cellStyle name="표준 3 3 2 6 2 5" xfId="38989"/>
    <cellStyle name="표준 3 3 2 6 3" xfId="38990"/>
    <cellStyle name="표준 3 3 2 6 3 2" xfId="38991"/>
    <cellStyle name="표준 3 3 2 6 3 2 2" xfId="38992"/>
    <cellStyle name="표준 3 3 2 6 3 2 2 2" xfId="38993"/>
    <cellStyle name="표준 3 3 2 6 3 2 2 3" xfId="38994"/>
    <cellStyle name="표준 3 3 2 6 3 2 3" xfId="38995"/>
    <cellStyle name="표준 3 3 2 6 3 2 4" xfId="38996"/>
    <cellStyle name="표준 3 3 2 6 3 3" xfId="38997"/>
    <cellStyle name="표준 3 3 2 6 3 3 2" xfId="38998"/>
    <cellStyle name="표준 3 3 2 6 3 3 3" xfId="38999"/>
    <cellStyle name="표준 3 3 2 6 3 4" xfId="39000"/>
    <cellStyle name="표준 3 3 2 6 3 5" xfId="39001"/>
    <cellStyle name="표준 3 3 2 6 4" xfId="39002"/>
    <cellStyle name="표준 3 3 2 6 4 2" xfId="39003"/>
    <cellStyle name="표준 3 3 2 6 4 2 2" xfId="39004"/>
    <cellStyle name="표준 3 3 2 6 4 2 3" xfId="39005"/>
    <cellStyle name="표준 3 3 2 6 4 3" xfId="39006"/>
    <cellStyle name="표준 3 3 2 6 4 4" xfId="39007"/>
    <cellStyle name="표준 3 3 2 6 5" xfId="39008"/>
    <cellStyle name="표준 3 3 2 6 5 2" xfId="39009"/>
    <cellStyle name="표준 3 3 2 6 5 3" xfId="39010"/>
    <cellStyle name="표준 3 3 2 6 6" xfId="39011"/>
    <cellStyle name="표준 3 3 2 6 7" xfId="39012"/>
    <cellStyle name="표준 3 3 2 7" xfId="39013"/>
    <cellStyle name="표준 3 3 2 7 2" xfId="39014"/>
    <cellStyle name="표준 3 3 2 7 2 2" xfId="39015"/>
    <cellStyle name="표준 3 3 2 7 2 2 2" xfId="39016"/>
    <cellStyle name="표준 3 3 2 7 2 2 3" xfId="39017"/>
    <cellStyle name="표준 3 3 2 7 2 3" xfId="39018"/>
    <cellStyle name="표준 3 3 2 7 2 4" xfId="39019"/>
    <cellStyle name="표준 3 3 2 7 3" xfId="39020"/>
    <cellStyle name="표준 3 3 2 7 3 2" xfId="39021"/>
    <cellStyle name="표준 3 3 2 7 3 3" xfId="39022"/>
    <cellStyle name="표준 3 3 2 7 4" xfId="39023"/>
    <cellStyle name="표준 3 3 2 7 5" xfId="39024"/>
    <cellStyle name="표준 3 3 2 8" xfId="39025"/>
    <cellStyle name="표준 3 3 2 8 2" xfId="39026"/>
    <cellStyle name="표준 3 3 2 8 2 2" xfId="39027"/>
    <cellStyle name="표준 3 3 2 8 2 2 2" xfId="39028"/>
    <cellStyle name="표준 3 3 2 8 2 2 3" xfId="39029"/>
    <cellStyle name="표준 3 3 2 8 2 3" xfId="39030"/>
    <cellStyle name="표준 3 3 2 8 2 4" xfId="39031"/>
    <cellStyle name="표준 3 3 2 8 3" xfId="39032"/>
    <cellStyle name="표준 3 3 2 8 3 2" xfId="39033"/>
    <cellStyle name="표준 3 3 2 8 3 3" xfId="39034"/>
    <cellStyle name="표준 3 3 2 8 4" xfId="39035"/>
    <cellStyle name="표준 3 3 2 8 5" xfId="39036"/>
    <cellStyle name="표준 3 3 2 9" xfId="39037"/>
    <cellStyle name="표준 3 3 2 9 2" xfId="39038"/>
    <cellStyle name="표준 3 3 2 9 2 2" xfId="39039"/>
    <cellStyle name="표준 3 3 2 9 2 2 2" xfId="39040"/>
    <cellStyle name="표준 3 3 2 9 2 2 3" xfId="39041"/>
    <cellStyle name="표준 3 3 2 9 2 3" xfId="39042"/>
    <cellStyle name="표준 3 3 2 9 2 4" xfId="39043"/>
    <cellStyle name="표준 3 3 2 9 3" xfId="39044"/>
    <cellStyle name="표준 3 3 2 9 3 2" xfId="39045"/>
    <cellStyle name="표준 3 3 2 9 3 3" xfId="39046"/>
    <cellStyle name="표준 3 3 2 9 4" xfId="39047"/>
    <cellStyle name="표준 3 3 2 9 5" xfId="39048"/>
    <cellStyle name="표준 3 3 3" xfId="39049"/>
    <cellStyle name="표준 3 3 3 10" xfId="39050"/>
    <cellStyle name="표준 3 3 3 2" xfId="39051"/>
    <cellStyle name="표준 3 3 3 2 2" xfId="39052"/>
    <cellStyle name="표준 3 3 3 2 2 2" xfId="39053"/>
    <cellStyle name="표준 3 3 3 2 2 2 2" xfId="39054"/>
    <cellStyle name="표준 3 3 3 2 2 2 2 2" xfId="39055"/>
    <cellStyle name="표준 3 3 3 2 2 2 2 3" xfId="39056"/>
    <cellStyle name="표준 3 3 3 2 2 2 3" xfId="39057"/>
    <cellStyle name="표준 3 3 3 2 2 2 4" xfId="39058"/>
    <cellStyle name="표준 3 3 3 2 2 3" xfId="39059"/>
    <cellStyle name="표준 3 3 3 2 2 3 2" xfId="39060"/>
    <cellStyle name="표준 3 3 3 2 2 3 3" xfId="39061"/>
    <cellStyle name="표준 3 3 3 2 2 4" xfId="39062"/>
    <cellStyle name="표준 3 3 3 2 2 5" xfId="39063"/>
    <cellStyle name="표준 3 3 3 2 3" xfId="39064"/>
    <cellStyle name="표준 3 3 3 2 3 2" xfId="39065"/>
    <cellStyle name="표준 3 3 3 2 3 2 2" xfId="39066"/>
    <cellStyle name="표준 3 3 3 2 3 2 2 2" xfId="39067"/>
    <cellStyle name="표준 3 3 3 2 3 2 2 3" xfId="39068"/>
    <cellStyle name="표준 3 3 3 2 3 2 3" xfId="39069"/>
    <cellStyle name="표준 3 3 3 2 3 2 4" xfId="39070"/>
    <cellStyle name="표준 3 3 3 2 3 3" xfId="39071"/>
    <cellStyle name="표준 3 3 3 2 3 3 2" xfId="39072"/>
    <cellStyle name="표준 3 3 3 2 3 3 3" xfId="39073"/>
    <cellStyle name="표준 3 3 3 2 3 4" xfId="39074"/>
    <cellStyle name="표준 3 3 3 2 3 5" xfId="39075"/>
    <cellStyle name="표준 3 3 3 2 4" xfId="39076"/>
    <cellStyle name="표준 3 3 3 2 4 2" xfId="39077"/>
    <cellStyle name="표준 3 3 3 2 4 2 2" xfId="39078"/>
    <cellStyle name="표준 3 3 3 2 4 2 3" xfId="39079"/>
    <cellStyle name="표준 3 3 3 2 4 3" xfId="39080"/>
    <cellStyle name="표준 3 3 3 2 4 4" xfId="39081"/>
    <cellStyle name="표준 3 3 3 2 5" xfId="39082"/>
    <cellStyle name="표준 3 3 3 2 5 2" xfId="39083"/>
    <cellStyle name="표준 3 3 3 2 5 3" xfId="39084"/>
    <cellStyle name="표준 3 3 3 2 6" xfId="39085"/>
    <cellStyle name="표준 3 3 3 2 7" xfId="39086"/>
    <cellStyle name="표준 3 3 3 3" xfId="39087"/>
    <cellStyle name="표준 3 3 3 3 2" xfId="39088"/>
    <cellStyle name="표준 3 3 3 3 2 2" xfId="39089"/>
    <cellStyle name="표준 3 3 3 3 2 2 2" xfId="39090"/>
    <cellStyle name="표준 3 3 3 3 2 2 2 2" xfId="39091"/>
    <cellStyle name="표준 3 3 3 3 2 2 2 3" xfId="39092"/>
    <cellStyle name="표준 3 3 3 3 2 2 3" xfId="39093"/>
    <cellStyle name="표준 3 3 3 3 2 2 4" xfId="39094"/>
    <cellStyle name="표준 3 3 3 3 2 3" xfId="39095"/>
    <cellStyle name="표준 3 3 3 3 2 3 2" xfId="39096"/>
    <cellStyle name="표준 3 3 3 3 2 3 3" xfId="39097"/>
    <cellStyle name="표준 3 3 3 3 2 4" xfId="39098"/>
    <cellStyle name="표준 3 3 3 3 2 5" xfId="39099"/>
    <cellStyle name="표준 3 3 3 3 3" xfId="39100"/>
    <cellStyle name="표준 3 3 3 3 3 2" xfId="39101"/>
    <cellStyle name="표준 3 3 3 3 3 2 2" xfId="39102"/>
    <cellStyle name="표준 3 3 3 3 3 2 2 2" xfId="39103"/>
    <cellStyle name="표준 3 3 3 3 3 2 2 3" xfId="39104"/>
    <cellStyle name="표준 3 3 3 3 3 2 3" xfId="39105"/>
    <cellStyle name="표준 3 3 3 3 3 2 4" xfId="39106"/>
    <cellStyle name="표준 3 3 3 3 3 3" xfId="39107"/>
    <cellStyle name="표준 3 3 3 3 3 3 2" xfId="39108"/>
    <cellStyle name="표준 3 3 3 3 3 3 3" xfId="39109"/>
    <cellStyle name="표준 3 3 3 3 3 4" xfId="39110"/>
    <cellStyle name="표준 3 3 3 3 3 5" xfId="39111"/>
    <cellStyle name="표준 3 3 3 3 4" xfId="39112"/>
    <cellStyle name="표준 3 3 3 3 4 2" xfId="39113"/>
    <cellStyle name="표준 3 3 3 3 4 2 2" xfId="39114"/>
    <cellStyle name="표준 3 3 3 3 4 2 3" xfId="39115"/>
    <cellStyle name="표준 3 3 3 3 4 3" xfId="39116"/>
    <cellStyle name="표준 3 3 3 3 4 4" xfId="39117"/>
    <cellStyle name="표준 3 3 3 3 5" xfId="39118"/>
    <cellStyle name="표준 3 3 3 3 5 2" xfId="39119"/>
    <cellStyle name="표준 3 3 3 3 5 3" xfId="39120"/>
    <cellStyle name="표준 3 3 3 3 6" xfId="39121"/>
    <cellStyle name="표준 3 3 3 3 7" xfId="39122"/>
    <cellStyle name="표준 3 3 3 4" xfId="39123"/>
    <cellStyle name="표준 3 3 3 4 2" xfId="39124"/>
    <cellStyle name="표준 3 3 3 4 2 2" xfId="39125"/>
    <cellStyle name="표준 3 3 3 4 2 2 2" xfId="39126"/>
    <cellStyle name="표준 3 3 3 4 2 2 3" xfId="39127"/>
    <cellStyle name="표준 3 3 3 4 2 3" xfId="39128"/>
    <cellStyle name="표준 3 3 3 4 2 4" xfId="39129"/>
    <cellStyle name="표준 3 3 3 4 3" xfId="39130"/>
    <cellStyle name="표준 3 3 3 4 3 2" xfId="39131"/>
    <cellStyle name="표준 3 3 3 4 3 3" xfId="39132"/>
    <cellStyle name="표준 3 3 3 4 4" xfId="39133"/>
    <cellStyle name="표준 3 3 3 4 5" xfId="39134"/>
    <cellStyle name="표준 3 3 3 5" xfId="39135"/>
    <cellStyle name="표준 3 3 3 5 2" xfId="39136"/>
    <cellStyle name="표준 3 3 3 5 2 2" xfId="39137"/>
    <cellStyle name="표준 3 3 3 5 2 2 2" xfId="39138"/>
    <cellStyle name="표준 3 3 3 5 2 2 3" xfId="39139"/>
    <cellStyle name="표준 3 3 3 5 2 3" xfId="39140"/>
    <cellStyle name="표준 3 3 3 5 2 4" xfId="39141"/>
    <cellStyle name="표준 3 3 3 5 3" xfId="39142"/>
    <cellStyle name="표준 3 3 3 5 3 2" xfId="39143"/>
    <cellStyle name="표준 3 3 3 5 3 3" xfId="39144"/>
    <cellStyle name="표준 3 3 3 5 4" xfId="39145"/>
    <cellStyle name="표준 3 3 3 5 5" xfId="39146"/>
    <cellStyle name="표준 3 3 3 6" xfId="39147"/>
    <cellStyle name="표준 3 3 3 6 2" xfId="39148"/>
    <cellStyle name="표준 3 3 3 6 2 2" xfId="39149"/>
    <cellStyle name="표준 3 3 3 6 2 2 2" xfId="39150"/>
    <cellStyle name="표준 3 3 3 6 2 2 3" xfId="39151"/>
    <cellStyle name="표준 3 3 3 6 2 3" xfId="39152"/>
    <cellStyle name="표준 3 3 3 6 2 4" xfId="39153"/>
    <cellStyle name="표준 3 3 3 6 3" xfId="39154"/>
    <cellStyle name="표준 3 3 3 6 3 2" xfId="39155"/>
    <cellStyle name="표준 3 3 3 6 3 3" xfId="39156"/>
    <cellStyle name="표준 3 3 3 6 4" xfId="39157"/>
    <cellStyle name="표준 3 3 3 6 5" xfId="39158"/>
    <cellStyle name="표준 3 3 3 7" xfId="39159"/>
    <cellStyle name="표준 3 3 3 7 2" xfId="39160"/>
    <cellStyle name="표준 3 3 3 7 2 2" xfId="39161"/>
    <cellStyle name="표준 3 3 3 7 2 3" xfId="39162"/>
    <cellStyle name="표준 3 3 3 7 3" xfId="39163"/>
    <cellStyle name="표준 3 3 3 7 4" xfId="39164"/>
    <cellStyle name="표준 3 3 3 8" xfId="39165"/>
    <cellStyle name="표준 3 3 3 8 2" xfId="39166"/>
    <cellStyle name="표준 3 3 3 8 3" xfId="39167"/>
    <cellStyle name="표준 3 3 3 9" xfId="39168"/>
    <cellStyle name="표준 3 3 4" xfId="39169"/>
    <cellStyle name="표준 3 3 4 10" xfId="39170"/>
    <cellStyle name="표준 3 3 4 2" xfId="39171"/>
    <cellStyle name="표준 3 3 4 2 2" xfId="39172"/>
    <cellStyle name="표준 3 3 4 2 2 2" xfId="39173"/>
    <cellStyle name="표준 3 3 4 2 2 2 2" xfId="39174"/>
    <cellStyle name="표준 3 3 4 2 2 2 2 2" xfId="39175"/>
    <cellStyle name="표준 3 3 4 2 2 2 2 3" xfId="39176"/>
    <cellStyle name="표준 3 3 4 2 2 2 3" xfId="39177"/>
    <cellStyle name="표준 3 3 4 2 2 2 4" xfId="39178"/>
    <cellStyle name="표준 3 3 4 2 2 3" xfId="39179"/>
    <cellStyle name="표준 3 3 4 2 2 3 2" xfId="39180"/>
    <cellStyle name="표준 3 3 4 2 2 3 3" xfId="39181"/>
    <cellStyle name="표준 3 3 4 2 2 4" xfId="39182"/>
    <cellStyle name="표준 3 3 4 2 2 5" xfId="39183"/>
    <cellStyle name="표준 3 3 4 2 3" xfId="39184"/>
    <cellStyle name="표준 3 3 4 2 3 2" xfId="39185"/>
    <cellStyle name="표준 3 3 4 2 3 2 2" xfId="39186"/>
    <cellStyle name="표준 3 3 4 2 3 2 2 2" xfId="39187"/>
    <cellStyle name="표준 3 3 4 2 3 2 2 3" xfId="39188"/>
    <cellStyle name="표준 3 3 4 2 3 2 3" xfId="39189"/>
    <cellStyle name="표준 3 3 4 2 3 2 4" xfId="39190"/>
    <cellStyle name="표준 3 3 4 2 3 3" xfId="39191"/>
    <cellStyle name="표준 3 3 4 2 3 3 2" xfId="39192"/>
    <cellStyle name="표준 3 3 4 2 3 3 3" xfId="39193"/>
    <cellStyle name="표준 3 3 4 2 3 4" xfId="39194"/>
    <cellStyle name="표준 3 3 4 2 3 5" xfId="39195"/>
    <cellStyle name="표준 3 3 4 2 4" xfId="39196"/>
    <cellStyle name="표준 3 3 4 2 4 2" xfId="39197"/>
    <cellStyle name="표준 3 3 4 2 4 2 2" xfId="39198"/>
    <cellStyle name="표준 3 3 4 2 4 2 3" xfId="39199"/>
    <cellStyle name="표준 3 3 4 2 4 3" xfId="39200"/>
    <cellStyle name="표준 3 3 4 2 4 4" xfId="39201"/>
    <cellStyle name="표준 3 3 4 2 5" xfId="39202"/>
    <cellStyle name="표준 3 3 4 2 5 2" xfId="39203"/>
    <cellStyle name="표준 3 3 4 2 5 3" xfId="39204"/>
    <cellStyle name="표준 3 3 4 2 6" xfId="39205"/>
    <cellStyle name="표준 3 3 4 2 7" xfId="39206"/>
    <cellStyle name="표준 3 3 4 3" xfId="39207"/>
    <cellStyle name="표준 3 3 4 3 2" xfId="39208"/>
    <cellStyle name="표준 3 3 4 3 2 2" xfId="39209"/>
    <cellStyle name="표준 3 3 4 3 2 2 2" xfId="39210"/>
    <cellStyle name="표준 3 3 4 3 2 2 2 2" xfId="39211"/>
    <cellStyle name="표준 3 3 4 3 2 2 2 3" xfId="39212"/>
    <cellStyle name="표준 3 3 4 3 2 2 3" xfId="39213"/>
    <cellStyle name="표준 3 3 4 3 2 2 4" xfId="39214"/>
    <cellStyle name="표준 3 3 4 3 2 3" xfId="39215"/>
    <cellStyle name="표준 3 3 4 3 2 3 2" xfId="39216"/>
    <cellStyle name="표준 3 3 4 3 2 3 3" xfId="39217"/>
    <cellStyle name="표준 3 3 4 3 2 4" xfId="39218"/>
    <cellStyle name="표준 3 3 4 3 2 5" xfId="39219"/>
    <cellStyle name="표준 3 3 4 3 3" xfId="39220"/>
    <cellStyle name="표준 3 3 4 3 3 2" xfId="39221"/>
    <cellStyle name="표준 3 3 4 3 3 2 2" xfId="39222"/>
    <cellStyle name="표준 3 3 4 3 3 2 2 2" xfId="39223"/>
    <cellStyle name="표준 3 3 4 3 3 2 2 3" xfId="39224"/>
    <cellStyle name="표준 3 3 4 3 3 2 3" xfId="39225"/>
    <cellStyle name="표준 3 3 4 3 3 2 4" xfId="39226"/>
    <cellStyle name="표준 3 3 4 3 3 3" xfId="39227"/>
    <cellStyle name="표준 3 3 4 3 3 3 2" xfId="39228"/>
    <cellStyle name="표준 3 3 4 3 3 3 3" xfId="39229"/>
    <cellStyle name="표준 3 3 4 3 3 4" xfId="39230"/>
    <cellStyle name="표준 3 3 4 3 3 5" xfId="39231"/>
    <cellStyle name="표준 3 3 4 3 4" xfId="39232"/>
    <cellStyle name="표준 3 3 4 3 4 2" xfId="39233"/>
    <cellStyle name="표준 3 3 4 3 4 2 2" xfId="39234"/>
    <cellStyle name="표준 3 3 4 3 4 2 3" xfId="39235"/>
    <cellStyle name="표준 3 3 4 3 4 3" xfId="39236"/>
    <cellStyle name="표준 3 3 4 3 4 4" xfId="39237"/>
    <cellStyle name="표준 3 3 4 3 5" xfId="39238"/>
    <cellStyle name="표준 3 3 4 3 5 2" xfId="39239"/>
    <cellStyle name="표준 3 3 4 3 5 3" xfId="39240"/>
    <cellStyle name="표준 3 3 4 3 6" xfId="39241"/>
    <cellStyle name="표준 3 3 4 3 7" xfId="39242"/>
    <cellStyle name="표준 3 3 4 4" xfId="39243"/>
    <cellStyle name="표준 3 3 4 4 2" xfId="39244"/>
    <cellStyle name="표준 3 3 4 4 2 2" xfId="39245"/>
    <cellStyle name="표준 3 3 4 4 2 2 2" xfId="39246"/>
    <cellStyle name="표준 3 3 4 4 2 2 3" xfId="39247"/>
    <cellStyle name="표준 3 3 4 4 2 3" xfId="39248"/>
    <cellStyle name="표준 3 3 4 4 2 4" xfId="39249"/>
    <cellStyle name="표준 3 3 4 4 3" xfId="39250"/>
    <cellStyle name="표준 3 3 4 4 3 2" xfId="39251"/>
    <cellStyle name="표준 3 3 4 4 3 3" xfId="39252"/>
    <cellStyle name="표준 3 3 4 4 4" xfId="39253"/>
    <cellStyle name="표준 3 3 4 4 5" xfId="39254"/>
    <cellStyle name="표준 3 3 4 5" xfId="39255"/>
    <cellStyle name="표준 3 3 4 5 2" xfId="39256"/>
    <cellStyle name="표준 3 3 4 5 2 2" xfId="39257"/>
    <cellStyle name="표준 3 3 4 5 2 2 2" xfId="39258"/>
    <cellStyle name="표준 3 3 4 5 2 2 3" xfId="39259"/>
    <cellStyle name="표준 3 3 4 5 2 3" xfId="39260"/>
    <cellStyle name="표준 3 3 4 5 2 4" xfId="39261"/>
    <cellStyle name="표준 3 3 4 5 3" xfId="39262"/>
    <cellStyle name="표준 3 3 4 5 3 2" xfId="39263"/>
    <cellStyle name="표준 3 3 4 5 3 3" xfId="39264"/>
    <cellStyle name="표준 3 3 4 5 4" xfId="39265"/>
    <cellStyle name="표준 3 3 4 5 5" xfId="39266"/>
    <cellStyle name="표준 3 3 4 6" xfId="39267"/>
    <cellStyle name="표준 3 3 4 6 2" xfId="39268"/>
    <cellStyle name="표준 3 3 4 6 2 2" xfId="39269"/>
    <cellStyle name="표준 3 3 4 6 2 2 2" xfId="39270"/>
    <cellStyle name="표준 3 3 4 6 2 2 3" xfId="39271"/>
    <cellStyle name="표준 3 3 4 6 2 3" xfId="39272"/>
    <cellStyle name="표준 3 3 4 6 2 4" xfId="39273"/>
    <cellStyle name="표준 3 3 4 6 3" xfId="39274"/>
    <cellStyle name="표준 3 3 4 6 3 2" xfId="39275"/>
    <cellStyle name="표준 3 3 4 6 3 3" xfId="39276"/>
    <cellStyle name="표준 3 3 4 6 4" xfId="39277"/>
    <cellStyle name="표준 3 3 4 6 5" xfId="39278"/>
    <cellStyle name="표준 3 3 4 7" xfId="39279"/>
    <cellStyle name="표준 3 3 4 7 2" xfId="39280"/>
    <cellStyle name="표준 3 3 4 7 2 2" xfId="39281"/>
    <cellStyle name="표준 3 3 4 7 2 3" xfId="39282"/>
    <cellStyle name="표준 3 3 4 7 3" xfId="39283"/>
    <cellStyle name="표준 3 3 4 7 4" xfId="39284"/>
    <cellStyle name="표준 3 3 4 8" xfId="39285"/>
    <cellStyle name="표준 3 3 4 8 2" xfId="39286"/>
    <cellStyle name="표준 3 3 4 8 3" xfId="39287"/>
    <cellStyle name="표준 3 3 4 9" xfId="39288"/>
    <cellStyle name="표준 3 3 5" xfId="39289"/>
    <cellStyle name="표준 3 3 5 10" xfId="39290"/>
    <cellStyle name="표준 3 3 5 2" xfId="39291"/>
    <cellStyle name="표준 3 3 5 2 2" xfId="39292"/>
    <cellStyle name="표준 3 3 5 2 2 2" xfId="39293"/>
    <cellStyle name="표준 3 3 5 2 2 2 2" xfId="39294"/>
    <cellStyle name="표준 3 3 5 2 2 2 2 2" xfId="39295"/>
    <cellStyle name="표준 3 3 5 2 2 2 2 3" xfId="39296"/>
    <cellStyle name="표준 3 3 5 2 2 2 3" xfId="39297"/>
    <cellStyle name="표준 3 3 5 2 2 2 4" xfId="39298"/>
    <cellStyle name="표준 3 3 5 2 2 3" xfId="39299"/>
    <cellStyle name="표준 3 3 5 2 2 3 2" xfId="39300"/>
    <cellStyle name="표준 3 3 5 2 2 3 3" xfId="39301"/>
    <cellStyle name="표준 3 3 5 2 2 4" xfId="39302"/>
    <cellStyle name="표준 3 3 5 2 2 5" xfId="39303"/>
    <cellStyle name="표준 3 3 5 2 3" xfId="39304"/>
    <cellStyle name="표준 3 3 5 2 3 2" xfId="39305"/>
    <cellStyle name="표준 3 3 5 2 3 2 2" xfId="39306"/>
    <cellStyle name="표준 3 3 5 2 3 2 2 2" xfId="39307"/>
    <cellStyle name="표준 3 3 5 2 3 2 2 3" xfId="39308"/>
    <cellStyle name="표준 3 3 5 2 3 2 3" xfId="39309"/>
    <cellStyle name="표준 3 3 5 2 3 2 4" xfId="39310"/>
    <cellStyle name="표준 3 3 5 2 3 3" xfId="39311"/>
    <cellStyle name="표준 3 3 5 2 3 3 2" xfId="39312"/>
    <cellStyle name="표준 3 3 5 2 3 3 3" xfId="39313"/>
    <cellStyle name="표준 3 3 5 2 3 4" xfId="39314"/>
    <cellStyle name="표준 3 3 5 2 3 5" xfId="39315"/>
    <cellStyle name="표준 3 3 5 2 4" xfId="39316"/>
    <cellStyle name="표준 3 3 5 2 4 2" xfId="39317"/>
    <cellStyle name="표준 3 3 5 2 4 2 2" xfId="39318"/>
    <cellStyle name="표준 3 3 5 2 4 2 3" xfId="39319"/>
    <cellStyle name="표준 3 3 5 2 4 3" xfId="39320"/>
    <cellStyle name="표준 3 3 5 2 4 4" xfId="39321"/>
    <cellStyle name="표준 3 3 5 2 5" xfId="39322"/>
    <cellStyle name="표준 3 3 5 2 5 2" xfId="39323"/>
    <cellStyle name="표준 3 3 5 2 5 3" xfId="39324"/>
    <cellStyle name="표준 3 3 5 2 6" xfId="39325"/>
    <cellStyle name="표준 3 3 5 2 7" xfId="39326"/>
    <cellStyle name="표준 3 3 5 3" xfId="39327"/>
    <cellStyle name="표준 3 3 5 3 2" xfId="39328"/>
    <cellStyle name="표준 3 3 5 3 2 2" xfId="39329"/>
    <cellStyle name="표준 3 3 5 3 2 2 2" xfId="39330"/>
    <cellStyle name="표준 3 3 5 3 2 2 2 2" xfId="39331"/>
    <cellStyle name="표준 3 3 5 3 2 2 2 3" xfId="39332"/>
    <cellStyle name="표준 3 3 5 3 2 2 3" xfId="39333"/>
    <cellStyle name="표준 3 3 5 3 2 2 4" xfId="39334"/>
    <cellStyle name="표준 3 3 5 3 2 3" xfId="39335"/>
    <cellStyle name="표준 3 3 5 3 2 3 2" xfId="39336"/>
    <cellStyle name="표준 3 3 5 3 2 3 3" xfId="39337"/>
    <cellStyle name="표준 3 3 5 3 2 4" xfId="39338"/>
    <cellStyle name="표준 3 3 5 3 2 5" xfId="39339"/>
    <cellStyle name="표준 3 3 5 3 3" xfId="39340"/>
    <cellStyle name="표준 3 3 5 3 3 2" xfId="39341"/>
    <cellStyle name="표준 3 3 5 3 3 2 2" xfId="39342"/>
    <cellStyle name="표준 3 3 5 3 3 2 2 2" xfId="39343"/>
    <cellStyle name="표준 3 3 5 3 3 2 2 3" xfId="39344"/>
    <cellStyle name="표준 3 3 5 3 3 2 3" xfId="39345"/>
    <cellStyle name="표준 3 3 5 3 3 2 4" xfId="39346"/>
    <cellStyle name="표준 3 3 5 3 3 3" xfId="39347"/>
    <cellStyle name="표준 3 3 5 3 3 3 2" xfId="39348"/>
    <cellStyle name="표준 3 3 5 3 3 3 3" xfId="39349"/>
    <cellStyle name="표준 3 3 5 3 3 4" xfId="39350"/>
    <cellStyle name="표준 3 3 5 3 3 5" xfId="39351"/>
    <cellStyle name="표준 3 3 5 3 4" xfId="39352"/>
    <cellStyle name="표준 3 3 5 3 4 2" xfId="39353"/>
    <cellStyle name="표준 3 3 5 3 4 2 2" xfId="39354"/>
    <cellStyle name="표준 3 3 5 3 4 2 3" xfId="39355"/>
    <cellStyle name="표준 3 3 5 3 4 3" xfId="39356"/>
    <cellStyle name="표준 3 3 5 3 4 4" xfId="39357"/>
    <cellStyle name="표준 3 3 5 3 5" xfId="39358"/>
    <cellStyle name="표준 3 3 5 3 5 2" xfId="39359"/>
    <cellStyle name="표준 3 3 5 3 5 3" xfId="39360"/>
    <cellStyle name="표준 3 3 5 3 6" xfId="39361"/>
    <cellStyle name="표준 3 3 5 3 7" xfId="39362"/>
    <cellStyle name="표준 3 3 5 4" xfId="39363"/>
    <cellStyle name="표준 3 3 5 4 2" xfId="39364"/>
    <cellStyle name="표준 3 3 5 4 2 2" xfId="39365"/>
    <cellStyle name="표준 3 3 5 4 2 2 2" xfId="39366"/>
    <cellStyle name="표준 3 3 5 4 2 2 3" xfId="39367"/>
    <cellStyle name="표준 3 3 5 4 2 3" xfId="39368"/>
    <cellStyle name="표준 3 3 5 4 2 4" xfId="39369"/>
    <cellStyle name="표준 3 3 5 4 3" xfId="39370"/>
    <cellStyle name="표준 3 3 5 4 3 2" xfId="39371"/>
    <cellStyle name="표준 3 3 5 4 3 3" xfId="39372"/>
    <cellStyle name="표준 3 3 5 4 4" xfId="39373"/>
    <cellStyle name="표준 3 3 5 4 5" xfId="39374"/>
    <cellStyle name="표준 3 3 5 5" xfId="39375"/>
    <cellStyle name="표준 3 3 5 5 2" xfId="39376"/>
    <cellStyle name="표준 3 3 5 5 2 2" xfId="39377"/>
    <cellStyle name="표준 3 3 5 5 2 2 2" xfId="39378"/>
    <cellStyle name="표준 3 3 5 5 2 2 3" xfId="39379"/>
    <cellStyle name="표준 3 3 5 5 2 3" xfId="39380"/>
    <cellStyle name="표준 3 3 5 5 2 4" xfId="39381"/>
    <cellStyle name="표준 3 3 5 5 3" xfId="39382"/>
    <cellStyle name="표준 3 3 5 5 3 2" xfId="39383"/>
    <cellStyle name="표준 3 3 5 5 3 3" xfId="39384"/>
    <cellStyle name="표준 3 3 5 5 4" xfId="39385"/>
    <cellStyle name="표준 3 3 5 5 5" xfId="39386"/>
    <cellStyle name="표준 3 3 5 6" xfId="39387"/>
    <cellStyle name="표준 3 3 5 6 2" xfId="39388"/>
    <cellStyle name="표준 3 3 5 6 2 2" xfId="39389"/>
    <cellStyle name="표준 3 3 5 6 2 2 2" xfId="39390"/>
    <cellStyle name="표준 3 3 5 6 2 2 3" xfId="39391"/>
    <cellStyle name="표준 3 3 5 6 2 3" xfId="39392"/>
    <cellStyle name="표준 3 3 5 6 2 4" xfId="39393"/>
    <cellStyle name="표준 3 3 5 6 3" xfId="39394"/>
    <cellStyle name="표준 3 3 5 6 3 2" xfId="39395"/>
    <cellStyle name="표준 3 3 5 6 3 3" xfId="39396"/>
    <cellStyle name="표준 3 3 5 6 4" xfId="39397"/>
    <cellStyle name="표준 3 3 5 6 5" xfId="39398"/>
    <cellStyle name="표준 3 3 5 7" xfId="39399"/>
    <cellStyle name="표준 3 3 5 7 2" xfId="39400"/>
    <cellStyle name="표준 3 3 5 7 2 2" xfId="39401"/>
    <cellStyle name="표준 3 3 5 7 2 3" xfId="39402"/>
    <cellStyle name="표준 3 3 5 7 3" xfId="39403"/>
    <cellStyle name="표준 3 3 5 7 4" xfId="39404"/>
    <cellStyle name="표준 3 3 5 8" xfId="39405"/>
    <cellStyle name="표준 3 3 5 8 2" xfId="39406"/>
    <cellStyle name="표준 3 3 5 8 3" xfId="39407"/>
    <cellStyle name="표준 3 3 5 9" xfId="39408"/>
    <cellStyle name="표준 3 3 6" xfId="39409"/>
    <cellStyle name="표준 3 3 6 2" xfId="39410"/>
    <cellStyle name="표준 3 3 6 2 2" xfId="39411"/>
    <cellStyle name="표준 3 3 6 2 2 2" xfId="39412"/>
    <cellStyle name="표준 3 3 6 2 2 2 2" xfId="39413"/>
    <cellStyle name="표준 3 3 6 2 2 2 3" xfId="39414"/>
    <cellStyle name="표준 3 3 6 2 2 3" xfId="39415"/>
    <cellStyle name="표준 3 3 6 2 2 4" xfId="39416"/>
    <cellStyle name="표준 3 3 6 2 3" xfId="39417"/>
    <cellStyle name="표준 3 3 6 2 3 2" xfId="39418"/>
    <cellStyle name="표준 3 3 6 2 3 3" xfId="39419"/>
    <cellStyle name="표준 3 3 6 2 4" xfId="39420"/>
    <cellStyle name="표준 3 3 6 2 5" xfId="39421"/>
    <cellStyle name="표준 3 3 6 3" xfId="39422"/>
    <cellStyle name="표준 3 3 6 3 2" xfId="39423"/>
    <cellStyle name="표준 3 3 6 3 2 2" xfId="39424"/>
    <cellStyle name="표준 3 3 6 3 2 2 2" xfId="39425"/>
    <cellStyle name="표준 3 3 6 3 2 2 3" xfId="39426"/>
    <cellStyle name="표준 3 3 6 3 2 3" xfId="39427"/>
    <cellStyle name="표준 3 3 6 3 2 4" xfId="39428"/>
    <cellStyle name="표준 3 3 6 3 3" xfId="39429"/>
    <cellStyle name="표준 3 3 6 3 3 2" xfId="39430"/>
    <cellStyle name="표준 3 3 6 3 3 3" xfId="39431"/>
    <cellStyle name="표준 3 3 6 3 4" xfId="39432"/>
    <cellStyle name="표준 3 3 6 3 5" xfId="39433"/>
    <cellStyle name="표준 3 3 6 4" xfId="39434"/>
    <cellStyle name="표준 3 3 6 4 2" xfId="39435"/>
    <cellStyle name="표준 3 3 6 4 2 2" xfId="39436"/>
    <cellStyle name="표준 3 3 6 4 2 3" xfId="39437"/>
    <cellStyle name="표준 3 3 6 4 3" xfId="39438"/>
    <cellStyle name="표준 3 3 6 4 4" xfId="39439"/>
    <cellStyle name="표준 3 3 6 5" xfId="39440"/>
    <cellStyle name="표준 3 3 6 5 2" xfId="39441"/>
    <cellStyle name="표준 3 3 6 5 3" xfId="39442"/>
    <cellStyle name="표준 3 3 6 6" xfId="39443"/>
    <cellStyle name="표준 3 3 6 7" xfId="39444"/>
    <cellStyle name="표준 3 3 7" xfId="39445"/>
    <cellStyle name="표준 3 3 7 2" xfId="39446"/>
    <cellStyle name="표준 3 3 7 2 2" xfId="39447"/>
    <cellStyle name="표준 3 3 7 2 2 2" xfId="39448"/>
    <cellStyle name="표준 3 3 7 2 2 2 2" xfId="39449"/>
    <cellStyle name="표준 3 3 7 2 2 2 3" xfId="39450"/>
    <cellStyle name="표준 3 3 7 2 2 3" xfId="39451"/>
    <cellStyle name="표준 3 3 7 2 2 4" xfId="39452"/>
    <cellStyle name="표준 3 3 7 2 3" xfId="39453"/>
    <cellStyle name="표준 3 3 7 2 3 2" xfId="39454"/>
    <cellStyle name="표준 3 3 7 2 3 3" xfId="39455"/>
    <cellStyle name="표준 3 3 7 2 4" xfId="39456"/>
    <cellStyle name="표준 3 3 7 2 5" xfId="39457"/>
    <cellStyle name="표준 3 3 7 3" xfId="39458"/>
    <cellStyle name="표준 3 3 7 3 2" xfId="39459"/>
    <cellStyle name="표준 3 3 7 3 2 2" xfId="39460"/>
    <cellStyle name="표준 3 3 7 3 2 2 2" xfId="39461"/>
    <cellStyle name="표준 3 3 7 3 2 2 3" xfId="39462"/>
    <cellStyle name="표준 3 3 7 3 2 3" xfId="39463"/>
    <cellStyle name="표준 3 3 7 3 2 4" xfId="39464"/>
    <cellStyle name="표준 3 3 7 3 3" xfId="39465"/>
    <cellStyle name="표준 3 3 7 3 3 2" xfId="39466"/>
    <cellStyle name="표준 3 3 7 3 3 3" xfId="39467"/>
    <cellStyle name="표준 3 3 7 3 4" xfId="39468"/>
    <cellStyle name="표준 3 3 7 3 5" xfId="39469"/>
    <cellStyle name="표준 3 3 7 4" xfId="39470"/>
    <cellStyle name="표준 3 3 7 4 2" xfId="39471"/>
    <cellStyle name="표준 3 3 7 4 2 2" xfId="39472"/>
    <cellStyle name="표준 3 3 7 4 2 3" xfId="39473"/>
    <cellStyle name="표준 3 3 7 4 3" xfId="39474"/>
    <cellStyle name="표준 3 3 7 4 4" xfId="39475"/>
    <cellStyle name="표준 3 3 7 5" xfId="39476"/>
    <cellStyle name="표준 3 3 7 5 2" xfId="39477"/>
    <cellStyle name="표준 3 3 7 5 3" xfId="39478"/>
    <cellStyle name="표준 3 3 7 6" xfId="39479"/>
    <cellStyle name="표준 3 3 7 7" xfId="39480"/>
    <cellStyle name="표준 3 3 8" xfId="39481"/>
    <cellStyle name="표준 3 3 8 2" xfId="39482"/>
    <cellStyle name="표준 3 3 8 2 2" xfId="39483"/>
    <cellStyle name="표준 3 3 8 2 2 2" xfId="39484"/>
    <cellStyle name="표준 3 3 8 2 2 3" xfId="39485"/>
    <cellStyle name="표준 3 3 8 2 3" xfId="39486"/>
    <cellStyle name="표준 3 3 8 2 4" xfId="39487"/>
    <cellStyle name="표준 3 3 8 3" xfId="39488"/>
    <cellStyle name="표준 3 3 8 3 2" xfId="39489"/>
    <cellStyle name="표준 3 3 8 3 3" xfId="39490"/>
    <cellStyle name="표준 3 3 8 4" xfId="39491"/>
    <cellStyle name="표준 3 3 8 5" xfId="39492"/>
    <cellStyle name="표준 3 3 9" xfId="39493"/>
    <cellStyle name="표준 3 3 9 2" xfId="39494"/>
    <cellStyle name="표준 3 3 9 2 2" xfId="39495"/>
    <cellStyle name="표준 3 3 9 2 2 2" xfId="39496"/>
    <cellStyle name="표준 3 3 9 2 2 3" xfId="39497"/>
    <cellStyle name="표준 3 3 9 2 3" xfId="39498"/>
    <cellStyle name="표준 3 3 9 2 4" xfId="39499"/>
    <cellStyle name="표준 3 3 9 3" xfId="39500"/>
    <cellStyle name="표준 3 3 9 3 2" xfId="39501"/>
    <cellStyle name="표준 3 3 9 3 3" xfId="39502"/>
    <cellStyle name="표준 3 3 9 4" xfId="39503"/>
    <cellStyle name="표준 3 3 9 5" xfId="39504"/>
    <cellStyle name="표준 3 4" xfId="2"/>
    <cellStyle name="표준 3 4 10" xfId="39506"/>
    <cellStyle name="표준 3 4 10 2" xfId="39507"/>
    <cellStyle name="표준 3 4 10 2 2" xfId="39508"/>
    <cellStyle name="표준 3 4 10 2 2 2" xfId="39509"/>
    <cellStyle name="표준 3 4 10 2 2 3" xfId="39510"/>
    <cellStyle name="표준 3 4 10 2 3" xfId="39511"/>
    <cellStyle name="표준 3 4 10 2 4" xfId="39512"/>
    <cellStyle name="표준 3 4 10 3" xfId="39513"/>
    <cellStyle name="표준 3 4 10 3 2" xfId="39514"/>
    <cellStyle name="표준 3 4 10 3 3" xfId="39515"/>
    <cellStyle name="표준 3 4 10 4" xfId="39516"/>
    <cellStyle name="표준 3 4 10 5" xfId="39517"/>
    <cellStyle name="표준 3 4 11" xfId="39518"/>
    <cellStyle name="표준 3 4 11 2" xfId="39519"/>
    <cellStyle name="표준 3 4 11 2 2" xfId="39520"/>
    <cellStyle name="표준 3 4 11 2 3" xfId="39521"/>
    <cellStyle name="표준 3 4 11 3" xfId="39522"/>
    <cellStyle name="표준 3 4 11 4" xfId="39523"/>
    <cellStyle name="표준 3 4 12" xfId="39524"/>
    <cellStyle name="표준 3 4 12 2" xfId="39525"/>
    <cellStyle name="표준 3 4 12 3" xfId="39526"/>
    <cellStyle name="표준 3 4 13" xfId="39527"/>
    <cellStyle name="표준 3 4 14" xfId="39528"/>
    <cellStyle name="표준 3 4 15" xfId="39529"/>
    <cellStyle name="표준 3 4 16" xfId="39530"/>
    <cellStyle name="표준 3 4 17" xfId="39505"/>
    <cellStyle name="표준 3 4 2" xfId="39531"/>
    <cellStyle name="표준 3 4 2 10" xfId="39532"/>
    <cellStyle name="표준 3 4 2 10 2" xfId="39533"/>
    <cellStyle name="표준 3 4 2 10 2 2" xfId="39534"/>
    <cellStyle name="표준 3 4 2 10 2 3" xfId="39535"/>
    <cellStyle name="표준 3 4 2 10 3" xfId="39536"/>
    <cellStyle name="표준 3 4 2 10 4" xfId="39537"/>
    <cellStyle name="표준 3 4 2 11" xfId="39538"/>
    <cellStyle name="표준 3 4 2 11 2" xfId="39539"/>
    <cellStyle name="표준 3 4 2 11 3" xfId="39540"/>
    <cellStyle name="표준 3 4 2 12" xfId="39541"/>
    <cellStyle name="표준 3 4 2 13" xfId="39542"/>
    <cellStyle name="표준 3 4 2 14" xfId="39543"/>
    <cellStyle name="표준 3 4 2 15" xfId="39544"/>
    <cellStyle name="표준 3 4 2 2" xfId="39545"/>
    <cellStyle name="표준 3 4 2 2 10" xfId="39546"/>
    <cellStyle name="표준 3 4 2 2 2" xfId="39547"/>
    <cellStyle name="표준 3 4 2 2 2 2" xfId="39548"/>
    <cellStyle name="표준 3 4 2 2 2 2 2" xfId="39549"/>
    <cellStyle name="표준 3 4 2 2 2 2 2 2" xfId="39550"/>
    <cellStyle name="표준 3 4 2 2 2 2 2 2 2" xfId="39551"/>
    <cellStyle name="표준 3 4 2 2 2 2 2 2 3" xfId="39552"/>
    <cellStyle name="표준 3 4 2 2 2 2 2 3" xfId="39553"/>
    <cellStyle name="표준 3 4 2 2 2 2 2 4" xfId="39554"/>
    <cellStyle name="표준 3 4 2 2 2 2 3" xfId="39555"/>
    <cellStyle name="표준 3 4 2 2 2 2 3 2" xfId="39556"/>
    <cellStyle name="표준 3 4 2 2 2 2 3 3" xfId="39557"/>
    <cellStyle name="표준 3 4 2 2 2 2 4" xfId="39558"/>
    <cellStyle name="표준 3 4 2 2 2 2 5" xfId="39559"/>
    <cellStyle name="표준 3 4 2 2 2 3" xfId="39560"/>
    <cellStyle name="표준 3 4 2 2 2 3 2" xfId="39561"/>
    <cellStyle name="표준 3 4 2 2 2 3 2 2" xfId="39562"/>
    <cellStyle name="표준 3 4 2 2 2 3 2 2 2" xfId="39563"/>
    <cellStyle name="표준 3 4 2 2 2 3 2 2 3" xfId="39564"/>
    <cellStyle name="표준 3 4 2 2 2 3 2 3" xfId="39565"/>
    <cellStyle name="표준 3 4 2 2 2 3 2 4" xfId="39566"/>
    <cellStyle name="표준 3 4 2 2 2 3 3" xfId="39567"/>
    <cellStyle name="표준 3 4 2 2 2 3 3 2" xfId="39568"/>
    <cellStyle name="표준 3 4 2 2 2 3 3 3" xfId="39569"/>
    <cellStyle name="표준 3 4 2 2 2 3 4" xfId="39570"/>
    <cellStyle name="표준 3 4 2 2 2 3 5" xfId="39571"/>
    <cellStyle name="표준 3 4 2 2 2 4" xfId="39572"/>
    <cellStyle name="표준 3 4 2 2 2 4 2" xfId="39573"/>
    <cellStyle name="표준 3 4 2 2 2 4 2 2" xfId="39574"/>
    <cellStyle name="표준 3 4 2 2 2 4 2 3" xfId="39575"/>
    <cellStyle name="표준 3 4 2 2 2 4 3" xfId="39576"/>
    <cellStyle name="표준 3 4 2 2 2 4 4" xfId="39577"/>
    <cellStyle name="표준 3 4 2 2 2 5" xfId="39578"/>
    <cellStyle name="표준 3 4 2 2 2 5 2" xfId="39579"/>
    <cellStyle name="표준 3 4 2 2 2 5 3" xfId="39580"/>
    <cellStyle name="표준 3 4 2 2 2 6" xfId="39581"/>
    <cellStyle name="표준 3 4 2 2 2 7" xfId="39582"/>
    <cellStyle name="표준 3 4 2 2 3" xfId="39583"/>
    <cellStyle name="표준 3 4 2 2 3 2" xfId="39584"/>
    <cellStyle name="표준 3 4 2 2 3 2 2" xfId="39585"/>
    <cellStyle name="표준 3 4 2 2 3 2 2 2" xfId="39586"/>
    <cellStyle name="표준 3 4 2 2 3 2 2 2 2" xfId="39587"/>
    <cellStyle name="표준 3 4 2 2 3 2 2 2 3" xfId="39588"/>
    <cellStyle name="표준 3 4 2 2 3 2 2 3" xfId="39589"/>
    <cellStyle name="표준 3 4 2 2 3 2 2 4" xfId="39590"/>
    <cellStyle name="표준 3 4 2 2 3 2 3" xfId="39591"/>
    <cellStyle name="표준 3 4 2 2 3 2 3 2" xfId="39592"/>
    <cellStyle name="표준 3 4 2 2 3 2 3 3" xfId="39593"/>
    <cellStyle name="표준 3 4 2 2 3 2 4" xfId="39594"/>
    <cellStyle name="표준 3 4 2 2 3 2 5" xfId="39595"/>
    <cellStyle name="표준 3 4 2 2 3 3" xfId="39596"/>
    <cellStyle name="표준 3 4 2 2 3 3 2" xfId="39597"/>
    <cellStyle name="표준 3 4 2 2 3 3 2 2" xfId="39598"/>
    <cellStyle name="표준 3 4 2 2 3 3 2 2 2" xfId="39599"/>
    <cellStyle name="표준 3 4 2 2 3 3 2 2 3" xfId="39600"/>
    <cellStyle name="표준 3 4 2 2 3 3 2 3" xfId="39601"/>
    <cellStyle name="표준 3 4 2 2 3 3 2 4" xfId="39602"/>
    <cellStyle name="표준 3 4 2 2 3 3 3" xfId="39603"/>
    <cellStyle name="표준 3 4 2 2 3 3 3 2" xfId="39604"/>
    <cellStyle name="표준 3 4 2 2 3 3 3 3" xfId="39605"/>
    <cellStyle name="표준 3 4 2 2 3 3 4" xfId="39606"/>
    <cellStyle name="표준 3 4 2 2 3 3 5" xfId="39607"/>
    <cellStyle name="표준 3 4 2 2 3 4" xfId="39608"/>
    <cellStyle name="표준 3 4 2 2 3 4 2" xfId="39609"/>
    <cellStyle name="표준 3 4 2 2 3 4 2 2" xfId="39610"/>
    <cellStyle name="표준 3 4 2 2 3 4 2 3" xfId="39611"/>
    <cellStyle name="표준 3 4 2 2 3 4 3" xfId="39612"/>
    <cellStyle name="표준 3 4 2 2 3 4 4" xfId="39613"/>
    <cellStyle name="표준 3 4 2 2 3 5" xfId="39614"/>
    <cellStyle name="표준 3 4 2 2 3 5 2" xfId="39615"/>
    <cellStyle name="표준 3 4 2 2 3 5 3" xfId="39616"/>
    <cellStyle name="표준 3 4 2 2 3 6" xfId="39617"/>
    <cellStyle name="표준 3 4 2 2 3 7" xfId="39618"/>
    <cellStyle name="표준 3 4 2 2 4" xfId="39619"/>
    <cellStyle name="표준 3 4 2 2 4 2" xfId="39620"/>
    <cellStyle name="표준 3 4 2 2 4 2 2" xfId="39621"/>
    <cellStyle name="표준 3 4 2 2 4 2 2 2" xfId="39622"/>
    <cellStyle name="표준 3 4 2 2 4 2 2 3" xfId="39623"/>
    <cellStyle name="표준 3 4 2 2 4 2 3" xfId="39624"/>
    <cellStyle name="표준 3 4 2 2 4 2 4" xfId="39625"/>
    <cellStyle name="표준 3 4 2 2 4 3" xfId="39626"/>
    <cellStyle name="표준 3 4 2 2 4 3 2" xfId="39627"/>
    <cellStyle name="표준 3 4 2 2 4 3 3" xfId="39628"/>
    <cellStyle name="표준 3 4 2 2 4 4" xfId="39629"/>
    <cellStyle name="표준 3 4 2 2 4 5" xfId="39630"/>
    <cellStyle name="표준 3 4 2 2 5" xfId="39631"/>
    <cellStyle name="표준 3 4 2 2 5 2" xfId="39632"/>
    <cellStyle name="표준 3 4 2 2 5 2 2" xfId="39633"/>
    <cellStyle name="표준 3 4 2 2 5 2 2 2" xfId="39634"/>
    <cellStyle name="표준 3 4 2 2 5 2 2 3" xfId="39635"/>
    <cellStyle name="표준 3 4 2 2 5 2 3" xfId="39636"/>
    <cellStyle name="표준 3 4 2 2 5 2 4" xfId="39637"/>
    <cellStyle name="표준 3 4 2 2 5 3" xfId="39638"/>
    <cellStyle name="표준 3 4 2 2 5 3 2" xfId="39639"/>
    <cellStyle name="표준 3 4 2 2 5 3 3" xfId="39640"/>
    <cellStyle name="표준 3 4 2 2 5 4" xfId="39641"/>
    <cellStyle name="표준 3 4 2 2 5 5" xfId="39642"/>
    <cellStyle name="표준 3 4 2 2 6" xfId="39643"/>
    <cellStyle name="표준 3 4 2 2 6 2" xfId="39644"/>
    <cellStyle name="표준 3 4 2 2 6 2 2" xfId="39645"/>
    <cellStyle name="표준 3 4 2 2 6 2 2 2" xfId="39646"/>
    <cellStyle name="표준 3 4 2 2 6 2 2 3" xfId="39647"/>
    <cellStyle name="표준 3 4 2 2 6 2 3" xfId="39648"/>
    <cellStyle name="표준 3 4 2 2 6 2 4" xfId="39649"/>
    <cellStyle name="표준 3 4 2 2 6 3" xfId="39650"/>
    <cellStyle name="표준 3 4 2 2 6 3 2" xfId="39651"/>
    <cellStyle name="표준 3 4 2 2 6 3 3" xfId="39652"/>
    <cellStyle name="표준 3 4 2 2 6 4" xfId="39653"/>
    <cellStyle name="표준 3 4 2 2 6 5" xfId="39654"/>
    <cellStyle name="표준 3 4 2 2 7" xfId="39655"/>
    <cellStyle name="표준 3 4 2 2 7 2" xfId="39656"/>
    <cellStyle name="표준 3 4 2 2 7 2 2" xfId="39657"/>
    <cellStyle name="표준 3 4 2 2 7 2 3" xfId="39658"/>
    <cellStyle name="표준 3 4 2 2 7 3" xfId="39659"/>
    <cellStyle name="표준 3 4 2 2 7 4" xfId="39660"/>
    <cellStyle name="표준 3 4 2 2 8" xfId="39661"/>
    <cellStyle name="표준 3 4 2 2 8 2" xfId="39662"/>
    <cellStyle name="표준 3 4 2 2 8 3" xfId="39663"/>
    <cellStyle name="표준 3 4 2 2 9" xfId="39664"/>
    <cellStyle name="표준 3 4 2 3" xfId="39665"/>
    <cellStyle name="표준 3 4 2 3 10" xfId="39666"/>
    <cellStyle name="표준 3 4 2 3 2" xfId="39667"/>
    <cellStyle name="표준 3 4 2 3 2 2" xfId="39668"/>
    <cellStyle name="표준 3 4 2 3 2 2 2" xfId="39669"/>
    <cellStyle name="표준 3 4 2 3 2 2 2 2" xfId="39670"/>
    <cellStyle name="표준 3 4 2 3 2 2 2 2 2" xfId="39671"/>
    <cellStyle name="표준 3 4 2 3 2 2 2 2 3" xfId="39672"/>
    <cellStyle name="표준 3 4 2 3 2 2 2 3" xfId="39673"/>
    <cellStyle name="표준 3 4 2 3 2 2 2 4" xfId="39674"/>
    <cellStyle name="표준 3 4 2 3 2 2 3" xfId="39675"/>
    <cellStyle name="표준 3 4 2 3 2 2 3 2" xfId="39676"/>
    <cellStyle name="표준 3 4 2 3 2 2 3 3" xfId="39677"/>
    <cellStyle name="표준 3 4 2 3 2 2 4" xfId="39678"/>
    <cellStyle name="표준 3 4 2 3 2 2 5" xfId="39679"/>
    <cellStyle name="표준 3 4 2 3 2 3" xfId="39680"/>
    <cellStyle name="표준 3 4 2 3 2 3 2" xfId="39681"/>
    <cellStyle name="표준 3 4 2 3 2 3 2 2" xfId="39682"/>
    <cellStyle name="표준 3 4 2 3 2 3 2 2 2" xfId="39683"/>
    <cellStyle name="표준 3 4 2 3 2 3 2 2 3" xfId="39684"/>
    <cellStyle name="표준 3 4 2 3 2 3 2 3" xfId="39685"/>
    <cellStyle name="표준 3 4 2 3 2 3 2 4" xfId="39686"/>
    <cellStyle name="표준 3 4 2 3 2 3 3" xfId="39687"/>
    <cellStyle name="표준 3 4 2 3 2 3 3 2" xfId="39688"/>
    <cellStyle name="표준 3 4 2 3 2 3 3 3" xfId="39689"/>
    <cellStyle name="표준 3 4 2 3 2 3 4" xfId="39690"/>
    <cellStyle name="표준 3 4 2 3 2 3 5" xfId="39691"/>
    <cellStyle name="표준 3 4 2 3 2 4" xfId="39692"/>
    <cellStyle name="표준 3 4 2 3 2 4 2" xfId="39693"/>
    <cellStyle name="표준 3 4 2 3 2 4 2 2" xfId="39694"/>
    <cellStyle name="표준 3 4 2 3 2 4 2 3" xfId="39695"/>
    <cellStyle name="표준 3 4 2 3 2 4 3" xfId="39696"/>
    <cellStyle name="표준 3 4 2 3 2 4 4" xfId="39697"/>
    <cellStyle name="표준 3 4 2 3 2 5" xfId="39698"/>
    <cellStyle name="표준 3 4 2 3 2 5 2" xfId="39699"/>
    <cellStyle name="표준 3 4 2 3 2 5 3" xfId="39700"/>
    <cellStyle name="표준 3 4 2 3 2 6" xfId="39701"/>
    <cellStyle name="표준 3 4 2 3 2 7" xfId="39702"/>
    <cellStyle name="표준 3 4 2 3 3" xfId="39703"/>
    <cellStyle name="표준 3 4 2 3 3 2" xfId="39704"/>
    <cellStyle name="표준 3 4 2 3 3 2 2" xfId="39705"/>
    <cellStyle name="표준 3 4 2 3 3 2 2 2" xfId="39706"/>
    <cellStyle name="표준 3 4 2 3 3 2 2 2 2" xfId="39707"/>
    <cellStyle name="표준 3 4 2 3 3 2 2 2 3" xfId="39708"/>
    <cellStyle name="표준 3 4 2 3 3 2 2 3" xfId="39709"/>
    <cellStyle name="표준 3 4 2 3 3 2 2 4" xfId="39710"/>
    <cellStyle name="표준 3 4 2 3 3 2 3" xfId="39711"/>
    <cellStyle name="표준 3 4 2 3 3 2 3 2" xfId="39712"/>
    <cellStyle name="표준 3 4 2 3 3 2 3 3" xfId="39713"/>
    <cellStyle name="표준 3 4 2 3 3 2 4" xfId="39714"/>
    <cellStyle name="표준 3 4 2 3 3 2 5" xfId="39715"/>
    <cellStyle name="표준 3 4 2 3 3 3" xfId="39716"/>
    <cellStyle name="표준 3 4 2 3 3 3 2" xfId="39717"/>
    <cellStyle name="표준 3 4 2 3 3 3 2 2" xfId="39718"/>
    <cellStyle name="표준 3 4 2 3 3 3 2 2 2" xfId="39719"/>
    <cellStyle name="표준 3 4 2 3 3 3 2 2 3" xfId="39720"/>
    <cellStyle name="표준 3 4 2 3 3 3 2 3" xfId="39721"/>
    <cellStyle name="표준 3 4 2 3 3 3 2 4" xfId="39722"/>
    <cellStyle name="표준 3 4 2 3 3 3 3" xfId="39723"/>
    <cellStyle name="표준 3 4 2 3 3 3 3 2" xfId="39724"/>
    <cellStyle name="표준 3 4 2 3 3 3 3 3" xfId="39725"/>
    <cellStyle name="표준 3 4 2 3 3 3 4" xfId="39726"/>
    <cellStyle name="표준 3 4 2 3 3 3 5" xfId="39727"/>
    <cellStyle name="표준 3 4 2 3 3 4" xfId="39728"/>
    <cellStyle name="표준 3 4 2 3 3 4 2" xfId="39729"/>
    <cellStyle name="표준 3 4 2 3 3 4 2 2" xfId="39730"/>
    <cellStyle name="표준 3 4 2 3 3 4 2 3" xfId="39731"/>
    <cellStyle name="표준 3 4 2 3 3 4 3" xfId="39732"/>
    <cellStyle name="표준 3 4 2 3 3 4 4" xfId="39733"/>
    <cellStyle name="표준 3 4 2 3 3 5" xfId="39734"/>
    <cellStyle name="표준 3 4 2 3 3 5 2" xfId="39735"/>
    <cellStyle name="표준 3 4 2 3 3 5 3" xfId="39736"/>
    <cellStyle name="표준 3 4 2 3 3 6" xfId="39737"/>
    <cellStyle name="표준 3 4 2 3 3 7" xfId="39738"/>
    <cellStyle name="표준 3 4 2 3 4" xfId="39739"/>
    <cellStyle name="표준 3 4 2 3 4 2" xfId="39740"/>
    <cellStyle name="표준 3 4 2 3 4 2 2" xfId="39741"/>
    <cellStyle name="표준 3 4 2 3 4 2 2 2" xfId="39742"/>
    <cellStyle name="표준 3 4 2 3 4 2 2 3" xfId="39743"/>
    <cellStyle name="표준 3 4 2 3 4 2 3" xfId="39744"/>
    <cellStyle name="표준 3 4 2 3 4 2 4" xfId="39745"/>
    <cellStyle name="표준 3 4 2 3 4 3" xfId="39746"/>
    <cellStyle name="표준 3 4 2 3 4 3 2" xfId="39747"/>
    <cellStyle name="표준 3 4 2 3 4 3 3" xfId="39748"/>
    <cellStyle name="표준 3 4 2 3 4 4" xfId="39749"/>
    <cellStyle name="표준 3 4 2 3 4 5" xfId="39750"/>
    <cellStyle name="표준 3 4 2 3 5" xfId="39751"/>
    <cellStyle name="표준 3 4 2 3 5 2" xfId="39752"/>
    <cellStyle name="표준 3 4 2 3 5 2 2" xfId="39753"/>
    <cellStyle name="표준 3 4 2 3 5 2 2 2" xfId="39754"/>
    <cellStyle name="표준 3 4 2 3 5 2 2 3" xfId="39755"/>
    <cellStyle name="표준 3 4 2 3 5 2 3" xfId="39756"/>
    <cellStyle name="표준 3 4 2 3 5 2 4" xfId="39757"/>
    <cellStyle name="표준 3 4 2 3 5 3" xfId="39758"/>
    <cellStyle name="표준 3 4 2 3 5 3 2" xfId="39759"/>
    <cellStyle name="표준 3 4 2 3 5 3 3" xfId="39760"/>
    <cellStyle name="표준 3 4 2 3 5 4" xfId="39761"/>
    <cellStyle name="표준 3 4 2 3 5 5" xfId="39762"/>
    <cellStyle name="표준 3 4 2 3 6" xfId="39763"/>
    <cellStyle name="표준 3 4 2 3 6 2" xfId="39764"/>
    <cellStyle name="표준 3 4 2 3 6 2 2" xfId="39765"/>
    <cellStyle name="표준 3 4 2 3 6 2 2 2" xfId="39766"/>
    <cellStyle name="표준 3 4 2 3 6 2 2 3" xfId="39767"/>
    <cellStyle name="표준 3 4 2 3 6 2 3" xfId="39768"/>
    <cellStyle name="표준 3 4 2 3 6 2 4" xfId="39769"/>
    <cellStyle name="표준 3 4 2 3 6 3" xfId="39770"/>
    <cellStyle name="표준 3 4 2 3 6 3 2" xfId="39771"/>
    <cellStyle name="표준 3 4 2 3 6 3 3" xfId="39772"/>
    <cellStyle name="표준 3 4 2 3 6 4" xfId="39773"/>
    <cellStyle name="표준 3 4 2 3 6 5" xfId="39774"/>
    <cellStyle name="표준 3 4 2 3 7" xfId="39775"/>
    <cellStyle name="표준 3 4 2 3 7 2" xfId="39776"/>
    <cellStyle name="표준 3 4 2 3 7 2 2" xfId="39777"/>
    <cellStyle name="표준 3 4 2 3 7 2 3" xfId="39778"/>
    <cellStyle name="표준 3 4 2 3 7 3" xfId="39779"/>
    <cellStyle name="표준 3 4 2 3 7 4" xfId="39780"/>
    <cellStyle name="표준 3 4 2 3 8" xfId="39781"/>
    <cellStyle name="표준 3 4 2 3 8 2" xfId="39782"/>
    <cellStyle name="표준 3 4 2 3 8 3" xfId="39783"/>
    <cellStyle name="표준 3 4 2 3 9" xfId="39784"/>
    <cellStyle name="표준 3 4 2 4" xfId="39785"/>
    <cellStyle name="표준 3 4 2 4 10" xfId="39786"/>
    <cellStyle name="표준 3 4 2 4 2" xfId="39787"/>
    <cellStyle name="표준 3 4 2 4 2 2" xfId="39788"/>
    <cellStyle name="표준 3 4 2 4 2 2 2" xfId="39789"/>
    <cellStyle name="표준 3 4 2 4 2 2 2 2" xfId="39790"/>
    <cellStyle name="표준 3 4 2 4 2 2 2 2 2" xfId="39791"/>
    <cellStyle name="표준 3 4 2 4 2 2 2 2 3" xfId="39792"/>
    <cellStyle name="표준 3 4 2 4 2 2 2 3" xfId="39793"/>
    <cellStyle name="표준 3 4 2 4 2 2 2 4" xfId="39794"/>
    <cellStyle name="표준 3 4 2 4 2 2 3" xfId="39795"/>
    <cellStyle name="표준 3 4 2 4 2 2 3 2" xfId="39796"/>
    <cellStyle name="표준 3 4 2 4 2 2 3 3" xfId="39797"/>
    <cellStyle name="표준 3 4 2 4 2 2 4" xfId="39798"/>
    <cellStyle name="표준 3 4 2 4 2 2 5" xfId="39799"/>
    <cellStyle name="표준 3 4 2 4 2 3" xfId="39800"/>
    <cellStyle name="표준 3 4 2 4 2 3 2" xfId="39801"/>
    <cellStyle name="표준 3 4 2 4 2 3 2 2" xfId="39802"/>
    <cellStyle name="표준 3 4 2 4 2 3 2 2 2" xfId="39803"/>
    <cellStyle name="표준 3 4 2 4 2 3 2 2 3" xfId="39804"/>
    <cellStyle name="표준 3 4 2 4 2 3 2 3" xfId="39805"/>
    <cellStyle name="표준 3 4 2 4 2 3 2 4" xfId="39806"/>
    <cellStyle name="표준 3 4 2 4 2 3 3" xfId="39807"/>
    <cellStyle name="표준 3 4 2 4 2 3 3 2" xfId="39808"/>
    <cellStyle name="표준 3 4 2 4 2 3 3 3" xfId="39809"/>
    <cellStyle name="표준 3 4 2 4 2 3 4" xfId="39810"/>
    <cellStyle name="표준 3 4 2 4 2 3 5" xfId="39811"/>
    <cellStyle name="표준 3 4 2 4 2 4" xfId="39812"/>
    <cellStyle name="표준 3 4 2 4 2 4 2" xfId="39813"/>
    <cellStyle name="표준 3 4 2 4 2 4 2 2" xfId="39814"/>
    <cellStyle name="표준 3 4 2 4 2 4 2 3" xfId="39815"/>
    <cellStyle name="표준 3 4 2 4 2 4 3" xfId="39816"/>
    <cellStyle name="표준 3 4 2 4 2 4 4" xfId="39817"/>
    <cellStyle name="표준 3 4 2 4 2 5" xfId="39818"/>
    <cellStyle name="표준 3 4 2 4 2 5 2" xfId="39819"/>
    <cellStyle name="표준 3 4 2 4 2 5 3" xfId="39820"/>
    <cellStyle name="표준 3 4 2 4 2 6" xfId="39821"/>
    <cellStyle name="표준 3 4 2 4 2 7" xfId="39822"/>
    <cellStyle name="표준 3 4 2 4 3" xfId="39823"/>
    <cellStyle name="표준 3 4 2 4 3 2" xfId="39824"/>
    <cellStyle name="표준 3 4 2 4 3 2 2" xfId="39825"/>
    <cellStyle name="표준 3 4 2 4 3 2 2 2" xfId="39826"/>
    <cellStyle name="표준 3 4 2 4 3 2 2 2 2" xfId="39827"/>
    <cellStyle name="표준 3 4 2 4 3 2 2 2 3" xfId="39828"/>
    <cellStyle name="표준 3 4 2 4 3 2 2 3" xfId="39829"/>
    <cellStyle name="표준 3 4 2 4 3 2 2 4" xfId="39830"/>
    <cellStyle name="표준 3 4 2 4 3 2 3" xfId="39831"/>
    <cellStyle name="표준 3 4 2 4 3 2 3 2" xfId="39832"/>
    <cellStyle name="표준 3 4 2 4 3 2 3 3" xfId="39833"/>
    <cellStyle name="표준 3 4 2 4 3 2 4" xfId="39834"/>
    <cellStyle name="표준 3 4 2 4 3 2 5" xfId="39835"/>
    <cellStyle name="표준 3 4 2 4 3 3" xfId="39836"/>
    <cellStyle name="표준 3 4 2 4 3 3 2" xfId="39837"/>
    <cellStyle name="표준 3 4 2 4 3 3 2 2" xfId="39838"/>
    <cellStyle name="표준 3 4 2 4 3 3 2 2 2" xfId="39839"/>
    <cellStyle name="표준 3 4 2 4 3 3 2 2 3" xfId="39840"/>
    <cellStyle name="표준 3 4 2 4 3 3 2 3" xfId="39841"/>
    <cellStyle name="표준 3 4 2 4 3 3 2 4" xfId="39842"/>
    <cellStyle name="표준 3 4 2 4 3 3 3" xfId="39843"/>
    <cellStyle name="표준 3 4 2 4 3 3 3 2" xfId="39844"/>
    <cellStyle name="표준 3 4 2 4 3 3 3 3" xfId="39845"/>
    <cellStyle name="표준 3 4 2 4 3 3 4" xfId="39846"/>
    <cellStyle name="표준 3 4 2 4 3 3 5" xfId="39847"/>
    <cellStyle name="표준 3 4 2 4 3 4" xfId="39848"/>
    <cellStyle name="표준 3 4 2 4 3 4 2" xfId="39849"/>
    <cellStyle name="표준 3 4 2 4 3 4 2 2" xfId="39850"/>
    <cellStyle name="표준 3 4 2 4 3 4 2 3" xfId="39851"/>
    <cellStyle name="표준 3 4 2 4 3 4 3" xfId="39852"/>
    <cellStyle name="표준 3 4 2 4 3 4 4" xfId="39853"/>
    <cellStyle name="표준 3 4 2 4 3 5" xfId="39854"/>
    <cellStyle name="표준 3 4 2 4 3 5 2" xfId="39855"/>
    <cellStyle name="표준 3 4 2 4 3 5 3" xfId="39856"/>
    <cellStyle name="표준 3 4 2 4 3 6" xfId="39857"/>
    <cellStyle name="표준 3 4 2 4 3 7" xfId="39858"/>
    <cellStyle name="표준 3 4 2 4 4" xfId="39859"/>
    <cellStyle name="표준 3 4 2 4 4 2" xfId="39860"/>
    <cellStyle name="표준 3 4 2 4 4 2 2" xfId="39861"/>
    <cellStyle name="표준 3 4 2 4 4 2 2 2" xfId="39862"/>
    <cellStyle name="표준 3 4 2 4 4 2 2 3" xfId="39863"/>
    <cellStyle name="표준 3 4 2 4 4 2 3" xfId="39864"/>
    <cellStyle name="표준 3 4 2 4 4 2 4" xfId="39865"/>
    <cellStyle name="표준 3 4 2 4 4 3" xfId="39866"/>
    <cellStyle name="표준 3 4 2 4 4 3 2" xfId="39867"/>
    <cellStyle name="표준 3 4 2 4 4 3 3" xfId="39868"/>
    <cellStyle name="표준 3 4 2 4 4 4" xfId="39869"/>
    <cellStyle name="표준 3 4 2 4 4 5" xfId="39870"/>
    <cellStyle name="표준 3 4 2 4 5" xfId="39871"/>
    <cellStyle name="표준 3 4 2 4 5 2" xfId="39872"/>
    <cellStyle name="표준 3 4 2 4 5 2 2" xfId="39873"/>
    <cellStyle name="표준 3 4 2 4 5 2 2 2" xfId="39874"/>
    <cellStyle name="표준 3 4 2 4 5 2 2 3" xfId="39875"/>
    <cellStyle name="표준 3 4 2 4 5 2 3" xfId="39876"/>
    <cellStyle name="표준 3 4 2 4 5 2 4" xfId="39877"/>
    <cellStyle name="표준 3 4 2 4 5 3" xfId="39878"/>
    <cellStyle name="표준 3 4 2 4 5 3 2" xfId="39879"/>
    <cellStyle name="표준 3 4 2 4 5 3 3" xfId="39880"/>
    <cellStyle name="표준 3 4 2 4 5 4" xfId="39881"/>
    <cellStyle name="표준 3 4 2 4 5 5" xfId="39882"/>
    <cellStyle name="표준 3 4 2 4 6" xfId="39883"/>
    <cellStyle name="표준 3 4 2 4 6 2" xfId="39884"/>
    <cellStyle name="표준 3 4 2 4 6 2 2" xfId="39885"/>
    <cellStyle name="표준 3 4 2 4 6 2 2 2" xfId="39886"/>
    <cellStyle name="표준 3 4 2 4 6 2 2 3" xfId="39887"/>
    <cellStyle name="표준 3 4 2 4 6 2 3" xfId="39888"/>
    <cellStyle name="표준 3 4 2 4 6 2 4" xfId="39889"/>
    <cellStyle name="표준 3 4 2 4 6 3" xfId="39890"/>
    <cellStyle name="표준 3 4 2 4 6 3 2" xfId="39891"/>
    <cellStyle name="표준 3 4 2 4 6 3 3" xfId="39892"/>
    <cellStyle name="표준 3 4 2 4 6 4" xfId="39893"/>
    <cellStyle name="표준 3 4 2 4 6 5" xfId="39894"/>
    <cellStyle name="표준 3 4 2 4 7" xfId="39895"/>
    <cellStyle name="표준 3 4 2 4 7 2" xfId="39896"/>
    <cellStyle name="표준 3 4 2 4 7 2 2" xfId="39897"/>
    <cellStyle name="표준 3 4 2 4 7 2 3" xfId="39898"/>
    <cellStyle name="표준 3 4 2 4 7 3" xfId="39899"/>
    <cellStyle name="표준 3 4 2 4 7 4" xfId="39900"/>
    <cellStyle name="표준 3 4 2 4 8" xfId="39901"/>
    <cellStyle name="표준 3 4 2 4 8 2" xfId="39902"/>
    <cellStyle name="표준 3 4 2 4 8 3" xfId="39903"/>
    <cellStyle name="표준 3 4 2 4 9" xfId="39904"/>
    <cellStyle name="표준 3 4 2 5" xfId="39905"/>
    <cellStyle name="표준 3 4 2 5 2" xfId="39906"/>
    <cellStyle name="표준 3 4 2 5 2 2" xfId="39907"/>
    <cellStyle name="표준 3 4 2 5 2 2 2" xfId="39908"/>
    <cellStyle name="표준 3 4 2 5 2 2 2 2" xfId="39909"/>
    <cellStyle name="표준 3 4 2 5 2 2 2 3" xfId="39910"/>
    <cellStyle name="표준 3 4 2 5 2 2 3" xfId="39911"/>
    <cellStyle name="표준 3 4 2 5 2 2 4" xfId="39912"/>
    <cellStyle name="표준 3 4 2 5 2 3" xfId="39913"/>
    <cellStyle name="표준 3 4 2 5 2 3 2" xfId="39914"/>
    <cellStyle name="표준 3 4 2 5 2 3 3" xfId="39915"/>
    <cellStyle name="표준 3 4 2 5 2 4" xfId="39916"/>
    <cellStyle name="표준 3 4 2 5 2 5" xfId="39917"/>
    <cellStyle name="표준 3 4 2 5 3" xfId="39918"/>
    <cellStyle name="표준 3 4 2 5 3 2" xfId="39919"/>
    <cellStyle name="표준 3 4 2 5 3 2 2" xfId="39920"/>
    <cellStyle name="표준 3 4 2 5 3 2 2 2" xfId="39921"/>
    <cellStyle name="표준 3 4 2 5 3 2 2 3" xfId="39922"/>
    <cellStyle name="표준 3 4 2 5 3 2 3" xfId="39923"/>
    <cellStyle name="표준 3 4 2 5 3 2 4" xfId="39924"/>
    <cellStyle name="표준 3 4 2 5 3 3" xfId="39925"/>
    <cellStyle name="표준 3 4 2 5 3 3 2" xfId="39926"/>
    <cellStyle name="표준 3 4 2 5 3 3 3" xfId="39927"/>
    <cellStyle name="표준 3 4 2 5 3 4" xfId="39928"/>
    <cellStyle name="표준 3 4 2 5 3 5" xfId="39929"/>
    <cellStyle name="표준 3 4 2 5 4" xfId="39930"/>
    <cellStyle name="표준 3 4 2 5 4 2" xfId="39931"/>
    <cellStyle name="표준 3 4 2 5 4 2 2" xfId="39932"/>
    <cellStyle name="표준 3 4 2 5 4 2 3" xfId="39933"/>
    <cellStyle name="표준 3 4 2 5 4 3" xfId="39934"/>
    <cellStyle name="표준 3 4 2 5 4 4" xfId="39935"/>
    <cellStyle name="표준 3 4 2 5 5" xfId="39936"/>
    <cellStyle name="표준 3 4 2 5 5 2" xfId="39937"/>
    <cellStyle name="표준 3 4 2 5 5 3" xfId="39938"/>
    <cellStyle name="표준 3 4 2 5 6" xfId="39939"/>
    <cellStyle name="표준 3 4 2 5 7" xfId="39940"/>
    <cellStyle name="표준 3 4 2 6" xfId="39941"/>
    <cellStyle name="표준 3 4 2 6 2" xfId="39942"/>
    <cellStyle name="표준 3 4 2 6 2 2" xfId="39943"/>
    <cellStyle name="표준 3 4 2 6 2 2 2" xfId="39944"/>
    <cellStyle name="표준 3 4 2 6 2 2 2 2" xfId="39945"/>
    <cellStyle name="표준 3 4 2 6 2 2 2 3" xfId="39946"/>
    <cellStyle name="표준 3 4 2 6 2 2 3" xfId="39947"/>
    <cellStyle name="표준 3 4 2 6 2 2 4" xfId="39948"/>
    <cellStyle name="표준 3 4 2 6 2 3" xfId="39949"/>
    <cellStyle name="표준 3 4 2 6 2 3 2" xfId="39950"/>
    <cellStyle name="표준 3 4 2 6 2 3 3" xfId="39951"/>
    <cellStyle name="표준 3 4 2 6 2 4" xfId="39952"/>
    <cellStyle name="표준 3 4 2 6 2 5" xfId="39953"/>
    <cellStyle name="표준 3 4 2 6 3" xfId="39954"/>
    <cellStyle name="표준 3 4 2 6 3 2" xfId="39955"/>
    <cellStyle name="표준 3 4 2 6 3 2 2" xfId="39956"/>
    <cellStyle name="표준 3 4 2 6 3 2 2 2" xfId="39957"/>
    <cellStyle name="표준 3 4 2 6 3 2 2 3" xfId="39958"/>
    <cellStyle name="표준 3 4 2 6 3 2 3" xfId="39959"/>
    <cellStyle name="표준 3 4 2 6 3 2 4" xfId="39960"/>
    <cellStyle name="표준 3 4 2 6 3 3" xfId="39961"/>
    <cellStyle name="표준 3 4 2 6 3 3 2" xfId="39962"/>
    <cellStyle name="표준 3 4 2 6 3 3 3" xfId="39963"/>
    <cellStyle name="표준 3 4 2 6 3 4" xfId="39964"/>
    <cellStyle name="표준 3 4 2 6 3 5" xfId="39965"/>
    <cellStyle name="표준 3 4 2 6 4" xfId="39966"/>
    <cellStyle name="표준 3 4 2 6 4 2" xfId="39967"/>
    <cellStyle name="표준 3 4 2 6 4 2 2" xfId="39968"/>
    <cellStyle name="표준 3 4 2 6 4 2 3" xfId="39969"/>
    <cellStyle name="표준 3 4 2 6 4 3" xfId="39970"/>
    <cellStyle name="표준 3 4 2 6 4 4" xfId="39971"/>
    <cellStyle name="표준 3 4 2 6 5" xfId="39972"/>
    <cellStyle name="표준 3 4 2 6 5 2" xfId="39973"/>
    <cellStyle name="표준 3 4 2 6 5 3" xfId="39974"/>
    <cellStyle name="표준 3 4 2 6 6" xfId="39975"/>
    <cellStyle name="표준 3 4 2 6 7" xfId="39976"/>
    <cellStyle name="표준 3 4 2 7" xfId="39977"/>
    <cellStyle name="표준 3 4 2 7 2" xfId="39978"/>
    <cellStyle name="표준 3 4 2 7 2 2" xfId="39979"/>
    <cellStyle name="표준 3 4 2 7 2 2 2" xfId="39980"/>
    <cellStyle name="표준 3 4 2 7 2 2 3" xfId="39981"/>
    <cellStyle name="표준 3 4 2 7 2 3" xfId="39982"/>
    <cellStyle name="표준 3 4 2 7 2 4" xfId="39983"/>
    <cellStyle name="표준 3 4 2 7 3" xfId="39984"/>
    <cellStyle name="표준 3 4 2 7 3 2" xfId="39985"/>
    <cellStyle name="표준 3 4 2 7 3 3" xfId="39986"/>
    <cellStyle name="표준 3 4 2 7 4" xfId="39987"/>
    <cellStyle name="표준 3 4 2 7 5" xfId="39988"/>
    <cellStyle name="표준 3 4 2 8" xfId="39989"/>
    <cellStyle name="표준 3 4 2 8 2" xfId="39990"/>
    <cellStyle name="표준 3 4 2 8 2 2" xfId="39991"/>
    <cellStyle name="표준 3 4 2 8 2 2 2" xfId="39992"/>
    <cellStyle name="표준 3 4 2 8 2 2 3" xfId="39993"/>
    <cellStyle name="표준 3 4 2 8 2 3" xfId="39994"/>
    <cellStyle name="표준 3 4 2 8 2 4" xfId="39995"/>
    <cellStyle name="표준 3 4 2 8 3" xfId="39996"/>
    <cellStyle name="표준 3 4 2 8 3 2" xfId="39997"/>
    <cellStyle name="표준 3 4 2 8 3 3" xfId="39998"/>
    <cellStyle name="표준 3 4 2 8 4" xfId="39999"/>
    <cellStyle name="표준 3 4 2 8 5" xfId="40000"/>
    <cellStyle name="표준 3 4 2 9" xfId="40001"/>
    <cellStyle name="표준 3 4 2 9 2" xfId="40002"/>
    <cellStyle name="표준 3 4 2 9 2 2" xfId="40003"/>
    <cellStyle name="표준 3 4 2 9 2 2 2" xfId="40004"/>
    <cellStyle name="표준 3 4 2 9 2 2 3" xfId="40005"/>
    <cellStyle name="표준 3 4 2 9 2 3" xfId="40006"/>
    <cellStyle name="표준 3 4 2 9 2 4" xfId="40007"/>
    <cellStyle name="표준 3 4 2 9 3" xfId="40008"/>
    <cellStyle name="표준 3 4 2 9 3 2" xfId="40009"/>
    <cellStyle name="표준 3 4 2 9 3 3" xfId="40010"/>
    <cellStyle name="표준 3 4 2 9 4" xfId="40011"/>
    <cellStyle name="표준 3 4 2 9 5" xfId="40012"/>
    <cellStyle name="표준 3 4 3" xfId="40013"/>
    <cellStyle name="표준 3 4 3 10" xfId="40014"/>
    <cellStyle name="표준 3 4 3 2" xfId="40015"/>
    <cellStyle name="표준 3 4 3 2 2" xfId="40016"/>
    <cellStyle name="표준 3 4 3 2 2 2" xfId="40017"/>
    <cellStyle name="표준 3 4 3 2 2 2 2" xfId="40018"/>
    <cellStyle name="표준 3 4 3 2 2 2 2 2" xfId="40019"/>
    <cellStyle name="표준 3 4 3 2 2 2 2 3" xfId="40020"/>
    <cellStyle name="표준 3 4 3 2 2 2 3" xfId="40021"/>
    <cellStyle name="표준 3 4 3 2 2 2 4" xfId="40022"/>
    <cellStyle name="표준 3 4 3 2 2 3" xfId="40023"/>
    <cellStyle name="표준 3 4 3 2 2 3 2" xfId="40024"/>
    <cellStyle name="표준 3 4 3 2 2 3 3" xfId="40025"/>
    <cellStyle name="표준 3 4 3 2 2 4" xfId="40026"/>
    <cellStyle name="표준 3 4 3 2 2 5" xfId="40027"/>
    <cellStyle name="표준 3 4 3 2 3" xfId="40028"/>
    <cellStyle name="표준 3 4 3 2 3 2" xfId="40029"/>
    <cellStyle name="표준 3 4 3 2 3 2 2" xfId="40030"/>
    <cellStyle name="표준 3 4 3 2 3 2 2 2" xfId="40031"/>
    <cellStyle name="표준 3 4 3 2 3 2 2 3" xfId="40032"/>
    <cellStyle name="표준 3 4 3 2 3 2 3" xfId="40033"/>
    <cellStyle name="표준 3 4 3 2 3 2 4" xfId="40034"/>
    <cellStyle name="표준 3 4 3 2 3 3" xfId="40035"/>
    <cellStyle name="표준 3 4 3 2 3 3 2" xfId="40036"/>
    <cellStyle name="표준 3 4 3 2 3 3 3" xfId="40037"/>
    <cellStyle name="표준 3 4 3 2 3 4" xfId="40038"/>
    <cellStyle name="표준 3 4 3 2 3 5" xfId="40039"/>
    <cellStyle name="표준 3 4 3 2 4" xfId="40040"/>
    <cellStyle name="표준 3 4 3 2 4 2" xfId="40041"/>
    <cellStyle name="표준 3 4 3 2 4 2 2" xfId="40042"/>
    <cellStyle name="표준 3 4 3 2 4 2 3" xfId="40043"/>
    <cellStyle name="표준 3 4 3 2 4 3" xfId="40044"/>
    <cellStyle name="표준 3 4 3 2 4 4" xfId="40045"/>
    <cellStyle name="표준 3 4 3 2 5" xfId="40046"/>
    <cellStyle name="표준 3 4 3 2 5 2" xfId="40047"/>
    <cellStyle name="표준 3 4 3 2 5 3" xfId="40048"/>
    <cellStyle name="표준 3 4 3 2 6" xfId="40049"/>
    <cellStyle name="표준 3 4 3 2 7" xfId="40050"/>
    <cellStyle name="표준 3 4 3 3" xfId="40051"/>
    <cellStyle name="표준 3 4 3 3 2" xfId="40052"/>
    <cellStyle name="표준 3 4 3 3 2 2" xfId="40053"/>
    <cellStyle name="표준 3 4 3 3 2 2 2" xfId="40054"/>
    <cellStyle name="표준 3 4 3 3 2 2 2 2" xfId="40055"/>
    <cellStyle name="표준 3 4 3 3 2 2 2 3" xfId="40056"/>
    <cellStyle name="표준 3 4 3 3 2 2 3" xfId="40057"/>
    <cellStyle name="표준 3 4 3 3 2 2 4" xfId="40058"/>
    <cellStyle name="표준 3 4 3 3 2 3" xfId="40059"/>
    <cellStyle name="표준 3 4 3 3 2 3 2" xfId="40060"/>
    <cellStyle name="표준 3 4 3 3 2 3 3" xfId="40061"/>
    <cellStyle name="표준 3 4 3 3 2 4" xfId="40062"/>
    <cellStyle name="표준 3 4 3 3 2 5" xfId="40063"/>
    <cellStyle name="표준 3 4 3 3 3" xfId="40064"/>
    <cellStyle name="표준 3 4 3 3 3 2" xfId="40065"/>
    <cellStyle name="표준 3 4 3 3 3 2 2" xfId="40066"/>
    <cellStyle name="표준 3 4 3 3 3 2 2 2" xfId="40067"/>
    <cellStyle name="표준 3 4 3 3 3 2 2 3" xfId="40068"/>
    <cellStyle name="표준 3 4 3 3 3 2 3" xfId="40069"/>
    <cellStyle name="표준 3 4 3 3 3 2 4" xfId="40070"/>
    <cellStyle name="표준 3 4 3 3 3 3" xfId="40071"/>
    <cellStyle name="표준 3 4 3 3 3 3 2" xfId="40072"/>
    <cellStyle name="표준 3 4 3 3 3 3 3" xfId="40073"/>
    <cellStyle name="표준 3 4 3 3 3 4" xfId="40074"/>
    <cellStyle name="표준 3 4 3 3 3 5" xfId="40075"/>
    <cellStyle name="표준 3 4 3 3 4" xfId="40076"/>
    <cellStyle name="표준 3 4 3 3 4 2" xfId="40077"/>
    <cellStyle name="표준 3 4 3 3 4 2 2" xfId="40078"/>
    <cellStyle name="표준 3 4 3 3 4 2 3" xfId="40079"/>
    <cellStyle name="표준 3 4 3 3 4 3" xfId="40080"/>
    <cellStyle name="표준 3 4 3 3 4 4" xfId="40081"/>
    <cellStyle name="표준 3 4 3 3 5" xfId="40082"/>
    <cellStyle name="표준 3 4 3 3 5 2" xfId="40083"/>
    <cellStyle name="표준 3 4 3 3 5 3" xfId="40084"/>
    <cellStyle name="표준 3 4 3 3 6" xfId="40085"/>
    <cellStyle name="표준 3 4 3 3 7" xfId="40086"/>
    <cellStyle name="표준 3 4 3 4" xfId="40087"/>
    <cellStyle name="표준 3 4 3 4 2" xfId="40088"/>
    <cellStyle name="표준 3 4 3 4 2 2" xfId="40089"/>
    <cellStyle name="표준 3 4 3 4 2 2 2" xfId="40090"/>
    <cellStyle name="표준 3 4 3 4 2 2 3" xfId="40091"/>
    <cellStyle name="표준 3 4 3 4 2 3" xfId="40092"/>
    <cellStyle name="표준 3 4 3 4 2 4" xfId="40093"/>
    <cellStyle name="표준 3 4 3 4 3" xfId="40094"/>
    <cellStyle name="표준 3 4 3 4 3 2" xfId="40095"/>
    <cellStyle name="표준 3 4 3 4 3 3" xfId="40096"/>
    <cellStyle name="표준 3 4 3 4 4" xfId="40097"/>
    <cellStyle name="표준 3 4 3 4 5" xfId="40098"/>
    <cellStyle name="표준 3 4 3 5" xfId="40099"/>
    <cellStyle name="표준 3 4 3 5 2" xfId="40100"/>
    <cellStyle name="표준 3 4 3 5 2 2" xfId="40101"/>
    <cellStyle name="표준 3 4 3 5 2 2 2" xfId="40102"/>
    <cellStyle name="표준 3 4 3 5 2 2 3" xfId="40103"/>
    <cellStyle name="표준 3 4 3 5 2 3" xfId="40104"/>
    <cellStyle name="표준 3 4 3 5 2 4" xfId="40105"/>
    <cellStyle name="표준 3 4 3 5 3" xfId="40106"/>
    <cellStyle name="표준 3 4 3 5 3 2" xfId="40107"/>
    <cellStyle name="표준 3 4 3 5 3 3" xfId="40108"/>
    <cellStyle name="표준 3 4 3 5 4" xfId="40109"/>
    <cellStyle name="표준 3 4 3 5 5" xfId="40110"/>
    <cellStyle name="표준 3 4 3 6" xfId="40111"/>
    <cellStyle name="표준 3 4 3 6 2" xfId="40112"/>
    <cellStyle name="표준 3 4 3 6 2 2" xfId="40113"/>
    <cellStyle name="표준 3 4 3 6 2 2 2" xfId="40114"/>
    <cellStyle name="표준 3 4 3 6 2 2 3" xfId="40115"/>
    <cellStyle name="표준 3 4 3 6 2 3" xfId="40116"/>
    <cellStyle name="표준 3 4 3 6 2 4" xfId="40117"/>
    <cellStyle name="표준 3 4 3 6 3" xfId="40118"/>
    <cellStyle name="표준 3 4 3 6 3 2" xfId="40119"/>
    <cellStyle name="표준 3 4 3 6 3 3" xfId="40120"/>
    <cellStyle name="표준 3 4 3 6 4" xfId="40121"/>
    <cellStyle name="표준 3 4 3 6 5" xfId="40122"/>
    <cellStyle name="표준 3 4 3 7" xfId="40123"/>
    <cellStyle name="표준 3 4 3 7 2" xfId="40124"/>
    <cellStyle name="표준 3 4 3 7 2 2" xfId="40125"/>
    <cellStyle name="표준 3 4 3 7 2 3" xfId="40126"/>
    <cellStyle name="표준 3 4 3 7 3" xfId="40127"/>
    <cellStyle name="표준 3 4 3 7 4" xfId="40128"/>
    <cellStyle name="표준 3 4 3 8" xfId="40129"/>
    <cellStyle name="표준 3 4 3 8 2" xfId="40130"/>
    <cellStyle name="표준 3 4 3 8 3" xfId="40131"/>
    <cellStyle name="표준 3 4 3 9" xfId="40132"/>
    <cellStyle name="표준 3 4 4" xfId="40133"/>
    <cellStyle name="표준 3 4 4 10" xfId="40134"/>
    <cellStyle name="표준 3 4 4 2" xfId="40135"/>
    <cellStyle name="표준 3 4 4 2 2" xfId="40136"/>
    <cellStyle name="표준 3 4 4 2 2 2" xfId="40137"/>
    <cellStyle name="표준 3 4 4 2 2 2 2" xfId="40138"/>
    <cellStyle name="표준 3 4 4 2 2 2 2 2" xfId="40139"/>
    <cellStyle name="표준 3 4 4 2 2 2 2 3" xfId="40140"/>
    <cellStyle name="표준 3 4 4 2 2 2 3" xfId="40141"/>
    <cellStyle name="표준 3 4 4 2 2 2 4" xfId="40142"/>
    <cellStyle name="표준 3 4 4 2 2 3" xfId="40143"/>
    <cellStyle name="표준 3 4 4 2 2 3 2" xfId="40144"/>
    <cellStyle name="표준 3 4 4 2 2 3 3" xfId="40145"/>
    <cellStyle name="표준 3 4 4 2 2 4" xfId="40146"/>
    <cellStyle name="표준 3 4 4 2 2 5" xfId="40147"/>
    <cellStyle name="표준 3 4 4 2 3" xfId="40148"/>
    <cellStyle name="표준 3 4 4 2 3 2" xfId="40149"/>
    <cellStyle name="표준 3 4 4 2 3 2 2" xfId="40150"/>
    <cellStyle name="표준 3 4 4 2 3 2 2 2" xfId="40151"/>
    <cellStyle name="표준 3 4 4 2 3 2 2 3" xfId="40152"/>
    <cellStyle name="표준 3 4 4 2 3 2 3" xfId="40153"/>
    <cellStyle name="표준 3 4 4 2 3 2 4" xfId="40154"/>
    <cellStyle name="표준 3 4 4 2 3 3" xfId="40155"/>
    <cellStyle name="표준 3 4 4 2 3 3 2" xfId="40156"/>
    <cellStyle name="표준 3 4 4 2 3 3 3" xfId="40157"/>
    <cellStyle name="표준 3 4 4 2 3 4" xfId="40158"/>
    <cellStyle name="표준 3 4 4 2 3 5" xfId="40159"/>
    <cellStyle name="표준 3 4 4 2 4" xfId="40160"/>
    <cellStyle name="표준 3 4 4 2 4 2" xfId="40161"/>
    <cellStyle name="표준 3 4 4 2 4 2 2" xfId="40162"/>
    <cellStyle name="표준 3 4 4 2 4 2 3" xfId="40163"/>
    <cellStyle name="표준 3 4 4 2 4 3" xfId="40164"/>
    <cellStyle name="표준 3 4 4 2 4 4" xfId="40165"/>
    <cellStyle name="표준 3 4 4 2 5" xfId="40166"/>
    <cellStyle name="표준 3 4 4 2 5 2" xfId="40167"/>
    <cellStyle name="표준 3 4 4 2 5 3" xfId="40168"/>
    <cellStyle name="표준 3 4 4 2 6" xfId="40169"/>
    <cellStyle name="표준 3 4 4 2 7" xfId="40170"/>
    <cellStyle name="표준 3 4 4 3" xfId="40171"/>
    <cellStyle name="표준 3 4 4 3 2" xfId="40172"/>
    <cellStyle name="표준 3 4 4 3 2 2" xfId="40173"/>
    <cellStyle name="표준 3 4 4 3 2 2 2" xfId="40174"/>
    <cellStyle name="표준 3 4 4 3 2 2 2 2" xfId="40175"/>
    <cellStyle name="표준 3 4 4 3 2 2 2 3" xfId="40176"/>
    <cellStyle name="표준 3 4 4 3 2 2 3" xfId="40177"/>
    <cellStyle name="표준 3 4 4 3 2 2 4" xfId="40178"/>
    <cellStyle name="표준 3 4 4 3 2 3" xfId="40179"/>
    <cellStyle name="표준 3 4 4 3 2 3 2" xfId="40180"/>
    <cellStyle name="표준 3 4 4 3 2 3 3" xfId="40181"/>
    <cellStyle name="표준 3 4 4 3 2 4" xfId="40182"/>
    <cellStyle name="표준 3 4 4 3 2 5" xfId="40183"/>
    <cellStyle name="표준 3 4 4 3 3" xfId="40184"/>
    <cellStyle name="표준 3 4 4 3 3 2" xfId="40185"/>
    <cellStyle name="표준 3 4 4 3 3 2 2" xfId="40186"/>
    <cellStyle name="표준 3 4 4 3 3 2 2 2" xfId="40187"/>
    <cellStyle name="표준 3 4 4 3 3 2 2 3" xfId="40188"/>
    <cellStyle name="표준 3 4 4 3 3 2 3" xfId="40189"/>
    <cellStyle name="표준 3 4 4 3 3 2 4" xfId="40190"/>
    <cellStyle name="표준 3 4 4 3 3 3" xfId="40191"/>
    <cellStyle name="표준 3 4 4 3 3 3 2" xfId="40192"/>
    <cellStyle name="표준 3 4 4 3 3 3 3" xfId="40193"/>
    <cellStyle name="표준 3 4 4 3 3 4" xfId="40194"/>
    <cellStyle name="표준 3 4 4 3 3 5" xfId="40195"/>
    <cellStyle name="표준 3 4 4 3 4" xfId="40196"/>
    <cellStyle name="표준 3 4 4 3 4 2" xfId="40197"/>
    <cellStyle name="표준 3 4 4 3 4 2 2" xfId="40198"/>
    <cellStyle name="표준 3 4 4 3 4 2 3" xfId="40199"/>
    <cellStyle name="표준 3 4 4 3 4 3" xfId="40200"/>
    <cellStyle name="표준 3 4 4 3 4 4" xfId="40201"/>
    <cellStyle name="표준 3 4 4 3 5" xfId="40202"/>
    <cellStyle name="표준 3 4 4 3 5 2" xfId="40203"/>
    <cellStyle name="표준 3 4 4 3 5 3" xfId="40204"/>
    <cellStyle name="표준 3 4 4 3 6" xfId="40205"/>
    <cellStyle name="표준 3 4 4 3 7" xfId="40206"/>
    <cellStyle name="표준 3 4 4 4" xfId="40207"/>
    <cellStyle name="표준 3 4 4 4 2" xfId="40208"/>
    <cellStyle name="표준 3 4 4 4 2 2" xfId="40209"/>
    <cellStyle name="표준 3 4 4 4 2 2 2" xfId="40210"/>
    <cellStyle name="표준 3 4 4 4 2 2 3" xfId="40211"/>
    <cellStyle name="표준 3 4 4 4 2 3" xfId="40212"/>
    <cellStyle name="표준 3 4 4 4 2 4" xfId="40213"/>
    <cellStyle name="표준 3 4 4 4 3" xfId="40214"/>
    <cellStyle name="표준 3 4 4 4 3 2" xfId="40215"/>
    <cellStyle name="표준 3 4 4 4 3 3" xfId="40216"/>
    <cellStyle name="표준 3 4 4 4 4" xfId="40217"/>
    <cellStyle name="표준 3 4 4 4 5" xfId="40218"/>
    <cellStyle name="표준 3 4 4 5" xfId="40219"/>
    <cellStyle name="표준 3 4 4 5 2" xfId="40220"/>
    <cellStyle name="표준 3 4 4 5 2 2" xfId="40221"/>
    <cellStyle name="표준 3 4 4 5 2 2 2" xfId="40222"/>
    <cellStyle name="표준 3 4 4 5 2 2 3" xfId="40223"/>
    <cellStyle name="표준 3 4 4 5 2 3" xfId="40224"/>
    <cellStyle name="표준 3 4 4 5 2 4" xfId="40225"/>
    <cellStyle name="표준 3 4 4 5 3" xfId="40226"/>
    <cellStyle name="표준 3 4 4 5 3 2" xfId="40227"/>
    <cellStyle name="표준 3 4 4 5 3 3" xfId="40228"/>
    <cellStyle name="표준 3 4 4 5 4" xfId="40229"/>
    <cellStyle name="표준 3 4 4 5 5" xfId="40230"/>
    <cellStyle name="표준 3 4 4 6" xfId="40231"/>
    <cellStyle name="표준 3 4 4 6 2" xfId="40232"/>
    <cellStyle name="표준 3 4 4 6 2 2" xfId="40233"/>
    <cellStyle name="표준 3 4 4 6 2 2 2" xfId="40234"/>
    <cellStyle name="표준 3 4 4 6 2 2 3" xfId="40235"/>
    <cellStyle name="표준 3 4 4 6 2 3" xfId="40236"/>
    <cellStyle name="표준 3 4 4 6 2 4" xfId="40237"/>
    <cellStyle name="표준 3 4 4 6 3" xfId="40238"/>
    <cellStyle name="표준 3 4 4 6 3 2" xfId="40239"/>
    <cellStyle name="표준 3 4 4 6 3 3" xfId="40240"/>
    <cellStyle name="표준 3 4 4 6 4" xfId="40241"/>
    <cellStyle name="표준 3 4 4 6 5" xfId="40242"/>
    <cellStyle name="표준 3 4 4 7" xfId="40243"/>
    <cellStyle name="표준 3 4 4 7 2" xfId="40244"/>
    <cellStyle name="표준 3 4 4 7 2 2" xfId="40245"/>
    <cellStyle name="표준 3 4 4 7 2 3" xfId="40246"/>
    <cellStyle name="표준 3 4 4 7 3" xfId="40247"/>
    <cellStyle name="표준 3 4 4 7 4" xfId="40248"/>
    <cellStyle name="표준 3 4 4 8" xfId="40249"/>
    <cellStyle name="표준 3 4 4 8 2" xfId="40250"/>
    <cellStyle name="표준 3 4 4 8 3" xfId="40251"/>
    <cellStyle name="표준 3 4 4 9" xfId="40252"/>
    <cellStyle name="표준 3 4 5" xfId="40253"/>
    <cellStyle name="표준 3 4 5 10" xfId="40254"/>
    <cellStyle name="표준 3 4 5 2" xfId="40255"/>
    <cellStyle name="표준 3 4 5 2 2" xfId="40256"/>
    <cellStyle name="표준 3 4 5 2 2 2" xfId="40257"/>
    <cellStyle name="표준 3 4 5 2 2 2 2" xfId="40258"/>
    <cellStyle name="표준 3 4 5 2 2 2 2 2" xfId="40259"/>
    <cellStyle name="표준 3 4 5 2 2 2 2 3" xfId="40260"/>
    <cellStyle name="표준 3 4 5 2 2 2 3" xfId="40261"/>
    <cellStyle name="표준 3 4 5 2 2 2 4" xfId="40262"/>
    <cellStyle name="표준 3 4 5 2 2 3" xfId="40263"/>
    <cellStyle name="표준 3 4 5 2 2 3 2" xfId="40264"/>
    <cellStyle name="표준 3 4 5 2 2 3 3" xfId="40265"/>
    <cellStyle name="표준 3 4 5 2 2 4" xfId="40266"/>
    <cellStyle name="표준 3 4 5 2 2 5" xfId="40267"/>
    <cellStyle name="표준 3 4 5 2 3" xfId="40268"/>
    <cellStyle name="표준 3 4 5 2 3 2" xfId="40269"/>
    <cellStyle name="표준 3 4 5 2 3 2 2" xfId="40270"/>
    <cellStyle name="표준 3 4 5 2 3 2 2 2" xfId="40271"/>
    <cellStyle name="표준 3 4 5 2 3 2 2 3" xfId="40272"/>
    <cellStyle name="표준 3 4 5 2 3 2 3" xfId="40273"/>
    <cellStyle name="표준 3 4 5 2 3 2 4" xfId="40274"/>
    <cellStyle name="표준 3 4 5 2 3 3" xfId="40275"/>
    <cellStyle name="표준 3 4 5 2 3 3 2" xfId="40276"/>
    <cellStyle name="표준 3 4 5 2 3 3 3" xfId="40277"/>
    <cellStyle name="표준 3 4 5 2 3 4" xfId="40278"/>
    <cellStyle name="표준 3 4 5 2 3 5" xfId="40279"/>
    <cellStyle name="표준 3 4 5 2 4" xfId="40280"/>
    <cellStyle name="표준 3 4 5 2 4 2" xfId="40281"/>
    <cellStyle name="표준 3 4 5 2 4 2 2" xfId="40282"/>
    <cellStyle name="표준 3 4 5 2 4 2 3" xfId="40283"/>
    <cellStyle name="표준 3 4 5 2 4 3" xfId="40284"/>
    <cellStyle name="표준 3 4 5 2 4 4" xfId="40285"/>
    <cellStyle name="표준 3 4 5 2 5" xfId="40286"/>
    <cellStyle name="표준 3 4 5 2 5 2" xfId="40287"/>
    <cellStyle name="표준 3 4 5 2 5 3" xfId="40288"/>
    <cellStyle name="표준 3 4 5 2 6" xfId="40289"/>
    <cellStyle name="표준 3 4 5 2 7" xfId="40290"/>
    <cellStyle name="표준 3 4 5 3" xfId="40291"/>
    <cellStyle name="표준 3 4 5 3 2" xfId="40292"/>
    <cellStyle name="표준 3 4 5 3 2 2" xfId="40293"/>
    <cellStyle name="표준 3 4 5 3 2 2 2" xfId="40294"/>
    <cellStyle name="표준 3 4 5 3 2 2 2 2" xfId="40295"/>
    <cellStyle name="표준 3 4 5 3 2 2 2 3" xfId="40296"/>
    <cellStyle name="표준 3 4 5 3 2 2 3" xfId="40297"/>
    <cellStyle name="표준 3 4 5 3 2 2 4" xfId="40298"/>
    <cellStyle name="표준 3 4 5 3 2 3" xfId="40299"/>
    <cellStyle name="표준 3 4 5 3 2 3 2" xfId="40300"/>
    <cellStyle name="표준 3 4 5 3 2 3 3" xfId="40301"/>
    <cellStyle name="표준 3 4 5 3 2 4" xfId="40302"/>
    <cellStyle name="표준 3 4 5 3 2 5" xfId="40303"/>
    <cellStyle name="표준 3 4 5 3 3" xfId="40304"/>
    <cellStyle name="표준 3 4 5 3 3 2" xfId="40305"/>
    <cellStyle name="표준 3 4 5 3 3 2 2" xfId="40306"/>
    <cellStyle name="표준 3 4 5 3 3 2 2 2" xfId="40307"/>
    <cellStyle name="표준 3 4 5 3 3 2 2 3" xfId="40308"/>
    <cellStyle name="표준 3 4 5 3 3 2 3" xfId="40309"/>
    <cellStyle name="표준 3 4 5 3 3 2 4" xfId="40310"/>
    <cellStyle name="표준 3 4 5 3 3 3" xfId="40311"/>
    <cellStyle name="표준 3 4 5 3 3 3 2" xfId="40312"/>
    <cellStyle name="표준 3 4 5 3 3 3 3" xfId="40313"/>
    <cellStyle name="표준 3 4 5 3 3 4" xfId="40314"/>
    <cellStyle name="표준 3 4 5 3 3 5" xfId="40315"/>
    <cellStyle name="표준 3 4 5 3 4" xfId="40316"/>
    <cellStyle name="표준 3 4 5 3 4 2" xfId="40317"/>
    <cellStyle name="표준 3 4 5 3 4 2 2" xfId="40318"/>
    <cellStyle name="표준 3 4 5 3 4 2 3" xfId="40319"/>
    <cellStyle name="표준 3 4 5 3 4 3" xfId="40320"/>
    <cellStyle name="표준 3 4 5 3 4 4" xfId="40321"/>
    <cellStyle name="표준 3 4 5 3 5" xfId="40322"/>
    <cellStyle name="표준 3 4 5 3 5 2" xfId="40323"/>
    <cellStyle name="표준 3 4 5 3 5 3" xfId="40324"/>
    <cellStyle name="표준 3 4 5 3 6" xfId="40325"/>
    <cellStyle name="표준 3 4 5 3 7" xfId="40326"/>
    <cellStyle name="표준 3 4 5 4" xfId="40327"/>
    <cellStyle name="표준 3 4 5 4 2" xfId="40328"/>
    <cellStyle name="표준 3 4 5 4 2 2" xfId="40329"/>
    <cellStyle name="표준 3 4 5 4 2 2 2" xfId="40330"/>
    <cellStyle name="표준 3 4 5 4 2 2 3" xfId="40331"/>
    <cellStyle name="표준 3 4 5 4 2 3" xfId="40332"/>
    <cellStyle name="표준 3 4 5 4 2 4" xfId="40333"/>
    <cellStyle name="표준 3 4 5 4 3" xfId="40334"/>
    <cellStyle name="표준 3 4 5 4 3 2" xfId="40335"/>
    <cellStyle name="표준 3 4 5 4 3 3" xfId="40336"/>
    <cellStyle name="표준 3 4 5 4 4" xfId="40337"/>
    <cellStyle name="표준 3 4 5 4 5" xfId="40338"/>
    <cellStyle name="표준 3 4 5 5" xfId="40339"/>
    <cellStyle name="표준 3 4 5 5 2" xfId="40340"/>
    <cellStyle name="표준 3 4 5 5 2 2" xfId="40341"/>
    <cellStyle name="표준 3 4 5 5 2 2 2" xfId="40342"/>
    <cellStyle name="표준 3 4 5 5 2 2 3" xfId="40343"/>
    <cellStyle name="표준 3 4 5 5 2 3" xfId="40344"/>
    <cellStyle name="표준 3 4 5 5 2 4" xfId="40345"/>
    <cellStyle name="표준 3 4 5 5 3" xfId="40346"/>
    <cellStyle name="표준 3 4 5 5 3 2" xfId="40347"/>
    <cellStyle name="표준 3 4 5 5 3 3" xfId="40348"/>
    <cellStyle name="표준 3 4 5 5 4" xfId="40349"/>
    <cellStyle name="표준 3 4 5 5 5" xfId="40350"/>
    <cellStyle name="표준 3 4 5 6" xfId="40351"/>
    <cellStyle name="표준 3 4 5 6 2" xfId="40352"/>
    <cellStyle name="표준 3 4 5 6 2 2" xfId="40353"/>
    <cellStyle name="표준 3 4 5 6 2 2 2" xfId="40354"/>
    <cellStyle name="표준 3 4 5 6 2 2 3" xfId="40355"/>
    <cellStyle name="표준 3 4 5 6 2 3" xfId="40356"/>
    <cellStyle name="표준 3 4 5 6 2 4" xfId="40357"/>
    <cellStyle name="표준 3 4 5 6 3" xfId="40358"/>
    <cellStyle name="표준 3 4 5 6 3 2" xfId="40359"/>
    <cellStyle name="표준 3 4 5 6 3 3" xfId="40360"/>
    <cellStyle name="표준 3 4 5 6 4" xfId="40361"/>
    <cellStyle name="표준 3 4 5 6 5" xfId="40362"/>
    <cellStyle name="표준 3 4 5 7" xfId="40363"/>
    <cellStyle name="표준 3 4 5 7 2" xfId="40364"/>
    <cellStyle name="표준 3 4 5 7 2 2" xfId="40365"/>
    <cellStyle name="표준 3 4 5 7 2 3" xfId="40366"/>
    <cellStyle name="표준 3 4 5 7 3" xfId="40367"/>
    <cellStyle name="표준 3 4 5 7 4" xfId="40368"/>
    <cellStyle name="표준 3 4 5 8" xfId="40369"/>
    <cellStyle name="표준 3 4 5 8 2" xfId="40370"/>
    <cellStyle name="표준 3 4 5 8 3" xfId="40371"/>
    <cellStyle name="표준 3 4 5 9" xfId="40372"/>
    <cellStyle name="표준 3 4 6" xfId="40373"/>
    <cellStyle name="표준 3 4 6 2" xfId="40374"/>
    <cellStyle name="표준 3 4 6 2 2" xfId="40375"/>
    <cellStyle name="표준 3 4 6 2 2 2" xfId="40376"/>
    <cellStyle name="표준 3 4 6 2 2 2 2" xfId="40377"/>
    <cellStyle name="표준 3 4 6 2 2 2 3" xfId="40378"/>
    <cellStyle name="표준 3 4 6 2 2 3" xfId="40379"/>
    <cellStyle name="표준 3 4 6 2 2 4" xfId="40380"/>
    <cellStyle name="표준 3 4 6 2 3" xfId="40381"/>
    <cellStyle name="표준 3 4 6 2 3 2" xfId="40382"/>
    <cellStyle name="표준 3 4 6 2 3 3" xfId="40383"/>
    <cellStyle name="표준 3 4 6 2 4" xfId="40384"/>
    <cellStyle name="표준 3 4 6 2 5" xfId="40385"/>
    <cellStyle name="표준 3 4 6 3" xfId="40386"/>
    <cellStyle name="표준 3 4 6 3 2" xfId="40387"/>
    <cellStyle name="표준 3 4 6 3 2 2" xfId="40388"/>
    <cellStyle name="표준 3 4 6 3 2 2 2" xfId="40389"/>
    <cellStyle name="표준 3 4 6 3 2 2 3" xfId="40390"/>
    <cellStyle name="표준 3 4 6 3 2 3" xfId="40391"/>
    <cellStyle name="표준 3 4 6 3 2 4" xfId="40392"/>
    <cellStyle name="표준 3 4 6 3 3" xfId="40393"/>
    <cellStyle name="표준 3 4 6 3 3 2" xfId="40394"/>
    <cellStyle name="표준 3 4 6 3 3 3" xfId="40395"/>
    <cellStyle name="표준 3 4 6 3 4" xfId="40396"/>
    <cellStyle name="표준 3 4 6 3 5" xfId="40397"/>
    <cellStyle name="표준 3 4 6 4" xfId="40398"/>
    <cellStyle name="표준 3 4 6 4 2" xfId="40399"/>
    <cellStyle name="표준 3 4 6 4 2 2" xfId="40400"/>
    <cellStyle name="표준 3 4 6 4 2 3" xfId="40401"/>
    <cellStyle name="표준 3 4 6 4 3" xfId="40402"/>
    <cellStyle name="표준 3 4 6 4 4" xfId="40403"/>
    <cellStyle name="표준 3 4 6 5" xfId="40404"/>
    <cellStyle name="표준 3 4 6 5 2" xfId="40405"/>
    <cellStyle name="표준 3 4 6 5 3" xfId="40406"/>
    <cellStyle name="표준 3 4 6 6" xfId="40407"/>
    <cellStyle name="표준 3 4 6 7" xfId="40408"/>
    <cellStyle name="표준 3 4 7" xfId="40409"/>
    <cellStyle name="표준 3 4 7 2" xfId="40410"/>
    <cellStyle name="표준 3 4 7 2 2" xfId="40411"/>
    <cellStyle name="표준 3 4 7 2 2 2" xfId="40412"/>
    <cellStyle name="표준 3 4 7 2 2 2 2" xfId="40413"/>
    <cellStyle name="표준 3 4 7 2 2 2 3" xfId="40414"/>
    <cellStyle name="표준 3 4 7 2 2 3" xfId="40415"/>
    <cellStyle name="표준 3 4 7 2 2 4" xfId="40416"/>
    <cellStyle name="표준 3 4 7 2 3" xfId="40417"/>
    <cellStyle name="표준 3 4 7 2 3 2" xfId="40418"/>
    <cellStyle name="표준 3 4 7 2 3 3" xfId="40419"/>
    <cellStyle name="표준 3 4 7 2 4" xfId="40420"/>
    <cellStyle name="표준 3 4 7 2 5" xfId="40421"/>
    <cellStyle name="표준 3 4 7 3" xfId="40422"/>
    <cellStyle name="표준 3 4 7 3 2" xfId="40423"/>
    <cellStyle name="표준 3 4 7 3 2 2" xfId="40424"/>
    <cellStyle name="표준 3 4 7 3 2 2 2" xfId="40425"/>
    <cellStyle name="표준 3 4 7 3 2 2 3" xfId="40426"/>
    <cellStyle name="표준 3 4 7 3 2 3" xfId="40427"/>
    <cellStyle name="표준 3 4 7 3 2 4" xfId="40428"/>
    <cellStyle name="표준 3 4 7 3 3" xfId="40429"/>
    <cellStyle name="표준 3 4 7 3 3 2" xfId="40430"/>
    <cellStyle name="표준 3 4 7 3 3 3" xfId="40431"/>
    <cellStyle name="표준 3 4 7 3 4" xfId="40432"/>
    <cellStyle name="표준 3 4 7 3 5" xfId="40433"/>
    <cellStyle name="표준 3 4 7 4" xfId="40434"/>
    <cellStyle name="표준 3 4 7 4 2" xfId="40435"/>
    <cellStyle name="표준 3 4 7 4 2 2" xfId="40436"/>
    <cellStyle name="표준 3 4 7 4 2 3" xfId="40437"/>
    <cellStyle name="표준 3 4 7 4 3" xfId="40438"/>
    <cellStyle name="표준 3 4 7 4 4" xfId="40439"/>
    <cellStyle name="표준 3 4 7 5" xfId="40440"/>
    <cellStyle name="표준 3 4 7 5 2" xfId="40441"/>
    <cellStyle name="표준 3 4 7 5 3" xfId="40442"/>
    <cellStyle name="표준 3 4 7 6" xfId="40443"/>
    <cellStyle name="표준 3 4 7 7" xfId="40444"/>
    <cellStyle name="표준 3 4 8" xfId="40445"/>
    <cellStyle name="표준 3 4 8 2" xfId="40446"/>
    <cellStyle name="표준 3 4 8 2 2" xfId="40447"/>
    <cellStyle name="표준 3 4 8 2 2 2" xfId="40448"/>
    <cellStyle name="표준 3 4 8 2 2 3" xfId="40449"/>
    <cellStyle name="표준 3 4 8 2 3" xfId="40450"/>
    <cellStyle name="표준 3 4 8 2 4" xfId="40451"/>
    <cellStyle name="표준 3 4 8 3" xfId="40452"/>
    <cellStyle name="표준 3 4 8 3 2" xfId="40453"/>
    <cellStyle name="표준 3 4 8 3 3" xfId="40454"/>
    <cellStyle name="표준 3 4 8 4" xfId="40455"/>
    <cellStyle name="표준 3 4 8 5" xfId="40456"/>
    <cellStyle name="표준 3 4 9" xfId="40457"/>
    <cellStyle name="표준 3 4 9 2" xfId="40458"/>
    <cellStyle name="표준 3 4 9 2 2" xfId="40459"/>
    <cellStyle name="표준 3 4 9 2 2 2" xfId="40460"/>
    <cellStyle name="표준 3 4 9 2 2 3" xfId="40461"/>
    <cellStyle name="표준 3 4 9 2 3" xfId="40462"/>
    <cellStyle name="표준 3 4 9 2 4" xfId="40463"/>
    <cellStyle name="표준 3 4 9 3" xfId="40464"/>
    <cellStyle name="표준 3 4 9 3 2" xfId="40465"/>
    <cellStyle name="표준 3 4 9 3 3" xfId="40466"/>
    <cellStyle name="표준 3 4 9 4" xfId="40467"/>
    <cellStyle name="표준 3 4 9 5" xfId="40468"/>
    <cellStyle name="표준 3 5" xfId="40469"/>
    <cellStyle name="표준 3 5 10" xfId="40470"/>
    <cellStyle name="표준 3 5 10 2" xfId="40471"/>
    <cellStyle name="표준 3 5 10 2 2" xfId="40472"/>
    <cellStyle name="표준 3 5 10 2 2 2" xfId="40473"/>
    <cellStyle name="표준 3 5 10 2 2 3" xfId="40474"/>
    <cellStyle name="표준 3 5 10 2 3" xfId="40475"/>
    <cellStyle name="표준 3 5 10 2 4" xfId="40476"/>
    <cellStyle name="표준 3 5 10 3" xfId="40477"/>
    <cellStyle name="표준 3 5 10 3 2" xfId="40478"/>
    <cellStyle name="표준 3 5 10 3 3" xfId="40479"/>
    <cellStyle name="표준 3 5 10 4" xfId="40480"/>
    <cellStyle name="표준 3 5 10 5" xfId="40481"/>
    <cellStyle name="표준 3 5 11" xfId="40482"/>
    <cellStyle name="표준 3 5 11 2" xfId="40483"/>
    <cellStyle name="표준 3 5 11 2 2" xfId="40484"/>
    <cellStyle name="표준 3 5 11 2 3" xfId="40485"/>
    <cellStyle name="표준 3 5 11 3" xfId="40486"/>
    <cellStyle name="표준 3 5 11 4" xfId="40487"/>
    <cellStyle name="표준 3 5 12" xfId="40488"/>
    <cellStyle name="표준 3 5 12 2" xfId="40489"/>
    <cellStyle name="표준 3 5 12 3" xfId="40490"/>
    <cellStyle name="표준 3 5 13" xfId="40491"/>
    <cellStyle name="표준 3 5 14" xfId="40492"/>
    <cellStyle name="표준 3 5 15" xfId="40493"/>
    <cellStyle name="표준 3 5 2" xfId="40494"/>
    <cellStyle name="표준 3 5 2 10" xfId="40495"/>
    <cellStyle name="표준 3 5 2 10 2" xfId="40496"/>
    <cellStyle name="표준 3 5 2 10 2 2" xfId="40497"/>
    <cellStyle name="표준 3 5 2 10 2 3" xfId="40498"/>
    <cellStyle name="표준 3 5 2 10 3" xfId="40499"/>
    <cellStyle name="표준 3 5 2 10 4" xfId="40500"/>
    <cellStyle name="표준 3 5 2 11" xfId="40501"/>
    <cellStyle name="표준 3 5 2 11 2" xfId="40502"/>
    <cellStyle name="표준 3 5 2 11 3" xfId="40503"/>
    <cellStyle name="표준 3 5 2 12" xfId="40504"/>
    <cellStyle name="표준 3 5 2 13" xfId="40505"/>
    <cellStyle name="표준 3 5 2 14" xfId="40506"/>
    <cellStyle name="표준 3 5 2 2" xfId="40507"/>
    <cellStyle name="표준 3 5 2 2 10" xfId="40508"/>
    <cellStyle name="표준 3 5 2 2 2" xfId="40509"/>
    <cellStyle name="표준 3 5 2 2 2 2" xfId="40510"/>
    <cellStyle name="표준 3 5 2 2 2 2 2" xfId="40511"/>
    <cellStyle name="표준 3 5 2 2 2 2 2 2" xfId="40512"/>
    <cellStyle name="표준 3 5 2 2 2 2 2 2 2" xfId="40513"/>
    <cellStyle name="표준 3 5 2 2 2 2 2 2 3" xfId="40514"/>
    <cellStyle name="표준 3 5 2 2 2 2 2 3" xfId="40515"/>
    <cellStyle name="표준 3 5 2 2 2 2 2 4" xfId="40516"/>
    <cellStyle name="표준 3 5 2 2 2 2 3" xfId="40517"/>
    <cellStyle name="표준 3 5 2 2 2 2 3 2" xfId="40518"/>
    <cellStyle name="표준 3 5 2 2 2 2 3 3" xfId="40519"/>
    <cellStyle name="표준 3 5 2 2 2 2 4" xfId="40520"/>
    <cellStyle name="표준 3 5 2 2 2 2 5" xfId="40521"/>
    <cellStyle name="표준 3 5 2 2 2 3" xfId="40522"/>
    <cellStyle name="표준 3 5 2 2 2 3 2" xfId="40523"/>
    <cellStyle name="표준 3 5 2 2 2 3 2 2" xfId="40524"/>
    <cellStyle name="표준 3 5 2 2 2 3 2 2 2" xfId="40525"/>
    <cellStyle name="표준 3 5 2 2 2 3 2 2 3" xfId="40526"/>
    <cellStyle name="표준 3 5 2 2 2 3 2 3" xfId="40527"/>
    <cellStyle name="표준 3 5 2 2 2 3 2 4" xfId="40528"/>
    <cellStyle name="표준 3 5 2 2 2 3 3" xfId="40529"/>
    <cellStyle name="표준 3 5 2 2 2 3 3 2" xfId="40530"/>
    <cellStyle name="표준 3 5 2 2 2 3 3 3" xfId="40531"/>
    <cellStyle name="표준 3 5 2 2 2 3 4" xfId="40532"/>
    <cellStyle name="표준 3 5 2 2 2 3 5" xfId="40533"/>
    <cellStyle name="표준 3 5 2 2 2 4" xfId="40534"/>
    <cellStyle name="표준 3 5 2 2 2 4 2" xfId="40535"/>
    <cellStyle name="표준 3 5 2 2 2 4 2 2" xfId="40536"/>
    <cellStyle name="표준 3 5 2 2 2 4 2 3" xfId="40537"/>
    <cellStyle name="표준 3 5 2 2 2 4 3" xfId="40538"/>
    <cellStyle name="표준 3 5 2 2 2 4 4" xfId="40539"/>
    <cellStyle name="표준 3 5 2 2 2 5" xfId="40540"/>
    <cellStyle name="표준 3 5 2 2 2 5 2" xfId="40541"/>
    <cellStyle name="표준 3 5 2 2 2 5 3" xfId="40542"/>
    <cellStyle name="표준 3 5 2 2 2 6" xfId="40543"/>
    <cellStyle name="표준 3 5 2 2 2 7" xfId="40544"/>
    <cellStyle name="표준 3 5 2 2 3" xfId="40545"/>
    <cellStyle name="표준 3 5 2 2 3 2" xfId="40546"/>
    <cellStyle name="표준 3 5 2 2 3 2 2" xfId="40547"/>
    <cellStyle name="표준 3 5 2 2 3 2 2 2" xfId="40548"/>
    <cellStyle name="표준 3 5 2 2 3 2 2 2 2" xfId="40549"/>
    <cellStyle name="표준 3 5 2 2 3 2 2 2 3" xfId="40550"/>
    <cellStyle name="표준 3 5 2 2 3 2 2 3" xfId="40551"/>
    <cellStyle name="표준 3 5 2 2 3 2 2 4" xfId="40552"/>
    <cellStyle name="표준 3 5 2 2 3 2 3" xfId="40553"/>
    <cellStyle name="표준 3 5 2 2 3 2 3 2" xfId="40554"/>
    <cellStyle name="표준 3 5 2 2 3 2 3 3" xfId="40555"/>
    <cellStyle name="표준 3 5 2 2 3 2 4" xfId="40556"/>
    <cellStyle name="표준 3 5 2 2 3 2 5" xfId="40557"/>
    <cellStyle name="표준 3 5 2 2 3 3" xfId="40558"/>
    <cellStyle name="표준 3 5 2 2 3 3 2" xfId="40559"/>
    <cellStyle name="표준 3 5 2 2 3 3 2 2" xfId="40560"/>
    <cellStyle name="표준 3 5 2 2 3 3 2 2 2" xfId="40561"/>
    <cellStyle name="표준 3 5 2 2 3 3 2 2 3" xfId="40562"/>
    <cellStyle name="표준 3 5 2 2 3 3 2 3" xfId="40563"/>
    <cellStyle name="표준 3 5 2 2 3 3 2 4" xfId="40564"/>
    <cellStyle name="표준 3 5 2 2 3 3 3" xfId="40565"/>
    <cellStyle name="표준 3 5 2 2 3 3 3 2" xfId="40566"/>
    <cellStyle name="표준 3 5 2 2 3 3 3 3" xfId="40567"/>
    <cellStyle name="표준 3 5 2 2 3 3 4" xfId="40568"/>
    <cellStyle name="표준 3 5 2 2 3 3 5" xfId="40569"/>
    <cellStyle name="표준 3 5 2 2 3 4" xfId="40570"/>
    <cellStyle name="표준 3 5 2 2 3 4 2" xfId="40571"/>
    <cellStyle name="표준 3 5 2 2 3 4 2 2" xfId="40572"/>
    <cellStyle name="표준 3 5 2 2 3 4 2 3" xfId="40573"/>
    <cellStyle name="표준 3 5 2 2 3 4 3" xfId="40574"/>
    <cellStyle name="표준 3 5 2 2 3 4 4" xfId="40575"/>
    <cellStyle name="표준 3 5 2 2 3 5" xfId="40576"/>
    <cellStyle name="표준 3 5 2 2 3 5 2" xfId="40577"/>
    <cellStyle name="표준 3 5 2 2 3 5 3" xfId="40578"/>
    <cellStyle name="표준 3 5 2 2 3 6" xfId="40579"/>
    <cellStyle name="표준 3 5 2 2 3 7" xfId="40580"/>
    <cellStyle name="표준 3 5 2 2 4" xfId="40581"/>
    <cellStyle name="표준 3 5 2 2 4 2" xfId="40582"/>
    <cellStyle name="표준 3 5 2 2 4 2 2" xfId="40583"/>
    <cellStyle name="표준 3 5 2 2 4 2 2 2" xfId="40584"/>
    <cellStyle name="표준 3 5 2 2 4 2 2 3" xfId="40585"/>
    <cellStyle name="표준 3 5 2 2 4 2 3" xfId="40586"/>
    <cellStyle name="표준 3 5 2 2 4 2 4" xfId="40587"/>
    <cellStyle name="표준 3 5 2 2 4 3" xfId="40588"/>
    <cellStyle name="표준 3 5 2 2 4 3 2" xfId="40589"/>
    <cellStyle name="표준 3 5 2 2 4 3 3" xfId="40590"/>
    <cellStyle name="표준 3 5 2 2 4 4" xfId="40591"/>
    <cellStyle name="표준 3 5 2 2 4 5" xfId="40592"/>
    <cellStyle name="표준 3 5 2 2 5" xfId="40593"/>
    <cellStyle name="표준 3 5 2 2 5 2" xfId="40594"/>
    <cellStyle name="표준 3 5 2 2 5 2 2" xfId="40595"/>
    <cellStyle name="표준 3 5 2 2 5 2 2 2" xfId="40596"/>
    <cellStyle name="표준 3 5 2 2 5 2 2 3" xfId="40597"/>
    <cellStyle name="표준 3 5 2 2 5 2 3" xfId="40598"/>
    <cellStyle name="표준 3 5 2 2 5 2 4" xfId="40599"/>
    <cellStyle name="표준 3 5 2 2 5 3" xfId="40600"/>
    <cellStyle name="표준 3 5 2 2 5 3 2" xfId="40601"/>
    <cellStyle name="표준 3 5 2 2 5 3 3" xfId="40602"/>
    <cellStyle name="표준 3 5 2 2 5 4" xfId="40603"/>
    <cellStyle name="표준 3 5 2 2 5 5" xfId="40604"/>
    <cellStyle name="표준 3 5 2 2 6" xfId="40605"/>
    <cellStyle name="표준 3 5 2 2 6 2" xfId="40606"/>
    <cellStyle name="표준 3 5 2 2 6 2 2" xfId="40607"/>
    <cellStyle name="표준 3 5 2 2 6 2 2 2" xfId="40608"/>
    <cellStyle name="표준 3 5 2 2 6 2 2 3" xfId="40609"/>
    <cellStyle name="표준 3 5 2 2 6 2 3" xfId="40610"/>
    <cellStyle name="표준 3 5 2 2 6 2 4" xfId="40611"/>
    <cellStyle name="표준 3 5 2 2 6 3" xfId="40612"/>
    <cellStyle name="표준 3 5 2 2 6 3 2" xfId="40613"/>
    <cellStyle name="표준 3 5 2 2 6 3 3" xfId="40614"/>
    <cellStyle name="표준 3 5 2 2 6 4" xfId="40615"/>
    <cellStyle name="표준 3 5 2 2 6 5" xfId="40616"/>
    <cellStyle name="표준 3 5 2 2 7" xfId="40617"/>
    <cellStyle name="표준 3 5 2 2 7 2" xfId="40618"/>
    <cellStyle name="표준 3 5 2 2 7 2 2" xfId="40619"/>
    <cellStyle name="표준 3 5 2 2 7 2 3" xfId="40620"/>
    <cellStyle name="표준 3 5 2 2 7 3" xfId="40621"/>
    <cellStyle name="표준 3 5 2 2 7 4" xfId="40622"/>
    <cellStyle name="표준 3 5 2 2 8" xfId="40623"/>
    <cellStyle name="표준 3 5 2 2 8 2" xfId="40624"/>
    <cellStyle name="표준 3 5 2 2 8 3" xfId="40625"/>
    <cellStyle name="표준 3 5 2 2 9" xfId="40626"/>
    <cellStyle name="표준 3 5 2 3" xfId="40627"/>
    <cellStyle name="표준 3 5 2 3 10" xfId="40628"/>
    <cellStyle name="표준 3 5 2 3 2" xfId="40629"/>
    <cellStyle name="표준 3 5 2 3 2 2" xfId="40630"/>
    <cellStyle name="표준 3 5 2 3 2 2 2" xfId="40631"/>
    <cellStyle name="표준 3 5 2 3 2 2 2 2" xfId="40632"/>
    <cellStyle name="표준 3 5 2 3 2 2 2 2 2" xfId="40633"/>
    <cellStyle name="표준 3 5 2 3 2 2 2 2 3" xfId="40634"/>
    <cellStyle name="표준 3 5 2 3 2 2 2 3" xfId="40635"/>
    <cellStyle name="표준 3 5 2 3 2 2 2 4" xfId="40636"/>
    <cellStyle name="표준 3 5 2 3 2 2 3" xfId="40637"/>
    <cellStyle name="표준 3 5 2 3 2 2 3 2" xfId="40638"/>
    <cellStyle name="표준 3 5 2 3 2 2 3 3" xfId="40639"/>
    <cellStyle name="표준 3 5 2 3 2 2 4" xfId="40640"/>
    <cellStyle name="표준 3 5 2 3 2 2 5" xfId="40641"/>
    <cellStyle name="표준 3 5 2 3 2 3" xfId="40642"/>
    <cellStyle name="표준 3 5 2 3 2 3 2" xfId="40643"/>
    <cellStyle name="표준 3 5 2 3 2 3 2 2" xfId="40644"/>
    <cellStyle name="표준 3 5 2 3 2 3 2 2 2" xfId="40645"/>
    <cellStyle name="표준 3 5 2 3 2 3 2 2 3" xfId="40646"/>
    <cellStyle name="표준 3 5 2 3 2 3 2 3" xfId="40647"/>
    <cellStyle name="표준 3 5 2 3 2 3 2 4" xfId="40648"/>
    <cellStyle name="표준 3 5 2 3 2 3 3" xfId="40649"/>
    <cellStyle name="표준 3 5 2 3 2 3 3 2" xfId="40650"/>
    <cellStyle name="표준 3 5 2 3 2 3 3 3" xfId="40651"/>
    <cellStyle name="표준 3 5 2 3 2 3 4" xfId="40652"/>
    <cellStyle name="표준 3 5 2 3 2 3 5" xfId="40653"/>
    <cellStyle name="표준 3 5 2 3 2 4" xfId="40654"/>
    <cellStyle name="표준 3 5 2 3 2 4 2" xfId="40655"/>
    <cellStyle name="표준 3 5 2 3 2 4 2 2" xfId="40656"/>
    <cellStyle name="표준 3 5 2 3 2 4 2 3" xfId="40657"/>
    <cellStyle name="표준 3 5 2 3 2 4 3" xfId="40658"/>
    <cellStyle name="표준 3 5 2 3 2 4 4" xfId="40659"/>
    <cellStyle name="표준 3 5 2 3 2 5" xfId="40660"/>
    <cellStyle name="표준 3 5 2 3 2 5 2" xfId="40661"/>
    <cellStyle name="표준 3 5 2 3 2 5 3" xfId="40662"/>
    <cellStyle name="표준 3 5 2 3 2 6" xfId="40663"/>
    <cellStyle name="표준 3 5 2 3 2 7" xfId="40664"/>
    <cellStyle name="표준 3 5 2 3 3" xfId="40665"/>
    <cellStyle name="표준 3 5 2 3 3 2" xfId="40666"/>
    <cellStyle name="표준 3 5 2 3 3 2 2" xfId="40667"/>
    <cellStyle name="표준 3 5 2 3 3 2 2 2" xfId="40668"/>
    <cellStyle name="표준 3 5 2 3 3 2 2 2 2" xfId="40669"/>
    <cellStyle name="표준 3 5 2 3 3 2 2 2 3" xfId="40670"/>
    <cellStyle name="표준 3 5 2 3 3 2 2 3" xfId="40671"/>
    <cellStyle name="표준 3 5 2 3 3 2 2 4" xfId="40672"/>
    <cellStyle name="표준 3 5 2 3 3 2 3" xfId="40673"/>
    <cellStyle name="표준 3 5 2 3 3 2 3 2" xfId="40674"/>
    <cellStyle name="표준 3 5 2 3 3 2 3 3" xfId="40675"/>
    <cellStyle name="표준 3 5 2 3 3 2 4" xfId="40676"/>
    <cellStyle name="표준 3 5 2 3 3 2 5" xfId="40677"/>
    <cellStyle name="표준 3 5 2 3 3 3" xfId="40678"/>
    <cellStyle name="표준 3 5 2 3 3 3 2" xfId="40679"/>
    <cellStyle name="표준 3 5 2 3 3 3 2 2" xfId="40680"/>
    <cellStyle name="표준 3 5 2 3 3 3 2 2 2" xfId="40681"/>
    <cellStyle name="표준 3 5 2 3 3 3 2 2 3" xfId="40682"/>
    <cellStyle name="표준 3 5 2 3 3 3 2 3" xfId="40683"/>
    <cellStyle name="표준 3 5 2 3 3 3 2 4" xfId="40684"/>
    <cellStyle name="표준 3 5 2 3 3 3 3" xfId="40685"/>
    <cellStyle name="표준 3 5 2 3 3 3 3 2" xfId="40686"/>
    <cellStyle name="표준 3 5 2 3 3 3 3 3" xfId="40687"/>
    <cellStyle name="표준 3 5 2 3 3 3 4" xfId="40688"/>
    <cellStyle name="표준 3 5 2 3 3 3 5" xfId="40689"/>
    <cellStyle name="표준 3 5 2 3 3 4" xfId="40690"/>
    <cellStyle name="표준 3 5 2 3 3 4 2" xfId="40691"/>
    <cellStyle name="표준 3 5 2 3 3 4 2 2" xfId="40692"/>
    <cellStyle name="표준 3 5 2 3 3 4 2 3" xfId="40693"/>
    <cellStyle name="표준 3 5 2 3 3 4 3" xfId="40694"/>
    <cellStyle name="표준 3 5 2 3 3 4 4" xfId="40695"/>
    <cellStyle name="표준 3 5 2 3 3 5" xfId="40696"/>
    <cellStyle name="표준 3 5 2 3 3 5 2" xfId="40697"/>
    <cellStyle name="표준 3 5 2 3 3 5 3" xfId="40698"/>
    <cellStyle name="표준 3 5 2 3 3 6" xfId="40699"/>
    <cellStyle name="표준 3 5 2 3 3 7" xfId="40700"/>
    <cellStyle name="표준 3 5 2 3 4" xfId="40701"/>
    <cellStyle name="표준 3 5 2 3 4 2" xfId="40702"/>
    <cellStyle name="표준 3 5 2 3 4 2 2" xfId="40703"/>
    <cellStyle name="표준 3 5 2 3 4 2 2 2" xfId="40704"/>
    <cellStyle name="표준 3 5 2 3 4 2 2 3" xfId="40705"/>
    <cellStyle name="표준 3 5 2 3 4 2 3" xfId="40706"/>
    <cellStyle name="표준 3 5 2 3 4 2 4" xfId="40707"/>
    <cellStyle name="표준 3 5 2 3 4 3" xfId="40708"/>
    <cellStyle name="표준 3 5 2 3 4 3 2" xfId="40709"/>
    <cellStyle name="표준 3 5 2 3 4 3 3" xfId="40710"/>
    <cellStyle name="표준 3 5 2 3 4 4" xfId="40711"/>
    <cellStyle name="표준 3 5 2 3 4 5" xfId="40712"/>
    <cellStyle name="표준 3 5 2 3 5" xfId="40713"/>
    <cellStyle name="표준 3 5 2 3 5 2" xfId="40714"/>
    <cellStyle name="표준 3 5 2 3 5 2 2" xfId="40715"/>
    <cellStyle name="표준 3 5 2 3 5 2 2 2" xfId="40716"/>
    <cellStyle name="표준 3 5 2 3 5 2 2 3" xfId="40717"/>
    <cellStyle name="표준 3 5 2 3 5 2 3" xfId="40718"/>
    <cellStyle name="표준 3 5 2 3 5 2 4" xfId="40719"/>
    <cellStyle name="표준 3 5 2 3 5 3" xfId="40720"/>
    <cellStyle name="표준 3 5 2 3 5 3 2" xfId="40721"/>
    <cellStyle name="표준 3 5 2 3 5 3 3" xfId="40722"/>
    <cellStyle name="표준 3 5 2 3 5 4" xfId="40723"/>
    <cellStyle name="표준 3 5 2 3 5 5" xfId="40724"/>
    <cellStyle name="표준 3 5 2 3 6" xfId="40725"/>
    <cellStyle name="표준 3 5 2 3 6 2" xfId="40726"/>
    <cellStyle name="표준 3 5 2 3 6 2 2" xfId="40727"/>
    <cellStyle name="표준 3 5 2 3 6 2 2 2" xfId="40728"/>
    <cellStyle name="표준 3 5 2 3 6 2 2 3" xfId="40729"/>
    <cellStyle name="표준 3 5 2 3 6 2 3" xfId="40730"/>
    <cellStyle name="표준 3 5 2 3 6 2 4" xfId="40731"/>
    <cellStyle name="표준 3 5 2 3 6 3" xfId="40732"/>
    <cellStyle name="표준 3 5 2 3 6 3 2" xfId="40733"/>
    <cellStyle name="표준 3 5 2 3 6 3 3" xfId="40734"/>
    <cellStyle name="표준 3 5 2 3 6 4" xfId="40735"/>
    <cellStyle name="표준 3 5 2 3 6 5" xfId="40736"/>
    <cellStyle name="표준 3 5 2 3 7" xfId="40737"/>
    <cellStyle name="표준 3 5 2 3 7 2" xfId="40738"/>
    <cellStyle name="표준 3 5 2 3 7 2 2" xfId="40739"/>
    <cellStyle name="표준 3 5 2 3 7 2 3" xfId="40740"/>
    <cellStyle name="표준 3 5 2 3 7 3" xfId="40741"/>
    <cellStyle name="표준 3 5 2 3 7 4" xfId="40742"/>
    <cellStyle name="표준 3 5 2 3 8" xfId="40743"/>
    <cellStyle name="표준 3 5 2 3 8 2" xfId="40744"/>
    <cellStyle name="표준 3 5 2 3 8 3" xfId="40745"/>
    <cellStyle name="표준 3 5 2 3 9" xfId="40746"/>
    <cellStyle name="표준 3 5 2 4" xfId="40747"/>
    <cellStyle name="표준 3 5 2 4 10" xfId="40748"/>
    <cellStyle name="표준 3 5 2 4 2" xfId="40749"/>
    <cellStyle name="표준 3 5 2 4 2 2" xfId="40750"/>
    <cellStyle name="표준 3 5 2 4 2 2 2" xfId="40751"/>
    <cellStyle name="표준 3 5 2 4 2 2 2 2" xfId="40752"/>
    <cellStyle name="표준 3 5 2 4 2 2 2 2 2" xfId="40753"/>
    <cellStyle name="표준 3 5 2 4 2 2 2 2 3" xfId="40754"/>
    <cellStyle name="표준 3 5 2 4 2 2 2 3" xfId="40755"/>
    <cellStyle name="표준 3 5 2 4 2 2 2 4" xfId="40756"/>
    <cellStyle name="표준 3 5 2 4 2 2 3" xfId="40757"/>
    <cellStyle name="표준 3 5 2 4 2 2 3 2" xfId="40758"/>
    <cellStyle name="표준 3 5 2 4 2 2 3 3" xfId="40759"/>
    <cellStyle name="표준 3 5 2 4 2 2 4" xfId="40760"/>
    <cellStyle name="표준 3 5 2 4 2 2 5" xfId="40761"/>
    <cellStyle name="표준 3 5 2 4 2 3" xfId="40762"/>
    <cellStyle name="표준 3 5 2 4 2 3 2" xfId="40763"/>
    <cellStyle name="표준 3 5 2 4 2 3 2 2" xfId="40764"/>
    <cellStyle name="표준 3 5 2 4 2 3 2 2 2" xfId="40765"/>
    <cellStyle name="표준 3 5 2 4 2 3 2 2 3" xfId="40766"/>
    <cellStyle name="표준 3 5 2 4 2 3 2 3" xfId="40767"/>
    <cellStyle name="표준 3 5 2 4 2 3 2 4" xfId="40768"/>
    <cellStyle name="표준 3 5 2 4 2 3 3" xfId="40769"/>
    <cellStyle name="표준 3 5 2 4 2 3 3 2" xfId="40770"/>
    <cellStyle name="표준 3 5 2 4 2 3 3 3" xfId="40771"/>
    <cellStyle name="표준 3 5 2 4 2 3 4" xfId="40772"/>
    <cellStyle name="표준 3 5 2 4 2 3 5" xfId="40773"/>
    <cellStyle name="표준 3 5 2 4 2 4" xfId="40774"/>
    <cellStyle name="표준 3 5 2 4 2 4 2" xfId="40775"/>
    <cellStyle name="표준 3 5 2 4 2 4 2 2" xfId="40776"/>
    <cellStyle name="표준 3 5 2 4 2 4 2 3" xfId="40777"/>
    <cellStyle name="표준 3 5 2 4 2 4 3" xfId="40778"/>
    <cellStyle name="표준 3 5 2 4 2 4 4" xfId="40779"/>
    <cellStyle name="표준 3 5 2 4 2 5" xfId="40780"/>
    <cellStyle name="표준 3 5 2 4 2 5 2" xfId="40781"/>
    <cellStyle name="표준 3 5 2 4 2 5 3" xfId="40782"/>
    <cellStyle name="표준 3 5 2 4 2 6" xfId="40783"/>
    <cellStyle name="표준 3 5 2 4 2 7" xfId="40784"/>
    <cellStyle name="표준 3 5 2 4 3" xfId="40785"/>
    <cellStyle name="표준 3 5 2 4 3 2" xfId="40786"/>
    <cellStyle name="표준 3 5 2 4 3 2 2" xfId="40787"/>
    <cellStyle name="표준 3 5 2 4 3 2 2 2" xfId="40788"/>
    <cellStyle name="표준 3 5 2 4 3 2 2 2 2" xfId="40789"/>
    <cellStyle name="표준 3 5 2 4 3 2 2 2 3" xfId="40790"/>
    <cellStyle name="표준 3 5 2 4 3 2 2 3" xfId="40791"/>
    <cellStyle name="표준 3 5 2 4 3 2 2 4" xfId="40792"/>
    <cellStyle name="표준 3 5 2 4 3 2 3" xfId="40793"/>
    <cellStyle name="표준 3 5 2 4 3 2 3 2" xfId="40794"/>
    <cellStyle name="표준 3 5 2 4 3 2 3 3" xfId="40795"/>
    <cellStyle name="표준 3 5 2 4 3 2 4" xfId="40796"/>
    <cellStyle name="표준 3 5 2 4 3 2 5" xfId="40797"/>
    <cellStyle name="표준 3 5 2 4 3 3" xfId="40798"/>
    <cellStyle name="표준 3 5 2 4 3 3 2" xfId="40799"/>
    <cellStyle name="표준 3 5 2 4 3 3 2 2" xfId="40800"/>
    <cellStyle name="표준 3 5 2 4 3 3 2 2 2" xfId="40801"/>
    <cellStyle name="표준 3 5 2 4 3 3 2 2 3" xfId="40802"/>
    <cellStyle name="표준 3 5 2 4 3 3 2 3" xfId="40803"/>
    <cellStyle name="표준 3 5 2 4 3 3 2 4" xfId="40804"/>
    <cellStyle name="표준 3 5 2 4 3 3 3" xfId="40805"/>
    <cellStyle name="표준 3 5 2 4 3 3 3 2" xfId="40806"/>
    <cellStyle name="표준 3 5 2 4 3 3 3 3" xfId="40807"/>
    <cellStyle name="표준 3 5 2 4 3 3 4" xfId="40808"/>
    <cellStyle name="표준 3 5 2 4 3 3 5" xfId="40809"/>
    <cellStyle name="표준 3 5 2 4 3 4" xfId="40810"/>
    <cellStyle name="표준 3 5 2 4 3 4 2" xfId="40811"/>
    <cellStyle name="표준 3 5 2 4 3 4 2 2" xfId="40812"/>
    <cellStyle name="표준 3 5 2 4 3 4 2 3" xfId="40813"/>
    <cellStyle name="표준 3 5 2 4 3 4 3" xfId="40814"/>
    <cellStyle name="표준 3 5 2 4 3 4 4" xfId="40815"/>
    <cellStyle name="표준 3 5 2 4 3 5" xfId="40816"/>
    <cellStyle name="표준 3 5 2 4 3 5 2" xfId="40817"/>
    <cellStyle name="표준 3 5 2 4 3 5 3" xfId="40818"/>
    <cellStyle name="표준 3 5 2 4 3 6" xfId="40819"/>
    <cellStyle name="표준 3 5 2 4 3 7" xfId="40820"/>
    <cellStyle name="표준 3 5 2 4 4" xfId="40821"/>
    <cellStyle name="표준 3 5 2 4 4 2" xfId="40822"/>
    <cellStyle name="표준 3 5 2 4 4 2 2" xfId="40823"/>
    <cellStyle name="표준 3 5 2 4 4 2 2 2" xfId="40824"/>
    <cellStyle name="표준 3 5 2 4 4 2 2 3" xfId="40825"/>
    <cellStyle name="표준 3 5 2 4 4 2 3" xfId="40826"/>
    <cellStyle name="표준 3 5 2 4 4 2 4" xfId="40827"/>
    <cellStyle name="표준 3 5 2 4 4 3" xfId="40828"/>
    <cellStyle name="표준 3 5 2 4 4 3 2" xfId="40829"/>
    <cellStyle name="표준 3 5 2 4 4 3 3" xfId="40830"/>
    <cellStyle name="표준 3 5 2 4 4 4" xfId="40831"/>
    <cellStyle name="표준 3 5 2 4 4 5" xfId="40832"/>
    <cellStyle name="표준 3 5 2 4 5" xfId="40833"/>
    <cellStyle name="표준 3 5 2 4 5 2" xfId="40834"/>
    <cellStyle name="표준 3 5 2 4 5 2 2" xfId="40835"/>
    <cellStyle name="표준 3 5 2 4 5 2 2 2" xfId="40836"/>
    <cellStyle name="표준 3 5 2 4 5 2 2 3" xfId="40837"/>
    <cellStyle name="표준 3 5 2 4 5 2 3" xfId="40838"/>
    <cellStyle name="표준 3 5 2 4 5 2 4" xfId="40839"/>
    <cellStyle name="표준 3 5 2 4 5 3" xfId="40840"/>
    <cellStyle name="표준 3 5 2 4 5 3 2" xfId="40841"/>
    <cellStyle name="표준 3 5 2 4 5 3 3" xfId="40842"/>
    <cellStyle name="표준 3 5 2 4 5 4" xfId="40843"/>
    <cellStyle name="표준 3 5 2 4 5 5" xfId="40844"/>
    <cellStyle name="표준 3 5 2 4 6" xfId="40845"/>
    <cellStyle name="표준 3 5 2 4 6 2" xfId="40846"/>
    <cellStyle name="표준 3 5 2 4 6 2 2" xfId="40847"/>
    <cellStyle name="표준 3 5 2 4 6 2 2 2" xfId="40848"/>
    <cellStyle name="표준 3 5 2 4 6 2 2 3" xfId="40849"/>
    <cellStyle name="표준 3 5 2 4 6 2 3" xfId="40850"/>
    <cellStyle name="표준 3 5 2 4 6 2 4" xfId="40851"/>
    <cellStyle name="표준 3 5 2 4 6 3" xfId="40852"/>
    <cellStyle name="표준 3 5 2 4 6 3 2" xfId="40853"/>
    <cellStyle name="표준 3 5 2 4 6 3 3" xfId="40854"/>
    <cellStyle name="표준 3 5 2 4 6 4" xfId="40855"/>
    <cellStyle name="표준 3 5 2 4 6 5" xfId="40856"/>
    <cellStyle name="표준 3 5 2 4 7" xfId="40857"/>
    <cellStyle name="표준 3 5 2 4 7 2" xfId="40858"/>
    <cellStyle name="표준 3 5 2 4 7 2 2" xfId="40859"/>
    <cellStyle name="표준 3 5 2 4 7 2 3" xfId="40860"/>
    <cellStyle name="표준 3 5 2 4 7 3" xfId="40861"/>
    <cellStyle name="표준 3 5 2 4 7 4" xfId="40862"/>
    <cellStyle name="표준 3 5 2 4 8" xfId="40863"/>
    <cellStyle name="표준 3 5 2 4 8 2" xfId="40864"/>
    <cellStyle name="표준 3 5 2 4 8 3" xfId="40865"/>
    <cellStyle name="표준 3 5 2 4 9" xfId="40866"/>
    <cellStyle name="표준 3 5 2 5" xfId="40867"/>
    <cellStyle name="표준 3 5 2 5 2" xfId="40868"/>
    <cellStyle name="표준 3 5 2 5 2 2" xfId="40869"/>
    <cellStyle name="표준 3 5 2 5 2 2 2" xfId="40870"/>
    <cellStyle name="표준 3 5 2 5 2 2 2 2" xfId="40871"/>
    <cellStyle name="표준 3 5 2 5 2 2 2 3" xfId="40872"/>
    <cellStyle name="표준 3 5 2 5 2 2 3" xfId="40873"/>
    <cellStyle name="표준 3 5 2 5 2 2 4" xfId="40874"/>
    <cellStyle name="표준 3 5 2 5 2 3" xfId="40875"/>
    <cellStyle name="표준 3 5 2 5 2 3 2" xfId="40876"/>
    <cellStyle name="표준 3 5 2 5 2 3 3" xfId="40877"/>
    <cellStyle name="표준 3 5 2 5 2 4" xfId="40878"/>
    <cellStyle name="표준 3 5 2 5 2 5" xfId="40879"/>
    <cellStyle name="표준 3 5 2 5 3" xfId="40880"/>
    <cellStyle name="표준 3 5 2 5 3 2" xfId="40881"/>
    <cellStyle name="표준 3 5 2 5 3 2 2" xfId="40882"/>
    <cellStyle name="표준 3 5 2 5 3 2 2 2" xfId="40883"/>
    <cellStyle name="표준 3 5 2 5 3 2 2 3" xfId="40884"/>
    <cellStyle name="표준 3 5 2 5 3 2 3" xfId="40885"/>
    <cellStyle name="표준 3 5 2 5 3 2 4" xfId="40886"/>
    <cellStyle name="표준 3 5 2 5 3 3" xfId="40887"/>
    <cellStyle name="표준 3 5 2 5 3 3 2" xfId="40888"/>
    <cellStyle name="표준 3 5 2 5 3 3 3" xfId="40889"/>
    <cellStyle name="표준 3 5 2 5 3 4" xfId="40890"/>
    <cellStyle name="표준 3 5 2 5 3 5" xfId="40891"/>
    <cellStyle name="표준 3 5 2 5 4" xfId="40892"/>
    <cellStyle name="표준 3 5 2 5 4 2" xfId="40893"/>
    <cellStyle name="표준 3 5 2 5 4 2 2" xfId="40894"/>
    <cellStyle name="표준 3 5 2 5 4 2 3" xfId="40895"/>
    <cellStyle name="표준 3 5 2 5 4 3" xfId="40896"/>
    <cellStyle name="표준 3 5 2 5 4 4" xfId="40897"/>
    <cellStyle name="표준 3 5 2 5 5" xfId="40898"/>
    <cellStyle name="표준 3 5 2 5 5 2" xfId="40899"/>
    <cellStyle name="표준 3 5 2 5 5 3" xfId="40900"/>
    <cellStyle name="표준 3 5 2 5 6" xfId="40901"/>
    <cellStyle name="표준 3 5 2 5 7" xfId="40902"/>
    <cellStyle name="표준 3 5 2 6" xfId="40903"/>
    <cellStyle name="표준 3 5 2 6 2" xfId="40904"/>
    <cellStyle name="표준 3 5 2 6 2 2" xfId="40905"/>
    <cellStyle name="표준 3 5 2 6 2 2 2" xfId="40906"/>
    <cellStyle name="표준 3 5 2 6 2 2 2 2" xfId="40907"/>
    <cellStyle name="표준 3 5 2 6 2 2 2 3" xfId="40908"/>
    <cellStyle name="표준 3 5 2 6 2 2 3" xfId="40909"/>
    <cellStyle name="표준 3 5 2 6 2 2 4" xfId="40910"/>
    <cellStyle name="표준 3 5 2 6 2 3" xfId="40911"/>
    <cellStyle name="표준 3 5 2 6 2 3 2" xfId="40912"/>
    <cellStyle name="표준 3 5 2 6 2 3 3" xfId="40913"/>
    <cellStyle name="표준 3 5 2 6 2 4" xfId="40914"/>
    <cellStyle name="표준 3 5 2 6 2 5" xfId="40915"/>
    <cellStyle name="표준 3 5 2 6 3" xfId="40916"/>
    <cellStyle name="표준 3 5 2 6 3 2" xfId="40917"/>
    <cellStyle name="표준 3 5 2 6 3 2 2" xfId="40918"/>
    <cellStyle name="표준 3 5 2 6 3 2 2 2" xfId="40919"/>
    <cellStyle name="표준 3 5 2 6 3 2 2 3" xfId="40920"/>
    <cellStyle name="표준 3 5 2 6 3 2 3" xfId="40921"/>
    <cellStyle name="표준 3 5 2 6 3 2 4" xfId="40922"/>
    <cellStyle name="표준 3 5 2 6 3 3" xfId="40923"/>
    <cellStyle name="표준 3 5 2 6 3 3 2" xfId="40924"/>
    <cellStyle name="표준 3 5 2 6 3 3 3" xfId="40925"/>
    <cellStyle name="표준 3 5 2 6 3 4" xfId="40926"/>
    <cellStyle name="표준 3 5 2 6 3 5" xfId="40927"/>
    <cellStyle name="표준 3 5 2 6 4" xfId="40928"/>
    <cellStyle name="표준 3 5 2 6 4 2" xfId="40929"/>
    <cellStyle name="표준 3 5 2 6 4 2 2" xfId="40930"/>
    <cellStyle name="표준 3 5 2 6 4 2 3" xfId="40931"/>
    <cellStyle name="표준 3 5 2 6 4 3" xfId="40932"/>
    <cellStyle name="표준 3 5 2 6 4 4" xfId="40933"/>
    <cellStyle name="표준 3 5 2 6 5" xfId="40934"/>
    <cellStyle name="표준 3 5 2 6 5 2" xfId="40935"/>
    <cellStyle name="표준 3 5 2 6 5 3" xfId="40936"/>
    <cellStyle name="표준 3 5 2 6 6" xfId="40937"/>
    <cellStyle name="표준 3 5 2 6 7" xfId="40938"/>
    <cellStyle name="표준 3 5 2 7" xfId="40939"/>
    <cellStyle name="표준 3 5 2 7 2" xfId="40940"/>
    <cellStyle name="표준 3 5 2 7 2 2" xfId="40941"/>
    <cellStyle name="표준 3 5 2 7 2 2 2" xfId="40942"/>
    <cellStyle name="표준 3 5 2 7 2 2 3" xfId="40943"/>
    <cellStyle name="표준 3 5 2 7 2 3" xfId="40944"/>
    <cellStyle name="표준 3 5 2 7 2 4" xfId="40945"/>
    <cellStyle name="표준 3 5 2 7 3" xfId="40946"/>
    <cellStyle name="표준 3 5 2 7 3 2" xfId="40947"/>
    <cellStyle name="표준 3 5 2 7 3 3" xfId="40948"/>
    <cellStyle name="표준 3 5 2 7 4" xfId="40949"/>
    <cellStyle name="표준 3 5 2 7 5" xfId="40950"/>
    <cellStyle name="표준 3 5 2 8" xfId="40951"/>
    <cellStyle name="표준 3 5 2 8 2" xfId="40952"/>
    <cellStyle name="표준 3 5 2 8 2 2" xfId="40953"/>
    <cellStyle name="표준 3 5 2 8 2 2 2" xfId="40954"/>
    <cellStyle name="표준 3 5 2 8 2 2 3" xfId="40955"/>
    <cellStyle name="표준 3 5 2 8 2 3" xfId="40956"/>
    <cellStyle name="표준 3 5 2 8 2 4" xfId="40957"/>
    <cellStyle name="표준 3 5 2 8 3" xfId="40958"/>
    <cellStyle name="표준 3 5 2 8 3 2" xfId="40959"/>
    <cellStyle name="표준 3 5 2 8 3 3" xfId="40960"/>
    <cellStyle name="표준 3 5 2 8 4" xfId="40961"/>
    <cellStyle name="표준 3 5 2 8 5" xfId="40962"/>
    <cellStyle name="표준 3 5 2 9" xfId="40963"/>
    <cellStyle name="표준 3 5 2 9 2" xfId="40964"/>
    <cellStyle name="표준 3 5 2 9 2 2" xfId="40965"/>
    <cellStyle name="표준 3 5 2 9 2 2 2" xfId="40966"/>
    <cellStyle name="표준 3 5 2 9 2 2 3" xfId="40967"/>
    <cellStyle name="표준 3 5 2 9 2 3" xfId="40968"/>
    <cellStyle name="표준 3 5 2 9 2 4" xfId="40969"/>
    <cellStyle name="표준 3 5 2 9 3" xfId="40970"/>
    <cellStyle name="표준 3 5 2 9 3 2" xfId="40971"/>
    <cellStyle name="표준 3 5 2 9 3 3" xfId="40972"/>
    <cellStyle name="표준 3 5 2 9 4" xfId="40973"/>
    <cellStyle name="표준 3 5 2 9 5" xfId="40974"/>
    <cellStyle name="표준 3 5 3" xfId="40975"/>
    <cellStyle name="표준 3 5 3 10" xfId="40976"/>
    <cellStyle name="표준 3 5 3 2" xfId="40977"/>
    <cellStyle name="표준 3 5 3 2 2" xfId="40978"/>
    <cellStyle name="표준 3 5 3 2 2 2" xfId="40979"/>
    <cellStyle name="표준 3 5 3 2 2 2 2" xfId="40980"/>
    <cellStyle name="표준 3 5 3 2 2 2 2 2" xfId="40981"/>
    <cellStyle name="표준 3 5 3 2 2 2 2 3" xfId="40982"/>
    <cellStyle name="표준 3 5 3 2 2 2 3" xfId="40983"/>
    <cellStyle name="표준 3 5 3 2 2 2 4" xfId="40984"/>
    <cellStyle name="표준 3 5 3 2 2 3" xfId="40985"/>
    <cellStyle name="표준 3 5 3 2 2 3 2" xfId="40986"/>
    <cellStyle name="표준 3 5 3 2 2 3 3" xfId="40987"/>
    <cellStyle name="표준 3 5 3 2 2 4" xfId="40988"/>
    <cellStyle name="표준 3 5 3 2 2 5" xfId="40989"/>
    <cellStyle name="표준 3 5 3 2 3" xfId="40990"/>
    <cellStyle name="표준 3 5 3 2 3 2" xfId="40991"/>
    <cellStyle name="표준 3 5 3 2 3 2 2" xfId="40992"/>
    <cellStyle name="표준 3 5 3 2 3 2 2 2" xfId="40993"/>
    <cellStyle name="표준 3 5 3 2 3 2 2 3" xfId="40994"/>
    <cellStyle name="표준 3 5 3 2 3 2 3" xfId="40995"/>
    <cellStyle name="표준 3 5 3 2 3 2 4" xfId="40996"/>
    <cellStyle name="표준 3 5 3 2 3 3" xfId="40997"/>
    <cellStyle name="표준 3 5 3 2 3 3 2" xfId="40998"/>
    <cellStyle name="표준 3 5 3 2 3 3 3" xfId="40999"/>
    <cellStyle name="표준 3 5 3 2 3 4" xfId="41000"/>
    <cellStyle name="표준 3 5 3 2 3 5" xfId="41001"/>
    <cellStyle name="표준 3 5 3 2 4" xfId="41002"/>
    <cellStyle name="표준 3 5 3 2 4 2" xfId="41003"/>
    <cellStyle name="표준 3 5 3 2 4 2 2" xfId="41004"/>
    <cellStyle name="표준 3 5 3 2 4 2 3" xfId="41005"/>
    <cellStyle name="표준 3 5 3 2 4 3" xfId="41006"/>
    <cellStyle name="표준 3 5 3 2 4 4" xfId="41007"/>
    <cellStyle name="표준 3 5 3 2 5" xfId="41008"/>
    <cellStyle name="표준 3 5 3 2 5 2" xfId="41009"/>
    <cellStyle name="표준 3 5 3 2 5 3" xfId="41010"/>
    <cellStyle name="표준 3 5 3 2 6" xfId="41011"/>
    <cellStyle name="표준 3 5 3 2 7" xfId="41012"/>
    <cellStyle name="표준 3 5 3 3" xfId="41013"/>
    <cellStyle name="표준 3 5 3 3 2" xfId="41014"/>
    <cellStyle name="표준 3 5 3 3 2 2" xfId="41015"/>
    <cellStyle name="표준 3 5 3 3 2 2 2" xfId="41016"/>
    <cellStyle name="표준 3 5 3 3 2 2 2 2" xfId="41017"/>
    <cellStyle name="표준 3 5 3 3 2 2 2 3" xfId="41018"/>
    <cellStyle name="표준 3 5 3 3 2 2 3" xfId="41019"/>
    <cellStyle name="표준 3 5 3 3 2 2 4" xfId="41020"/>
    <cellStyle name="표준 3 5 3 3 2 3" xfId="41021"/>
    <cellStyle name="표준 3 5 3 3 2 3 2" xfId="41022"/>
    <cellStyle name="표준 3 5 3 3 2 3 3" xfId="41023"/>
    <cellStyle name="표준 3 5 3 3 2 4" xfId="41024"/>
    <cellStyle name="표준 3 5 3 3 2 5" xfId="41025"/>
    <cellStyle name="표준 3 5 3 3 3" xfId="41026"/>
    <cellStyle name="표준 3 5 3 3 3 2" xfId="41027"/>
    <cellStyle name="표준 3 5 3 3 3 2 2" xfId="41028"/>
    <cellStyle name="표준 3 5 3 3 3 2 2 2" xfId="41029"/>
    <cellStyle name="표준 3 5 3 3 3 2 2 3" xfId="41030"/>
    <cellStyle name="표준 3 5 3 3 3 2 3" xfId="41031"/>
    <cellStyle name="표준 3 5 3 3 3 2 4" xfId="41032"/>
    <cellStyle name="표준 3 5 3 3 3 3" xfId="41033"/>
    <cellStyle name="표준 3 5 3 3 3 3 2" xfId="41034"/>
    <cellStyle name="표준 3 5 3 3 3 3 3" xfId="41035"/>
    <cellStyle name="표준 3 5 3 3 3 4" xfId="41036"/>
    <cellStyle name="표준 3 5 3 3 3 5" xfId="41037"/>
    <cellStyle name="표준 3 5 3 3 4" xfId="41038"/>
    <cellStyle name="표준 3 5 3 3 4 2" xfId="41039"/>
    <cellStyle name="표준 3 5 3 3 4 2 2" xfId="41040"/>
    <cellStyle name="표준 3 5 3 3 4 2 3" xfId="41041"/>
    <cellStyle name="표준 3 5 3 3 4 3" xfId="41042"/>
    <cellStyle name="표준 3 5 3 3 4 4" xfId="41043"/>
    <cellStyle name="표준 3 5 3 3 5" xfId="41044"/>
    <cellStyle name="표준 3 5 3 3 5 2" xfId="41045"/>
    <cellStyle name="표준 3 5 3 3 5 3" xfId="41046"/>
    <cellStyle name="표준 3 5 3 3 6" xfId="41047"/>
    <cellStyle name="표준 3 5 3 3 7" xfId="41048"/>
    <cellStyle name="표준 3 5 3 4" xfId="41049"/>
    <cellStyle name="표준 3 5 3 4 2" xfId="41050"/>
    <cellStyle name="표준 3 5 3 4 2 2" xfId="41051"/>
    <cellStyle name="표준 3 5 3 4 2 2 2" xfId="41052"/>
    <cellStyle name="표준 3 5 3 4 2 2 3" xfId="41053"/>
    <cellStyle name="표준 3 5 3 4 2 3" xfId="41054"/>
    <cellStyle name="표준 3 5 3 4 2 4" xfId="41055"/>
    <cellStyle name="표준 3 5 3 4 3" xfId="41056"/>
    <cellStyle name="표준 3 5 3 4 3 2" xfId="41057"/>
    <cellStyle name="표준 3 5 3 4 3 3" xfId="41058"/>
    <cellStyle name="표준 3 5 3 4 4" xfId="41059"/>
    <cellStyle name="표준 3 5 3 4 5" xfId="41060"/>
    <cellStyle name="표준 3 5 3 5" xfId="41061"/>
    <cellStyle name="표준 3 5 3 5 2" xfId="41062"/>
    <cellStyle name="표준 3 5 3 5 2 2" xfId="41063"/>
    <cellStyle name="표준 3 5 3 5 2 2 2" xfId="41064"/>
    <cellStyle name="표준 3 5 3 5 2 2 3" xfId="41065"/>
    <cellStyle name="표준 3 5 3 5 2 3" xfId="41066"/>
    <cellStyle name="표준 3 5 3 5 2 4" xfId="41067"/>
    <cellStyle name="표준 3 5 3 5 3" xfId="41068"/>
    <cellStyle name="표준 3 5 3 5 3 2" xfId="41069"/>
    <cellStyle name="표준 3 5 3 5 3 3" xfId="41070"/>
    <cellStyle name="표준 3 5 3 5 4" xfId="41071"/>
    <cellStyle name="표준 3 5 3 5 5" xfId="41072"/>
    <cellStyle name="표준 3 5 3 6" xfId="41073"/>
    <cellStyle name="표준 3 5 3 6 2" xfId="41074"/>
    <cellStyle name="표준 3 5 3 6 2 2" xfId="41075"/>
    <cellStyle name="표준 3 5 3 6 2 2 2" xfId="41076"/>
    <cellStyle name="표준 3 5 3 6 2 2 3" xfId="41077"/>
    <cellStyle name="표준 3 5 3 6 2 3" xfId="41078"/>
    <cellStyle name="표준 3 5 3 6 2 4" xfId="41079"/>
    <cellStyle name="표준 3 5 3 6 3" xfId="41080"/>
    <cellStyle name="표준 3 5 3 6 3 2" xfId="41081"/>
    <cellStyle name="표준 3 5 3 6 3 3" xfId="41082"/>
    <cellStyle name="표준 3 5 3 6 4" xfId="41083"/>
    <cellStyle name="표준 3 5 3 6 5" xfId="41084"/>
    <cellStyle name="표준 3 5 3 7" xfId="41085"/>
    <cellStyle name="표준 3 5 3 7 2" xfId="41086"/>
    <cellStyle name="표준 3 5 3 7 2 2" xfId="41087"/>
    <cellStyle name="표준 3 5 3 7 2 3" xfId="41088"/>
    <cellStyle name="표준 3 5 3 7 3" xfId="41089"/>
    <cellStyle name="표준 3 5 3 7 4" xfId="41090"/>
    <cellStyle name="표준 3 5 3 8" xfId="41091"/>
    <cellStyle name="표준 3 5 3 8 2" xfId="41092"/>
    <cellStyle name="표준 3 5 3 8 3" xfId="41093"/>
    <cellStyle name="표준 3 5 3 9" xfId="41094"/>
    <cellStyle name="표준 3 5 4" xfId="41095"/>
    <cellStyle name="표준 3 5 4 10" xfId="41096"/>
    <cellStyle name="표준 3 5 4 2" xfId="41097"/>
    <cellStyle name="표준 3 5 4 2 2" xfId="41098"/>
    <cellStyle name="표준 3 5 4 2 2 2" xfId="41099"/>
    <cellStyle name="표준 3 5 4 2 2 2 2" xfId="41100"/>
    <cellStyle name="표준 3 5 4 2 2 2 2 2" xfId="41101"/>
    <cellStyle name="표준 3 5 4 2 2 2 2 3" xfId="41102"/>
    <cellStyle name="표준 3 5 4 2 2 2 3" xfId="41103"/>
    <cellStyle name="표준 3 5 4 2 2 2 4" xfId="41104"/>
    <cellStyle name="표준 3 5 4 2 2 3" xfId="41105"/>
    <cellStyle name="표준 3 5 4 2 2 3 2" xfId="41106"/>
    <cellStyle name="표준 3 5 4 2 2 3 3" xfId="41107"/>
    <cellStyle name="표준 3 5 4 2 2 4" xfId="41108"/>
    <cellStyle name="표준 3 5 4 2 2 5" xfId="41109"/>
    <cellStyle name="표준 3 5 4 2 3" xfId="41110"/>
    <cellStyle name="표준 3 5 4 2 3 2" xfId="41111"/>
    <cellStyle name="표준 3 5 4 2 3 2 2" xfId="41112"/>
    <cellStyle name="표준 3 5 4 2 3 2 2 2" xfId="41113"/>
    <cellStyle name="표준 3 5 4 2 3 2 2 3" xfId="41114"/>
    <cellStyle name="표준 3 5 4 2 3 2 3" xfId="41115"/>
    <cellStyle name="표준 3 5 4 2 3 2 4" xfId="41116"/>
    <cellStyle name="표준 3 5 4 2 3 3" xfId="41117"/>
    <cellStyle name="표준 3 5 4 2 3 3 2" xfId="41118"/>
    <cellStyle name="표준 3 5 4 2 3 3 3" xfId="41119"/>
    <cellStyle name="표준 3 5 4 2 3 4" xfId="41120"/>
    <cellStyle name="표준 3 5 4 2 3 5" xfId="41121"/>
    <cellStyle name="표준 3 5 4 2 4" xfId="41122"/>
    <cellStyle name="표준 3 5 4 2 4 2" xfId="41123"/>
    <cellStyle name="표준 3 5 4 2 4 2 2" xfId="41124"/>
    <cellStyle name="표준 3 5 4 2 4 2 3" xfId="41125"/>
    <cellStyle name="표준 3 5 4 2 4 3" xfId="41126"/>
    <cellStyle name="표준 3 5 4 2 4 4" xfId="41127"/>
    <cellStyle name="표준 3 5 4 2 5" xfId="41128"/>
    <cellStyle name="표준 3 5 4 2 5 2" xfId="41129"/>
    <cellStyle name="표준 3 5 4 2 5 3" xfId="41130"/>
    <cellStyle name="표준 3 5 4 2 6" xfId="41131"/>
    <cellStyle name="표준 3 5 4 2 7" xfId="41132"/>
    <cellStyle name="표준 3 5 4 3" xfId="41133"/>
    <cellStyle name="표준 3 5 4 3 2" xfId="41134"/>
    <cellStyle name="표준 3 5 4 3 2 2" xfId="41135"/>
    <cellStyle name="표준 3 5 4 3 2 2 2" xfId="41136"/>
    <cellStyle name="표준 3 5 4 3 2 2 2 2" xfId="41137"/>
    <cellStyle name="표준 3 5 4 3 2 2 2 3" xfId="41138"/>
    <cellStyle name="표준 3 5 4 3 2 2 3" xfId="41139"/>
    <cellStyle name="표준 3 5 4 3 2 2 4" xfId="41140"/>
    <cellStyle name="표준 3 5 4 3 2 3" xfId="41141"/>
    <cellStyle name="표준 3 5 4 3 2 3 2" xfId="41142"/>
    <cellStyle name="표준 3 5 4 3 2 3 3" xfId="41143"/>
    <cellStyle name="표준 3 5 4 3 2 4" xfId="41144"/>
    <cellStyle name="표준 3 5 4 3 2 5" xfId="41145"/>
    <cellStyle name="표준 3 5 4 3 3" xfId="41146"/>
    <cellStyle name="표준 3 5 4 3 3 2" xfId="41147"/>
    <cellStyle name="표준 3 5 4 3 3 2 2" xfId="41148"/>
    <cellStyle name="표준 3 5 4 3 3 2 2 2" xfId="41149"/>
    <cellStyle name="표준 3 5 4 3 3 2 2 3" xfId="41150"/>
    <cellStyle name="표준 3 5 4 3 3 2 3" xfId="41151"/>
    <cellStyle name="표준 3 5 4 3 3 2 4" xfId="41152"/>
    <cellStyle name="표준 3 5 4 3 3 3" xfId="41153"/>
    <cellStyle name="표준 3 5 4 3 3 3 2" xfId="41154"/>
    <cellStyle name="표준 3 5 4 3 3 3 3" xfId="41155"/>
    <cellStyle name="표준 3 5 4 3 3 4" xfId="41156"/>
    <cellStyle name="표준 3 5 4 3 3 5" xfId="41157"/>
    <cellStyle name="표준 3 5 4 3 4" xfId="41158"/>
    <cellStyle name="표준 3 5 4 3 4 2" xfId="41159"/>
    <cellStyle name="표준 3 5 4 3 4 2 2" xfId="41160"/>
    <cellStyle name="표준 3 5 4 3 4 2 3" xfId="41161"/>
    <cellStyle name="표준 3 5 4 3 4 3" xfId="41162"/>
    <cellStyle name="표준 3 5 4 3 4 4" xfId="41163"/>
    <cellStyle name="표준 3 5 4 3 5" xfId="41164"/>
    <cellStyle name="표준 3 5 4 3 5 2" xfId="41165"/>
    <cellStyle name="표준 3 5 4 3 5 3" xfId="41166"/>
    <cellStyle name="표준 3 5 4 3 6" xfId="41167"/>
    <cellStyle name="표준 3 5 4 3 7" xfId="41168"/>
    <cellStyle name="표준 3 5 4 4" xfId="41169"/>
    <cellStyle name="표준 3 5 4 4 2" xfId="41170"/>
    <cellStyle name="표준 3 5 4 4 2 2" xfId="41171"/>
    <cellStyle name="표준 3 5 4 4 2 2 2" xfId="41172"/>
    <cellStyle name="표준 3 5 4 4 2 2 3" xfId="41173"/>
    <cellStyle name="표준 3 5 4 4 2 3" xfId="41174"/>
    <cellStyle name="표준 3 5 4 4 2 4" xfId="41175"/>
    <cellStyle name="표준 3 5 4 4 3" xfId="41176"/>
    <cellStyle name="표준 3 5 4 4 3 2" xfId="41177"/>
    <cellStyle name="표준 3 5 4 4 3 3" xfId="41178"/>
    <cellStyle name="표준 3 5 4 4 4" xfId="41179"/>
    <cellStyle name="표준 3 5 4 4 5" xfId="41180"/>
    <cellStyle name="표준 3 5 4 5" xfId="41181"/>
    <cellStyle name="표준 3 5 4 5 2" xfId="41182"/>
    <cellStyle name="표준 3 5 4 5 2 2" xfId="41183"/>
    <cellStyle name="표준 3 5 4 5 2 2 2" xfId="41184"/>
    <cellStyle name="표준 3 5 4 5 2 2 3" xfId="41185"/>
    <cellStyle name="표준 3 5 4 5 2 3" xfId="41186"/>
    <cellStyle name="표준 3 5 4 5 2 4" xfId="41187"/>
    <cellStyle name="표준 3 5 4 5 3" xfId="41188"/>
    <cellStyle name="표준 3 5 4 5 3 2" xfId="41189"/>
    <cellStyle name="표준 3 5 4 5 3 3" xfId="41190"/>
    <cellStyle name="표준 3 5 4 5 4" xfId="41191"/>
    <cellStyle name="표준 3 5 4 5 5" xfId="41192"/>
    <cellStyle name="표준 3 5 4 6" xfId="41193"/>
    <cellStyle name="표준 3 5 4 6 2" xfId="41194"/>
    <cellStyle name="표준 3 5 4 6 2 2" xfId="41195"/>
    <cellStyle name="표준 3 5 4 6 2 2 2" xfId="41196"/>
    <cellStyle name="표준 3 5 4 6 2 2 3" xfId="41197"/>
    <cellStyle name="표준 3 5 4 6 2 3" xfId="41198"/>
    <cellStyle name="표준 3 5 4 6 2 4" xfId="41199"/>
    <cellStyle name="표준 3 5 4 6 3" xfId="41200"/>
    <cellStyle name="표준 3 5 4 6 3 2" xfId="41201"/>
    <cellStyle name="표준 3 5 4 6 3 3" xfId="41202"/>
    <cellStyle name="표준 3 5 4 6 4" xfId="41203"/>
    <cellStyle name="표준 3 5 4 6 5" xfId="41204"/>
    <cellStyle name="표준 3 5 4 7" xfId="41205"/>
    <cellStyle name="표준 3 5 4 7 2" xfId="41206"/>
    <cellStyle name="표준 3 5 4 7 2 2" xfId="41207"/>
    <cellStyle name="표준 3 5 4 7 2 3" xfId="41208"/>
    <cellStyle name="표준 3 5 4 7 3" xfId="41209"/>
    <cellStyle name="표준 3 5 4 7 4" xfId="41210"/>
    <cellStyle name="표준 3 5 4 8" xfId="41211"/>
    <cellStyle name="표준 3 5 4 8 2" xfId="41212"/>
    <cellStyle name="표준 3 5 4 8 3" xfId="41213"/>
    <cellStyle name="표준 3 5 4 9" xfId="41214"/>
    <cellStyle name="표준 3 5 5" xfId="41215"/>
    <cellStyle name="표준 3 5 5 10" xfId="41216"/>
    <cellStyle name="표준 3 5 5 2" xfId="41217"/>
    <cellStyle name="표준 3 5 5 2 2" xfId="41218"/>
    <cellStyle name="표준 3 5 5 2 2 2" xfId="41219"/>
    <cellStyle name="표준 3 5 5 2 2 2 2" xfId="41220"/>
    <cellStyle name="표준 3 5 5 2 2 2 2 2" xfId="41221"/>
    <cellStyle name="표준 3 5 5 2 2 2 2 3" xfId="41222"/>
    <cellStyle name="표준 3 5 5 2 2 2 3" xfId="41223"/>
    <cellStyle name="표준 3 5 5 2 2 2 4" xfId="41224"/>
    <cellStyle name="표준 3 5 5 2 2 3" xfId="41225"/>
    <cellStyle name="표준 3 5 5 2 2 3 2" xfId="41226"/>
    <cellStyle name="표준 3 5 5 2 2 3 3" xfId="41227"/>
    <cellStyle name="표준 3 5 5 2 2 4" xfId="41228"/>
    <cellStyle name="표준 3 5 5 2 2 5" xfId="41229"/>
    <cellStyle name="표준 3 5 5 2 3" xfId="41230"/>
    <cellStyle name="표준 3 5 5 2 3 2" xfId="41231"/>
    <cellStyle name="표준 3 5 5 2 3 2 2" xfId="41232"/>
    <cellStyle name="표준 3 5 5 2 3 2 2 2" xfId="41233"/>
    <cellStyle name="표준 3 5 5 2 3 2 2 3" xfId="41234"/>
    <cellStyle name="표준 3 5 5 2 3 2 3" xfId="41235"/>
    <cellStyle name="표준 3 5 5 2 3 2 4" xfId="41236"/>
    <cellStyle name="표준 3 5 5 2 3 3" xfId="41237"/>
    <cellStyle name="표준 3 5 5 2 3 3 2" xfId="41238"/>
    <cellStyle name="표준 3 5 5 2 3 3 3" xfId="41239"/>
    <cellStyle name="표준 3 5 5 2 3 4" xfId="41240"/>
    <cellStyle name="표준 3 5 5 2 3 5" xfId="41241"/>
    <cellStyle name="표준 3 5 5 2 4" xfId="41242"/>
    <cellStyle name="표준 3 5 5 2 4 2" xfId="41243"/>
    <cellStyle name="표준 3 5 5 2 4 2 2" xfId="41244"/>
    <cellStyle name="표준 3 5 5 2 4 2 3" xfId="41245"/>
    <cellStyle name="표준 3 5 5 2 4 3" xfId="41246"/>
    <cellStyle name="표준 3 5 5 2 4 4" xfId="41247"/>
    <cellStyle name="표준 3 5 5 2 5" xfId="41248"/>
    <cellStyle name="표준 3 5 5 2 5 2" xfId="41249"/>
    <cellStyle name="표준 3 5 5 2 5 3" xfId="41250"/>
    <cellStyle name="표준 3 5 5 2 6" xfId="41251"/>
    <cellStyle name="표준 3 5 5 2 7" xfId="41252"/>
    <cellStyle name="표준 3 5 5 3" xfId="41253"/>
    <cellStyle name="표준 3 5 5 3 2" xfId="41254"/>
    <cellStyle name="표준 3 5 5 3 2 2" xfId="41255"/>
    <cellStyle name="표준 3 5 5 3 2 2 2" xfId="41256"/>
    <cellStyle name="표준 3 5 5 3 2 2 2 2" xfId="41257"/>
    <cellStyle name="표준 3 5 5 3 2 2 2 3" xfId="41258"/>
    <cellStyle name="표준 3 5 5 3 2 2 3" xfId="41259"/>
    <cellStyle name="표준 3 5 5 3 2 2 4" xfId="41260"/>
    <cellStyle name="표준 3 5 5 3 2 3" xfId="41261"/>
    <cellStyle name="표준 3 5 5 3 2 3 2" xfId="41262"/>
    <cellStyle name="표준 3 5 5 3 2 3 3" xfId="41263"/>
    <cellStyle name="표준 3 5 5 3 2 4" xfId="41264"/>
    <cellStyle name="표준 3 5 5 3 2 5" xfId="41265"/>
    <cellStyle name="표준 3 5 5 3 3" xfId="41266"/>
    <cellStyle name="표준 3 5 5 3 3 2" xfId="41267"/>
    <cellStyle name="표준 3 5 5 3 3 2 2" xfId="41268"/>
    <cellStyle name="표준 3 5 5 3 3 2 2 2" xfId="41269"/>
    <cellStyle name="표준 3 5 5 3 3 2 2 3" xfId="41270"/>
    <cellStyle name="표준 3 5 5 3 3 2 3" xfId="41271"/>
    <cellStyle name="표준 3 5 5 3 3 2 4" xfId="41272"/>
    <cellStyle name="표준 3 5 5 3 3 3" xfId="41273"/>
    <cellStyle name="표준 3 5 5 3 3 3 2" xfId="41274"/>
    <cellStyle name="표준 3 5 5 3 3 3 3" xfId="41275"/>
    <cellStyle name="표준 3 5 5 3 3 4" xfId="41276"/>
    <cellStyle name="표준 3 5 5 3 3 5" xfId="41277"/>
    <cellStyle name="표준 3 5 5 3 4" xfId="41278"/>
    <cellStyle name="표준 3 5 5 3 4 2" xfId="41279"/>
    <cellStyle name="표준 3 5 5 3 4 2 2" xfId="41280"/>
    <cellStyle name="표준 3 5 5 3 4 2 3" xfId="41281"/>
    <cellStyle name="표준 3 5 5 3 4 3" xfId="41282"/>
    <cellStyle name="표준 3 5 5 3 4 4" xfId="41283"/>
    <cellStyle name="표준 3 5 5 3 5" xfId="41284"/>
    <cellStyle name="표준 3 5 5 3 5 2" xfId="41285"/>
    <cellStyle name="표준 3 5 5 3 5 3" xfId="41286"/>
    <cellStyle name="표준 3 5 5 3 6" xfId="41287"/>
    <cellStyle name="표준 3 5 5 3 7" xfId="41288"/>
    <cellStyle name="표준 3 5 5 4" xfId="41289"/>
    <cellStyle name="표준 3 5 5 4 2" xfId="41290"/>
    <cellStyle name="표준 3 5 5 4 2 2" xfId="41291"/>
    <cellStyle name="표준 3 5 5 4 2 2 2" xfId="41292"/>
    <cellStyle name="표준 3 5 5 4 2 2 3" xfId="41293"/>
    <cellStyle name="표준 3 5 5 4 2 3" xfId="41294"/>
    <cellStyle name="표준 3 5 5 4 2 4" xfId="41295"/>
    <cellStyle name="표준 3 5 5 4 3" xfId="41296"/>
    <cellStyle name="표준 3 5 5 4 3 2" xfId="41297"/>
    <cellStyle name="표준 3 5 5 4 3 3" xfId="41298"/>
    <cellStyle name="표준 3 5 5 4 4" xfId="41299"/>
    <cellStyle name="표준 3 5 5 4 5" xfId="41300"/>
    <cellStyle name="표준 3 5 5 5" xfId="41301"/>
    <cellStyle name="표준 3 5 5 5 2" xfId="41302"/>
    <cellStyle name="표준 3 5 5 5 2 2" xfId="41303"/>
    <cellStyle name="표준 3 5 5 5 2 2 2" xfId="41304"/>
    <cellStyle name="표준 3 5 5 5 2 2 3" xfId="41305"/>
    <cellStyle name="표준 3 5 5 5 2 3" xfId="41306"/>
    <cellStyle name="표준 3 5 5 5 2 4" xfId="41307"/>
    <cellStyle name="표준 3 5 5 5 3" xfId="41308"/>
    <cellStyle name="표준 3 5 5 5 3 2" xfId="41309"/>
    <cellStyle name="표준 3 5 5 5 3 3" xfId="41310"/>
    <cellStyle name="표준 3 5 5 5 4" xfId="41311"/>
    <cellStyle name="표준 3 5 5 5 5" xfId="41312"/>
    <cellStyle name="표준 3 5 5 6" xfId="41313"/>
    <cellStyle name="표준 3 5 5 6 2" xfId="41314"/>
    <cellStyle name="표준 3 5 5 6 2 2" xfId="41315"/>
    <cellStyle name="표준 3 5 5 6 2 2 2" xfId="41316"/>
    <cellStyle name="표준 3 5 5 6 2 2 3" xfId="41317"/>
    <cellStyle name="표준 3 5 5 6 2 3" xfId="41318"/>
    <cellStyle name="표준 3 5 5 6 2 4" xfId="41319"/>
    <cellStyle name="표준 3 5 5 6 3" xfId="41320"/>
    <cellStyle name="표준 3 5 5 6 3 2" xfId="41321"/>
    <cellStyle name="표준 3 5 5 6 3 3" xfId="41322"/>
    <cellStyle name="표준 3 5 5 6 4" xfId="41323"/>
    <cellStyle name="표준 3 5 5 6 5" xfId="41324"/>
    <cellStyle name="표준 3 5 5 7" xfId="41325"/>
    <cellStyle name="표준 3 5 5 7 2" xfId="41326"/>
    <cellStyle name="표준 3 5 5 7 2 2" xfId="41327"/>
    <cellStyle name="표준 3 5 5 7 2 3" xfId="41328"/>
    <cellStyle name="표준 3 5 5 7 3" xfId="41329"/>
    <cellStyle name="표준 3 5 5 7 4" xfId="41330"/>
    <cellStyle name="표준 3 5 5 8" xfId="41331"/>
    <cellStyle name="표준 3 5 5 8 2" xfId="41332"/>
    <cellStyle name="표준 3 5 5 8 3" xfId="41333"/>
    <cellStyle name="표준 3 5 5 9" xfId="41334"/>
    <cellStyle name="표준 3 5 6" xfId="41335"/>
    <cellStyle name="표준 3 5 6 2" xfId="41336"/>
    <cellStyle name="표준 3 5 6 2 2" xfId="41337"/>
    <cellStyle name="표준 3 5 6 2 2 2" xfId="41338"/>
    <cellStyle name="표준 3 5 6 2 2 2 2" xfId="41339"/>
    <cellStyle name="표준 3 5 6 2 2 2 3" xfId="41340"/>
    <cellStyle name="표준 3 5 6 2 2 3" xfId="41341"/>
    <cellStyle name="표준 3 5 6 2 2 4" xfId="41342"/>
    <cellStyle name="표준 3 5 6 2 3" xfId="41343"/>
    <cellStyle name="표준 3 5 6 2 3 2" xfId="41344"/>
    <cellStyle name="표준 3 5 6 2 3 3" xfId="41345"/>
    <cellStyle name="표준 3 5 6 2 4" xfId="41346"/>
    <cellStyle name="표준 3 5 6 2 5" xfId="41347"/>
    <cellStyle name="표준 3 5 6 3" xfId="41348"/>
    <cellStyle name="표준 3 5 6 3 2" xfId="41349"/>
    <cellStyle name="표준 3 5 6 3 2 2" xfId="41350"/>
    <cellStyle name="표준 3 5 6 3 2 2 2" xfId="41351"/>
    <cellStyle name="표준 3 5 6 3 2 2 3" xfId="41352"/>
    <cellStyle name="표준 3 5 6 3 2 3" xfId="41353"/>
    <cellStyle name="표준 3 5 6 3 2 4" xfId="41354"/>
    <cellStyle name="표준 3 5 6 3 3" xfId="41355"/>
    <cellStyle name="표준 3 5 6 3 3 2" xfId="41356"/>
    <cellStyle name="표준 3 5 6 3 3 3" xfId="41357"/>
    <cellStyle name="표준 3 5 6 3 4" xfId="41358"/>
    <cellStyle name="표준 3 5 6 3 5" xfId="41359"/>
    <cellStyle name="표준 3 5 6 4" xfId="41360"/>
    <cellStyle name="표준 3 5 6 4 2" xfId="41361"/>
    <cellStyle name="표준 3 5 6 4 2 2" xfId="41362"/>
    <cellStyle name="표준 3 5 6 4 2 3" xfId="41363"/>
    <cellStyle name="표준 3 5 6 4 3" xfId="41364"/>
    <cellStyle name="표준 3 5 6 4 4" xfId="41365"/>
    <cellStyle name="표준 3 5 6 5" xfId="41366"/>
    <cellStyle name="표준 3 5 6 5 2" xfId="41367"/>
    <cellStyle name="표준 3 5 6 5 3" xfId="41368"/>
    <cellStyle name="표준 3 5 6 6" xfId="41369"/>
    <cellStyle name="표준 3 5 6 7" xfId="41370"/>
    <cellStyle name="표준 3 5 7" xfId="41371"/>
    <cellStyle name="표준 3 5 7 2" xfId="41372"/>
    <cellStyle name="표준 3 5 7 2 2" xfId="41373"/>
    <cellStyle name="표준 3 5 7 2 2 2" xfId="41374"/>
    <cellStyle name="표준 3 5 7 2 2 2 2" xfId="41375"/>
    <cellStyle name="표준 3 5 7 2 2 2 3" xfId="41376"/>
    <cellStyle name="표준 3 5 7 2 2 3" xfId="41377"/>
    <cellStyle name="표준 3 5 7 2 2 4" xfId="41378"/>
    <cellStyle name="표준 3 5 7 2 3" xfId="41379"/>
    <cellStyle name="표준 3 5 7 2 3 2" xfId="41380"/>
    <cellStyle name="표준 3 5 7 2 3 3" xfId="41381"/>
    <cellStyle name="표준 3 5 7 2 4" xfId="41382"/>
    <cellStyle name="표준 3 5 7 2 5" xfId="41383"/>
    <cellStyle name="표준 3 5 7 3" xfId="41384"/>
    <cellStyle name="표준 3 5 7 3 2" xfId="41385"/>
    <cellStyle name="표준 3 5 7 3 2 2" xfId="41386"/>
    <cellStyle name="표준 3 5 7 3 2 2 2" xfId="41387"/>
    <cellStyle name="표준 3 5 7 3 2 2 3" xfId="41388"/>
    <cellStyle name="표준 3 5 7 3 2 3" xfId="41389"/>
    <cellStyle name="표준 3 5 7 3 2 4" xfId="41390"/>
    <cellStyle name="표준 3 5 7 3 3" xfId="41391"/>
    <cellStyle name="표준 3 5 7 3 3 2" xfId="41392"/>
    <cellStyle name="표준 3 5 7 3 3 3" xfId="41393"/>
    <cellStyle name="표준 3 5 7 3 4" xfId="41394"/>
    <cellStyle name="표준 3 5 7 3 5" xfId="41395"/>
    <cellStyle name="표준 3 5 7 4" xfId="41396"/>
    <cellStyle name="표준 3 5 7 4 2" xfId="41397"/>
    <cellStyle name="표준 3 5 7 4 2 2" xfId="41398"/>
    <cellStyle name="표준 3 5 7 4 2 3" xfId="41399"/>
    <cellStyle name="표준 3 5 7 4 3" xfId="41400"/>
    <cellStyle name="표준 3 5 7 4 4" xfId="41401"/>
    <cellStyle name="표준 3 5 7 5" xfId="41402"/>
    <cellStyle name="표준 3 5 7 5 2" xfId="41403"/>
    <cellStyle name="표준 3 5 7 5 3" xfId="41404"/>
    <cellStyle name="표준 3 5 7 6" xfId="41405"/>
    <cellStyle name="표준 3 5 7 7" xfId="41406"/>
    <cellStyle name="표준 3 5 8" xfId="41407"/>
    <cellStyle name="표준 3 5 8 2" xfId="41408"/>
    <cellStyle name="표준 3 5 8 2 2" xfId="41409"/>
    <cellStyle name="표준 3 5 8 2 2 2" xfId="41410"/>
    <cellStyle name="표준 3 5 8 2 2 3" xfId="41411"/>
    <cellStyle name="표준 3 5 8 2 3" xfId="41412"/>
    <cellStyle name="표준 3 5 8 2 4" xfId="41413"/>
    <cellStyle name="표준 3 5 8 3" xfId="41414"/>
    <cellStyle name="표준 3 5 8 3 2" xfId="41415"/>
    <cellStyle name="표준 3 5 8 3 3" xfId="41416"/>
    <cellStyle name="표준 3 5 8 4" xfId="41417"/>
    <cellStyle name="표준 3 5 8 5" xfId="41418"/>
    <cellStyle name="표준 3 5 9" xfId="41419"/>
    <cellStyle name="표준 3 5 9 2" xfId="41420"/>
    <cellStyle name="표준 3 5 9 2 2" xfId="41421"/>
    <cellStyle name="표준 3 5 9 2 2 2" xfId="41422"/>
    <cellStyle name="표준 3 5 9 2 2 3" xfId="41423"/>
    <cellStyle name="표준 3 5 9 2 3" xfId="41424"/>
    <cellStyle name="표준 3 5 9 2 4" xfId="41425"/>
    <cellStyle name="표준 3 5 9 3" xfId="41426"/>
    <cellStyle name="표준 3 5 9 3 2" xfId="41427"/>
    <cellStyle name="표준 3 5 9 3 3" xfId="41428"/>
    <cellStyle name="표준 3 5 9 4" xfId="41429"/>
    <cellStyle name="표준 3 5 9 5" xfId="41430"/>
    <cellStyle name="표준 3 6" xfId="41431"/>
    <cellStyle name="표준 3 6 10" xfId="41432"/>
    <cellStyle name="표준 3 6 10 2" xfId="41433"/>
    <cellStyle name="표준 3 6 10 2 2" xfId="41434"/>
    <cellStyle name="표준 3 6 10 2 3" xfId="41435"/>
    <cellStyle name="표준 3 6 10 3" xfId="41436"/>
    <cellStyle name="표준 3 6 10 4" xfId="41437"/>
    <cellStyle name="표준 3 6 11" xfId="41438"/>
    <cellStyle name="표준 3 6 11 2" xfId="41439"/>
    <cellStyle name="표준 3 6 11 3" xfId="41440"/>
    <cellStyle name="표준 3 6 12" xfId="41441"/>
    <cellStyle name="표준 3 6 13" xfId="41442"/>
    <cellStyle name="표준 3 6 14" xfId="41443"/>
    <cellStyle name="표준 3 6 2" xfId="41444"/>
    <cellStyle name="표준 3 6 2 10" xfId="41445"/>
    <cellStyle name="표준 3 6 2 2" xfId="41446"/>
    <cellStyle name="표준 3 6 2 2 2" xfId="41447"/>
    <cellStyle name="표준 3 6 2 2 2 2" xfId="41448"/>
    <cellStyle name="표준 3 6 2 2 2 2 2" xfId="41449"/>
    <cellStyle name="표준 3 6 2 2 2 2 2 2" xfId="41450"/>
    <cellStyle name="표준 3 6 2 2 2 2 2 3" xfId="41451"/>
    <cellStyle name="표준 3 6 2 2 2 2 3" xfId="41452"/>
    <cellStyle name="표준 3 6 2 2 2 2 4" xfId="41453"/>
    <cellStyle name="표준 3 6 2 2 2 3" xfId="41454"/>
    <cellStyle name="표준 3 6 2 2 2 3 2" xfId="41455"/>
    <cellStyle name="표준 3 6 2 2 2 3 3" xfId="41456"/>
    <cellStyle name="표준 3 6 2 2 2 4" xfId="41457"/>
    <cellStyle name="표준 3 6 2 2 2 5" xfId="41458"/>
    <cellStyle name="표준 3 6 2 2 3" xfId="41459"/>
    <cellStyle name="표준 3 6 2 2 3 2" xfId="41460"/>
    <cellStyle name="표준 3 6 2 2 3 2 2" xfId="41461"/>
    <cellStyle name="표준 3 6 2 2 3 2 2 2" xfId="41462"/>
    <cellStyle name="표준 3 6 2 2 3 2 2 3" xfId="41463"/>
    <cellStyle name="표준 3 6 2 2 3 2 3" xfId="41464"/>
    <cellStyle name="표준 3 6 2 2 3 2 4" xfId="41465"/>
    <cellStyle name="표준 3 6 2 2 3 3" xfId="41466"/>
    <cellStyle name="표준 3 6 2 2 3 3 2" xfId="41467"/>
    <cellStyle name="표준 3 6 2 2 3 3 3" xfId="41468"/>
    <cellStyle name="표준 3 6 2 2 3 4" xfId="41469"/>
    <cellStyle name="표준 3 6 2 2 3 5" xfId="41470"/>
    <cellStyle name="표준 3 6 2 2 4" xfId="41471"/>
    <cellStyle name="표준 3 6 2 2 4 2" xfId="41472"/>
    <cellStyle name="표준 3 6 2 2 4 2 2" xfId="41473"/>
    <cellStyle name="표준 3 6 2 2 4 2 3" xfId="41474"/>
    <cellStyle name="표준 3 6 2 2 4 3" xfId="41475"/>
    <cellStyle name="표준 3 6 2 2 4 4" xfId="41476"/>
    <cellStyle name="표준 3 6 2 2 5" xfId="41477"/>
    <cellStyle name="표준 3 6 2 2 5 2" xfId="41478"/>
    <cellStyle name="표준 3 6 2 2 5 3" xfId="41479"/>
    <cellStyle name="표준 3 6 2 2 6" xfId="41480"/>
    <cellStyle name="표준 3 6 2 2 7" xfId="41481"/>
    <cellStyle name="표준 3 6 2 3" xfId="41482"/>
    <cellStyle name="표준 3 6 2 3 2" xfId="41483"/>
    <cellStyle name="표준 3 6 2 3 2 2" xfId="41484"/>
    <cellStyle name="표준 3 6 2 3 2 2 2" xfId="41485"/>
    <cellStyle name="표준 3 6 2 3 2 2 2 2" xfId="41486"/>
    <cellStyle name="표준 3 6 2 3 2 2 2 3" xfId="41487"/>
    <cellStyle name="표준 3 6 2 3 2 2 3" xfId="41488"/>
    <cellStyle name="표준 3 6 2 3 2 2 4" xfId="41489"/>
    <cellStyle name="표준 3 6 2 3 2 3" xfId="41490"/>
    <cellStyle name="표준 3 6 2 3 2 3 2" xfId="41491"/>
    <cellStyle name="표준 3 6 2 3 2 3 3" xfId="41492"/>
    <cellStyle name="표준 3 6 2 3 2 4" xfId="41493"/>
    <cellStyle name="표준 3 6 2 3 2 5" xfId="41494"/>
    <cellStyle name="표준 3 6 2 3 3" xfId="41495"/>
    <cellStyle name="표준 3 6 2 3 3 2" xfId="41496"/>
    <cellStyle name="표준 3 6 2 3 3 2 2" xfId="41497"/>
    <cellStyle name="표준 3 6 2 3 3 2 2 2" xfId="41498"/>
    <cellStyle name="표준 3 6 2 3 3 2 2 3" xfId="41499"/>
    <cellStyle name="표준 3 6 2 3 3 2 3" xfId="41500"/>
    <cellStyle name="표준 3 6 2 3 3 2 4" xfId="41501"/>
    <cellStyle name="표준 3 6 2 3 3 3" xfId="41502"/>
    <cellStyle name="표준 3 6 2 3 3 3 2" xfId="41503"/>
    <cellStyle name="표준 3 6 2 3 3 3 3" xfId="41504"/>
    <cellStyle name="표준 3 6 2 3 3 4" xfId="41505"/>
    <cellStyle name="표준 3 6 2 3 3 5" xfId="41506"/>
    <cellStyle name="표준 3 6 2 3 4" xfId="41507"/>
    <cellStyle name="표준 3 6 2 3 4 2" xfId="41508"/>
    <cellStyle name="표준 3 6 2 3 4 2 2" xfId="41509"/>
    <cellStyle name="표준 3 6 2 3 4 2 3" xfId="41510"/>
    <cellStyle name="표준 3 6 2 3 4 3" xfId="41511"/>
    <cellStyle name="표준 3 6 2 3 4 4" xfId="41512"/>
    <cellStyle name="표준 3 6 2 3 5" xfId="41513"/>
    <cellStyle name="표준 3 6 2 3 5 2" xfId="41514"/>
    <cellStyle name="표준 3 6 2 3 5 3" xfId="41515"/>
    <cellStyle name="표준 3 6 2 3 6" xfId="41516"/>
    <cellStyle name="표준 3 6 2 3 7" xfId="41517"/>
    <cellStyle name="표준 3 6 2 4" xfId="41518"/>
    <cellStyle name="표준 3 6 2 4 2" xfId="41519"/>
    <cellStyle name="표준 3 6 2 4 2 2" xfId="41520"/>
    <cellStyle name="표준 3 6 2 4 2 2 2" xfId="41521"/>
    <cellStyle name="표준 3 6 2 4 2 2 3" xfId="41522"/>
    <cellStyle name="표준 3 6 2 4 2 3" xfId="41523"/>
    <cellStyle name="표준 3 6 2 4 2 4" xfId="41524"/>
    <cellStyle name="표준 3 6 2 4 3" xfId="41525"/>
    <cellStyle name="표준 3 6 2 4 3 2" xfId="41526"/>
    <cellStyle name="표준 3 6 2 4 3 3" xfId="41527"/>
    <cellStyle name="표준 3 6 2 4 4" xfId="41528"/>
    <cellStyle name="표준 3 6 2 4 5" xfId="41529"/>
    <cellStyle name="표준 3 6 2 5" xfId="41530"/>
    <cellStyle name="표준 3 6 2 5 2" xfId="41531"/>
    <cellStyle name="표준 3 6 2 5 2 2" xfId="41532"/>
    <cellStyle name="표준 3 6 2 5 2 2 2" xfId="41533"/>
    <cellStyle name="표준 3 6 2 5 2 2 3" xfId="41534"/>
    <cellStyle name="표준 3 6 2 5 2 3" xfId="41535"/>
    <cellStyle name="표준 3 6 2 5 2 4" xfId="41536"/>
    <cellStyle name="표준 3 6 2 5 3" xfId="41537"/>
    <cellStyle name="표준 3 6 2 5 3 2" xfId="41538"/>
    <cellStyle name="표준 3 6 2 5 3 3" xfId="41539"/>
    <cellStyle name="표준 3 6 2 5 4" xfId="41540"/>
    <cellStyle name="표준 3 6 2 5 5" xfId="41541"/>
    <cellStyle name="표준 3 6 2 6" xfId="41542"/>
    <cellStyle name="표준 3 6 2 6 2" xfId="41543"/>
    <cellStyle name="표준 3 6 2 6 2 2" xfId="41544"/>
    <cellStyle name="표준 3 6 2 6 2 2 2" xfId="41545"/>
    <cellStyle name="표준 3 6 2 6 2 2 3" xfId="41546"/>
    <cellStyle name="표준 3 6 2 6 2 3" xfId="41547"/>
    <cellStyle name="표준 3 6 2 6 2 4" xfId="41548"/>
    <cellStyle name="표준 3 6 2 6 3" xfId="41549"/>
    <cellStyle name="표준 3 6 2 6 3 2" xfId="41550"/>
    <cellStyle name="표준 3 6 2 6 3 3" xfId="41551"/>
    <cellStyle name="표준 3 6 2 6 4" xfId="41552"/>
    <cellStyle name="표준 3 6 2 6 5" xfId="41553"/>
    <cellStyle name="표준 3 6 2 7" xfId="41554"/>
    <cellStyle name="표준 3 6 2 7 2" xfId="41555"/>
    <cellStyle name="표준 3 6 2 7 2 2" xfId="41556"/>
    <cellStyle name="표준 3 6 2 7 2 3" xfId="41557"/>
    <cellStyle name="표준 3 6 2 7 3" xfId="41558"/>
    <cellStyle name="표준 3 6 2 7 4" xfId="41559"/>
    <cellStyle name="표준 3 6 2 8" xfId="41560"/>
    <cellStyle name="표준 3 6 2 8 2" xfId="41561"/>
    <cellStyle name="표준 3 6 2 8 3" xfId="41562"/>
    <cellStyle name="표준 3 6 2 9" xfId="41563"/>
    <cellStyle name="표준 3 6 3" xfId="41564"/>
    <cellStyle name="표준 3 6 3 10" xfId="41565"/>
    <cellStyle name="표준 3 6 3 2" xfId="41566"/>
    <cellStyle name="표준 3 6 3 2 2" xfId="41567"/>
    <cellStyle name="표준 3 6 3 2 2 2" xfId="41568"/>
    <cellStyle name="표준 3 6 3 2 2 2 2" xfId="41569"/>
    <cellStyle name="표준 3 6 3 2 2 2 2 2" xfId="41570"/>
    <cellStyle name="표준 3 6 3 2 2 2 2 3" xfId="41571"/>
    <cellStyle name="표준 3 6 3 2 2 2 3" xfId="41572"/>
    <cellStyle name="표준 3 6 3 2 2 2 4" xfId="41573"/>
    <cellStyle name="표준 3 6 3 2 2 3" xfId="41574"/>
    <cellStyle name="표준 3 6 3 2 2 3 2" xfId="41575"/>
    <cellStyle name="표준 3 6 3 2 2 3 3" xfId="41576"/>
    <cellStyle name="표준 3 6 3 2 2 4" xfId="41577"/>
    <cellStyle name="표준 3 6 3 2 2 5" xfId="41578"/>
    <cellStyle name="표준 3 6 3 2 3" xfId="41579"/>
    <cellStyle name="표준 3 6 3 2 3 2" xfId="41580"/>
    <cellStyle name="표준 3 6 3 2 3 2 2" xfId="41581"/>
    <cellStyle name="표준 3 6 3 2 3 2 2 2" xfId="41582"/>
    <cellStyle name="표준 3 6 3 2 3 2 2 3" xfId="41583"/>
    <cellStyle name="표준 3 6 3 2 3 2 3" xfId="41584"/>
    <cellStyle name="표준 3 6 3 2 3 2 4" xfId="41585"/>
    <cellStyle name="표준 3 6 3 2 3 3" xfId="41586"/>
    <cellStyle name="표준 3 6 3 2 3 3 2" xfId="41587"/>
    <cellStyle name="표준 3 6 3 2 3 3 3" xfId="41588"/>
    <cellStyle name="표준 3 6 3 2 3 4" xfId="41589"/>
    <cellStyle name="표준 3 6 3 2 3 5" xfId="41590"/>
    <cellStyle name="표준 3 6 3 2 4" xfId="41591"/>
    <cellStyle name="표준 3 6 3 2 4 2" xfId="41592"/>
    <cellStyle name="표준 3 6 3 2 4 2 2" xfId="41593"/>
    <cellStyle name="표준 3 6 3 2 4 2 3" xfId="41594"/>
    <cellStyle name="표준 3 6 3 2 4 3" xfId="41595"/>
    <cellStyle name="표준 3 6 3 2 4 4" xfId="41596"/>
    <cellStyle name="표준 3 6 3 2 5" xfId="41597"/>
    <cellStyle name="표준 3 6 3 2 5 2" xfId="41598"/>
    <cellStyle name="표준 3 6 3 2 5 3" xfId="41599"/>
    <cellStyle name="표준 3 6 3 2 6" xfId="41600"/>
    <cellStyle name="표준 3 6 3 2 7" xfId="41601"/>
    <cellStyle name="표준 3 6 3 3" xfId="41602"/>
    <cellStyle name="표준 3 6 3 3 2" xfId="41603"/>
    <cellStyle name="표준 3 6 3 3 2 2" xfId="41604"/>
    <cellStyle name="표준 3 6 3 3 2 2 2" xfId="41605"/>
    <cellStyle name="표준 3 6 3 3 2 2 2 2" xfId="41606"/>
    <cellStyle name="표준 3 6 3 3 2 2 2 3" xfId="41607"/>
    <cellStyle name="표준 3 6 3 3 2 2 3" xfId="41608"/>
    <cellStyle name="표준 3 6 3 3 2 2 4" xfId="41609"/>
    <cellStyle name="표준 3 6 3 3 2 3" xfId="41610"/>
    <cellStyle name="표준 3 6 3 3 2 3 2" xfId="41611"/>
    <cellStyle name="표준 3 6 3 3 2 3 3" xfId="41612"/>
    <cellStyle name="표준 3 6 3 3 2 4" xfId="41613"/>
    <cellStyle name="표준 3 6 3 3 2 5" xfId="41614"/>
    <cellStyle name="표준 3 6 3 3 3" xfId="41615"/>
    <cellStyle name="표준 3 6 3 3 3 2" xfId="41616"/>
    <cellStyle name="표준 3 6 3 3 3 2 2" xfId="41617"/>
    <cellStyle name="표준 3 6 3 3 3 2 2 2" xfId="41618"/>
    <cellStyle name="표준 3 6 3 3 3 2 2 3" xfId="41619"/>
    <cellStyle name="표준 3 6 3 3 3 2 3" xfId="41620"/>
    <cellStyle name="표준 3 6 3 3 3 2 4" xfId="41621"/>
    <cellStyle name="표준 3 6 3 3 3 3" xfId="41622"/>
    <cellStyle name="표준 3 6 3 3 3 3 2" xfId="41623"/>
    <cellStyle name="표준 3 6 3 3 3 3 3" xfId="41624"/>
    <cellStyle name="표준 3 6 3 3 3 4" xfId="41625"/>
    <cellStyle name="표준 3 6 3 3 3 5" xfId="41626"/>
    <cellStyle name="표준 3 6 3 3 4" xfId="41627"/>
    <cellStyle name="표준 3 6 3 3 4 2" xfId="41628"/>
    <cellStyle name="표준 3 6 3 3 4 2 2" xfId="41629"/>
    <cellStyle name="표준 3 6 3 3 4 2 3" xfId="41630"/>
    <cellStyle name="표준 3 6 3 3 4 3" xfId="41631"/>
    <cellStyle name="표준 3 6 3 3 4 4" xfId="41632"/>
    <cellStyle name="표준 3 6 3 3 5" xfId="41633"/>
    <cellStyle name="표준 3 6 3 3 5 2" xfId="41634"/>
    <cellStyle name="표준 3 6 3 3 5 3" xfId="41635"/>
    <cellStyle name="표준 3 6 3 3 6" xfId="41636"/>
    <cellStyle name="표준 3 6 3 3 7" xfId="41637"/>
    <cellStyle name="표준 3 6 3 4" xfId="41638"/>
    <cellStyle name="표준 3 6 3 4 2" xfId="41639"/>
    <cellStyle name="표준 3 6 3 4 2 2" xfId="41640"/>
    <cellStyle name="표준 3 6 3 4 2 2 2" xfId="41641"/>
    <cellStyle name="표준 3 6 3 4 2 2 3" xfId="41642"/>
    <cellStyle name="표준 3 6 3 4 2 3" xfId="41643"/>
    <cellStyle name="표준 3 6 3 4 2 4" xfId="41644"/>
    <cellStyle name="표준 3 6 3 4 3" xfId="41645"/>
    <cellStyle name="표준 3 6 3 4 3 2" xfId="41646"/>
    <cellStyle name="표준 3 6 3 4 3 3" xfId="41647"/>
    <cellStyle name="표준 3 6 3 4 4" xfId="41648"/>
    <cellStyle name="표준 3 6 3 4 5" xfId="41649"/>
    <cellStyle name="표준 3 6 3 5" xfId="41650"/>
    <cellStyle name="표준 3 6 3 5 2" xfId="41651"/>
    <cellStyle name="표준 3 6 3 5 2 2" xfId="41652"/>
    <cellStyle name="표준 3 6 3 5 2 2 2" xfId="41653"/>
    <cellStyle name="표준 3 6 3 5 2 2 3" xfId="41654"/>
    <cellStyle name="표준 3 6 3 5 2 3" xfId="41655"/>
    <cellStyle name="표준 3 6 3 5 2 4" xfId="41656"/>
    <cellStyle name="표준 3 6 3 5 3" xfId="41657"/>
    <cellStyle name="표준 3 6 3 5 3 2" xfId="41658"/>
    <cellStyle name="표준 3 6 3 5 3 3" xfId="41659"/>
    <cellStyle name="표준 3 6 3 5 4" xfId="41660"/>
    <cellStyle name="표준 3 6 3 5 5" xfId="41661"/>
    <cellStyle name="표준 3 6 3 6" xfId="41662"/>
    <cellStyle name="표준 3 6 3 6 2" xfId="41663"/>
    <cellStyle name="표준 3 6 3 6 2 2" xfId="41664"/>
    <cellStyle name="표준 3 6 3 6 2 2 2" xfId="41665"/>
    <cellStyle name="표준 3 6 3 6 2 2 3" xfId="41666"/>
    <cellStyle name="표준 3 6 3 6 2 3" xfId="41667"/>
    <cellStyle name="표준 3 6 3 6 2 4" xfId="41668"/>
    <cellStyle name="표준 3 6 3 6 3" xfId="41669"/>
    <cellStyle name="표준 3 6 3 6 3 2" xfId="41670"/>
    <cellStyle name="표준 3 6 3 6 3 3" xfId="41671"/>
    <cellStyle name="표준 3 6 3 6 4" xfId="41672"/>
    <cellStyle name="표준 3 6 3 6 5" xfId="41673"/>
    <cellStyle name="표준 3 6 3 7" xfId="41674"/>
    <cellStyle name="표준 3 6 3 7 2" xfId="41675"/>
    <cellStyle name="표준 3 6 3 7 2 2" xfId="41676"/>
    <cellStyle name="표준 3 6 3 7 2 3" xfId="41677"/>
    <cellStyle name="표준 3 6 3 7 3" xfId="41678"/>
    <cellStyle name="표준 3 6 3 7 4" xfId="41679"/>
    <cellStyle name="표준 3 6 3 8" xfId="41680"/>
    <cellStyle name="표준 3 6 3 8 2" xfId="41681"/>
    <cellStyle name="표준 3 6 3 8 3" xfId="41682"/>
    <cellStyle name="표준 3 6 3 9" xfId="41683"/>
    <cellStyle name="표준 3 6 4" xfId="41684"/>
    <cellStyle name="표준 3 6 4 10" xfId="41685"/>
    <cellStyle name="표준 3 6 4 2" xfId="41686"/>
    <cellStyle name="표준 3 6 4 2 2" xfId="41687"/>
    <cellStyle name="표준 3 6 4 2 2 2" xfId="41688"/>
    <cellStyle name="표준 3 6 4 2 2 2 2" xfId="41689"/>
    <cellStyle name="표준 3 6 4 2 2 2 2 2" xfId="41690"/>
    <cellStyle name="표준 3 6 4 2 2 2 2 3" xfId="41691"/>
    <cellStyle name="표준 3 6 4 2 2 2 3" xfId="41692"/>
    <cellStyle name="표준 3 6 4 2 2 2 4" xfId="41693"/>
    <cellStyle name="표준 3 6 4 2 2 3" xfId="41694"/>
    <cellStyle name="표준 3 6 4 2 2 3 2" xfId="41695"/>
    <cellStyle name="표준 3 6 4 2 2 3 3" xfId="41696"/>
    <cellStyle name="표준 3 6 4 2 2 4" xfId="41697"/>
    <cellStyle name="표준 3 6 4 2 2 5" xfId="41698"/>
    <cellStyle name="표준 3 6 4 2 3" xfId="41699"/>
    <cellStyle name="표준 3 6 4 2 3 2" xfId="41700"/>
    <cellStyle name="표준 3 6 4 2 3 2 2" xfId="41701"/>
    <cellStyle name="표준 3 6 4 2 3 2 2 2" xfId="41702"/>
    <cellStyle name="표준 3 6 4 2 3 2 2 3" xfId="41703"/>
    <cellStyle name="표준 3 6 4 2 3 2 3" xfId="41704"/>
    <cellStyle name="표준 3 6 4 2 3 2 4" xfId="41705"/>
    <cellStyle name="표준 3 6 4 2 3 3" xfId="41706"/>
    <cellStyle name="표준 3 6 4 2 3 3 2" xfId="41707"/>
    <cellStyle name="표준 3 6 4 2 3 3 3" xfId="41708"/>
    <cellStyle name="표준 3 6 4 2 3 4" xfId="41709"/>
    <cellStyle name="표준 3 6 4 2 3 5" xfId="41710"/>
    <cellStyle name="표준 3 6 4 2 4" xfId="41711"/>
    <cellStyle name="표준 3 6 4 2 4 2" xfId="41712"/>
    <cellStyle name="표준 3 6 4 2 4 2 2" xfId="41713"/>
    <cellStyle name="표준 3 6 4 2 4 2 3" xfId="41714"/>
    <cellStyle name="표준 3 6 4 2 4 3" xfId="41715"/>
    <cellStyle name="표준 3 6 4 2 4 4" xfId="41716"/>
    <cellStyle name="표준 3 6 4 2 5" xfId="41717"/>
    <cellStyle name="표준 3 6 4 2 5 2" xfId="41718"/>
    <cellStyle name="표준 3 6 4 2 5 3" xfId="41719"/>
    <cellStyle name="표준 3 6 4 2 6" xfId="41720"/>
    <cellStyle name="표준 3 6 4 2 7" xfId="41721"/>
    <cellStyle name="표준 3 6 4 3" xfId="41722"/>
    <cellStyle name="표준 3 6 4 3 2" xfId="41723"/>
    <cellStyle name="표준 3 6 4 3 2 2" xfId="41724"/>
    <cellStyle name="표준 3 6 4 3 2 2 2" xfId="41725"/>
    <cellStyle name="표준 3 6 4 3 2 2 2 2" xfId="41726"/>
    <cellStyle name="표준 3 6 4 3 2 2 2 3" xfId="41727"/>
    <cellStyle name="표준 3 6 4 3 2 2 3" xfId="41728"/>
    <cellStyle name="표준 3 6 4 3 2 2 4" xfId="41729"/>
    <cellStyle name="표준 3 6 4 3 2 3" xfId="41730"/>
    <cellStyle name="표준 3 6 4 3 2 3 2" xfId="41731"/>
    <cellStyle name="표준 3 6 4 3 2 3 3" xfId="41732"/>
    <cellStyle name="표준 3 6 4 3 2 4" xfId="41733"/>
    <cellStyle name="표준 3 6 4 3 2 5" xfId="41734"/>
    <cellStyle name="표준 3 6 4 3 3" xfId="41735"/>
    <cellStyle name="표준 3 6 4 3 3 2" xfId="41736"/>
    <cellStyle name="표준 3 6 4 3 3 2 2" xfId="41737"/>
    <cellStyle name="표준 3 6 4 3 3 2 2 2" xfId="41738"/>
    <cellStyle name="표준 3 6 4 3 3 2 2 3" xfId="41739"/>
    <cellStyle name="표준 3 6 4 3 3 2 3" xfId="41740"/>
    <cellStyle name="표준 3 6 4 3 3 2 4" xfId="41741"/>
    <cellStyle name="표준 3 6 4 3 3 3" xfId="41742"/>
    <cellStyle name="표준 3 6 4 3 3 3 2" xfId="41743"/>
    <cellStyle name="표준 3 6 4 3 3 3 3" xfId="41744"/>
    <cellStyle name="표준 3 6 4 3 3 4" xfId="41745"/>
    <cellStyle name="표준 3 6 4 3 3 5" xfId="41746"/>
    <cellStyle name="표준 3 6 4 3 4" xfId="41747"/>
    <cellStyle name="표준 3 6 4 3 4 2" xfId="41748"/>
    <cellStyle name="표준 3 6 4 3 4 2 2" xfId="41749"/>
    <cellStyle name="표준 3 6 4 3 4 2 3" xfId="41750"/>
    <cellStyle name="표준 3 6 4 3 4 3" xfId="41751"/>
    <cellStyle name="표준 3 6 4 3 4 4" xfId="41752"/>
    <cellStyle name="표준 3 6 4 3 5" xfId="41753"/>
    <cellStyle name="표준 3 6 4 3 5 2" xfId="41754"/>
    <cellStyle name="표준 3 6 4 3 5 3" xfId="41755"/>
    <cellStyle name="표준 3 6 4 3 6" xfId="41756"/>
    <cellStyle name="표준 3 6 4 3 7" xfId="41757"/>
    <cellStyle name="표준 3 6 4 4" xfId="41758"/>
    <cellStyle name="표준 3 6 4 4 2" xfId="41759"/>
    <cellStyle name="표준 3 6 4 4 2 2" xfId="41760"/>
    <cellStyle name="표준 3 6 4 4 2 2 2" xfId="41761"/>
    <cellStyle name="표준 3 6 4 4 2 2 3" xfId="41762"/>
    <cellStyle name="표준 3 6 4 4 2 3" xfId="41763"/>
    <cellStyle name="표준 3 6 4 4 2 4" xfId="41764"/>
    <cellStyle name="표준 3 6 4 4 3" xfId="41765"/>
    <cellStyle name="표준 3 6 4 4 3 2" xfId="41766"/>
    <cellStyle name="표준 3 6 4 4 3 3" xfId="41767"/>
    <cellStyle name="표준 3 6 4 4 4" xfId="41768"/>
    <cellStyle name="표준 3 6 4 4 5" xfId="41769"/>
    <cellStyle name="표준 3 6 4 5" xfId="41770"/>
    <cellStyle name="표준 3 6 4 5 2" xfId="41771"/>
    <cellStyle name="표준 3 6 4 5 2 2" xfId="41772"/>
    <cellStyle name="표준 3 6 4 5 2 2 2" xfId="41773"/>
    <cellStyle name="표준 3 6 4 5 2 2 3" xfId="41774"/>
    <cellStyle name="표준 3 6 4 5 2 3" xfId="41775"/>
    <cellStyle name="표준 3 6 4 5 2 4" xfId="41776"/>
    <cellStyle name="표준 3 6 4 5 3" xfId="41777"/>
    <cellStyle name="표준 3 6 4 5 3 2" xfId="41778"/>
    <cellStyle name="표준 3 6 4 5 3 3" xfId="41779"/>
    <cellStyle name="표준 3 6 4 5 4" xfId="41780"/>
    <cellStyle name="표준 3 6 4 5 5" xfId="41781"/>
    <cellStyle name="표준 3 6 4 6" xfId="41782"/>
    <cellStyle name="표준 3 6 4 6 2" xfId="41783"/>
    <cellStyle name="표준 3 6 4 6 2 2" xfId="41784"/>
    <cellStyle name="표준 3 6 4 6 2 2 2" xfId="41785"/>
    <cellStyle name="표준 3 6 4 6 2 2 3" xfId="41786"/>
    <cellStyle name="표준 3 6 4 6 2 3" xfId="41787"/>
    <cellStyle name="표준 3 6 4 6 2 4" xfId="41788"/>
    <cellStyle name="표준 3 6 4 6 3" xfId="41789"/>
    <cellStyle name="표준 3 6 4 6 3 2" xfId="41790"/>
    <cellStyle name="표준 3 6 4 6 3 3" xfId="41791"/>
    <cellStyle name="표준 3 6 4 6 4" xfId="41792"/>
    <cellStyle name="표준 3 6 4 6 5" xfId="41793"/>
    <cellStyle name="표준 3 6 4 7" xfId="41794"/>
    <cellStyle name="표준 3 6 4 7 2" xfId="41795"/>
    <cellStyle name="표준 3 6 4 7 2 2" xfId="41796"/>
    <cellStyle name="표준 3 6 4 7 2 3" xfId="41797"/>
    <cellStyle name="표준 3 6 4 7 3" xfId="41798"/>
    <cellStyle name="표준 3 6 4 7 4" xfId="41799"/>
    <cellStyle name="표준 3 6 4 8" xfId="41800"/>
    <cellStyle name="표준 3 6 4 8 2" xfId="41801"/>
    <cellStyle name="표준 3 6 4 8 3" xfId="41802"/>
    <cellStyle name="표준 3 6 4 9" xfId="41803"/>
    <cellStyle name="표준 3 6 5" xfId="41804"/>
    <cellStyle name="표준 3 6 5 2" xfId="41805"/>
    <cellStyle name="표준 3 6 5 2 2" xfId="41806"/>
    <cellStyle name="표준 3 6 5 2 2 2" xfId="41807"/>
    <cellStyle name="표준 3 6 5 2 2 2 2" xfId="41808"/>
    <cellStyle name="표준 3 6 5 2 2 2 3" xfId="41809"/>
    <cellStyle name="표준 3 6 5 2 2 3" xfId="41810"/>
    <cellStyle name="표준 3 6 5 2 2 4" xfId="41811"/>
    <cellStyle name="표준 3 6 5 2 3" xfId="41812"/>
    <cellStyle name="표준 3 6 5 2 3 2" xfId="41813"/>
    <cellStyle name="표준 3 6 5 2 3 3" xfId="41814"/>
    <cellStyle name="표준 3 6 5 2 4" xfId="41815"/>
    <cellStyle name="표준 3 6 5 2 5" xfId="41816"/>
    <cellStyle name="표준 3 6 5 3" xfId="41817"/>
    <cellStyle name="표준 3 6 5 3 2" xfId="41818"/>
    <cellStyle name="표준 3 6 5 3 2 2" xfId="41819"/>
    <cellStyle name="표준 3 6 5 3 2 2 2" xfId="41820"/>
    <cellStyle name="표준 3 6 5 3 2 2 3" xfId="41821"/>
    <cellStyle name="표준 3 6 5 3 2 3" xfId="41822"/>
    <cellStyle name="표준 3 6 5 3 2 4" xfId="41823"/>
    <cellStyle name="표준 3 6 5 3 3" xfId="41824"/>
    <cellStyle name="표준 3 6 5 3 3 2" xfId="41825"/>
    <cellStyle name="표준 3 6 5 3 3 3" xfId="41826"/>
    <cellStyle name="표준 3 6 5 3 4" xfId="41827"/>
    <cellStyle name="표준 3 6 5 3 5" xfId="41828"/>
    <cellStyle name="표준 3 6 5 4" xfId="41829"/>
    <cellStyle name="표준 3 6 5 4 2" xfId="41830"/>
    <cellStyle name="표준 3 6 5 4 2 2" xfId="41831"/>
    <cellStyle name="표준 3 6 5 4 2 3" xfId="41832"/>
    <cellStyle name="표준 3 6 5 4 3" xfId="41833"/>
    <cellStyle name="표준 3 6 5 4 4" xfId="41834"/>
    <cellStyle name="표준 3 6 5 5" xfId="41835"/>
    <cellStyle name="표준 3 6 5 5 2" xfId="41836"/>
    <cellStyle name="표준 3 6 5 5 3" xfId="41837"/>
    <cellStyle name="표준 3 6 5 6" xfId="41838"/>
    <cellStyle name="표준 3 6 5 7" xfId="41839"/>
    <cellStyle name="표준 3 6 6" xfId="41840"/>
    <cellStyle name="표준 3 6 6 2" xfId="41841"/>
    <cellStyle name="표준 3 6 6 2 2" xfId="41842"/>
    <cellStyle name="표준 3 6 6 2 2 2" xfId="41843"/>
    <cellStyle name="표준 3 6 6 2 2 2 2" xfId="41844"/>
    <cellStyle name="표준 3 6 6 2 2 2 3" xfId="41845"/>
    <cellStyle name="표준 3 6 6 2 2 3" xfId="41846"/>
    <cellStyle name="표준 3 6 6 2 2 4" xfId="41847"/>
    <cellStyle name="표준 3 6 6 2 3" xfId="41848"/>
    <cellStyle name="표준 3 6 6 2 3 2" xfId="41849"/>
    <cellStyle name="표준 3 6 6 2 3 3" xfId="41850"/>
    <cellStyle name="표준 3 6 6 2 4" xfId="41851"/>
    <cellStyle name="표준 3 6 6 2 5" xfId="41852"/>
    <cellStyle name="표준 3 6 6 3" xfId="41853"/>
    <cellStyle name="표준 3 6 6 3 2" xfId="41854"/>
    <cellStyle name="표준 3 6 6 3 2 2" xfId="41855"/>
    <cellStyle name="표준 3 6 6 3 2 2 2" xfId="41856"/>
    <cellStyle name="표준 3 6 6 3 2 2 3" xfId="41857"/>
    <cellStyle name="표준 3 6 6 3 2 3" xfId="41858"/>
    <cellStyle name="표준 3 6 6 3 2 4" xfId="41859"/>
    <cellStyle name="표준 3 6 6 3 3" xfId="41860"/>
    <cellStyle name="표준 3 6 6 3 3 2" xfId="41861"/>
    <cellStyle name="표준 3 6 6 3 3 3" xfId="41862"/>
    <cellStyle name="표준 3 6 6 3 4" xfId="41863"/>
    <cellStyle name="표준 3 6 6 3 5" xfId="41864"/>
    <cellStyle name="표준 3 6 6 4" xfId="41865"/>
    <cellStyle name="표준 3 6 6 4 2" xfId="41866"/>
    <cellStyle name="표준 3 6 6 4 2 2" xfId="41867"/>
    <cellStyle name="표준 3 6 6 4 2 3" xfId="41868"/>
    <cellStyle name="표준 3 6 6 4 3" xfId="41869"/>
    <cellStyle name="표준 3 6 6 4 4" xfId="41870"/>
    <cellStyle name="표준 3 6 6 5" xfId="41871"/>
    <cellStyle name="표준 3 6 6 5 2" xfId="41872"/>
    <cellStyle name="표준 3 6 6 5 3" xfId="41873"/>
    <cellStyle name="표준 3 6 6 6" xfId="41874"/>
    <cellStyle name="표준 3 6 6 7" xfId="41875"/>
    <cellStyle name="표준 3 6 7" xfId="41876"/>
    <cellStyle name="표준 3 6 7 2" xfId="41877"/>
    <cellStyle name="표준 3 6 7 2 2" xfId="41878"/>
    <cellStyle name="표준 3 6 7 2 2 2" xfId="41879"/>
    <cellStyle name="표준 3 6 7 2 2 3" xfId="41880"/>
    <cellStyle name="표준 3 6 7 2 3" xfId="41881"/>
    <cellStyle name="표준 3 6 7 2 4" xfId="41882"/>
    <cellStyle name="표준 3 6 7 3" xfId="41883"/>
    <cellStyle name="표준 3 6 7 3 2" xfId="41884"/>
    <cellStyle name="표준 3 6 7 3 3" xfId="41885"/>
    <cellStyle name="표준 3 6 7 4" xfId="41886"/>
    <cellStyle name="표준 3 6 7 5" xfId="41887"/>
    <cellStyle name="표준 3 6 8" xfId="41888"/>
    <cellStyle name="표준 3 6 8 2" xfId="41889"/>
    <cellStyle name="표준 3 6 8 2 2" xfId="41890"/>
    <cellStyle name="표준 3 6 8 2 2 2" xfId="41891"/>
    <cellStyle name="표준 3 6 8 2 2 3" xfId="41892"/>
    <cellStyle name="표준 3 6 8 2 3" xfId="41893"/>
    <cellStyle name="표준 3 6 8 2 4" xfId="41894"/>
    <cellStyle name="표준 3 6 8 3" xfId="41895"/>
    <cellStyle name="표준 3 6 8 3 2" xfId="41896"/>
    <cellStyle name="표준 3 6 8 3 3" xfId="41897"/>
    <cellStyle name="표준 3 6 8 4" xfId="41898"/>
    <cellStyle name="표준 3 6 8 5" xfId="41899"/>
    <cellStyle name="표준 3 6 9" xfId="41900"/>
    <cellStyle name="표준 3 6 9 2" xfId="41901"/>
    <cellStyle name="표준 3 6 9 2 2" xfId="41902"/>
    <cellStyle name="표준 3 6 9 2 2 2" xfId="41903"/>
    <cellStyle name="표준 3 6 9 2 2 3" xfId="41904"/>
    <cellStyle name="표준 3 6 9 2 3" xfId="41905"/>
    <cellStyle name="표준 3 6 9 2 4" xfId="41906"/>
    <cellStyle name="표준 3 6 9 3" xfId="41907"/>
    <cellStyle name="표준 3 6 9 3 2" xfId="41908"/>
    <cellStyle name="표준 3 6 9 3 3" xfId="41909"/>
    <cellStyle name="표준 3 6 9 4" xfId="41910"/>
    <cellStyle name="표준 3 6 9 5" xfId="41911"/>
    <cellStyle name="표준 3 7" xfId="41912"/>
    <cellStyle name="표준 3 7 10" xfId="41913"/>
    <cellStyle name="표준 3 7 11" xfId="41914"/>
    <cellStyle name="표준 3 7 2" xfId="41915"/>
    <cellStyle name="표준 3 7 2 2" xfId="41916"/>
    <cellStyle name="표준 3 7 2 2 2" xfId="41917"/>
    <cellStyle name="표준 3 7 2 2 2 2" xfId="41918"/>
    <cellStyle name="표준 3 7 2 2 2 2 2" xfId="41919"/>
    <cellStyle name="표준 3 7 2 2 2 2 3" xfId="41920"/>
    <cellStyle name="표준 3 7 2 2 2 3" xfId="41921"/>
    <cellStyle name="표준 3 7 2 2 2 4" xfId="41922"/>
    <cellStyle name="표준 3 7 2 2 3" xfId="41923"/>
    <cellStyle name="표준 3 7 2 2 3 2" xfId="41924"/>
    <cellStyle name="표준 3 7 2 2 3 3" xfId="41925"/>
    <cellStyle name="표준 3 7 2 2 4" xfId="41926"/>
    <cellStyle name="표준 3 7 2 2 5" xfId="41927"/>
    <cellStyle name="표준 3 7 2 3" xfId="41928"/>
    <cellStyle name="표준 3 7 2 3 2" xfId="41929"/>
    <cellStyle name="표준 3 7 2 3 2 2" xfId="41930"/>
    <cellStyle name="표준 3 7 2 3 2 2 2" xfId="41931"/>
    <cellStyle name="표준 3 7 2 3 2 2 3" xfId="41932"/>
    <cellStyle name="표준 3 7 2 3 2 3" xfId="41933"/>
    <cellStyle name="표준 3 7 2 3 2 4" xfId="41934"/>
    <cellStyle name="표준 3 7 2 3 3" xfId="41935"/>
    <cellStyle name="표준 3 7 2 3 3 2" xfId="41936"/>
    <cellStyle name="표준 3 7 2 3 3 3" xfId="41937"/>
    <cellStyle name="표준 3 7 2 3 4" xfId="41938"/>
    <cellStyle name="표준 3 7 2 3 5" xfId="41939"/>
    <cellStyle name="표준 3 7 2 4" xfId="41940"/>
    <cellStyle name="표준 3 7 2 4 2" xfId="41941"/>
    <cellStyle name="표준 3 7 2 4 2 2" xfId="41942"/>
    <cellStyle name="표준 3 7 2 4 2 3" xfId="41943"/>
    <cellStyle name="표준 3 7 2 4 3" xfId="41944"/>
    <cellStyle name="표준 3 7 2 4 4" xfId="41945"/>
    <cellStyle name="표준 3 7 2 5" xfId="41946"/>
    <cellStyle name="표준 3 7 2 5 2" xfId="41947"/>
    <cellStyle name="표준 3 7 2 5 3" xfId="41948"/>
    <cellStyle name="표준 3 7 2 6" xfId="41949"/>
    <cellStyle name="표준 3 7 2 7" xfId="41950"/>
    <cellStyle name="표준 3 7 3" xfId="41951"/>
    <cellStyle name="표준 3 7 3 2" xfId="41952"/>
    <cellStyle name="표준 3 7 3 2 2" xfId="41953"/>
    <cellStyle name="표준 3 7 3 2 2 2" xfId="41954"/>
    <cellStyle name="표준 3 7 3 2 2 2 2" xfId="41955"/>
    <cellStyle name="표준 3 7 3 2 2 2 3" xfId="41956"/>
    <cellStyle name="표준 3 7 3 2 2 3" xfId="41957"/>
    <cellStyle name="표준 3 7 3 2 2 4" xfId="41958"/>
    <cellStyle name="표준 3 7 3 2 3" xfId="41959"/>
    <cellStyle name="표준 3 7 3 2 3 2" xfId="41960"/>
    <cellStyle name="표준 3 7 3 2 3 3" xfId="41961"/>
    <cellStyle name="표준 3 7 3 2 4" xfId="41962"/>
    <cellStyle name="표준 3 7 3 2 5" xfId="41963"/>
    <cellStyle name="표준 3 7 3 3" xfId="41964"/>
    <cellStyle name="표준 3 7 3 3 2" xfId="41965"/>
    <cellStyle name="표준 3 7 3 3 2 2" xfId="41966"/>
    <cellStyle name="표준 3 7 3 3 2 2 2" xfId="41967"/>
    <cellStyle name="표준 3 7 3 3 2 2 3" xfId="41968"/>
    <cellStyle name="표준 3 7 3 3 2 3" xfId="41969"/>
    <cellStyle name="표준 3 7 3 3 2 4" xfId="41970"/>
    <cellStyle name="표준 3 7 3 3 3" xfId="41971"/>
    <cellStyle name="표준 3 7 3 3 3 2" xfId="41972"/>
    <cellStyle name="표준 3 7 3 3 3 3" xfId="41973"/>
    <cellStyle name="표준 3 7 3 3 4" xfId="41974"/>
    <cellStyle name="표준 3 7 3 3 5" xfId="41975"/>
    <cellStyle name="표준 3 7 3 4" xfId="41976"/>
    <cellStyle name="표준 3 7 3 4 2" xfId="41977"/>
    <cellStyle name="표준 3 7 3 4 2 2" xfId="41978"/>
    <cellStyle name="표준 3 7 3 4 2 3" xfId="41979"/>
    <cellStyle name="표준 3 7 3 4 3" xfId="41980"/>
    <cellStyle name="표준 3 7 3 4 4" xfId="41981"/>
    <cellStyle name="표준 3 7 3 5" xfId="41982"/>
    <cellStyle name="표준 3 7 3 5 2" xfId="41983"/>
    <cellStyle name="표준 3 7 3 5 3" xfId="41984"/>
    <cellStyle name="표준 3 7 3 6" xfId="41985"/>
    <cellStyle name="표준 3 7 3 7" xfId="41986"/>
    <cellStyle name="표준 3 7 4" xfId="41987"/>
    <cellStyle name="표준 3 7 4 2" xfId="41988"/>
    <cellStyle name="표준 3 7 4 2 2" xfId="41989"/>
    <cellStyle name="표준 3 7 4 2 2 2" xfId="41990"/>
    <cellStyle name="표준 3 7 4 2 2 3" xfId="41991"/>
    <cellStyle name="표준 3 7 4 2 3" xfId="41992"/>
    <cellStyle name="표준 3 7 4 2 4" xfId="41993"/>
    <cellStyle name="표준 3 7 4 3" xfId="41994"/>
    <cellStyle name="표준 3 7 4 3 2" xfId="41995"/>
    <cellStyle name="표준 3 7 4 3 3" xfId="41996"/>
    <cellStyle name="표준 3 7 4 4" xfId="41997"/>
    <cellStyle name="표준 3 7 4 5" xfId="41998"/>
    <cellStyle name="표준 3 7 5" xfId="41999"/>
    <cellStyle name="표준 3 7 5 2" xfId="42000"/>
    <cellStyle name="표준 3 7 5 2 2" xfId="42001"/>
    <cellStyle name="표준 3 7 5 2 2 2" xfId="42002"/>
    <cellStyle name="표준 3 7 5 2 2 3" xfId="42003"/>
    <cellStyle name="표준 3 7 5 2 3" xfId="42004"/>
    <cellStyle name="표준 3 7 5 2 4" xfId="42005"/>
    <cellStyle name="표준 3 7 5 3" xfId="42006"/>
    <cellStyle name="표준 3 7 5 3 2" xfId="42007"/>
    <cellStyle name="표준 3 7 5 3 3" xfId="42008"/>
    <cellStyle name="표준 3 7 5 4" xfId="42009"/>
    <cellStyle name="표준 3 7 5 5" xfId="42010"/>
    <cellStyle name="표준 3 7 6" xfId="42011"/>
    <cellStyle name="표준 3 7 6 2" xfId="42012"/>
    <cellStyle name="표준 3 7 6 2 2" xfId="42013"/>
    <cellStyle name="표준 3 7 6 2 2 2" xfId="42014"/>
    <cellStyle name="표준 3 7 6 2 2 3" xfId="42015"/>
    <cellStyle name="표준 3 7 6 2 3" xfId="42016"/>
    <cellStyle name="표준 3 7 6 2 4" xfId="42017"/>
    <cellStyle name="표준 3 7 6 3" xfId="42018"/>
    <cellStyle name="표준 3 7 6 3 2" xfId="42019"/>
    <cellStyle name="표준 3 7 6 3 3" xfId="42020"/>
    <cellStyle name="표준 3 7 6 4" xfId="42021"/>
    <cellStyle name="표준 3 7 6 5" xfId="42022"/>
    <cellStyle name="표준 3 7 7" xfId="42023"/>
    <cellStyle name="표준 3 7 7 2" xfId="42024"/>
    <cellStyle name="표준 3 7 7 2 2" xfId="42025"/>
    <cellStyle name="표준 3 7 7 2 3" xfId="42026"/>
    <cellStyle name="표준 3 7 7 3" xfId="42027"/>
    <cellStyle name="표준 3 7 7 4" xfId="42028"/>
    <cellStyle name="표준 3 7 8" xfId="42029"/>
    <cellStyle name="표준 3 7 8 2" xfId="42030"/>
    <cellStyle name="표준 3 7 8 3" xfId="42031"/>
    <cellStyle name="표준 3 7 9" xfId="42032"/>
    <cellStyle name="표준 3 8" xfId="42033"/>
    <cellStyle name="표준 3 8 10" xfId="42034"/>
    <cellStyle name="표준 3 8 11" xfId="42035"/>
    <cellStyle name="표준 3 8 2" xfId="42036"/>
    <cellStyle name="표준 3 8 2 2" xfId="42037"/>
    <cellStyle name="표준 3 8 2 2 2" xfId="42038"/>
    <cellStyle name="표준 3 8 2 2 2 2" xfId="42039"/>
    <cellStyle name="표준 3 8 2 2 2 2 2" xfId="42040"/>
    <cellStyle name="표준 3 8 2 2 2 2 3" xfId="42041"/>
    <cellStyle name="표준 3 8 2 2 2 3" xfId="42042"/>
    <cellStyle name="표준 3 8 2 2 2 4" xfId="42043"/>
    <cellStyle name="표준 3 8 2 2 3" xfId="42044"/>
    <cellStyle name="표준 3 8 2 2 3 2" xfId="42045"/>
    <cellStyle name="표준 3 8 2 2 3 3" xfId="42046"/>
    <cellStyle name="표준 3 8 2 2 4" xfId="42047"/>
    <cellStyle name="표준 3 8 2 2 5" xfId="42048"/>
    <cellStyle name="표준 3 8 2 3" xfId="42049"/>
    <cellStyle name="표준 3 8 2 3 2" xfId="42050"/>
    <cellStyle name="표준 3 8 2 3 2 2" xfId="42051"/>
    <cellStyle name="표준 3 8 2 3 2 2 2" xfId="42052"/>
    <cellStyle name="표준 3 8 2 3 2 2 3" xfId="42053"/>
    <cellStyle name="표준 3 8 2 3 2 3" xfId="42054"/>
    <cellStyle name="표준 3 8 2 3 2 4" xfId="42055"/>
    <cellStyle name="표준 3 8 2 3 3" xfId="42056"/>
    <cellStyle name="표준 3 8 2 3 3 2" xfId="42057"/>
    <cellStyle name="표준 3 8 2 3 3 3" xfId="42058"/>
    <cellStyle name="표준 3 8 2 3 4" xfId="42059"/>
    <cellStyle name="표준 3 8 2 3 5" xfId="42060"/>
    <cellStyle name="표준 3 8 2 4" xfId="42061"/>
    <cellStyle name="표준 3 8 2 4 2" xfId="42062"/>
    <cellStyle name="표준 3 8 2 4 2 2" xfId="42063"/>
    <cellStyle name="표준 3 8 2 4 2 3" xfId="42064"/>
    <cellStyle name="표준 3 8 2 4 3" xfId="42065"/>
    <cellStyle name="표준 3 8 2 4 4" xfId="42066"/>
    <cellStyle name="표준 3 8 2 5" xfId="42067"/>
    <cellStyle name="표준 3 8 2 5 2" xfId="42068"/>
    <cellStyle name="표준 3 8 2 5 3" xfId="42069"/>
    <cellStyle name="표준 3 8 2 6" xfId="42070"/>
    <cellStyle name="표준 3 8 2 7" xfId="42071"/>
    <cellStyle name="표준 3 8 3" xfId="42072"/>
    <cellStyle name="표준 3 8 3 2" xfId="42073"/>
    <cellStyle name="표준 3 8 3 2 2" xfId="42074"/>
    <cellStyle name="표준 3 8 3 2 2 2" xfId="42075"/>
    <cellStyle name="표준 3 8 3 2 2 2 2" xfId="42076"/>
    <cellStyle name="표준 3 8 3 2 2 2 3" xfId="42077"/>
    <cellStyle name="표준 3 8 3 2 2 3" xfId="42078"/>
    <cellStyle name="표준 3 8 3 2 2 4" xfId="42079"/>
    <cellStyle name="표준 3 8 3 2 3" xfId="42080"/>
    <cellStyle name="표준 3 8 3 2 3 2" xfId="42081"/>
    <cellStyle name="표준 3 8 3 2 3 3" xfId="42082"/>
    <cellStyle name="표준 3 8 3 2 4" xfId="42083"/>
    <cellStyle name="표준 3 8 3 2 5" xfId="42084"/>
    <cellStyle name="표준 3 8 3 3" xfId="42085"/>
    <cellStyle name="표준 3 8 3 3 2" xfId="42086"/>
    <cellStyle name="표준 3 8 3 3 2 2" xfId="42087"/>
    <cellStyle name="표준 3 8 3 3 2 2 2" xfId="42088"/>
    <cellStyle name="표준 3 8 3 3 2 2 3" xfId="42089"/>
    <cellStyle name="표준 3 8 3 3 2 3" xfId="42090"/>
    <cellStyle name="표준 3 8 3 3 2 4" xfId="42091"/>
    <cellStyle name="표준 3 8 3 3 3" xfId="42092"/>
    <cellStyle name="표준 3 8 3 3 3 2" xfId="42093"/>
    <cellStyle name="표준 3 8 3 3 3 3" xfId="42094"/>
    <cellStyle name="표준 3 8 3 3 4" xfId="42095"/>
    <cellStyle name="표준 3 8 3 3 5" xfId="42096"/>
    <cellStyle name="표준 3 8 3 4" xfId="42097"/>
    <cellStyle name="표준 3 8 3 4 2" xfId="42098"/>
    <cellStyle name="표준 3 8 3 4 2 2" xfId="42099"/>
    <cellStyle name="표준 3 8 3 4 2 3" xfId="42100"/>
    <cellStyle name="표준 3 8 3 4 3" xfId="42101"/>
    <cellStyle name="표준 3 8 3 4 4" xfId="42102"/>
    <cellStyle name="표준 3 8 3 5" xfId="42103"/>
    <cellStyle name="표준 3 8 3 5 2" xfId="42104"/>
    <cellStyle name="표준 3 8 3 5 3" xfId="42105"/>
    <cellStyle name="표준 3 8 3 6" xfId="42106"/>
    <cellStyle name="표준 3 8 3 7" xfId="42107"/>
    <cellStyle name="표준 3 8 4" xfId="42108"/>
    <cellStyle name="표준 3 8 4 2" xfId="42109"/>
    <cellStyle name="표준 3 8 4 2 2" xfId="42110"/>
    <cellStyle name="표준 3 8 4 2 2 2" xfId="42111"/>
    <cellStyle name="표준 3 8 4 2 2 3" xfId="42112"/>
    <cellStyle name="표준 3 8 4 2 3" xfId="42113"/>
    <cellStyle name="표준 3 8 4 2 4" xfId="42114"/>
    <cellStyle name="표준 3 8 4 3" xfId="42115"/>
    <cellStyle name="표준 3 8 4 3 2" xfId="42116"/>
    <cellStyle name="표준 3 8 4 3 3" xfId="42117"/>
    <cellStyle name="표준 3 8 4 4" xfId="42118"/>
    <cellStyle name="표준 3 8 4 5" xfId="42119"/>
    <cellStyle name="표준 3 8 5" xfId="42120"/>
    <cellStyle name="표준 3 8 5 2" xfId="42121"/>
    <cellStyle name="표준 3 8 5 2 2" xfId="42122"/>
    <cellStyle name="표준 3 8 5 2 2 2" xfId="42123"/>
    <cellStyle name="표준 3 8 5 2 2 3" xfId="42124"/>
    <cellStyle name="표준 3 8 5 2 3" xfId="42125"/>
    <cellStyle name="표준 3 8 5 2 4" xfId="42126"/>
    <cellStyle name="표준 3 8 5 3" xfId="42127"/>
    <cellStyle name="표준 3 8 5 3 2" xfId="42128"/>
    <cellStyle name="표준 3 8 5 3 3" xfId="42129"/>
    <cellStyle name="표준 3 8 5 4" xfId="42130"/>
    <cellStyle name="표준 3 8 5 5" xfId="42131"/>
    <cellStyle name="표준 3 8 6" xfId="42132"/>
    <cellStyle name="표준 3 8 6 2" xfId="42133"/>
    <cellStyle name="표준 3 8 6 2 2" xfId="42134"/>
    <cellStyle name="표준 3 8 6 2 2 2" xfId="42135"/>
    <cellStyle name="표준 3 8 6 2 2 3" xfId="42136"/>
    <cellStyle name="표준 3 8 6 2 3" xfId="42137"/>
    <cellStyle name="표준 3 8 6 2 4" xfId="42138"/>
    <cellStyle name="표준 3 8 6 3" xfId="42139"/>
    <cellStyle name="표준 3 8 6 3 2" xfId="42140"/>
    <cellStyle name="표준 3 8 6 3 3" xfId="42141"/>
    <cellStyle name="표준 3 8 6 4" xfId="42142"/>
    <cellStyle name="표준 3 8 6 5" xfId="42143"/>
    <cellStyle name="표준 3 8 7" xfId="42144"/>
    <cellStyle name="표준 3 8 7 2" xfId="42145"/>
    <cellStyle name="표준 3 8 7 2 2" xfId="42146"/>
    <cellStyle name="표준 3 8 7 2 3" xfId="42147"/>
    <cellStyle name="표준 3 8 7 3" xfId="42148"/>
    <cellStyle name="표준 3 8 7 4" xfId="42149"/>
    <cellStyle name="표준 3 8 8" xfId="42150"/>
    <cellStyle name="표준 3 8 8 2" xfId="42151"/>
    <cellStyle name="표준 3 8 8 3" xfId="42152"/>
    <cellStyle name="표준 3 8 9" xfId="42153"/>
    <cellStyle name="표준 3 9" xfId="42154"/>
    <cellStyle name="표준 3 9 10" xfId="42155"/>
    <cellStyle name="표준 3 9 11" xfId="42156"/>
    <cellStyle name="표준 3 9 2" xfId="42157"/>
    <cellStyle name="표준 3 9 2 2" xfId="42158"/>
    <cellStyle name="표준 3 9 2 2 2" xfId="42159"/>
    <cellStyle name="표준 3 9 2 2 2 2" xfId="42160"/>
    <cellStyle name="표준 3 9 2 2 2 2 2" xfId="42161"/>
    <cellStyle name="표준 3 9 2 2 2 2 3" xfId="42162"/>
    <cellStyle name="표준 3 9 2 2 2 3" xfId="42163"/>
    <cellStyle name="표준 3 9 2 2 2 4" xfId="42164"/>
    <cellStyle name="표준 3 9 2 2 3" xfId="42165"/>
    <cellStyle name="표준 3 9 2 2 3 2" xfId="42166"/>
    <cellStyle name="표준 3 9 2 2 3 3" xfId="42167"/>
    <cellStyle name="표준 3 9 2 2 4" xfId="42168"/>
    <cellStyle name="표준 3 9 2 2 5" xfId="42169"/>
    <cellStyle name="표준 3 9 2 3" xfId="42170"/>
    <cellStyle name="표준 3 9 2 3 2" xfId="42171"/>
    <cellStyle name="표준 3 9 2 3 2 2" xfId="42172"/>
    <cellStyle name="표준 3 9 2 3 2 2 2" xfId="42173"/>
    <cellStyle name="표준 3 9 2 3 2 2 3" xfId="42174"/>
    <cellStyle name="표준 3 9 2 3 2 3" xfId="42175"/>
    <cellStyle name="표준 3 9 2 3 2 4" xfId="42176"/>
    <cellStyle name="표준 3 9 2 3 3" xfId="42177"/>
    <cellStyle name="표준 3 9 2 3 3 2" xfId="42178"/>
    <cellStyle name="표준 3 9 2 3 3 3" xfId="42179"/>
    <cellStyle name="표준 3 9 2 3 4" xfId="42180"/>
    <cellStyle name="표준 3 9 2 3 5" xfId="42181"/>
    <cellStyle name="표준 3 9 2 4" xfId="42182"/>
    <cellStyle name="표준 3 9 2 4 2" xfId="42183"/>
    <cellStyle name="표준 3 9 2 4 2 2" xfId="42184"/>
    <cellStyle name="표준 3 9 2 4 2 3" xfId="42185"/>
    <cellStyle name="표준 3 9 2 4 3" xfId="42186"/>
    <cellStyle name="표준 3 9 2 4 4" xfId="42187"/>
    <cellStyle name="표준 3 9 2 5" xfId="42188"/>
    <cellStyle name="표준 3 9 2 5 2" xfId="42189"/>
    <cellStyle name="표준 3 9 2 5 3" xfId="42190"/>
    <cellStyle name="표준 3 9 2 6" xfId="42191"/>
    <cellStyle name="표준 3 9 2 7" xfId="42192"/>
    <cellStyle name="표준 3 9 3" xfId="42193"/>
    <cellStyle name="표준 3 9 3 2" xfId="42194"/>
    <cellStyle name="표준 3 9 3 2 2" xfId="42195"/>
    <cellStyle name="표준 3 9 3 2 2 2" xfId="42196"/>
    <cellStyle name="표준 3 9 3 2 2 2 2" xfId="42197"/>
    <cellStyle name="표준 3 9 3 2 2 2 3" xfId="42198"/>
    <cellStyle name="표준 3 9 3 2 2 3" xfId="42199"/>
    <cellStyle name="표준 3 9 3 2 2 4" xfId="42200"/>
    <cellStyle name="표준 3 9 3 2 3" xfId="42201"/>
    <cellStyle name="표준 3 9 3 2 3 2" xfId="42202"/>
    <cellStyle name="표준 3 9 3 2 3 3" xfId="42203"/>
    <cellStyle name="표준 3 9 3 2 4" xfId="42204"/>
    <cellStyle name="표준 3 9 3 2 5" xfId="42205"/>
    <cellStyle name="표준 3 9 3 3" xfId="42206"/>
    <cellStyle name="표준 3 9 3 3 2" xfId="42207"/>
    <cellStyle name="표준 3 9 3 3 2 2" xfId="42208"/>
    <cellStyle name="표준 3 9 3 3 2 2 2" xfId="42209"/>
    <cellStyle name="표준 3 9 3 3 2 2 3" xfId="42210"/>
    <cellStyle name="표준 3 9 3 3 2 3" xfId="42211"/>
    <cellStyle name="표준 3 9 3 3 2 4" xfId="42212"/>
    <cellStyle name="표준 3 9 3 3 3" xfId="42213"/>
    <cellStyle name="표준 3 9 3 3 3 2" xfId="42214"/>
    <cellStyle name="표준 3 9 3 3 3 3" xfId="42215"/>
    <cellStyle name="표준 3 9 3 3 4" xfId="42216"/>
    <cellStyle name="표준 3 9 3 3 5" xfId="42217"/>
    <cellStyle name="표준 3 9 3 4" xfId="42218"/>
    <cellStyle name="표준 3 9 3 4 2" xfId="42219"/>
    <cellStyle name="표준 3 9 3 4 2 2" xfId="42220"/>
    <cellStyle name="표준 3 9 3 4 2 3" xfId="42221"/>
    <cellStyle name="표준 3 9 3 4 3" xfId="42222"/>
    <cellStyle name="표준 3 9 3 4 4" xfId="42223"/>
    <cellStyle name="표준 3 9 3 5" xfId="42224"/>
    <cellStyle name="표준 3 9 3 5 2" xfId="42225"/>
    <cellStyle name="표준 3 9 3 5 3" xfId="42226"/>
    <cellStyle name="표준 3 9 3 6" xfId="42227"/>
    <cellStyle name="표준 3 9 3 7" xfId="42228"/>
    <cellStyle name="표준 3 9 4" xfId="42229"/>
    <cellStyle name="표준 3 9 4 2" xfId="42230"/>
    <cellStyle name="표준 3 9 4 2 2" xfId="42231"/>
    <cellStyle name="표준 3 9 4 2 2 2" xfId="42232"/>
    <cellStyle name="표준 3 9 4 2 2 3" xfId="42233"/>
    <cellStyle name="표준 3 9 4 2 3" xfId="42234"/>
    <cellStyle name="표준 3 9 4 2 4" xfId="42235"/>
    <cellStyle name="표준 3 9 4 3" xfId="42236"/>
    <cellStyle name="표준 3 9 4 3 2" xfId="42237"/>
    <cellStyle name="표준 3 9 4 3 3" xfId="42238"/>
    <cellStyle name="표준 3 9 4 4" xfId="42239"/>
    <cellStyle name="표준 3 9 4 5" xfId="42240"/>
    <cellStyle name="표준 3 9 5" xfId="42241"/>
    <cellStyle name="표준 3 9 5 2" xfId="42242"/>
    <cellStyle name="표준 3 9 5 2 2" xfId="42243"/>
    <cellStyle name="표준 3 9 5 2 2 2" xfId="42244"/>
    <cellStyle name="표준 3 9 5 2 2 3" xfId="42245"/>
    <cellStyle name="표준 3 9 5 2 3" xfId="42246"/>
    <cellStyle name="표준 3 9 5 2 4" xfId="42247"/>
    <cellStyle name="표준 3 9 5 3" xfId="42248"/>
    <cellStyle name="표준 3 9 5 3 2" xfId="42249"/>
    <cellStyle name="표준 3 9 5 3 3" xfId="42250"/>
    <cellStyle name="표준 3 9 5 4" xfId="42251"/>
    <cellStyle name="표준 3 9 5 5" xfId="42252"/>
    <cellStyle name="표준 3 9 6" xfId="42253"/>
    <cellStyle name="표준 3 9 6 2" xfId="42254"/>
    <cellStyle name="표준 3 9 6 2 2" xfId="42255"/>
    <cellStyle name="표준 3 9 6 2 2 2" xfId="42256"/>
    <cellStyle name="표준 3 9 6 2 2 3" xfId="42257"/>
    <cellStyle name="표준 3 9 6 2 3" xfId="42258"/>
    <cellStyle name="표준 3 9 6 2 4" xfId="42259"/>
    <cellStyle name="표준 3 9 6 3" xfId="42260"/>
    <cellStyle name="표준 3 9 6 3 2" xfId="42261"/>
    <cellStyle name="표준 3 9 6 3 3" xfId="42262"/>
    <cellStyle name="표준 3 9 6 4" xfId="42263"/>
    <cellStyle name="표준 3 9 6 5" xfId="42264"/>
    <cellStyle name="표준 3 9 7" xfId="42265"/>
    <cellStyle name="표준 3 9 7 2" xfId="42266"/>
    <cellStyle name="표준 3 9 7 2 2" xfId="42267"/>
    <cellStyle name="표준 3 9 7 2 3" xfId="42268"/>
    <cellStyle name="표준 3 9 7 3" xfId="42269"/>
    <cellStyle name="표준 3 9 7 4" xfId="42270"/>
    <cellStyle name="표준 3 9 8" xfId="42271"/>
    <cellStyle name="표준 3 9 8 2" xfId="42272"/>
    <cellStyle name="표준 3 9 8 3" xfId="42273"/>
    <cellStyle name="표준 3 9 9" xfId="42274"/>
    <cellStyle name="표준 3_Sheet3" xfId="42275"/>
    <cellStyle name="표준 30" xfId="42276"/>
    <cellStyle name="표준 30 2" xfId="42277"/>
    <cellStyle name="표준 31" xfId="42278"/>
    <cellStyle name="표준 31 2" xfId="42279"/>
    <cellStyle name="표준 32" xfId="42280"/>
    <cellStyle name="표준 32 2" xfId="42281"/>
    <cellStyle name="표준 32 2 2" xfId="42282"/>
    <cellStyle name="표준 32 2 3" xfId="42283"/>
    <cellStyle name="표준 32 2 3 2" xfId="42284"/>
    <cellStyle name="표준 32 2 3 2 2" xfId="42285"/>
    <cellStyle name="표준 32 2 3 2 3" xfId="42286"/>
    <cellStyle name="표준 32 2 3 3" xfId="42287"/>
    <cellStyle name="표준 32 2 3 4" xfId="42288"/>
    <cellStyle name="표준 32 2 3 5" xfId="42289"/>
    <cellStyle name="표준 32 3" xfId="42290"/>
    <cellStyle name="표준 32 3 2" xfId="42291"/>
    <cellStyle name="표준 32 3 2 2" xfId="42292"/>
    <cellStyle name="표준 32 3 2 3" xfId="42293"/>
    <cellStyle name="표준 32 3 3" xfId="42294"/>
    <cellStyle name="표준 32 3 4" xfId="42295"/>
    <cellStyle name="표준 32 3 5" xfId="42296"/>
    <cellStyle name="표준 33" xfId="42297"/>
    <cellStyle name="표준 33 2" xfId="42298"/>
    <cellStyle name="표준 34" xfId="42299"/>
    <cellStyle name="표준 34 2" xfId="42300"/>
    <cellStyle name="표준 34 2 2" xfId="42301"/>
    <cellStyle name="표준 34 2 2 2" xfId="42302"/>
    <cellStyle name="표준 34 2 2 3" xfId="42303"/>
    <cellStyle name="표준 34 2 3" xfId="42304"/>
    <cellStyle name="표준 34 2 4" xfId="42305"/>
    <cellStyle name="표준 34 2 5" xfId="42306"/>
    <cellStyle name="표준 35" xfId="42307"/>
    <cellStyle name="표준 35 2" xfId="42308"/>
    <cellStyle name="표준 35 2 2" xfId="42309"/>
    <cellStyle name="표준 35 2 3" xfId="42310"/>
    <cellStyle name="표준 35 3" xfId="42311"/>
    <cellStyle name="표준 35 4" xfId="42312"/>
    <cellStyle name="표준 35 5" xfId="42313"/>
    <cellStyle name="표준 36" xfId="42314"/>
    <cellStyle name="표준 36 2" xfId="42315"/>
    <cellStyle name="표준 36 3" xfId="7"/>
    <cellStyle name="표준 36 3 2" xfId="51150"/>
    <cellStyle name="표준 37" xfId="42316"/>
    <cellStyle name="표준 37 2" xfId="42317"/>
    <cellStyle name="표준 38" xfId="42318"/>
    <cellStyle name="표준 38 2" xfId="42319"/>
    <cellStyle name="표준 39" xfId="42320"/>
    <cellStyle name="표준 39 2" xfId="42321"/>
    <cellStyle name="표준 4" xfId="42322"/>
    <cellStyle name="표준 4 10" xfId="42323"/>
    <cellStyle name="표준 4 10 2" xfId="42324"/>
    <cellStyle name="표준 4 10 3" xfId="42325"/>
    <cellStyle name="표준 4 11" xfId="42326"/>
    <cellStyle name="표준 4 11 2" xfId="42327"/>
    <cellStyle name="표준 4 12" xfId="42328"/>
    <cellStyle name="표준 4 12 2" xfId="42329"/>
    <cellStyle name="표준 4 13" xfId="42330"/>
    <cellStyle name="표준 4 13 2" xfId="42331"/>
    <cellStyle name="표준 4 14" xfId="42332"/>
    <cellStyle name="표준 4 14 2" xfId="42333"/>
    <cellStyle name="표준 4 15" xfId="42334"/>
    <cellStyle name="표준 4 15 2" xfId="42335"/>
    <cellStyle name="표준 4 16" xfId="42336"/>
    <cellStyle name="표준 4 16 2" xfId="42337"/>
    <cellStyle name="표준 4 17" xfId="42338"/>
    <cellStyle name="표준 4 17 2" xfId="42339"/>
    <cellStyle name="표준 4 18" xfId="42340"/>
    <cellStyle name="표준 4 18 2" xfId="42341"/>
    <cellStyle name="표준 4 19" xfId="42342"/>
    <cellStyle name="표준 4 19 2" xfId="42343"/>
    <cellStyle name="표준 4 2" xfId="42344"/>
    <cellStyle name="표준 4 2 10" xfId="42345"/>
    <cellStyle name="표준 4 2 10 2" xfId="42346"/>
    <cellStyle name="표준 4 2 10 2 2" xfId="42347"/>
    <cellStyle name="표준 4 2 10 2 2 2" xfId="42348"/>
    <cellStyle name="표준 4 2 10 2 2 3" xfId="42349"/>
    <cellStyle name="표준 4 2 10 2 3" xfId="42350"/>
    <cellStyle name="표준 4 2 10 2 4" xfId="42351"/>
    <cellStyle name="표준 4 2 10 2 5" xfId="42352"/>
    <cellStyle name="표준 4 2 10 3" xfId="42353"/>
    <cellStyle name="표준 4 2 11" xfId="42354"/>
    <cellStyle name="표준 4 2 12" xfId="42355"/>
    <cellStyle name="표준 4 2 13" xfId="42356"/>
    <cellStyle name="표준 4 2 14" xfId="42357"/>
    <cellStyle name="표준 4 2 15" xfId="42358"/>
    <cellStyle name="표준 4 2 16" xfId="42359"/>
    <cellStyle name="표준 4 2 17" xfId="42360"/>
    <cellStyle name="표준 4 2 18" xfId="42361"/>
    <cellStyle name="표준 4 2 19" xfId="42362"/>
    <cellStyle name="표준 4 2 2" xfId="42363"/>
    <cellStyle name="표준 4 2 2 10" xfId="42364"/>
    <cellStyle name="표준 4 2 2 11" xfId="42365"/>
    <cellStyle name="표준 4 2 2 12" xfId="42366"/>
    <cellStyle name="표준 4 2 2 13" xfId="42367"/>
    <cellStyle name="표준 4 2 2 14" xfId="42368"/>
    <cellStyle name="표준 4 2 2 15" xfId="42369"/>
    <cellStyle name="표준 4 2 2 16" xfId="42370"/>
    <cellStyle name="표준 4 2 2 17" xfId="42371"/>
    <cellStyle name="표준 4 2 2 18" xfId="42372"/>
    <cellStyle name="표준 4 2 2 19" xfId="42373"/>
    <cellStyle name="표준 4 2 2 2" xfId="42374"/>
    <cellStyle name="표준 4 2 2 2 10" xfId="42375"/>
    <cellStyle name="표준 4 2 2 2 11" xfId="42376"/>
    <cellStyle name="표준 4 2 2 2 12" xfId="42377"/>
    <cellStyle name="표준 4 2 2 2 13" xfId="42378"/>
    <cellStyle name="표준 4 2 2 2 14" xfId="42379"/>
    <cellStyle name="표준 4 2 2 2 15" xfId="42380"/>
    <cellStyle name="표준 4 2 2 2 16" xfId="42381"/>
    <cellStyle name="표준 4 2 2 2 17" xfId="42382"/>
    <cellStyle name="표준 4 2 2 2 18" xfId="42383"/>
    <cellStyle name="표준 4 2 2 2 19" xfId="42384"/>
    <cellStyle name="표준 4 2 2 2 2" xfId="42385"/>
    <cellStyle name="표준 4 2 2 2 2 10" xfId="42386"/>
    <cellStyle name="표준 4 2 2 2 2 11" xfId="42387"/>
    <cellStyle name="표준 4 2 2 2 2 12" xfId="42388"/>
    <cellStyle name="표준 4 2 2 2 2 13" xfId="42389"/>
    <cellStyle name="표준 4 2 2 2 2 14" xfId="42390"/>
    <cellStyle name="표준 4 2 2 2 2 15" xfId="42391"/>
    <cellStyle name="표준 4 2 2 2 2 16" xfId="42392"/>
    <cellStyle name="표준 4 2 2 2 2 17" xfId="42393"/>
    <cellStyle name="표준 4 2 2 2 2 18" xfId="42394"/>
    <cellStyle name="표준 4 2 2 2 2 19" xfId="42395"/>
    <cellStyle name="표준 4 2 2 2 2 19 2" xfId="42396"/>
    <cellStyle name="표준 4 2 2 2 2 19 3" xfId="42397"/>
    <cellStyle name="표준 4 2 2 2 2 2" xfId="42398"/>
    <cellStyle name="표준 4 2 2 2 2 2 10" xfId="42399"/>
    <cellStyle name="표준 4 2 2 2 2 2 11" xfId="42400"/>
    <cellStyle name="표준 4 2 2 2 2 2 12" xfId="42401"/>
    <cellStyle name="표준 4 2 2 2 2 2 13" xfId="42402"/>
    <cellStyle name="표준 4 2 2 2 2 2 14" xfId="42403"/>
    <cellStyle name="표준 4 2 2 2 2 2 15" xfId="42404"/>
    <cellStyle name="표준 4 2 2 2 2 2 16" xfId="42405"/>
    <cellStyle name="표준 4 2 2 2 2 2 17" xfId="42406"/>
    <cellStyle name="표준 4 2 2 2 2 2 17 2" xfId="42407"/>
    <cellStyle name="표준 4 2 2 2 2 2 17 3" xfId="42408"/>
    <cellStyle name="표준 4 2 2 2 2 2 18" xfId="42409"/>
    <cellStyle name="표준 4 2 2 2 2 2 19" xfId="42410"/>
    <cellStyle name="표준 4 2 2 2 2 2 2" xfId="42411"/>
    <cellStyle name="표준 4 2 2 2 2 2 2 10" xfId="42412"/>
    <cellStyle name="표준 4 2 2 2 2 2 2 11" xfId="42413"/>
    <cellStyle name="표준 4 2 2 2 2 2 2 12" xfId="42414"/>
    <cellStyle name="표준 4 2 2 2 2 2 2 13" xfId="42415"/>
    <cellStyle name="표준 4 2 2 2 2 2 2 14" xfId="42416"/>
    <cellStyle name="표준 4 2 2 2 2 2 2 15" xfId="42417"/>
    <cellStyle name="표준 4 2 2 2 2 2 2 16" xfId="42418"/>
    <cellStyle name="표준 4 2 2 2 2 2 2 16 2" xfId="42419"/>
    <cellStyle name="표준 4 2 2 2 2 2 2 16 3" xfId="42420"/>
    <cellStyle name="표준 4 2 2 2 2 2 2 17" xfId="42421"/>
    <cellStyle name="표준 4 2 2 2 2 2 2 18" xfId="42422"/>
    <cellStyle name="표준 4 2 2 2 2 2 2 19" xfId="42423"/>
    <cellStyle name="표준 4 2 2 2 2 2 2 2" xfId="42424"/>
    <cellStyle name="표준 4 2 2 2 2 2 2 2 2" xfId="42425"/>
    <cellStyle name="표준 4 2 2 2 2 2 2 2 2 2" xfId="42426"/>
    <cellStyle name="표준 4 2 2 2 2 2 2 2 2 2 2" xfId="42427"/>
    <cellStyle name="표준 4 2 2 2 2 2 2 2 2 2 3" xfId="42428"/>
    <cellStyle name="표준 4 2 2 2 2 2 2 2 2 3" xfId="42429"/>
    <cellStyle name="표준 4 2 2 2 2 2 2 2 2 4" xfId="42430"/>
    <cellStyle name="표준 4 2 2 2 2 2 2 2 2 5" xfId="42431"/>
    <cellStyle name="표준 4 2 2 2 2 2 2 2 3" xfId="42432"/>
    <cellStyle name="표준 4 2 2 2 2 2 2 2 3 2" xfId="42433"/>
    <cellStyle name="표준 4 2 2 2 2 2 2 2 3 3" xfId="42434"/>
    <cellStyle name="표준 4 2 2 2 2 2 2 2 4" xfId="42435"/>
    <cellStyle name="표준 4 2 2 2 2 2 2 2 5" xfId="42436"/>
    <cellStyle name="표준 4 2 2 2 2 2 2 2 6" xfId="42437"/>
    <cellStyle name="표준 4 2 2 2 2 2 2 3" xfId="42438"/>
    <cellStyle name="표준 4 2 2 2 2 2 2 3 2" xfId="42439"/>
    <cellStyle name="표준 4 2 2 2 2 2 2 3 2 2" xfId="42440"/>
    <cellStyle name="표준 4 2 2 2 2 2 2 3 2 2 2" xfId="42441"/>
    <cellStyle name="표준 4 2 2 2 2 2 2 3 2 2 3" xfId="42442"/>
    <cellStyle name="표준 4 2 2 2 2 2 2 3 2 3" xfId="42443"/>
    <cellStyle name="표준 4 2 2 2 2 2 2 3 2 4" xfId="42444"/>
    <cellStyle name="표준 4 2 2 2 2 2 2 3 2 5" xfId="42445"/>
    <cellStyle name="표준 4 2 2 2 2 2 2 3 3" xfId="42446"/>
    <cellStyle name="표준 4 2 2 2 2 2 2 4" xfId="42447"/>
    <cellStyle name="표준 4 2 2 2 2 2 2 4 2" xfId="42448"/>
    <cellStyle name="표준 4 2 2 2 2 2 2 4 2 2" xfId="42449"/>
    <cellStyle name="표준 4 2 2 2 2 2 2 4 2 2 2" xfId="42450"/>
    <cellStyle name="표준 4 2 2 2 2 2 2 4 2 2 3" xfId="42451"/>
    <cellStyle name="표준 4 2 2 2 2 2 2 4 2 3" xfId="42452"/>
    <cellStyle name="표준 4 2 2 2 2 2 2 4 2 4" xfId="42453"/>
    <cellStyle name="표준 4 2 2 2 2 2 2 4 2 5" xfId="42454"/>
    <cellStyle name="표준 4 2 2 2 2 2 2 4 3" xfId="42455"/>
    <cellStyle name="표준 4 2 2 2 2 2 2 5" xfId="42456"/>
    <cellStyle name="표준 4 2 2 2 2 2 2 6" xfId="42457"/>
    <cellStyle name="표준 4 2 2 2 2 2 2 7" xfId="42458"/>
    <cellStyle name="표준 4 2 2 2 2 2 2 8" xfId="42459"/>
    <cellStyle name="표준 4 2 2 2 2 2 2 9" xfId="42460"/>
    <cellStyle name="표준 4 2 2 2 2 2 20" xfId="42461"/>
    <cellStyle name="표준 4 2 2 2 2 2 3" xfId="42462"/>
    <cellStyle name="표준 4 2 2 2 2 2 3 2" xfId="42463"/>
    <cellStyle name="표준 4 2 2 2 2 2 3 2 2" xfId="42464"/>
    <cellStyle name="표준 4 2 2 2 2 2 3 2 2 2" xfId="42465"/>
    <cellStyle name="표준 4 2 2 2 2 2 3 2 2 3" xfId="42466"/>
    <cellStyle name="표준 4 2 2 2 2 2 3 2 3" xfId="42467"/>
    <cellStyle name="표준 4 2 2 2 2 2 3 2 4" xfId="42468"/>
    <cellStyle name="표준 4 2 2 2 2 2 3 2 5" xfId="42469"/>
    <cellStyle name="표준 4 2 2 2 2 2 3 3" xfId="42470"/>
    <cellStyle name="표준 4 2 2 2 2 2 3 3 2" xfId="42471"/>
    <cellStyle name="표준 4 2 2 2 2 2 3 3 3" xfId="42472"/>
    <cellStyle name="표준 4 2 2 2 2 2 3 4" xfId="42473"/>
    <cellStyle name="표준 4 2 2 2 2 2 3 5" xfId="42474"/>
    <cellStyle name="표준 4 2 2 2 2 2 3 6" xfId="42475"/>
    <cellStyle name="표준 4 2 2 2 2 2 4" xfId="42476"/>
    <cellStyle name="표준 4 2 2 2 2 2 4 2" xfId="42477"/>
    <cellStyle name="표준 4 2 2 2 2 2 4 2 2" xfId="42478"/>
    <cellStyle name="표준 4 2 2 2 2 2 4 2 2 2" xfId="42479"/>
    <cellStyle name="표준 4 2 2 2 2 2 4 2 2 3" xfId="42480"/>
    <cellStyle name="표준 4 2 2 2 2 2 4 2 3" xfId="42481"/>
    <cellStyle name="표준 4 2 2 2 2 2 4 2 4" xfId="42482"/>
    <cellStyle name="표준 4 2 2 2 2 2 4 2 5" xfId="42483"/>
    <cellStyle name="표준 4 2 2 2 2 2 4 3" xfId="42484"/>
    <cellStyle name="표준 4 2 2 2 2 2 5" xfId="42485"/>
    <cellStyle name="표준 4 2 2 2 2 2 5 2" xfId="42486"/>
    <cellStyle name="표준 4 2 2 2 2 2 5 2 2" xfId="42487"/>
    <cellStyle name="표준 4 2 2 2 2 2 5 2 2 2" xfId="42488"/>
    <cellStyle name="표준 4 2 2 2 2 2 5 2 2 3" xfId="42489"/>
    <cellStyle name="표준 4 2 2 2 2 2 5 2 3" xfId="42490"/>
    <cellStyle name="표준 4 2 2 2 2 2 5 2 4" xfId="42491"/>
    <cellStyle name="표준 4 2 2 2 2 2 5 2 5" xfId="42492"/>
    <cellStyle name="표준 4 2 2 2 2 2 5 3" xfId="42493"/>
    <cellStyle name="표준 4 2 2 2 2 2 6" xfId="42494"/>
    <cellStyle name="표준 4 2 2 2 2 2 7" xfId="42495"/>
    <cellStyle name="표준 4 2 2 2 2 2 8" xfId="42496"/>
    <cellStyle name="표준 4 2 2 2 2 2 9" xfId="42497"/>
    <cellStyle name="표준 4 2 2 2 2 20" xfId="42498"/>
    <cellStyle name="표준 4 2 2 2 2 21" xfId="42499"/>
    <cellStyle name="표준 4 2 2 2 2 22" xfId="42500"/>
    <cellStyle name="표준 4 2 2 2 2 3" xfId="42501"/>
    <cellStyle name="표준 4 2 2 2 2 3 10" xfId="42502"/>
    <cellStyle name="표준 4 2 2 2 2 3 11" xfId="42503"/>
    <cellStyle name="표준 4 2 2 2 2 3 12" xfId="42504"/>
    <cellStyle name="표준 4 2 2 2 2 3 13" xfId="42505"/>
    <cellStyle name="표준 4 2 2 2 2 3 14" xfId="42506"/>
    <cellStyle name="표준 4 2 2 2 2 3 15" xfId="42507"/>
    <cellStyle name="표준 4 2 2 2 2 3 16" xfId="42508"/>
    <cellStyle name="표준 4 2 2 2 2 3 17" xfId="42509"/>
    <cellStyle name="표준 4 2 2 2 2 3 17 2" xfId="42510"/>
    <cellStyle name="표준 4 2 2 2 2 3 17 3" xfId="42511"/>
    <cellStyle name="표준 4 2 2 2 2 3 18" xfId="42512"/>
    <cellStyle name="표준 4 2 2 2 2 3 19" xfId="42513"/>
    <cellStyle name="표준 4 2 2 2 2 3 2" xfId="42514"/>
    <cellStyle name="표준 4 2 2 2 2 3 2 10" xfId="42515"/>
    <cellStyle name="표준 4 2 2 2 2 3 2 11" xfId="42516"/>
    <cellStyle name="표준 4 2 2 2 2 3 2 12" xfId="42517"/>
    <cellStyle name="표준 4 2 2 2 2 3 2 13" xfId="42518"/>
    <cellStyle name="표준 4 2 2 2 2 3 2 14" xfId="42519"/>
    <cellStyle name="표준 4 2 2 2 2 3 2 15" xfId="42520"/>
    <cellStyle name="표준 4 2 2 2 2 3 2 16" xfId="42521"/>
    <cellStyle name="표준 4 2 2 2 2 3 2 16 2" xfId="42522"/>
    <cellStyle name="표준 4 2 2 2 2 3 2 16 3" xfId="42523"/>
    <cellStyle name="표준 4 2 2 2 2 3 2 17" xfId="42524"/>
    <cellStyle name="표준 4 2 2 2 2 3 2 18" xfId="42525"/>
    <cellStyle name="표준 4 2 2 2 2 3 2 19" xfId="42526"/>
    <cellStyle name="표준 4 2 2 2 2 3 2 2" xfId="42527"/>
    <cellStyle name="표준 4 2 2 2 2 3 2 2 2" xfId="42528"/>
    <cellStyle name="표준 4 2 2 2 2 3 2 2 2 2" xfId="42529"/>
    <cellStyle name="표준 4 2 2 2 2 3 2 2 2 2 2" xfId="42530"/>
    <cellStyle name="표준 4 2 2 2 2 3 2 2 2 2 3" xfId="42531"/>
    <cellStyle name="표준 4 2 2 2 2 3 2 2 2 3" xfId="42532"/>
    <cellStyle name="표준 4 2 2 2 2 3 2 2 2 4" xfId="42533"/>
    <cellStyle name="표준 4 2 2 2 2 3 2 2 2 5" xfId="42534"/>
    <cellStyle name="표준 4 2 2 2 2 3 2 2 3" xfId="42535"/>
    <cellStyle name="표준 4 2 2 2 2 3 2 2 3 2" xfId="42536"/>
    <cellStyle name="표준 4 2 2 2 2 3 2 2 3 3" xfId="42537"/>
    <cellStyle name="표준 4 2 2 2 2 3 2 2 4" xfId="42538"/>
    <cellStyle name="표준 4 2 2 2 2 3 2 2 5" xfId="42539"/>
    <cellStyle name="표준 4 2 2 2 2 3 2 2 6" xfId="42540"/>
    <cellStyle name="표준 4 2 2 2 2 3 2 3" xfId="42541"/>
    <cellStyle name="표준 4 2 2 2 2 3 2 3 2" xfId="42542"/>
    <cellStyle name="표준 4 2 2 2 2 3 2 3 2 2" xfId="42543"/>
    <cellStyle name="표준 4 2 2 2 2 3 2 3 2 2 2" xfId="42544"/>
    <cellStyle name="표준 4 2 2 2 2 3 2 3 2 2 3" xfId="42545"/>
    <cellStyle name="표준 4 2 2 2 2 3 2 3 2 3" xfId="42546"/>
    <cellStyle name="표준 4 2 2 2 2 3 2 3 2 4" xfId="42547"/>
    <cellStyle name="표준 4 2 2 2 2 3 2 3 2 5" xfId="42548"/>
    <cellStyle name="표준 4 2 2 2 2 3 2 3 3" xfId="42549"/>
    <cellStyle name="표준 4 2 2 2 2 3 2 4" xfId="42550"/>
    <cellStyle name="표준 4 2 2 2 2 3 2 4 2" xfId="42551"/>
    <cellStyle name="표준 4 2 2 2 2 3 2 4 2 2" xfId="42552"/>
    <cellStyle name="표준 4 2 2 2 2 3 2 4 2 2 2" xfId="42553"/>
    <cellStyle name="표준 4 2 2 2 2 3 2 4 2 2 3" xfId="42554"/>
    <cellStyle name="표준 4 2 2 2 2 3 2 4 2 3" xfId="42555"/>
    <cellStyle name="표준 4 2 2 2 2 3 2 4 2 4" xfId="42556"/>
    <cellStyle name="표준 4 2 2 2 2 3 2 4 2 5" xfId="42557"/>
    <cellStyle name="표준 4 2 2 2 2 3 2 4 3" xfId="42558"/>
    <cellStyle name="표준 4 2 2 2 2 3 2 5" xfId="42559"/>
    <cellStyle name="표준 4 2 2 2 2 3 2 6" xfId="42560"/>
    <cellStyle name="표준 4 2 2 2 2 3 2 7" xfId="42561"/>
    <cellStyle name="표준 4 2 2 2 2 3 2 8" xfId="42562"/>
    <cellStyle name="표준 4 2 2 2 2 3 2 9" xfId="42563"/>
    <cellStyle name="표준 4 2 2 2 2 3 20" xfId="42564"/>
    <cellStyle name="표준 4 2 2 2 2 3 3" xfId="42565"/>
    <cellStyle name="표준 4 2 2 2 2 3 3 2" xfId="42566"/>
    <cellStyle name="표준 4 2 2 2 2 3 3 2 2" xfId="42567"/>
    <cellStyle name="표준 4 2 2 2 2 3 3 2 2 2" xfId="42568"/>
    <cellStyle name="표준 4 2 2 2 2 3 3 2 2 3" xfId="42569"/>
    <cellStyle name="표준 4 2 2 2 2 3 3 2 3" xfId="42570"/>
    <cellStyle name="표준 4 2 2 2 2 3 3 2 4" xfId="42571"/>
    <cellStyle name="표준 4 2 2 2 2 3 3 2 5" xfId="42572"/>
    <cellStyle name="표준 4 2 2 2 2 3 3 3" xfId="42573"/>
    <cellStyle name="표준 4 2 2 2 2 3 3 3 2" xfId="42574"/>
    <cellStyle name="표준 4 2 2 2 2 3 3 3 3" xfId="42575"/>
    <cellStyle name="표준 4 2 2 2 2 3 3 4" xfId="42576"/>
    <cellStyle name="표준 4 2 2 2 2 3 3 5" xfId="42577"/>
    <cellStyle name="표준 4 2 2 2 2 3 3 6" xfId="42578"/>
    <cellStyle name="표준 4 2 2 2 2 3 4" xfId="42579"/>
    <cellStyle name="표준 4 2 2 2 2 3 4 2" xfId="42580"/>
    <cellStyle name="표준 4 2 2 2 2 3 4 2 2" xfId="42581"/>
    <cellStyle name="표준 4 2 2 2 2 3 4 2 2 2" xfId="42582"/>
    <cellStyle name="표준 4 2 2 2 2 3 4 2 2 3" xfId="42583"/>
    <cellStyle name="표준 4 2 2 2 2 3 4 2 3" xfId="42584"/>
    <cellStyle name="표준 4 2 2 2 2 3 4 2 4" xfId="42585"/>
    <cellStyle name="표준 4 2 2 2 2 3 4 2 5" xfId="42586"/>
    <cellStyle name="표준 4 2 2 2 2 3 4 3" xfId="42587"/>
    <cellStyle name="표준 4 2 2 2 2 3 5" xfId="42588"/>
    <cellStyle name="표준 4 2 2 2 2 3 5 2" xfId="42589"/>
    <cellStyle name="표준 4 2 2 2 2 3 5 2 2" xfId="42590"/>
    <cellStyle name="표준 4 2 2 2 2 3 5 2 2 2" xfId="42591"/>
    <cellStyle name="표준 4 2 2 2 2 3 5 2 2 3" xfId="42592"/>
    <cellStyle name="표준 4 2 2 2 2 3 5 2 3" xfId="42593"/>
    <cellStyle name="표준 4 2 2 2 2 3 5 2 4" xfId="42594"/>
    <cellStyle name="표준 4 2 2 2 2 3 5 2 5" xfId="42595"/>
    <cellStyle name="표준 4 2 2 2 2 3 5 3" xfId="42596"/>
    <cellStyle name="표준 4 2 2 2 2 3 6" xfId="42597"/>
    <cellStyle name="표준 4 2 2 2 2 3 7" xfId="42598"/>
    <cellStyle name="표준 4 2 2 2 2 3 8" xfId="42599"/>
    <cellStyle name="표준 4 2 2 2 2 3 9" xfId="42600"/>
    <cellStyle name="표준 4 2 2 2 2 4" xfId="42601"/>
    <cellStyle name="표준 4 2 2 2 2 4 10" xfId="42602"/>
    <cellStyle name="표준 4 2 2 2 2 4 11" xfId="42603"/>
    <cellStyle name="표준 4 2 2 2 2 4 12" xfId="42604"/>
    <cellStyle name="표준 4 2 2 2 2 4 13" xfId="42605"/>
    <cellStyle name="표준 4 2 2 2 2 4 14" xfId="42606"/>
    <cellStyle name="표준 4 2 2 2 2 4 15" xfId="42607"/>
    <cellStyle name="표준 4 2 2 2 2 4 16" xfId="42608"/>
    <cellStyle name="표준 4 2 2 2 2 4 16 2" xfId="42609"/>
    <cellStyle name="표준 4 2 2 2 2 4 16 3" xfId="42610"/>
    <cellStyle name="표준 4 2 2 2 2 4 17" xfId="42611"/>
    <cellStyle name="표준 4 2 2 2 2 4 18" xfId="42612"/>
    <cellStyle name="표준 4 2 2 2 2 4 19" xfId="42613"/>
    <cellStyle name="표준 4 2 2 2 2 4 2" xfId="42614"/>
    <cellStyle name="표준 4 2 2 2 2 4 2 2" xfId="42615"/>
    <cellStyle name="표준 4 2 2 2 2 4 2 2 2" xfId="42616"/>
    <cellStyle name="표준 4 2 2 2 2 4 2 2 2 2" xfId="42617"/>
    <cellStyle name="표준 4 2 2 2 2 4 2 2 2 3" xfId="42618"/>
    <cellStyle name="표준 4 2 2 2 2 4 2 2 3" xfId="42619"/>
    <cellStyle name="표준 4 2 2 2 2 4 2 2 4" xfId="42620"/>
    <cellStyle name="표준 4 2 2 2 2 4 2 2 5" xfId="42621"/>
    <cellStyle name="표준 4 2 2 2 2 4 2 3" xfId="42622"/>
    <cellStyle name="표준 4 2 2 2 2 4 2 3 2" xfId="42623"/>
    <cellStyle name="표준 4 2 2 2 2 4 2 3 3" xfId="42624"/>
    <cellStyle name="표준 4 2 2 2 2 4 2 4" xfId="42625"/>
    <cellStyle name="표준 4 2 2 2 2 4 2 5" xfId="42626"/>
    <cellStyle name="표준 4 2 2 2 2 4 2 6" xfId="42627"/>
    <cellStyle name="표준 4 2 2 2 2 4 3" xfId="42628"/>
    <cellStyle name="표준 4 2 2 2 2 4 3 2" xfId="42629"/>
    <cellStyle name="표준 4 2 2 2 2 4 3 2 2" xfId="42630"/>
    <cellStyle name="표준 4 2 2 2 2 4 3 2 2 2" xfId="42631"/>
    <cellStyle name="표준 4 2 2 2 2 4 3 2 2 3" xfId="42632"/>
    <cellStyle name="표준 4 2 2 2 2 4 3 2 3" xfId="42633"/>
    <cellStyle name="표준 4 2 2 2 2 4 3 2 4" xfId="42634"/>
    <cellStyle name="표준 4 2 2 2 2 4 3 2 5" xfId="42635"/>
    <cellStyle name="표준 4 2 2 2 2 4 3 3" xfId="42636"/>
    <cellStyle name="표준 4 2 2 2 2 4 4" xfId="42637"/>
    <cellStyle name="표준 4 2 2 2 2 4 4 2" xfId="42638"/>
    <cellStyle name="표준 4 2 2 2 2 4 4 2 2" xfId="42639"/>
    <cellStyle name="표준 4 2 2 2 2 4 4 2 2 2" xfId="42640"/>
    <cellStyle name="표준 4 2 2 2 2 4 4 2 2 3" xfId="42641"/>
    <cellStyle name="표준 4 2 2 2 2 4 4 2 3" xfId="42642"/>
    <cellStyle name="표준 4 2 2 2 2 4 4 2 4" xfId="42643"/>
    <cellStyle name="표준 4 2 2 2 2 4 4 2 5" xfId="42644"/>
    <cellStyle name="표준 4 2 2 2 2 4 4 3" xfId="42645"/>
    <cellStyle name="표준 4 2 2 2 2 4 5" xfId="42646"/>
    <cellStyle name="표준 4 2 2 2 2 4 6" xfId="42647"/>
    <cellStyle name="표준 4 2 2 2 2 4 7" xfId="42648"/>
    <cellStyle name="표준 4 2 2 2 2 4 8" xfId="42649"/>
    <cellStyle name="표준 4 2 2 2 2 4 9" xfId="42650"/>
    <cellStyle name="표준 4 2 2 2 2 5" xfId="42651"/>
    <cellStyle name="표준 4 2 2 2 2 5 2" xfId="42652"/>
    <cellStyle name="표준 4 2 2 2 2 5 2 2" xfId="42653"/>
    <cellStyle name="표준 4 2 2 2 2 5 2 2 2" xfId="42654"/>
    <cellStyle name="표준 4 2 2 2 2 5 2 2 3" xfId="42655"/>
    <cellStyle name="표준 4 2 2 2 2 5 2 3" xfId="42656"/>
    <cellStyle name="표준 4 2 2 2 2 5 2 4" xfId="42657"/>
    <cellStyle name="표준 4 2 2 2 2 5 2 5" xfId="42658"/>
    <cellStyle name="표준 4 2 2 2 2 5 3" xfId="42659"/>
    <cellStyle name="표준 4 2 2 2 2 5 3 2" xfId="42660"/>
    <cellStyle name="표준 4 2 2 2 2 5 3 3" xfId="42661"/>
    <cellStyle name="표준 4 2 2 2 2 5 4" xfId="42662"/>
    <cellStyle name="표준 4 2 2 2 2 5 5" xfId="42663"/>
    <cellStyle name="표준 4 2 2 2 2 5 6" xfId="42664"/>
    <cellStyle name="표준 4 2 2 2 2 6" xfId="42665"/>
    <cellStyle name="표준 4 2 2 2 2 6 2" xfId="42666"/>
    <cellStyle name="표준 4 2 2 2 2 6 2 2" xfId="42667"/>
    <cellStyle name="표준 4 2 2 2 2 6 2 2 2" xfId="42668"/>
    <cellStyle name="표준 4 2 2 2 2 6 2 2 3" xfId="42669"/>
    <cellStyle name="표준 4 2 2 2 2 6 2 3" xfId="42670"/>
    <cellStyle name="표준 4 2 2 2 2 6 2 4" xfId="42671"/>
    <cellStyle name="표준 4 2 2 2 2 6 2 5" xfId="42672"/>
    <cellStyle name="표준 4 2 2 2 2 6 3" xfId="42673"/>
    <cellStyle name="표준 4 2 2 2 2 7" xfId="42674"/>
    <cellStyle name="표준 4 2 2 2 2 7 2" xfId="42675"/>
    <cellStyle name="표준 4 2 2 2 2 7 2 2" xfId="42676"/>
    <cellStyle name="표준 4 2 2 2 2 7 2 2 2" xfId="42677"/>
    <cellStyle name="표준 4 2 2 2 2 7 2 2 3" xfId="42678"/>
    <cellStyle name="표준 4 2 2 2 2 7 2 3" xfId="42679"/>
    <cellStyle name="표준 4 2 2 2 2 7 2 4" xfId="42680"/>
    <cellStyle name="표준 4 2 2 2 2 7 2 5" xfId="42681"/>
    <cellStyle name="표준 4 2 2 2 2 7 3" xfId="42682"/>
    <cellStyle name="표준 4 2 2 2 2 8" xfId="42683"/>
    <cellStyle name="표준 4 2 2 2 2 9" xfId="42684"/>
    <cellStyle name="표준 4 2 2 2 20" xfId="42685"/>
    <cellStyle name="표준 4 2 2 2 20 2" xfId="42686"/>
    <cellStyle name="표준 4 2 2 2 20 3" xfId="42687"/>
    <cellStyle name="표준 4 2 2 2 21" xfId="42688"/>
    <cellStyle name="표준 4 2 2 2 22" xfId="42689"/>
    <cellStyle name="표준 4 2 2 2 23" xfId="42690"/>
    <cellStyle name="표준 4 2 2 2 3" xfId="42691"/>
    <cellStyle name="표준 4 2 2 2 3 10" xfId="42692"/>
    <cellStyle name="표준 4 2 2 2 3 11" xfId="42693"/>
    <cellStyle name="표준 4 2 2 2 3 12" xfId="42694"/>
    <cellStyle name="표준 4 2 2 2 3 13" xfId="42695"/>
    <cellStyle name="표준 4 2 2 2 3 14" xfId="42696"/>
    <cellStyle name="표준 4 2 2 2 3 15" xfId="42697"/>
    <cellStyle name="표준 4 2 2 2 3 16" xfId="42698"/>
    <cellStyle name="표준 4 2 2 2 3 17" xfId="42699"/>
    <cellStyle name="표준 4 2 2 2 3 17 2" xfId="42700"/>
    <cellStyle name="표준 4 2 2 2 3 17 3" xfId="42701"/>
    <cellStyle name="표준 4 2 2 2 3 18" xfId="42702"/>
    <cellStyle name="표준 4 2 2 2 3 19" xfId="42703"/>
    <cellStyle name="표준 4 2 2 2 3 2" xfId="42704"/>
    <cellStyle name="표준 4 2 2 2 3 2 10" xfId="42705"/>
    <cellStyle name="표준 4 2 2 2 3 2 11" xfId="42706"/>
    <cellStyle name="표준 4 2 2 2 3 2 12" xfId="42707"/>
    <cellStyle name="표준 4 2 2 2 3 2 13" xfId="42708"/>
    <cellStyle name="표준 4 2 2 2 3 2 14" xfId="42709"/>
    <cellStyle name="표준 4 2 2 2 3 2 15" xfId="42710"/>
    <cellStyle name="표준 4 2 2 2 3 2 16" xfId="42711"/>
    <cellStyle name="표준 4 2 2 2 3 2 16 2" xfId="42712"/>
    <cellStyle name="표준 4 2 2 2 3 2 16 3" xfId="42713"/>
    <cellStyle name="표준 4 2 2 2 3 2 17" xfId="42714"/>
    <cellStyle name="표준 4 2 2 2 3 2 18" xfId="42715"/>
    <cellStyle name="표준 4 2 2 2 3 2 19" xfId="42716"/>
    <cellStyle name="표준 4 2 2 2 3 2 2" xfId="42717"/>
    <cellStyle name="표준 4 2 2 2 3 2 2 2" xfId="42718"/>
    <cellStyle name="표준 4 2 2 2 3 2 2 2 2" xfId="42719"/>
    <cellStyle name="표준 4 2 2 2 3 2 2 2 2 2" xfId="42720"/>
    <cellStyle name="표준 4 2 2 2 3 2 2 2 2 3" xfId="42721"/>
    <cellStyle name="표준 4 2 2 2 3 2 2 2 3" xfId="42722"/>
    <cellStyle name="표준 4 2 2 2 3 2 2 2 4" xfId="42723"/>
    <cellStyle name="표준 4 2 2 2 3 2 2 2 5" xfId="42724"/>
    <cellStyle name="표준 4 2 2 2 3 2 2 3" xfId="42725"/>
    <cellStyle name="표준 4 2 2 2 3 2 2 3 2" xfId="42726"/>
    <cellStyle name="표준 4 2 2 2 3 2 2 3 3" xfId="42727"/>
    <cellStyle name="표준 4 2 2 2 3 2 2 4" xfId="42728"/>
    <cellStyle name="표준 4 2 2 2 3 2 2 5" xfId="42729"/>
    <cellStyle name="표준 4 2 2 2 3 2 2 6" xfId="42730"/>
    <cellStyle name="표준 4 2 2 2 3 2 3" xfId="42731"/>
    <cellStyle name="표준 4 2 2 2 3 2 3 2" xfId="42732"/>
    <cellStyle name="표준 4 2 2 2 3 2 3 2 2" xfId="42733"/>
    <cellStyle name="표준 4 2 2 2 3 2 3 2 2 2" xfId="42734"/>
    <cellStyle name="표준 4 2 2 2 3 2 3 2 2 3" xfId="42735"/>
    <cellStyle name="표준 4 2 2 2 3 2 3 2 3" xfId="42736"/>
    <cellStyle name="표준 4 2 2 2 3 2 3 2 4" xfId="42737"/>
    <cellStyle name="표준 4 2 2 2 3 2 3 2 5" xfId="42738"/>
    <cellStyle name="표준 4 2 2 2 3 2 3 3" xfId="42739"/>
    <cellStyle name="표준 4 2 2 2 3 2 4" xfId="42740"/>
    <cellStyle name="표준 4 2 2 2 3 2 4 2" xfId="42741"/>
    <cellStyle name="표준 4 2 2 2 3 2 4 2 2" xfId="42742"/>
    <cellStyle name="표준 4 2 2 2 3 2 4 2 2 2" xfId="42743"/>
    <cellStyle name="표준 4 2 2 2 3 2 4 2 2 3" xfId="42744"/>
    <cellStyle name="표준 4 2 2 2 3 2 4 2 3" xfId="42745"/>
    <cellStyle name="표준 4 2 2 2 3 2 4 2 4" xfId="42746"/>
    <cellStyle name="표준 4 2 2 2 3 2 4 2 5" xfId="42747"/>
    <cellStyle name="표준 4 2 2 2 3 2 4 3" xfId="42748"/>
    <cellStyle name="표준 4 2 2 2 3 2 5" xfId="42749"/>
    <cellStyle name="표준 4 2 2 2 3 2 6" xfId="42750"/>
    <cellStyle name="표준 4 2 2 2 3 2 7" xfId="42751"/>
    <cellStyle name="표준 4 2 2 2 3 2 8" xfId="42752"/>
    <cellStyle name="표준 4 2 2 2 3 2 9" xfId="42753"/>
    <cellStyle name="표준 4 2 2 2 3 20" xfId="42754"/>
    <cellStyle name="표준 4 2 2 2 3 3" xfId="42755"/>
    <cellStyle name="표준 4 2 2 2 3 3 2" xfId="42756"/>
    <cellStyle name="표준 4 2 2 2 3 3 2 2" xfId="42757"/>
    <cellStyle name="표준 4 2 2 2 3 3 2 2 2" xfId="42758"/>
    <cellStyle name="표준 4 2 2 2 3 3 2 2 3" xfId="42759"/>
    <cellStyle name="표준 4 2 2 2 3 3 2 3" xfId="42760"/>
    <cellStyle name="표준 4 2 2 2 3 3 2 4" xfId="42761"/>
    <cellStyle name="표준 4 2 2 2 3 3 2 5" xfId="42762"/>
    <cellStyle name="표준 4 2 2 2 3 3 3" xfId="42763"/>
    <cellStyle name="표준 4 2 2 2 3 3 3 2" xfId="42764"/>
    <cellStyle name="표준 4 2 2 2 3 3 3 3" xfId="42765"/>
    <cellStyle name="표준 4 2 2 2 3 3 4" xfId="42766"/>
    <cellStyle name="표준 4 2 2 2 3 3 5" xfId="42767"/>
    <cellStyle name="표준 4 2 2 2 3 3 6" xfId="42768"/>
    <cellStyle name="표준 4 2 2 2 3 4" xfId="42769"/>
    <cellStyle name="표준 4 2 2 2 3 4 2" xfId="42770"/>
    <cellStyle name="표준 4 2 2 2 3 4 2 2" xfId="42771"/>
    <cellStyle name="표준 4 2 2 2 3 4 2 2 2" xfId="42772"/>
    <cellStyle name="표준 4 2 2 2 3 4 2 2 3" xfId="42773"/>
    <cellStyle name="표준 4 2 2 2 3 4 2 3" xfId="42774"/>
    <cellStyle name="표준 4 2 2 2 3 4 2 4" xfId="42775"/>
    <cellStyle name="표준 4 2 2 2 3 4 2 5" xfId="42776"/>
    <cellStyle name="표준 4 2 2 2 3 4 3" xfId="42777"/>
    <cellStyle name="표준 4 2 2 2 3 5" xfId="42778"/>
    <cellStyle name="표준 4 2 2 2 3 5 2" xfId="42779"/>
    <cellStyle name="표준 4 2 2 2 3 5 2 2" xfId="42780"/>
    <cellStyle name="표준 4 2 2 2 3 5 2 2 2" xfId="42781"/>
    <cellStyle name="표준 4 2 2 2 3 5 2 2 3" xfId="42782"/>
    <cellStyle name="표준 4 2 2 2 3 5 2 3" xfId="42783"/>
    <cellStyle name="표준 4 2 2 2 3 5 2 4" xfId="42784"/>
    <cellStyle name="표준 4 2 2 2 3 5 2 5" xfId="42785"/>
    <cellStyle name="표준 4 2 2 2 3 5 3" xfId="42786"/>
    <cellStyle name="표준 4 2 2 2 3 6" xfId="42787"/>
    <cellStyle name="표준 4 2 2 2 3 7" xfId="42788"/>
    <cellStyle name="표준 4 2 2 2 3 8" xfId="42789"/>
    <cellStyle name="표준 4 2 2 2 3 9" xfId="42790"/>
    <cellStyle name="표준 4 2 2 2 4" xfId="42791"/>
    <cellStyle name="표준 4 2 2 2 4 10" xfId="42792"/>
    <cellStyle name="표준 4 2 2 2 4 11" xfId="42793"/>
    <cellStyle name="표준 4 2 2 2 4 12" xfId="42794"/>
    <cellStyle name="표준 4 2 2 2 4 13" xfId="42795"/>
    <cellStyle name="표준 4 2 2 2 4 14" xfId="42796"/>
    <cellStyle name="표준 4 2 2 2 4 15" xfId="42797"/>
    <cellStyle name="표준 4 2 2 2 4 16" xfId="42798"/>
    <cellStyle name="표준 4 2 2 2 4 17" xfId="42799"/>
    <cellStyle name="표준 4 2 2 2 4 17 2" xfId="42800"/>
    <cellStyle name="표준 4 2 2 2 4 17 3" xfId="42801"/>
    <cellStyle name="표준 4 2 2 2 4 18" xfId="42802"/>
    <cellStyle name="표준 4 2 2 2 4 19" xfId="42803"/>
    <cellStyle name="표준 4 2 2 2 4 2" xfId="42804"/>
    <cellStyle name="표준 4 2 2 2 4 2 10" xfId="42805"/>
    <cellStyle name="표준 4 2 2 2 4 2 11" xfId="42806"/>
    <cellStyle name="표준 4 2 2 2 4 2 12" xfId="42807"/>
    <cellStyle name="표준 4 2 2 2 4 2 13" xfId="42808"/>
    <cellStyle name="표준 4 2 2 2 4 2 14" xfId="42809"/>
    <cellStyle name="표준 4 2 2 2 4 2 15" xfId="42810"/>
    <cellStyle name="표준 4 2 2 2 4 2 16" xfId="42811"/>
    <cellStyle name="표준 4 2 2 2 4 2 16 2" xfId="42812"/>
    <cellStyle name="표준 4 2 2 2 4 2 16 3" xfId="42813"/>
    <cellStyle name="표준 4 2 2 2 4 2 17" xfId="42814"/>
    <cellStyle name="표준 4 2 2 2 4 2 18" xfId="42815"/>
    <cellStyle name="표준 4 2 2 2 4 2 19" xfId="42816"/>
    <cellStyle name="표준 4 2 2 2 4 2 2" xfId="42817"/>
    <cellStyle name="표준 4 2 2 2 4 2 2 2" xfId="42818"/>
    <cellStyle name="표준 4 2 2 2 4 2 2 2 2" xfId="42819"/>
    <cellStyle name="표준 4 2 2 2 4 2 2 2 2 2" xfId="42820"/>
    <cellStyle name="표준 4 2 2 2 4 2 2 2 2 3" xfId="42821"/>
    <cellStyle name="표준 4 2 2 2 4 2 2 2 3" xfId="42822"/>
    <cellStyle name="표준 4 2 2 2 4 2 2 2 4" xfId="42823"/>
    <cellStyle name="표준 4 2 2 2 4 2 2 2 5" xfId="42824"/>
    <cellStyle name="표준 4 2 2 2 4 2 2 3" xfId="42825"/>
    <cellStyle name="표준 4 2 2 2 4 2 2 3 2" xfId="42826"/>
    <cellStyle name="표준 4 2 2 2 4 2 2 3 3" xfId="42827"/>
    <cellStyle name="표준 4 2 2 2 4 2 2 4" xfId="42828"/>
    <cellStyle name="표준 4 2 2 2 4 2 2 5" xfId="42829"/>
    <cellStyle name="표준 4 2 2 2 4 2 2 6" xfId="42830"/>
    <cellStyle name="표준 4 2 2 2 4 2 3" xfId="42831"/>
    <cellStyle name="표준 4 2 2 2 4 2 3 2" xfId="42832"/>
    <cellStyle name="표준 4 2 2 2 4 2 3 2 2" xfId="42833"/>
    <cellStyle name="표준 4 2 2 2 4 2 3 2 2 2" xfId="42834"/>
    <cellStyle name="표준 4 2 2 2 4 2 3 2 2 3" xfId="42835"/>
    <cellStyle name="표준 4 2 2 2 4 2 3 2 3" xfId="42836"/>
    <cellStyle name="표준 4 2 2 2 4 2 3 2 4" xfId="42837"/>
    <cellStyle name="표준 4 2 2 2 4 2 3 2 5" xfId="42838"/>
    <cellStyle name="표준 4 2 2 2 4 2 3 3" xfId="42839"/>
    <cellStyle name="표준 4 2 2 2 4 2 4" xfId="42840"/>
    <cellStyle name="표준 4 2 2 2 4 2 4 2" xfId="42841"/>
    <cellStyle name="표준 4 2 2 2 4 2 4 2 2" xfId="42842"/>
    <cellStyle name="표준 4 2 2 2 4 2 4 2 2 2" xfId="42843"/>
    <cellStyle name="표준 4 2 2 2 4 2 4 2 2 3" xfId="42844"/>
    <cellStyle name="표준 4 2 2 2 4 2 4 2 3" xfId="42845"/>
    <cellStyle name="표준 4 2 2 2 4 2 4 2 4" xfId="42846"/>
    <cellStyle name="표준 4 2 2 2 4 2 4 2 5" xfId="42847"/>
    <cellStyle name="표준 4 2 2 2 4 2 4 3" xfId="42848"/>
    <cellStyle name="표준 4 2 2 2 4 2 5" xfId="42849"/>
    <cellStyle name="표준 4 2 2 2 4 2 6" xfId="42850"/>
    <cellStyle name="표준 4 2 2 2 4 2 7" xfId="42851"/>
    <cellStyle name="표준 4 2 2 2 4 2 8" xfId="42852"/>
    <cellStyle name="표준 4 2 2 2 4 2 9" xfId="42853"/>
    <cellStyle name="표준 4 2 2 2 4 20" xfId="42854"/>
    <cellStyle name="표준 4 2 2 2 4 3" xfId="42855"/>
    <cellStyle name="표준 4 2 2 2 4 3 2" xfId="42856"/>
    <cellStyle name="표준 4 2 2 2 4 3 2 2" xfId="42857"/>
    <cellStyle name="표준 4 2 2 2 4 3 2 2 2" xfId="42858"/>
    <cellStyle name="표준 4 2 2 2 4 3 2 2 3" xfId="42859"/>
    <cellStyle name="표준 4 2 2 2 4 3 2 3" xfId="42860"/>
    <cellStyle name="표준 4 2 2 2 4 3 2 4" xfId="42861"/>
    <cellStyle name="표준 4 2 2 2 4 3 2 5" xfId="42862"/>
    <cellStyle name="표준 4 2 2 2 4 3 3" xfId="42863"/>
    <cellStyle name="표준 4 2 2 2 4 3 3 2" xfId="42864"/>
    <cellStyle name="표준 4 2 2 2 4 3 3 3" xfId="42865"/>
    <cellStyle name="표준 4 2 2 2 4 3 4" xfId="42866"/>
    <cellStyle name="표준 4 2 2 2 4 3 5" xfId="42867"/>
    <cellStyle name="표준 4 2 2 2 4 3 6" xfId="42868"/>
    <cellStyle name="표준 4 2 2 2 4 4" xfId="42869"/>
    <cellStyle name="표준 4 2 2 2 4 4 2" xfId="42870"/>
    <cellStyle name="표준 4 2 2 2 4 4 2 2" xfId="42871"/>
    <cellStyle name="표준 4 2 2 2 4 4 2 2 2" xfId="42872"/>
    <cellStyle name="표준 4 2 2 2 4 4 2 2 3" xfId="42873"/>
    <cellStyle name="표준 4 2 2 2 4 4 2 3" xfId="42874"/>
    <cellStyle name="표준 4 2 2 2 4 4 2 4" xfId="42875"/>
    <cellStyle name="표준 4 2 2 2 4 4 2 5" xfId="42876"/>
    <cellStyle name="표준 4 2 2 2 4 4 3" xfId="42877"/>
    <cellStyle name="표준 4 2 2 2 4 5" xfId="42878"/>
    <cellStyle name="표준 4 2 2 2 4 5 2" xfId="42879"/>
    <cellStyle name="표준 4 2 2 2 4 5 2 2" xfId="42880"/>
    <cellStyle name="표준 4 2 2 2 4 5 2 2 2" xfId="42881"/>
    <cellStyle name="표준 4 2 2 2 4 5 2 2 3" xfId="42882"/>
    <cellStyle name="표준 4 2 2 2 4 5 2 3" xfId="42883"/>
    <cellStyle name="표준 4 2 2 2 4 5 2 4" xfId="42884"/>
    <cellStyle name="표준 4 2 2 2 4 5 2 5" xfId="42885"/>
    <cellStyle name="표준 4 2 2 2 4 5 3" xfId="42886"/>
    <cellStyle name="표준 4 2 2 2 4 6" xfId="42887"/>
    <cellStyle name="표준 4 2 2 2 4 7" xfId="42888"/>
    <cellStyle name="표준 4 2 2 2 4 8" xfId="42889"/>
    <cellStyle name="표준 4 2 2 2 4 9" xfId="42890"/>
    <cellStyle name="표준 4 2 2 2 5" xfId="42891"/>
    <cellStyle name="표준 4 2 2 2 5 10" xfId="42892"/>
    <cellStyle name="표준 4 2 2 2 5 11" xfId="42893"/>
    <cellStyle name="표준 4 2 2 2 5 12" xfId="42894"/>
    <cellStyle name="표준 4 2 2 2 5 13" xfId="42895"/>
    <cellStyle name="표준 4 2 2 2 5 14" xfId="42896"/>
    <cellStyle name="표준 4 2 2 2 5 15" xfId="42897"/>
    <cellStyle name="표준 4 2 2 2 5 16" xfId="42898"/>
    <cellStyle name="표준 4 2 2 2 5 16 2" xfId="42899"/>
    <cellStyle name="표준 4 2 2 2 5 16 3" xfId="42900"/>
    <cellStyle name="표준 4 2 2 2 5 17" xfId="42901"/>
    <cellStyle name="표준 4 2 2 2 5 18" xfId="42902"/>
    <cellStyle name="표준 4 2 2 2 5 19" xfId="42903"/>
    <cellStyle name="표준 4 2 2 2 5 2" xfId="42904"/>
    <cellStyle name="표준 4 2 2 2 5 2 2" xfId="42905"/>
    <cellStyle name="표준 4 2 2 2 5 2 2 2" xfId="42906"/>
    <cellStyle name="표준 4 2 2 2 5 2 2 2 2" xfId="42907"/>
    <cellStyle name="표준 4 2 2 2 5 2 2 2 3" xfId="42908"/>
    <cellStyle name="표준 4 2 2 2 5 2 2 3" xfId="42909"/>
    <cellStyle name="표준 4 2 2 2 5 2 2 4" xfId="42910"/>
    <cellStyle name="표준 4 2 2 2 5 2 2 5" xfId="42911"/>
    <cellStyle name="표준 4 2 2 2 5 2 3" xfId="42912"/>
    <cellStyle name="표준 4 2 2 2 5 2 3 2" xfId="42913"/>
    <cellStyle name="표준 4 2 2 2 5 2 3 3" xfId="42914"/>
    <cellStyle name="표준 4 2 2 2 5 2 4" xfId="42915"/>
    <cellStyle name="표준 4 2 2 2 5 2 5" xfId="42916"/>
    <cellStyle name="표준 4 2 2 2 5 2 6" xfId="42917"/>
    <cellStyle name="표준 4 2 2 2 5 3" xfId="42918"/>
    <cellStyle name="표준 4 2 2 2 5 3 2" xfId="42919"/>
    <cellStyle name="표준 4 2 2 2 5 3 2 2" xfId="42920"/>
    <cellStyle name="표준 4 2 2 2 5 3 2 2 2" xfId="42921"/>
    <cellStyle name="표준 4 2 2 2 5 3 2 2 3" xfId="42922"/>
    <cellStyle name="표준 4 2 2 2 5 3 2 3" xfId="42923"/>
    <cellStyle name="표준 4 2 2 2 5 3 2 4" xfId="42924"/>
    <cellStyle name="표준 4 2 2 2 5 3 2 5" xfId="42925"/>
    <cellStyle name="표준 4 2 2 2 5 3 3" xfId="42926"/>
    <cellStyle name="표준 4 2 2 2 5 4" xfId="42927"/>
    <cellStyle name="표준 4 2 2 2 5 4 2" xfId="42928"/>
    <cellStyle name="표준 4 2 2 2 5 4 2 2" xfId="42929"/>
    <cellStyle name="표준 4 2 2 2 5 4 2 2 2" xfId="42930"/>
    <cellStyle name="표준 4 2 2 2 5 4 2 2 3" xfId="42931"/>
    <cellStyle name="표준 4 2 2 2 5 4 2 3" xfId="42932"/>
    <cellStyle name="표준 4 2 2 2 5 4 2 4" xfId="42933"/>
    <cellStyle name="표준 4 2 2 2 5 4 2 5" xfId="42934"/>
    <cellStyle name="표준 4 2 2 2 5 4 3" xfId="42935"/>
    <cellStyle name="표준 4 2 2 2 5 5" xfId="42936"/>
    <cellStyle name="표준 4 2 2 2 5 6" xfId="42937"/>
    <cellStyle name="표준 4 2 2 2 5 7" xfId="42938"/>
    <cellStyle name="표준 4 2 2 2 5 8" xfId="42939"/>
    <cellStyle name="표준 4 2 2 2 5 9" xfId="42940"/>
    <cellStyle name="표준 4 2 2 2 6" xfId="42941"/>
    <cellStyle name="표준 4 2 2 2 6 2" xfId="42942"/>
    <cellStyle name="표준 4 2 2 2 6 2 2" xfId="42943"/>
    <cellStyle name="표준 4 2 2 2 6 2 2 2" xfId="42944"/>
    <cellStyle name="표준 4 2 2 2 6 2 2 3" xfId="42945"/>
    <cellStyle name="표준 4 2 2 2 6 2 3" xfId="42946"/>
    <cellStyle name="표준 4 2 2 2 6 2 4" xfId="42947"/>
    <cellStyle name="표준 4 2 2 2 6 2 5" xfId="42948"/>
    <cellStyle name="표준 4 2 2 2 6 3" xfId="42949"/>
    <cellStyle name="표준 4 2 2 2 6 3 2" xfId="42950"/>
    <cellStyle name="표준 4 2 2 2 6 3 3" xfId="42951"/>
    <cellStyle name="표준 4 2 2 2 6 4" xfId="42952"/>
    <cellStyle name="표준 4 2 2 2 6 5" xfId="42953"/>
    <cellStyle name="표준 4 2 2 2 6 6" xfId="42954"/>
    <cellStyle name="표준 4 2 2 2 7" xfId="42955"/>
    <cellStyle name="표준 4 2 2 2 7 2" xfId="42956"/>
    <cellStyle name="표준 4 2 2 2 7 2 2" xfId="42957"/>
    <cellStyle name="표준 4 2 2 2 7 2 2 2" xfId="42958"/>
    <cellStyle name="표준 4 2 2 2 7 2 2 3" xfId="42959"/>
    <cellStyle name="표준 4 2 2 2 7 2 3" xfId="42960"/>
    <cellStyle name="표준 4 2 2 2 7 2 4" xfId="42961"/>
    <cellStyle name="표준 4 2 2 2 7 2 5" xfId="42962"/>
    <cellStyle name="표준 4 2 2 2 7 3" xfId="42963"/>
    <cellStyle name="표준 4 2 2 2 8" xfId="42964"/>
    <cellStyle name="표준 4 2 2 2 8 2" xfId="42965"/>
    <cellStyle name="표준 4 2 2 2 8 2 2" xfId="42966"/>
    <cellStyle name="표준 4 2 2 2 8 2 2 2" xfId="42967"/>
    <cellStyle name="표준 4 2 2 2 8 2 2 3" xfId="42968"/>
    <cellStyle name="표준 4 2 2 2 8 2 3" xfId="42969"/>
    <cellStyle name="표준 4 2 2 2 8 2 4" xfId="42970"/>
    <cellStyle name="표준 4 2 2 2 8 2 5" xfId="42971"/>
    <cellStyle name="표준 4 2 2 2 8 3" xfId="42972"/>
    <cellStyle name="표준 4 2 2 2 9" xfId="42973"/>
    <cellStyle name="표준 4 2 2 20" xfId="42974"/>
    <cellStyle name="표준 4 2 2 21" xfId="42975"/>
    <cellStyle name="표준 4 2 2 21 2" xfId="42976"/>
    <cellStyle name="표준 4 2 2 21 3" xfId="42977"/>
    <cellStyle name="표준 4 2 2 22" xfId="42978"/>
    <cellStyle name="표준 4 2 2 23" xfId="42979"/>
    <cellStyle name="표준 4 2 2 24" xfId="42980"/>
    <cellStyle name="표준 4 2 2 3" xfId="42981"/>
    <cellStyle name="표준 4 2 2 3 10" xfId="42982"/>
    <cellStyle name="표준 4 2 2 3 11" xfId="42983"/>
    <cellStyle name="표준 4 2 2 3 12" xfId="42984"/>
    <cellStyle name="표준 4 2 2 3 13" xfId="42985"/>
    <cellStyle name="표준 4 2 2 3 14" xfId="42986"/>
    <cellStyle name="표준 4 2 2 3 15" xfId="42987"/>
    <cellStyle name="표준 4 2 2 3 16" xfId="42988"/>
    <cellStyle name="표준 4 2 2 3 17" xfId="42989"/>
    <cellStyle name="표준 4 2 2 3 18" xfId="42990"/>
    <cellStyle name="표준 4 2 2 3 19" xfId="42991"/>
    <cellStyle name="표준 4 2 2 3 19 2" xfId="42992"/>
    <cellStyle name="표준 4 2 2 3 19 3" xfId="42993"/>
    <cellStyle name="표준 4 2 2 3 2" xfId="42994"/>
    <cellStyle name="표준 4 2 2 3 2 10" xfId="42995"/>
    <cellStyle name="표준 4 2 2 3 2 11" xfId="42996"/>
    <cellStyle name="표준 4 2 2 3 2 12" xfId="42997"/>
    <cellStyle name="표준 4 2 2 3 2 13" xfId="42998"/>
    <cellStyle name="표준 4 2 2 3 2 14" xfId="42999"/>
    <cellStyle name="표준 4 2 2 3 2 15" xfId="43000"/>
    <cellStyle name="표준 4 2 2 3 2 16" xfId="43001"/>
    <cellStyle name="표준 4 2 2 3 2 17" xfId="43002"/>
    <cellStyle name="표준 4 2 2 3 2 17 2" xfId="43003"/>
    <cellStyle name="표준 4 2 2 3 2 17 3" xfId="43004"/>
    <cellStyle name="표준 4 2 2 3 2 18" xfId="43005"/>
    <cellStyle name="표준 4 2 2 3 2 19" xfId="43006"/>
    <cellStyle name="표준 4 2 2 3 2 2" xfId="43007"/>
    <cellStyle name="표준 4 2 2 3 2 2 10" xfId="43008"/>
    <cellStyle name="표준 4 2 2 3 2 2 11" xfId="43009"/>
    <cellStyle name="표준 4 2 2 3 2 2 12" xfId="43010"/>
    <cellStyle name="표준 4 2 2 3 2 2 13" xfId="43011"/>
    <cellStyle name="표준 4 2 2 3 2 2 14" xfId="43012"/>
    <cellStyle name="표준 4 2 2 3 2 2 15" xfId="43013"/>
    <cellStyle name="표준 4 2 2 3 2 2 16" xfId="43014"/>
    <cellStyle name="표준 4 2 2 3 2 2 16 2" xfId="43015"/>
    <cellStyle name="표준 4 2 2 3 2 2 16 3" xfId="43016"/>
    <cellStyle name="표준 4 2 2 3 2 2 17" xfId="43017"/>
    <cellStyle name="표준 4 2 2 3 2 2 18" xfId="43018"/>
    <cellStyle name="표준 4 2 2 3 2 2 19" xfId="43019"/>
    <cellStyle name="표준 4 2 2 3 2 2 2" xfId="43020"/>
    <cellStyle name="표준 4 2 2 3 2 2 2 2" xfId="43021"/>
    <cellStyle name="표준 4 2 2 3 2 2 2 2 2" xfId="43022"/>
    <cellStyle name="표준 4 2 2 3 2 2 2 2 2 2" xfId="43023"/>
    <cellStyle name="표준 4 2 2 3 2 2 2 2 2 3" xfId="43024"/>
    <cellStyle name="표준 4 2 2 3 2 2 2 2 3" xfId="43025"/>
    <cellStyle name="표준 4 2 2 3 2 2 2 2 4" xfId="43026"/>
    <cellStyle name="표준 4 2 2 3 2 2 2 2 5" xfId="43027"/>
    <cellStyle name="표준 4 2 2 3 2 2 2 3" xfId="43028"/>
    <cellStyle name="표준 4 2 2 3 2 2 2 3 2" xfId="43029"/>
    <cellStyle name="표준 4 2 2 3 2 2 2 3 3" xfId="43030"/>
    <cellStyle name="표준 4 2 2 3 2 2 2 4" xfId="43031"/>
    <cellStyle name="표준 4 2 2 3 2 2 2 5" xfId="43032"/>
    <cellStyle name="표준 4 2 2 3 2 2 2 6" xfId="43033"/>
    <cellStyle name="표준 4 2 2 3 2 2 3" xfId="43034"/>
    <cellStyle name="표준 4 2 2 3 2 2 3 2" xfId="43035"/>
    <cellStyle name="표준 4 2 2 3 2 2 3 2 2" xfId="43036"/>
    <cellStyle name="표준 4 2 2 3 2 2 3 2 2 2" xfId="43037"/>
    <cellStyle name="표준 4 2 2 3 2 2 3 2 2 3" xfId="43038"/>
    <cellStyle name="표준 4 2 2 3 2 2 3 2 3" xfId="43039"/>
    <cellStyle name="표준 4 2 2 3 2 2 3 2 4" xfId="43040"/>
    <cellStyle name="표준 4 2 2 3 2 2 3 2 5" xfId="43041"/>
    <cellStyle name="표준 4 2 2 3 2 2 3 3" xfId="43042"/>
    <cellStyle name="표준 4 2 2 3 2 2 4" xfId="43043"/>
    <cellStyle name="표준 4 2 2 3 2 2 4 2" xfId="43044"/>
    <cellStyle name="표준 4 2 2 3 2 2 4 2 2" xfId="43045"/>
    <cellStyle name="표준 4 2 2 3 2 2 4 2 2 2" xfId="43046"/>
    <cellStyle name="표준 4 2 2 3 2 2 4 2 2 3" xfId="43047"/>
    <cellStyle name="표준 4 2 2 3 2 2 4 2 3" xfId="43048"/>
    <cellStyle name="표준 4 2 2 3 2 2 4 2 4" xfId="43049"/>
    <cellStyle name="표준 4 2 2 3 2 2 4 2 5" xfId="43050"/>
    <cellStyle name="표준 4 2 2 3 2 2 4 3" xfId="43051"/>
    <cellStyle name="표준 4 2 2 3 2 2 5" xfId="43052"/>
    <cellStyle name="표준 4 2 2 3 2 2 6" xfId="43053"/>
    <cellStyle name="표준 4 2 2 3 2 2 7" xfId="43054"/>
    <cellStyle name="표준 4 2 2 3 2 2 8" xfId="43055"/>
    <cellStyle name="표준 4 2 2 3 2 2 9" xfId="43056"/>
    <cellStyle name="표준 4 2 2 3 2 20" xfId="43057"/>
    <cellStyle name="표준 4 2 2 3 2 3" xfId="43058"/>
    <cellStyle name="표준 4 2 2 3 2 3 2" xfId="43059"/>
    <cellStyle name="표준 4 2 2 3 2 3 2 2" xfId="43060"/>
    <cellStyle name="표준 4 2 2 3 2 3 2 2 2" xfId="43061"/>
    <cellStyle name="표준 4 2 2 3 2 3 2 2 3" xfId="43062"/>
    <cellStyle name="표준 4 2 2 3 2 3 2 3" xfId="43063"/>
    <cellStyle name="표준 4 2 2 3 2 3 2 4" xfId="43064"/>
    <cellStyle name="표준 4 2 2 3 2 3 2 5" xfId="43065"/>
    <cellStyle name="표준 4 2 2 3 2 3 3" xfId="43066"/>
    <cellStyle name="표준 4 2 2 3 2 3 3 2" xfId="43067"/>
    <cellStyle name="표준 4 2 2 3 2 3 3 3" xfId="43068"/>
    <cellStyle name="표준 4 2 2 3 2 3 4" xfId="43069"/>
    <cellStyle name="표준 4 2 2 3 2 3 5" xfId="43070"/>
    <cellStyle name="표준 4 2 2 3 2 3 6" xfId="43071"/>
    <cellStyle name="표준 4 2 2 3 2 4" xfId="43072"/>
    <cellStyle name="표준 4 2 2 3 2 4 2" xfId="43073"/>
    <cellStyle name="표준 4 2 2 3 2 4 2 2" xfId="43074"/>
    <cellStyle name="표준 4 2 2 3 2 4 2 2 2" xfId="43075"/>
    <cellStyle name="표준 4 2 2 3 2 4 2 2 3" xfId="43076"/>
    <cellStyle name="표준 4 2 2 3 2 4 2 3" xfId="43077"/>
    <cellStyle name="표준 4 2 2 3 2 4 2 4" xfId="43078"/>
    <cellStyle name="표준 4 2 2 3 2 4 2 5" xfId="43079"/>
    <cellStyle name="표준 4 2 2 3 2 4 3" xfId="43080"/>
    <cellStyle name="표준 4 2 2 3 2 5" xfId="43081"/>
    <cellStyle name="표준 4 2 2 3 2 5 2" xfId="43082"/>
    <cellStyle name="표준 4 2 2 3 2 5 2 2" xfId="43083"/>
    <cellStyle name="표준 4 2 2 3 2 5 2 2 2" xfId="43084"/>
    <cellStyle name="표준 4 2 2 3 2 5 2 2 3" xfId="43085"/>
    <cellStyle name="표준 4 2 2 3 2 5 2 3" xfId="43086"/>
    <cellStyle name="표준 4 2 2 3 2 5 2 4" xfId="43087"/>
    <cellStyle name="표준 4 2 2 3 2 5 2 5" xfId="43088"/>
    <cellStyle name="표준 4 2 2 3 2 5 3" xfId="43089"/>
    <cellStyle name="표준 4 2 2 3 2 6" xfId="43090"/>
    <cellStyle name="표준 4 2 2 3 2 7" xfId="43091"/>
    <cellStyle name="표준 4 2 2 3 2 8" xfId="43092"/>
    <cellStyle name="표준 4 2 2 3 2 9" xfId="43093"/>
    <cellStyle name="표준 4 2 2 3 20" xfId="43094"/>
    <cellStyle name="표준 4 2 2 3 21" xfId="43095"/>
    <cellStyle name="표준 4 2 2 3 22" xfId="43096"/>
    <cellStyle name="표준 4 2 2 3 3" xfId="43097"/>
    <cellStyle name="표준 4 2 2 3 3 10" xfId="43098"/>
    <cellStyle name="표준 4 2 2 3 3 11" xfId="43099"/>
    <cellStyle name="표준 4 2 2 3 3 12" xfId="43100"/>
    <cellStyle name="표준 4 2 2 3 3 13" xfId="43101"/>
    <cellStyle name="표준 4 2 2 3 3 14" xfId="43102"/>
    <cellStyle name="표준 4 2 2 3 3 15" xfId="43103"/>
    <cellStyle name="표준 4 2 2 3 3 16" xfId="43104"/>
    <cellStyle name="표준 4 2 2 3 3 17" xfId="43105"/>
    <cellStyle name="표준 4 2 2 3 3 17 2" xfId="43106"/>
    <cellStyle name="표준 4 2 2 3 3 17 3" xfId="43107"/>
    <cellStyle name="표준 4 2 2 3 3 18" xfId="43108"/>
    <cellStyle name="표준 4 2 2 3 3 19" xfId="43109"/>
    <cellStyle name="표준 4 2 2 3 3 2" xfId="43110"/>
    <cellStyle name="표준 4 2 2 3 3 2 10" xfId="43111"/>
    <cellStyle name="표준 4 2 2 3 3 2 11" xfId="43112"/>
    <cellStyle name="표준 4 2 2 3 3 2 12" xfId="43113"/>
    <cellStyle name="표준 4 2 2 3 3 2 13" xfId="43114"/>
    <cellStyle name="표준 4 2 2 3 3 2 14" xfId="43115"/>
    <cellStyle name="표준 4 2 2 3 3 2 15" xfId="43116"/>
    <cellStyle name="표준 4 2 2 3 3 2 16" xfId="43117"/>
    <cellStyle name="표준 4 2 2 3 3 2 16 2" xfId="43118"/>
    <cellStyle name="표준 4 2 2 3 3 2 16 3" xfId="43119"/>
    <cellStyle name="표준 4 2 2 3 3 2 17" xfId="43120"/>
    <cellStyle name="표준 4 2 2 3 3 2 18" xfId="43121"/>
    <cellStyle name="표준 4 2 2 3 3 2 19" xfId="43122"/>
    <cellStyle name="표준 4 2 2 3 3 2 2" xfId="43123"/>
    <cellStyle name="표준 4 2 2 3 3 2 2 2" xfId="43124"/>
    <cellStyle name="표준 4 2 2 3 3 2 2 2 2" xfId="43125"/>
    <cellStyle name="표준 4 2 2 3 3 2 2 2 2 2" xfId="43126"/>
    <cellStyle name="표준 4 2 2 3 3 2 2 2 2 3" xfId="43127"/>
    <cellStyle name="표준 4 2 2 3 3 2 2 2 3" xfId="43128"/>
    <cellStyle name="표준 4 2 2 3 3 2 2 2 4" xfId="43129"/>
    <cellStyle name="표준 4 2 2 3 3 2 2 2 5" xfId="43130"/>
    <cellStyle name="표준 4 2 2 3 3 2 2 3" xfId="43131"/>
    <cellStyle name="표준 4 2 2 3 3 2 2 3 2" xfId="43132"/>
    <cellStyle name="표준 4 2 2 3 3 2 2 3 3" xfId="43133"/>
    <cellStyle name="표준 4 2 2 3 3 2 2 4" xfId="43134"/>
    <cellStyle name="표준 4 2 2 3 3 2 2 5" xfId="43135"/>
    <cellStyle name="표준 4 2 2 3 3 2 2 6" xfId="43136"/>
    <cellStyle name="표준 4 2 2 3 3 2 3" xfId="43137"/>
    <cellStyle name="표준 4 2 2 3 3 2 3 2" xfId="43138"/>
    <cellStyle name="표준 4 2 2 3 3 2 3 2 2" xfId="43139"/>
    <cellStyle name="표준 4 2 2 3 3 2 3 2 2 2" xfId="43140"/>
    <cellStyle name="표준 4 2 2 3 3 2 3 2 2 3" xfId="43141"/>
    <cellStyle name="표준 4 2 2 3 3 2 3 2 3" xfId="43142"/>
    <cellStyle name="표준 4 2 2 3 3 2 3 2 4" xfId="43143"/>
    <cellStyle name="표준 4 2 2 3 3 2 3 2 5" xfId="43144"/>
    <cellStyle name="표준 4 2 2 3 3 2 3 3" xfId="43145"/>
    <cellStyle name="표준 4 2 2 3 3 2 4" xfId="43146"/>
    <cellStyle name="표준 4 2 2 3 3 2 4 2" xfId="43147"/>
    <cellStyle name="표준 4 2 2 3 3 2 4 2 2" xfId="43148"/>
    <cellStyle name="표준 4 2 2 3 3 2 4 2 2 2" xfId="43149"/>
    <cellStyle name="표준 4 2 2 3 3 2 4 2 2 3" xfId="43150"/>
    <cellStyle name="표준 4 2 2 3 3 2 4 2 3" xfId="43151"/>
    <cellStyle name="표준 4 2 2 3 3 2 4 2 4" xfId="43152"/>
    <cellStyle name="표준 4 2 2 3 3 2 4 2 5" xfId="43153"/>
    <cellStyle name="표준 4 2 2 3 3 2 4 3" xfId="43154"/>
    <cellStyle name="표준 4 2 2 3 3 2 5" xfId="43155"/>
    <cellStyle name="표준 4 2 2 3 3 2 6" xfId="43156"/>
    <cellStyle name="표준 4 2 2 3 3 2 7" xfId="43157"/>
    <cellStyle name="표준 4 2 2 3 3 2 8" xfId="43158"/>
    <cellStyle name="표준 4 2 2 3 3 2 9" xfId="43159"/>
    <cellStyle name="표준 4 2 2 3 3 20" xfId="43160"/>
    <cellStyle name="표준 4 2 2 3 3 3" xfId="43161"/>
    <cellStyle name="표준 4 2 2 3 3 3 2" xfId="43162"/>
    <cellStyle name="표준 4 2 2 3 3 3 2 2" xfId="43163"/>
    <cellStyle name="표준 4 2 2 3 3 3 2 2 2" xfId="43164"/>
    <cellStyle name="표준 4 2 2 3 3 3 2 2 3" xfId="43165"/>
    <cellStyle name="표준 4 2 2 3 3 3 2 3" xfId="43166"/>
    <cellStyle name="표준 4 2 2 3 3 3 2 4" xfId="43167"/>
    <cellStyle name="표준 4 2 2 3 3 3 2 5" xfId="43168"/>
    <cellStyle name="표준 4 2 2 3 3 3 3" xfId="43169"/>
    <cellStyle name="표준 4 2 2 3 3 3 3 2" xfId="43170"/>
    <cellStyle name="표준 4 2 2 3 3 3 3 3" xfId="43171"/>
    <cellStyle name="표준 4 2 2 3 3 3 4" xfId="43172"/>
    <cellStyle name="표준 4 2 2 3 3 3 5" xfId="43173"/>
    <cellStyle name="표준 4 2 2 3 3 3 6" xfId="43174"/>
    <cellStyle name="표준 4 2 2 3 3 4" xfId="43175"/>
    <cellStyle name="표준 4 2 2 3 3 4 2" xfId="43176"/>
    <cellStyle name="표준 4 2 2 3 3 4 2 2" xfId="43177"/>
    <cellStyle name="표준 4 2 2 3 3 4 2 2 2" xfId="43178"/>
    <cellStyle name="표준 4 2 2 3 3 4 2 2 3" xfId="43179"/>
    <cellStyle name="표준 4 2 2 3 3 4 2 3" xfId="43180"/>
    <cellStyle name="표준 4 2 2 3 3 4 2 4" xfId="43181"/>
    <cellStyle name="표준 4 2 2 3 3 4 2 5" xfId="43182"/>
    <cellStyle name="표준 4 2 2 3 3 4 3" xfId="43183"/>
    <cellStyle name="표준 4 2 2 3 3 5" xfId="43184"/>
    <cellStyle name="표준 4 2 2 3 3 5 2" xfId="43185"/>
    <cellStyle name="표준 4 2 2 3 3 5 2 2" xfId="43186"/>
    <cellStyle name="표준 4 2 2 3 3 5 2 2 2" xfId="43187"/>
    <cellStyle name="표준 4 2 2 3 3 5 2 2 3" xfId="43188"/>
    <cellStyle name="표준 4 2 2 3 3 5 2 3" xfId="43189"/>
    <cellStyle name="표준 4 2 2 3 3 5 2 4" xfId="43190"/>
    <cellStyle name="표준 4 2 2 3 3 5 2 5" xfId="43191"/>
    <cellStyle name="표준 4 2 2 3 3 5 3" xfId="43192"/>
    <cellStyle name="표준 4 2 2 3 3 6" xfId="43193"/>
    <cellStyle name="표준 4 2 2 3 3 7" xfId="43194"/>
    <cellStyle name="표준 4 2 2 3 3 8" xfId="43195"/>
    <cellStyle name="표준 4 2 2 3 3 9" xfId="43196"/>
    <cellStyle name="표준 4 2 2 3 4" xfId="43197"/>
    <cellStyle name="표준 4 2 2 3 4 10" xfId="43198"/>
    <cellStyle name="표준 4 2 2 3 4 11" xfId="43199"/>
    <cellStyle name="표준 4 2 2 3 4 12" xfId="43200"/>
    <cellStyle name="표준 4 2 2 3 4 13" xfId="43201"/>
    <cellStyle name="표준 4 2 2 3 4 14" xfId="43202"/>
    <cellStyle name="표준 4 2 2 3 4 15" xfId="43203"/>
    <cellStyle name="표준 4 2 2 3 4 16" xfId="43204"/>
    <cellStyle name="표준 4 2 2 3 4 16 2" xfId="43205"/>
    <cellStyle name="표준 4 2 2 3 4 16 3" xfId="43206"/>
    <cellStyle name="표준 4 2 2 3 4 17" xfId="43207"/>
    <cellStyle name="표준 4 2 2 3 4 18" xfId="43208"/>
    <cellStyle name="표준 4 2 2 3 4 19" xfId="43209"/>
    <cellStyle name="표준 4 2 2 3 4 2" xfId="43210"/>
    <cellStyle name="표준 4 2 2 3 4 2 2" xfId="43211"/>
    <cellStyle name="표준 4 2 2 3 4 2 2 2" xfId="43212"/>
    <cellStyle name="표준 4 2 2 3 4 2 2 2 2" xfId="43213"/>
    <cellStyle name="표준 4 2 2 3 4 2 2 2 3" xfId="43214"/>
    <cellStyle name="표준 4 2 2 3 4 2 2 3" xfId="43215"/>
    <cellStyle name="표준 4 2 2 3 4 2 2 4" xfId="43216"/>
    <cellStyle name="표준 4 2 2 3 4 2 2 5" xfId="43217"/>
    <cellStyle name="표준 4 2 2 3 4 2 3" xfId="43218"/>
    <cellStyle name="표준 4 2 2 3 4 2 3 2" xfId="43219"/>
    <cellStyle name="표준 4 2 2 3 4 2 3 3" xfId="43220"/>
    <cellStyle name="표준 4 2 2 3 4 2 4" xfId="43221"/>
    <cellStyle name="표준 4 2 2 3 4 2 5" xfId="43222"/>
    <cellStyle name="표준 4 2 2 3 4 2 6" xfId="43223"/>
    <cellStyle name="표준 4 2 2 3 4 3" xfId="43224"/>
    <cellStyle name="표준 4 2 2 3 4 3 2" xfId="43225"/>
    <cellStyle name="표준 4 2 2 3 4 3 2 2" xfId="43226"/>
    <cellStyle name="표준 4 2 2 3 4 3 2 2 2" xfId="43227"/>
    <cellStyle name="표준 4 2 2 3 4 3 2 2 3" xfId="43228"/>
    <cellStyle name="표준 4 2 2 3 4 3 2 3" xfId="43229"/>
    <cellStyle name="표준 4 2 2 3 4 3 2 4" xfId="43230"/>
    <cellStyle name="표준 4 2 2 3 4 3 2 5" xfId="43231"/>
    <cellStyle name="표준 4 2 2 3 4 3 3" xfId="43232"/>
    <cellStyle name="표준 4 2 2 3 4 4" xfId="43233"/>
    <cellStyle name="표준 4 2 2 3 4 4 2" xfId="43234"/>
    <cellStyle name="표준 4 2 2 3 4 4 2 2" xfId="43235"/>
    <cellStyle name="표준 4 2 2 3 4 4 2 2 2" xfId="43236"/>
    <cellStyle name="표준 4 2 2 3 4 4 2 2 3" xfId="43237"/>
    <cellStyle name="표준 4 2 2 3 4 4 2 3" xfId="43238"/>
    <cellStyle name="표준 4 2 2 3 4 4 2 4" xfId="43239"/>
    <cellStyle name="표준 4 2 2 3 4 4 2 5" xfId="43240"/>
    <cellStyle name="표준 4 2 2 3 4 4 3" xfId="43241"/>
    <cellStyle name="표준 4 2 2 3 4 5" xfId="43242"/>
    <cellStyle name="표준 4 2 2 3 4 6" xfId="43243"/>
    <cellStyle name="표준 4 2 2 3 4 7" xfId="43244"/>
    <cellStyle name="표준 4 2 2 3 4 8" xfId="43245"/>
    <cellStyle name="표준 4 2 2 3 4 9" xfId="43246"/>
    <cellStyle name="표준 4 2 2 3 5" xfId="43247"/>
    <cellStyle name="표준 4 2 2 3 5 2" xfId="43248"/>
    <cellStyle name="표준 4 2 2 3 5 2 2" xfId="43249"/>
    <cellStyle name="표준 4 2 2 3 5 2 2 2" xfId="43250"/>
    <cellStyle name="표준 4 2 2 3 5 2 2 3" xfId="43251"/>
    <cellStyle name="표준 4 2 2 3 5 2 3" xfId="43252"/>
    <cellStyle name="표준 4 2 2 3 5 2 4" xfId="43253"/>
    <cellStyle name="표준 4 2 2 3 5 2 5" xfId="43254"/>
    <cellStyle name="표준 4 2 2 3 5 3" xfId="43255"/>
    <cellStyle name="표준 4 2 2 3 5 3 2" xfId="43256"/>
    <cellStyle name="표준 4 2 2 3 5 3 3" xfId="43257"/>
    <cellStyle name="표준 4 2 2 3 5 4" xfId="43258"/>
    <cellStyle name="표준 4 2 2 3 5 5" xfId="43259"/>
    <cellStyle name="표준 4 2 2 3 5 6" xfId="43260"/>
    <cellStyle name="표준 4 2 2 3 6" xfId="43261"/>
    <cellStyle name="표준 4 2 2 3 6 2" xfId="43262"/>
    <cellStyle name="표준 4 2 2 3 6 2 2" xfId="43263"/>
    <cellStyle name="표준 4 2 2 3 6 2 2 2" xfId="43264"/>
    <cellStyle name="표준 4 2 2 3 6 2 2 3" xfId="43265"/>
    <cellStyle name="표준 4 2 2 3 6 2 3" xfId="43266"/>
    <cellStyle name="표준 4 2 2 3 6 2 4" xfId="43267"/>
    <cellStyle name="표준 4 2 2 3 6 2 5" xfId="43268"/>
    <cellStyle name="표준 4 2 2 3 6 3" xfId="43269"/>
    <cellStyle name="표준 4 2 2 3 7" xfId="43270"/>
    <cellStyle name="표준 4 2 2 3 7 2" xfId="43271"/>
    <cellStyle name="표준 4 2 2 3 7 2 2" xfId="43272"/>
    <cellStyle name="표준 4 2 2 3 7 2 2 2" xfId="43273"/>
    <cellStyle name="표준 4 2 2 3 7 2 2 3" xfId="43274"/>
    <cellStyle name="표준 4 2 2 3 7 2 3" xfId="43275"/>
    <cellStyle name="표준 4 2 2 3 7 2 4" xfId="43276"/>
    <cellStyle name="표준 4 2 2 3 7 2 5" xfId="43277"/>
    <cellStyle name="표준 4 2 2 3 7 3" xfId="43278"/>
    <cellStyle name="표준 4 2 2 3 8" xfId="43279"/>
    <cellStyle name="표준 4 2 2 3 9" xfId="43280"/>
    <cellStyle name="표준 4 2 2 4" xfId="43281"/>
    <cellStyle name="표준 4 2 2 4 10" xfId="43282"/>
    <cellStyle name="표준 4 2 2 4 11" xfId="43283"/>
    <cellStyle name="표준 4 2 2 4 12" xfId="43284"/>
    <cellStyle name="표준 4 2 2 4 13" xfId="43285"/>
    <cellStyle name="표준 4 2 2 4 14" xfId="43286"/>
    <cellStyle name="표준 4 2 2 4 15" xfId="43287"/>
    <cellStyle name="표준 4 2 2 4 16" xfId="43288"/>
    <cellStyle name="표준 4 2 2 4 17" xfId="43289"/>
    <cellStyle name="표준 4 2 2 4 17 2" xfId="43290"/>
    <cellStyle name="표준 4 2 2 4 17 3" xfId="43291"/>
    <cellStyle name="표준 4 2 2 4 18" xfId="43292"/>
    <cellStyle name="표준 4 2 2 4 19" xfId="43293"/>
    <cellStyle name="표준 4 2 2 4 2" xfId="43294"/>
    <cellStyle name="표준 4 2 2 4 2 10" xfId="43295"/>
    <cellStyle name="표준 4 2 2 4 2 11" xfId="43296"/>
    <cellStyle name="표준 4 2 2 4 2 12" xfId="43297"/>
    <cellStyle name="표준 4 2 2 4 2 13" xfId="43298"/>
    <cellStyle name="표준 4 2 2 4 2 14" xfId="43299"/>
    <cellStyle name="표준 4 2 2 4 2 15" xfId="43300"/>
    <cellStyle name="표준 4 2 2 4 2 16" xfId="43301"/>
    <cellStyle name="표준 4 2 2 4 2 16 2" xfId="43302"/>
    <cellStyle name="표준 4 2 2 4 2 16 3" xfId="43303"/>
    <cellStyle name="표준 4 2 2 4 2 17" xfId="43304"/>
    <cellStyle name="표준 4 2 2 4 2 18" xfId="43305"/>
    <cellStyle name="표준 4 2 2 4 2 19" xfId="43306"/>
    <cellStyle name="표준 4 2 2 4 2 2" xfId="43307"/>
    <cellStyle name="표준 4 2 2 4 2 2 2" xfId="43308"/>
    <cellStyle name="표준 4 2 2 4 2 2 2 2" xfId="43309"/>
    <cellStyle name="표준 4 2 2 4 2 2 2 2 2" xfId="43310"/>
    <cellStyle name="표준 4 2 2 4 2 2 2 2 3" xfId="43311"/>
    <cellStyle name="표준 4 2 2 4 2 2 2 3" xfId="43312"/>
    <cellStyle name="표준 4 2 2 4 2 2 2 4" xfId="43313"/>
    <cellStyle name="표준 4 2 2 4 2 2 2 5" xfId="43314"/>
    <cellStyle name="표준 4 2 2 4 2 2 3" xfId="43315"/>
    <cellStyle name="표준 4 2 2 4 2 2 3 2" xfId="43316"/>
    <cellStyle name="표준 4 2 2 4 2 2 3 3" xfId="43317"/>
    <cellStyle name="표준 4 2 2 4 2 2 4" xfId="43318"/>
    <cellStyle name="표준 4 2 2 4 2 2 5" xfId="43319"/>
    <cellStyle name="표준 4 2 2 4 2 2 6" xfId="43320"/>
    <cellStyle name="표준 4 2 2 4 2 3" xfId="43321"/>
    <cellStyle name="표준 4 2 2 4 2 3 2" xfId="43322"/>
    <cellStyle name="표준 4 2 2 4 2 3 2 2" xfId="43323"/>
    <cellStyle name="표준 4 2 2 4 2 3 2 2 2" xfId="43324"/>
    <cellStyle name="표준 4 2 2 4 2 3 2 2 3" xfId="43325"/>
    <cellStyle name="표준 4 2 2 4 2 3 2 3" xfId="43326"/>
    <cellStyle name="표준 4 2 2 4 2 3 2 4" xfId="43327"/>
    <cellStyle name="표준 4 2 2 4 2 3 2 5" xfId="43328"/>
    <cellStyle name="표준 4 2 2 4 2 3 3" xfId="43329"/>
    <cellStyle name="표준 4 2 2 4 2 4" xfId="43330"/>
    <cellStyle name="표준 4 2 2 4 2 4 2" xfId="43331"/>
    <cellStyle name="표준 4 2 2 4 2 4 2 2" xfId="43332"/>
    <cellStyle name="표준 4 2 2 4 2 4 2 2 2" xfId="43333"/>
    <cellStyle name="표준 4 2 2 4 2 4 2 2 3" xfId="43334"/>
    <cellStyle name="표준 4 2 2 4 2 4 2 3" xfId="43335"/>
    <cellStyle name="표준 4 2 2 4 2 4 2 4" xfId="43336"/>
    <cellStyle name="표준 4 2 2 4 2 4 2 5" xfId="43337"/>
    <cellStyle name="표준 4 2 2 4 2 4 3" xfId="43338"/>
    <cellStyle name="표준 4 2 2 4 2 5" xfId="43339"/>
    <cellStyle name="표준 4 2 2 4 2 6" xfId="43340"/>
    <cellStyle name="표준 4 2 2 4 2 7" xfId="43341"/>
    <cellStyle name="표준 4 2 2 4 2 8" xfId="43342"/>
    <cellStyle name="표준 4 2 2 4 2 9" xfId="43343"/>
    <cellStyle name="표준 4 2 2 4 20" xfId="43344"/>
    <cellStyle name="표준 4 2 2 4 3" xfId="43345"/>
    <cellStyle name="표준 4 2 2 4 3 2" xfId="43346"/>
    <cellStyle name="표준 4 2 2 4 3 2 2" xfId="43347"/>
    <cellStyle name="표준 4 2 2 4 3 2 2 2" xfId="43348"/>
    <cellStyle name="표준 4 2 2 4 3 2 2 3" xfId="43349"/>
    <cellStyle name="표준 4 2 2 4 3 2 3" xfId="43350"/>
    <cellStyle name="표준 4 2 2 4 3 2 4" xfId="43351"/>
    <cellStyle name="표준 4 2 2 4 3 2 5" xfId="43352"/>
    <cellStyle name="표준 4 2 2 4 3 3" xfId="43353"/>
    <cellStyle name="표준 4 2 2 4 3 3 2" xfId="43354"/>
    <cellStyle name="표준 4 2 2 4 3 3 3" xfId="43355"/>
    <cellStyle name="표준 4 2 2 4 3 4" xfId="43356"/>
    <cellStyle name="표준 4 2 2 4 3 5" xfId="43357"/>
    <cellStyle name="표준 4 2 2 4 3 6" xfId="43358"/>
    <cellStyle name="표준 4 2 2 4 4" xfId="43359"/>
    <cellStyle name="표준 4 2 2 4 4 2" xfId="43360"/>
    <cellStyle name="표준 4 2 2 4 4 2 2" xfId="43361"/>
    <cellStyle name="표준 4 2 2 4 4 2 2 2" xfId="43362"/>
    <cellStyle name="표준 4 2 2 4 4 2 2 3" xfId="43363"/>
    <cellStyle name="표준 4 2 2 4 4 2 3" xfId="43364"/>
    <cellStyle name="표준 4 2 2 4 4 2 4" xfId="43365"/>
    <cellStyle name="표준 4 2 2 4 4 2 5" xfId="43366"/>
    <cellStyle name="표준 4 2 2 4 4 3" xfId="43367"/>
    <cellStyle name="표준 4 2 2 4 5" xfId="43368"/>
    <cellStyle name="표준 4 2 2 4 5 2" xfId="43369"/>
    <cellStyle name="표준 4 2 2 4 5 2 2" xfId="43370"/>
    <cellStyle name="표준 4 2 2 4 5 2 2 2" xfId="43371"/>
    <cellStyle name="표준 4 2 2 4 5 2 2 3" xfId="43372"/>
    <cellStyle name="표준 4 2 2 4 5 2 3" xfId="43373"/>
    <cellStyle name="표준 4 2 2 4 5 2 4" xfId="43374"/>
    <cellStyle name="표준 4 2 2 4 5 2 5" xfId="43375"/>
    <cellStyle name="표준 4 2 2 4 5 3" xfId="43376"/>
    <cellStyle name="표준 4 2 2 4 6" xfId="43377"/>
    <cellStyle name="표준 4 2 2 4 7" xfId="43378"/>
    <cellStyle name="표준 4 2 2 4 8" xfId="43379"/>
    <cellStyle name="표준 4 2 2 4 9" xfId="43380"/>
    <cellStyle name="표준 4 2 2 5" xfId="43381"/>
    <cellStyle name="표준 4 2 2 5 10" xfId="43382"/>
    <cellStyle name="표준 4 2 2 5 11" xfId="43383"/>
    <cellStyle name="표준 4 2 2 5 12" xfId="43384"/>
    <cellStyle name="표준 4 2 2 5 13" xfId="43385"/>
    <cellStyle name="표준 4 2 2 5 14" xfId="43386"/>
    <cellStyle name="표준 4 2 2 5 15" xfId="43387"/>
    <cellStyle name="표준 4 2 2 5 16" xfId="43388"/>
    <cellStyle name="표준 4 2 2 5 17" xfId="43389"/>
    <cellStyle name="표준 4 2 2 5 17 2" xfId="43390"/>
    <cellStyle name="표준 4 2 2 5 17 3" xfId="43391"/>
    <cellStyle name="표준 4 2 2 5 18" xfId="43392"/>
    <cellStyle name="표준 4 2 2 5 19" xfId="43393"/>
    <cellStyle name="표준 4 2 2 5 2" xfId="43394"/>
    <cellStyle name="표준 4 2 2 5 2 10" xfId="43395"/>
    <cellStyle name="표준 4 2 2 5 2 11" xfId="43396"/>
    <cellStyle name="표준 4 2 2 5 2 12" xfId="43397"/>
    <cellStyle name="표준 4 2 2 5 2 13" xfId="43398"/>
    <cellStyle name="표준 4 2 2 5 2 14" xfId="43399"/>
    <cellStyle name="표준 4 2 2 5 2 15" xfId="43400"/>
    <cellStyle name="표준 4 2 2 5 2 16" xfId="43401"/>
    <cellStyle name="표준 4 2 2 5 2 16 2" xfId="43402"/>
    <cellStyle name="표준 4 2 2 5 2 16 3" xfId="43403"/>
    <cellStyle name="표준 4 2 2 5 2 17" xfId="43404"/>
    <cellStyle name="표준 4 2 2 5 2 18" xfId="43405"/>
    <cellStyle name="표준 4 2 2 5 2 19" xfId="43406"/>
    <cellStyle name="표준 4 2 2 5 2 2" xfId="43407"/>
    <cellStyle name="표준 4 2 2 5 2 2 2" xfId="43408"/>
    <cellStyle name="표준 4 2 2 5 2 2 2 2" xfId="43409"/>
    <cellStyle name="표준 4 2 2 5 2 2 2 2 2" xfId="43410"/>
    <cellStyle name="표준 4 2 2 5 2 2 2 2 3" xfId="43411"/>
    <cellStyle name="표준 4 2 2 5 2 2 2 3" xfId="43412"/>
    <cellStyle name="표준 4 2 2 5 2 2 2 4" xfId="43413"/>
    <cellStyle name="표준 4 2 2 5 2 2 2 5" xfId="43414"/>
    <cellStyle name="표준 4 2 2 5 2 2 3" xfId="43415"/>
    <cellStyle name="표준 4 2 2 5 2 2 3 2" xfId="43416"/>
    <cellStyle name="표준 4 2 2 5 2 2 3 3" xfId="43417"/>
    <cellStyle name="표준 4 2 2 5 2 2 4" xfId="43418"/>
    <cellStyle name="표준 4 2 2 5 2 2 5" xfId="43419"/>
    <cellStyle name="표준 4 2 2 5 2 2 6" xfId="43420"/>
    <cellStyle name="표준 4 2 2 5 2 3" xfId="43421"/>
    <cellStyle name="표준 4 2 2 5 2 3 2" xfId="43422"/>
    <cellStyle name="표준 4 2 2 5 2 3 2 2" xfId="43423"/>
    <cellStyle name="표준 4 2 2 5 2 3 2 2 2" xfId="43424"/>
    <cellStyle name="표준 4 2 2 5 2 3 2 2 3" xfId="43425"/>
    <cellStyle name="표준 4 2 2 5 2 3 2 3" xfId="43426"/>
    <cellStyle name="표준 4 2 2 5 2 3 2 4" xfId="43427"/>
    <cellStyle name="표준 4 2 2 5 2 3 2 5" xfId="43428"/>
    <cellStyle name="표준 4 2 2 5 2 3 3" xfId="43429"/>
    <cellStyle name="표준 4 2 2 5 2 4" xfId="43430"/>
    <cellStyle name="표준 4 2 2 5 2 4 2" xfId="43431"/>
    <cellStyle name="표준 4 2 2 5 2 4 2 2" xfId="43432"/>
    <cellStyle name="표준 4 2 2 5 2 4 2 2 2" xfId="43433"/>
    <cellStyle name="표준 4 2 2 5 2 4 2 2 3" xfId="43434"/>
    <cellStyle name="표준 4 2 2 5 2 4 2 3" xfId="43435"/>
    <cellStyle name="표준 4 2 2 5 2 4 2 4" xfId="43436"/>
    <cellStyle name="표준 4 2 2 5 2 4 2 5" xfId="43437"/>
    <cellStyle name="표준 4 2 2 5 2 4 3" xfId="43438"/>
    <cellStyle name="표준 4 2 2 5 2 5" xfId="43439"/>
    <cellStyle name="표준 4 2 2 5 2 6" xfId="43440"/>
    <cellStyle name="표준 4 2 2 5 2 7" xfId="43441"/>
    <cellStyle name="표준 4 2 2 5 2 8" xfId="43442"/>
    <cellStyle name="표준 4 2 2 5 2 9" xfId="43443"/>
    <cellStyle name="표준 4 2 2 5 20" xfId="43444"/>
    <cellStyle name="표준 4 2 2 5 3" xfId="43445"/>
    <cellStyle name="표준 4 2 2 5 3 2" xfId="43446"/>
    <cellStyle name="표준 4 2 2 5 3 2 2" xfId="43447"/>
    <cellStyle name="표준 4 2 2 5 3 2 2 2" xfId="43448"/>
    <cellStyle name="표준 4 2 2 5 3 2 2 3" xfId="43449"/>
    <cellStyle name="표준 4 2 2 5 3 2 3" xfId="43450"/>
    <cellStyle name="표준 4 2 2 5 3 2 4" xfId="43451"/>
    <cellStyle name="표준 4 2 2 5 3 2 5" xfId="43452"/>
    <cellStyle name="표준 4 2 2 5 3 3" xfId="43453"/>
    <cellStyle name="표준 4 2 2 5 3 3 2" xfId="43454"/>
    <cellStyle name="표준 4 2 2 5 3 3 3" xfId="43455"/>
    <cellStyle name="표준 4 2 2 5 3 4" xfId="43456"/>
    <cellStyle name="표준 4 2 2 5 3 5" xfId="43457"/>
    <cellStyle name="표준 4 2 2 5 3 6" xfId="43458"/>
    <cellStyle name="표준 4 2 2 5 4" xfId="43459"/>
    <cellStyle name="표준 4 2 2 5 4 2" xfId="43460"/>
    <cellStyle name="표준 4 2 2 5 4 2 2" xfId="43461"/>
    <cellStyle name="표준 4 2 2 5 4 2 2 2" xfId="43462"/>
    <cellStyle name="표준 4 2 2 5 4 2 2 3" xfId="43463"/>
    <cellStyle name="표준 4 2 2 5 4 2 3" xfId="43464"/>
    <cellStyle name="표준 4 2 2 5 4 2 4" xfId="43465"/>
    <cellStyle name="표준 4 2 2 5 4 2 5" xfId="43466"/>
    <cellStyle name="표준 4 2 2 5 4 3" xfId="43467"/>
    <cellStyle name="표준 4 2 2 5 5" xfId="43468"/>
    <cellStyle name="표준 4 2 2 5 5 2" xfId="43469"/>
    <cellStyle name="표준 4 2 2 5 5 2 2" xfId="43470"/>
    <cellStyle name="표준 4 2 2 5 5 2 2 2" xfId="43471"/>
    <cellStyle name="표준 4 2 2 5 5 2 2 3" xfId="43472"/>
    <cellStyle name="표준 4 2 2 5 5 2 3" xfId="43473"/>
    <cellStyle name="표준 4 2 2 5 5 2 4" xfId="43474"/>
    <cellStyle name="표준 4 2 2 5 5 2 5" xfId="43475"/>
    <cellStyle name="표준 4 2 2 5 5 3" xfId="43476"/>
    <cellStyle name="표준 4 2 2 5 6" xfId="43477"/>
    <cellStyle name="표준 4 2 2 5 7" xfId="43478"/>
    <cellStyle name="표준 4 2 2 5 8" xfId="43479"/>
    <cellStyle name="표준 4 2 2 5 9" xfId="43480"/>
    <cellStyle name="표준 4 2 2 6" xfId="43481"/>
    <cellStyle name="표준 4 2 2 6 10" xfId="43482"/>
    <cellStyle name="표준 4 2 2 6 11" xfId="43483"/>
    <cellStyle name="표준 4 2 2 6 12" xfId="43484"/>
    <cellStyle name="표준 4 2 2 6 13" xfId="43485"/>
    <cellStyle name="표준 4 2 2 6 14" xfId="43486"/>
    <cellStyle name="표준 4 2 2 6 15" xfId="43487"/>
    <cellStyle name="표준 4 2 2 6 16" xfId="43488"/>
    <cellStyle name="표준 4 2 2 6 16 2" xfId="43489"/>
    <cellStyle name="표준 4 2 2 6 16 3" xfId="43490"/>
    <cellStyle name="표준 4 2 2 6 17" xfId="43491"/>
    <cellStyle name="표준 4 2 2 6 18" xfId="43492"/>
    <cellStyle name="표준 4 2 2 6 19" xfId="43493"/>
    <cellStyle name="표준 4 2 2 6 2" xfId="43494"/>
    <cellStyle name="표준 4 2 2 6 2 2" xfId="43495"/>
    <cellStyle name="표준 4 2 2 6 2 2 2" xfId="43496"/>
    <cellStyle name="표준 4 2 2 6 2 2 2 2" xfId="43497"/>
    <cellStyle name="표준 4 2 2 6 2 2 2 3" xfId="43498"/>
    <cellStyle name="표준 4 2 2 6 2 2 3" xfId="43499"/>
    <cellStyle name="표준 4 2 2 6 2 2 4" xfId="43500"/>
    <cellStyle name="표준 4 2 2 6 2 2 5" xfId="43501"/>
    <cellStyle name="표준 4 2 2 6 2 3" xfId="43502"/>
    <cellStyle name="표준 4 2 2 6 2 3 2" xfId="43503"/>
    <cellStyle name="표준 4 2 2 6 2 3 3" xfId="43504"/>
    <cellStyle name="표준 4 2 2 6 2 4" xfId="43505"/>
    <cellStyle name="표준 4 2 2 6 2 5" xfId="43506"/>
    <cellStyle name="표준 4 2 2 6 2 6" xfId="43507"/>
    <cellStyle name="표준 4 2 2 6 3" xfId="43508"/>
    <cellStyle name="표준 4 2 2 6 3 2" xfId="43509"/>
    <cellStyle name="표준 4 2 2 6 3 2 2" xfId="43510"/>
    <cellStyle name="표준 4 2 2 6 3 2 2 2" xfId="43511"/>
    <cellStyle name="표준 4 2 2 6 3 2 2 3" xfId="43512"/>
    <cellStyle name="표준 4 2 2 6 3 2 3" xfId="43513"/>
    <cellStyle name="표준 4 2 2 6 3 2 4" xfId="43514"/>
    <cellStyle name="표준 4 2 2 6 3 2 5" xfId="43515"/>
    <cellStyle name="표준 4 2 2 6 3 3" xfId="43516"/>
    <cellStyle name="표준 4 2 2 6 4" xfId="43517"/>
    <cellStyle name="표준 4 2 2 6 4 2" xfId="43518"/>
    <cellStyle name="표준 4 2 2 6 4 2 2" xfId="43519"/>
    <cellStyle name="표준 4 2 2 6 4 2 2 2" xfId="43520"/>
    <cellStyle name="표준 4 2 2 6 4 2 2 3" xfId="43521"/>
    <cellStyle name="표준 4 2 2 6 4 2 3" xfId="43522"/>
    <cellStyle name="표준 4 2 2 6 4 2 4" xfId="43523"/>
    <cellStyle name="표준 4 2 2 6 4 2 5" xfId="43524"/>
    <cellStyle name="표준 4 2 2 6 4 3" xfId="43525"/>
    <cellStyle name="표준 4 2 2 6 5" xfId="43526"/>
    <cellStyle name="표준 4 2 2 6 6" xfId="43527"/>
    <cellStyle name="표준 4 2 2 6 7" xfId="43528"/>
    <cellStyle name="표준 4 2 2 6 8" xfId="43529"/>
    <cellStyle name="표준 4 2 2 6 9" xfId="43530"/>
    <cellStyle name="표준 4 2 2 7" xfId="43531"/>
    <cellStyle name="표준 4 2 2 7 2" xfId="43532"/>
    <cellStyle name="표준 4 2 2 7 2 2" xfId="43533"/>
    <cellStyle name="표준 4 2 2 7 2 2 2" xfId="43534"/>
    <cellStyle name="표준 4 2 2 7 2 2 3" xfId="43535"/>
    <cellStyle name="표준 4 2 2 7 2 3" xfId="43536"/>
    <cellStyle name="표준 4 2 2 7 2 4" xfId="43537"/>
    <cellStyle name="표준 4 2 2 7 2 5" xfId="43538"/>
    <cellStyle name="표준 4 2 2 7 3" xfId="43539"/>
    <cellStyle name="표준 4 2 2 7 3 2" xfId="43540"/>
    <cellStyle name="표준 4 2 2 7 3 3" xfId="43541"/>
    <cellStyle name="표준 4 2 2 7 4" xfId="43542"/>
    <cellStyle name="표준 4 2 2 7 5" xfId="43543"/>
    <cellStyle name="표준 4 2 2 7 6" xfId="43544"/>
    <cellStyle name="표준 4 2 2 8" xfId="43545"/>
    <cellStyle name="표준 4 2 2 8 2" xfId="43546"/>
    <cellStyle name="표준 4 2 2 8 2 2" xfId="43547"/>
    <cellStyle name="표준 4 2 2 8 2 2 2" xfId="43548"/>
    <cellStyle name="표준 4 2 2 8 2 2 3" xfId="43549"/>
    <cellStyle name="표준 4 2 2 8 2 3" xfId="43550"/>
    <cellStyle name="표준 4 2 2 8 2 4" xfId="43551"/>
    <cellStyle name="표준 4 2 2 8 2 5" xfId="43552"/>
    <cellStyle name="표준 4 2 2 8 3" xfId="43553"/>
    <cellStyle name="표준 4 2 2 9" xfId="43554"/>
    <cellStyle name="표준 4 2 2 9 2" xfId="43555"/>
    <cellStyle name="표준 4 2 2 9 2 2" xfId="43556"/>
    <cellStyle name="표준 4 2 2 9 2 2 2" xfId="43557"/>
    <cellStyle name="표준 4 2 2 9 2 2 3" xfId="43558"/>
    <cellStyle name="표준 4 2 2 9 2 3" xfId="43559"/>
    <cellStyle name="표준 4 2 2 9 2 4" xfId="43560"/>
    <cellStyle name="표준 4 2 2 9 2 5" xfId="43561"/>
    <cellStyle name="표준 4 2 2 9 3" xfId="43562"/>
    <cellStyle name="표준 4 2 20" xfId="43563"/>
    <cellStyle name="표준 4 2 21" xfId="43564"/>
    <cellStyle name="표준 4 2 22" xfId="43565"/>
    <cellStyle name="표준 4 2 22 2" xfId="43566"/>
    <cellStyle name="표준 4 2 22 3" xfId="43567"/>
    <cellStyle name="표준 4 2 23" xfId="43568"/>
    <cellStyle name="표준 4 2 24" xfId="43569"/>
    <cellStyle name="표준 4 2 25" xfId="43570"/>
    <cellStyle name="표준 4 2 3" xfId="43571"/>
    <cellStyle name="표준 4 2 3 10" xfId="43572"/>
    <cellStyle name="표준 4 2 3 11" xfId="43573"/>
    <cellStyle name="표준 4 2 3 12" xfId="43574"/>
    <cellStyle name="표준 4 2 3 13" xfId="43575"/>
    <cellStyle name="표준 4 2 3 14" xfId="43576"/>
    <cellStyle name="표준 4 2 3 15" xfId="43577"/>
    <cellStyle name="표준 4 2 3 16" xfId="43578"/>
    <cellStyle name="표준 4 2 3 17" xfId="43579"/>
    <cellStyle name="표준 4 2 3 18" xfId="43580"/>
    <cellStyle name="표준 4 2 3 19" xfId="43581"/>
    <cellStyle name="표준 4 2 3 2" xfId="43582"/>
    <cellStyle name="표준 4 2 3 2 10" xfId="43583"/>
    <cellStyle name="표준 4 2 3 2 11" xfId="43584"/>
    <cellStyle name="표준 4 2 3 2 12" xfId="43585"/>
    <cellStyle name="표준 4 2 3 2 13" xfId="43586"/>
    <cellStyle name="표준 4 2 3 2 14" xfId="43587"/>
    <cellStyle name="표준 4 2 3 2 15" xfId="43588"/>
    <cellStyle name="표준 4 2 3 2 16" xfId="43589"/>
    <cellStyle name="표준 4 2 3 2 17" xfId="43590"/>
    <cellStyle name="표준 4 2 3 2 18" xfId="43591"/>
    <cellStyle name="표준 4 2 3 2 19" xfId="43592"/>
    <cellStyle name="표준 4 2 3 2 19 2" xfId="43593"/>
    <cellStyle name="표준 4 2 3 2 19 3" xfId="43594"/>
    <cellStyle name="표준 4 2 3 2 2" xfId="43595"/>
    <cellStyle name="표준 4 2 3 2 2 10" xfId="43596"/>
    <cellStyle name="표준 4 2 3 2 2 11" xfId="43597"/>
    <cellStyle name="표준 4 2 3 2 2 12" xfId="43598"/>
    <cellStyle name="표준 4 2 3 2 2 13" xfId="43599"/>
    <cellStyle name="표준 4 2 3 2 2 14" xfId="43600"/>
    <cellStyle name="표준 4 2 3 2 2 15" xfId="43601"/>
    <cellStyle name="표준 4 2 3 2 2 16" xfId="43602"/>
    <cellStyle name="표준 4 2 3 2 2 17" xfId="43603"/>
    <cellStyle name="표준 4 2 3 2 2 17 2" xfId="43604"/>
    <cellStyle name="표준 4 2 3 2 2 17 3" xfId="43605"/>
    <cellStyle name="표준 4 2 3 2 2 18" xfId="43606"/>
    <cellStyle name="표준 4 2 3 2 2 19" xfId="43607"/>
    <cellStyle name="표준 4 2 3 2 2 2" xfId="43608"/>
    <cellStyle name="표준 4 2 3 2 2 2 10" xfId="43609"/>
    <cellStyle name="표준 4 2 3 2 2 2 11" xfId="43610"/>
    <cellStyle name="표준 4 2 3 2 2 2 12" xfId="43611"/>
    <cellStyle name="표준 4 2 3 2 2 2 13" xfId="43612"/>
    <cellStyle name="표준 4 2 3 2 2 2 14" xfId="43613"/>
    <cellStyle name="표준 4 2 3 2 2 2 15" xfId="43614"/>
    <cellStyle name="표준 4 2 3 2 2 2 16" xfId="43615"/>
    <cellStyle name="표준 4 2 3 2 2 2 16 2" xfId="43616"/>
    <cellStyle name="표준 4 2 3 2 2 2 16 3" xfId="43617"/>
    <cellStyle name="표준 4 2 3 2 2 2 17" xfId="43618"/>
    <cellStyle name="표준 4 2 3 2 2 2 18" xfId="43619"/>
    <cellStyle name="표준 4 2 3 2 2 2 19" xfId="43620"/>
    <cellStyle name="표준 4 2 3 2 2 2 2" xfId="43621"/>
    <cellStyle name="표준 4 2 3 2 2 2 2 2" xfId="43622"/>
    <cellStyle name="표준 4 2 3 2 2 2 2 2 2" xfId="43623"/>
    <cellStyle name="표준 4 2 3 2 2 2 2 2 2 2" xfId="43624"/>
    <cellStyle name="표준 4 2 3 2 2 2 2 2 2 3" xfId="43625"/>
    <cellStyle name="표준 4 2 3 2 2 2 2 2 3" xfId="43626"/>
    <cellStyle name="표준 4 2 3 2 2 2 2 2 4" xfId="43627"/>
    <cellStyle name="표준 4 2 3 2 2 2 2 2 5" xfId="43628"/>
    <cellStyle name="표준 4 2 3 2 2 2 2 3" xfId="43629"/>
    <cellStyle name="표준 4 2 3 2 2 2 2 3 2" xfId="43630"/>
    <cellStyle name="표준 4 2 3 2 2 2 2 3 3" xfId="43631"/>
    <cellStyle name="표준 4 2 3 2 2 2 2 4" xfId="43632"/>
    <cellStyle name="표준 4 2 3 2 2 2 2 5" xfId="43633"/>
    <cellStyle name="표준 4 2 3 2 2 2 2 6" xfId="43634"/>
    <cellStyle name="표준 4 2 3 2 2 2 3" xfId="43635"/>
    <cellStyle name="표준 4 2 3 2 2 2 3 2" xfId="43636"/>
    <cellStyle name="표준 4 2 3 2 2 2 3 2 2" xfId="43637"/>
    <cellStyle name="표준 4 2 3 2 2 2 3 2 2 2" xfId="43638"/>
    <cellStyle name="표준 4 2 3 2 2 2 3 2 2 3" xfId="43639"/>
    <cellStyle name="표준 4 2 3 2 2 2 3 2 3" xfId="43640"/>
    <cellStyle name="표준 4 2 3 2 2 2 3 2 4" xfId="43641"/>
    <cellStyle name="표준 4 2 3 2 2 2 3 2 5" xfId="43642"/>
    <cellStyle name="표준 4 2 3 2 2 2 3 3" xfId="43643"/>
    <cellStyle name="표준 4 2 3 2 2 2 4" xfId="43644"/>
    <cellStyle name="표준 4 2 3 2 2 2 4 2" xfId="43645"/>
    <cellStyle name="표준 4 2 3 2 2 2 4 2 2" xfId="43646"/>
    <cellStyle name="표준 4 2 3 2 2 2 4 2 2 2" xfId="43647"/>
    <cellStyle name="표준 4 2 3 2 2 2 4 2 2 3" xfId="43648"/>
    <cellStyle name="표준 4 2 3 2 2 2 4 2 3" xfId="43649"/>
    <cellStyle name="표준 4 2 3 2 2 2 4 2 4" xfId="43650"/>
    <cellStyle name="표준 4 2 3 2 2 2 4 2 5" xfId="43651"/>
    <cellStyle name="표준 4 2 3 2 2 2 4 3" xfId="43652"/>
    <cellStyle name="표준 4 2 3 2 2 2 5" xfId="43653"/>
    <cellStyle name="표준 4 2 3 2 2 2 6" xfId="43654"/>
    <cellStyle name="표준 4 2 3 2 2 2 7" xfId="43655"/>
    <cellStyle name="표준 4 2 3 2 2 2 8" xfId="43656"/>
    <cellStyle name="표준 4 2 3 2 2 2 9" xfId="43657"/>
    <cellStyle name="표준 4 2 3 2 2 20" xfId="43658"/>
    <cellStyle name="표준 4 2 3 2 2 3" xfId="43659"/>
    <cellStyle name="표준 4 2 3 2 2 3 2" xfId="43660"/>
    <cellStyle name="표준 4 2 3 2 2 3 2 2" xfId="43661"/>
    <cellStyle name="표준 4 2 3 2 2 3 2 2 2" xfId="43662"/>
    <cellStyle name="표준 4 2 3 2 2 3 2 2 3" xfId="43663"/>
    <cellStyle name="표준 4 2 3 2 2 3 2 3" xfId="43664"/>
    <cellStyle name="표준 4 2 3 2 2 3 2 4" xfId="43665"/>
    <cellStyle name="표준 4 2 3 2 2 3 2 5" xfId="43666"/>
    <cellStyle name="표준 4 2 3 2 2 3 3" xfId="43667"/>
    <cellStyle name="표준 4 2 3 2 2 3 3 2" xfId="43668"/>
    <cellStyle name="표준 4 2 3 2 2 3 3 3" xfId="43669"/>
    <cellStyle name="표준 4 2 3 2 2 3 4" xfId="43670"/>
    <cellStyle name="표준 4 2 3 2 2 3 5" xfId="43671"/>
    <cellStyle name="표준 4 2 3 2 2 3 6" xfId="43672"/>
    <cellStyle name="표준 4 2 3 2 2 4" xfId="43673"/>
    <cellStyle name="표준 4 2 3 2 2 4 2" xfId="43674"/>
    <cellStyle name="표준 4 2 3 2 2 4 2 2" xfId="43675"/>
    <cellStyle name="표준 4 2 3 2 2 4 2 2 2" xfId="43676"/>
    <cellStyle name="표준 4 2 3 2 2 4 2 2 3" xfId="43677"/>
    <cellStyle name="표준 4 2 3 2 2 4 2 3" xfId="43678"/>
    <cellStyle name="표준 4 2 3 2 2 4 2 4" xfId="43679"/>
    <cellStyle name="표준 4 2 3 2 2 4 2 5" xfId="43680"/>
    <cellStyle name="표준 4 2 3 2 2 4 3" xfId="43681"/>
    <cellStyle name="표준 4 2 3 2 2 5" xfId="43682"/>
    <cellStyle name="표준 4 2 3 2 2 5 2" xfId="43683"/>
    <cellStyle name="표준 4 2 3 2 2 5 2 2" xfId="43684"/>
    <cellStyle name="표준 4 2 3 2 2 5 2 2 2" xfId="43685"/>
    <cellStyle name="표준 4 2 3 2 2 5 2 2 3" xfId="43686"/>
    <cellStyle name="표준 4 2 3 2 2 5 2 3" xfId="43687"/>
    <cellStyle name="표준 4 2 3 2 2 5 2 4" xfId="43688"/>
    <cellStyle name="표준 4 2 3 2 2 5 2 5" xfId="43689"/>
    <cellStyle name="표준 4 2 3 2 2 5 3" xfId="43690"/>
    <cellStyle name="표준 4 2 3 2 2 6" xfId="43691"/>
    <cellStyle name="표준 4 2 3 2 2 7" xfId="43692"/>
    <cellStyle name="표준 4 2 3 2 2 8" xfId="43693"/>
    <cellStyle name="표준 4 2 3 2 2 9" xfId="43694"/>
    <cellStyle name="표준 4 2 3 2 20" xfId="43695"/>
    <cellStyle name="표준 4 2 3 2 21" xfId="43696"/>
    <cellStyle name="표준 4 2 3 2 22" xfId="43697"/>
    <cellStyle name="표준 4 2 3 2 3" xfId="43698"/>
    <cellStyle name="표준 4 2 3 2 3 10" xfId="43699"/>
    <cellStyle name="표준 4 2 3 2 3 11" xfId="43700"/>
    <cellStyle name="표준 4 2 3 2 3 12" xfId="43701"/>
    <cellStyle name="표준 4 2 3 2 3 13" xfId="43702"/>
    <cellStyle name="표준 4 2 3 2 3 14" xfId="43703"/>
    <cellStyle name="표준 4 2 3 2 3 15" xfId="43704"/>
    <cellStyle name="표준 4 2 3 2 3 16" xfId="43705"/>
    <cellStyle name="표준 4 2 3 2 3 17" xfId="43706"/>
    <cellStyle name="표준 4 2 3 2 3 17 2" xfId="43707"/>
    <cellStyle name="표준 4 2 3 2 3 17 3" xfId="43708"/>
    <cellStyle name="표준 4 2 3 2 3 18" xfId="43709"/>
    <cellStyle name="표준 4 2 3 2 3 19" xfId="43710"/>
    <cellStyle name="표준 4 2 3 2 3 2" xfId="43711"/>
    <cellStyle name="표준 4 2 3 2 3 2 10" xfId="43712"/>
    <cellStyle name="표준 4 2 3 2 3 2 11" xfId="43713"/>
    <cellStyle name="표준 4 2 3 2 3 2 12" xfId="43714"/>
    <cellStyle name="표준 4 2 3 2 3 2 13" xfId="43715"/>
    <cellStyle name="표준 4 2 3 2 3 2 14" xfId="43716"/>
    <cellStyle name="표준 4 2 3 2 3 2 15" xfId="43717"/>
    <cellStyle name="표준 4 2 3 2 3 2 16" xfId="43718"/>
    <cellStyle name="표준 4 2 3 2 3 2 16 2" xfId="43719"/>
    <cellStyle name="표준 4 2 3 2 3 2 16 3" xfId="43720"/>
    <cellStyle name="표준 4 2 3 2 3 2 17" xfId="43721"/>
    <cellStyle name="표준 4 2 3 2 3 2 18" xfId="43722"/>
    <cellStyle name="표준 4 2 3 2 3 2 19" xfId="43723"/>
    <cellStyle name="표준 4 2 3 2 3 2 2" xfId="43724"/>
    <cellStyle name="표준 4 2 3 2 3 2 2 2" xfId="43725"/>
    <cellStyle name="표준 4 2 3 2 3 2 2 2 2" xfId="43726"/>
    <cellStyle name="표준 4 2 3 2 3 2 2 2 2 2" xfId="43727"/>
    <cellStyle name="표준 4 2 3 2 3 2 2 2 2 3" xfId="43728"/>
    <cellStyle name="표준 4 2 3 2 3 2 2 2 3" xfId="43729"/>
    <cellStyle name="표준 4 2 3 2 3 2 2 2 4" xfId="43730"/>
    <cellStyle name="표준 4 2 3 2 3 2 2 2 5" xfId="43731"/>
    <cellStyle name="표준 4 2 3 2 3 2 2 3" xfId="43732"/>
    <cellStyle name="표준 4 2 3 2 3 2 2 3 2" xfId="43733"/>
    <cellStyle name="표준 4 2 3 2 3 2 2 3 3" xfId="43734"/>
    <cellStyle name="표준 4 2 3 2 3 2 2 4" xfId="43735"/>
    <cellStyle name="표준 4 2 3 2 3 2 2 5" xfId="43736"/>
    <cellStyle name="표준 4 2 3 2 3 2 2 6" xfId="43737"/>
    <cellStyle name="표준 4 2 3 2 3 2 3" xfId="43738"/>
    <cellStyle name="표준 4 2 3 2 3 2 3 2" xfId="43739"/>
    <cellStyle name="표준 4 2 3 2 3 2 3 2 2" xfId="43740"/>
    <cellStyle name="표준 4 2 3 2 3 2 3 2 2 2" xfId="43741"/>
    <cellStyle name="표준 4 2 3 2 3 2 3 2 2 3" xfId="43742"/>
    <cellStyle name="표준 4 2 3 2 3 2 3 2 3" xfId="43743"/>
    <cellStyle name="표준 4 2 3 2 3 2 3 2 4" xfId="43744"/>
    <cellStyle name="표준 4 2 3 2 3 2 3 2 5" xfId="43745"/>
    <cellStyle name="표준 4 2 3 2 3 2 3 3" xfId="43746"/>
    <cellStyle name="표준 4 2 3 2 3 2 4" xfId="43747"/>
    <cellStyle name="표준 4 2 3 2 3 2 4 2" xfId="43748"/>
    <cellStyle name="표준 4 2 3 2 3 2 4 2 2" xfId="43749"/>
    <cellStyle name="표준 4 2 3 2 3 2 4 2 2 2" xfId="43750"/>
    <cellStyle name="표준 4 2 3 2 3 2 4 2 2 3" xfId="43751"/>
    <cellStyle name="표준 4 2 3 2 3 2 4 2 3" xfId="43752"/>
    <cellStyle name="표준 4 2 3 2 3 2 4 2 4" xfId="43753"/>
    <cellStyle name="표준 4 2 3 2 3 2 4 2 5" xfId="43754"/>
    <cellStyle name="표준 4 2 3 2 3 2 4 3" xfId="43755"/>
    <cellStyle name="표준 4 2 3 2 3 2 5" xfId="43756"/>
    <cellStyle name="표준 4 2 3 2 3 2 6" xfId="43757"/>
    <cellStyle name="표준 4 2 3 2 3 2 7" xfId="43758"/>
    <cellStyle name="표준 4 2 3 2 3 2 8" xfId="43759"/>
    <cellStyle name="표준 4 2 3 2 3 2 9" xfId="43760"/>
    <cellStyle name="표준 4 2 3 2 3 20" xfId="43761"/>
    <cellStyle name="표준 4 2 3 2 3 3" xfId="43762"/>
    <cellStyle name="표준 4 2 3 2 3 3 2" xfId="43763"/>
    <cellStyle name="표준 4 2 3 2 3 3 2 2" xfId="43764"/>
    <cellStyle name="표준 4 2 3 2 3 3 2 2 2" xfId="43765"/>
    <cellStyle name="표준 4 2 3 2 3 3 2 2 3" xfId="43766"/>
    <cellStyle name="표준 4 2 3 2 3 3 2 3" xfId="43767"/>
    <cellStyle name="표준 4 2 3 2 3 3 2 4" xfId="43768"/>
    <cellStyle name="표준 4 2 3 2 3 3 2 5" xfId="43769"/>
    <cellStyle name="표준 4 2 3 2 3 3 3" xfId="43770"/>
    <cellStyle name="표준 4 2 3 2 3 3 3 2" xfId="43771"/>
    <cellStyle name="표준 4 2 3 2 3 3 3 3" xfId="43772"/>
    <cellStyle name="표준 4 2 3 2 3 3 4" xfId="43773"/>
    <cellStyle name="표준 4 2 3 2 3 3 5" xfId="43774"/>
    <cellStyle name="표준 4 2 3 2 3 3 6" xfId="43775"/>
    <cellStyle name="표준 4 2 3 2 3 4" xfId="43776"/>
    <cellStyle name="표준 4 2 3 2 3 4 2" xfId="43777"/>
    <cellStyle name="표준 4 2 3 2 3 4 2 2" xfId="43778"/>
    <cellStyle name="표준 4 2 3 2 3 4 2 2 2" xfId="43779"/>
    <cellStyle name="표준 4 2 3 2 3 4 2 2 3" xfId="43780"/>
    <cellStyle name="표준 4 2 3 2 3 4 2 3" xfId="43781"/>
    <cellStyle name="표준 4 2 3 2 3 4 2 4" xfId="43782"/>
    <cellStyle name="표준 4 2 3 2 3 4 2 5" xfId="43783"/>
    <cellStyle name="표준 4 2 3 2 3 4 3" xfId="43784"/>
    <cellStyle name="표준 4 2 3 2 3 5" xfId="43785"/>
    <cellStyle name="표준 4 2 3 2 3 5 2" xfId="43786"/>
    <cellStyle name="표준 4 2 3 2 3 5 2 2" xfId="43787"/>
    <cellStyle name="표준 4 2 3 2 3 5 2 2 2" xfId="43788"/>
    <cellStyle name="표준 4 2 3 2 3 5 2 2 3" xfId="43789"/>
    <cellStyle name="표준 4 2 3 2 3 5 2 3" xfId="43790"/>
    <cellStyle name="표준 4 2 3 2 3 5 2 4" xfId="43791"/>
    <cellStyle name="표준 4 2 3 2 3 5 2 5" xfId="43792"/>
    <cellStyle name="표준 4 2 3 2 3 5 3" xfId="43793"/>
    <cellStyle name="표준 4 2 3 2 3 6" xfId="43794"/>
    <cellStyle name="표준 4 2 3 2 3 7" xfId="43795"/>
    <cellStyle name="표준 4 2 3 2 3 8" xfId="43796"/>
    <cellStyle name="표준 4 2 3 2 3 9" xfId="43797"/>
    <cellStyle name="표준 4 2 3 2 4" xfId="43798"/>
    <cellStyle name="표준 4 2 3 2 4 10" xfId="43799"/>
    <cellStyle name="표준 4 2 3 2 4 11" xfId="43800"/>
    <cellStyle name="표준 4 2 3 2 4 12" xfId="43801"/>
    <cellStyle name="표준 4 2 3 2 4 13" xfId="43802"/>
    <cellStyle name="표준 4 2 3 2 4 14" xfId="43803"/>
    <cellStyle name="표준 4 2 3 2 4 15" xfId="43804"/>
    <cellStyle name="표준 4 2 3 2 4 16" xfId="43805"/>
    <cellStyle name="표준 4 2 3 2 4 16 2" xfId="43806"/>
    <cellStyle name="표준 4 2 3 2 4 16 3" xfId="43807"/>
    <cellStyle name="표준 4 2 3 2 4 17" xfId="43808"/>
    <cellStyle name="표준 4 2 3 2 4 18" xfId="43809"/>
    <cellStyle name="표준 4 2 3 2 4 19" xfId="43810"/>
    <cellStyle name="표준 4 2 3 2 4 2" xfId="43811"/>
    <cellStyle name="표준 4 2 3 2 4 2 2" xfId="43812"/>
    <cellStyle name="표준 4 2 3 2 4 2 2 2" xfId="43813"/>
    <cellStyle name="표준 4 2 3 2 4 2 2 2 2" xfId="43814"/>
    <cellStyle name="표준 4 2 3 2 4 2 2 2 3" xfId="43815"/>
    <cellStyle name="표준 4 2 3 2 4 2 2 3" xfId="43816"/>
    <cellStyle name="표준 4 2 3 2 4 2 2 4" xfId="43817"/>
    <cellStyle name="표준 4 2 3 2 4 2 2 5" xfId="43818"/>
    <cellStyle name="표준 4 2 3 2 4 2 3" xfId="43819"/>
    <cellStyle name="표준 4 2 3 2 4 2 3 2" xfId="43820"/>
    <cellStyle name="표준 4 2 3 2 4 2 3 3" xfId="43821"/>
    <cellStyle name="표준 4 2 3 2 4 2 4" xfId="43822"/>
    <cellStyle name="표준 4 2 3 2 4 2 5" xfId="43823"/>
    <cellStyle name="표준 4 2 3 2 4 2 6" xfId="43824"/>
    <cellStyle name="표준 4 2 3 2 4 3" xfId="43825"/>
    <cellStyle name="표준 4 2 3 2 4 3 2" xfId="43826"/>
    <cellStyle name="표준 4 2 3 2 4 3 2 2" xfId="43827"/>
    <cellStyle name="표준 4 2 3 2 4 3 2 2 2" xfId="43828"/>
    <cellStyle name="표준 4 2 3 2 4 3 2 2 3" xfId="43829"/>
    <cellStyle name="표준 4 2 3 2 4 3 2 3" xfId="43830"/>
    <cellStyle name="표준 4 2 3 2 4 3 2 4" xfId="43831"/>
    <cellStyle name="표준 4 2 3 2 4 3 2 5" xfId="43832"/>
    <cellStyle name="표준 4 2 3 2 4 3 3" xfId="43833"/>
    <cellStyle name="표준 4 2 3 2 4 4" xfId="43834"/>
    <cellStyle name="표준 4 2 3 2 4 4 2" xfId="43835"/>
    <cellStyle name="표준 4 2 3 2 4 4 2 2" xfId="43836"/>
    <cellStyle name="표준 4 2 3 2 4 4 2 2 2" xfId="43837"/>
    <cellStyle name="표준 4 2 3 2 4 4 2 2 3" xfId="43838"/>
    <cellStyle name="표준 4 2 3 2 4 4 2 3" xfId="43839"/>
    <cellStyle name="표준 4 2 3 2 4 4 2 4" xfId="43840"/>
    <cellStyle name="표준 4 2 3 2 4 4 2 5" xfId="43841"/>
    <cellStyle name="표준 4 2 3 2 4 4 3" xfId="43842"/>
    <cellStyle name="표준 4 2 3 2 4 5" xfId="43843"/>
    <cellStyle name="표준 4 2 3 2 4 6" xfId="43844"/>
    <cellStyle name="표준 4 2 3 2 4 7" xfId="43845"/>
    <cellStyle name="표준 4 2 3 2 4 8" xfId="43846"/>
    <cellStyle name="표준 4 2 3 2 4 9" xfId="43847"/>
    <cellStyle name="표준 4 2 3 2 5" xfId="43848"/>
    <cellStyle name="표준 4 2 3 2 5 2" xfId="43849"/>
    <cellStyle name="표준 4 2 3 2 5 2 2" xfId="43850"/>
    <cellStyle name="표준 4 2 3 2 5 2 2 2" xfId="43851"/>
    <cellStyle name="표준 4 2 3 2 5 2 2 3" xfId="43852"/>
    <cellStyle name="표준 4 2 3 2 5 2 3" xfId="43853"/>
    <cellStyle name="표준 4 2 3 2 5 2 4" xfId="43854"/>
    <cellStyle name="표준 4 2 3 2 5 2 5" xfId="43855"/>
    <cellStyle name="표준 4 2 3 2 5 3" xfId="43856"/>
    <cellStyle name="표준 4 2 3 2 5 3 2" xfId="43857"/>
    <cellStyle name="표준 4 2 3 2 5 3 3" xfId="43858"/>
    <cellStyle name="표준 4 2 3 2 5 4" xfId="43859"/>
    <cellStyle name="표준 4 2 3 2 5 5" xfId="43860"/>
    <cellStyle name="표준 4 2 3 2 5 6" xfId="43861"/>
    <cellStyle name="표준 4 2 3 2 6" xfId="43862"/>
    <cellStyle name="표준 4 2 3 2 6 2" xfId="43863"/>
    <cellStyle name="표준 4 2 3 2 6 2 2" xfId="43864"/>
    <cellStyle name="표준 4 2 3 2 6 2 2 2" xfId="43865"/>
    <cellStyle name="표준 4 2 3 2 6 2 2 3" xfId="43866"/>
    <cellStyle name="표준 4 2 3 2 6 2 3" xfId="43867"/>
    <cellStyle name="표준 4 2 3 2 6 2 4" xfId="43868"/>
    <cellStyle name="표준 4 2 3 2 6 2 5" xfId="43869"/>
    <cellStyle name="표준 4 2 3 2 6 3" xfId="43870"/>
    <cellStyle name="표준 4 2 3 2 7" xfId="43871"/>
    <cellStyle name="표준 4 2 3 2 7 2" xfId="43872"/>
    <cellStyle name="표준 4 2 3 2 7 2 2" xfId="43873"/>
    <cellStyle name="표준 4 2 3 2 7 2 2 2" xfId="43874"/>
    <cellStyle name="표준 4 2 3 2 7 2 2 3" xfId="43875"/>
    <cellStyle name="표준 4 2 3 2 7 2 3" xfId="43876"/>
    <cellStyle name="표준 4 2 3 2 7 2 4" xfId="43877"/>
    <cellStyle name="표준 4 2 3 2 7 2 5" xfId="43878"/>
    <cellStyle name="표준 4 2 3 2 7 3" xfId="43879"/>
    <cellStyle name="표준 4 2 3 2 8" xfId="43880"/>
    <cellStyle name="표준 4 2 3 2 9" xfId="43881"/>
    <cellStyle name="표준 4 2 3 20" xfId="43882"/>
    <cellStyle name="표준 4 2 3 20 2" xfId="43883"/>
    <cellStyle name="표준 4 2 3 20 3" xfId="43884"/>
    <cellStyle name="표준 4 2 3 21" xfId="43885"/>
    <cellStyle name="표준 4 2 3 22" xfId="43886"/>
    <cellStyle name="표준 4 2 3 23" xfId="43887"/>
    <cellStyle name="표준 4 2 3 3" xfId="43888"/>
    <cellStyle name="표준 4 2 3 3 10" xfId="43889"/>
    <cellStyle name="표준 4 2 3 3 11" xfId="43890"/>
    <cellStyle name="표준 4 2 3 3 12" xfId="43891"/>
    <cellStyle name="표준 4 2 3 3 13" xfId="43892"/>
    <cellStyle name="표준 4 2 3 3 14" xfId="43893"/>
    <cellStyle name="표준 4 2 3 3 15" xfId="43894"/>
    <cellStyle name="표준 4 2 3 3 16" xfId="43895"/>
    <cellStyle name="표준 4 2 3 3 17" xfId="43896"/>
    <cellStyle name="표준 4 2 3 3 17 2" xfId="43897"/>
    <cellStyle name="표준 4 2 3 3 17 3" xfId="43898"/>
    <cellStyle name="표준 4 2 3 3 18" xfId="43899"/>
    <cellStyle name="표준 4 2 3 3 19" xfId="43900"/>
    <cellStyle name="표준 4 2 3 3 2" xfId="43901"/>
    <cellStyle name="표준 4 2 3 3 2 10" xfId="43902"/>
    <cellStyle name="표준 4 2 3 3 2 11" xfId="43903"/>
    <cellStyle name="표준 4 2 3 3 2 12" xfId="43904"/>
    <cellStyle name="표준 4 2 3 3 2 13" xfId="43905"/>
    <cellStyle name="표준 4 2 3 3 2 14" xfId="43906"/>
    <cellStyle name="표준 4 2 3 3 2 15" xfId="43907"/>
    <cellStyle name="표준 4 2 3 3 2 16" xfId="43908"/>
    <cellStyle name="표준 4 2 3 3 2 16 2" xfId="43909"/>
    <cellStyle name="표준 4 2 3 3 2 16 3" xfId="43910"/>
    <cellStyle name="표준 4 2 3 3 2 17" xfId="43911"/>
    <cellStyle name="표준 4 2 3 3 2 18" xfId="43912"/>
    <cellStyle name="표준 4 2 3 3 2 19" xfId="43913"/>
    <cellStyle name="표준 4 2 3 3 2 2" xfId="43914"/>
    <cellStyle name="표준 4 2 3 3 2 2 2" xfId="43915"/>
    <cellStyle name="표준 4 2 3 3 2 2 2 2" xfId="43916"/>
    <cellStyle name="표준 4 2 3 3 2 2 2 2 2" xfId="43917"/>
    <cellStyle name="표준 4 2 3 3 2 2 2 2 3" xfId="43918"/>
    <cellStyle name="표준 4 2 3 3 2 2 2 3" xfId="43919"/>
    <cellStyle name="표준 4 2 3 3 2 2 2 4" xfId="43920"/>
    <cellStyle name="표준 4 2 3 3 2 2 2 5" xfId="43921"/>
    <cellStyle name="표준 4 2 3 3 2 2 3" xfId="43922"/>
    <cellStyle name="표준 4 2 3 3 2 2 3 2" xfId="43923"/>
    <cellStyle name="표준 4 2 3 3 2 2 3 3" xfId="43924"/>
    <cellStyle name="표준 4 2 3 3 2 2 4" xfId="43925"/>
    <cellStyle name="표준 4 2 3 3 2 2 5" xfId="43926"/>
    <cellStyle name="표준 4 2 3 3 2 2 6" xfId="43927"/>
    <cellStyle name="표준 4 2 3 3 2 3" xfId="43928"/>
    <cellStyle name="표준 4 2 3 3 2 3 2" xfId="43929"/>
    <cellStyle name="표준 4 2 3 3 2 3 2 2" xfId="43930"/>
    <cellStyle name="표준 4 2 3 3 2 3 2 2 2" xfId="43931"/>
    <cellStyle name="표준 4 2 3 3 2 3 2 2 3" xfId="43932"/>
    <cellStyle name="표준 4 2 3 3 2 3 2 3" xfId="43933"/>
    <cellStyle name="표준 4 2 3 3 2 3 2 4" xfId="43934"/>
    <cellStyle name="표준 4 2 3 3 2 3 2 5" xfId="43935"/>
    <cellStyle name="표준 4 2 3 3 2 3 3" xfId="43936"/>
    <cellStyle name="표준 4 2 3 3 2 4" xfId="43937"/>
    <cellStyle name="표준 4 2 3 3 2 4 2" xfId="43938"/>
    <cellStyle name="표준 4 2 3 3 2 4 2 2" xfId="43939"/>
    <cellStyle name="표준 4 2 3 3 2 4 2 2 2" xfId="43940"/>
    <cellStyle name="표준 4 2 3 3 2 4 2 2 3" xfId="43941"/>
    <cellStyle name="표준 4 2 3 3 2 4 2 3" xfId="43942"/>
    <cellStyle name="표준 4 2 3 3 2 4 2 4" xfId="43943"/>
    <cellStyle name="표준 4 2 3 3 2 4 2 5" xfId="43944"/>
    <cellStyle name="표준 4 2 3 3 2 4 3" xfId="43945"/>
    <cellStyle name="표준 4 2 3 3 2 5" xfId="43946"/>
    <cellStyle name="표준 4 2 3 3 2 6" xfId="43947"/>
    <cellStyle name="표준 4 2 3 3 2 7" xfId="43948"/>
    <cellStyle name="표준 4 2 3 3 2 8" xfId="43949"/>
    <cellStyle name="표준 4 2 3 3 2 9" xfId="43950"/>
    <cellStyle name="표준 4 2 3 3 20" xfId="43951"/>
    <cellStyle name="표준 4 2 3 3 3" xfId="43952"/>
    <cellStyle name="표준 4 2 3 3 3 2" xfId="43953"/>
    <cellStyle name="표준 4 2 3 3 3 2 2" xfId="43954"/>
    <cellStyle name="표준 4 2 3 3 3 2 2 2" xfId="43955"/>
    <cellStyle name="표준 4 2 3 3 3 2 2 3" xfId="43956"/>
    <cellStyle name="표준 4 2 3 3 3 2 3" xfId="43957"/>
    <cellStyle name="표준 4 2 3 3 3 2 4" xfId="43958"/>
    <cellStyle name="표준 4 2 3 3 3 2 5" xfId="43959"/>
    <cellStyle name="표준 4 2 3 3 3 3" xfId="43960"/>
    <cellStyle name="표준 4 2 3 3 3 3 2" xfId="43961"/>
    <cellStyle name="표준 4 2 3 3 3 3 3" xfId="43962"/>
    <cellStyle name="표준 4 2 3 3 3 4" xfId="43963"/>
    <cellStyle name="표준 4 2 3 3 3 5" xfId="43964"/>
    <cellStyle name="표준 4 2 3 3 3 6" xfId="43965"/>
    <cellStyle name="표준 4 2 3 3 4" xfId="43966"/>
    <cellStyle name="표준 4 2 3 3 4 2" xfId="43967"/>
    <cellStyle name="표준 4 2 3 3 4 2 2" xfId="43968"/>
    <cellStyle name="표준 4 2 3 3 4 2 2 2" xfId="43969"/>
    <cellStyle name="표준 4 2 3 3 4 2 2 3" xfId="43970"/>
    <cellStyle name="표준 4 2 3 3 4 2 3" xfId="43971"/>
    <cellStyle name="표준 4 2 3 3 4 2 4" xfId="43972"/>
    <cellStyle name="표준 4 2 3 3 4 2 5" xfId="43973"/>
    <cellStyle name="표준 4 2 3 3 4 3" xfId="43974"/>
    <cellStyle name="표준 4 2 3 3 5" xfId="43975"/>
    <cellStyle name="표준 4 2 3 3 5 2" xfId="43976"/>
    <cellStyle name="표준 4 2 3 3 5 2 2" xfId="43977"/>
    <cellStyle name="표준 4 2 3 3 5 2 2 2" xfId="43978"/>
    <cellStyle name="표준 4 2 3 3 5 2 2 3" xfId="43979"/>
    <cellStyle name="표준 4 2 3 3 5 2 3" xfId="43980"/>
    <cellStyle name="표준 4 2 3 3 5 2 4" xfId="43981"/>
    <cellStyle name="표준 4 2 3 3 5 2 5" xfId="43982"/>
    <cellStyle name="표준 4 2 3 3 5 3" xfId="43983"/>
    <cellStyle name="표준 4 2 3 3 6" xfId="43984"/>
    <cellStyle name="표준 4 2 3 3 7" xfId="43985"/>
    <cellStyle name="표준 4 2 3 3 8" xfId="43986"/>
    <cellStyle name="표준 4 2 3 3 9" xfId="43987"/>
    <cellStyle name="표준 4 2 3 4" xfId="43988"/>
    <cellStyle name="표준 4 2 3 4 10" xfId="43989"/>
    <cellStyle name="표준 4 2 3 4 11" xfId="43990"/>
    <cellStyle name="표준 4 2 3 4 12" xfId="43991"/>
    <cellStyle name="표준 4 2 3 4 13" xfId="43992"/>
    <cellStyle name="표준 4 2 3 4 14" xfId="43993"/>
    <cellStyle name="표준 4 2 3 4 15" xfId="43994"/>
    <cellStyle name="표준 4 2 3 4 16" xfId="43995"/>
    <cellStyle name="표준 4 2 3 4 17" xfId="43996"/>
    <cellStyle name="표준 4 2 3 4 17 2" xfId="43997"/>
    <cellStyle name="표준 4 2 3 4 17 3" xfId="43998"/>
    <cellStyle name="표준 4 2 3 4 18" xfId="43999"/>
    <cellStyle name="표준 4 2 3 4 19" xfId="44000"/>
    <cellStyle name="표준 4 2 3 4 2" xfId="44001"/>
    <cellStyle name="표준 4 2 3 4 2 10" xfId="44002"/>
    <cellStyle name="표준 4 2 3 4 2 11" xfId="44003"/>
    <cellStyle name="표준 4 2 3 4 2 12" xfId="44004"/>
    <cellStyle name="표준 4 2 3 4 2 13" xfId="44005"/>
    <cellStyle name="표준 4 2 3 4 2 14" xfId="44006"/>
    <cellStyle name="표준 4 2 3 4 2 15" xfId="44007"/>
    <cellStyle name="표준 4 2 3 4 2 16" xfId="44008"/>
    <cellStyle name="표준 4 2 3 4 2 16 2" xfId="44009"/>
    <cellStyle name="표준 4 2 3 4 2 16 3" xfId="44010"/>
    <cellStyle name="표준 4 2 3 4 2 17" xfId="44011"/>
    <cellStyle name="표준 4 2 3 4 2 18" xfId="44012"/>
    <cellStyle name="표준 4 2 3 4 2 19" xfId="44013"/>
    <cellStyle name="표준 4 2 3 4 2 2" xfId="44014"/>
    <cellStyle name="표준 4 2 3 4 2 2 2" xfId="44015"/>
    <cellStyle name="표준 4 2 3 4 2 2 2 2" xfId="44016"/>
    <cellStyle name="표준 4 2 3 4 2 2 2 2 2" xfId="44017"/>
    <cellStyle name="표준 4 2 3 4 2 2 2 2 3" xfId="44018"/>
    <cellStyle name="표준 4 2 3 4 2 2 2 3" xfId="44019"/>
    <cellStyle name="표준 4 2 3 4 2 2 2 4" xfId="44020"/>
    <cellStyle name="표준 4 2 3 4 2 2 2 5" xfId="44021"/>
    <cellStyle name="표준 4 2 3 4 2 2 3" xfId="44022"/>
    <cellStyle name="표준 4 2 3 4 2 2 3 2" xfId="44023"/>
    <cellStyle name="표준 4 2 3 4 2 2 3 3" xfId="44024"/>
    <cellStyle name="표준 4 2 3 4 2 2 4" xfId="44025"/>
    <cellStyle name="표준 4 2 3 4 2 2 5" xfId="44026"/>
    <cellStyle name="표준 4 2 3 4 2 2 6" xfId="44027"/>
    <cellStyle name="표준 4 2 3 4 2 3" xfId="44028"/>
    <cellStyle name="표준 4 2 3 4 2 3 2" xfId="44029"/>
    <cellStyle name="표준 4 2 3 4 2 3 2 2" xfId="44030"/>
    <cellStyle name="표준 4 2 3 4 2 3 2 2 2" xfId="44031"/>
    <cellStyle name="표준 4 2 3 4 2 3 2 2 3" xfId="44032"/>
    <cellStyle name="표준 4 2 3 4 2 3 2 3" xfId="44033"/>
    <cellStyle name="표준 4 2 3 4 2 3 2 4" xfId="44034"/>
    <cellStyle name="표준 4 2 3 4 2 3 2 5" xfId="44035"/>
    <cellStyle name="표준 4 2 3 4 2 3 3" xfId="44036"/>
    <cellStyle name="표준 4 2 3 4 2 4" xfId="44037"/>
    <cellStyle name="표준 4 2 3 4 2 4 2" xfId="44038"/>
    <cellStyle name="표준 4 2 3 4 2 4 2 2" xfId="44039"/>
    <cellStyle name="표준 4 2 3 4 2 4 2 2 2" xfId="44040"/>
    <cellStyle name="표준 4 2 3 4 2 4 2 2 3" xfId="44041"/>
    <cellStyle name="표준 4 2 3 4 2 4 2 3" xfId="44042"/>
    <cellStyle name="표준 4 2 3 4 2 4 2 4" xfId="44043"/>
    <cellStyle name="표준 4 2 3 4 2 4 2 5" xfId="44044"/>
    <cellStyle name="표준 4 2 3 4 2 4 3" xfId="44045"/>
    <cellStyle name="표준 4 2 3 4 2 5" xfId="44046"/>
    <cellStyle name="표준 4 2 3 4 2 6" xfId="44047"/>
    <cellStyle name="표준 4 2 3 4 2 7" xfId="44048"/>
    <cellStyle name="표준 4 2 3 4 2 8" xfId="44049"/>
    <cellStyle name="표준 4 2 3 4 2 9" xfId="44050"/>
    <cellStyle name="표준 4 2 3 4 20" xfId="44051"/>
    <cellStyle name="표준 4 2 3 4 3" xfId="44052"/>
    <cellStyle name="표준 4 2 3 4 3 2" xfId="44053"/>
    <cellStyle name="표준 4 2 3 4 3 2 2" xfId="44054"/>
    <cellStyle name="표준 4 2 3 4 3 2 2 2" xfId="44055"/>
    <cellStyle name="표준 4 2 3 4 3 2 2 3" xfId="44056"/>
    <cellStyle name="표준 4 2 3 4 3 2 3" xfId="44057"/>
    <cellStyle name="표준 4 2 3 4 3 2 4" xfId="44058"/>
    <cellStyle name="표준 4 2 3 4 3 2 5" xfId="44059"/>
    <cellStyle name="표준 4 2 3 4 3 3" xfId="44060"/>
    <cellStyle name="표준 4 2 3 4 3 3 2" xfId="44061"/>
    <cellStyle name="표준 4 2 3 4 3 3 3" xfId="44062"/>
    <cellStyle name="표준 4 2 3 4 3 4" xfId="44063"/>
    <cellStyle name="표준 4 2 3 4 3 5" xfId="44064"/>
    <cellStyle name="표준 4 2 3 4 3 6" xfId="44065"/>
    <cellStyle name="표준 4 2 3 4 4" xfId="44066"/>
    <cellStyle name="표준 4 2 3 4 4 2" xfId="44067"/>
    <cellStyle name="표준 4 2 3 4 4 2 2" xfId="44068"/>
    <cellStyle name="표준 4 2 3 4 4 2 2 2" xfId="44069"/>
    <cellStyle name="표준 4 2 3 4 4 2 2 3" xfId="44070"/>
    <cellStyle name="표준 4 2 3 4 4 2 3" xfId="44071"/>
    <cellStyle name="표준 4 2 3 4 4 2 4" xfId="44072"/>
    <cellStyle name="표준 4 2 3 4 4 2 5" xfId="44073"/>
    <cellStyle name="표준 4 2 3 4 4 3" xfId="44074"/>
    <cellStyle name="표준 4 2 3 4 5" xfId="44075"/>
    <cellStyle name="표준 4 2 3 4 5 2" xfId="44076"/>
    <cellStyle name="표준 4 2 3 4 5 2 2" xfId="44077"/>
    <cellStyle name="표준 4 2 3 4 5 2 2 2" xfId="44078"/>
    <cellStyle name="표준 4 2 3 4 5 2 2 3" xfId="44079"/>
    <cellStyle name="표준 4 2 3 4 5 2 3" xfId="44080"/>
    <cellStyle name="표준 4 2 3 4 5 2 4" xfId="44081"/>
    <cellStyle name="표준 4 2 3 4 5 2 5" xfId="44082"/>
    <cellStyle name="표준 4 2 3 4 5 3" xfId="44083"/>
    <cellStyle name="표준 4 2 3 4 6" xfId="44084"/>
    <cellStyle name="표준 4 2 3 4 7" xfId="44085"/>
    <cellStyle name="표준 4 2 3 4 8" xfId="44086"/>
    <cellStyle name="표준 4 2 3 4 9" xfId="44087"/>
    <cellStyle name="표준 4 2 3 5" xfId="44088"/>
    <cellStyle name="표준 4 2 3 5 10" xfId="44089"/>
    <cellStyle name="표준 4 2 3 5 11" xfId="44090"/>
    <cellStyle name="표준 4 2 3 5 12" xfId="44091"/>
    <cellStyle name="표준 4 2 3 5 13" xfId="44092"/>
    <cellStyle name="표준 4 2 3 5 14" xfId="44093"/>
    <cellStyle name="표준 4 2 3 5 15" xfId="44094"/>
    <cellStyle name="표준 4 2 3 5 16" xfId="44095"/>
    <cellStyle name="표준 4 2 3 5 16 2" xfId="44096"/>
    <cellStyle name="표준 4 2 3 5 16 3" xfId="44097"/>
    <cellStyle name="표준 4 2 3 5 17" xfId="44098"/>
    <cellStyle name="표준 4 2 3 5 18" xfId="44099"/>
    <cellStyle name="표준 4 2 3 5 19" xfId="44100"/>
    <cellStyle name="표준 4 2 3 5 2" xfId="44101"/>
    <cellStyle name="표준 4 2 3 5 2 2" xfId="44102"/>
    <cellStyle name="표준 4 2 3 5 2 2 2" xfId="44103"/>
    <cellStyle name="표준 4 2 3 5 2 2 2 2" xfId="44104"/>
    <cellStyle name="표준 4 2 3 5 2 2 2 3" xfId="44105"/>
    <cellStyle name="표준 4 2 3 5 2 2 3" xfId="44106"/>
    <cellStyle name="표준 4 2 3 5 2 2 4" xfId="44107"/>
    <cellStyle name="표준 4 2 3 5 2 2 5" xfId="44108"/>
    <cellStyle name="표준 4 2 3 5 2 3" xfId="44109"/>
    <cellStyle name="표준 4 2 3 5 2 3 2" xfId="44110"/>
    <cellStyle name="표준 4 2 3 5 2 3 3" xfId="44111"/>
    <cellStyle name="표준 4 2 3 5 2 4" xfId="44112"/>
    <cellStyle name="표준 4 2 3 5 2 5" xfId="44113"/>
    <cellStyle name="표준 4 2 3 5 2 6" xfId="44114"/>
    <cellStyle name="표준 4 2 3 5 3" xfId="44115"/>
    <cellStyle name="표준 4 2 3 5 3 2" xfId="44116"/>
    <cellStyle name="표준 4 2 3 5 3 2 2" xfId="44117"/>
    <cellStyle name="표준 4 2 3 5 3 2 2 2" xfId="44118"/>
    <cellStyle name="표준 4 2 3 5 3 2 2 3" xfId="44119"/>
    <cellStyle name="표준 4 2 3 5 3 2 3" xfId="44120"/>
    <cellStyle name="표준 4 2 3 5 3 2 4" xfId="44121"/>
    <cellStyle name="표준 4 2 3 5 3 2 5" xfId="44122"/>
    <cellStyle name="표준 4 2 3 5 3 3" xfId="44123"/>
    <cellStyle name="표준 4 2 3 5 4" xfId="44124"/>
    <cellStyle name="표준 4 2 3 5 4 2" xfId="44125"/>
    <cellStyle name="표준 4 2 3 5 4 2 2" xfId="44126"/>
    <cellStyle name="표준 4 2 3 5 4 2 2 2" xfId="44127"/>
    <cellStyle name="표준 4 2 3 5 4 2 2 3" xfId="44128"/>
    <cellStyle name="표준 4 2 3 5 4 2 3" xfId="44129"/>
    <cellStyle name="표준 4 2 3 5 4 2 4" xfId="44130"/>
    <cellStyle name="표준 4 2 3 5 4 2 5" xfId="44131"/>
    <cellStyle name="표준 4 2 3 5 4 3" xfId="44132"/>
    <cellStyle name="표준 4 2 3 5 5" xfId="44133"/>
    <cellStyle name="표준 4 2 3 5 6" xfId="44134"/>
    <cellStyle name="표준 4 2 3 5 7" xfId="44135"/>
    <cellStyle name="표준 4 2 3 5 8" xfId="44136"/>
    <cellStyle name="표준 4 2 3 5 9" xfId="44137"/>
    <cellStyle name="표준 4 2 3 6" xfId="44138"/>
    <cellStyle name="표준 4 2 3 6 2" xfId="44139"/>
    <cellStyle name="표준 4 2 3 6 2 2" xfId="44140"/>
    <cellStyle name="표준 4 2 3 6 2 2 2" xfId="44141"/>
    <cellStyle name="표준 4 2 3 6 2 2 3" xfId="44142"/>
    <cellStyle name="표준 4 2 3 6 2 3" xfId="44143"/>
    <cellStyle name="표준 4 2 3 6 2 4" xfId="44144"/>
    <cellStyle name="표준 4 2 3 6 2 5" xfId="44145"/>
    <cellStyle name="표준 4 2 3 6 3" xfId="44146"/>
    <cellStyle name="표준 4 2 3 6 3 2" xfId="44147"/>
    <cellStyle name="표준 4 2 3 6 3 3" xfId="44148"/>
    <cellStyle name="표준 4 2 3 6 4" xfId="44149"/>
    <cellStyle name="표준 4 2 3 6 5" xfId="44150"/>
    <cellStyle name="표준 4 2 3 6 6" xfId="44151"/>
    <cellStyle name="표준 4 2 3 7" xfId="44152"/>
    <cellStyle name="표준 4 2 3 7 2" xfId="44153"/>
    <cellStyle name="표준 4 2 3 7 2 2" xfId="44154"/>
    <cellStyle name="표준 4 2 3 7 2 2 2" xfId="44155"/>
    <cellStyle name="표준 4 2 3 7 2 2 3" xfId="44156"/>
    <cellStyle name="표준 4 2 3 7 2 3" xfId="44157"/>
    <cellStyle name="표준 4 2 3 7 2 4" xfId="44158"/>
    <cellStyle name="표준 4 2 3 7 2 5" xfId="44159"/>
    <cellStyle name="표준 4 2 3 7 3" xfId="44160"/>
    <cellStyle name="표준 4 2 3 8" xfId="44161"/>
    <cellStyle name="표준 4 2 3 8 2" xfId="44162"/>
    <cellStyle name="표준 4 2 3 8 2 2" xfId="44163"/>
    <cellStyle name="표준 4 2 3 8 2 2 2" xfId="44164"/>
    <cellStyle name="표준 4 2 3 8 2 2 3" xfId="44165"/>
    <cellStyle name="표준 4 2 3 8 2 3" xfId="44166"/>
    <cellStyle name="표준 4 2 3 8 2 4" xfId="44167"/>
    <cellStyle name="표준 4 2 3 8 2 5" xfId="44168"/>
    <cellStyle name="표준 4 2 3 8 3" xfId="44169"/>
    <cellStyle name="표준 4 2 3 9" xfId="44170"/>
    <cellStyle name="표준 4 2 4" xfId="44171"/>
    <cellStyle name="표준 4 2 4 10" xfId="44172"/>
    <cellStyle name="표준 4 2 4 11" xfId="44173"/>
    <cellStyle name="표준 4 2 4 12" xfId="44174"/>
    <cellStyle name="표준 4 2 4 13" xfId="44175"/>
    <cellStyle name="표준 4 2 4 14" xfId="44176"/>
    <cellStyle name="표준 4 2 4 15" xfId="44177"/>
    <cellStyle name="표준 4 2 4 16" xfId="44178"/>
    <cellStyle name="표준 4 2 4 17" xfId="44179"/>
    <cellStyle name="표준 4 2 4 18" xfId="44180"/>
    <cellStyle name="표준 4 2 4 19" xfId="44181"/>
    <cellStyle name="표준 4 2 4 19 2" xfId="44182"/>
    <cellStyle name="표준 4 2 4 19 3" xfId="44183"/>
    <cellStyle name="표준 4 2 4 2" xfId="44184"/>
    <cellStyle name="표준 4 2 4 2 10" xfId="44185"/>
    <cellStyle name="표준 4 2 4 2 11" xfId="44186"/>
    <cellStyle name="표준 4 2 4 2 12" xfId="44187"/>
    <cellStyle name="표준 4 2 4 2 13" xfId="44188"/>
    <cellStyle name="표준 4 2 4 2 14" xfId="44189"/>
    <cellStyle name="표준 4 2 4 2 15" xfId="44190"/>
    <cellStyle name="표준 4 2 4 2 16" xfId="44191"/>
    <cellStyle name="표준 4 2 4 2 17" xfId="44192"/>
    <cellStyle name="표준 4 2 4 2 17 2" xfId="44193"/>
    <cellStyle name="표준 4 2 4 2 17 3" xfId="44194"/>
    <cellStyle name="표준 4 2 4 2 18" xfId="44195"/>
    <cellStyle name="표준 4 2 4 2 19" xfId="44196"/>
    <cellStyle name="표준 4 2 4 2 2" xfId="44197"/>
    <cellStyle name="표준 4 2 4 2 2 10" xfId="44198"/>
    <cellStyle name="표준 4 2 4 2 2 11" xfId="44199"/>
    <cellStyle name="표준 4 2 4 2 2 12" xfId="44200"/>
    <cellStyle name="표준 4 2 4 2 2 13" xfId="44201"/>
    <cellStyle name="표준 4 2 4 2 2 14" xfId="44202"/>
    <cellStyle name="표준 4 2 4 2 2 15" xfId="44203"/>
    <cellStyle name="표준 4 2 4 2 2 16" xfId="44204"/>
    <cellStyle name="표준 4 2 4 2 2 16 2" xfId="44205"/>
    <cellStyle name="표준 4 2 4 2 2 16 3" xfId="44206"/>
    <cellStyle name="표준 4 2 4 2 2 17" xfId="44207"/>
    <cellStyle name="표준 4 2 4 2 2 18" xfId="44208"/>
    <cellStyle name="표준 4 2 4 2 2 19" xfId="44209"/>
    <cellStyle name="표준 4 2 4 2 2 2" xfId="44210"/>
    <cellStyle name="표준 4 2 4 2 2 2 2" xfId="44211"/>
    <cellStyle name="표준 4 2 4 2 2 2 2 2" xfId="44212"/>
    <cellStyle name="표준 4 2 4 2 2 2 2 2 2" xfId="44213"/>
    <cellStyle name="표준 4 2 4 2 2 2 2 2 3" xfId="44214"/>
    <cellStyle name="표준 4 2 4 2 2 2 2 3" xfId="44215"/>
    <cellStyle name="표준 4 2 4 2 2 2 2 4" xfId="44216"/>
    <cellStyle name="표준 4 2 4 2 2 2 2 5" xfId="44217"/>
    <cellStyle name="표준 4 2 4 2 2 2 3" xfId="44218"/>
    <cellStyle name="표준 4 2 4 2 2 2 3 2" xfId="44219"/>
    <cellStyle name="표준 4 2 4 2 2 2 3 3" xfId="44220"/>
    <cellStyle name="표준 4 2 4 2 2 2 4" xfId="44221"/>
    <cellStyle name="표준 4 2 4 2 2 2 5" xfId="44222"/>
    <cellStyle name="표준 4 2 4 2 2 2 6" xfId="44223"/>
    <cellStyle name="표준 4 2 4 2 2 3" xfId="44224"/>
    <cellStyle name="표준 4 2 4 2 2 3 2" xfId="44225"/>
    <cellStyle name="표준 4 2 4 2 2 3 2 2" xfId="44226"/>
    <cellStyle name="표준 4 2 4 2 2 3 2 2 2" xfId="44227"/>
    <cellStyle name="표준 4 2 4 2 2 3 2 2 3" xfId="44228"/>
    <cellStyle name="표준 4 2 4 2 2 3 2 3" xfId="44229"/>
    <cellStyle name="표준 4 2 4 2 2 3 2 4" xfId="44230"/>
    <cellStyle name="표준 4 2 4 2 2 3 2 5" xfId="44231"/>
    <cellStyle name="표준 4 2 4 2 2 3 3" xfId="44232"/>
    <cellStyle name="표준 4 2 4 2 2 4" xfId="44233"/>
    <cellStyle name="표준 4 2 4 2 2 4 2" xfId="44234"/>
    <cellStyle name="표준 4 2 4 2 2 4 2 2" xfId="44235"/>
    <cellStyle name="표준 4 2 4 2 2 4 2 2 2" xfId="44236"/>
    <cellStyle name="표준 4 2 4 2 2 4 2 2 3" xfId="44237"/>
    <cellStyle name="표준 4 2 4 2 2 4 2 3" xfId="44238"/>
    <cellStyle name="표준 4 2 4 2 2 4 2 4" xfId="44239"/>
    <cellStyle name="표준 4 2 4 2 2 4 2 5" xfId="44240"/>
    <cellStyle name="표준 4 2 4 2 2 4 3" xfId="44241"/>
    <cellStyle name="표준 4 2 4 2 2 5" xfId="44242"/>
    <cellStyle name="표준 4 2 4 2 2 6" xfId="44243"/>
    <cellStyle name="표준 4 2 4 2 2 7" xfId="44244"/>
    <cellStyle name="표준 4 2 4 2 2 8" xfId="44245"/>
    <cellStyle name="표준 4 2 4 2 2 9" xfId="44246"/>
    <cellStyle name="표준 4 2 4 2 20" xfId="44247"/>
    <cellStyle name="표준 4 2 4 2 3" xfId="44248"/>
    <cellStyle name="표준 4 2 4 2 3 2" xfId="44249"/>
    <cellStyle name="표준 4 2 4 2 3 2 2" xfId="44250"/>
    <cellStyle name="표준 4 2 4 2 3 2 2 2" xfId="44251"/>
    <cellStyle name="표준 4 2 4 2 3 2 2 3" xfId="44252"/>
    <cellStyle name="표준 4 2 4 2 3 2 3" xfId="44253"/>
    <cellStyle name="표준 4 2 4 2 3 2 4" xfId="44254"/>
    <cellStyle name="표준 4 2 4 2 3 2 5" xfId="44255"/>
    <cellStyle name="표준 4 2 4 2 3 3" xfId="44256"/>
    <cellStyle name="표준 4 2 4 2 3 3 2" xfId="44257"/>
    <cellStyle name="표준 4 2 4 2 3 3 3" xfId="44258"/>
    <cellStyle name="표준 4 2 4 2 3 4" xfId="44259"/>
    <cellStyle name="표준 4 2 4 2 3 5" xfId="44260"/>
    <cellStyle name="표준 4 2 4 2 3 6" xfId="44261"/>
    <cellStyle name="표준 4 2 4 2 4" xfId="44262"/>
    <cellStyle name="표준 4 2 4 2 4 2" xfId="44263"/>
    <cellStyle name="표준 4 2 4 2 4 2 2" xfId="44264"/>
    <cellStyle name="표준 4 2 4 2 4 2 2 2" xfId="44265"/>
    <cellStyle name="표준 4 2 4 2 4 2 2 3" xfId="44266"/>
    <cellStyle name="표준 4 2 4 2 4 2 3" xfId="44267"/>
    <cellStyle name="표준 4 2 4 2 4 2 4" xfId="44268"/>
    <cellStyle name="표준 4 2 4 2 4 2 5" xfId="44269"/>
    <cellStyle name="표준 4 2 4 2 4 3" xfId="44270"/>
    <cellStyle name="표준 4 2 4 2 5" xfId="44271"/>
    <cellStyle name="표준 4 2 4 2 5 2" xfId="44272"/>
    <cellStyle name="표준 4 2 4 2 5 2 2" xfId="44273"/>
    <cellStyle name="표준 4 2 4 2 5 2 2 2" xfId="44274"/>
    <cellStyle name="표준 4 2 4 2 5 2 2 3" xfId="44275"/>
    <cellStyle name="표준 4 2 4 2 5 2 3" xfId="44276"/>
    <cellStyle name="표준 4 2 4 2 5 2 4" xfId="44277"/>
    <cellStyle name="표준 4 2 4 2 5 2 5" xfId="44278"/>
    <cellStyle name="표준 4 2 4 2 5 3" xfId="44279"/>
    <cellStyle name="표준 4 2 4 2 6" xfId="44280"/>
    <cellStyle name="표준 4 2 4 2 7" xfId="44281"/>
    <cellStyle name="표준 4 2 4 2 8" xfId="44282"/>
    <cellStyle name="표준 4 2 4 2 9" xfId="44283"/>
    <cellStyle name="표준 4 2 4 20" xfId="44284"/>
    <cellStyle name="표준 4 2 4 21" xfId="44285"/>
    <cellStyle name="표준 4 2 4 22" xfId="44286"/>
    <cellStyle name="표준 4 2 4 3" xfId="44287"/>
    <cellStyle name="표준 4 2 4 3 10" xfId="44288"/>
    <cellStyle name="표준 4 2 4 3 11" xfId="44289"/>
    <cellStyle name="표준 4 2 4 3 12" xfId="44290"/>
    <cellStyle name="표준 4 2 4 3 13" xfId="44291"/>
    <cellStyle name="표준 4 2 4 3 14" xfId="44292"/>
    <cellStyle name="표준 4 2 4 3 15" xfId="44293"/>
    <cellStyle name="표준 4 2 4 3 16" xfId="44294"/>
    <cellStyle name="표준 4 2 4 3 17" xfId="44295"/>
    <cellStyle name="표준 4 2 4 3 17 2" xfId="44296"/>
    <cellStyle name="표준 4 2 4 3 17 3" xfId="44297"/>
    <cellStyle name="표준 4 2 4 3 18" xfId="44298"/>
    <cellStyle name="표준 4 2 4 3 19" xfId="44299"/>
    <cellStyle name="표준 4 2 4 3 2" xfId="44300"/>
    <cellStyle name="표준 4 2 4 3 2 10" xfId="44301"/>
    <cellStyle name="표준 4 2 4 3 2 11" xfId="44302"/>
    <cellStyle name="표준 4 2 4 3 2 12" xfId="44303"/>
    <cellStyle name="표준 4 2 4 3 2 13" xfId="44304"/>
    <cellStyle name="표준 4 2 4 3 2 14" xfId="44305"/>
    <cellStyle name="표준 4 2 4 3 2 15" xfId="44306"/>
    <cellStyle name="표준 4 2 4 3 2 16" xfId="44307"/>
    <cellStyle name="표준 4 2 4 3 2 16 2" xfId="44308"/>
    <cellStyle name="표준 4 2 4 3 2 16 3" xfId="44309"/>
    <cellStyle name="표준 4 2 4 3 2 17" xfId="44310"/>
    <cellStyle name="표준 4 2 4 3 2 18" xfId="44311"/>
    <cellStyle name="표준 4 2 4 3 2 19" xfId="44312"/>
    <cellStyle name="표준 4 2 4 3 2 2" xfId="44313"/>
    <cellStyle name="표준 4 2 4 3 2 2 2" xfId="44314"/>
    <cellStyle name="표준 4 2 4 3 2 2 2 2" xfId="44315"/>
    <cellStyle name="표준 4 2 4 3 2 2 2 2 2" xfId="44316"/>
    <cellStyle name="표준 4 2 4 3 2 2 2 2 3" xfId="44317"/>
    <cellStyle name="표준 4 2 4 3 2 2 2 3" xfId="44318"/>
    <cellStyle name="표준 4 2 4 3 2 2 2 4" xfId="44319"/>
    <cellStyle name="표준 4 2 4 3 2 2 2 5" xfId="44320"/>
    <cellStyle name="표준 4 2 4 3 2 2 3" xfId="44321"/>
    <cellStyle name="표준 4 2 4 3 2 2 3 2" xfId="44322"/>
    <cellStyle name="표준 4 2 4 3 2 2 3 3" xfId="44323"/>
    <cellStyle name="표준 4 2 4 3 2 2 4" xfId="44324"/>
    <cellStyle name="표준 4 2 4 3 2 2 5" xfId="44325"/>
    <cellStyle name="표준 4 2 4 3 2 2 6" xfId="44326"/>
    <cellStyle name="표준 4 2 4 3 2 3" xfId="44327"/>
    <cellStyle name="표준 4 2 4 3 2 3 2" xfId="44328"/>
    <cellStyle name="표준 4 2 4 3 2 3 2 2" xfId="44329"/>
    <cellStyle name="표준 4 2 4 3 2 3 2 2 2" xfId="44330"/>
    <cellStyle name="표준 4 2 4 3 2 3 2 2 3" xfId="44331"/>
    <cellStyle name="표준 4 2 4 3 2 3 2 3" xfId="44332"/>
    <cellStyle name="표준 4 2 4 3 2 3 2 4" xfId="44333"/>
    <cellStyle name="표준 4 2 4 3 2 3 2 5" xfId="44334"/>
    <cellStyle name="표준 4 2 4 3 2 3 3" xfId="44335"/>
    <cellStyle name="표준 4 2 4 3 2 4" xfId="44336"/>
    <cellStyle name="표준 4 2 4 3 2 4 2" xfId="44337"/>
    <cellStyle name="표준 4 2 4 3 2 4 2 2" xfId="44338"/>
    <cellStyle name="표준 4 2 4 3 2 4 2 2 2" xfId="44339"/>
    <cellStyle name="표준 4 2 4 3 2 4 2 2 3" xfId="44340"/>
    <cellStyle name="표준 4 2 4 3 2 4 2 3" xfId="44341"/>
    <cellStyle name="표준 4 2 4 3 2 4 2 4" xfId="44342"/>
    <cellStyle name="표준 4 2 4 3 2 4 2 5" xfId="44343"/>
    <cellStyle name="표준 4 2 4 3 2 4 3" xfId="44344"/>
    <cellStyle name="표준 4 2 4 3 2 5" xfId="44345"/>
    <cellStyle name="표준 4 2 4 3 2 6" xfId="44346"/>
    <cellStyle name="표준 4 2 4 3 2 7" xfId="44347"/>
    <cellStyle name="표준 4 2 4 3 2 8" xfId="44348"/>
    <cellStyle name="표준 4 2 4 3 2 9" xfId="44349"/>
    <cellStyle name="표준 4 2 4 3 20" xfId="44350"/>
    <cellStyle name="표준 4 2 4 3 3" xfId="44351"/>
    <cellStyle name="표준 4 2 4 3 3 2" xfId="44352"/>
    <cellStyle name="표준 4 2 4 3 3 2 2" xfId="44353"/>
    <cellStyle name="표준 4 2 4 3 3 2 2 2" xfId="44354"/>
    <cellStyle name="표준 4 2 4 3 3 2 2 3" xfId="44355"/>
    <cellStyle name="표준 4 2 4 3 3 2 3" xfId="44356"/>
    <cellStyle name="표준 4 2 4 3 3 2 4" xfId="44357"/>
    <cellStyle name="표준 4 2 4 3 3 2 5" xfId="44358"/>
    <cellStyle name="표준 4 2 4 3 3 3" xfId="44359"/>
    <cellStyle name="표준 4 2 4 3 3 3 2" xfId="44360"/>
    <cellStyle name="표준 4 2 4 3 3 3 3" xfId="44361"/>
    <cellStyle name="표준 4 2 4 3 3 4" xfId="44362"/>
    <cellStyle name="표준 4 2 4 3 3 5" xfId="44363"/>
    <cellStyle name="표준 4 2 4 3 3 6" xfId="44364"/>
    <cellStyle name="표준 4 2 4 3 4" xfId="44365"/>
    <cellStyle name="표준 4 2 4 3 4 2" xfId="44366"/>
    <cellStyle name="표준 4 2 4 3 4 2 2" xfId="44367"/>
    <cellStyle name="표준 4 2 4 3 4 2 2 2" xfId="44368"/>
    <cellStyle name="표준 4 2 4 3 4 2 2 3" xfId="44369"/>
    <cellStyle name="표준 4 2 4 3 4 2 3" xfId="44370"/>
    <cellStyle name="표준 4 2 4 3 4 2 4" xfId="44371"/>
    <cellStyle name="표준 4 2 4 3 4 2 5" xfId="44372"/>
    <cellStyle name="표준 4 2 4 3 4 3" xfId="44373"/>
    <cellStyle name="표준 4 2 4 3 5" xfId="44374"/>
    <cellStyle name="표준 4 2 4 3 5 2" xfId="44375"/>
    <cellStyle name="표준 4 2 4 3 5 2 2" xfId="44376"/>
    <cellStyle name="표준 4 2 4 3 5 2 2 2" xfId="44377"/>
    <cellStyle name="표준 4 2 4 3 5 2 2 3" xfId="44378"/>
    <cellStyle name="표준 4 2 4 3 5 2 3" xfId="44379"/>
    <cellStyle name="표준 4 2 4 3 5 2 4" xfId="44380"/>
    <cellStyle name="표준 4 2 4 3 5 2 5" xfId="44381"/>
    <cellStyle name="표준 4 2 4 3 5 3" xfId="44382"/>
    <cellStyle name="표준 4 2 4 3 6" xfId="44383"/>
    <cellStyle name="표준 4 2 4 3 7" xfId="44384"/>
    <cellStyle name="표준 4 2 4 3 8" xfId="44385"/>
    <cellStyle name="표준 4 2 4 3 9" xfId="44386"/>
    <cellStyle name="표준 4 2 4 4" xfId="44387"/>
    <cellStyle name="표준 4 2 4 4 10" xfId="44388"/>
    <cellStyle name="표준 4 2 4 4 11" xfId="44389"/>
    <cellStyle name="표준 4 2 4 4 12" xfId="44390"/>
    <cellStyle name="표준 4 2 4 4 13" xfId="44391"/>
    <cellStyle name="표준 4 2 4 4 14" xfId="44392"/>
    <cellStyle name="표준 4 2 4 4 15" xfId="44393"/>
    <cellStyle name="표준 4 2 4 4 16" xfId="44394"/>
    <cellStyle name="표준 4 2 4 4 16 2" xfId="44395"/>
    <cellStyle name="표준 4 2 4 4 16 3" xfId="44396"/>
    <cellStyle name="표준 4 2 4 4 17" xfId="44397"/>
    <cellStyle name="표준 4 2 4 4 18" xfId="44398"/>
    <cellStyle name="표준 4 2 4 4 19" xfId="44399"/>
    <cellStyle name="표준 4 2 4 4 2" xfId="44400"/>
    <cellStyle name="표준 4 2 4 4 2 2" xfId="44401"/>
    <cellStyle name="표준 4 2 4 4 2 2 2" xfId="44402"/>
    <cellStyle name="표준 4 2 4 4 2 2 2 2" xfId="44403"/>
    <cellStyle name="표준 4 2 4 4 2 2 2 3" xfId="44404"/>
    <cellStyle name="표준 4 2 4 4 2 2 3" xfId="44405"/>
    <cellStyle name="표준 4 2 4 4 2 2 4" xfId="44406"/>
    <cellStyle name="표준 4 2 4 4 2 2 5" xfId="44407"/>
    <cellStyle name="표준 4 2 4 4 2 3" xfId="44408"/>
    <cellStyle name="표준 4 2 4 4 2 3 2" xfId="44409"/>
    <cellStyle name="표준 4 2 4 4 2 3 3" xfId="44410"/>
    <cellStyle name="표준 4 2 4 4 2 4" xfId="44411"/>
    <cellStyle name="표준 4 2 4 4 2 5" xfId="44412"/>
    <cellStyle name="표준 4 2 4 4 2 6" xfId="44413"/>
    <cellStyle name="표준 4 2 4 4 3" xfId="44414"/>
    <cellStyle name="표준 4 2 4 4 3 2" xfId="44415"/>
    <cellStyle name="표준 4 2 4 4 3 2 2" xfId="44416"/>
    <cellStyle name="표준 4 2 4 4 3 2 2 2" xfId="44417"/>
    <cellStyle name="표준 4 2 4 4 3 2 2 3" xfId="44418"/>
    <cellStyle name="표준 4 2 4 4 3 2 3" xfId="44419"/>
    <cellStyle name="표준 4 2 4 4 3 2 4" xfId="44420"/>
    <cellStyle name="표준 4 2 4 4 3 2 5" xfId="44421"/>
    <cellStyle name="표준 4 2 4 4 3 3" xfId="44422"/>
    <cellStyle name="표준 4 2 4 4 4" xfId="44423"/>
    <cellStyle name="표준 4 2 4 4 4 2" xfId="44424"/>
    <cellStyle name="표준 4 2 4 4 4 2 2" xfId="44425"/>
    <cellStyle name="표준 4 2 4 4 4 2 2 2" xfId="44426"/>
    <cellStyle name="표준 4 2 4 4 4 2 2 3" xfId="44427"/>
    <cellStyle name="표준 4 2 4 4 4 2 3" xfId="44428"/>
    <cellStyle name="표준 4 2 4 4 4 2 4" xfId="44429"/>
    <cellStyle name="표준 4 2 4 4 4 2 5" xfId="44430"/>
    <cellStyle name="표준 4 2 4 4 4 3" xfId="44431"/>
    <cellStyle name="표준 4 2 4 4 5" xfId="44432"/>
    <cellStyle name="표준 4 2 4 4 6" xfId="44433"/>
    <cellStyle name="표준 4 2 4 4 7" xfId="44434"/>
    <cellStyle name="표준 4 2 4 4 8" xfId="44435"/>
    <cellStyle name="표준 4 2 4 4 9" xfId="44436"/>
    <cellStyle name="표준 4 2 4 5" xfId="44437"/>
    <cellStyle name="표준 4 2 4 5 2" xfId="44438"/>
    <cellStyle name="표준 4 2 4 5 2 2" xfId="44439"/>
    <cellStyle name="표준 4 2 4 5 2 2 2" xfId="44440"/>
    <cellStyle name="표준 4 2 4 5 2 2 3" xfId="44441"/>
    <cellStyle name="표준 4 2 4 5 2 3" xfId="44442"/>
    <cellStyle name="표준 4 2 4 5 2 4" xfId="44443"/>
    <cellStyle name="표준 4 2 4 5 2 5" xfId="44444"/>
    <cellStyle name="표준 4 2 4 5 3" xfId="44445"/>
    <cellStyle name="표준 4 2 4 5 3 2" xfId="44446"/>
    <cellStyle name="표준 4 2 4 5 3 3" xfId="44447"/>
    <cellStyle name="표준 4 2 4 5 4" xfId="44448"/>
    <cellStyle name="표준 4 2 4 5 5" xfId="44449"/>
    <cellStyle name="표준 4 2 4 5 6" xfId="44450"/>
    <cellStyle name="표준 4 2 4 6" xfId="44451"/>
    <cellStyle name="표준 4 2 4 6 2" xfId="44452"/>
    <cellStyle name="표준 4 2 4 6 2 2" xfId="44453"/>
    <cellStyle name="표준 4 2 4 6 2 2 2" xfId="44454"/>
    <cellStyle name="표준 4 2 4 6 2 2 3" xfId="44455"/>
    <cellStyle name="표준 4 2 4 6 2 3" xfId="44456"/>
    <cellStyle name="표준 4 2 4 6 2 4" xfId="44457"/>
    <cellStyle name="표준 4 2 4 6 2 5" xfId="44458"/>
    <cellStyle name="표준 4 2 4 6 3" xfId="44459"/>
    <cellStyle name="표준 4 2 4 7" xfId="44460"/>
    <cellStyle name="표준 4 2 4 7 2" xfId="44461"/>
    <cellStyle name="표준 4 2 4 7 2 2" xfId="44462"/>
    <cellStyle name="표준 4 2 4 7 2 2 2" xfId="44463"/>
    <cellStyle name="표준 4 2 4 7 2 2 3" xfId="44464"/>
    <cellStyle name="표준 4 2 4 7 2 3" xfId="44465"/>
    <cellStyle name="표준 4 2 4 7 2 4" xfId="44466"/>
    <cellStyle name="표준 4 2 4 7 2 5" xfId="44467"/>
    <cellStyle name="표준 4 2 4 7 3" xfId="44468"/>
    <cellStyle name="표준 4 2 4 8" xfId="44469"/>
    <cellStyle name="표준 4 2 4 9" xfId="44470"/>
    <cellStyle name="표준 4 2 5" xfId="44471"/>
    <cellStyle name="표준 4 2 5 10" xfId="44472"/>
    <cellStyle name="표준 4 2 5 11" xfId="44473"/>
    <cellStyle name="표준 4 2 5 12" xfId="44474"/>
    <cellStyle name="표준 4 2 5 13" xfId="44475"/>
    <cellStyle name="표준 4 2 5 14" xfId="44476"/>
    <cellStyle name="표준 4 2 5 15" xfId="44477"/>
    <cellStyle name="표준 4 2 5 16" xfId="44478"/>
    <cellStyle name="표준 4 2 5 17" xfId="44479"/>
    <cellStyle name="표준 4 2 5 17 2" xfId="44480"/>
    <cellStyle name="표준 4 2 5 17 3" xfId="44481"/>
    <cellStyle name="표준 4 2 5 18" xfId="44482"/>
    <cellStyle name="표준 4 2 5 19" xfId="44483"/>
    <cellStyle name="표준 4 2 5 2" xfId="44484"/>
    <cellStyle name="표준 4 2 5 2 10" xfId="44485"/>
    <cellStyle name="표준 4 2 5 2 11" xfId="44486"/>
    <cellStyle name="표준 4 2 5 2 12" xfId="44487"/>
    <cellStyle name="표준 4 2 5 2 13" xfId="44488"/>
    <cellStyle name="표준 4 2 5 2 14" xfId="44489"/>
    <cellStyle name="표준 4 2 5 2 15" xfId="44490"/>
    <cellStyle name="표준 4 2 5 2 16" xfId="44491"/>
    <cellStyle name="표준 4 2 5 2 16 2" xfId="44492"/>
    <cellStyle name="표준 4 2 5 2 16 3" xfId="44493"/>
    <cellStyle name="표준 4 2 5 2 17" xfId="44494"/>
    <cellStyle name="표준 4 2 5 2 18" xfId="44495"/>
    <cellStyle name="표준 4 2 5 2 19" xfId="44496"/>
    <cellStyle name="표준 4 2 5 2 2" xfId="44497"/>
    <cellStyle name="표준 4 2 5 2 2 2" xfId="44498"/>
    <cellStyle name="표준 4 2 5 2 2 2 2" xfId="44499"/>
    <cellStyle name="표준 4 2 5 2 2 2 2 2" xfId="44500"/>
    <cellStyle name="표준 4 2 5 2 2 2 2 3" xfId="44501"/>
    <cellStyle name="표준 4 2 5 2 2 2 3" xfId="44502"/>
    <cellStyle name="표준 4 2 5 2 2 2 4" xfId="44503"/>
    <cellStyle name="표준 4 2 5 2 2 2 5" xfId="44504"/>
    <cellStyle name="표준 4 2 5 2 2 3" xfId="44505"/>
    <cellStyle name="표준 4 2 5 2 2 3 2" xfId="44506"/>
    <cellStyle name="표준 4 2 5 2 2 3 3" xfId="44507"/>
    <cellStyle name="표준 4 2 5 2 2 4" xfId="44508"/>
    <cellStyle name="표준 4 2 5 2 2 5" xfId="44509"/>
    <cellStyle name="표준 4 2 5 2 2 6" xfId="44510"/>
    <cellStyle name="표준 4 2 5 2 3" xfId="44511"/>
    <cellStyle name="표준 4 2 5 2 3 2" xfId="44512"/>
    <cellStyle name="표준 4 2 5 2 3 2 2" xfId="44513"/>
    <cellStyle name="표준 4 2 5 2 3 2 2 2" xfId="44514"/>
    <cellStyle name="표준 4 2 5 2 3 2 2 3" xfId="44515"/>
    <cellStyle name="표준 4 2 5 2 3 2 3" xfId="44516"/>
    <cellStyle name="표준 4 2 5 2 3 2 4" xfId="44517"/>
    <cellStyle name="표준 4 2 5 2 3 2 5" xfId="44518"/>
    <cellStyle name="표준 4 2 5 2 3 3" xfId="44519"/>
    <cellStyle name="표준 4 2 5 2 4" xfId="44520"/>
    <cellStyle name="표준 4 2 5 2 4 2" xfId="44521"/>
    <cellStyle name="표준 4 2 5 2 4 2 2" xfId="44522"/>
    <cellStyle name="표준 4 2 5 2 4 2 2 2" xfId="44523"/>
    <cellStyle name="표준 4 2 5 2 4 2 2 3" xfId="44524"/>
    <cellStyle name="표준 4 2 5 2 4 2 3" xfId="44525"/>
    <cellStyle name="표준 4 2 5 2 4 2 4" xfId="44526"/>
    <cellStyle name="표준 4 2 5 2 4 2 5" xfId="44527"/>
    <cellStyle name="표준 4 2 5 2 4 3" xfId="44528"/>
    <cellStyle name="표준 4 2 5 2 5" xfId="44529"/>
    <cellStyle name="표준 4 2 5 2 6" xfId="44530"/>
    <cellStyle name="표준 4 2 5 2 7" xfId="44531"/>
    <cellStyle name="표준 4 2 5 2 8" xfId="44532"/>
    <cellStyle name="표준 4 2 5 2 9" xfId="44533"/>
    <cellStyle name="표준 4 2 5 20" xfId="44534"/>
    <cellStyle name="표준 4 2 5 3" xfId="44535"/>
    <cellStyle name="표준 4 2 5 3 2" xfId="44536"/>
    <cellStyle name="표준 4 2 5 3 2 2" xfId="44537"/>
    <cellStyle name="표준 4 2 5 3 2 2 2" xfId="44538"/>
    <cellStyle name="표준 4 2 5 3 2 2 3" xfId="44539"/>
    <cellStyle name="표준 4 2 5 3 2 3" xfId="44540"/>
    <cellStyle name="표준 4 2 5 3 2 4" xfId="44541"/>
    <cellStyle name="표준 4 2 5 3 2 5" xfId="44542"/>
    <cellStyle name="표준 4 2 5 3 3" xfId="44543"/>
    <cellStyle name="표준 4 2 5 3 3 2" xfId="44544"/>
    <cellStyle name="표준 4 2 5 3 3 3" xfId="44545"/>
    <cellStyle name="표준 4 2 5 3 4" xfId="44546"/>
    <cellStyle name="표준 4 2 5 3 5" xfId="44547"/>
    <cellStyle name="표준 4 2 5 3 6" xfId="44548"/>
    <cellStyle name="표준 4 2 5 4" xfId="44549"/>
    <cellStyle name="표준 4 2 5 4 2" xfId="44550"/>
    <cellStyle name="표준 4 2 5 4 2 2" xfId="44551"/>
    <cellStyle name="표준 4 2 5 4 2 2 2" xfId="44552"/>
    <cellStyle name="표준 4 2 5 4 2 2 3" xfId="44553"/>
    <cellStyle name="표준 4 2 5 4 2 3" xfId="44554"/>
    <cellStyle name="표준 4 2 5 4 2 4" xfId="44555"/>
    <cellStyle name="표준 4 2 5 4 2 5" xfId="44556"/>
    <cellStyle name="표준 4 2 5 4 3" xfId="44557"/>
    <cellStyle name="표준 4 2 5 5" xfId="44558"/>
    <cellStyle name="표준 4 2 5 5 2" xfId="44559"/>
    <cellStyle name="표준 4 2 5 5 2 2" xfId="44560"/>
    <cellStyle name="표준 4 2 5 5 2 2 2" xfId="44561"/>
    <cellStyle name="표준 4 2 5 5 2 2 3" xfId="44562"/>
    <cellStyle name="표준 4 2 5 5 2 3" xfId="44563"/>
    <cellStyle name="표준 4 2 5 5 2 4" xfId="44564"/>
    <cellStyle name="표준 4 2 5 5 2 5" xfId="44565"/>
    <cellStyle name="표준 4 2 5 5 3" xfId="44566"/>
    <cellStyle name="표준 4 2 5 6" xfId="44567"/>
    <cellStyle name="표준 4 2 5 7" xfId="44568"/>
    <cellStyle name="표준 4 2 5 8" xfId="44569"/>
    <cellStyle name="표준 4 2 5 9" xfId="44570"/>
    <cellStyle name="표준 4 2 6" xfId="44571"/>
    <cellStyle name="표준 4 2 6 10" xfId="44572"/>
    <cellStyle name="표준 4 2 6 11" xfId="44573"/>
    <cellStyle name="표준 4 2 6 12" xfId="44574"/>
    <cellStyle name="표준 4 2 6 13" xfId="44575"/>
    <cellStyle name="표준 4 2 6 14" xfId="44576"/>
    <cellStyle name="표준 4 2 6 15" xfId="44577"/>
    <cellStyle name="표준 4 2 6 16" xfId="44578"/>
    <cellStyle name="표준 4 2 6 17" xfId="44579"/>
    <cellStyle name="표준 4 2 6 17 2" xfId="44580"/>
    <cellStyle name="표준 4 2 6 17 3" xfId="44581"/>
    <cellStyle name="표준 4 2 6 18" xfId="44582"/>
    <cellStyle name="표준 4 2 6 19" xfId="44583"/>
    <cellStyle name="표준 4 2 6 2" xfId="44584"/>
    <cellStyle name="표준 4 2 6 2 10" xfId="44585"/>
    <cellStyle name="표준 4 2 6 2 11" xfId="44586"/>
    <cellStyle name="표준 4 2 6 2 12" xfId="44587"/>
    <cellStyle name="표준 4 2 6 2 13" xfId="44588"/>
    <cellStyle name="표준 4 2 6 2 14" xfId="44589"/>
    <cellStyle name="표준 4 2 6 2 15" xfId="44590"/>
    <cellStyle name="표준 4 2 6 2 16" xfId="44591"/>
    <cellStyle name="표준 4 2 6 2 16 2" xfId="44592"/>
    <cellStyle name="표준 4 2 6 2 16 3" xfId="44593"/>
    <cellStyle name="표준 4 2 6 2 17" xfId="44594"/>
    <cellStyle name="표준 4 2 6 2 18" xfId="44595"/>
    <cellStyle name="표준 4 2 6 2 19" xfId="44596"/>
    <cellStyle name="표준 4 2 6 2 2" xfId="44597"/>
    <cellStyle name="표준 4 2 6 2 2 2" xfId="44598"/>
    <cellStyle name="표준 4 2 6 2 2 2 2" xfId="44599"/>
    <cellStyle name="표준 4 2 6 2 2 2 2 2" xfId="44600"/>
    <cellStyle name="표준 4 2 6 2 2 2 2 3" xfId="44601"/>
    <cellStyle name="표준 4 2 6 2 2 2 3" xfId="44602"/>
    <cellStyle name="표준 4 2 6 2 2 2 4" xfId="44603"/>
    <cellStyle name="표준 4 2 6 2 2 2 5" xfId="44604"/>
    <cellStyle name="표준 4 2 6 2 2 3" xfId="44605"/>
    <cellStyle name="표준 4 2 6 2 2 3 2" xfId="44606"/>
    <cellStyle name="표준 4 2 6 2 2 3 3" xfId="44607"/>
    <cellStyle name="표준 4 2 6 2 2 4" xfId="44608"/>
    <cellStyle name="표준 4 2 6 2 2 5" xfId="44609"/>
    <cellStyle name="표준 4 2 6 2 2 6" xfId="44610"/>
    <cellStyle name="표준 4 2 6 2 3" xfId="44611"/>
    <cellStyle name="표준 4 2 6 2 3 2" xfId="44612"/>
    <cellStyle name="표준 4 2 6 2 3 2 2" xfId="44613"/>
    <cellStyle name="표준 4 2 6 2 3 2 2 2" xfId="44614"/>
    <cellStyle name="표준 4 2 6 2 3 2 2 3" xfId="44615"/>
    <cellStyle name="표준 4 2 6 2 3 2 3" xfId="44616"/>
    <cellStyle name="표준 4 2 6 2 3 2 4" xfId="44617"/>
    <cellStyle name="표준 4 2 6 2 3 2 5" xfId="44618"/>
    <cellStyle name="표준 4 2 6 2 3 3" xfId="44619"/>
    <cellStyle name="표준 4 2 6 2 4" xfId="44620"/>
    <cellStyle name="표준 4 2 6 2 4 2" xfId="44621"/>
    <cellStyle name="표준 4 2 6 2 4 2 2" xfId="44622"/>
    <cellStyle name="표준 4 2 6 2 4 2 2 2" xfId="44623"/>
    <cellStyle name="표준 4 2 6 2 4 2 2 3" xfId="44624"/>
    <cellStyle name="표준 4 2 6 2 4 2 3" xfId="44625"/>
    <cellStyle name="표준 4 2 6 2 4 2 4" xfId="44626"/>
    <cellStyle name="표준 4 2 6 2 4 2 5" xfId="44627"/>
    <cellStyle name="표준 4 2 6 2 4 3" xfId="44628"/>
    <cellStyle name="표준 4 2 6 2 5" xfId="44629"/>
    <cellStyle name="표준 4 2 6 2 6" xfId="44630"/>
    <cellStyle name="표준 4 2 6 2 7" xfId="44631"/>
    <cellStyle name="표준 4 2 6 2 8" xfId="44632"/>
    <cellStyle name="표준 4 2 6 2 9" xfId="44633"/>
    <cellStyle name="표준 4 2 6 20" xfId="44634"/>
    <cellStyle name="표준 4 2 6 3" xfId="44635"/>
    <cellStyle name="표준 4 2 6 3 2" xfId="44636"/>
    <cellStyle name="표준 4 2 6 3 2 2" xfId="44637"/>
    <cellStyle name="표준 4 2 6 3 2 2 2" xfId="44638"/>
    <cellStyle name="표준 4 2 6 3 2 2 3" xfId="44639"/>
    <cellStyle name="표준 4 2 6 3 2 3" xfId="44640"/>
    <cellStyle name="표준 4 2 6 3 2 4" xfId="44641"/>
    <cellStyle name="표준 4 2 6 3 2 5" xfId="44642"/>
    <cellStyle name="표준 4 2 6 3 3" xfId="44643"/>
    <cellStyle name="표준 4 2 6 3 3 2" xfId="44644"/>
    <cellStyle name="표준 4 2 6 3 3 3" xfId="44645"/>
    <cellStyle name="표준 4 2 6 3 4" xfId="44646"/>
    <cellStyle name="표준 4 2 6 3 5" xfId="44647"/>
    <cellStyle name="표준 4 2 6 3 6" xfId="44648"/>
    <cellStyle name="표준 4 2 6 4" xfId="44649"/>
    <cellStyle name="표준 4 2 6 4 2" xfId="44650"/>
    <cellStyle name="표준 4 2 6 4 2 2" xfId="44651"/>
    <cellStyle name="표준 4 2 6 4 2 2 2" xfId="44652"/>
    <cellStyle name="표준 4 2 6 4 2 2 3" xfId="44653"/>
    <cellStyle name="표준 4 2 6 4 2 3" xfId="44654"/>
    <cellStyle name="표준 4 2 6 4 2 4" xfId="44655"/>
    <cellStyle name="표준 4 2 6 4 2 5" xfId="44656"/>
    <cellStyle name="표준 4 2 6 4 3" xfId="44657"/>
    <cellStyle name="표준 4 2 6 5" xfId="44658"/>
    <cellStyle name="표준 4 2 6 5 2" xfId="44659"/>
    <cellStyle name="표준 4 2 6 5 2 2" xfId="44660"/>
    <cellStyle name="표준 4 2 6 5 2 2 2" xfId="44661"/>
    <cellStyle name="표준 4 2 6 5 2 2 3" xfId="44662"/>
    <cellStyle name="표준 4 2 6 5 2 3" xfId="44663"/>
    <cellStyle name="표준 4 2 6 5 2 4" xfId="44664"/>
    <cellStyle name="표준 4 2 6 5 2 5" xfId="44665"/>
    <cellStyle name="표준 4 2 6 5 3" xfId="44666"/>
    <cellStyle name="표준 4 2 6 6" xfId="44667"/>
    <cellStyle name="표준 4 2 6 7" xfId="44668"/>
    <cellStyle name="표준 4 2 6 8" xfId="44669"/>
    <cellStyle name="표준 4 2 6 9" xfId="44670"/>
    <cellStyle name="표준 4 2 7" xfId="44671"/>
    <cellStyle name="표준 4 2 7 10" xfId="44672"/>
    <cellStyle name="표준 4 2 7 11" xfId="44673"/>
    <cellStyle name="표준 4 2 7 12" xfId="44674"/>
    <cellStyle name="표준 4 2 7 13" xfId="44675"/>
    <cellStyle name="표준 4 2 7 14" xfId="44676"/>
    <cellStyle name="표준 4 2 7 15" xfId="44677"/>
    <cellStyle name="표준 4 2 7 16" xfId="44678"/>
    <cellStyle name="표준 4 2 7 16 2" xfId="44679"/>
    <cellStyle name="표준 4 2 7 16 3" xfId="44680"/>
    <cellStyle name="표준 4 2 7 17" xfId="44681"/>
    <cellStyle name="표준 4 2 7 18" xfId="44682"/>
    <cellStyle name="표준 4 2 7 19" xfId="44683"/>
    <cellStyle name="표준 4 2 7 2" xfId="44684"/>
    <cellStyle name="표준 4 2 7 2 2" xfId="44685"/>
    <cellStyle name="표준 4 2 7 2 3" xfId="44686"/>
    <cellStyle name="표준 4 2 7 2 3 2" xfId="44687"/>
    <cellStyle name="표준 4 2 7 2 3 3" xfId="44688"/>
    <cellStyle name="표준 4 2 7 2 4" xfId="44689"/>
    <cellStyle name="표준 4 2 7 2 5" xfId="44690"/>
    <cellStyle name="표준 4 2 7 2 6" xfId="44691"/>
    <cellStyle name="표준 4 2 7 3" xfId="44692"/>
    <cellStyle name="표준 4 2 7 3 2" xfId="44693"/>
    <cellStyle name="표준 4 2 7 3 2 2" xfId="44694"/>
    <cellStyle name="표준 4 2 7 3 2 2 2" xfId="44695"/>
    <cellStyle name="표준 4 2 7 3 2 2 3" xfId="44696"/>
    <cellStyle name="표준 4 2 7 3 2 3" xfId="44697"/>
    <cellStyle name="표준 4 2 7 3 2 4" xfId="44698"/>
    <cellStyle name="표준 4 2 7 3 2 5" xfId="44699"/>
    <cellStyle name="표준 4 2 7 3 3" xfId="44700"/>
    <cellStyle name="표준 4 2 7 4" xfId="44701"/>
    <cellStyle name="표준 4 2 7 4 2" xfId="44702"/>
    <cellStyle name="표준 4 2 7 4 2 2" xfId="44703"/>
    <cellStyle name="표준 4 2 7 4 2 2 2" xfId="44704"/>
    <cellStyle name="표준 4 2 7 4 2 2 3" xfId="44705"/>
    <cellStyle name="표준 4 2 7 4 2 3" xfId="44706"/>
    <cellStyle name="표준 4 2 7 4 2 4" xfId="44707"/>
    <cellStyle name="표준 4 2 7 4 2 5" xfId="44708"/>
    <cellStyle name="표준 4 2 7 4 3" xfId="44709"/>
    <cellStyle name="표준 4 2 7 5" xfId="44710"/>
    <cellStyle name="표준 4 2 7 6" xfId="44711"/>
    <cellStyle name="표준 4 2 7 7" xfId="44712"/>
    <cellStyle name="표준 4 2 7 8" xfId="44713"/>
    <cellStyle name="표준 4 2 7 9" xfId="44714"/>
    <cellStyle name="표준 4 2 8" xfId="44715"/>
    <cellStyle name="표준 4 2 8 2" xfId="44716"/>
    <cellStyle name="표준 4 2 8 3" xfId="44717"/>
    <cellStyle name="표준 4 2 8 3 2" xfId="44718"/>
    <cellStyle name="표준 4 2 8 3 3" xfId="44719"/>
    <cellStyle name="표준 4 2 8 4" xfId="44720"/>
    <cellStyle name="표준 4 2 8 5" xfId="44721"/>
    <cellStyle name="표준 4 2 8 6" xfId="44722"/>
    <cellStyle name="표준 4 2 9" xfId="44723"/>
    <cellStyle name="표준 4 2 9 2" xfId="44724"/>
    <cellStyle name="표준 4 2 9 2 2" xfId="44725"/>
    <cellStyle name="표준 4 2 9 2 2 2" xfId="44726"/>
    <cellStyle name="표준 4 2 9 2 2 3" xfId="44727"/>
    <cellStyle name="표준 4 2 9 2 3" xfId="44728"/>
    <cellStyle name="표준 4 2 9 2 4" xfId="44729"/>
    <cellStyle name="표준 4 2 9 2 5" xfId="44730"/>
    <cellStyle name="표준 4 2 9 3" xfId="44731"/>
    <cellStyle name="표준 4 20" xfId="44732"/>
    <cellStyle name="표준 4 20 2" xfId="44733"/>
    <cellStyle name="표준 4 21" xfId="44734"/>
    <cellStyle name="표준 4 21 2" xfId="44735"/>
    <cellStyle name="표준 4 22" xfId="44736"/>
    <cellStyle name="표준 4 22 2" xfId="44737"/>
    <cellStyle name="표준 4 23" xfId="44738"/>
    <cellStyle name="표준 4 23 2" xfId="44739"/>
    <cellStyle name="표준 4 24" xfId="44740"/>
    <cellStyle name="표준 4 25" xfId="44741"/>
    <cellStyle name="표준 4 3" xfId="44742"/>
    <cellStyle name="표준 4 3 10" xfId="44743"/>
    <cellStyle name="표준 4 3 11" xfId="44744"/>
    <cellStyle name="표준 4 3 12" xfId="44745"/>
    <cellStyle name="표준 4 3 13" xfId="44746"/>
    <cellStyle name="표준 4 3 14" xfId="44747"/>
    <cellStyle name="표준 4 3 15" xfId="44748"/>
    <cellStyle name="표준 4 3 16" xfId="44749"/>
    <cellStyle name="표준 4 3 17" xfId="44750"/>
    <cellStyle name="표준 4 3 18" xfId="44751"/>
    <cellStyle name="표준 4 3 19" xfId="44752"/>
    <cellStyle name="표준 4 3 2" xfId="44753"/>
    <cellStyle name="표준 4 3 2 10" xfId="44754"/>
    <cellStyle name="표준 4 3 2 11" xfId="44755"/>
    <cellStyle name="표준 4 3 2 12" xfId="44756"/>
    <cellStyle name="표준 4 3 2 13" xfId="44757"/>
    <cellStyle name="표준 4 3 2 14" xfId="44758"/>
    <cellStyle name="표준 4 3 2 15" xfId="44759"/>
    <cellStyle name="표준 4 3 2 16" xfId="44760"/>
    <cellStyle name="표준 4 3 2 17" xfId="44761"/>
    <cellStyle name="표준 4 3 2 18" xfId="44762"/>
    <cellStyle name="표준 4 3 2 19" xfId="44763"/>
    <cellStyle name="표준 4 3 2 2" xfId="44764"/>
    <cellStyle name="표준 4 3 2 2 10" xfId="44765"/>
    <cellStyle name="표준 4 3 2 2 11" xfId="44766"/>
    <cellStyle name="표준 4 3 2 2 12" xfId="44767"/>
    <cellStyle name="표준 4 3 2 2 13" xfId="44768"/>
    <cellStyle name="표준 4 3 2 2 14" xfId="44769"/>
    <cellStyle name="표준 4 3 2 2 15" xfId="44770"/>
    <cellStyle name="표준 4 3 2 2 16" xfId="44771"/>
    <cellStyle name="표준 4 3 2 2 17" xfId="44772"/>
    <cellStyle name="표준 4 3 2 2 18" xfId="44773"/>
    <cellStyle name="표준 4 3 2 2 19" xfId="44774"/>
    <cellStyle name="표준 4 3 2 2 19 2" xfId="44775"/>
    <cellStyle name="표준 4 3 2 2 19 3" xfId="44776"/>
    <cellStyle name="표준 4 3 2 2 2" xfId="44777"/>
    <cellStyle name="표준 4 3 2 2 2 10" xfId="44778"/>
    <cellStyle name="표준 4 3 2 2 2 11" xfId="44779"/>
    <cellStyle name="표준 4 3 2 2 2 12" xfId="44780"/>
    <cellStyle name="표준 4 3 2 2 2 13" xfId="44781"/>
    <cellStyle name="표준 4 3 2 2 2 14" xfId="44782"/>
    <cellStyle name="표준 4 3 2 2 2 15" xfId="44783"/>
    <cellStyle name="표준 4 3 2 2 2 16" xfId="44784"/>
    <cellStyle name="표준 4 3 2 2 2 17" xfId="44785"/>
    <cellStyle name="표준 4 3 2 2 2 17 2" xfId="44786"/>
    <cellStyle name="표준 4 3 2 2 2 17 3" xfId="44787"/>
    <cellStyle name="표준 4 3 2 2 2 18" xfId="44788"/>
    <cellStyle name="표준 4 3 2 2 2 19" xfId="44789"/>
    <cellStyle name="표준 4 3 2 2 2 2" xfId="44790"/>
    <cellStyle name="표준 4 3 2 2 2 2 10" xfId="44791"/>
    <cellStyle name="표준 4 3 2 2 2 2 11" xfId="44792"/>
    <cellStyle name="표준 4 3 2 2 2 2 12" xfId="44793"/>
    <cellStyle name="표준 4 3 2 2 2 2 13" xfId="44794"/>
    <cellStyle name="표준 4 3 2 2 2 2 14" xfId="44795"/>
    <cellStyle name="표준 4 3 2 2 2 2 15" xfId="44796"/>
    <cellStyle name="표준 4 3 2 2 2 2 16" xfId="44797"/>
    <cellStyle name="표준 4 3 2 2 2 2 16 2" xfId="44798"/>
    <cellStyle name="표준 4 3 2 2 2 2 16 3" xfId="44799"/>
    <cellStyle name="표준 4 3 2 2 2 2 17" xfId="44800"/>
    <cellStyle name="표준 4 3 2 2 2 2 18" xfId="44801"/>
    <cellStyle name="표준 4 3 2 2 2 2 19" xfId="44802"/>
    <cellStyle name="표준 4 3 2 2 2 2 2" xfId="44803"/>
    <cellStyle name="표준 4 3 2 2 2 2 2 2" xfId="44804"/>
    <cellStyle name="표준 4 3 2 2 2 2 2 2 2" xfId="44805"/>
    <cellStyle name="표준 4 3 2 2 2 2 2 2 2 2" xfId="44806"/>
    <cellStyle name="표준 4 3 2 2 2 2 2 2 2 3" xfId="44807"/>
    <cellStyle name="표준 4 3 2 2 2 2 2 2 3" xfId="44808"/>
    <cellStyle name="표준 4 3 2 2 2 2 2 2 4" xfId="44809"/>
    <cellStyle name="표준 4 3 2 2 2 2 2 2 5" xfId="44810"/>
    <cellStyle name="표준 4 3 2 2 2 2 2 3" xfId="44811"/>
    <cellStyle name="표준 4 3 2 2 2 2 2 3 2" xfId="44812"/>
    <cellStyle name="표준 4 3 2 2 2 2 2 3 3" xfId="44813"/>
    <cellStyle name="표준 4 3 2 2 2 2 2 4" xfId="44814"/>
    <cellStyle name="표준 4 3 2 2 2 2 2 5" xfId="44815"/>
    <cellStyle name="표준 4 3 2 2 2 2 2 6" xfId="44816"/>
    <cellStyle name="표준 4 3 2 2 2 2 3" xfId="44817"/>
    <cellStyle name="표준 4 3 2 2 2 2 3 2" xfId="44818"/>
    <cellStyle name="표준 4 3 2 2 2 2 3 2 2" xfId="44819"/>
    <cellStyle name="표준 4 3 2 2 2 2 3 2 2 2" xfId="44820"/>
    <cellStyle name="표준 4 3 2 2 2 2 3 2 2 3" xfId="44821"/>
    <cellStyle name="표준 4 3 2 2 2 2 3 2 3" xfId="44822"/>
    <cellStyle name="표준 4 3 2 2 2 2 3 2 4" xfId="44823"/>
    <cellStyle name="표준 4 3 2 2 2 2 3 2 5" xfId="44824"/>
    <cellStyle name="표준 4 3 2 2 2 2 3 3" xfId="44825"/>
    <cellStyle name="표준 4 3 2 2 2 2 4" xfId="44826"/>
    <cellStyle name="표준 4 3 2 2 2 2 4 2" xfId="44827"/>
    <cellStyle name="표준 4 3 2 2 2 2 4 2 2" xfId="44828"/>
    <cellStyle name="표준 4 3 2 2 2 2 4 2 2 2" xfId="44829"/>
    <cellStyle name="표준 4 3 2 2 2 2 4 2 2 3" xfId="44830"/>
    <cellStyle name="표준 4 3 2 2 2 2 4 2 3" xfId="44831"/>
    <cellStyle name="표준 4 3 2 2 2 2 4 2 4" xfId="44832"/>
    <cellStyle name="표준 4 3 2 2 2 2 4 2 5" xfId="44833"/>
    <cellStyle name="표준 4 3 2 2 2 2 4 3" xfId="44834"/>
    <cellStyle name="표준 4 3 2 2 2 2 5" xfId="44835"/>
    <cellStyle name="표준 4 3 2 2 2 2 6" xfId="44836"/>
    <cellStyle name="표준 4 3 2 2 2 2 7" xfId="44837"/>
    <cellStyle name="표준 4 3 2 2 2 2 8" xfId="44838"/>
    <cellStyle name="표준 4 3 2 2 2 2 9" xfId="44839"/>
    <cellStyle name="표준 4 3 2 2 2 20" xfId="44840"/>
    <cellStyle name="표준 4 3 2 2 2 3" xfId="44841"/>
    <cellStyle name="표준 4 3 2 2 2 3 2" xfId="44842"/>
    <cellStyle name="표준 4 3 2 2 2 3 2 2" xfId="44843"/>
    <cellStyle name="표준 4 3 2 2 2 3 2 2 2" xfId="44844"/>
    <cellStyle name="표준 4 3 2 2 2 3 2 2 3" xfId="44845"/>
    <cellStyle name="표준 4 3 2 2 2 3 2 3" xfId="44846"/>
    <cellStyle name="표준 4 3 2 2 2 3 2 4" xfId="44847"/>
    <cellStyle name="표준 4 3 2 2 2 3 2 5" xfId="44848"/>
    <cellStyle name="표준 4 3 2 2 2 3 3" xfId="44849"/>
    <cellStyle name="표준 4 3 2 2 2 3 3 2" xfId="44850"/>
    <cellStyle name="표준 4 3 2 2 2 3 3 3" xfId="44851"/>
    <cellStyle name="표준 4 3 2 2 2 3 4" xfId="44852"/>
    <cellStyle name="표준 4 3 2 2 2 3 5" xfId="44853"/>
    <cellStyle name="표준 4 3 2 2 2 3 6" xfId="44854"/>
    <cellStyle name="표준 4 3 2 2 2 4" xfId="44855"/>
    <cellStyle name="표준 4 3 2 2 2 4 2" xfId="44856"/>
    <cellStyle name="표준 4 3 2 2 2 4 2 2" xfId="44857"/>
    <cellStyle name="표준 4 3 2 2 2 4 2 2 2" xfId="44858"/>
    <cellStyle name="표준 4 3 2 2 2 4 2 2 3" xfId="44859"/>
    <cellStyle name="표준 4 3 2 2 2 4 2 3" xfId="44860"/>
    <cellStyle name="표준 4 3 2 2 2 4 2 4" xfId="44861"/>
    <cellStyle name="표준 4 3 2 2 2 4 2 5" xfId="44862"/>
    <cellStyle name="표준 4 3 2 2 2 4 3" xfId="44863"/>
    <cellStyle name="표준 4 3 2 2 2 5" xfId="44864"/>
    <cellStyle name="표준 4 3 2 2 2 5 2" xfId="44865"/>
    <cellStyle name="표준 4 3 2 2 2 5 2 2" xfId="44866"/>
    <cellStyle name="표준 4 3 2 2 2 5 2 2 2" xfId="44867"/>
    <cellStyle name="표준 4 3 2 2 2 5 2 2 3" xfId="44868"/>
    <cellStyle name="표준 4 3 2 2 2 5 2 3" xfId="44869"/>
    <cellStyle name="표준 4 3 2 2 2 5 2 4" xfId="44870"/>
    <cellStyle name="표준 4 3 2 2 2 5 2 5" xfId="44871"/>
    <cellStyle name="표준 4 3 2 2 2 5 3" xfId="44872"/>
    <cellStyle name="표준 4 3 2 2 2 6" xfId="44873"/>
    <cellStyle name="표준 4 3 2 2 2 7" xfId="44874"/>
    <cellStyle name="표준 4 3 2 2 2 8" xfId="44875"/>
    <cellStyle name="표준 4 3 2 2 2 9" xfId="44876"/>
    <cellStyle name="표준 4 3 2 2 20" xfId="44877"/>
    <cellStyle name="표준 4 3 2 2 21" xfId="44878"/>
    <cellStyle name="표준 4 3 2 2 22" xfId="44879"/>
    <cellStyle name="표준 4 3 2 2 3" xfId="44880"/>
    <cellStyle name="표준 4 3 2 2 3 10" xfId="44881"/>
    <cellStyle name="표준 4 3 2 2 3 11" xfId="44882"/>
    <cellStyle name="표준 4 3 2 2 3 12" xfId="44883"/>
    <cellStyle name="표준 4 3 2 2 3 13" xfId="44884"/>
    <cellStyle name="표준 4 3 2 2 3 14" xfId="44885"/>
    <cellStyle name="표준 4 3 2 2 3 15" xfId="44886"/>
    <cellStyle name="표준 4 3 2 2 3 16" xfId="44887"/>
    <cellStyle name="표준 4 3 2 2 3 17" xfId="44888"/>
    <cellStyle name="표준 4 3 2 2 3 17 2" xfId="44889"/>
    <cellStyle name="표준 4 3 2 2 3 17 3" xfId="44890"/>
    <cellStyle name="표준 4 3 2 2 3 18" xfId="44891"/>
    <cellStyle name="표준 4 3 2 2 3 19" xfId="44892"/>
    <cellStyle name="표준 4 3 2 2 3 2" xfId="44893"/>
    <cellStyle name="표준 4 3 2 2 3 2 10" xfId="44894"/>
    <cellStyle name="표준 4 3 2 2 3 2 11" xfId="44895"/>
    <cellStyle name="표준 4 3 2 2 3 2 12" xfId="44896"/>
    <cellStyle name="표준 4 3 2 2 3 2 13" xfId="44897"/>
    <cellStyle name="표준 4 3 2 2 3 2 14" xfId="44898"/>
    <cellStyle name="표준 4 3 2 2 3 2 15" xfId="44899"/>
    <cellStyle name="표준 4 3 2 2 3 2 16" xfId="44900"/>
    <cellStyle name="표준 4 3 2 2 3 2 16 2" xfId="44901"/>
    <cellStyle name="표준 4 3 2 2 3 2 16 3" xfId="44902"/>
    <cellStyle name="표준 4 3 2 2 3 2 17" xfId="44903"/>
    <cellStyle name="표준 4 3 2 2 3 2 18" xfId="44904"/>
    <cellStyle name="표준 4 3 2 2 3 2 19" xfId="44905"/>
    <cellStyle name="표준 4 3 2 2 3 2 2" xfId="44906"/>
    <cellStyle name="표준 4 3 2 2 3 2 2 2" xfId="44907"/>
    <cellStyle name="표준 4 3 2 2 3 2 2 2 2" xfId="44908"/>
    <cellStyle name="표준 4 3 2 2 3 2 2 2 2 2" xfId="44909"/>
    <cellStyle name="표준 4 3 2 2 3 2 2 2 2 3" xfId="44910"/>
    <cellStyle name="표준 4 3 2 2 3 2 2 2 3" xfId="44911"/>
    <cellStyle name="표준 4 3 2 2 3 2 2 2 4" xfId="44912"/>
    <cellStyle name="표준 4 3 2 2 3 2 2 2 5" xfId="44913"/>
    <cellStyle name="표준 4 3 2 2 3 2 2 3" xfId="44914"/>
    <cellStyle name="표준 4 3 2 2 3 2 2 3 2" xfId="44915"/>
    <cellStyle name="표준 4 3 2 2 3 2 2 3 3" xfId="44916"/>
    <cellStyle name="표준 4 3 2 2 3 2 2 4" xfId="44917"/>
    <cellStyle name="표준 4 3 2 2 3 2 2 5" xfId="44918"/>
    <cellStyle name="표준 4 3 2 2 3 2 2 6" xfId="44919"/>
    <cellStyle name="표준 4 3 2 2 3 2 3" xfId="44920"/>
    <cellStyle name="표준 4 3 2 2 3 2 3 2" xfId="44921"/>
    <cellStyle name="표준 4 3 2 2 3 2 3 2 2" xfId="44922"/>
    <cellStyle name="표준 4 3 2 2 3 2 3 2 2 2" xfId="44923"/>
    <cellStyle name="표준 4 3 2 2 3 2 3 2 2 3" xfId="44924"/>
    <cellStyle name="표준 4 3 2 2 3 2 3 2 3" xfId="44925"/>
    <cellStyle name="표준 4 3 2 2 3 2 3 2 4" xfId="44926"/>
    <cellStyle name="표준 4 3 2 2 3 2 3 2 5" xfId="44927"/>
    <cellStyle name="표준 4 3 2 2 3 2 3 3" xfId="44928"/>
    <cellStyle name="표준 4 3 2 2 3 2 4" xfId="44929"/>
    <cellStyle name="표준 4 3 2 2 3 2 4 2" xfId="44930"/>
    <cellStyle name="표준 4 3 2 2 3 2 4 2 2" xfId="44931"/>
    <cellStyle name="표준 4 3 2 2 3 2 4 2 2 2" xfId="44932"/>
    <cellStyle name="표준 4 3 2 2 3 2 4 2 2 3" xfId="44933"/>
    <cellStyle name="표준 4 3 2 2 3 2 4 2 3" xfId="44934"/>
    <cellStyle name="표준 4 3 2 2 3 2 4 2 4" xfId="44935"/>
    <cellStyle name="표준 4 3 2 2 3 2 4 2 5" xfId="44936"/>
    <cellStyle name="표준 4 3 2 2 3 2 4 3" xfId="44937"/>
    <cellStyle name="표준 4 3 2 2 3 2 5" xfId="44938"/>
    <cellStyle name="표준 4 3 2 2 3 2 6" xfId="44939"/>
    <cellStyle name="표준 4 3 2 2 3 2 7" xfId="44940"/>
    <cellStyle name="표준 4 3 2 2 3 2 8" xfId="44941"/>
    <cellStyle name="표준 4 3 2 2 3 2 9" xfId="44942"/>
    <cellStyle name="표준 4 3 2 2 3 20" xfId="44943"/>
    <cellStyle name="표준 4 3 2 2 3 3" xfId="44944"/>
    <cellStyle name="표준 4 3 2 2 3 3 2" xfId="44945"/>
    <cellStyle name="표준 4 3 2 2 3 3 2 2" xfId="44946"/>
    <cellStyle name="표준 4 3 2 2 3 3 2 2 2" xfId="44947"/>
    <cellStyle name="표준 4 3 2 2 3 3 2 2 3" xfId="44948"/>
    <cellStyle name="표준 4 3 2 2 3 3 2 3" xfId="44949"/>
    <cellStyle name="표준 4 3 2 2 3 3 2 4" xfId="44950"/>
    <cellStyle name="표준 4 3 2 2 3 3 2 5" xfId="44951"/>
    <cellStyle name="표준 4 3 2 2 3 3 3" xfId="44952"/>
    <cellStyle name="표준 4 3 2 2 3 3 3 2" xfId="44953"/>
    <cellStyle name="표준 4 3 2 2 3 3 3 3" xfId="44954"/>
    <cellStyle name="표준 4 3 2 2 3 3 4" xfId="44955"/>
    <cellStyle name="표준 4 3 2 2 3 3 5" xfId="44956"/>
    <cellStyle name="표준 4 3 2 2 3 3 6" xfId="44957"/>
    <cellStyle name="표준 4 3 2 2 3 4" xfId="44958"/>
    <cellStyle name="표준 4 3 2 2 3 4 2" xfId="44959"/>
    <cellStyle name="표준 4 3 2 2 3 4 2 2" xfId="44960"/>
    <cellStyle name="표준 4 3 2 2 3 4 2 2 2" xfId="44961"/>
    <cellStyle name="표준 4 3 2 2 3 4 2 2 3" xfId="44962"/>
    <cellStyle name="표준 4 3 2 2 3 4 2 3" xfId="44963"/>
    <cellStyle name="표준 4 3 2 2 3 4 2 4" xfId="44964"/>
    <cellStyle name="표준 4 3 2 2 3 4 2 5" xfId="44965"/>
    <cellStyle name="표준 4 3 2 2 3 4 3" xfId="44966"/>
    <cellStyle name="표준 4 3 2 2 3 5" xfId="44967"/>
    <cellStyle name="표준 4 3 2 2 3 5 2" xfId="44968"/>
    <cellStyle name="표준 4 3 2 2 3 5 2 2" xfId="44969"/>
    <cellStyle name="표준 4 3 2 2 3 5 2 2 2" xfId="44970"/>
    <cellStyle name="표준 4 3 2 2 3 5 2 2 3" xfId="44971"/>
    <cellStyle name="표준 4 3 2 2 3 5 2 3" xfId="44972"/>
    <cellStyle name="표준 4 3 2 2 3 5 2 4" xfId="44973"/>
    <cellStyle name="표준 4 3 2 2 3 5 2 5" xfId="44974"/>
    <cellStyle name="표준 4 3 2 2 3 5 3" xfId="44975"/>
    <cellStyle name="표준 4 3 2 2 3 6" xfId="44976"/>
    <cellStyle name="표준 4 3 2 2 3 7" xfId="44977"/>
    <cellStyle name="표준 4 3 2 2 3 8" xfId="44978"/>
    <cellStyle name="표준 4 3 2 2 3 9" xfId="44979"/>
    <cellStyle name="표준 4 3 2 2 4" xfId="44980"/>
    <cellStyle name="표준 4 3 2 2 4 10" xfId="44981"/>
    <cellStyle name="표준 4 3 2 2 4 11" xfId="44982"/>
    <cellStyle name="표준 4 3 2 2 4 12" xfId="44983"/>
    <cellStyle name="표준 4 3 2 2 4 13" xfId="44984"/>
    <cellStyle name="표준 4 3 2 2 4 14" xfId="44985"/>
    <cellStyle name="표준 4 3 2 2 4 15" xfId="44986"/>
    <cellStyle name="표준 4 3 2 2 4 16" xfId="44987"/>
    <cellStyle name="표준 4 3 2 2 4 16 2" xfId="44988"/>
    <cellStyle name="표준 4 3 2 2 4 16 3" xfId="44989"/>
    <cellStyle name="표준 4 3 2 2 4 17" xfId="44990"/>
    <cellStyle name="표준 4 3 2 2 4 18" xfId="44991"/>
    <cellStyle name="표준 4 3 2 2 4 19" xfId="44992"/>
    <cellStyle name="표준 4 3 2 2 4 2" xfId="44993"/>
    <cellStyle name="표준 4 3 2 2 4 2 2" xfId="44994"/>
    <cellStyle name="표준 4 3 2 2 4 2 2 2" xfId="44995"/>
    <cellStyle name="표준 4 3 2 2 4 2 2 2 2" xfId="44996"/>
    <cellStyle name="표준 4 3 2 2 4 2 2 2 3" xfId="44997"/>
    <cellStyle name="표준 4 3 2 2 4 2 2 3" xfId="44998"/>
    <cellStyle name="표준 4 3 2 2 4 2 2 4" xfId="44999"/>
    <cellStyle name="표준 4 3 2 2 4 2 2 5" xfId="45000"/>
    <cellStyle name="표준 4 3 2 2 4 2 3" xfId="45001"/>
    <cellStyle name="표준 4 3 2 2 4 2 3 2" xfId="45002"/>
    <cellStyle name="표준 4 3 2 2 4 2 3 3" xfId="45003"/>
    <cellStyle name="표준 4 3 2 2 4 2 4" xfId="45004"/>
    <cellStyle name="표준 4 3 2 2 4 2 5" xfId="45005"/>
    <cellStyle name="표준 4 3 2 2 4 2 6" xfId="45006"/>
    <cellStyle name="표준 4 3 2 2 4 3" xfId="45007"/>
    <cellStyle name="표준 4 3 2 2 4 3 2" xfId="45008"/>
    <cellStyle name="표준 4 3 2 2 4 3 2 2" xfId="45009"/>
    <cellStyle name="표준 4 3 2 2 4 3 2 2 2" xfId="45010"/>
    <cellStyle name="표준 4 3 2 2 4 3 2 2 3" xfId="45011"/>
    <cellStyle name="표준 4 3 2 2 4 3 2 3" xfId="45012"/>
    <cellStyle name="표준 4 3 2 2 4 3 2 4" xfId="45013"/>
    <cellStyle name="표준 4 3 2 2 4 3 2 5" xfId="45014"/>
    <cellStyle name="표준 4 3 2 2 4 3 3" xfId="45015"/>
    <cellStyle name="표준 4 3 2 2 4 4" xfId="45016"/>
    <cellStyle name="표준 4 3 2 2 4 4 2" xfId="45017"/>
    <cellStyle name="표준 4 3 2 2 4 4 2 2" xfId="45018"/>
    <cellStyle name="표준 4 3 2 2 4 4 2 2 2" xfId="45019"/>
    <cellStyle name="표준 4 3 2 2 4 4 2 2 3" xfId="45020"/>
    <cellStyle name="표준 4 3 2 2 4 4 2 3" xfId="45021"/>
    <cellStyle name="표준 4 3 2 2 4 4 2 4" xfId="45022"/>
    <cellStyle name="표준 4 3 2 2 4 4 2 5" xfId="45023"/>
    <cellStyle name="표준 4 3 2 2 4 4 3" xfId="45024"/>
    <cellStyle name="표준 4 3 2 2 4 5" xfId="45025"/>
    <cellStyle name="표준 4 3 2 2 4 6" xfId="45026"/>
    <cellStyle name="표준 4 3 2 2 4 7" xfId="45027"/>
    <cellStyle name="표준 4 3 2 2 4 8" xfId="45028"/>
    <cellStyle name="표준 4 3 2 2 4 9" xfId="45029"/>
    <cellStyle name="표준 4 3 2 2 5" xfId="45030"/>
    <cellStyle name="표준 4 3 2 2 5 2" xfId="45031"/>
    <cellStyle name="표준 4 3 2 2 5 2 2" xfId="45032"/>
    <cellStyle name="표준 4 3 2 2 5 2 2 2" xfId="45033"/>
    <cellStyle name="표준 4 3 2 2 5 2 2 3" xfId="45034"/>
    <cellStyle name="표준 4 3 2 2 5 2 3" xfId="45035"/>
    <cellStyle name="표준 4 3 2 2 5 2 4" xfId="45036"/>
    <cellStyle name="표준 4 3 2 2 5 2 5" xfId="45037"/>
    <cellStyle name="표준 4 3 2 2 5 3" xfId="45038"/>
    <cellStyle name="표준 4 3 2 2 5 3 2" xfId="45039"/>
    <cellStyle name="표준 4 3 2 2 5 3 3" xfId="45040"/>
    <cellStyle name="표준 4 3 2 2 5 4" xfId="45041"/>
    <cellStyle name="표준 4 3 2 2 5 5" xfId="45042"/>
    <cellStyle name="표준 4 3 2 2 5 6" xfId="45043"/>
    <cellStyle name="표준 4 3 2 2 6" xfId="45044"/>
    <cellStyle name="표준 4 3 2 2 6 2" xfId="45045"/>
    <cellStyle name="표준 4 3 2 2 6 2 2" xfId="45046"/>
    <cellStyle name="표준 4 3 2 2 6 2 2 2" xfId="45047"/>
    <cellStyle name="표준 4 3 2 2 6 2 2 3" xfId="45048"/>
    <cellStyle name="표준 4 3 2 2 6 2 3" xfId="45049"/>
    <cellStyle name="표준 4 3 2 2 6 2 4" xfId="45050"/>
    <cellStyle name="표준 4 3 2 2 6 2 5" xfId="45051"/>
    <cellStyle name="표준 4 3 2 2 6 3" xfId="45052"/>
    <cellStyle name="표준 4 3 2 2 7" xfId="45053"/>
    <cellStyle name="표준 4 3 2 2 7 2" xfId="45054"/>
    <cellStyle name="표준 4 3 2 2 7 2 2" xfId="45055"/>
    <cellStyle name="표준 4 3 2 2 7 2 2 2" xfId="45056"/>
    <cellStyle name="표준 4 3 2 2 7 2 2 3" xfId="45057"/>
    <cellStyle name="표준 4 3 2 2 7 2 3" xfId="45058"/>
    <cellStyle name="표준 4 3 2 2 7 2 4" xfId="45059"/>
    <cellStyle name="표준 4 3 2 2 7 2 5" xfId="45060"/>
    <cellStyle name="표준 4 3 2 2 7 3" xfId="45061"/>
    <cellStyle name="표준 4 3 2 2 8" xfId="45062"/>
    <cellStyle name="표준 4 3 2 2 9" xfId="45063"/>
    <cellStyle name="표준 4 3 2 20" xfId="45064"/>
    <cellStyle name="표준 4 3 2 20 2" xfId="45065"/>
    <cellStyle name="표준 4 3 2 20 3" xfId="45066"/>
    <cellStyle name="표준 4 3 2 21" xfId="45067"/>
    <cellStyle name="표준 4 3 2 22" xfId="45068"/>
    <cellStyle name="표준 4 3 2 23" xfId="45069"/>
    <cellStyle name="표준 4 3 2 3" xfId="45070"/>
    <cellStyle name="표준 4 3 2 3 10" xfId="45071"/>
    <cellStyle name="표준 4 3 2 3 11" xfId="45072"/>
    <cellStyle name="표준 4 3 2 3 12" xfId="45073"/>
    <cellStyle name="표준 4 3 2 3 13" xfId="45074"/>
    <cellStyle name="표준 4 3 2 3 14" xfId="45075"/>
    <cellStyle name="표준 4 3 2 3 15" xfId="45076"/>
    <cellStyle name="표준 4 3 2 3 16" xfId="45077"/>
    <cellStyle name="표준 4 3 2 3 17" xfId="45078"/>
    <cellStyle name="표준 4 3 2 3 17 2" xfId="45079"/>
    <cellStyle name="표준 4 3 2 3 17 3" xfId="45080"/>
    <cellStyle name="표준 4 3 2 3 18" xfId="45081"/>
    <cellStyle name="표준 4 3 2 3 19" xfId="45082"/>
    <cellStyle name="표준 4 3 2 3 2" xfId="45083"/>
    <cellStyle name="표준 4 3 2 3 2 10" xfId="45084"/>
    <cellStyle name="표준 4 3 2 3 2 11" xfId="45085"/>
    <cellStyle name="표준 4 3 2 3 2 12" xfId="45086"/>
    <cellStyle name="표준 4 3 2 3 2 13" xfId="45087"/>
    <cellStyle name="표준 4 3 2 3 2 14" xfId="45088"/>
    <cellStyle name="표준 4 3 2 3 2 15" xfId="45089"/>
    <cellStyle name="표준 4 3 2 3 2 16" xfId="45090"/>
    <cellStyle name="표준 4 3 2 3 2 16 2" xfId="45091"/>
    <cellStyle name="표준 4 3 2 3 2 16 3" xfId="45092"/>
    <cellStyle name="표준 4 3 2 3 2 17" xfId="45093"/>
    <cellStyle name="표준 4 3 2 3 2 18" xfId="45094"/>
    <cellStyle name="표준 4 3 2 3 2 19" xfId="45095"/>
    <cellStyle name="표준 4 3 2 3 2 2" xfId="45096"/>
    <cellStyle name="표준 4 3 2 3 2 2 2" xfId="45097"/>
    <cellStyle name="표준 4 3 2 3 2 2 2 2" xfId="45098"/>
    <cellStyle name="표준 4 3 2 3 2 2 2 2 2" xfId="45099"/>
    <cellStyle name="표준 4 3 2 3 2 2 2 2 3" xfId="45100"/>
    <cellStyle name="표준 4 3 2 3 2 2 2 3" xfId="45101"/>
    <cellStyle name="표준 4 3 2 3 2 2 2 4" xfId="45102"/>
    <cellStyle name="표준 4 3 2 3 2 2 2 5" xfId="45103"/>
    <cellStyle name="표준 4 3 2 3 2 2 3" xfId="45104"/>
    <cellStyle name="표준 4 3 2 3 2 2 3 2" xfId="45105"/>
    <cellStyle name="표준 4 3 2 3 2 2 3 3" xfId="45106"/>
    <cellStyle name="표준 4 3 2 3 2 2 4" xfId="45107"/>
    <cellStyle name="표준 4 3 2 3 2 2 5" xfId="45108"/>
    <cellStyle name="표준 4 3 2 3 2 2 6" xfId="45109"/>
    <cellStyle name="표준 4 3 2 3 2 3" xfId="45110"/>
    <cellStyle name="표준 4 3 2 3 2 3 2" xfId="45111"/>
    <cellStyle name="표준 4 3 2 3 2 3 2 2" xfId="45112"/>
    <cellStyle name="표준 4 3 2 3 2 3 2 2 2" xfId="45113"/>
    <cellStyle name="표준 4 3 2 3 2 3 2 2 3" xfId="45114"/>
    <cellStyle name="표준 4 3 2 3 2 3 2 3" xfId="45115"/>
    <cellStyle name="표준 4 3 2 3 2 3 2 4" xfId="45116"/>
    <cellStyle name="표준 4 3 2 3 2 3 2 5" xfId="45117"/>
    <cellStyle name="표준 4 3 2 3 2 3 3" xfId="45118"/>
    <cellStyle name="표준 4 3 2 3 2 4" xfId="45119"/>
    <cellStyle name="표준 4 3 2 3 2 4 2" xfId="45120"/>
    <cellStyle name="표준 4 3 2 3 2 4 2 2" xfId="45121"/>
    <cellStyle name="표준 4 3 2 3 2 4 2 2 2" xfId="45122"/>
    <cellStyle name="표준 4 3 2 3 2 4 2 2 3" xfId="45123"/>
    <cellStyle name="표준 4 3 2 3 2 4 2 3" xfId="45124"/>
    <cellStyle name="표준 4 3 2 3 2 4 2 4" xfId="45125"/>
    <cellStyle name="표준 4 3 2 3 2 4 2 5" xfId="45126"/>
    <cellStyle name="표준 4 3 2 3 2 4 3" xfId="45127"/>
    <cellStyle name="표준 4 3 2 3 2 5" xfId="45128"/>
    <cellStyle name="표준 4 3 2 3 2 6" xfId="45129"/>
    <cellStyle name="표준 4 3 2 3 2 7" xfId="45130"/>
    <cellStyle name="표준 4 3 2 3 2 8" xfId="45131"/>
    <cellStyle name="표준 4 3 2 3 2 9" xfId="45132"/>
    <cellStyle name="표준 4 3 2 3 20" xfId="45133"/>
    <cellStyle name="표준 4 3 2 3 3" xfId="45134"/>
    <cellStyle name="표준 4 3 2 3 3 2" xfId="45135"/>
    <cellStyle name="표준 4 3 2 3 3 2 2" xfId="45136"/>
    <cellStyle name="표준 4 3 2 3 3 2 2 2" xfId="45137"/>
    <cellStyle name="표준 4 3 2 3 3 2 2 3" xfId="45138"/>
    <cellStyle name="표준 4 3 2 3 3 2 3" xfId="45139"/>
    <cellStyle name="표준 4 3 2 3 3 2 4" xfId="45140"/>
    <cellStyle name="표준 4 3 2 3 3 2 5" xfId="45141"/>
    <cellStyle name="표준 4 3 2 3 3 3" xfId="45142"/>
    <cellStyle name="표준 4 3 2 3 3 3 2" xfId="45143"/>
    <cellStyle name="표준 4 3 2 3 3 3 3" xfId="45144"/>
    <cellStyle name="표준 4 3 2 3 3 4" xfId="45145"/>
    <cellStyle name="표준 4 3 2 3 3 5" xfId="45146"/>
    <cellStyle name="표준 4 3 2 3 3 6" xfId="45147"/>
    <cellStyle name="표준 4 3 2 3 4" xfId="45148"/>
    <cellStyle name="표준 4 3 2 3 4 2" xfId="45149"/>
    <cellStyle name="표준 4 3 2 3 4 2 2" xfId="45150"/>
    <cellStyle name="표준 4 3 2 3 4 2 2 2" xfId="45151"/>
    <cellStyle name="표준 4 3 2 3 4 2 2 3" xfId="45152"/>
    <cellStyle name="표준 4 3 2 3 4 2 3" xfId="45153"/>
    <cellStyle name="표준 4 3 2 3 4 2 4" xfId="45154"/>
    <cellStyle name="표준 4 3 2 3 4 2 5" xfId="45155"/>
    <cellStyle name="표준 4 3 2 3 4 3" xfId="45156"/>
    <cellStyle name="표준 4 3 2 3 5" xfId="45157"/>
    <cellStyle name="표준 4 3 2 3 5 2" xfId="45158"/>
    <cellStyle name="표준 4 3 2 3 5 2 2" xfId="45159"/>
    <cellStyle name="표준 4 3 2 3 5 2 2 2" xfId="45160"/>
    <cellStyle name="표준 4 3 2 3 5 2 2 3" xfId="45161"/>
    <cellStyle name="표준 4 3 2 3 5 2 3" xfId="45162"/>
    <cellStyle name="표준 4 3 2 3 5 2 4" xfId="45163"/>
    <cellStyle name="표준 4 3 2 3 5 2 5" xfId="45164"/>
    <cellStyle name="표준 4 3 2 3 5 3" xfId="45165"/>
    <cellStyle name="표준 4 3 2 3 6" xfId="45166"/>
    <cellStyle name="표준 4 3 2 3 7" xfId="45167"/>
    <cellStyle name="표준 4 3 2 3 8" xfId="45168"/>
    <cellStyle name="표준 4 3 2 3 9" xfId="45169"/>
    <cellStyle name="표준 4 3 2 4" xfId="45170"/>
    <cellStyle name="표준 4 3 2 4 10" xfId="45171"/>
    <cellStyle name="표준 4 3 2 4 11" xfId="45172"/>
    <cellStyle name="표준 4 3 2 4 12" xfId="45173"/>
    <cellStyle name="표준 4 3 2 4 13" xfId="45174"/>
    <cellStyle name="표준 4 3 2 4 14" xfId="45175"/>
    <cellStyle name="표준 4 3 2 4 15" xfId="45176"/>
    <cellStyle name="표준 4 3 2 4 16" xfId="45177"/>
    <cellStyle name="표준 4 3 2 4 17" xfId="45178"/>
    <cellStyle name="표준 4 3 2 4 17 2" xfId="45179"/>
    <cellStyle name="표준 4 3 2 4 17 3" xfId="45180"/>
    <cellStyle name="표준 4 3 2 4 18" xfId="45181"/>
    <cellStyle name="표준 4 3 2 4 19" xfId="45182"/>
    <cellStyle name="표준 4 3 2 4 2" xfId="45183"/>
    <cellStyle name="표준 4 3 2 4 2 10" xfId="45184"/>
    <cellStyle name="표준 4 3 2 4 2 11" xfId="45185"/>
    <cellStyle name="표준 4 3 2 4 2 12" xfId="45186"/>
    <cellStyle name="표준 4 3 2 4 2 13" xfId="45187"/>
    <cellStyle name="표준 4 3 2 4 2 14" xfId="45188"/>
    <cellStyle name="표준 4 3 2 4 2 15" xfId="45189"/>
    <cellStyle name="표준 4 3 2 4 2 16" xfId="45190"/>
    <cellStyle name="표준 4 3 2 4 2 16 2" xfId="45191"/>
    <cellStyle name="표준 4 3 2 4 2 16 3" xfId="45192"/>
    <cellStyle name="표준 4 3 2 4 2 17" xfId="45193"/>
    <cellStyle name="표준 4 3 2 4 2 18" xfId="45194"/>
    <cellStyle name="표준 4 3 2 4 2 19" xfId="45195"/>
    <cellStyle name="표준 4 3 2 4 2 2" xfId="45196"/>
    <cellStyle name="표준 4 3 2 4 2 2 2" xfId="45197"/>
    <cellStyle name="표준 4 3 2 4 2 2 2 2" xfId="45198"/>
    <cellStyle name="표준 4 3 2 4 2 2 2 2 2" xfId="45199"/>
    <cellStyle name="표준 4 3 2 4 2 2 2 2 3" xfId="45200"/>
    <cellStyle name="표준 4 3 2 4 2 2 2 3" xfId="45201"/>
    <cellStyle name="표준 4 3 2 4 2 2 2 4" xfId="45202"/>
    <cellStyle name="표준 4 3 2 4 2 2 2 5" xfId="45203"/>
    <cellStyle name="표준 4 3 2 4 2 2 3" xfId="45204"/>
    <cellStyle name="표준 4 3 2 4 2 2 3 2" xfId="45205"/>
    <cellStyle name="표준 4 3 2 4 2 2 3 3" xfId="45206"/>
    <cellStyle name="표준 4 3 2 4 2 2 4" xfId="45207"/>
    <cellStyle name="표준 4 3 2 4 2 2 5" xfId="45208"/>
    <cellStyle name="표준 4 3 2 4 2 2 6" xfId="45209"/>
    <cellStyle name="표준 4 3 2 4 2 3" xfId="45210"/>
    <cellStyle name="표준 4 3 2 4 2 3 2" xfId="45211"/>
    <cellStyle name="표준 4 3 2 4 2 3 2 2" xfId="45212"/>
    <cellStyle name="표준 4 3 2 4 2 3 2 2 2" xfId="45213"/>
    <cellStyle name="표준 4 3 2 4 2 3 2 2 3" xfId="45214"/>
    <cellStyle name="표준 4 3 2 4 2 3 2 3" xfId="45215"/>
    <cellStyle name="표준 4 3 2 4 2 3 2 4" xfId="45216"/>
    <cellStyle name="표준 4 3 2 4 2 3 2 5" xfId="45217"/>
    <cellStyle name="표준 4 3 2 4 2 3 3" xfId="45218"/>
    <cellStyle name="표준 4 3 2 4 2 4" xfId="45219"/>
    <cellStyle name="표준 4 3 2 4 2 4 2" xfId="45220"/>
    <cellStyle name="표준 4 3 2 4 2 4 2 2" xfId="45221"/>
    <cellStyle name="표준 4 3 2 4 2 4 2 2 2" xfId="45222"/>
    <cellStyle name="표준 4 3 2 4 2 4 2 2 3" xfId="45223"/>
    <cellStyle name="표준 4 3 2 4 2 4 2 3" xfId="45224"/>
    <cellStyle name="표준 4 3 2 4 2 4 2 4" xfId="45225"/>
    <cellStyle name="표준 4 3 2 4 2 4 2 5" xfId="45226"/>
    <cellStyle name="표준 4 3 2 4 2 4 3" xfId="45227"/>
    <cellStyle name="표준 4 3 2 4 2 5" xfId="45228"/>
    <cellStyle name="표준 4 3 2 4 2 6" xfId="45229"/>
    <cellStyle name="표준 4 3 2 4 2 7" xfId="45230"/>
    <cellStyle name="표준 4 3 2 4 2 8" xfId="45231"/>
    <cellStyle name="표준 4 3 2 4 2 9" xfId="45232"/>
    <cellStyle name="표준 4 3 2 4 20" xfId="45233"/>
    <cellStyle name="표준 4 3 2 4 3" xfId="45234"/>
    <cellStyle name="표준 4 3 2 4 3 2" xfId="45235"/>
    <cellStyle name="표준 4 3 2 4 3 2 2" xfId="45236"/>
    <cellStyle name="표준 4 3 2 4 3 2 2 2" xfId="45237"/>
    <cellStyle name="표준 4 3 2 4 3 2 2 3" xfId="45238"/>
    <cellStyle name="표준 4 3 2 4 3 2 3" xfId="45239"/>
    <cellStyle name="표준 4 3 2 4 3 2 4" xfId="45240"/>
    <cellStyle name="표준 4 3 2 4 3 2 5" xfId="45241"/>
    <cellStyle name="표준 4 3 2 4 3 3" xfId="45242"/>
    <cellStyle name="표준 4 3 2 4 3 3 2" xfId="45243"/>
    <cellStyle name="표준 4 3 2 4 3 3 3" xfId="45244"/>
    <cellStyle name="표준 4 3 2 4 3 4" xfId="45245"/>
    <cellStyle name="표준 4 3 2 4 3 5" xfId="45246"/>
    <cellStyle name="표준 4 3 2 4 3 6" xfId="45247"/>
    <cellStyle name="표준 4 3 2 4 4" xfId="45248"/>
    <cellStyle name="표준 4 3 2 4 4 2" xfId="45249"/>
    <cellStyle name="표준 4 3 2 4 4 2 2" xfId="45250"/>
    <cellStyle name="표준 4 3 2 4 4 2 2 2" xfId="45251"/>
    <cellStyle name="표준 4 3 2 4 4 2 2 3" xfId="45252"/>
    <cellStyle name="표준 4 3 2 4 4 2 3" xfId="45253"/>
    <cellStyle name="표준 4 3 2 4 4 2 4" xfId="45254"/>
    <cellStyle name="표준 4 3 2 4 4 2 5" xfId="45255"/>
    <cellStyle name="표준 4 3 2 4 4 3" xfId="45256"/>
    <cellStyle name="표준 4 3 2 4 5" xfId="45257"/>
    <cellStyle name="표준 4 3 2 4 5 2" xfId="45258"/>
    <cellStyle name="표준 4 3 2 4 5 2 2" xfId="45259"/>
    <cellStyle name="표준 4 3 2 4 5 2 2 2" xfId="45260"/>
    <cellStyle name="표준 4 3 2 4 5 2 2 3" xfId="45261"/>
    <cellStyle name="표준 4 3 2 4 5 2 3" xfId="45262"/>
    <cellStyle name="표준 4 3 2 4 5 2 4" xfId="45263"/>
    <cellStyle name="표준 4 3 2 4 5 2 5" xfId="45264"/>
    <cellStyle name="표준 4 3 2 4 5 3" xfId="45265"/>
    <cellStyle name="표준 4 3 2 4 6" xfId="45266"/>
    <cellStyle name="표준 4 3 2 4 7" xfId="45267"/>
    <cellStyle name="표준 4 3 2 4 8" xfId="45268"/>
    <cellStyle name="표준 4 3 2 4 9" xfId="45269"/>
    <cellStyle name="표준 4 3 2 5" xfId="45270"/>
    <cellStyle name="표준 4 3 2 5 10" xfId="45271"/>
    <cellStyle name="표준 4 3 2 5 11" xfId="45272"/>
    <cellStyle name="표준 4 3 2 5 12" xfId="45273"/>
    <cellStyle name="표준 4 3 2 5 13" xfId="45274"/>
    <cellStyle name="표준 4 3 2 5 14" xfId="45275"/>
    <cellStyle name="표준 4 3 2 5 15" xfId="45276"/>
    <cellStyle name="표준 4 3 2 5 16" xfId="45277"/>
    <cellStyle name="표준 4 3 2 5 16 2" xfId="45278"/>
    <cellStyle name="표준 4 3 2 5 16 3" xfId="45279"/>
    <cellStyle name="표준 4 3 2 5 17" xfId="45280"/>
    <cellStyle name="표준 4 3 2 5 18" xfId="45281"/>
    <cellStyle name="표준 4 3 2 5 19" xfId="45282"/>
    <cellStyle name="표준 4 3 2 5 2" xfId="45283"/>
    <cellStyle name="표준 4 3 2 5 2 2" xfId="45284"/>
    <cellStyle name="표준 4 3 2 5 2 2 2" xfId="45285"/>
    <cellStyle name="표준 4 3 2 5 2 2 2 2" xfId="45286"/>
    <cellStyle name="표준 4 3 2 5 2 2 2 3" xfId="45287"/>
    <cellStyle name="표준 4 3 2 5 2 2 3" xfId="45288"/>
    <cellStyle name="표준 4 3 2 5 2 2 4" xfId="45289"/>
    <cellStyle name="표준 4 3 2 5 2 2 5" xfId="45290"/>
    <cellStyle name="표준 4 3 2 5 2 3" xfId="45291"/>
    <cellStyle name="표준 4 3 2 5 2 3 2" xfId="45292"/>
    <cellStyle name="표준 4 3 2 5 2 3 3" xfId="45293"/>
    <cellStyle name="표준 4 3 2 5 2 4" xfId="45294"/>
    <cellStyle name="표준 4 3 2 5 2 5" xfId="45295"/>
    <cellStyle name="표준 4 3 2 5 2 6" xfId="45296"/>
    <cellStyle name="표준 4 3 2 5 3" xfId="45297"/>
    <cellStyle name="표준 4 3 2 5 3 2" xfId="45298"/>
    <cellStyle name="표준 4 3 2 5 3 2 2" xfId="45299"/>
    <cellStyle name="표준 4 3 2 5 3 2 2 2" xfId="45300"/>
    <cellStyle name="표준 4 3 2 5 3 2 2 3" xfId="45301"/>
    <cellStyle name="표준 4 3 2 5 3 2 3" xfId="45302"/>
    <cellStyle name="표준 4 3 2 5 3 2 4" xfId="45303"/>
    <cellStyle name="표준 4 3 2 5 3 2 5" xfId="45304"/>
    <cellStyle name="표준 4 3 2 5 3 3" xfId="45305"/>
    <cellStyle name="표준 4 3 2 5 4" xfId="45306"/>
    <cellStyle name="표준 4 3 2 5 4 2" xfId="45307"/>
    <cellStyle name="표준 4 3 2 5 4 2 2" xfId="45308"/>
    <cellStyle name="표준 4 3 2 5 4 2 2 2" xfId="45309"/>
    <cellStyle name="표준 4 3 2 5 4 2 2 3" xfId="45310"/>
    <cellStyle name="표준 4 3 2 5 4 2 3" xfId="45311"/>
    <cellStyle name="표준 4 3 2 5 4 2 4" xfId="45312"/>
    <cellStyle name="표준 4 3 2 5 4 2 5" xfId="45313"/>
    <cellStyle name="표준 4 3 2 5 4 3" xfId="45314"/>
    <cellStyle name="표준 4 3 2 5 5" xfId="45315"/>
    <cellStyle name="표준 4 3 2 5 6" xfId="45316"/>
    <cellStyle name="표준 4 3 2 5 7" xfId="45317"/>
    <cellStyle name="표준 4 3 2 5 8" xfId="45318"/>
    <cellStyle name="표준 4 3 2 5 9" xfId="45319"/>
    <cellStyle name="표준 4 3 2 6" xfId="45320"/>
    <cellStyle name="표준 4 3 2 6 2" xfId="45321"/>
    <cellStyle name="표준 4 3 2 6 2 2" xfId="45322"/>
    <cellStyle name="표준 4 3 2 6 2 2 2" xfId="45323"/>
    <cellStyle name="표준 4 3 2 6 2 2 3" xfId="45324"/>
    <cellStyle name="표준 4 3 2 6 2 3" xfId="45325"/>
    <cellStyle name="표준 4 3 2 6 2 4" xfId="45326"/>
    <cellStyle name="표준 4 3 2 6 2 5" xfId="45327"/>
    <cellStyle name="표준 4 3 2 6 3" xfId="45328"/>
    <cellStyle name="표준 4 3 2 6 3 2" xfId="45329"/>
    <cellStyle name="표준 4 3 2 6 3 3" xfId="45330"/>
    <cellStyle name="표준 4 3 2 6 4" xfId="45331"/>
    <cellStyle name="표준 4 3 2 6 5" xfId="45332"/>
    <cellStyle name="표준 4 3 2 6 6" xfId="45333"/>
    <cellStyle name="표준 4 3 2 7" xfId="45334"/>
    <cellStyle name="표준 4 3 2 7 2" xfId="45335"/>
    <cellStyle name="표준 4 3 2 7 2 2" xfId="45336"/>
    <cellStyle name="표준 4 3 2 7 2 2 2" xfId="45337"/>
    <cellStyle name="표준 4 3 2 7 2 2 3" xfId="45338"/>
    <cellStyle name="표준 4 3 2 7 2 3" xfId="45339"/>
    <cellStyle name="표준 4 3 2 7 2 4" xfId="45340"/>
    <cellStyle name="표준 4 3 2 7 2 5" xfId="45341"/>
    <cellStyle name="표준 4 3 2 7 3" xfId="45342"/>
    <cellStyle name="표준 4 3 2 8" xfId="45343"/>
    <cellStyle name="표준 4 3 2 8 2" xfId="45344"/>
    <cellStyle name="표준 4 3 2 8 2 2" xfId="45345"/>
    <cellStyle name="표준 4 3 2 8 2 2 2" xfId="45346"/>
    <cellStyle name="표준 4 3 2 8 2 2 3" xfId="45347"/>
    <cellStyle name="표준 4 3 2 8 2 3" xfId="45348"/>
    <cellStyle name="표준 4 3 2 8 2 4" xfId="45349"/>
    <cellStyle name="표준 4 3 2 8 2 5" xfId="45350"/>
    <cellStyle name="표준 4 3 2 8 3" xfId="45351"/>
    <cellStyle name="표준 4 3 2 9" xfId="45352"/>
    <cellStyle name="표준 4 3 20" xfId="45353"/>
    <cellStyle name="표준 4 3 21" xfId="45354"/>
    <cellStyle name="표준 4 3 21 2" xfId="45355"/>
    <cellStyle name="표준 4 3 21 3" xfId="45356"/>
    <cellStyle name="표준 4 3 22" xfId="45357"/>
    <cellStyle name="표준 4 3 23" xfId="45358"/>
    <cellStyle name="표준 4 3 24" xfId="45359"/>
    <cellStyle name="표준 4 3 3" xfId="45360"/>
    <cellStyle name="표준 4 3 3 10" xfId="45361"/>
    <cellStyle name="표준 4 3 3 11" xfId="45362"/>
    <cellStyle name="표준 4 3 3 12" xfId="45363"/>
    <cellStyle name="표준 4 3 3 13" xfId="45364"/>
    <cellStyle name="표준 4 3 3 14" xfId="45365"/>
    <cellStyle name="표준 4 3 3 15" xfId="45366"/>
    <cellStyle name="표준 4 3 3 16" xfId="45367"/>
    <cellStyle name="표준 4 3 3 17" xfId="45368"/>
    <cellStyle name="표준 4 3 3 18" xfId="45369"/>
    <cellStyle name="표준 4 3 3 19" xfId="45370"/>
    <cellStyle name="표준 4 3 3 19 2" xfId="45371"/>
    <cellStyle name="표준 4 3 3 19 3" xfId="45372"/>
    <cellStyle name="표준 4 3 3 2" xfId="45373"/>
    <cellStyle name="표준 4 3 3 2 10" xfId="45374"/>
    <cellStyle name="표준 4 3 3 2 11" xfId="45375"/>
    <cellStyle name="표준 4 3 3 2 12" xfId="45376"/>
    <cellStyle name="표준 4 3 3 2 13" xfId="45377"/>
    <cellStyle name="표준 4 3 3 2 14" xfId="45378"/>
    <cellStyle name="표준 4 3 3 2 15" xfId="45379"/>
    <cellStyle name="표준 4 3 3 2 16" xfId="45380"/>
    <cellStyle name="표준 4 3 3 2 17" xfId="45381"/>
    <cellStyle name="표준 4 3 3 2 17 2" xfId="45382"/>
    <cellStyle name="표준 4 3 3 2 17 3" xfId="45383"/>
    <cellStyle name="표준 4 3 3 2 18" xfId="45384"/>
    <cellStyle name="표준 4 3 3 2 19" xfId="45385"/>
    <cellStyle name="표준 4 3 3 2 2" xfId="45386"/>
    <cellStyle name="표준 4 3 3 2 2 10" xfId="45387"/>
    <cellStyle name="표준 4 3 3 2 2 11" xfId="45388"/>
    <cellStyle name="표준 4 3 3 2 2 12" xfId="45389"/>
    <cellStyle name="표준 4 3 3 2 2 13" xfId="45390"/>
    <cellStyle name="표준 4 3 3 2 2 14" xfId="45391"/>
    <cellStyle name="표준 4 3 3 2 2 15" xfId="45392"/>
    <cellStyle name="표준 4 3 3 2 2 16" xfId="45393"/>
    <cellStyle name="표준 4 3 3 2 2 16 2" xfId="45394"/>
    <cellStyle name="표준 4 3 3 2 2 16 3" xfId="45395"/>
    <cellStyle name="표준 4 3 3 2 2 17" xfId="45396"/>
    <cellStyle name="표준 4 3 3 2 2 18" xfId="45397"/>
    <cellStyle name="표준 4 3 3 2 2 19" xfId="45398"/>
    <cellStyle name="표준 4 3 3 2 2 2" xfId="45399"/>
    <cellStyle name="표준 4 3 3 2 2 2 2" xfId="45400"/>
    <cellStyle name="표준 4 3 3 2 2 2 2 2" xfId="45401"/>
    <cellStyle name="표준 4 3 3 2 2 2 2 2 2" xfId="45402"/>
    <cellStyle name="표준 4 3 3 2 2 2 2 2 3" xfId="45403"/>
    <cellStyle name="표준 4 3 3 2 2 2 2 3" xfId="45404"/>
    <cellStyle name="표준 4 3 3 2 2 2 2 4" xfId="45405"/>
    <cellStyle name="표준 4 3 3 2 2 2 2 5" xfId="45406"/>
    <cellStyle name="표준 4 3 3 2 2 2 3" xfId="45407"/>
    <cellStyle name="표준 4 3 3 2 2 2 3 2" xfId="45408"/>
    <cellStyle name="표준 4 3 3 2 2 2 3 3" xfId="45409"/>
    <cellStyle name="표준 4 3 3 2 2 2 4" xfId="45410"/>
    <cellStyle name="표준 4 3 3 2 2 2 5" xfId="45411"/>
    <cellStyle name="표준 4 3 3 2 2 2 6" xfId="45412"/>
    <cellStyle name="표준 4 3 3 2 2 3" xfId="45413"/>
    <cellStyle name="표준 4 3 3 2 2 3 2" xfId="45414"/>
    <cellStyle name="표준 4 3 3 2 2 3 2 2" xfId="45415"/>
    <cellStyle name="표준 4 3 3 2 2 3 2 2 2" xfId="45416"/>
    <cellStyle name="표준 4 3 3 2 2 3 2 2 3" xfId="45417"/>
    <cellStyle name="표준 4 3 3 2 2 3 2 3" xfId="45418"/>
    <cellStyle name="표준 4 3 3 2 2 3 2 4" xfId="45419"/>
    <cellStyle name="표준 4 3 3 2 2 3 2 5" xfId="45420"/>
    <cellStyle name="표준 4 3 3 2 2 3 3" xfId="45421"/>
    <cellStyle name="표준 4 3 3 2 2 4" xfId="45422"/>
    <cellStyle name="표준 4 3 3 2 2 4 2" xfId="45423"/>
    <cellStyle name="표준 4 3 3 2 2 4 2 2" xfId="45424"/>
    <cellStyle name="표준 4 3 3 2 2 4 2 2 2" xfId="45425"/>
    <cellStyle name="표준 4 3 3 2 2 4 2 2 3" xfId="45426"/>
    <cellStyle name="표준 4 3 3 2 2 4 2 3" xfId="45427"/>
    <cellStyle name="표준 4 3 3 2 2 4 2 4" xfId="45428"/>
    <cellStyle name="표준 4 3 3 2 2 4 2 5" xfId="45429"/>
    <cellStyle name="표준 4 3 3 2 2 4 3" xfId="45430"/>
    <cellStyle name="표준 4 3 3 2 2 5" xfId="45431"/>
    <cellStyle name="표준 4 3 3 2 2 6" xfId="45432"/>
    <cellStyle name="표준 4 3 3 2 2 7" xfId="45433"/>
    <cellStyle name="표준 4 3 3 2 2 8" xfId="45434"/>
    <cellStyle name="표준 4 3 3 2 2 9" xfId="45435"/>
    <cellStyle name="표준 4 3 3 2 20" xfId="45436"/>
    <cellStyle name="표준 4 3 3 2 3" xfId="45437"/>
    <cellStyle name="표준 4 3 3 2 3 2" xfId="45438"/>
    <cellStyle name="표준 4 3 3 2 3 2 2" xfId="45439"/>
    <cellStyle name="표준 4 3 3 2 3 2 2 2" xfId="45440"/>
    <cellStyle name="표준 4 3 3 2 3 2 2 3" xfId="45441"/>
    <cellStyle name="표준 4 3 3 2 3 2 3" xfId="45442"/>
    <cellStyle name="표준 4 3 3 2 3 2 4" xfId="45443"/>
    <cellStyle name="표준 4 3 3 2 3 2 5" xfId="45444"/>
    <cellStyle name="표준 4 3 3 2 3 3" xfId="45445"/>
    <cellStyle name="표준 4 3 3 2 3 3 2" xfId="45446"/>
    <cellStyle name="표준 4 3 3 2 3 3 3" xfId="45447"/>
    <cellStyle name="표준 4 3 3 2 3 4" xfId="45448"/>
    <cellStyle name="표준 4 3 3 2 3 5" xfId="45449"/>
    <cellStyle name="표준 4 3 3 2 3 6" xfId="45450"/>
    <cellStyle name="표준 4 3 3 2 4" xfId="45451"/>
    <cellStyle name="표준 4 3 3 2 4 2" xfId="45452"/>
    <cellStyle name="표준 4 3 3 2 4 2 2" xfId="45453"/>
    <cellStyle name="표준 4 3 3 2 4 2 2 2" xfId="45454"/>
    <cellStyle name="표준 4 3 3 2 4 2 2 3" xfId="45455"/>
    <cellStyle name="표준 4 3 3 2 4 2 3" xfId="45456"/>
    <cellStyle name="표준 4 3 3 2 4 2 4" xfId="45457"/>
    <cellStyle name="표준 4 3 3 2 4 2 5" xfId="45458"/>
    <cellStyle name="표준 4 3 3 2 4 3" xfId="45459"/>
    <cellStyle name="표준 4 3 3 2 5" xfId="45460"/>
    <cellStyle name="표준 4 3 3 2 5 2" xfId="45461"/>
    <cellStyle name="표준 4 3 3 2 5 2 2" xfId="45462"/>
    <cellStyle name="표준 4 3 3 2 5 2 2 2" xfId="45463"/>
    <cellStyle name="표준 4 3 3 2 5 2 2 3" xfId="45464"/>
    <cellStyle name="표준 4 3 3 2 5 2 3" xfId="45465"/>
    <cellStyle name="표준 4 3 3 2 5 2 4" xfId="45466"/>
    <cellStyle name="표준 4 3 3 2 5 2 5" xfId="45467"/>
    <cellStyle name="표준 4 3 3 2 5 3" xfId="45468"/>
    <cellStyle name="표준 4 3 3 2 6" xfId="45469"/>
    <cellStyle name="표준 4 3 3 2 7" xfId="45470"/>
    <cellStyle name="표준 4 3 3 2 8" xfId="45471"/>
    <cellStyle name="표준 4 3 3 2 9" xfId="45472"/>
    <cellStyle name="표준 4 3 3 20" xfId="45473"/>
    <cellStyle name="표준 4 3 3 21" xfId="45474"/>
    <cellStyle name="표준 4 3 3 22" xfId="45475"/>
    <cellStyle name="표준 4 3 3 3" xfId="45476"/>
    <cellStyle name="표준 4 3 3 3 10" xfId="45477"/>
    <cellStyle name="표준 4 3 3 3 11" xfId="45478"/>
    <cellStyle name="표준 4 3 3 3 12" xfId="45479"/>
    <cellStyle name="표준 4 3 3 3 13" xfId="45480"/>
    <cellStyle name="표준 4 3 3 3 14" xfId="45481"/>
    <cellStyle name="표준 4 3 3 3 15" xfId="45482"/>
    <cellStyle name="표준 4 3 3 3 16" xfId="45483"/>
    <cellStyle name="표준 4 3 3 3 17" xfId="45484"/>
    <cellStyle name="표준 4 3 3 3 17 2" xfId="45485"/>
    <cellStyle name="표준 4 3 3 3 17 3" xfId="45486"/>
    <cellStyle name="표준 4 3 3 3 18" xfId="45487"/>
    <cellStyle name="표준 4 3 3 3 19" xfId="45488"/>
    <cellStyle name="표준 4 3 3 3 2" xfId="45489"/>
    <cellStyle name="표준 4 3 3 3 2 10" xfId="45490"/>
    <cellStyle name="표준 4 3 3 3 2 11" xfId="45491"/>
    <cellStyle name="표준 4 3 3 3 2 12" xfId="45492"/>
    <cellStyle name="표준 4 3 3 3 2 13" xfId="45493"/>
    <cellStyle name="표준 4 3 3 3 2 14" xfId="45494"/>
    <cellStyle name="표준 4 3 3 3 2 15" xfId="45495"/>
    <cellStyle name="표준 4 3 3 3 2 16" xfId="45496"/>
    <cellStyle name="표준 4 3 3 3 2 16 2" xfId="45497"/>
    <cellStyle name="표준 4 3 3 3 2 16 3" xfId="45498"/>
    <cellStyle name="표준 4 3 3 3 2 17" xfId="45499"/>
    <cellStyle name="표준 4 3 3 3 2 18" xfId="45500"/>
    <cellStyle name="표준 4 3 3 3 2 19" xfId="45501"/>
    <cellStyle name="표준 4 3 3 3 2 2" xfId="45502"/>
    <cellStyle name="표준 4 3 3 3 2 2 2" xfId="45503"/>
    <cellStyle name="표준 4 3 3 3 2 2 2 2" xfId="45504"/>
    <cellStyle name="표준 4 3 3 3 2 2 2 2 2" xfId="45505"/>
    <cellStyle name="표준 4 3 3 3 2 2 2 2 3" xfId="45506"/>
    <cellStyle name="표준 4 3 3 3 2 2 2 3" xfId="45507"/>
    <cellStyle name="표준 4 3 3 3 2 2 2 4" xfId="45508"/>
    <cellStyle name="표준 4 3 3 3 2 2 2 5" xfId="45509"/>
    <cellStyle name="표준 4 3 3 3 2 2 3" xfId="45510"/>
    <cellStyle name="표준 4 3 3 3 2 2 3 2" xfId="45511"/>
    <cellStyle name="표준 4 3 3 3 2 2 3 3" xfId="45512"/>
    <cellStyle name="표준 4 3 3 3 2 2 4" xfId="45513"/>
    <cellStyle name="표준 4 3 3 3 2 2 5" xfId="45514"/>
    <cellStyle name="표준 4 3 3 3 2 2 6" xfId="45515"/>
    <cellStyle name="표준 4 3 3 3 2 3" xfId="45516"/>
    <cellStyle name="표준 4 3 3 3 2 3 2" xfId="45517"/>
    <cellStyle name="표준 4 3 3 3 2 3 2 2" xfId="45518"/>
    <cellStyle name="표준 4 3 3 3 2 3 2 2 2" xfId="45519"/>
    <cellStyle name="표준 4 3 3 3 2 3 2 2 3" xfId="45520"/>
    <cellStyle name="표준 4 3 3 3 2 3 2 3" xfId="45521"/>
    <cellStyle name="표준 4 3 3 3 2 3 2 4" xfId="45522"/>
    <cellStyle name="표준 4 3 3 3 2 3 2 5" xfId="45523"/>
    <cellStyle name="표준 4 3 3 3 2 3 3" xfId="45524"/>
    <cellStyle name="표준 4 3 3 3 2 4" xfId="45525"/>
    <cellStyle name="표준 4 3 3 3 2 4 2" xfId="45526"/>
    <cellStyle name="표준 4 3 3 3 2 4 2 2" xfId="45527"/>
    <cellStyle name="표준 4 3 3 3 2 4 2 2 2" xfId="45528"/>
    <cellStyle name="표준 4 3 3 3 2 4 2 2 3" xfId="45529"/>
    <cellStyle name="표준 4 3 3 3 2 4 2 3" xfId="45530"/>
    <cellStyle name="표준 4 3 3 3 2 4 2 4" xfId="45531"/>
    <cellStyle name="표준 4 3 3 3 2 4 2 5" xfId="45532"/>
    <cellStyle name="표준 4 3 3 3 2 4 3" xfId="45533"/>
    <cellStyle name="표준 4 3 3 3 2 5" xfId="45534"/>
    <cellStyle name="표준 4 3 3 3 2 6" xfId="45535"/>
    <cellStyle name="표준 4 3 3 3 2 7" xfId="45536"/>
    <cellStyle name="표준 4 3 3 3 2 8" xfId="45537"/>
    <cellStyle name="표준 4 3 3 3 2 9" xfId="45538"/>
    <cellStyle name="표준 4 3 3 3 20" xfId="45539"/>
    <cellStyle name="표준 4 3 3 3 3" xfId="45540"/>
    <cellStyle name="표준 4 3 3 3 3 2" xfId="45541"/>
    <cellStyle name="표준 4 3 3 3 3 2 2" xfId="45542"/>
    <cellStyle name="표준 4 3 3 3 3 2 2 2" xfId="45543"/>
    <cellStyle name="표준 4 3 3 3 3 2 2 3" xfId="45544"/>
    <cellStyle name="표준 4 3 3 3 3 2 3" xfId="45545"/>
    <cellStyle name="표준 4 3 3 3 3 2 4" xfId="45546"/>
    <cellStyle name="표준 4 3 3 3 3 2 5" xfId="45547"/>
    <cellStyle name="표준 4 3 3 3 3 3" xfId="45548"/>
    <cellStyle name="표준 4 3 3 3 3 3 2" xfId="45549"/>
    <cellStyle name="표준 4 3 3 3 3 3 3" xfId="45550"/>
    <cellStyle name="표준 4 3 3 3 3 4" xfId="45551"/>
    <cellStyle name="표준 4 3 3 3 3 5" xfId="45552"/>
    <cellStyle name="표준 4 3 3 3 3 6" xfId="45553"/>
    <cellStyle name="표준 4 3 3 3 4" xfId="45554"/>
    <cellStyle name="표준 4 3 3 3 4 2" xfId="45555"/>
    <cellStyle name="표준 4 3 3 3 4 2 2" xfId="45556"/>
    <cellStyle name="표준 4 3 3 3 4 2 2 2" xfId="45557"/>
    <cellStyle name="표준 4 3 3 3 4 2 2 3" xfId="45558"/>
    <cellStyle name="표준 4 3 3 3 4 2 3" xfId="45559"/>
    <cellStyle name="표준 4 3 3 3 4 2 4" xfId="45560"/>
    <cellStyle name="표준 4 3 3 3 4 2 5" xfId="45561"/>
    <cellStyle name="표준 4 3 3 3 4 3" xfId="45562"/>
    <cellStyle name="표준 4 3 3 3 5" xfId="45563"/>
    <cellStyle name="표준 4 3 3 3 5 2" xfId="45564"/>
    <cellStyle name="표준 4 3 3 3 5 2 2" xfId="45565"/>
    <cellStyle name="표준 4 3 3 3 5 2 2 2" xfId="45566"/>
    <cellStyle name="표준 4 3 3 3 5 2 2 3" xfId="45567"/>
    <cellStyle name="표준 4 3 3 3 5 2 3" xfId="45568"/>
    <cellStyle name="표준 4 3 3 3 5 2 4" xfId="45569"/>
    <cellStyle name="표준 4 3 3 3 5 2 5" xfId="45570"/>
    <cellStyle name="표준 4 3 3 3 5 3" xfId="45571"/>
    <cellStyle name="표준 4 3 3 3 6" xfId="45572"/>
    <cellStyle name="표준 4 3 3 3 7" xfId="45573"/>
    <cellStyle name="표준 4 3 3 3 8" xfId="45574"/>
    <cellStyle name="표준 4 3 3 3 9" xfId="45575"/>
    <cellStyle name="표준 4 3 3 4" xfId="45576"/>
    <cellStyle name="표준 4 3 3 4 10" xfId="45577"/>
    <cellStyle name="표준 4 3 3 4 11" xfId="45578"/>
    <cellStyle name="표준 4 3 3 4 12" xfId="45579"/>
    <cellStyle name="표준 4 3 3 4 13" xfId="45580"/>
    <cellStyle name="표준 4 3 3 4 14" xfId="45581"/>
    <cellStyle name="표준 4 3 3 4 15" xfId="45582"/>
    <cellStyle name="표준 4 3 3 4 16" xfId="45583"/>
    <cellStyle name="표준 4 3 3 4 16 2" xfId="45584"/>
    <cellStyle name="표준 4 3 3 4 16 3" xfId="45585"/>
    <cellStyle name="표준 4 3 3 4 17" xfId="45586"/>
    <cellStyle name="표준 4 3 3 4 18" xfId="45587"/>
    <cellStyle name="표준 4 3 3 4 19" xfId="45588"/>
    <cellStyle name="표준 4 3 3 4 2" xfId="45589"/>
    <cellStyle name="표준 4 3 3 4 2 2" xfId="45590"/>
    <cellStyle name="표준 4 3 3 4 2 2 2" xfId="45591"/>
    <cellStyle name="표준 4 3 3 4 2 2 2 2" xfId="45592"/>
    <cellStyle name="표준 4 3 3 4 2 2 2 3" xfId="45593"/>
    <cellStyle name="표준 4 3 3 4 2 2 3" xfId="45594"/>
    <cellStyle name="표준 4 3 3 4 2 2 4" xfId="45595"/>
    <cellStyle name="표준 4 3 3 4 2 2 5" xfId="45596"/>
    <cellStyle name="표준 4 3 3 4 2 3" xfId="45597"/>
    <cellStyle name="표준 4 3 3 4 2 3 2" xfId="45598"/>
    <cellStyle name="표준 4 3 3 4 2 3 3" xfId="45599"/>
    <cellStyle name="표준 4 3 3 4 2 4" xfId="45600"/>
    <cellStyle name="표준 4 3 3 4 2 5" xfId="45601"/>
    <cellStyle name="표준 4 3 3 4 2 6" xfId="45602"/>
    <cellStyle name="표준 4 3 3 4 3" xfId="45603"/>
    <cellStyle name="표준 4 3 3 4 3 2" xfId="45604"/>
    <cellStyle name="표준 4 3 3 4 3 2 2" xfId="45605"/>
    <cellStyle name="표준 4 3 3 4 3 2 2 2" xfId="45606"/>
    <cellStyle name="표준 4 3 3 4 3 2 2 3" xfId="45607"/>
    <cellStyle name="표준 4 3 3 4 3 2 3" xfId="45608"/>
    <cellStyle name="표준 4 3 3 4 3 2 4" xfId="45609"/>
    <cellStyle name="표준 4 3 3 4 3 2 5" xfId="45610"/>
    <cellStyle name="표준 4 3 3 4 3 3" xfId="45611"/>
    <cellStyle name="표준 4 3 3 4 4" xfId="45612"/>
    <cellStyle name="표준 4 3 3 4 4 2" xfId="45613"/>
    <cellStyle name="표준 4 3 3 4 4 2 2" xfId="45614"/>
    <cellStyle name="표준 4 3 3 4 4 2 2 2" xfId="45615"/>
    <cellStyle name="표준 4 3 3 4 4 2 2 3" xfId="45616"/>
    <cellStyle name="표준 4 3 3 4 4 2 3" xfId="45617"/>
    <cellStyle name="표준 4 3 3 4 4 2 4" xfId="45618"/>
    <cellStyle name="표준 4 3 3 4 4 2 5" xfId="45619"/>
    <cellStyle name="표준 4 3 3 4 4 3" xfId="45620"/>
    <cellStyle name="표준 4 3 3 4 5" xfId="45621"/>
    <cellStyle name="표준 4 3 3 4 6" xfId="45622"/>
    <cellStyle name="표준 4 3 3 4 7" xfId="45623"/>
    <cellStyle name="표준 4 3 3 4 8" xfId="45624"/>
    <cellStyle name="표준 4 3 3 4 9" xfId="45625"/>
    <cellStyle name="표준 4 3 3 5" xfId="45626"/>
    <cellStyle name="표준 4 3 3 5 2" xfId="45627"/>
    <cellStyle name="표준 4 3 3 5 2 2" xfId="45628"/>
    <cellStyle name="표준 4 3 3 5 2 2 2" xfId="45629"/>
    <cellStyle name="표준 4 3 3 5 2 2 3" xfId="45630"/>
    <cellStyle name="표준 4 3 3 5 2 3" xfId="45631"/>
    <cellStyle name="표준 4 3 3 5 2 4" xfId="45632"/>
    <cellStyle name="표준 4 3 3 5 2 5" xfId="45633"/>
    <cellStyle name="표준 4 3 3 5 3" xfId="45634"/>
    <cellStyle name="표준 4 3 3 5 3 2" xfId="45635"/>
    <cellStyle name="표준 4 3 3 5 3 3" xfId="45636"/>
    <cellStyle name="표준 4 3 3 5 4" xfId="45637"/>
    <cellStyle name="표준 4 3 3 5 5" xfId="45638"/>
    <cellStyle name="표준 4 3 3 5 6" xfId="45639"/>
    <cellStyle name="표준 4 3 3 6" xfId="45640"/>
    <cellStyle name="표준 4 3 3 6 2" xfId="45641"/>
    <cellStyle name="표준 4 3 3 6 2 2" xfId="45642"/>
    <cellStyle name="표준 4 3 3 6 2 2 2" xfId="45643"/>
    <cellStyle name="표준 4 3 3 6 2 2 3" xfId="45644"/>
    <cellStyle name="표준 4 3 3 6 2 3" xfId="45645"/>
    <cellStyle name="표준 4 3 3 6 2 4" xfId="45646"/>
    <cellStyle name="표준 4 3 3 6 2 5" xfId="45647"/>
    <cellStyle name="표준 4 3 3 6 3" xfId="45648"/>
    <cellStyle name="표준 4 3 3 7" xfId="45649"/>
    <cellStyle name="표준 4 3 3 7 2" xfId="45650"/>
    <cellStyle name="표준 4 3 3 7 2 2" xfId="45651"/>
    <cellStyle name="표준 4 3 3 7 2 2 2" xfId="45652"/>
    <cellStyle name="표준 4 3 3 7 2 2 3" xfId="45653"/>
    <cellStyle name="표준 4 3 3 7 2 3" xfId="45654"/>
    <cellStyle name="표준 4 3 3 7 2 4" xfId="45655"/>
    <cellStyle name="표준 4 3 3 7 2 5" xfId="45656"/>
    <cellStyle name="표준 4 3 3 7 3" xfId="45657"/>
    <cellStyle name="표준 4 3 3 8" xfId="45658"/>
    <cellStyle name="표준 4 3 3 9" xfId="45659"/>
    <cellStyle name="표준 4 3 4" xfId="45660"/>
    <cellStyle name="표준 4 3 4 10" xfId="45661"/>
    <cellStyle name="표준 4 3 4 11" xfId="45662"/>
    <cellStyle name="표준 4 3 4 12" xfId="45663"/>
    <cellStyle name="표준 4 3 4 13" xfId="45664"/>
    <cellStyle name="표준 4 3 4 14" xfId="45665"/>
    <cellStyle name="표준 4 3 4 15" xfId="45666"/>
    <cellStyle name="표준 4 3 4 16" xfId="45667"/>
    <cellStyle name="표준 4 3 4 17" xfId="45668"/>
    <cellStyle name="표준 4 3 4 17 2" xfId="45669"/>
    <cellStyle name="표준 4 3 4 17 3" xfId="45670"/>
    <cellStyle name="표준 4 3 4 18" xfId="45671"/>
    <cellStyle name="표준 4 3 4 19" xfId="45672"/>
    <cellStyle name="표준 4 3 4 2" xfId="45673"/>
    <cellStyle name="표준 4 3 4 2 10" xfId="45674"/>
    <cellStyle name="표준 4 3 4 2 11" xfId="45675"/>
    <cellStyle name="표준 4 3 4 2 12" xfId="45676"/>
    <cellStyle name="표준 4 3 4 2 13" xfId="45677"/>
    <cellStyle name="표준 4 3 4 2 14" xfId="45678"/>
    <cellStyle name="표준 4 3 4 2 15" xfId="45679"/>
    <cellStyle name="표준 4 3 4 2 16" xfId="45680"/>
    <cellStyle name="표준 4 3 4 2 16 2" xfId="45681"/>
    <cellStyle name="표준 4 3 4 2 16 3" xfId="45682"/>
    <cellStyle name="표준 4 3 4 2 17" xfId="45683"/>
    <cellStyle name="표준 4 3 4 2 18" xfId="45684"/>
    <cellStyle name="표준 4 3 4 2 19" xfId="45685"/>
    <cellStyle name="표준 4 3 4 2 2" xfId="45686"/>
    <cellStyle name="표준 4 3 4 2 2 2" xfId="45687"/>
    <cellStyle name="표준 4 3 4 2 2 2 2" xfId="45688"/>
    <cellStyle name="표준 4 3 4 2 2 2 2 2" xfId="45689"/>
    <cellStyle name="표준 4 3 4 2 2 2 2 3" xfId="45690"/>
    <cellStyle name="표준 4 3 4 2 2 2 3" xfId="45691"/>
    <cellStyle name="표준 4 3 4 2 2 2 4" xfId="45692"/>
    <cellStyle name="표준 4 3 4 2 2 2 5" xfId="45693"/>
    <cellStyle name="표준 4 3 4 2 2 3" xfId="45694"/>
    <cellStyle name="표준 4 3 4 2 2 3 2" xfId="45695"/>
    <cellStyle name="표준 4 3 4 2 2 3 3" xfId="45696"/>
    <cellStyle name="표준 4 3 4 2 2 4" xfId="45697"/>
    <cellStyle name="표준 4 3 4 2 2 5" xfId="45698"/>
    <cellStyle name="표준 4 3 4 2 2 6" xfId="45699"/>
    <cellStyle name="표준 4 3 4 2 3" xfId="45700"/>
    <cellStyle name="표준 4 3 4 2 3 2" xfId="45701"/>
    <cellStyle name="표준 4 3 4 2 3 2 2" xfId="45702"/>
    <cellStyle name="표준 4 3 4 2 3 2 2 2" xfId="45703"/>
    <cellStyle name="표준 4 3 4 2 3 2 2 3" xfId="45704"/>
    <cellStyle name="표준 4 3 4 2 3 2 3" xfId="45705"/>
    <cellStyle name="표준 4 3 4 2 3 2 4" xfId="45706"/>
    <cellStyle name="표준 4 3 4 2 3 2 5" xfId="45707"/>
    <cellStyle name="표준 4 3 4 2 3 3" xfId="45708"/>
    <cellStyle name="표준 4 3 4 2 4" xfId="45709"/>
    <cellStyle name="표준 4 3 4 2 4 2" xfId="45710"/>
    <cellStyle name="표준 4 3 4 2 4 2 2" xfId="45711"/>
    <cellStyle name="표준 4 3 4 2 4 2 2 2" xfId="45712"/>
    <cellStyle name="표준 4 3 4 2 4 2 2 3" xfId="45713"/>
    <cellStyle name="표준 4 3 4 2 4 2 3" xfId="45714"/>
    <cellStyle name="표준 4 3 4 2 4 2 4" xfId="45715"/>
    <cellStyle name="표준 4 3 4 2 4 2 5" xfId="45716"/>
    <cellStyle name="표준 4 3 4 2 4 3" xfId="45717"/>
    <cellStyle name="표준 4 3 4 2 5" xfId="45718"/>
    <cellStyle name="표준 4 3 4 2 6" xfId="45719"/>
    <cellStyle name="표준 4 3 4 2 7" xfId="45720"/>
    <cellStyle name="표준 4 3 4 2 8" xfId="45721"/>
    <cellStyle name="표준 4 3 4 2 9" xfId="45722"/>
    <cellStyle name="표준 4 3 4 20" xfId="45723"/>
    <cellStyle name="표준 4 3 4 3" xfId="45724"/>
    <cellStyle name="표준 4 3 4 3 2" xfId="45725"/>
    <cellStyle name="표준 4 3 4 3 2 2" xfId="45726"/>
    <cellStyle name="표준 4 3 4 3 2 2 2" xfId="45727"/>
    <cellStyle name="표준 4 3 4 3 2 2 3" xfId="45728"/>
    <cellStyle name="표준 4 3 4 3 2 3" xfId="45729"/>
    <cellStyle name="표준 4 3 4 3 2 4" xfId="45730"/>
    <cellStyle name="표준 4 3 4 3 2 5" xfId="45731"/>
    <cellStyle name="표준 4 3 4 3 3" xfId="45732"/>
    <cellStyle name="표준 4 3 4 3 3 2" xfId="45733"/>
    <cellStyle name="표준 4 3 4 3 3 3" xfId="45734"/>
    <cellStyle name="표준 4 3 4 3 4" xfId="45735"/>
    <cellStyle name="표준 4 3 4 3 5" xfId="45736"/>
    <cellStyle name="표준 4 3 4 3 6" xfId="45737"/>
    <cellStyle name="표준 4 3 4 4" xfId="45738"/>
    <cellStyle name="표준 4 3 4 4 2" xfId="45739"/>
    <cellStyle name="표준 4 3 4 4 2 2" xfId="45740"/>
    <cellStyle name="표준 4 3 4 4 2 2 2" xfId="45741"/>
    <cellStyle name="표준 4 3 4 4 2 2 3" xfId="45742"/>
    <cellStyle name="표준 4 3 4 4 2 3" xfId="45743"/>
    <cellStyle name="표준 4 3 4 4 2 4" xfId="45744"/>
    <cellStyle name="표준 4 3 4 4 2 5" xfId="45745"/>
    <cellStyle name="표준 4 3 4 4 3" xfId="45746"/>
    <cellStyle name="표준 4 3 4 5" xfId="45747"/>
    <cellStyle name="표준 4 3 4 5 2" xfId="45748"/>
    <cellStyle name="표준 4 3 4 5 2 2" xfId="45749"/>
    <cellStyle name="표준 4 3 4 5 2 2 2" xfId="45750"/>
    <cellStyle name="표준 4 3 4 5 2 2 3" xfId="45751"/>
    <cellStyle name="표준 4 3 4 5 2 3" xfId="45752"/>
    <cellStyle name="표준 4 3 4 5 2 4" xfId="45753"/>
    <cellStyle name="표준 4 3 4 5 2 5" xfId="45754"/>
    <cellStyle name="표준 4 3 4 5 3" xfId="45755"/>
    <cellStyle name="표준 4 3 4 6" xfId="45756"/>
    <cellStyle name="표준 4 3 4 7" xfId="45757"/>
    <cellStyle name="표준 4 3 4 8" xfId="45758"/>
    <cellStyle name="표준 4 3 4 9" xfId="45759"/>
    <cellStyle name="표준 4 3 5" xfId="45760"/>
    <cellStyle name="표준 4 3 5 10" xfId="45761"/>
    <cellStyle name="표준 4 3 5 11" xfId="45762"/>
    <cellStyle name="표준 4 3 5 12" xfId="45763"/>
    <cellStyle name="표준 4 3 5 13" xfId="45764"/>
    <cellStyle name="표준 4 3 5 14" xfId="45765"/>
    <cellStyle name="표준 4 3 5 15" xfId="45766"/>
    <cellStyle name="표준 4 3 5 16" xfId="45767"/>
    <cellStyle name="표준 4 3 5 17" xfId="45768"/>
    <cellStyle name="표준 4 3 5 17 2" xfId="45769"/>
    <cellStyle name="표준 4 3 5 17 3" xfId="45770"/>
    <cellStyle name="표준 4 3 5 18" xfId="45771"/>
    <cellStyle name="표준 4 3 5 19" xfId="45772"/>
    <cellStyle name="표준 4 3 5 2" xfId="45773"/>
    <cellStyle name="표준 4 3 5 2 10" xfId="45774"/>
    <cellStyle name="표준 4 3 5 2 11" xfId="45775"/>
    <cellStyle name="표준 4 3 5 2 12" xfId="45776"/>
    <cellStyle name="표준 4 3 5 2 13" xfId="45777"/>
    <cellStyle name="표준 4 3 5 2 14" xfId="45778"/>
    <cellStyle name="표준 4 3 5 2 15" xfId="45779"/>
    <cellStyle name="표준 4 3 5 2 16" xfId="45780"/>
    <cellStyle name="표준 4 3 5 2 16 2" xfId="45781"/>
    <cellStyle name="표준 4 3 5 2 16 3" xfId="45782"/>
    <cellStyle name="표준 4 3 5 2 17" xfId="45783"/>
    <cellStyle name="표준 4 3 5 2 18" xfId="45784"/>
    <cellStyle name="표준 4 3 5 2 19" xfId="45785"/>
    <cellStyle name="표준 4 3 5 2 2" xfId="45786"/>
    <cellStyle name="표준 4 3 5 2 2 2" xfId="45787"/>
    <cellStyle name="표준 4 3 5 2 2 2 2" xfId="45788"/>
    <cellStyle name="표준 4 3 5 2 2 2 2 2" xfId="45789"/>
    <cellStyle name="표준 4 3 5 2 2 2 2 3" xfId="45790"/>
    <cellStyle name="표준 4 3 5 2 2 2 3" xfId="45791"/>
    <cellStyle name="표준 4 3 5 2 2 2 4" xfId="45792"/>
    <cellStyle name="표준 4 3 5 2 2 2 5" xfId="45793"/>
    <cellStyle name="표준 4 3 5 2 2 3" xfId="45794"/>
    <cellStyle name="표준 4 3 5 2 2 3 2" xfId="45795"/>
    <cellStyle name="표준 4 3 5 2 2 3 3" xfId="45796"/>
    <cellStyle name="표준 4 3 5 2 2 4" xfId="45797"/>
    <cellStyle name="표준 4 3 5 2 2 5" xfId="45798"/>
    <cellStyle name="표준 4 3 5 2 2 6" xfId="45799"/>
    <cellStyle name="표준 4 3 5 2 3" xfId="45800"/>
    <cellStyle name="표준 4 3 5 2 3 2" xfId="45801"/>
    <cellStyle name="표준 4 3 5 2 3 2 2" xfId="45802"/>
    <cellStyle name="표준 4 3 5 2 3 2 2 2" xfId="45803"/>
    <cellStyle name="표준 4 3 5 2 3 2 2 3" xfId="45804"/>
    <cellStyle name="표준 4 3 5 2 3 2 3" xfId="45805"/>
    <cellStyle name="표준 4 3 5 2 3 2 4" xfId="45806"/>
    <cellStyle name="표준 4 3 5 2 3 2 5" xfId="45807"/>
    <cellStyle name="표준 4 3 5 2 3 3" xfId="45808"/>
    <cellStyle name="표준 4 3 5 2 4" xfId="45809"/>
    <cellStyle name="표준 4 3 5 2 4 2" xfId="45810"/>
    <cellStyle name="표준 4 3 5 2 4 2 2" xfId="45811"/>
    <cellStyle name="표준 4 3 5 2 4 2 2 2" xfId="45812"/>
    <cellStyle name="표준 4 3 5 2 4 2 2 3" xfId="45813"/>
    <cellStyle name="표준 4 3 5 2 4 2 3" xfId="45814"/>
    <cellStyle name="표준 4 3 5 2 4 2 4" xfId="45815"/>
    <cellStyle name="표준 4 3 5 2 4 2 5" xfId="45816"/>
    <cellStyle name="표준 4 3 5 2 4 3" xfId="45817"/>
    <cellStyle name="표준 4 3 5 2 5" xfId="45818"/>
    <cellStyle name="표준 4 3 5 2 6" xfId="45819"/>
    <cellStyle name="표준 4 3 5 2 7" xfId="45820"/>
    <cellStyle name="표준 4 3 5 2 8" xfId="45821"/>
    <cellStyle name="표준 4 3 5 2 9" xfId="45822"/>
    <cellStyle name="표준 4 3 5 20" xfId="45823"/>
    <cellStyle name="표준 4 3 5 3" xfId="45824"/>
    <cellStyle name="표준 4 3 5 3 2" xfId="45825"/>
    <cellStyle name="표준 4 3 5 3 2 2" xfId="45826"/>
    <cellStyle name="표준 4 3 5 3 2 2 2" xfId="45827"/>
    <cellStyle name="표준 4 3 5 3 2 2 3" xfId="45828"/>
    <cellStyle name="표준 4 3 5 3 2 3" xfId="45829"/>
    <cellStyle name="표준 4 3 5 3 2 4" xfId="45830"/>
    <cellStyle name="표준 4 3 5 3 2 5" xfId="45831"/>
    <cellStyle name="표준 4 3 5 3 3" xfId="45832"/>
    <cellStyle name="표준 4 3 5 3 3 2" xfId="45833"/>
    <cellStyle name="표준 4 3 5 3 3 3" xfId="45834"/>
    <cellStyle name="표준 4 3 5 3 4" xfId="45835"/>
    <cellStyle name="표준 4 3 5 3 5" xfId="45836"/>
    <cellStyle name="표준 4 3 5 3 6" xfId="45837"/>
    <cellStyle name="표준 4 3 5 4" xfId="45838"/>
    <cellStyle name="표준 4 3 5 4 2" xfId="45839"/>
    <cellStyle name="표준 4 3 5 4 2 2" xfId="45840"/>
    <cellStyle name="표준 4 3 5 4 2 2 2" xfId="45841"/>
    <cellStyle name="표준 4 3 5 4 2 2 3" xfId="45842"/>
    <cellStyle name="표준 4 3 5 4 2 3" xfId="45843"/>
    <cellStyle name="표준 4 3 5 4 2 4" xfId="45844"/>
    <cellStyle name="표준 4 3 5 4 2 5" xfId="45845"/>
    <cellStyle name="표준 4 3 5 4 3" xfId="45846"/>
    <cellStyle name="표준 4 3 5 5" xfId="45847"/>
    <cellStyle name="표준 4 3 5 5 2" xfId="45848"/>
    <cellStyle name="표준 4 3 5 5 2 2" xfId="45849"/>
    <cellStyle name="표준 4 3 5 5 2 2 2" xfId="45850"/>
    <cellStyle name="표준 4 3 5 5 2 2 3" xfId="45851"/>
    <cellStyle name="표준 4 3 5 5 2 3" xfId="45852"/>
    <cellStyle name="표준 4 3 5 5 2 4" xfId="45853"/>
    <cellStyle name="표준 4 3 5 5 2 5" xfId="45854"/>
    <cellStyle name="표준 4 3 5 5 3" xfId="45855"/>
    <cellStyle name="표준 4 3 5 6" xfId="45856"/>
    <cellStyle name="표준 4 3 5 7" xfId="45857"/>
    <cellStyle name="표준 4 3 5 8" xfId="45858"/>
    <cellStyle name="표준 4 3 5 9" xfId="45859"/>
    <cellStyle name="표준 4 3 6" xfId="45860"/>
    <cellStyle name="표준 4 3 6 10" xfId="45861"/>
    <cellStyle name="표준 4 3 6 11" xfId="45862"/>
    <cellStyle name="표준 4 3 6 12" xfId="45863"/>
    <cellStyle name="표준 4 3 6 13" xfId="45864"/>
    <cellStyle name="표준 4 3 6 14" xfId="45865"/>
    <cellStyle name="표준 4 3 6 15" xfId="45866"/>
    <cellStyle name="표준 4 3 6 16" xfId="45867"/>
    <cellStyle name="표준 4 3 6 16 2" xfId="45868"/>
    <cellStyle name="표준 4 3 6 16 3" xfId="45869"/>
    <cellStyle name="표준 4 3 6 17" xfId="45870"/>
    <cellStyle name="표준 4 3 6 18" xfId="45871"/>
    <cellStyle name="표준 4 3 6 19" xfId="45872"/>
    <cellStyle name="표준 4 3 6 2" xfId="45873"/>
    <cellStyle name="표준 4 3 6 2 2" xfId="45874"/>
    <cellStyle name="표준 4 3 6 2 2 2" xfId="45875"/>
    <cellStyle name="표준 4 3 6 2 2 2 2" xfId="45876"/>
    <cellStyle name="표준 4 3 6 2 2 2 3" xfId="45877"/>
    <cellStyle name="표준 4 3 6 2 2 3" xfId="45878"/>
    <cellStyle name="표준 4 3 6 2 2 4" xfId="45879"/>
    <cellStyle name="표준 4 3 6 2 2 5" xfId="45880"/>
    <cellStyle name="표준 4 3 6 2 3" xfId="45881"/>
    <cellStyle name="표준 4 3 6 2 3 2" xfId="45882"/>
    <cellStyle name="표준 4 3 6 2 3 3" xfId="45883"/>
    <cellStyle name="표준 4 3 6 2 4" xfId="45884"/>
    <cellStyle name="표준 4 3 6 2 5" xfId="45885"/>
    <cellStyle name="표준 4 3 6 2 6" xfId="45886"/>
    <cellStyle name="표준 4 3 6 3" xfId="45887"/>
    <cellStyle name="표준 4 3 6 3 2" xfId="45888"/>
    <cellStyle name="표준 4 3 6 3 2 2" xfId="45889"/>
    <cellStyle name="표준 4 3 6 3 2 2 2" xfId="45890"/>
    <cellStyle name="표준 4 3 6 3 2 2 3" xfId="45891"/>
    <cellStyle name="표준 4 3 6 3 2 3" xfId="45892"/>
    <cellStyle name="표준 4 3 6 3 2 4" xfId="45893"/>
    <cellStyle name="표준 4 3 6 3 2 5" xfId="45894"/>
    <cellStyle name="표준 4 3 6 3 3" xfId="45895"/>
    <cellStyle name="표준 4 3 6 4" xfId="45896"/>
    <cellStyle name="표준 4 3 6 4 2" xfId="45897"/>
    <cellStyle name="표준 4 3 6 4 2 2" xfId="45898"/>
    <cellStyle name="표준 4 3 6 4 2 2 2" xfId="45899"/>
    <cellStyle name="표준 4 3 6 4 2 2 3" xfId="45900"/>
    <cellStyle name="표준 4 3 6 4 2 3" xfId="45901"/>
    <cellStyle name="표준 4 3 6 4 2 4" xfId="45902"/>
    <cellStyle name="표준 4 3 6 4 2 5" xfId="45903"/>
    <cellStyle name="표준 4 3 6 4 3" xfId="45904"/>
    <cellStyle name="표준 4 3 6 5" xfId="45905"/>
    <cellStyle name="표준 4 3 6 6" xfId="45906"/>
    <cellStyle name="표준 4 3 6 7" xfId="45907"/>
    <cellStyle name="표준 4 3 6 8" xfId="45908"/>
    <cellStyle name="표준 4 3 6 9" xfId="45909"/>
    <cellStyle name="표준 4 3 7" xfId="45910"/>
    <cellStyle name="표준 4 3 7 2" xfId="45911"/>
    <cellStyle name="표준 4 3 7 2 2" xfId="45912"/>
    <cellStyle name="표준 4 3 7 2 2 2" xfId="45913"/>
    <cellStyle name="표준 4 3 7 2 2 3" xfId="45914"/>
    <cellStyle name="표준 4 3 7 2 3" xfId="45915"/>
    <cellStyle name="표준 4 3 7 2 4" xfId="45916"/>
    <cellStyle name="표준 4 3 7 2 5" xfId="45917"/>
    <cellStyle name="표준 4 3 7 3" xfId="45918"/>
    <cellStyle name="표준 4 3 7 3 2" xfId="45919"/>
    <cellStyle name="표준 4 3 7 3 3" xfId="45920"/>
    <cellStyle name="표준 4 3 7 4" xfId="45921"/>
    <cellStyle name="표준 4 3 7 5" xfId="45922"/>
    <cellStyle name="표준 4 3 7 6" xfId="45923"/>
    <cellStyle name="표준 4 3 8" xfId="45924"/>
    <cellStyle name="표준 4 3 8 2" xfId="45925"/>
    <cellStyle name="표준 4 3 8 2 2" xfId="45926"/>
    <cellStyle name="표준 4 3 8 2 2 2" xfId="45927"/>
    <cellStyle name="표준 4 3 8 2 2 3" xfId="45928"/>
    <cellStyle name="표준 4 3 8 2 3" xfId="45929"/>
    <cellStyle name="표준 4 3 8 2 4" xfId="45930"/>
    <cellStyle name="표준 4 3 8 2 5" xfId="45931"/>
    <cellStyle name="표준 4 3 8 3" xfId="45932"/>
    <cellStyle name="표준 4 3 9" xfId="45933"/>
    <cellStyle name="표준 4 3 9 2" xfId="45934"/>
    <cellStyle name="표준 4 3 9 2 2" xfId="45935"/>
    <cellStyle name="표준 4 3 9 2 2 2" xfId="45936"/>
    <cellStyle name="표준 4 3 9 2 2 3" xfId="45937"/>
    <cellStyle name="표준 4 3 9 2 3" xfId="45938"/>
    <cellStyle name="표준 4 3 9 2 4" xfId="45939"/>
    <cellStyle name="표준 4 3 9 2 5" xfId="45940"/>
    <cellStyle name="표준 4 3 9 3" xfId="45941"/>
    <cellStyle name="표준 4 4" xfId="45942"/>
    <cellStyle name="표준 4 4 10" xfId="45943"/>
    <cellStyle name="표준 4 4 11" xfId="45944"/>
    <cellStyle name="표준 4 4 12" xfId="45945"/>
    <cellStyle name="표준 4 4 13" xfId="45946"/>
    <cellStyle name="표준 4 4 14" xfId="45947"/>
    <cellStyle name="표준 4 4 15" xfId="45948"/>
    <cellStyle name="표준 4 4 16" xfId="45949"/>
    <cellStyle name="표준 4 4 17" xfId="45950"/>
    <cellStyle name="표준 4 4 18" xfId="45951"/>
    <cellStyle name="표준 4 4 19" xfId="45952"/>
    <cellStyle name="표준 4 4 2" xfId="45953"/>
    <cellStyle name="표준 4 4 2 10" xfId="45954"/>
    <cellStyle name="표준 4 4 2 11" xfId="45955"/>
    <cellStyle name="표준 4 4 2 12" xfId="45956"/>
    <cellStyle name="표준 4 4 2 13" xfId="45957"/>
    <cellStyle name="표준 4 4 2 14" xfId="45958"/>
    <cellStyle name="표준 4 4 2 15" xfId="45959"/>
    <cellStyle name="표준 4 4 2 16" xfId="45960"/>
    <cellStyle name="표준 4 4 2 17" xfId="45961"/>
    <cellStyle name="표준 4 4 2 18" xfId="45962"/>
    <cellStyle name="표준 4 4 2 19" xfId="45963"/>
    <cellStyle name="표준 4 4 2 19 2" xfId="45964"/>
    <cellStyle name="표준 4 4 2 19 3" xfId="45965"/>
    <cellStyle name="표준 4 4 2 2" xfId="45966"/>
    <cellStyle name="표준 4 4 2 2 10" xfId="45967"/>
    <cellStyle name="표준 4 4 2 2 11" xfId="45968"/>
    <cellStyle name="표준 4 4 2 2 12" xfId="45969"/>
    <cellStyle name="표준 4 4 2 2 13" xfId="45970"/>
    <cellStyle name="표준 4 4 2 2 14" xfId="45971"/>
    <cellStyle name="표준 4 4 2 2 15" xfId="45972"/>
    <cellStyle name="표준 4 4 2 2 16" xfId="45973"/>
    <cellStyle name="표준 4 4 2 2 17" xfId="45974"/>
    <cellStyle name="표준 4 4 2 2 17 2" xfId="45975"/>
    <cellStyle name="표준 4 4 2 2 17 3" xfId="45976"/>
    <cellStyle name="표준 4 4 2 2 18" xfId="45977"/>
    <cellStyle name="표준 4 4 2 2 19" xfId="45978"/>
    <cellStyle name="표준 4 4 2 2 2" xfId="45979"/>
    <cellStyle name="표준 4 4 2 2 2 10" xfId="45980"/>
    <cellStyle name="표준 4 4 2 2 2 11" xfId="45981"/>
    <cellStyle name="표준 4 4 2 2 2 12" xfId="45982"/>
    <cellStyle name="표준 4 4 2 2 2 13" xfId="45983"/>
    <cellStyle name="표준 4 4 2 2 2 14" xfId="45984"/>
    <cellStyle name="표준 4 4 2 2 2 15" xfId="45985"/>
    <cellStyle name="표준 4 4 2 2 2 16" xfId="45986"/>
    <cellStyle name="표준 4 4 2 2 2 16 2" xfId="45987"/>
    <cellStyle name="표준 4 4 2 2 2 16 3" xfId="45988"/>
    <cellStyle name="표준 4 4 2 2 2 17" xfId="45989"/>
    <cellStyle name="표준 4 4 2 2 2 18" xfId="45990"/>
    <cellStyle name="표준 4 4 2 2 2 19" xfId="45991"/>
    <cellStyle name="표준 4 4 2 2 2 2" xfId="45992"/>
    <cellStyle name="표준 4 4 2 2 2 2 2" xfId="45993"/>
    <cellStyle name="표준 4 4 2 2 2 2 2 2" xfId="45994"/>
    <cellStyle name="표준 4 4 2 2 2 2 2 2 2" xfId="45995"/>
    <cellStyle name="표준 4 4 2 2 2 2 2 2 3" xfId="45996"/>
    <cellStyle name="표준 4 4 2 2 2 2 2 3" xfId="45997"/>
    <cellStyle name="표준 4 4 2 2 2 2 2 4" xfId="45998"/>
    <cellStyle name="표준 4 4 2 2 2 2 2 5" xfId="45999"/>
    <cellStyle name="표준 4 4 2 2 2 2 3" xfId="46000"/>
    <cellStyle name="표준 4 4 2 2 2 2 3 2" xfId="46001"/>
    <cellStyle name="표준 4 4 2 2 2 2 3 3" xfId="46002"/>
    <cellStyle name="표준 4 4 2 2 2 2 4" xfId="46003"/>
    <cellStyle name="표준 4 4 2 2 2 2 5" xfId="46004"/>
    <cellStyle name="표준 4 4 2 2 2 2 6" xfId="46005"/>
    <cellStyle name="표준 4 4 2 2 2 3" xfId="46006"/>
    <cellStyle name="표준 4 4 2 2 2 3 2" xfId="46007"/>
    <cellStyle name="표준 4 4 2 2 2 3 2 2" xfId="46008"/>
    <cellStyle name="표준 4 4 2 2 2 3 2 2 2" xfId="46009"/>
    <cellStyle name="표준 4 4 2 2 2 3 2 2 3" xfId="46010"/>
    <cellStyle name="표준 4 4 2 2 2 3 2 3" xfId="46011"/>
    <cellStyle name="표준 4 4 2 2 2 3 2 4" xfId="46012"/>
    <cellStyle name="표준 4 4 2 2 2 3 2 5" xfId="46013"/>
    <cellStyle name="표준 4 4 2 2 2 3 3" xfId="46014"/>
    <cellStyle name="표준 4 4 2 2 2 4" xfId="46015"/>
    <cellStyle name="표준 4 4 2 2 2 4 2" xfId="46016"/>
    <cellStyle name="표준 4 4 2 2 2 4 2 2" xfId="46017"/>
    <cellStyle name="표준 4 4 2 2 2 4 2 2 2" xfId="46018"/>
    <cellStyle name="표준 4 4 2 2 2 4 2 2 3" xfId="46019"/>
    <cellStyle name="표준 4 4 2 2 2 4 2 3" xfId="46020"/>
    <cellStyle name="표준 4 4 2 2 2 4 2 4" xfId="46021"/>
    <cellStyle name="표준 4 4 2 2 2 4 2 5" xfId="46022"/>
    <cellStyle name="표준 4 4 2 2 2 4 3" xfId="46023"/>
    <cellStyle name="표준 4 4 2 2 2 5" xfId="46024"/>
    <cellStyle name="표준 4 4 2 2 2 6" xfId="46025"/>
    <cellStyle name="표준 4 4 2 2 2 7" xfId="46026"/>
    <cellStyle name="표준 4 4 2 2 2 8" xfId="46027"/>
    <cellStyle name="표준 4 4 2 2 2 9" xfId="46028"/>
    <cellStyle name="표준 4 4 2 2 20" xfId="46029"/>
    <cellStyle name="표준 4 4 2 2 3" xfId="46030"/>
    <cellStyle name="표준 4 4 2 2 3 2" xfId="46031"/>
    <cellStyle name="표준 4 4 2 2 3 2 2" xfId="46032"/>
    <cellStyle name="표준 4 4 2 2 3 2 2 2" xfId="46033"/>
    <cellStyle name="표준 4 4 2 2 3 2 2 3" xfId="46034"/>
    <cellStyle name="표준 4 4 2 2 3 2 3" xfId="46035"/>
    <cellStyle name="표준 4 4 2 2 3 2 4" xfId="46036"/>
    <cellStyle name="표준 4 4 2 2 3 2 5" xfId="46037"/>
    <cellStyle name="표준 4 4 2 2 3 3" xfId="46038"/>
    <cellStyle name="표준 4 4 2 2 3 3 2" xfId="46039"/>
    <cellStyle name="표준 4 4 2 2 3 3 3" xfId="46040"/>
    <cellStyle name="표준 4 4 2 2 3 4" xfId="46041"/>
    <cellStyle name="표준 4 4 2 2 3 5" xfId="46042"/>
    <cellStyle name="표준 4 4 2 2 3 6" xfId="46043"/>
    <cellStyle name="표준 4 4 2 2 4" xfId="46044"/>
    <cellStyle name="표준 4 4 2 2 4 2" xfId="46045"/>
    <cellStyle name="표준 4 4 2 2 4 2 2" xfId="46046"/>
    <cellStyle name="표준 4 4 2 2 4 2 2 2" xfId="46047"/>
    <cellStyle name="표준 4 4 2 2 4 2 2 3" xfId="46048"/>
    <cellStyle name="표준 4 4 2 2 4 2 3" xfId="46049"/>
    <cellStyle name="표준 4 4 2 2 4 2 4" xfId="46050"/>
    <cellStyle name="표준 4 4 2 2 4 2 5" xfId="46051"/>
    <cellStyle name="표준 4 4 2 2 4 3" xfId="46052"/>
    <cellStyle name="표준 4 4 2 2 5" xfId="46053"/>
    <cellStyle name="표준 4 4 2 2 5 2" xfId="46054"/>
    <cellStyle name="표준 4 4 2 2 5 2 2" xfId="46055"/>
    <cellStyle name="표준 4 4 2 2 5 2 2 2" xfId="46056"/>
    <cellStyle name="표준 4 4 2 2 5 2 2 3" xfId="46057"/>
    <cellStyle name="표준 4 4 2 2 5 2 3" xfId="46058"/>
    <cellStyle name="표준 4 4 2 2 5 2 4" xfId="46059"/>
    <cellStyle name="표준 4 4 2 2 5 2 5" xfId="46060"/>
    <cellStyle name="표준 4 4 2 2 5 3" xfId="46061"/>
    <cellStyle name="표준 4 4 2 2 6" xfId="46062"/>
    <cellStyle name="표준 4 4 2 2 7" xfId="46063"/>
    <cellStyle name="표준 4 4 2 2 8" xfId="46064"/>
    <cellStyle name="표준 4 4 2 2 9" xfId="46065"/>
    <cellStyle name="표준 4 4 2 20" xfId="46066"/>
    <cellStyle name="표준 4 4 2 21" xfId="46067"/>
    <cellStyle name="표준 4 4 2 22" xfId="46068"/>
    <cellStyle name="표준 4 4 2 3" xfId="46069"/>
    <cellStyle name="표준 4 4 2 3 10" xfId="46070"/>
    <cellStyle name="표준 4 4 2 3 11" xfId="46071"/>
    <cellStyle name="표준 4 4 2 3 12" xfId="46072"/>
    <cellStyle name="표준 4 4 2 3 13" xfId="46073"/>
    <cellStyle name="표준 4 4 2 3 14" xfId="46074"/>
    <cellStyle name="표준 4 4 2 3 15" xfId="46075"/>
    <cellStyle name="표준 4 4 2 3 16" xfId="46076"/>
    <cellStyle name="표준 4 4 2 3 17" xfId="46077"/>
    <cellStyle name="표준 4 4 2 3 17 2" xfId="46078"/>
    <cellStyle name="표준 4 4 2 3 17 3" xfId="46079"/>
    <cellStyle name="표준 4 4 2 3 18" xfId="46080"/>
    <cellStyle name="표준 4 4 2 3 19" xfId="46081"/>
    <cellStyle name="표준 4 4 2 3 2" xfId="46082"/>
    <cellStyle name="표준 4 4 2 3 2 10" xfId="46083"/>
    <cellStyle name="표준 4 4 2 3 2 11" xfId="46084"/>
    <cellStyle name="표준 4 4 2 3 2 12" xfId="46085"/>
    <cellStyle name="표준 4 4 2 3 2 13" xfId="46086"/>
    <cellStyle name="표준 4 4 2 3 2 14" xfId="46087"/>
    <cellStyle name="표준 4 4 2 3 2 15" xfId="46088"/>
    <cellStyle name="표준 4 4 2 3 2 16" xfId="46089"/>
    <cellStyle name="표준 4 4 2 3 2 16 2" xfId="46090"/>
    <cellStyle name="표준 4 4 2 3 2 16 3" xfId="46091"/>
    <cellStyle name="표준 4 4 2 3 2 17" xfId="46092"/>
    <cellStyle name="표준 4 4 2 3 2 18" xfId="46093"/>
    <cellStyle name="표준 4 4 2 3 2 19" xfId="46094"/>
    <cellStyle name="표준 4 4 2 3 2 2" xfId="46095"/>
    <cellStyle name="표준 4 4 2 3 2 2 2" xfId="46096"/>
    <cellStyle name="표준 4 4 2 3 2 2 2 2" xfId="46097"/>
    <cellStyle name="표준 4 4 2 3 2 2 2 2 2" xfId="46098"/>
    <cellStyle name="표준 4 4 2 3 2 2 2 2 3" xfId="46099"/>
    <cellStyle name="표준 4 4 2 3 2 2 2 3" xfId="46100"/>
    <cellStyle name="표준 4 4 2 3 2 2 2 4" xfId="46101"/>
    <cellStyle name="표준 4 4 2 3 2 2 2 5" xfId="46102"/>
    <cellStyle name="표준 4 4 2 3 2 2 3" xfId="46103"/>
    <cellStyle name="표준 4 4 2 3 2 2 3 2" xfId="46104"/>
    <cellStyle name="표준 4 4 2 3 2 2 3 3" xfId="46105"/>
    <cellStyle name="표준 4 4 2 3 2 2 4" xfId="46106"/>
    <cellStyle name="표준 4 4 2 3 2 2 5" xfId="46107"/>
    <cellStyle name="표준 4 4 2 3 2 2 6" xfId="46108"/>
    <cellStyle name="표준 4 4 2 3 2 3" xfId="46109"/>
    <cellStyle name="표준 4 4 2 3 2 3 2" xfId="46110"/>
    <cellStyle name="표준 4 4 2 3 2 3 2 2" xfId="46111"/>
    <cellStyle name="표준 4 4 2 3 2 3 2 2 2" xfId="46112"/>
    <cellStyle name="표준 4 4 2 3 2 3 2 2 3" xfId="46113"/>
    <cellStyle name="표준 4 4 2 3 2 3 2 3" xfId="46114"/>
    <cellStyle name="표준 4 4 2 3 2 3 2 4" xfId="46115"/>
    <cellStyle name="표준 4 4 2 3 2 3 2 5" xfId="46116"/>
    <cellStyle name="표준 4 4 2 3 2 3 3" xfId="46117"/>
    <cellStyle name="표준 4 4 2 3 2 4" xfId="46118"/>
    <cellStyle name="표준 4 4 2 3 2 4 2" xfId="46119"/>
    <cellStyle name="표준 4 4 2 3 2 4 2 2" xfId="46120"/>
    <cellStyle name="표준 4 4 2 3 2 4 2 2 2" xfId="46121"/>
    <cellStyle name="표준 4 4 2 3 2 4 2 2 3" xfId="46122"/>
    <cellStyle name="표준 4 4 2 3 2 4 2 3" xfId="46123"/>
    <cellStyle name="표준 4 4 2 3 2 4 2 4" xfId="46124"/>
    <cellStyle name="표준 4 4 2 3 2 4 2 5" xfId="46125"/>
    <cellStyle name="표준 4 4 2 3 2 4 3" xfId="46126"/>
    <cellStyle name="표준 4 4 2 3 2 5" xfId="46127"/>
    <cellStyle name="표준 4 4 2 3 2 6" xfId="46128"/>
    <cellStyle name="표준 4 4 2 3 2 7" xfId="46129"/>
    <cellStyle name="표준 4 4 2 3 2 8" xfId="46130"/>
    <cellStyle name="표준 4 4 2 3 2 9" xfId="46131"/>
    <cellStyle name="표준 4 4 2 3 20" xfId="46132"/>
    <cellStyle name="표준 4 4 2 3 3" xfId="46133"/>
    <cellStyle name="표준 4 4 2 3 3 2" xfId="46134"/>
    <cellStyle name="표준 4 4 2 3 3 2 2" xfId="46135"/>
    <cellStyle name="표준 4 4 2 3 3 2 2 2" xfId="46136"/>
    <cellStyle name="표준 4 4 2 3 3 2 2 3" xfId="46137"/>
    <cellStyle name="표준 4 4 2 3 3 2 3" xfId="46138"/>
    <cellStyle name="표준 4 4 2 3 3 2 4" xfId="46139"/>
    <cellStyle name="표준 4 4 2 3 3 2 5" xfId="46140"/>
    <cellStyle name="표준 4 4 2 3 3 3" xfId="46141"/>
    <cellStyle name="표준 4 4 2 3 3 3 2" xfId="46142"/>
    <cellStyle name="표준 4 4 2 3 3 3 3" xfId="46143"/>
    <cellStyle name="표준 4 4 2 3 3 4" xfId="46144"/>
    <cellStyle name="표준 4 4 2 3 3 5" xfId="46145"/>
    <cellStyle name="표준 4 4 2 3 3 6" xfId="46146"/>
    <cellStyle name="표준 4 4 2 3 4" xfId="46147"/>
    <cellStyle name="표준 4 4 2 3 4 2" xfId="46148"/>
    <cellStyle name="표준 4 4 2 3 4 2 2" xfId="46149"/>
    <cellStyle name="표준 4 4 2 3 4 2 2 2" xfId="46150"/>
    <cellStyle name="표준 4 4 2 3 4 2 2 3" xfId="46151"/>
    <cellStyle name="표준 4 4 2 3 4 2 3" xfId="46152"/>
    <cellStyle name="표준 4 4 2 3 4 2 4" xfId="46153"/>
    <cellStyle name="표준 4 4 2 3 4 2 5" xfId="46154"/>
    <cellStyle name="표준 4 4 2 3 4 3" xfId="46155"/>
    <cellStyle name="표준 4 4 2 3 5" xfId="46156"/>
    <cellStyle name="표준 4 4 2 3 5 2" xfId="46157"/>
    <cellStyle name="표준 4 4 2 3 5 2 2" xfId="46158"/>
    <cellStyle name="표준 4 4 2 3 5 2 2 2" xfId="46159"/>
    <cellStyle name="표준 4 4 2 3 5 2 2 3" xfId="46160"/>
    <cellStyle name="표준 4 4 2 3 5 2 3" xfId="46161"/>
    <cellStyle name="표준 4 4 2 3 5 2 4" xfId="46162"/>
    <cellStyle name="표준 4 4 2 3 5 2 5" xfId="46163"/>
    <cellStyle name="표준 4 4 2 3 5 3" xfId="46164"/>
    <cellStyle name="표준 4 4 2 3 6" xfId="46165"/>
    <cellStyle name="표준 4 4 2 3 7" xfId="46166"/>
    <cellStyle name="표준 4 4 2 3 8" xfId="46167"/>
    <cellStyle name="표준 4 4 2 3 9" xfId="46168"/>
    <cellStyle name="표준 4 4 2 4" xfId="46169"/>
    <cellStyle name="표준 4 4 2 4 10" xfId="46170"/>
    <cellStyle name="표준 4 4 2 4 11" xfId="46171"/>
    <cellStyle name="표준 4 4 2 4 12" xfId="46172"/>
    <cellStyle name="표준 4 4 2 4 13" xfId="46173"/>
    <cellStyle name="표준 4 4 2 4 14" xfId="46174"/>
    <cellStyle name="표준 4 4 2 4 15" xfId="46175"/>
    <cellStyle name="표준 4 4 2 4 16" xfId="46176"/>
    <cellStyle name="표준 4 4 2 4 16 2" xfId="46177"/>
    <cellStyle name="표준 4 4 2 4 16 3" xfId="46178"/>
    <cellStyle name="표준 4 4 2 4 17" xfId="46179"/>
    <cellStyle name="표준 4 4 2 4 18" xfId="46180"/>
    <cellStyle name="표준 4 4 2 4 19" xfId="46181"/>
    <cellStyle name="표준 4 4 2 4 2" xfId="46182"/>
    <cellStyle name="표준 4 4 2 4 2 2" xfId="46183"/>
    <cellStyle name="표준 4 4 2 4 2 2 2" xfId="46184"/>
    <cellStyle name="표준 4 4 2 4 2 2 2 2" xfId="46185"/>
    <cellStyle name="표준 4 4 2 4 2 2 2 3" xfId="46186"/>
    <cellStyle name="표준 4 4 2 4 2 2 3" xfId="46187"/>
    <cellStyle name="표준 4 4 2 4 2 2 4" xfId="46188"/>
    <cellStyle name="표준 4 4 2 4 2 2 5" xfId="46189"/>
    <cellStyle name="표준 4 4 2 4 2 3" xfId="46190"/>
    <cellStyle name="표준 4 4 2 4 2 3 2" xfId="46191"/>
    <cellStyle name="표준 4 4 2 4 2 3 3" xfId="46192"/>
    <cellStyle name="표준 4 4 2 4 2 4" xfId="46193"/>
    <cellStyle name="표준 4 4 2 4 2 5" xfId="46194"/>
    <cellStyle name="표준 4 4 2 4 2 6" xfId="46195"/>
    <cellStyle name="표준 4 4 2 4 3" xfId="46196"/>
    <cellStyle name="표준 4 4 2 4 3 2" xfId="46197"/>
    <cellStyle name="표준 4 4 2 4 3 2 2" xfId="46198"/>
    <cellStyle name="표준 4 4 2 4 3 2 2 2" xfId="46199"/>
    <cellStyle name="표준 4 4 2 4 3 2 2 3" xfId="46200"/>
    <cellStyle name="표준 4 4 2 4 3 2 3" xfId="46201"/>
    <cellStyle name="표준 4 4 2 4 3 2 4" xfId="46202"/>
    <cellStyle name="표준 4 4 2 4 3 2 5" xfId="46203"/>
    <cellStyle name="표준 4 4 2 4 3 3" xfId="46204"/>
    <cellStyle name="표준 4 4 2 4 4" xfId="46205"/>
    <cellStyle name="표준 4 4 2 4 4 2" xfId="46206"/>
    <cellStyle name="표준 4 4 2 4 4 2 2" xfId="46207"/>
    <cellStyle name="표준 4 4 2 4 4 2 2 2" xfId="46208"/>
    <cellStyle name="표준 4 4 2 4 4 2 2 3" xfId="46209"/>
    <cellStyle name="표준 4 4 2 4 4 2 3" xfId="46210"/>
    <cellStyle name="표준 4 4 2 4 4 2 4" xfId="46211"/>
    <cellStyle name="표준 4 4 2 4 4 2 5" xfId="46212"/>
    <cellStyle name="표준 4 4 2 4 4 3" xfId="46213"/>
    <cellStyle name="표준 4 4 2 4 5" xfId="46214"/>
    <cellStyle name="표준 4 4 2 4 6" xfId="46215"/>
    <cellStyle name="표준 4 4 2 4 7" xfId="46216"/>
    <cellStyle name="표준 4 4 2 4 8" xfId="46217"/>
    <cellStyle name="표준 4 4 2 4 9" xfId="46218"/>
    <cellStyle name="표준 4 4 2 5" xfId="46219"/>
    <cellStyle name="표준 4 4 2 5 2" xfId="46220"/>
    <cellStyle name="표준 4 4 2 5 2 2" xfId="46221"/>
    <cellStyle name="표준 4 4 2 5 2 2 2" xfId="46222"/>
    <cellStyle name="표준 4 4 2 5 2 2 3" xfId="46223"/>
    <cellStyle name="표준 4 4 2 5 2 3" xfId="46224"/>
    <cellStyle name="표준 4 4 2 5 2 4" xfId="46225"/>
    <cellStyle name="표준 4 4 2 5 2 5" xfId="46226"/>
    <cellStyle name="표준 4 4 2 5 3" xfId="46227"/>
    <cellStyle name="표준 4 4 2 5 3 2" xfId="46228"/>
    <cellStyle name="표준 4 4 2 5 3 3" xfId="46229"/>
    <cellStyle name="표준 4 4 2 5 4" xfId="46230"/>
    <cellStyle name="표준 4 4 2 5 5" xfId="46231"/>
    <cellStyle name="표준 4 4 2 5 6" xfId="46232"/>
    <cellStyle name="표준 4 4 2 6" xfId="46233"/>
    <cellStyle name="표준 4 4 2 6 2" xfId="46234"/>
    <cellStyle name="표준 4 4 2 6 2 2" xfId="46235"/>
    <cellStyle name="표준 4 4 2 6 2 2 2" xfId="46236"/>
    <cellStyle name="표준 4 4 2 6 2 2 3" xfId="46237"/>
    <cellStyle name="표준 4 4 2 6 2 3" xfId="46238"/>
    <cellStyle name="표준 4 4 2 6 2 4" xfId="46239"/>
    <cellStyle name="표준 4 4 2 6 2 5" xfId="46240"/>
    <cellStyle name="표준 4 4 2 6 3" xfId="46241"/>
    <cellStyle name="표준 4 4 2 7" xfId="46242"/>
    <cellStyle name="표준 4 4 2 7 2" xfId="46243"/>
    <cellStyle name="표준 4 4 2 7 2 2" xfId="46244"/>
    <cellStyle name="표준 4 4 2 7 2 2 2" xfId="46245"/>
    <cellStyle name="표준 4 4 2 7 2 2 3" xfId="46246"/>
    <cellStyle name="표준 4 4 2 7 2 3" xfId="46247"/>
    <cellStyle name="표준 4 4 2 7 2 4" xfId="46248"/>
    <cellStyle name="표준 4 4 2 7 2 5" xfId="46249"/>
    <cellStyle name="표준 4 4 2 7 3" xfId="46250"/>
    <cellStyle name="표준 4 4 2 8" xfId="46251"/>
    <cellStyle name="표준 4 4 2 9" xfId="46252"/>
    <cellStyle name="표준 4 4 20" xfId="46253"/>
    <cellStyle name="표준 4 4 20 2" xfId="46254"/>
    <cellStyle name="표준 4 4 20 3" xfId="46255"/>
    <cellStyle name="표준 4 4 21" xfId="46256"/>
    <cellStyle name="표준 4 4 22" xfId="46257"/>
    <cellStyle name="표준 4 4 23" xfId="46258"/>
    <cellStyle name="표준 4 4 3" xfId="46259"/>
    <cellStyle name="표준 4 4 3 10" xfId="46260"/>
    <cellStyle name="표준 4 4 3 11" xfId="46261"/>
    <cellStyle name="표준 4 4 3 12" xfId="46262"/>
    <cellStyle name="표준 4 4 3 13" xfId="46263"/>
    <cellStyle name="표준 4 4 3 14" xfId="46264"/>
    <cellStyle name="표준 4 4 3 15" xfId="46265"/>
    <cellStyle name="표준 4 4 3 16" xfId="46266"/>
    <cellStyle name="표준 4 4 3 17" xfId="46267"/>
    <cellStyle name="표준 4 4 3 17 2" xfId="46268"/>
    <cellStyle name="표준 4 4 3 17 3" xfId="46269"/>
    <cellStyle name="표준 4 4 3 18" xfId="46270"/>
    <cellStyle name="표준 4 4 3 19" xfId="46271"/>
    <cellStyle name="표준 4 4 3 2" xfId="46272"/>
    <cellStyle name="표준 4 4 3 2 10" xfId="46273"/>
    <cellStyle name="표준 4 4 3 2 11" xfId="46274"/>
    <cellStyle name="표준 4 4 3 2 12" xfId="46275"/>
    <cellStyle name="표준 4 4 3 2 13" xfId="46276"/>
    <cellStyle name="표준 4 4 3 2 14" xfId="46277"/>
    <cellStyle name="표준 4 4 3 2 15" xfId="46278"/>
    <cellStyle name="표준 4 4 3 2 16" xfId="46279"/>
    <cellStyle name="표준 4 4 3 2 16 2" xfId="46280"/>
    <cellStyle name="표준 4 4 3 2 16 3" xfId="46281"/>
    <cellStyle name="표준 4 4 3 2 17" xfId="46282"/>
    <cellStyle name="표준 4 4 3 2 18" xfId="46283"/>
    <cellStyle name="표준 4 4 3 2 19" xfId="46284"/>
    <cellStyle name="표준 4 4 3 2 2" xfId="46285"/>
    <cellStyle name="표준 4 4 3 2 2 2" xfId="46286"/>
    <cellStyle name="표준 4 4 3 2 2 2 2" xfId="46287"/>
    <cellStyle name="표준 4 4 3 2 2 2 2 2" xfId="46288"/>
    <cellStyle name="표준 4 4 3 2 2 2 2 3" xfId="46289"/>
    <cellStyle name="표준 4 4 3 2 2 2 3" xfId="46290"/>
    <cellStyle name="표준 4 4 3 2 2 2 4" xfId="46291"/>
    <cellStyle name="표준 4 4 3 2 2 2 5" xfId="46292"/>
    <cellStyle name="표준 4 4 3 2 2 3" xfId="46293"/>
    <cellStyle name="표준 4 4 3 2 2 3 2" xfId="46294"/>
    <cellStyle name="표준 4 4 3 2 2 3 3" xfId="46295"/>
    <cellStyle name="표준 4 4 3 2 2 4" xfId="46296"/>
    <cellStyle name="표준 4 4 3 2 2 5" xfId="46297"/>
    <cellStyle name="표준 4 4 3 2 2 6" xfId="46298"/>
    <cellStyle name="표준 4 4 3 2 3" xfId="46299"/>
    <cellStyle name="표준 4 4 3 2 3 2" xfId="46300"/>
    <cellStyle name="표준 4 4 3 2 3 2 2" xfId="46301"/>
    <cellStyle name="표준 4 4 3 2 3 2 2 2" xfId="46302"/>
    <cellStyle name="표준 4 4 3 2 3 2 2 3" xfId="46303"/>
    <cellStyle name="표준 4 4 3 2 3 2 3" xfId="46304"/>
    <cellStyle name="표준 4 4 3 2 3 2 4" xfId="46305"/>
    <cellStyle name="표준 4 4 3 2 3 2 5" xfId="46306"/>
    <cellStyle name="표준 4 4 3 2 3 3" xfId="46307"/>
    <cellStyle name="표준 4 4 3 2 4" xfId="46308"/>
    <cellStyle name="표준 4 4 3 2 4 2" xfId="46309"/>
    <cellStyle name="표준 4 4 3 2 4 2 2" xfId="46310"/>
    <cellStyle name="표준 4 4 3 2 4 2 2 2" xfId="46311"/>
    <cellStyle name="표준 4 4 3 2 4 2 2 3" xfId="46312"/>
    <cellStyle name="표준 4 4 3 2 4 2 3" xfId="46313"/>
    <cellStyle name="표준 4 4 3 2 4 2 4" xfId="46314"/>
    <cellStyle name="표준 4 4 3 2 4 2 5" xfId="46315"/>
    <cellStyle name="표준 4 4 3 2 4 3" xfId="46316"/>
    <cellStyle name="표준 4 4 3 2 5" xfId="46317"/>
    <cellStyle name="표준 4 4 3 2 6" xfId="46318"/>
    <cellStyle name="표준 4 4 3 2 7" xfId="46319"/>
    <cellStyle name="표준 4 4 3 2 8" xfId="46320"/>
    <cellStyle name="표준 4 4 3 2 9" xfId="46321"/>
    <cellStyle name="표준 4 4 3 20" xfId="46322"/>
    <cellStyle name="표준 4 4 3 3" xfId="46323"/>
    <cellStyle name="표준 4 4 3 3 2" xfId="46324"/>
    <cellStyle name="표준 4 4 3 3 2 2" xfId="46325"/>
    <cellStyle name="표준 4 4 3 3 2 2 2" xfId="46326"/>
    <cellStyle name="표준 4 4 3 3 2 2 3" xfId="46327"/>
    <cellStyle name="표준 4 4 3 3 2 3" xfId="46328"/>
    <cellStyle name="표준 4 4 3 3 2 4" xfId="46329"/>
    <cellStyle name="표준 4 4 3 3 2 5" xfId="46330"/>
    <cellStyle name="표준 4 4 3 3 3" xfId="46331"/>
    <cellStyle name="표준 4 4 3 3 3 2" xfId="46332"/>
    <cellStyle name="표준 4 4 3 3 3 3" xfId="46333"/>
    <cellStyle name="표준 4 4 3 3 4" xfId="46334"/>
    <cellStyle name="표준 4 4 3 3 5" xfId="46335"/>
    <cellStyle name="표준 4 4 3 3 6" xfId="46336"/>
    <cellStyle name="표준 4 4 3 4" xfId="46337"/>
    <cellStyle name="표준 4 4 3 4 2" xfId="46338"/>
    <cellStyle name="표준 4 4 3 4 2 2" xfId="46339"/>
    <cellStyle name="표준 4 4 3 4 2 2 2" xfId="46340"/>
    <cellStyle name="표준 4 4 3 4 2 2 3" xfId="46341"/>
    <cellStyle name="표준 4 4 3 4 2 3" xfId="46342"/>
    <cellStyle name="표준 4 4 3 4 2 4" xfId="46343"/>
    <cellStyle name="표준 4 4 3 4 2 5" xfId="46344"/>
    <cellStyle name="표준 4 4 3 4 3" xfId="46345"/>
    <cellStyle name="표준 4 4 3 5" xfId="46346"/>
    <cellStyle name="표준 4 4 3 5 2" xfId="46347"/>
    <cellStyle name="표준 4 4 3 5 2 2" xfId="46348"/>
    <cellStyle name="표준 4 4 3 5 2 2 2" xfId="46349"/>
    <cellStyle name="표준 4 4 3 5 2 2 3" xfId="46350"/>
    <cellStyle name="표준 4 4 3 5 2 3" xfId="46351"/>
    <cellStyle name="표준 4 4 3 5 2 4" xfId="46352"/>
    <cellStyle name="표준 4 4 3 5 2 5" xfId="46353"/>
    <cellStyle name="표준 4 4 3 5 3" xfId="46354"/>
    <cellStyle name="표준 4 4 3 6" xfId="46355"/>
    <cellStyle name="표준 4 4 3 7" xfId="46356"/>
    <cellStyle name="표준 4 4 3 8" xfId="46357"/>
    <cellStyle name="표준 4 4 3 9" xfId="46358"/>
    <cellStyle name="표준 4 4 4" xfId="46359"/>
    <cellStyle name="표준 4 4 4 10" xfId="46360"/>
    <cellStyle name="표준 4 4 4 11" xfId="46361"/>
    <cellStyle name="표준 4 4 4 12" xfId="46362"/>
    <cellStyle name="표준 4 4 4 13" xfId="46363"/>
    <cellStyle name="표준 4 4 4 14" xfId="46364"/>
    <cellStyle name="표준 4 4 4 15" xfId="46365"/>
    <cellStyle name="표준 4 4 4 16" xfId="46366"/>
    <cellStyle name="표준 4 4 4 17" xfId="46367"/>
    <cellStyle name="표준 4 4 4 17 2" xfId="46368"/>
    <cellStyle name="표준 4 4 4 17 3" xfId="46369"/>
    <cellStyle name="표준 4 4 4 18" xfId="46370"/>
    <cellStyle name="표준 4 4 4 19" xfId="46371"/>
    <cellStyle name="표준 4 4 4 2" xfId="46372"/>
    <cellStyle name="표준 4 4 4 2 10" xfId="46373"/>
    <cellStyle name="표준 4 4 4 2 11" xfId="46374"/>
    <cellStyle name="표준 4 4 4 2 12" xfId="46375"/>
    <cellStyle name="표준 4 4 4 2 13" xfId="46376"/>
    <cellStyle name="표준 4 4 4 2 14" xfId="46377"/>
    <cellStyle name="표준 4 4 4 2 15" xfId="46378"/>
    <cellStyle name="표준 4 4 4 2 16" xfId="46379"/>
    <cellStyle name="표준 4 4 4 2 16 2" xfId="46380"/>
    <cellStyle name="표준 4 4 4 2 16 3" xfId="46381"/>
    <cellStyle name="표준 4 4 4 2 17" xfId="46382"/>
    <cellStyle name="표준 4 4 4 2 18" xfId="46383"/>
    <cellStyle name="표준 4 4 4 2 19" xfId="46384"/>
    <cellStyle name="표준 4 4 4 2 2" xfId="46385"/>
    <cellStyle name="표준 4 4 4 2 2 2" xfId="46386"/>
    <cellStyle name="표준 4 4 4 2 2 2 2" xfId="46387"/>
    <cellStyle name="표준 4 4 4 2 2 2 2 2" xfId="46388"/>
    <cellStyle name="표준 4 4 4 2 2 2 2 3" xfId="46389"/>
    <cellStyle name="표준 4 4 4 2 2 2 3" xfId="46390"/>
    <cellStyle name="표준 4 4 4 2 2 2 4" xfId="46391"/>
    <cellStyle name="표준 4 4 4 2 2 2 5" xfId="46392"/>
    <cellStyle name="표준 4 4 4 2 2 3" xfId="46393"/>
    <cellStyle name="표준 4 4 4 2 2 3 2" xfId="46394"/>
    <cellStyle name="표준 4 4 4 2 2 3 3" xfId="46395"/>
    <cellStyle name="표준 4 4 4 2 2 4" xfId="46396"/>
    <cellStyle name="표준 4 4 4 2 2 5" xfId="46397"/>
    <cellStyle name="표준 4 4 4 2 2 6" xfId="46398"/>
    <cellStyle name="표준 4 4 4 2 3" xfId="46399"/>
    <cellStyle name="표준 4 4 4 2 3 2" xfId="46400"/>
    <cellStyle name="표준 4 4 4 2 3 2 2" xfId="46401"/>
    <cellStyle name="표준 4 4 4 2 3 2 2 2" xfId="46402"/>
    <cellStyle name="표준 4 4 4 2 3 2 2 3" xfId="46403"/>
    <cellStyle name="표준 4 4 4 2 3 2 3" xfId="46404"/>
    <cellStyle name="표준 4 4 4 2 3 2 4" xfId="46405"/>
    <cellStyle name="표준 4 4 4 2 3 2 5" xfId="46406"/>
    <cellStyle name="표준 4 4 4 2 3 3" xfId="46407"/>
    <cellStyle name="표준 4 4 4 2 4" xfId="46408"/>
    <cellStyle name="표준 4 4 4 2 4 2" xfId="46409"/>
    <cellStyle name="표준 4 4 4 2 4 2 2" xfId="46410"/>
    <cellStyle name="표준 4 4 4 2 4 2 2 2" xfId="46411"/>
    <cellStyle name="표준 4 4 4 2 4 2 2 3" xfId="46412"/>
    <cellStyle name="표준 4 4 4 2 4 2 3" xfId="46413"/>
    <cellStyle name="표준 4 4 4 2 4 2 4" xfId="46414"/>
    <cellStyle name="표준 4 4 4 2 4 2 5" xfId="46415"/>
    <cellStyle name="표준 4 4 4 2 4 3" xfId="46416"/>
    <cellStyle name="표준 4 4 4 2 5" xfId="46417"/>
    <cellStyle name="표준 4 4 4 2 6" xfId="46418"/>
    <cellStyle name="표준 4 4 4 2 7" xfId="46419"/>
    <cellStyle name="표준 4 4 4 2 8" xfId="46420"/>
    <cellStyle name="표준 4 4 4 2 9" xfId="46421"/>
    <cellStyle name="표준 4 4 4 20" xfId="46422"/>
    <cellStyle name="표준 4 4 4 3" xfId="46423"/>
    <cellStyle name="표준 4 4 4 3 2" xfId="46424"/>
    <cellStyle name="표준 4 4 4 3 2 2" xfId="46425"/>
    <cellStyle name="표준 4 4 4 3 2 2 2" xfId="46426"/>
    <cellStyle name="표준 4 4 4 3 2 2 3" xfId="46427"/>
    <cellStyle name="표준 4 4 4 3 2 3" xfId="46428"/>
    <cellStyle name="표준 4 4 4 3 2 4" xfId="46429"/>
    <cellStyle name="표준 4 4 4 3 2 5" xfId="46430"/>
    <cellStyle name="표준 4 4 4 3 3" xfId="46431"/>
    <cellStyle name="표준 4 4 4 3 3 2" xfId="46432"/>
    <cellStyle name="표준 4 4 4 3 3 3" xfId="46433"/>
    <cellStyle name="표준 4 4 4 3 4" xfId="46434"/>
    <cellStyle name="표준 4 4 4 3 5" xfId="46435"/>
    <cellStyle name="표준 4 4 4 3 6" xfId="46436"/>
    <cellStyle name="표준 4 4 4 4" xfId="46437"/>
    <cellStyle name="표준 4 4 4 4 2" xfId="46438"/>
    <cellStyle name="표준 4 4 4 4 2 2" xfId="46439"/>
    <cellStyle name="표준 4 4 4 4 2 2 2" xfId="46440"/>
    <cellStyle name="표준 4 4 4 4 2 2 3" xfId="46441"/>
    <cellStyle name="표준 4 4 4 4 2 3" xfId="46442"/>
    <cellStyle name="표준 4 4 4 4 2 4" xfId="46443"/>
    <cellStyle name="표준 4 4 4 4 2 5" xfId="46444"/>
    <cellStyle name="표준 4 4 4 4 3" xfId="46445"/>
    <cellStyle name="표준 4 4 4 5" xfId="46446"/>
    <cellStyle name="표준 4 4 4 5 2" xfId="46447"/>
    <cellStyle name="표준 4 4 4 5 2 2" xfId="46448"/>
    <cellStyle name="표준 4 4 4 5 2 2 2" xfId="46449"/>
    <cellStyle name="표준 4 4 4 5 2 2 3" xfId="46450"/>
    <cellStyle name="표준 4 4 4 5 2 3" xfId="46451"/>
    <cellStyle name="표준 4 4 4 5 2 4" xfId="46452"/>
    <cellStyle name="표준 4 4 4 5 2 5" xfId="46453"/>
    <cellStyle name="표준 4 4 4 5 3" xfId="46454"/>
    <cellStyle name="표준 4 4 4 6" xfId="46455"/>
    <cellStyle name="표준 4 4 4 7" xfId="46456"/>
    <cellStyle name="표준 4 4 4 8" xfId="46457"/>
    <cellStyle name="표준 4 4 4 9" xfId="46458"/>
    <cellStyle name="표준 4 4 5" xfId="46459"/>
    <cellStyle name="표준 4 4 5 10" xfId="46460"/>
    <cellStyle name="표준 4 4 5 11" xfId="46461"/>
    <cellStyle name="표준 4 4 5 12" xfId="46462"/>
    <cellStyle name="표준 4 4 5 13" xfId="46463"/>
    <cellStyle name="표준 4 4 5 14" xfId="46464"/>
    <cellStyle name="표준 4 4 5 15" xfId="46465"/>
    <cellStyle name="표준 4 4 5 16" xfId="46466"/>
    <cellStyle name="표준 4 4 5 16 2" xfId="46467"/>
    <cellStyle name="표준 4 4 5 16 3" xfId="46468"/>
    <cellStyle name="표준 4 4 5 17" xfId="46469"/>
    <cellStyle name="표준 4 4 5 18" xfId="46470"/>
    <cellStyle name="표준 4 4 5 19" xfId="46471"/>
    <cellStyle name="표준 4 4 5 2" xfId="46472"/>
    <cellStyle name="표준 4 4 5 2 2" xfId="46473"/>
    <cellStyle name="표준 4 4 5 2 2 2" xfId="46474"/>
    <cellStyle name="표준 4 4 5 2 2 2 2" xfId="46475"/>
    <cellStyle name="표준 4 4 5 2 2 2 3" xfId="46476"/>
    <cellStyle name="표준 4 4 5 2 2 3" xfId="46477"/>
    <cellStyle name="표준 4 4 5 2 2 4" xfId="46478"/>
    <cellStyle name="표준 4 4 5 2 2 5" xfId="46479"/>
    <cellStyle name="표준 4 4 5 2 3" xfId="46480"/>
    <cellStyle name="표준 4 4 5 2 3 2" xfId="46481"/>
    <cellStyle name="표준 4 4 5 2 3 3" xfId="46482"/>
    <cellStyle name="표준 4 4 5 2 4" xfId="46483"/>
    <cellStyle name="표준 4 4 5 2 5" xfId="46484"/>
    <cellStyle name="표준 4 4 5 2 6" xfId="46485"/>
    <cellStyle name="표준 4 4 5 3" xfId="46486"/>
    <cellStyle name="표준 4 4 5 3 2" xfId="46487"/>
    <cellStyle name="표준 4 4 5 3 2 2" xfId="46488"/>
    <cellStyle name="표준 4 4 5 3 2 2 2" xfId="46489"/>
    <cellStyle name="표준 4 4 5 3 2 2 3" xfId="46490"/>
    <cellStyle name="표준 4 4 5 3 2 3" xfId="46491"/>
    <cellStyle name="표준 4 4 5 3 2 4" xfId="46492"/>
    <cellStyle name="표준 4 4 5 3 2 5" xfId="46493"/>
    <cellStyle name="표준 4 4 5 3 3" xfId="46494"/>
    <cellStyle name="표준 4 4 5 4" xfId="46495"/>
    <cellStyle name="표준 4 4 5 4 2" xfId="46496"/>
    <cellStyle name="표준 4 4 5 4 2 2" xfId="46497"/>
    <cellStyle name="표준 4 4 5 4 2 2 2" xfId="46498"/>
    <cellStyle name="표준 4 4 5 4 2 2 3" xfId="46499"/>
    <cellStyle name="표준 4 4 5 4 2 3" xfId="46500"/>
    <cellStyle name="표준 4 4 5 4 2 4" xfId="46501"/>
    <cellStyle name="표준 4 4 5 4 2 5" xfId="46502"/>
    <cellStyle name="표준 4 4 5 4 3" xfId="46503"/>
    <cellStyle name="표준 4 4 5 5" xfId="46504"/>
    <cellStyle name="표준 4 4 5 6" xfId="46505"/>
    <cellStyle name="표준 4 4 5 7" xfId="46506"/>
    <cellStyle name="표준 4 4 5 8" xfId="46507"/>
    <cellStyle name="표준 4 4 5 9" xfId="46508"/>
    <cellStyle name="표준 4 4 6" xfId="46509"/>
    <cellStyle name="표준 4 4 6 2" xfId="46510"/>
    <cellStyle name="표준 4 4 6 2 2" xfId="46511"/>
    <cellStyle name="표준 4 4 6 2 2 2" xfId="46512"/>
    <cellStyle name="표준 4 4 6 2 2 3" xfId="46513"/>
    <cellStyle name="표준 4 4 6 2 3" xfId="46514"/>
    <cellStyle name="표준 4 4 6 2 4" xfId="46515"/>
    <cellStyle name="표준 4 4 6 2 5" xfId="46516"/>
    <cellStyle name="표준 4 4 6 3" xfId="46517"/>
    <cellStyle name="표준 4 4 6 3 2" xfId="46518"/>
    <cellStyle name="표준 4 4 6 3 3" xfId="46519"/>
    <cellStyle name="표준 4 4 6 4" xfId="46520"/>
    <cellStyle name="표준 4 4 6 5" xfId="46521"/>
    <cellStyle name="표준 4 4 6 6" xfId="46522"/>
    <cellStyle name="표준 4 4 7" xfId="46523"/>
    <cellStyle name="표준 4 4 7 2" xfId="46524"/>
    <cellStyle name="표준 4 4 7 2 2" xfId="46525"/>
    <cellStyle name="표준 4 4 7 2 2 2" xfId="46526"/>
    <cellStyle name="표준 4 4 7 2 2 3" xfId="46527"/>
    <cellStyle name="표준 4 4 7 2 3" xfId="46528"/>
    <cellStyle name="표준 4 4 7 2 4" xfId="46529"/>
    <cellStyle name="표준 4 4 7 2 5" xfId="46530"/>
    <cellStyle name="표준 4 4 7 3" xfId="46531"/>
    <cellStyle name="표준 4 4 8" xfId="46532"/>
    <cellStyle name="표준 4 4 8 2" xfId="46533"/>
    <cellStyle name="표준 4 4 8 2 2" xfId="46534"/>
    <cellStyle name="표준 4 4 8 2 2 2" xfId="46535"/>
    <cellStyle name="표준 4 4 8 2 2 3" xfId="46536"/>
    <cellStyle name="표준 4 4 8 2 3" xfId="46537"/>
    <cellStyle name="표준 4 4 8 2 4" xfId="46538"/>
    <cellStyle name="표준 4 4 8 2 5" xfId="46539"/>
    <cellStyle name="표준 4 4 8 3" xfId="46540"/>
    <cellStyle name="표준 4 4 9" xfId="46541"/>
    <cellStyle name="표준 4 5" xfId="46542"/>
    <cellStyle name="표준 4 5 10" xfId="46543"/>
    <cellStyle name="표준 4 5 11" xfId="46544"/>
    <cellStyle name="표준 4 5 12" xfId="46545"/>
    <cellStyle name="표준 4 5 13" xfId="46546"/>
    <cellStyle name="표준 4 5 14" xfId="46547"/>
    <cellStyle name="표준 4 5 15" xfId="46548"/>
    <cellStyle name="표준 4 5 16" xfId="46549"/>
    <cellStyle name="표준 4 5 17" xfId="46550"/>
    <cellStyle name="표준 4 5 18" xfId="46551"/>
    <cellStyle name="표준 4 5 19" xfId="46552"/>
    <cellStyle name="표준 4 5 19 2" xfId="46553"/>
    <cellStyle name="표준 4 5 19 3" xfId="46554"/>
    <cellStyle name="표준 4 5 2" xfId="46555"/>
    <cellStyle name="표준 4 5 2 10" xfId="46556"/>
    <cellStyle name="표준 4 5 2 11" xfId="46557"/>
    <cellStyle name="표준 4 5 2 12" xfId="46558"/>
    <cellStyle name="표준 4 5 2 13" xfId="46559"/>
    <cellStyle name="표준 4 5 2 14" xfId="46560"/>
    <cellStyle name="표준 4 5 2 15" xfId="46561"/>
    <cellStyle name="표준 4 5 2 16" xfId="46562"/>
    <cellStyle name="표준 4 5 2 17" xfId="46563"/>
    <cellStyle name="표준 4 5 2 17 2" xfId="46564"/>
    <cellStyle name="표준 4 5 2 17 3" xfId="46565"/>
    <cellStyle name="표준 4 5 2 18" xfId="46566"/>
    <cellStyle name="표준 4 5 2 19" xfId="46567"/>
    <cellStyle name="표준 4 5 2 2" xfId="46568"/>
    <cellStyle name="표준 4 5 2 2 10" xfId="46569"/>
    <cellStyle name="표준 4 5 2 2 11" xfId="46570"/>
    <cellStyle name="표준 4 5 2 2 12" xfId="46571"/>
    <cellStyle name="표준 4 5 2 2 13" xfId="46572"/>
    <cellStyle name="표준 4 5 2 2 14" xfId="46573"/>
    <cellStyle name="표준 4 5 2 2 15" xfId="46574"/>
    <cellStyle name="표준 4 5 2 2 16" xfId="46575"/>
    <cellStyle name="표준 4 5 2 2 16 2" xfId="46576"/>
    <cellStyle name="표준 4 5 2 2 16 3" xfId="46577"/>
    <cellStyle name="표준 4 5 2 2 17" xfId="46578"/>
    <cellStyle name="표준 4 5 2 2 18" xfId="46579"/>
    <cellStyle name="표준 4 5 2 2 19" xfId="46580"/>
    <cellStyle name="표준 4 5 2 2 2" xfId="46581"/>
    <cellStyle name="표준 4 5 2 2 2 2" xfId="46582"/>
    <cellStyle name="표준 4 5 2 2 2 2 2" xfId="46583"/>
    <cellStyle name="표준 4 5 2 2 2 2 2 2" xfId="46584"/>
    <cellStyle name="표준 4 5 2 2 2 2 2 3" xfId="46585"/>
    <cellStyle name="표준 4 5 2 2 2 2 3" xfId="46586"/>
    <cellStyle name="표준 4 5 2 2 2 2 4" xfId="46587"/>
    <cellStyle name="표준 4 5 2 2 2 2 5" xfId="46588"/>
    <cellStyle name="표준 4 5 2 2 2 3" xfId="46589"/>
    <cellStyle name="표준 4 5 2 2 2 3 2" xfId="46590"/>
    <cellStyle name="표준 4 5 2 2 2 3 3" xfId="46591"/>
    <cellStyle name="표준 4 5 2 2 2 4" xfId="46592"/>
    <cellStyle name="표준 4 5 2 2 2 5" xfId="46593"/>
    <cellStyle name="표준 4 5 2 2 2 6" xfId="46594"/>
    <cellStyle name="표준 4 5 2 2 3" xfId="46595"/>
    <cellStyle name="표준 4 5 2 2 3 2" xfId="46596"/>
    <cellStyle name="표준 4 5 2 2 3 2 2" xfId="46597"/>
    <cellStyle name="표준 4 5 2 2 3 2 2 2" xfId="46598"/>
    <cellStyle name="표준 4 5 2 2 3 2 2 3" xfId="46599"/>
    <cellStyle name="표준 4 5 2 2 3 2 3" xfId="46600"/>
    <cellStyle name="표준 4 5 2 2 3 2 4" xfId="46601"/>
    <cellStyle name="표준 4 5 2 2 3 2 5" xfId="46602"/>
    <cellStyle name="표준 4 5 2 2 3 3" xfId="46603"/>
    <cellStyle name="표준 4 5 2 2 4" xfId="46604"/>
    <cellStyle name="표준 4 5 2 2 4 2" xfId="46605"/>
    <cellStyle name="표준 4 5 2 2 4 2 2" xfId="46606"/>
    <cellStyle name="표준 4 5 2 2 4 2 2 2" xfId="46607"/>
    <cellStyle name="표준 4 5 2 2 4 2 2 3" xfId="46608"/>
    <cellStyle name="표준 4 5 2 2 4 2 3" xfId="46609"/>
    <cellStyle name="표준 4 5 2 2 4 2 4" xfId="46610"/>
    <cellStyle name="표준 4 5 2 2 4 2 5" xfId="46611"/>
    <cellStyle name="표준 4 5 2 2 4 3" xfId="46612"/>
    <cellStyle name="표준 4 5 2 2 5" xfId="46613"/>
    <cellStyle name="표준 4 5 2 2 6" xfId="46614"/>
    <cellStyle name="표준 4 5 2 2 7" xfId="46615"/>
    <cellStyle name="표준 4 5 2 2 8" xfId="46616"/>
    <cellStyle name="표준 4 5 2 2 9" xfId="46617"/>
    <cellStyle name="표준 4 5 2 20" xfId="46618"/>
    <cellStyle name="표준 4 5 2 3" xfId="46619"/>
    <cellStyle name="표준 4 5 2 3 2" xfId="46620"/>
    <cellStyle name="표준 4 5 2 3 2 2" xfId="46621"/>
    <cellStyle name="표준 4 5 2 3 2 2 2" xfId="46622"/>
    <cellStyle name="표준 4 5 2 3 2 2 3" xfId="46623"/>
    <cellStyle name="표준 4 5 2 3 2 3" xfId="46624"/>
    <cellStyle name="표준 4 5 2 3 2 4" xfId="46625"/>
    <cellStyle name="표준 4 5 2 3 2 5" xfId="46626"/>
    <cellStyle name="표준 4 5 2 3 3" xfId="46627"/>
    <cellStyle name="표준 4 5 2 3 3 2" xfId="46628"/>
    <cellStyle name="표준 4 5 2 3 3 3" xfId="46629"/>
    <cellStyle name="표준 4 5 2 3 4" xfId="46630"/>
    <cellStyle name="표준 4 5 2 3 5" xfId="46631"/>
    <cellStyle name="표준 4 5 2 3 6" xfId="46632"/>
    <cellStyle name="표준 4 5 2 4" xfId="46633"/>
    <cellStyle name="표준 4 5 2 4 2" xfId="46634"/>
    <cellStyle name="표준 4 5 2 4 2 2" xfId="46635"/>
    <cellStyle name="표준 4 5 2 4 2 2 2" xfId="46636"/>
    <cellStyle name="표준 4 5 2 4 2 2 3" xfId="46637"/>
    <cellStyle name="표준 4 5 2 4 2 3" xfId="46638"/>
    <cellStyle name="표준 4 5 2 4 2 4" xfId="46639"/>
    <cellStyle name="표준 4 5 2 4 2 5" xfId="46640"/>
    <cellStyle name="표준 4 5 2 4 3" xfId="46641"/>
    <cellStyle name="표준 4 5 2 5" xfId="46642"/>
    <cellStyle name="표준 4 5 2 5 2" xfId="46643"/>
    <cellStyle name="표준 4 5 2 5 2 2" xfId="46644"/>
    <cellStyle name="표준 4 5 2 5 2 2 2" xfId="46645"/>
    <cellStyle name="표준 4 5 2 5 2 2 3" xfId="46646"/>
    <cellStyle name="표준 4 5 2 5 2 3" xfId="46647"/>
    <cellStyle name="표준 4 5 2 5 2 4" xfId="46648"/>
    <cellStyle name="표준 4 5 2 5 2 5" xfId="46649"/>
    <cellStyle name="표준 4 5 2 5 3" xfId="46650"/>
    <cellStyle name="표준 4 5 2 6" xfId="46651"/>
    <cellStyle name="표준 4 5 2 7" xfId="46652"/>
    <cellStyle name="표준 4 5 2 8" xfId="46653"/>
    <cellStyle name="표준 4 5 2 9" xfId="46654"/>
    <cellStyle name="표준 4 5 20" xfId="46655"/>
    <cellStyle name="표준 4 5 21" xfId="46656"/>
    <cellStyle name="표준 4 5 22" xfId="46657"/>
    <cellStyle name="표준 4 5 3" xfId="46658"/>
    <cellStyle name="표준 4 5 3 10" xfId="46659"/>
    <cellStyle name="표준 4 5 3 11" xfId="46660"/>
    <cellStyle name="표준 4 5 3 12" xfId="46661"/>
    <cellStyle name="표준 4 5 3 13" xfId="46662"/>
    <cellStyle name="표준 4 5 3 14" xfId="46663"/>
    <cellStyle name="표준 4 5 3 15" xfId="46664"/>
    <cellStyle name="표준 4 5 3 16" xfId="46665"/>
    <cellStyle name="표준 4 5 3 17" xfId="46666"/>
    <cellStyle name="표준 4 5 3 17 2" xfId="46667"/>
    <cellStyle name="표준 4 5 3 17 3" xfId="46668"/>
    <cellStyle name="표준 4 5 3 18" xfId="46669"/>
    <cellStyle name="표준 4 5 3 19" xfId="46670"/>
    <cellStyle name="표준 4 5 3 2" xfId="46671"/>
    <cellStyle name="표준 4 5 3 2 10" xfId="46672"/>
    <cellStyle name="표준 4 5 3 2 11" xfId="46673"/>
    <cellStyle name="표준 4 5 3 2 12" xfId="46674"/>
    <cellStyle name="표준 4 5 3 2 13" xfId="46675"/>
    <cellStyle name="표준 4 5 3 2 14" xfId="46676"/>
    <cellStyle name="표준 4 5 3 2 15" xfId="46677"/>
    <cellStyle name="표준 4 5 3 2 16" xfId="46678"/>
    <cellStyle name="표준 4 5 3 2 16 2" xfId="46679"/>
    <cellStyle name="표준 4 5 3 2 16 3" xfId="46680"/>
    <cellStyle name="표준 4 5 3 2 17" xfId="46681"/>
    <cellStyle name="표준 4 5 3 2 18" xfId="46682"/>
    <cellStyle name="표준 4 5 3 2 19" xfId="46683"/>
    <cellStyle name="표준 4 5 3 2 2" xfId="46684"/>
    <cellStyle name="표준 4 5 3 2 2 2" xfId="46685"/>
    <cellStyle name="표준 4 5 3 2 2 2 2" xfId="46686"/>
    <cellStyle name="표준 4 5 3 2 2 2 2 2" xfId="46687"/>
    <cellStyle name="표준 4 5 3 2 2 2 2 3" xfId="46688"/>
    <cellStyle name="표준 4 5 3 2 2 2 3" xfId="46689"/>
    <cellStyle name="표준 4 5 3 2 2 2 4" xfId="46690"/>
    <cellStyle name="표준 4 5 3 2 2 2 5" xfId="46691"/>
    <cellStyle name="표준 4 5 3 2 2 3" xfId="46692"/>
    <cellStyle name="표준 4 5 3 2 2 3 2" xfId="46693"/>
    <cellStyle name="표준 4 5 3 2 2 3 3" xfId="46694"/>
    <cellStyle name="표준 4 5 3 2 2 4" xfId="46695"/>
    <cellStyle name="표준 4 5 3 2 2 5" xfId="46696"/>
    <cellStyle name="표준 4 5 3 2 2 6" xfId="46697"/>
    <cellStyle name="표준 4 5 3 2 3" xfId="46698"/>
    <cellStyle name="표준 4 5 3 2 3 2" xfId="46699"/>
    <cellStyle name="표준 4 5 3 2 3 2 2" xfId="46700"/>
    <cellStyle name="표준 4 5 3 2 3 2 2 2" xfId="46701"/>
    <cellStyle name="표준 4 5 3 2 3 2 2 3" xfId="46702"/>
    <cellStyle name="표준 4 5 3 2 3 2 3" xfId="46703"/>
    <cellStyle name="표준 4 5 3 2 3 2 4" xfId="46704"/>
    <cellStyle name="표준 4 5 3 2 3 2 5" xfId="46705"/>
    <cellStyle name="표준 4 5 3 2 3 3" xfId="46706"/>
    <cellStyle name="표준 4 5 3 2 4" xfId="46707"/>
    <cellStyle name="표준 4 5 3 2 4 2" xfId="46708"/>
    <cellStyle name="표준 4 5 3 2 4 2 2" xfId="46709"/>
    <cellStyle name="표준 4 5 3 2 4 2 2 2" xfId="46710"/>
    <cellStyle name="표준 4 5 3 2 4 2 2 3" xfId="46711"/>
    <cellStyle name="표준 4 5 3 2 4 2 3" xfId="46712"/>
    <cellStyle name="표준 4 5 3 2 4 2 4" xfId="46713"/>
    <cellStyle name="표준 4 5 3 2 4 2 5" xfId="46714"/>
    <cellStyle name="표준 4 5 3 2 4 3" xfId="46715"/>
    <cellStyle name="표준 4 5 3 2 5" xfId="46716"/>
    <cellStyle name="표준 4 5 3 2 6" xfId="46717"/>
    <cellStyle name="표준 4 5 3 2 7" xfId="46718"/>
    <cellStyle name="표준 4 5 3 2 8" xfId="46719"/>
    <cellStyle name="표준 4 5 3 2 9" xfId="46720"/>
    <cellStyle name="표준 4 5 3 20" xfId="46721"/>
    <cellStyle name="표준 4 5 3 3" xfId="46722"/>
    <cellStyle name="표준 4 5 3 3 2" xfId="46723"/>
    <cellStyle name="표준 4 5 3 3 2 2" xfId="46724"/>
    <cellStyle name="표준 4 5 3 3 2 2 2" xfId="46725"/>
    <cellStyle name="표준 4 5 3 3 2 2 3" xfId="46726"/>
    <cellStyle name="표준 4 5 3 3 2 3" xfId="46727"/>
    <cellStyle name="표준 4 5 3 3 2 4" xfId="46728"/>
    <cellStyle name="표준 4 5 3 3 2 5" xfId="46729"/>
    <cellStyle name="표준 4 5 3 3 3" xfId="46730"/>
    <cellStyle name="표준 4 5 3 3 3 2" xfId="46731"/>
    <cellStyle name="표준 4 5 3 3 3 3" xfId="46732"/>
    <cellStyle name="표준 4 5 3 3 4" xfId="46733"/>
    <cellStyle name="표준 4 5 3 3 5" xfId="46734"/>
    <cellStyle name="표준 4 5 3 3 6" xfId="46735"/>
    <cellStyle name="표준 4 5 3 4" xfId="46736"/>
    <cellStyle name="표준 4 5 3 4 2" xfId="46737"/>
    <cellStyle name="표준 4 5 3 4 2 2" xfId="46738"/>
    <cellStyle name="표준 4 5 3 4 2 2 2" xfId="46739"/>
    <cellStyle name="표준 4 5 3 4 2 2 3" xfId="46740"/>
    <cellStyle name="표준 4 5 3 4 2 3" xfId="46741"/>
    <cellStyle name="표준 4 5 3 4 2 4" xfId="46742"/>
    <cellStyle name="표준 4 5 3 4 2 5" xfId="46743"/>
    <cellStyle name="표준 4 5 3 4 3" xfId="46744"/>
    <cellStyle name="표준 4 5 3 5" xfId="46745"/>
    <cellStyle name="표준 4 5 3 5 2" xfId="46746"/>
    <cellStyle name="표준 4 5 3 5 2 2" xfId="46747"/>
    <cellStyle name="표준 4 5 3 5 2 2 2" xfId="46748"/>
    <cellStyle name="표준 4 5 3 5 2 2 3" xfId="46749"/>
    <cellStyle name="표준 4 5 3 5 2 3" xfId="46750"/>
    <cellStyle name="표준 4 5 3 5 2 4" xfId="46751"/>
    <cellStyle name="표준 4 5 3 5 2 5" xfId="46752"/>
    <cellStyle name="표준 4 5 3 5 3" xfId="46753"/>
    <cellStyle name="표준 4 5 3 6" xfId="46754"/>
    <cellStyle name="표준 4 5 3 7" xfId="46755"/>
    <cellStyle name="표준 4 5 3 8" xfId="46756"/>
    <cellStyle name="표준 4 5 3 9" xfId="46757"/>
    <cellStyle name="표준 4 5 4" xfId="46758"/>
    <cellStyle name="표준 4 5 4 10" xfId="46759"/>
    <cellStyle name="표준 4 5 4 11" xfId="46760"/>
    <cellStyle name="표준 4 5 4 12" xfId="46761"/>
    <cellStyle name="표준 4 5 4 13" xfId="46762"/>
    <cellStyle name="표준 4 5 4 14" xfId="46763"/>
    <cellStyle name="표준 4 5 4 15" xfId="46764"/>
    <cellStyle name="표준 4 5 4 16" xfId="46765"/>
    <cellStyle name="표준 4 5 4 16 2" xfId="46766"/>
    <cellStyle name="표준 4 5 4 16 3" xfId="46767"/>
    <cellStyle name="표준 4 5 4 17" xfId="46768"/>
    <cellStyle name="표준 4 5 4 18" xfId="46769"/>
    <cellStyle name="표준 4 5 4 19" xfId="46770"/>
    <cellStyle name="표준 4 5 4 2" xfId="46771"/>
    <cellStyle name="표준 4 5 4 2 2" xfId="46772"/>
    <cellStyle name="표준 4 5 4 2 2 2" xfId="46773"/>
    <cellStyle name="표준 4 5 4 2 2 2 2" xfId="46774"/>
    <cellStyle name="표준 4 5 4 2 2 2 3" xfId="46775"/>
    <cellStyle name="표준 4 5 4 2 2 3" xfId="46776"/>
    <cellStyle name="표준 4 5 4 2 2 4" xfId="46777"/>
    <cellStyle name="표준 4 5 4 2 2 5" xfId="46778"/>
    <cellStyle name="표준 4 5 4 2 3" xfId="46779"/>
    <cellStyle name="표준 4 5 4 2 3 2" xfId="46780"/>
    <cellStyle name="표준 4 5 4 2 3 3" xfId="46781"/>
    <cellStyle name="표준 4 5 4 2 4" xfId="46782"/>
    <cellStyle name="표준 4 5 4 2 5" xfId="46783"/>
    <cellStyle name="표준 4 5 4 2 6" xfId="46784"/>
    <cellStyle name="표준 4 5 4 3" xfId="46785"/>
    <cellStyle name="표준 4 5 4 3 2" xfId="46786"/>
    <cellStyle name="표준 4 5 4 3 2 2" xfId="46787"/>
    <cellStyle name="표준 4 5 4 3 2 2 2" xfId="46788"/>
    <cellStyle name="표준 4 5 4 3 2 2 3" xfId="46789"/>
    <cellStyle name="표준 4 5 4 3 2 3" xfId="46790"/>
    <cellStyle name="표준 4 5 4 3 2 4" xfId="46791"/>
    <cellStyle name="표준 4 5 4 3 2 5" xfId="46792"/>
    <cellStyle name="표준 4 5 4 3 3" xfId="46793"/>
    <cellStyle name="표준 4 5 4 4" xfId="46794"/>
    <cellStyle name="표준 4 5 4 4 2" xfId="46795"/>
    <cellStyle name="표준 4 5 4 4 2 2" xfId="46796"/>
    <cellStyle name="표준 4 5 4 4 2 2 2" xfId="46797"/>
    <cellStyle name="표준 4 5 4 4 2 2 3" xfId="46798"/>
    <cellStyle name="표준 4 5 4 4 2 3" xfId="46799"/>
    <cellStyle name="표준 4 5 4 4 2 4" xfId="46800"/>
    <cellStyle name="표준 4 5 4 4 2 5" xfId="46801"/>
    <cellStyle name="표준 4 5 4 4 3" xfId="46802"/>
    <cellStyle name="표준 4 5 4 5" xfId="46803"/>
    <cellStyle name="표준 4 5 4 6" xfId="46804"/>
    <cellStyle name="표준 4 5 4 7" xfId="46805"/>
    <cellStyle name="표준 4 5 4 8" xfId="46806"/>
    <cellStyle name="표준 4 5 4 9" xfId="46807"/>
    <cellStyle name="표준 4 5 5" xfId="46808"/>
    <cellStyle name="표준 4 5 5 2" xfId="46809"/>
    <cellStyle name="표준 4 5 5 2 2" xfId="46810"/>
    <cellStyle name="표준 4 5 5 2 2 2" xfId="46811"/>
    <cellStyle name="표준 4 5 5 2 2 3" xfId="46812"/>
    <cellStyle name="표준 4 5 5 2 3" xfId="46813"/>
    <cellStyle name="표준 4 5 5 2 4" xfId="46814"/>
    <cellStyle name="표준 4 5 5 2 5" xfId="46815"/>
    <cellStyle name="표준 4 5 5 3" xfId="46816"/>
    <cellStyle name="표준 4 5 5 3 2" xfId="46817"/>
    <cellStyle name="표준 4 5 5 3 3" xfId="46818"/>
    <cellStyle name="표준 4 5 5 4" xfId="46819"/>
    <cellStyle name="표준 4 5 5 5" xfId="46820"/>
    <cellStyle name="표준 4 5 5 6" xfId="46821"/>
    <cellStyle name="표준 4 5 6" xfId="46822"/>
    <cellStyle name="표준 4 5 6 2" xfId="46823"/>
    <cellStyle name="표준 4 5 6 2 2" xfId="46824"/>
    <cellStyle name="표준 4 5 6 2 2 2" xfId="46825"/>
    <cellStyle name="표준 4 5 6 2 2 3" xfId="46826"/>
    <cellStyle name="표준 4 5 6 2 3" xfId="46827"/>
    <cellStyle name="표준 4 5 6 2 4" xfId="46828"/>
    <cellStyle name="표준 4 5 6 2 5" xfId="46829"/>
    <cellStyle name="표준 4 5 6 3" xfId="46830"/>
    <cellStyle name="표준 4 5 7" xfId="46831"/>
    <cellStyle name="표준 4 5 7 2" xfId="46832"/>
    <cellStyle name="표준 4 5 7 2 2" xfId="46833"/>
    <cellStyle name="표준 4 5 7 2 2 2" xfId="46834"/>
    <cellStyle name="표준 4 5 7 2 2 3" xfId="46835"/>
    <cellStyle name="표준 4 5 7 2 3" xfId="46836"/>
    <cellStyle name="표준 4 5 7 2 4" xfId="46837"/>
    <cellStyle name="표준 4 5 7 2 5" xfId="46838"/>
    <cellStyle name="표준 4 5 7 3" xfId="46839"/>
    <cellStyle name="표준 4 5 8" xfId="46840"/>
    <cellStyle name="표준 4 5 9" xfId="46841"/>
    <cellStyle name="표준 4 6" xfId="46842"/>
    <cellStyle name="표준 4 6 10" xfId="46843"/>
    <cellStyle name="표준 4 6 11" xfId="46844"/>
    <cellStyle name="표준 4 6 12" xfId="46845"/>
    <cellStyle name="표준 4 6 13" xfId="46846"/>
    <cellStyle name="표준 4 6 14" xfId="46847"/>
    <cellStyle name="표준 4 6 15" xfId="46848"/>
    <cellStyle name="표준 4 6 16" xfId="46849"/>
    <cellStyle name="표준 4 6 17" xfId="46850"/>
    <cellStyle name="표준 4 6 17 2" xfId="46851"/>
    <cellStyle name="표준 4 6 17 3" xfId="46852"/>
    <cellStyle name="표준 4 6 18" xfId="46853"/>
    <cellStyle name="표준 4 6 19" xfId="46854"/>
    <cellStyle name="표준 4 6 2" xfId="46855"/>
    <cellStyle name="표준 4 6 2 10" xfId="46856"/>
    <cellStyle name="표준 4 6 2 11" xfId="46857"/>
    <cellStyle name="표준 4 6 2 12" xfId="46858"/>
    <cellStyle name="표준 4 6 2 13" xfId="46859"/>
    <cellStyle name="표준 4 6 2 14" xfId="46860"/>
    <cellStyle name="표준 4 6 2 15" xfId="46861"/>
    <cellStyle name="표준 4 6 2 16" xfId="46862"/>
    <cellStyle name="표준 4 6 2 16 2" xfId="46863"/>
    <cellStyle name="표준 4 6 2 16 3" xfId="46864"/>
    <cellStyle name="표준 4 6 2 17" xfId="46865"/>
    <cellStyle name="표준 4 6 2 18" xfId="46866"/>
    <cellStyle name="표준 4 6 2 19" xfId="46867"/>
    <cellStyle name="표준 4 6 2 2" xfId="46868"/>
    <cellStyle name="표준 4 6 2 2 2" xfId="46869"/>
    <cellStyle name="표준 4 6 2 2 2 2" xfId="46870"/>
    <cellStyle name="표준 4 6 2 2 2 2 2" xfId="46871"/>
    <cellStyle name="표준 4 6 2 2 2 2 3" xfId="46872"/>
    <cellStyle name="표준 4 6 2 2 2 3" xfId="46873"/>
    <cellStyle name="표준 4 6 2 2 2 4" xfId="46874"/>
    <cellStyle name="표준 4 6 2 2 2 5" xfId="46875"/>
    <cellStyle name="표준 4 6 2 2 3" xfId="46876"/>
    <cellStyle name="표준 4 6 2 2 3 2" xfId="46877"/>
    <cellStyle name="표준 4 6 2 2 3 3" xfId="46878"/>
    <cellStyle name="표준 4 6 2 2 4" xfId="46879"/>
    <cellStyle name="표준 4 6 2 2 5" xfId="46880"/>
    <cellStyle name="표준 4 6 2 2 6" xfId="46881"/>
    <cellStyle name="표준 4 6 2 3" xfId="46882"/>
    <cellStyle name="표준 4 6 2 3 2" xfId="46883"/>
    <cellStyle name="표준 4 6 2 3 2 2" xfId="46884"/>
    <cellStyle name="표준 4 6 2 3 2 2 2" xfId="46885"/>
    <cellStyle name="표준 4 6 2 3 2 2 3" xfId="46886"/>
    <cellStyle name="표준 4 6 2 3 2 3" xfId="46887"/>
    <cellStyle name="표준 4 6 2 3 2 4" xfId="46888"/>
    <cellStyle name="표준 4 6 2 3 2 5" xfId="46889"/>
    <cellStyle name="표준 4 6 2 3 3" xfId="46890"/>
    <cellStyle name="표준 4 6 2 4" xfId="46891"/>
    <cellStyle name="표준 4 6 2 4 2" xfId="46892"/>
    <cellStyle name="표준 4 6 2 4 2 2" xfId="46893"/>
    <cellStyle name="표준 4 6 2 4 2 2 2" xfId="46894"/>
    <cellStyle name="표준 4 6 2 4 2 2 3" xfId="46895"/>
    <cellStyle name="표준 4 6 2 4 2 3" xfId="46896"/>
    <cellStyle name="표준 4 6 2 4 2 4" xfId="46897"/>
    <cellStyle name="표준 4 6 2 4 2 5" xfId="46898"/>
    <cellStyle name="표준 4 6 2 4 3" xfId="46899"/>
    <cellStyle name="표준 4 6 2 5" xfId="46900"/>
    <cellStyle name="표준 4 6 2 6" xfId="46901"/>
    <cellStyle name="표준 4 6 2 7" xfId="46902"/>
    <cellStyle name="표준 4 6 2 8" xfId="46903"/>
    <cellStyle name="표준 4 6 2 9" xfId="46904"/>
    <cellStyle name="표준 4 6 20" xfId="46905"/>
    <cellStyle name="표준 4 6 3" xfId="46906"/>
    <cellStyle name="표준 4 6 3 2" xfId="46907"/>
    <cellStyle name="표준 4 6 3 2 2" xfId="46908"/>
    <cellStyle name="표준 4 6 3 2 2 2" xfId="46909"/>
    <cellStyle name="표준 4 6 3 2 2 3" xfId="46910"/>
    <cellStyle name="표준 4 6 3 2 3" xfId="46911"/>
    <cellStyle name="표준 4 6 3 2 4" xfId="46912"/>
    <cellStyle name="표준 4 6 3 2 5" xfId="46913"/>
    <cellStyle name="표준 4 6 3 3" xfId="46914"/>
    <cellStyle name="표준 4 6 3 3 2" xfId="46915"/>
    <cellStyle name="표준 4 6 3 3 3" xfId="46916"/>
    <cellStyle name="표준 4 6 3 4" xfId="46917"/>
    <cellStyle name="표준 4 6 3 5" xfId="46918"/>
    <cellStyle name="표준 4 6 3 6" xfId="46919"/>
    <cellStyle name="표준 4 6 4" xfId="46920"/>
    <cellStyle name="표준 4 6 4 2" xfId="46921"/>
    <cellStyle name="표준 4 6 4 2 2" xfId="46922"/>
    <cellStyle name="표준 4 6 4 2 2 2" xfId="46923"/>
    <cellStyle name="표준 4 6 4 2 2 3" xfId="46924"/>
    <cellStyle name="표준 4 6 4 2 3" xfId="46925"/>
    <cellStyle name="표준 4 6 4 2 4" xfId="46926"/>
    <cellStyle name="표준 4 6 4 2 5" xfId="46927"/>
    <cellStyle name="표준 4 6 4 3" xfId="46928"/>
    <cellStyle name="표준 4 6 5" xfId="46929"/>
    <cellStyle name="표준 4 6 5 2" xfId="46930"/>
    <cellStyle name="표준 4 6 5 2 2" xfId="46931"/>
    <cellStyle name="표준 4 6 5 2 2 2" xfId="46932"/>
    <cellStyle name="표준 4 6 5 2 2 3" xfId="46933"/>
    <cellStyle name="표준 4 6 5 2 3" xfId="46934"/>
    <cellStyle name="표준 4 6 5 2 4" xfId="46935"/>
    <cellStyle name="표준 4 6 5 2 5" xfId="46936"/>
    <cellStyle name="표준 4 6 5 3" xfId="46937"/>
    <cellStyle name="표준 4 6 6" xfId="46938"/>
    <cellStyle name="표준 4 6 7" xfId="46939"/>
    <cellStyle name="표준 4 6 8" xfId="46940"/>
    <cellStyle name="표준 4 6 9" xfId="46941"/>
    <cellStyle name="표준 4 7" xfId="46942"/>
    <cellStyle name="표준 4 7 10" xfId="46943"/>
    <cellStyle name="표준 4 7 11" xfId="46944"/>
    <cellStyle name="표준 4 7 12" xfId="46945"/>
    <cellStyle name="표준 4 7 13" xfId="46946"/>
    <cellStyle name="표준 4 7 14" xfId="46947"/>
    <cellStyle name="표준 4 7 15" xfId="46948"/>
    <cellStyle name="표준 4 7 16" xfId="46949"/>
    <cellStyle name="표준 4 7 17" xfId="46950"/>
    <cellStyle name="표준 4 7 17 2" xfId="46951"/>
    <cellStyle name="표준 4 7 17 3" xfId="46952"/>
    <cellStyle name="표준 4 7 18" xfId="46953"/>
    <cellStyle name="표준 4 7 19" xfId="46954"/>
    <cellStyle name="표준 4 7 2" xfId="46955"/>
    <cellStyle name="표준 4 7 2 10" xfId="46956"/>
    <cellStyle name="표준 4 7 2 11" xfId="46957"/>
    <cellStyle name="표준 4 7 2 12" xfId="46958"/>
    <cellStyle name="표준 4 7 2 13" xfId="46959"/>
    <cellStyle name="표준 4 7 2 14" xfId="46960"/>
    <cellStyle name="표준 4 7 2 15" xfId="46961"/>
    <cellStyle name="표준 4 7 2 16" xfId="46962"/>
    <cellStyle name="표준 4 7 2 16 2" xfId="46963"/>
    <cellStyle name="표준 4 7 2 16 3" xfId="46964"/>
    <cellStyle name="표준 4 7 2 17" xfId="46965"/>
    <cellStyle name="표준 4 7 2 18" xfId="46966"/>
    <cellStyle name="표준 4 7 2 19" xfId="46967"/>
    <cellStyle name="표준 4 7 2 2" xfId="46968"/>
    <cellStyle name="표준 4 7 2 2 2" xfId="46969"/>
    <cellStyle name="표준 4 7 2 2 2 2" xfId="46970"/>
    <cellStyle name="표준 4 7 2 2 2 2 2" xfId="46971"/>
    <cellStyle name="표준 4 7 2 2 2 2 3" xfId="46972"/>
    <cellStyle name="표준 4 7 2 2 2 3" xfId="46973"/>
    <cellStyle name="표준 4 7 2 2 2 4" xfId="46974"/>
    <cellStyle name="표준 4 7 2 2 2 5" xfId="46975"/>
    <cellStyle name="표준 4 7 2 2 3" xfId="46976"/>
    <cellStyle name="표준 4 7 2 2 3 2" xfId="46977"/>
    <cellStyle name="표준 4 7 2 2 3 3" xfId="46978"/>
    <cellStyle name="표준 4 7 2 2 4" xfId="46979"/>
    <cellStyle name="표준 4 7 2 2 5" xfId="46980"/>
    <cellStyle name="표준 4 7 2 2 6" xfId="46981"/>
    <cellStyle name="표준 4 7 2 3" xfId="46982"/>
    <cellStyle name="표준 4 7 2 3 2" xfId="46983"/>
    <cellStyle name="표준 4 7 2 3 2 2" xfId="46984"/>
    <cellStyle name="표준 4 7 2 3 2 2 2" xfId="46985"/>
    <cellStyle name="표준 4 7 2 3 2 2 3" xfId="46986"/>
    <cellStyle name="표준 4 7 2 3 2 3" xfId="46987"/>
    <cellStyle name="표준 4 7 2 3 2 4" xfId="46988"/>
    <cellStyle name="표준 4 7 2 3 2 5" xfId="46989"/>
    <cellStyle name="표준 4 7 2 3 3" xfId="46990"/>
    <cellStyle name="표준 4 7 2 4" xfId="46991"/>
    <cellStyle name="표준 4 7 2 4 2" xfId="46992"/>
    <cellStyle name="표준 4 7 2 4 2 2" xfId="46993"/>
    <cellStyle name="표준 4 7 2 4 2 2 2" xfId="46994"/>
    <cellStyle name="표준 4 7 2 4 2 2 3" xfId="46995"/>
    <cellStyle name="표준 4 7 2 4 2 3" xfId="46996"/>
    <cellStyle name="표준 4 7 2 4 2 4" xfId="46997"/>
    <cellStyle name="표준 4 7 2 4 2 5" xfId="46998"/>
    <cellStyle name="표준 4 7 2 4 3" xfId="46999"/>
    <cellStyle name="표준 4 7 2 5" xfId="47000"/>
    <cellStyle name="표준 4 7 2 6" xfId="47001"/>
    <cellStyle name="표준 4 7 2 7" xfId="47002"/>
    <cellStyle name="표준 4 7 2 8" xfId="47003"/>
    <cellStyle name="표준 4 7 2 9" xfId="47004"/>
    <cellStyle name="표준 4 7 20" xfId="47005"/>
    <cellStyle name="표준 4 7 3" xfId="47006"/>
    <cellStyle name="표준 4 7 3 2" xfId="47007"/>
    <cellStyle name="표준 4 7 3 2 2" xfId="47008"/>
    <cellStyle name="표준 4 7 3 2 2 2" xfId="47009"/>
    <cellStyle name="표준 4 7 3 2 2 3" xfId="47010"/>
    <cellStyle name="표준 4 7 3 2 3" xfId="47011"/>
    <cellStyle name="표준 4 7 3 2 4" xfId="47012"/>
    <cellStyle name="표준 4 7 3 2 5" xfId="47013"/>
    <cellStyle name="표준 4 7 3 3" xfId="47014"/>
    <cellStyle name="표준 4 7 3 3 2" xfId="47015"/>
    <cellStyle name="표준 4 7 3 3 3" xfId="47016"/>
    <cellStyle name="표준 4 7 3 4" xfId="47017"/>
    <cellStyle name="표준 4 7 3 5" xfId="47018"/>
    <cellStyle name="표준 4 7 3 6" xfId="47019"/>
    <cellStyle name="표준 4 7 4" xfId="47020"/>
    <cellStyle name="표준 4 7 4 2" xfId="47021"/>
    <cellStyle name="표준 4 7 4 2 2" xfId="47022"/>
    <cellStyle name="표준 4 7 4 2 2 2" xfId="47023"/>
    <cellStyle name="표준 4 7 4 2 2 3" xfId="47024"/>
    <cellStyle name="표준 4 7 4 2 3" xfId="47025"/>
    <cellStyle name="표준 4 7 4 2 4" xfId="47026"/>
    <cellStyle name="표준 4 7 4 2 5" xfId="47027"/>
    <cellStyle name="표준 4 7 4 3" xfId="47028"/>
    <cellStyle name="표준 4 7 5" xfId="47029"/>
    <cellStyle name="표준 4 7 5 2" xfId="47030"/>
    <cellStyle name="표준 4 7 5 2 2" xfId="47031"/>
    <cellStyle name="표준 4 7 5 2 2 2" xfId="47032"/>
    <cellStyle name="표준 4 7 5 2 2 3" xfId="47033"/>
    <cellStyle name="표준 4 7 5 2 3" xfId="47034"/>
    <cellStyle name="표준 4 7 5 2 4" xfId="47035"/>
    <cellStyle name="표준 4 7 5 2 5" xfId="47036"/>
    <cellStyle name="표준 4 7 5 3" xfId="47037"/>
    <cellStyle name="표준 4 7 6" xfId="47038"/>
    <cellStyle name="표준 4 7 7" xfId="47039"/>
    <cellStyle name="표준 4 7 8" xfId="47040"/>
    <cellStyle name="표준 4 7 9" xfId="47041"/>
    <cellStyle name="표준 4 8" xfId="47042"/>
    <cellStyle name="표준 4 8 10" xfId="47043"/>
    <cellStyle name="표준 4 8 11" xfId="47044"/>
    <cellStyle name="표준 4 8 12" xfId="47045"/>
    <cellStyle name="표준 4 8 13" xfId="47046"/>
    <cellStyle name="표준 4 8 14" xfId="47047"/>
    <cellStyle name="표준 4 8 15" xfId="47048"/>
    <cellStyle name="표준 4 8 16" xfId="47049"/>
    <cellStyle name="표준 4 8 16 2" xfId="47050"/>
    <cellStyle name="표준 4 8 16 3" xfId="47051"/>
    <cellStyle name="표준 4 8 17" xfId="47052"/>
    <cellStyle name="표준 4 8 18" xfId="47053"/>
    <cellStyle name="표준 4 8 19" xfId="47054"/>
    <cellStyle name="표준 4 8 2" xfId="47055"/>
    <cellStyle name="표준 4 8 2 2" xfId="47056"/>
    <cellStyle name="표준 4 8 2 3" xfId="47057"/>
    <cellStyle name="표준 4 8 2 3 2" xfId="47058"/>
    <cellStyle name="표준 4 8 2 3 3" xfId="47059"/>
    <cellStyle name="표준 4 8 2 4" xfId="47060"/>
    <cellStyle name="표준 4 8 2 5" xfId="47061"/>
    <cellStyle name="표준 4 8 2 6" xfId="47062"/>
    <cellStyle name="표준 4 8 3" xfId="47063"/>
    <cellStyle name="표준 4 8 3 2" xfId="47064"/>
    <cellStyle name="표준 4 8 3 2 2" xfId="47065"/>
    <cellStyle name="표준 4 8 3 2 2 2" xfId="47066"/>
    <cellStyle name="표준 4 8 3 2 2 3" xfId="47067"/>
    <cellStyle name="표준 4 8 3 2 3" xfId="47068"/>
    <cellStyle name="표준 4 8 3 2 4" xfId="47069"/>
    <cellStyle name="표준 4 8 3 2 5" xfId="47070"/>
    <cellStyle name="표준 4 8 3 3" xfId="47071"/>
    <cellStyle name="표준 4 8 4" xfId="47072"/>
    <cellStyle name="표준 4 8 4 2" xfId="47073"/>
    <cellStyle name="표준 4 8 4 2 2" xfId="47074"/>
    <cellStyle name="표준 4 8 4 2 2 2" xfId="47075"/>
    <cellStyle name="표준 4 8 4 2 2 3" xfId="47076"/>
    <cellStyle name="표준 4 8 4 2 3" xfId="47077"/>
    <cellStyle name="표준 4 8 4 2 4" xfId="47078"/>
    <cellStyle name="표준 4 8 4 2 5" xfId="47079"/>
    <cellStyle name="표준 4 8 4 3" xfId="47080"/>
    <cellStyle name="표준 4 8 5" xfId="47081"/>
    <cellStyle name="표준 4 8 6" xfId="47082"/>
    <cellStyle name="표준 4 8 7" xfId="47083"/>
    <cellStyle name="표준 4 8 8" xfId="47084"/>
    <cellStyle name="표준 4 8 9" xfId="47085"/>
    <cellStyle name="표준 4 9" xfId="47086"/>
    <cellStyle name="표준 4 9 10" xfId="47087"/>
    <cellStyle name="표준 4 9 11" xfId="47088"/>
    <cellStyle name="표준 4 9 12" xfId="47089"/>
    <cellStyle name="표준 4 9 13" xfId="47090"/>
    <cellStyle name="표준 4 9 14" xfId="47091"/>
    <cellStyle name="표준 4 9 15" xfId="47092"/>
    <cellStyle name="표준 4 9 16" xfId="47093"/>
    <cellStyle name="표준 4 9 16 2" xfId="47094"/>
    <cellStyle name="표준 4 9 16 3" xfId="47095"/>
    <cellStyle name="표준 4 9 17" xfId="47096"/>
    <cellStyle name="표준 4 9 18" xfId="47097"/>
    <cellStyle name="표준 4 9 19" xfId="47098"/>
    <cellStyle name="표준 4 9 2" xfId="47099"/>
    <cellStyle name="표준 4 9 2 2" xfId="47100"/>
    <cellStyle name="표준 4 9 2 2 2" xfId="47101"/>
    <cellStyle name="표준 4 9 2 2 2 2" xfId="47102"/>
    <cellStyle name="표준 4 9 2 2 2 3" xfId="47103"/>
    <cellStyle name="표준 4 9 2 2 3" xfId="47104"/>
    <cellStyle name="표준 4 9 2 2 4" xfId="47105"/>
    <cellStyle name="표준 4 9 2 2 5" xfId="47106"/>
    <cellStyle name="표준 4 9 2 3" xfId="47107"/>
    <cellStyle name="표준 4 9 2 3 2" xfId="47108"/>
    <cellStyle name="표준 4 9 2 3 3" xfId="47109"/>
    <cellStyle name="표준 4 9 2 4" xfId="47110"/>
    <cellStyle name="표준 4 9 2 5" xfId="47111"/>
    <cellStyle name="표준 4 9 2 6" xfId="47112"/>
    <cellStyle name="표준 4 9 3" xfId="47113"/>
    <cellStyle name="표준 4 9 3 2" xfId="47114"/>
    <cellStyle name="표준 4 9 3 2 2" xfId="47115"/>
    <cellStyle name="표준 4 9 3 2 2 2" xfId="47116"/>
    <cellStyle name="표준 4 9 3 2 2 3" xfId="47117"/>
    <cellStyle name="표준 4 9 3 2 3" xfId="47118"/>
    <cellStyle name="표준 4 9 3 2 4" xfId="47119"/>
    <cellStyle name="표준 4 9 3 2 5" xfId="47120"/>
    <cellStyle name="표준 4 9 3 3" xfId="47121"/>
    <cellStyle name="표준 4 9 4" xfId="47122"/>
    <cellStyle name="표준 4 9 4 2" xfId="47123"/>
    <cellStyle name="표준 4 9 4 2 2" xfId="47124"/>
    <cellStyle name="표준 4 9 4 2 2 2" xfId="47125"/>
    <cellStyle name="표준 4 9 4 2 2 3" xfId="47126"/>
    <cellStyle name="표준 4 9 4 2 3" xfId="47127"/>
    <cellStyle name="표준 4 9 4 2 4" xfId="47128"/>
    <cellStyle name="표준 4 9 4 2 5" xfId="47129"/>
    <cellStyle name="표준 4 9 4 3" xfId="47130"/>
    <cellStyle name="표준 4 9 5" xfId="47131"/>
    <cellStyle name="표준 4 9 6" xfId="47132"/>
    <cellStyle name="표준 4 9 7" xfId="47133"/>
    <cellStyle name="표준 4 9 8" xfId="47134"/>
    <cellStyle name="표준 4 9 9" xfId="47135"/>
    <cellStyle name="표준 4_Q25027470" xfId="47136"/>
    <cellStyle name="표준 40" xfId="47137"/>
    <cellStyle name="표준 40 2" xfId="47138"/>
    <cellStyle name="표준 41" xfId="47139"/>
    <cellStyle name="표준 42" xfId="47140"/>
    <cellStyle name="표준 43" xfId="47141"/>
    <cellStyle name="표준 44" xfId="47142"/>
    <cellStyle name="표준 45" xfId="47143"/>
    <cellStyle name="표준 46" xfId="47144"/>
    <cellStyle name="표준 46 2" xfId="47145"/>
    <cellStyle name="표준 46 3" xfId="47146"/>
    <cellStyle name="표준 47" xfId="47147"/>
    <cellStyle name="표준 48" xfId="47148"/>
    <cellStyle name="표준 49" xfId="47149"/>
    <cellStyle name="표준 49 2" xfId="47150"/>
    <cellStyle name="표준 5" xfId="47151"/>
    <cellStyle name="표준 5 10" xfId="47152"/>
    <cellStyle name="표준 5 11" xfId="47153"/>
    <cellStyle name="표준 5 12" xfId="47154"/>
    <cellStyle name="표준 5 13" xfId="47155"/>
    <cellStyle name="표준 5 14" xfId="47156"/>
    <cellStyle name="표준 5 15" xfId="47157"/>
    <cellStyle name="표준 5 16" xfId="47158"/>
    <cellStyle name="표준 5 17" xfId="47159"/>
    <cellStyle name="표준 5 18" xfId="47160"/>
    <cellStyle name="표준 5 19" xfId="47161"/>
    <cellStyle name="표준 5 2" xfId="47162"/>
    <cellStyle name="표준 5 2 2" xfId="47163"/>
    <cellStyle name="표준 5 20" xfId="47164"/>
    <cellStyle name="표준 5 21" xfId="47165"/>
    <cellStyle name="표준 5 22" xfId="47166"/>
    <cellStyle name="표준 5 3" xfId="47167"/>
    <cellStyle name="표준 5 3 2" xfId="47168"/>
    <cellStyle name="표준 5 4" xfId="47169"/>
    <cellStyle name="표준 5 5" xfId="47170"/>
    <cellStyle name="표준 5 6" xfId="47171"/>
    <cellStyle name="표준 5 7" xfId="47172"/>
    <cellStyle name="표준 5 8" xfId="47173"/>
    <cellStyle name="표준 5 9" xfId="47174"/>
    <cellStyle name="표준 50" xfId="47175"/>
    <cellStyle name="표준 51" xfId="47176"/>
    <cellStyle name="표준 52" xfId="47177"/>
    <cellStyle name="표준 53" xfId="47178"/>
    <cellStyle name="표준 54" xfId="47179"/>
    <cellStyle name="표준 55" xfId="47180"/>
    <cellStyle name="표준 56" xfId="47181"/>
    <cellStyle name="표준 57" xfId="47182"/>
    <cellStyle name="표준 58" xfId="47183"/>
    <cellStyle name="표준 59" xfId="47184"/>
    <cellStyle name="표준 59 2" xfId="47185"/>
    <cellStyle name="표준 6" xfId="47186"/>
    <cellStyle name="표준 6 2" xfId="47187"/>
    <cellStyle name="표준 6 2 2" xfId="47188"/>
    <cellStyle name="표준 6 2 2 2" xfId="47189"/>
    <cellStyle name="표준 6 2 3" xfId="47190"/>
    <cellStyle name="표준 6 2 4" xfId="47191"/>
    <cellStyle name="표준 6 3" xfId="47192"/>
    <cellStyle name="표준 6 3 2" xfId="47193"/>
    <cellStyle name="표준 6 3 2 2" xfId="47194"/>
    <cellStyle name="표준 6 3 3" xfId="47195"/>
    <cellStyle name="표준 6 4" xfId="47196"/>
    <cellStyle name="표준 6 4 2" xfId="47197"/>
    <cellStyle name="표준 6 5" xfId="47198"/>
    <cellStyle name="표준 6 5 2" xfId="47199"/>
    <cellStyle name="표준 6 6" xfId="47200"/>
    <cellStyle name="표준 6 7" xfId="47201"/>
    <cellStyle name="표준 60" xfId="47202"/>
    <cellStyle name="표준 61" xfId="47203"/>
    <cellStyle name="표준 62" xfId="47204"/>
    <cellStyle name="표준 62 2" xfId="47205"/>
    <cellStyle name="표준 63" xfId="47206"/>
    <cellStyle name="표준 64" xfId="47207"/>
    <cellStyle name="표준 65" xfId="47208"/>
    <cellStyle name="표준 66" xfId="47209"/>
    <cellStyle name="표준 67" xfId="47210"/>
    <cellStyle name="표준 67 2" xfId="47211"/>
    <cellStyle name="표준 68" xfId="47212"/>
    <cellStyle name="표준 69" xfId="47213"/>
    <cellStyle name="표준 7" xfId="47214"/>
    <cellStyle name="표준 7 2" xfId="47215"/>
    <cellStyle name="표준 7 2 2" xfId="47216"/>
    <cellStyle name="표준 7 2 2 2" xfId="47217"/>
    <cellStyle name="표준 7 2 3" xfId="47218"/>
    <cellStyle name="표준 7 2 4" xfId="47219"/>
    <cellStyle name="표준 7 3" xfId="47220"/>
    <cellStyle name="표준 7 3 2" xfId="47221"/>
    <cellStyle name="표준 7 3 2 2" xfId="47222"/>
    <cellStyle name="표준 7 3 3" xfId="47223"/>
    <cellStyle name="표준 7 4" xfId="47224"/>
    <cellStyle name="표준 7 4 2" xfId="47225"/>
    <cellStyle name="표준 7 5" xfId="47226"/>
    <cellStyle name="표준 7 5 2" xfId="47227"/>
    <cellStyle name="표준 7 6" xfId="47228"/>
    <cellStyle name="표준 70" xfId="47229"/>
    <cellStyle name="표준 71" xfId="47230"/>
    <cellStyle name="표준 72" xfId="47231"/>
    <cellStyle name="표준 73" xfId="47232"/>
    <cellStyle name="표준 74" xfId="47233"/>
    <cellStyle name="표준 74 2" xfId="47234"/>
    <cellStyle name="표준 75" xfId="47235"/>
    <cellStyle name="표준 76" xfId="47236"/>
    <cellStyle name="표준 77" xfId="47237"/>
    <cellStyle name="표준 78" xfId="47238"/>
    <cellStyle name="표준 79" xfId="47239"/>
    <cellStyle name="표준 8" xfId="47240"/>
    <cellStyle name="표준 8 2" xfId="47241"/>
    <cellStyle name="표준 8 2 2" xfId="47242"/>
    <cellStyle name="표준 8 2 3" xfId="47243"/>
    <cellStyle name="표준 8 3" xfId="47244"/>
    <cellStyle name="표준 8 3 2" xfId="47245"/>
    <cellStyle name="표준 8 3 3" xfId="47246"/>
    <cellStyle name="표준 8 4" xfId="47247"/>
    <cellStyle name="표준 8 5" xfId="47248"/>
    <cellStyle name="표준 8 6" xfId="47249"/>
    <cellStyle name="표준 8 7" xfId="47250"/>
    <cellStyle name="표준 80" xfId="47251"/>
    <cellStyle name="표준 81" xfId="47252"/>
    <cellStyle name="표준 82" xfId="47253"/>
    <cellStyle name="표준 83" xfId="47254"/>
    <cellStyle name="표준 84" xfId="47255"/>
    <cellStyle name="표준 85" xfId="47256"/>
    <cellStyle name="표준 86" xfId="47257"/>
    <cellStyle name="표준 87" xfId="47258"/>
    <cellStyle name="표준 88" xfId="47259"/>
    <cellStyle name="표준 89" xfId="47260"/>
    <cellStyle name="표준 9" xfId="47261"/>
    <cellStyle name="표준 9 10" xfId="47262"/>
    <cellStyle name="표준 9 10 2" xfId="47263"/>
    <cellStyle name="표준 9 10 2 2" xfId="47264"/>
    <cellStyle name="표준 9 10 2 2 2" xfId="47265"/>
    <cellStyle name="표준 9 10 2 2 2 2" xfId="47266"/>
    <cellStyle name="표준 9 10 2 2 2 3" xfId="47267"/>
    <cellStyle name="표준 9 10 2 2 3" xfId="47268"/>
    <cellStyle name="표준 9 10 2 2 4" xfId="47269"/>
    <cellStyle name="표준 9 10 2 3" xfId="47270"/>
    <cellStyle name="표준 9 10 2 3 2" xfId="47271"/>
    <cellStyle name="표준 9 10 2 3 3" xfId="47272"/>
    <cellStyle name="표준 9 10 2 4" xfId="47273"/>
    <cellStyle name="표준 9 10 2 5" xfId="47274"/>
    <cellStyle name="표준 9 10 3" xfId="47275"/>
    <cellStyle name="표준 9 10 3 2" xfId="47276"/>
    <cellStyle name="표준 9 10 3 2 2" xfId="47277"/>
    <cellStyle name="표준 9 10 3 2 2 2" xfId="47278"/>
    <cellStyle name="표준 9 10 3 2 2 3" xfId="47279"/>
    <cellStyle name="표준 9 10 3 2 3" xfId="47280"/>
    <cellStyle name="표준 9 10 3 2 4" xfId="47281"/>
    <cellStyle name="표준 9 10 3 3" xfId="47282"/>
    <cellStyle name="표준 9 10 3 3 2" xfId="47283"/>
    <cellStyle name="표준 9 10 3 3 3" xfId="47284"/>
    <cellStyle name="표준 9 10 3 4" xfId="47285"/>
    <cellStyle name="표준 9 10 3 5" xfId="47286"/>
    <cellStyle name="표준 9 10 4" xfId="47287"/>
    <cellStyle name="표준 9 10 4 2" xfId="47288"/>
    <cellStyle name="표준 9 10 4 2 2" xfId="47289"/>
    <cellStyle name="표준 9 10 4 2 3" xfId="47290"/>
    <cellStyle name="표준 9 10 4 3" xfId="47291"/>
    <cellStyle name="표준 9 10 4 4" xfId="47292"/>
    <cellStyle name="표준 9 10 5" xfId="47293"/>
    <cellStyle name="표준 9 10 5 2" xfId="47294"/>
    <cellStyle name="표준 9 10 5 3" xfId="47295"/>
    <cellStyle name="표준 9 10 6" xfId="47296"/>
    <cellStyle name="표준 9 10 7" xfId="47297"/>
    <cellStyle name="표준 9 11" xfId="47298"/>
    <cellStyle name="표준 9 11 2" xfId="47299"/>
    <cellStyle name="표준 9 11 2 2" xfId="47300"/>
    <cellStyle name="표준 9 11 2 2 2" xfId="47301"/>
    <cellStyle name="표준 9 11 2 2 3" xfId="47302"/>
    <cellStyle name="표준 9 11 2 3" xfId="47303"/>
    <cellStyle name="표준 9 11 2 4" xfId="47304"/>
    <cellStyle name="표준 9 11 3" xfId="47305"/>
    <cellStyle name="표준 9 11 3 2" xfId="47306"/>
    <cellStyle name="표준 9 11 3 3" xfId="47307"/>
    <cellStyle name="표준 9 11 4" xfId="47308"/>
    <cellStyle name="표준 9 11 5" xfId="47309"/>
    <cellStyle name="표준 9 12" xfId="47310"/>
    <cellStyle name="표준 9 12 2" xfId="47311"/>
    <cellStyle name="표준 9 12 2 2" xfId="47312"/>
    <cellStyle name="표준 9 12 2 2 2" xfId="47313"/>
    <cellStyle name="표준 9 12 2 2 3" xfId="47314"/>
    <cellStyle name="표준 9 12 2 3" xfId="47315"/>
    <cellStyle name="표준 9 12 2 4" xfId="47316"/>
    <cellStyle name="표준 9 12 3" xfId="47317"/>
    <cellStyle name="표준 9 12 3 2" xfId="47318"/>
    <cellStyle name="표준 9 12 3 3" xfId="47319"/>
    <cellStyle name="표준 9 12 4" xfId="47320"/>
    <cellStyle name="표준 9 12 5" xfId="47321"/>
    <cellStyle name="표준 9 13" xfId="47322"/>
    <cellStyle name="표준 9 13 2" xfId="47323"/>
    <cellStyle name="표준 9 13 2 2" xfId="47324"/>
    <cellStyle name="표준 9 13 2 2 2" xfId="47325"/>
    <cellStyle name="표준 9 13 2 2 3" xfId="47326"/>
    <cellStyle name="표준 9 13 2 3" xfId="47327"/>
    <cellStyle name="표준 9 13 2 4" xfId="47328"/>
    <cellStyle name="표준 9 13 3" xfId="47329"/>
    <cellStyle name="표준 9 13 3 2" xfId="47330"/>
    <cellStyle name="표준 9 13 3 3" xfId="47331"/>
    <cellStyle name="표준 9 13 4" xfId="47332"/>
    <cellStyle name="표준 9 13 5" xfId="47333"/>
    <cellStyle name="표준 9 14" xfId="47334"/>
    <cellStyle name="표준 9 14 2" xfId="47335"/>
    <cellStyle name="표준 9 14 2 2" xfId="47336"/>
    <cellStyle name="표준 9 14 2 3" xfId="47337"/>
    <cellStyle name="표준 9 14 3" xfId="47338"/>
    <cellStyle name="표준 9 14 4" xfId="47339"/>
    <cellStyle name="표준 9 15" xfId="47340"/>
    <cellStyle name="표준 9 15 2" xfId="47341"/>
    <cellStyle name="표준 9 15 3" xfId="47342"/>
    <cellStyle name="표준 9 16" xfId="47343"/>
    <cellStyle name="표준 9 16 2" xfId="47344"/>
    <cellStyle name="표준 9 16 3" xfId="47345"/>
    <cellStyle name="표준 9 17" xfId="47346"/>
    <cellStyle name="표준 9 17 2" xfId="47347"/>
    <cellStyle name="표준 9 17 3" xfId="47348"/>
    <cellStyle name="표준 9 18" xfId="47349"/>
    <cellStyle name="표준 9 19" xfId="47350"/>
    <cellStyle name="표준 9 2" xfId="47351"/>
    <cellStyle name="표준 9 2 10" xfId="47352"/>
    <cellStyle name="표준 9 2 10 2" xfId="47353"/>
    <cellStyle name="표준 9 2 10 2 2" xfId="47354"/>
    <cellStyle name="표준 9 2 10 2 2 2" xfId="47355"/>
    <cellStyle name="표준 9 2 10 2 2 3" xfId="47356"/>
    <cellStyle name="표준 9 2 10 2 3" xfId="47357"/>
    <cellStyle name="표준 9 2 10 2 4" xfId="47358"/>
    <cellStyle name="표준 9 2 10 3" xfId="47359"/>
    <cellStyle name="표준 9 2 10 3 2" xfId="47360"/>
    <cellStyle name="표준 9 2 10 3 3" xfId="47361"/>
    <cellStyle name="표준 9 2 10 4" xfId="47362"/>
    <cellStyle name="표준 9 2 10 5" xfId="47363"/>
    <cellStyle name="표준 9 2 11" xfId="47364"/>
    <cellStyle name="표준 9 2 11 2" xfId="47365"/>
    <cellStyle name="표준 9 2 11 2 2" xfId="47366"/>
    <cellStyle name="표준 9 2 11 2 3" xfId="47367"/>
    <cellStyle name="표준 9 2 11 3" xfId="47368"/>
    <cellStyle name="표준 9 2 11 4" xfId="47369"/>
    <cellStyle name="표준 9 2 12" xfId="47370"/>
    <cellStyle name="표준 9 2 12 2" xfId="47371"/>
    <cellStyle name="표준 9 2 12 3" xfId="47372"/>
    <cellStyle name="표준 9 2 13" xfId="47373"/>
    <cellStyle name="표준 9 2 14" xfId="47374"/>
    <cellStyle name="표준 9 2 15" xfId="47375"/>
    <cellStyle name="표준 9 2 2" xfId="47376"/>
    <cellStyle name="표준 9 2 2 10" xfId="47377"/>
    <cellStyle name="표준 9 2 2 10 2" xfId="47378"/>
    <cellStyle name="표준 9 2 2 10 2 2" xfId="47379"/>
    <cellStyle name="표준 9 2 2 10 2 3" xfId="47380"/>
    <cellStyle name="표준 9 2 2 10 3" xfId="47381"/>
    <cellStyle name="표준 9 2 2 10 4" xfId="47382"/>
    <cellStyle name="표준 9 2 2 11" xfId="47383"/>
    <cellStyle name="표준 9 2 2 11 2" xfId="47384"/>
    <cellStyle name="표준 9 2 2 11 3" xfId="47385"/>
    <cellStyle name="표준 9 2 2 12" xfId="47386"/>
    <cellStyle name="표준 9 2 2 13" xfId="47387"/>
    <cellStyle name="표준 9 2 2 2" xfId="47388"/>
    <cellStyle name="표준 9 2 2 2 10" xfId="47389"/>
    <cellStyle name="표준 9 2 2 2 11" xfId="47390"/>
    <cellStyle name="표준 9 2 2 2 2" xfId="47391"/>
    <cellStyle name="표준 9 2 2 2 2 2" xfId="47392"/>
    <cellStyle name="표준 9 2 2 2 2 2 2" xfId="47393"/>
    <cellStyle name="표준 9 2 2 2 2 2 2 2" xfId="47394"/>
    <cellStyle name="표준 9 2 2 2 2 2 2 2 2" xfId="47395"/>
    <cellStyle name="표준 9 2 2 2 2 2 2 2 3" xfId="47396"/>
    <cellStyle name="표준 9 2 2 2 2 2 2 3" xfId="47397"/>
    <cellStyle name="표준 9 2 2 2 2 2 2 4" xfId="47398"/>
    <cellStyle name="표준 9 2 2 2 2 2 3" xfId="47399"/>
    <cellStyle name="표준 9 2 2 2 2 2 3 2" xfId="47400"/>
    <cellStyle name="표준 9 2 2 2 2 2 3 3" xfId="47401"/>
    <cellStyle name="표준 9 2 2 2 2 2 4" xfId="47402"/>
    <cellStyle name="표준 9 2 2 2 2 2 5" xfId="47403"/>
    <cellStyle name="표준 9 2 2 2 2 3" xfId="47404"/>
    <cellStyle name="표준 9 2 2 2 2 3 2" xfId="47405"/>
    <cellStyle name="표준 9 2 2 2 2 3 2 2" xfId="47406"/>
    <cellStyle name="표준 9 2 2 2 2 3 2 2 2" xfId="47407"/>
    <cellStyle name="표준 9 2 2 2 2 3 2 2 3" xfId="47408"/>
    <cellStyle name="표준 9 2 2 2 2 3 2 3" xfId="47409"/>
    <cellStyle name="표준 9 2 2 2 2 3 2 4" xfId="47410"/>
    <cellStyle name="표준 9 2 2 2 2 3 3" xfId="47411"/>
    <cellStyle name="표준 9 2 2 2 2 3 3 2" xfId="47412"/>
    <cellStyle name="표준 9 2 2 2 2 3 3 3" xfId="47413"/>
    <cellStyle name="표준 9 2 2 2 2 3 4" xfId="47414"/>
    <cellStyle name="표준 9 2 2 2 2 3 5" xfId="47415"/>
    <cellStyle name="표준 9 2 2 2 2 4" xfId="47416"/>
    <cellStyle name="표준 9 2 2 2 2 4 2" xfId="47417"/>
    <cellStyle name="표준 9 2 2 2 2 4 2 2" xfId="47418"/>
    <cellStyle name="표준 9 2 2 2 2 4 2 3" xfId="47419"/>
    <cellStyle name="표준 9 2 2 2 2 4 3" xfId="47420"/>
    <cellStyle name="표준 9 2 2 2 2 4 4" xfId="47421"/>
    <cellStyle name="표준 9 2 2 2 2 5" xfId="47422"/>
    <cellStyle name="표준 9 2 2 2 2 5 2" xfId="47423"/>
    <cellStyle name="표준 9 2 2 2 2 5 3" xfId="47424"/>
    <cellStyle name="표준 9 2 2 2 2 6" xfId="47425"/>
    <cellStyle name="표준 9 2 2 2 2 7" xfId="47426"/>
    <cellStyle name="표준 9 2 2 2 3" xfId="47427"/>
    <cellStyle name="표준 9 2 2 2 3 2" xfId="47428"/>
    <cellStyle name="표준 9 2 2 2 3 2 2" xfId="47429"/>
    <cellStyle name="표준 9 2 2 2 3 2 2 2" xfId="47430"/>
    <cellStyle name="표준 9 2 2 2 3 2 2 2 2" xfId="47431"/>
    <cellStyle name="표준 9 2 2 2 3 2 2 2 3" xfId="47432"/>
    <cellStyle name="표준 9 2 2 2 3 2 2 3" xfId="47433"/>
    <cellStyle name="표준 9 2 2 2 3 2 2 4" xfId="47434"/>
    <cellStyle name="표준 9 2 2 2 3 2 3" xfId="47435"/>
    <cellStyle name="표준 9 2 2 2 3 2 3 2" xfId="47436"/>
    <cellStyle name="표준 9 2 2 2 3 2 3 3" xfId="47437"/>
    <cellStyle name="표준 9 2 2 2 3 2 4" xfId="47438"/>
    <cellStyle name="표준 9 2 2 2 3 2 5" xfId="47439"/>
    <cellStyle name="표준 9 2 2 2 3 3" xfId="47440"/>
    <cellStyle name="표준 9 2 2 2 3 3 2" xfId="47441"/>
    <cellStyle name="표준 9 2 2 2 3 3 2 2" xfId="47442"/>
    <cellStyle name="표준 9 2 2 2 3 3 2 2 2" xfId="47443"/>
    <cellStyle name="표준 9 2 2 2 3 3 2 2 3" xfId="47444"/>
    <cellStyle name="표준 9 2 2 2 3 3 2 3" xfId="47445"/>
    <cellStyle name="표준 9 2 2 2 3 3 2 4" xfId="47446"/>
    <cellStyle name="표준 9 2 2 2 3 3 3" xfId="47447"/>
    <cellStyle name="표준 9 2 2 2 3 3 3 2" xfId="47448"/>
    <cellStyle name="표준 9 2 2 2 3 3 3 3" xfId="47449"/>
    <cellStyle name="표준 9 2 2 2 3 3 4" xfId="47450"/>
    <cellStyle name="표준 9 2 2 2 3 3 5" xfId="47451"/>
    <cellStyle name="표준 9 2 2 2 3 4" xfId="47452"/>
    <cellStyle name="표준 9 2 2 2 3 4 2" xfId="47453"/>
    <cellStyle name="표준 9 2 2 2 3 4 2 2" xfId="47454"/>
    <cellStyle name="표준 9 2 2 2 3 4 2 3" xfId="47455"/>
    <cellStyle name="표준 9 2 2 2 3 4 3" xfId="47456"/>
    <cellStyle name="표준 9 2 2 2 3 4 4" xfId="47457"/>
    <cellStyle name="표준 9 2 2 2 3 5" xfId="47458"/>
    <cellStyle name="표준 9 2 2 2 3 5 2" xfId="47459"/>
    <cellStyle name="표준 9 2 2 2 3 5 3" xfId="47460"/>
    <cellStyle name="표준 9 2 2 2 3 6" xfId="47461"/>
    <cellStyle name="표준 9 2 2 2 3 7" xfId="47462"/>
    <cellStyle name="표준 9 2 2 2 4" xfId="47463"/>
    <cellStyle name="표준 9 2 2 2 4 2" xfId="47464"/>
    <cellStyle name="표준 9 2 2 2 4 2 2" xfId="47465"/>
    <cellStyle name="표준 9 2 2 2 4 2 2 2" xfId="47466"/>
    <cellStyle name="표준 9 2 2 2 4 2 2 3" xfId="47467"/>
    <cellStyle name="표준 9 2 2 2 4 2 3" xfId="47468"/>
    <cellStyle name="표준 9 2 2 2 4 2 4" xfId="47469"/>
    <cellStyle name="표준 9 2 2 2 4 3" xfId="47470"/>
    <cellStyle name="표준 9 2 2 2 4 3 2" xfId="47471"/>
    <cellStyle name="표준 9 2 2 2 4 3 3" xfId="47472"/>
    <cellStyle name="표준 9 2 2 2 4 4" xfId="47473"/>
    <cellStyle name="표준 9 2 2 2 4 5" xfId="47474"/>
    <cellStyle name="표준 9 2 2 2 5" xfId="47475"/>
    <cellStyle name="표준 9 2 2 2 5 2" xfId="47476"/>
    <cellStyle name="표준 9 2 2 2 5 2 2" xfId="47477"/>
    <cellStyle name="표준 9 2 2 2 5 2 2 2" xfId="47478"/>
    <cellStyle name="표준 9 2 2 2 5 2 2 3" xfId="47479"/>
    <cellStyle name="표준 9 2 2 2 5 2 3" xfId="47480"/>
    <cellStyle name="표준 9 2 2 2 5 2 4" xfId="47481"/>
    <cellStyle name="표준 9 2 2 2 5 3" xfId="47482"/>
    <cellStyle name="표준 9 2 2 2 5 3 2" xfId="47483"/>
    <cellStyle name="표준 9 2 2 2 5 3 3" xfId="47484"/>
    <cellStyle name="표준 9 2 2 2 5 4" xfId="47485"/>
    <cellStyle name="표준 9 2 2 2 5 5" xfId="47486"/>
    <cellStyle name="표준 9 2 2 2 6" xfId="47487"/>
    <cellStyle name="표준 9 2 2 2 6 2" xfId="47488"/>
    <cellStyle name="표준 9 2 2 2 6 2 2" xfId="47489"/>
    <cellStyle name="표준 9 2 2 2 6 2 2 2" xfId="47490"/>
    <cellStyle name="표준 9 2 2 2 6 2 2 3" xfId="47491"/>
    <cellStyle name="표준 9 2 2 2 6 2 3" xfId="47492"/>
    <cellStyle name="표준 9 2 2 2 6 2 4" xfId="47493"/>
    <cellStyle name="표준 9 2 2 2 6 3" xfId="47494"/>
    <cellStyle name="표준 9 2 2 2 6 3 2" xfId="47495"/>
    <cellStyle name="표준 9 2 2 2 6 3 3" xfId="47496"/>
    <cellStyle name="표준 9 2 2 2 6 4" xfId="47497"/>
    <cellStyle name="표준 9 2 2 2 6 5" xfId="47498"/>
    <cellStyle name="표준 9 2 2 2 7" xfId="47499"/>
    <cellStyle name="표준 9 2 2 2 7 2" xfId="47500"/>
    <cellStyle name="표준 9 2 2 2 7 2 2" xfId="47501"/>
    <cellStyle name="표준 9 2 2 2 7 2 3" xfId="47502"/>
    <cellStyle name="표준 9 2 2 2 7 3" xfId="47503"/>
    <cellStyle name="표준 9 2 2 2 7 4" xfId="47504"/>
    <cellStyle name="표준 9 2 2 2 8" xfId="47505"/>
    <cellStyle name="표준 9 2 2 2 8 2" xfId="47506"/>
    <cellStyle name="표준 9 2 2 2 8 2 2" xfId="47507"/>
    <cellStyle name="표준 9 2 2 2 8 3" xfId="47508"/>
    <cellStyle name="표준 9 2 2 2 8 4" xfId="47509"/>
    <cellStyle name="표준 9 2 2 2 8 5" xfId="47510"/>
    <cellStyle name="표준 9 2 2 2 9" xfId="47511"/>
    <cellStyle name="표준 9 2 2 3" xfId="47512"/>
    <cellStyle name="표준 9 2 2 3 10" xfId="47513"/>
    <cellStyle name="표준 9 2 2 3 2" xfId="47514"/>
    <cellStyle name="표준 9 2 2 3 2 2" xfId="47515"/>
    <cellStyle name="표준 9 2 2 3 2 2 2" xfId="47516"/>
    <cellStyle name="표준 9 2 2 3 2 2 2 2" xfId="47517"/>
    <cellStyle name="표준 9 2 2 3 2 2 2 2 2" xfId="47518"/>
    <cellStyle name="표준 9 2 2 3 2 2 2 2 3" xfId="47519"/>
    <cellStyle name="표준 9 2 2 3 2 2 2 3" xfId="47520"/>
    <cellStyle name="표준 9 2 2 3 2 2 2 4" xfId="47521"/>
    <cellStyle name="표준 9 2 2 3 2 2 3" xfId="47522"/>
    <cellStyle name="표준 9 2 2 3 2 2 3 2" xfId="47523"/>
    <cellStyle name="표준 9 2 2 3 2 2 3 3" xfId="47524"/>
    <cellStyle name="표준 9 2 2 3 2 2 4" xfId="47525"/>
    <cellStyle name="표준 9 2 2 3 2 2 5" xfId="47526"/>
    <cellStyle name="표준 9 2 2 3 2 3" xfId="47527"/>
    <cellStyle name="표준 9 2 2 3 2 3 2" xfId="47528"/>
    <cellStyle name="표준 9 2 2 3 2 3 2 2" xfId="47529"/>
    <cellStyle name="표준 9 2 2 3 2 3 2 2 2" xfId="47530"/>
    <cellStyle name="표준 9 2 2 3 2 3 2 2 3" xfId="47531"/>
    <cellStyle name="표준 9 2 2 3 2 3 2 3" xfId="47532"/>
    <cellStyle name="표준 9 2 2 3 2 3 2 4" xfId="47533"/>
    <cellStyle name="표준 9 2 2 3 2 3 3" xfId="47534"/>
    <cellStyle name="표준 9 2 2 3 2 3 3 2" xfId="47535"/>
    <cellStyle name="표준 9 2 2 3 2 3 3 3" xfId="47536"/>
    <cellStyle name="표준 9 2 2 3 2 3 4" xfId="47537"/>
    <cellStyle name="표준 9 2 2 3 2 3 5" xfId="47538"/>
    <cellStyle name="표준 9 2 2 3 2 4" xfId="47539"/>
    <cellStyle name="표준 9 2 2 3 2 4 2" xfId="47540"/>
    <cellStyle name="표준 9 2 2 3 2 4 2 2" xfId="47541"/>
    <cellStyle name="표준 9 2 2 3 2 4 2 3" xfId="47542"/>
    <cellStyle name="표준 9 2 2 3 2 4 3" xfId="47543"/>
    <cellStyle name="표준 9 2 2 3 2 4 4" xfId="47544"/>
    <cellStyle name="표준 9 2 2 3 2 5" xfId="47545"/>
    <cellStyle name="표준 9 2 2 3 2 5 2" xfId="47546"/>
    <cellStyle name="표준 9 2 2 3 2 5 3" xfId="47547"/>
    <cellStyle name="표준 9 2 2 3 2 6" xfId="47548"/>
    <cellStyle name="표준 9 2 2 3 2 7" xfId="47549"/>
    <cellStyle name="표준 9 2 2 3 3" xfId="47550"/>
    <cellStyle name="표준 9 2 2 3 3 2" xfId="47551"/>
    <cellStyle name="표준 9 2 2 3 3 2 2" xfId="47552"/>
    <cellStyle name="표준 9 2 2 3 3 2 2 2" xfId="47553"/>
    <cellStyle name="표준 9 2 2 3 3 2 2 2 2" xfId="47554"/>
    <cellStyle name="표준 9 2 2 3 3 2 2 2 3" xfId="47555"/>
    <cellStyle name="표준 9 2 2 3 3 2 2 3" xfId="47556"/>
    <cellStyle name="표준 9 2 2 3 3 2 2 4" xfId="47557"/>
    <cellStyle name="표준 9 2 2 3 3 2 3" xfId="47558"/>
    <cellStyle name="표준 9 2 2 3 3 2 3 2" xfId="47559"/>
    <cellStyle name="표준 9 2 2 3 3 2 3 3" xfId="47560"/>
    <cellStyle name="표준 9 2 2 3 3 2 4" xfId="47561"/>
    <cellStyle name="표준 9 2 2 3 3 2 5" xfId="47562"/>
    <cellStyle name="표준 9 2 2 3 3 3" xfId="47563"/>
    <cellStyle name="표준 9 2 2 3 3 3 2" xfId="47564"/>
    <cellStyle name="표준 9 2 2 3 3 3 2 2" xfId="47565"/>
    <cellStyle name="표준 9 2 2 3 3 3 2 2 2" xfId="47566"/>
    <cellStyle name="표준 9 2 2 3 3 3 2 2 3" xfId="47567"/>
    <cellStyle name="표준 9 2 2 3 3 3 2 3" xfId="47568"/>
    <cellStyle name="표준 9 2 2 3 3 3 2 4" xfId="47569"/>
    <cellStyle name="표준 9 2 2 3 3 3 3" xfId="47570"/>
    <cellStyle name="표준 9 2 2 3 3 3 3 2" xfId="47571"/>
    <cellStyle name="표준 9 2 2 3 3 3 3 3" xfId="47572"/>
    <cellStyle name="표준 9 2 2 3 3 3 4" xfId="47573"/>
    <cellStyle name="표준 9 2 2 3 3 3 5" xfId="47574"/>
    <cellStyle name="표준 9 2 2 3 3 4" xfId="47575"/>
    <cellStyle name="표준 9 2 2 3 3 4 2" xfId="47576"/>
    <cellStyle name="표준 9 2 2 3 3 4 2 2" xfId="47577"/>
    <cellStyle name="표준 9 2 2 3 3 4 2 3" xfId="47578"/>
    <cellStyle name="표준 9 2 2 3 3 4 3" xfId="47579"/>
    <cellStyle name="표준 9 2 2 3 3 4 4" xfId="47580"/>
    <cellStyle name="표준 9 2 2 3 3 5" xfId="47581"/>
    <cellStyle name="표준 9 2 2 3 3 5 2" xfId="47582"/>
    <cellStyle name="표준 9 2 2 3 3 5 3" xfId="47583"/>
    <cellStyle name="표준 9 2 2 3 3 6" xfId="47584"/>
    <cellStyle name="표준 9 2 2 3 3 7" xfId="47585"/>
    <cellStyle name="표준 9 2 2 3 4" xfId="47586"/>
    <cellStyle name="표준 9 2 2 3 4 2" xfId="47587"/>
    <cellStyle name="표준 9 2 2 3 4 2 2" xfId="47588"/>
    <cellStyle name="표준 9 2 2 3 4 2 2 2" xfId="47589"/>
    <cellStyle name="표준 9 2 2 3 4 2 2 3" xfId="47590"/>
    <cellStyle name="표준 9 2 2 3 4 2 3" xfId="47591"/>
    <cellStyle name="표준 9 2 2 3 4 2 4" xfId="47592"/>
    <cellStyle name="표준 9 2 2 3 4 3" xfId="47593"/>
    <cellStyle name="표준 9 2 2 3 4 3 2" xfId="47594"/>
    <cellStyle name="표준 9 2 2 3 4 3 3" xfId="47595"/>
    <cellStyle name="표준 9 2 2 3 4 4" xfId="47596"/>
    <cellStyle name="표준 9 2 2 3 4 5" xfId="47597"/>
    <cellStyle name="표준 9 2 2 3 5" xfId="47598"/>
    <cellStyle name="표준 9 2 2 3 5 2" xfId="47599"/>
    <cellStyle name="표준 9 2 2 3 5 2 2" xfId="47600"/>
    <cellStyle name="표준 9 2 2 3 5 2 2 2" xfId="47601"/>
    <cellStyle name="표준 9 2 2 3 5 2 2 3" xfId="47602"/>
    <cellStyle name="표준 9 2 2 3 5 2 3" xfId="47603"/>
    <cellStyle name="표준 9 2 2 3 5 2 4" xfId="47604"/>
    <cellStyle name="표준 9 2 2 3 5 3" xfId="47605"/>
    <cellStyle name="표준 9 2 2 3 5 3 2" xfId="47606"/>
    <cellStyle name="표준 9 2 2 3 5 3 3" xfId="47607"/>
    <cellStyle name="표준 9 2 2 3 5 4" xfId="47608"/>
    <cellStyle name="표준 9 2 2 3 5 5" xfId="47609"/>
    <cellStyle name="표준 9 2 2 3 6" xfId="47610"/>
    <cellStyle name="표준 9 2 2 3 6 2" xfId="47611"/>
    <cellStyle name="표준 9 2 2 3 6 2 2" xfId="47612"/>
    <cellStyle name="표준 9 2 2 3 6 2 2 2" xfId="47613"/>
    <cellStyle name="표준 9 2 2 3 6 2 2 3" xfId="47614"/>
    <cellStyle name="표준 9 2 2 3 6 2 3" xfId="47615"/>
    <cellStyle name="표준 9 2 2 3 6 2 4" xfId="47616"/>
    <cellStyle name="표준 9 2 2 3 6 3" xfId="47617"/>
    <cellStyle name="표준 9 2 2 3 6 3 2" xfId="47618"/>
    <cellStyle name="표준 9 2 2 3 6 3 3" xfId="47619"/>
    <cellStyle name="표준 9 2 2 3 6 4" xfId="47620"/>
    <cellStyle name="표준 9 2 2 3 6 5" xfId="47621"/>
    <cellStyle name="표준 9 2 2 3 7" xfId="47622"/>
    <cellStyle name="표준 9 2 2 3 7 2" xfId="47623"/>
    <cellStyle name="표준 9 2 2 3 7 2 2" xfId="47624"/>
    <cellStyle name="표준 9 2 2 3 7 2 3" xfId="47625"/>
    <cellStyle name="표준 9 2 2 3 7 3" xfId="47626"/>
    <cellStyle name="표준 9 2 2 3 7 4" xfId="47627"/>
    <cellStyle name="표준 9 2 2 3 8" xfId="47628"/>
    <cellStyle name="표준 9 2 2 3 8 2" xfId="47629"/>
    <cellStyle name="표준 9 2 2 3 8 3" xfId="47630"/>
    <cellStyle name="표준 9 2 2 3 9" xfId="47631"/>
    <cellStyle name="표준 9 2 2 4" xfId="47632"/>
    <cellStyle name="표준 9 2 2 4 10" xfId="47633"/>
    <cellStyle name="표준 9 2 2 4 2" xfId="47634"/>
    <cellStyle name="표준 9 2 2 4 2 2" xfId="47635"/>
    <cellStyle name="표준 9 2 2 4 2 2 2" xfId="47636"/>
    <cellStyle name="표준 9 2 2 4 2 2 2 2" xfId="47637"/>
    <cellStyle name="표준 9 2 2 4 2 2 2 2 2" xfId="47638"/>
    <cellStyle name="표준 9 2 2 4 2 2 2 2 3" xfId="47639"/>
    <cellStyle name="표준 9 2 2 4 2 2 2 3" xfId="47640"/>
    <cellStyle name="표준 9 2 2 4 2 2 2 4" xfId="47641"/>
    <cellStyle name="표준 9 2 2 4 2 2 3" xfId="47642"/>
    <cellStyle name="표준 9 2 2 4 2 2 3 2" xfId="47643"/>
    <cellStyle name="표준 9 2 2 4 2 2 3 3" xfId="47644"/>
    <cellStyle name="표준 9 2 2 4 2 2 4" xfId="47645"/>
    <cellStyle name="표준 9 2 2 4 2 2 5" xfId="47646"/>
    <cellStyle name="표준 9 2 2 4 2 3" xfId="47647"/>
    <cellStyle name="표준 9 2 2 4 2 3 2" xfId="47648"/>
    <cellStyle name="표준 9 2 2 4 2 3 2 2" xfId="47649"/>
    <cellStyle name="표준 9 2 2 4 2 3 2 2 2" xfId="47650"/>
    <cellStyle name="표준 9 2 2 4 2 3 2 2 3" xfId="47651"/>
    <cellStyle name="표준 9 2 2 4 2 3 2 3" xfId="47652"/>
    <cellStyle name="표준 9 2 2 4 2 3 2 4" xfId="47653"/>
    <cellStyle name="표준 9 2 2 4 2 3 3" xfId="47654"/>
    <cellStyle name="표준 9 2 2 4 2 3 3 2" xfId="47655"/>
    <cellStyle name="표준 9 2 2 4 2 3 3 3" xfId="47656"/>
    <cellStyle name="표준 9 2 2 4 2 3 4" xfId="47657"/>
    <cellStyle name="표준 9 2 2 4 2 3 5" xfId="47658"/>
    <cellStyle name="표준 9 2 2 4 2 4" xfId="47659"/>
    <cellStyle name="표준 9 2 2 4 2 4 2" xfId="47660"/>
    <cellStyle name="표준 9 2 2 4 2 4 2 2" xfId="47661"/>
    <cellStyle name="표준 9 2 2 4 2 4 2 3" xfId="47662"/>
    <cellStyle name="표준 9 2 2 4 2 4 3" xfId="47663"/>
    <cellStyle name="표준 9 2 2 4 2 4 4" xfId="47664"/>
    <cellStyle name="표준 9 2 2 4 2 5" xfId="47665"/>
    <cellStyle name="표준 9 2 2 4 2 5 2" xfId="47666"/>
    <cellStyle name="표준 9 2 2 4 2 5 3" xfId="47667"/>
    <cellStyle name="표준 9 2 2 4 2 6" xfId="47668"/>
    <cellStyle name="표준 9 2 2 4 2 7" xfId="47669"/>
    <cellStyle name="표준 9 2 2 4 3" xfId="47670"/>
    <cellStyle name="표준 9 2 2 4 3 2" xfId="47671"/>
    <cellStyle name="표준 9 2 2 4 3 2 2" xfId="47672"/>
    <cellStyle name="표준 9 2 2 4 3 2 2 2" xfId="47673"/>
    <cellStyle name="표준 9 2 2 4 3 2 2 2 2" xfId="47674"/>
    <cellStyle name="표준 9 2 2 4 3 2 2 2 3" xfId="47675"/>
    <cellStyle name="표준 9 2 2 4 3 2 2 3" xfId="47676"/>
    <cellStyle name="표준 9 2 2 4 3 2 2 4" xfId="47677"/>
    <cellStyle name="표준 9 2 2 4 3 2 3" xfId="47678"/>
    <cellStyle name="표준 9 2 2 4 3 2 3 2" xfId="47679"/>
    <cellStyle name="표준 9 2 2 4 3 2 3 3" xfId="47680"/>
    <cellStyle name="표준 9 2 2 4 3 2 4" xfId="47681"/>
    <cellStyle name="표준 9 2 2 4 3 2 5" xfId="47682"/>
    <cellStyle name="표준 9 2 2 4 3 3" xfId="47683"/>
    <cellStyle name="표준 9 2 2 4 3 3 2" xfId="47684"/>
    <cellStyle name="표준 9 2 2 4 3 3 2 2" xfId="47685"/>
    <cellStyle name="표준 9 2 2 4 3 3 2 2 2" xfId="47686"/>
    <cellStyle name="표준 9 2 2 4 3 3 2 2 3" xfId="47687"/>
    <cellStyle name="표준 9 2 2 4 3 3 2 3" xfId="47688"/>
    <cellStyle name="표준 9 2 2 4 3 3 2 4" xfId="47689"/>
    <cellStyle name="표준 9 2 2 4 3 3 3" xfId="47690"/>
    <cellStyle name="표준 9 2 2 4 3 3 3 2" xfId="47691"/>
    <cellStyle name="표준 9 2 2 4 3 3 3 3" xfId="47692"/>
    <cellStyle name="표준 9 2 2 4 3 3 4" xfId="47693"/>
    <cellStyle name="표준 9 2 2 4 3 3 5" xfId="47694"/>
    <cellStyle name="표준 9 2 2 4 3 4" xfId="47695"/>
    <cellStyle name="표준 9 2 2 4 3 4 2" xfId="47696"/>
    <cellStyle name="표준 9 2 2 4 3 4 2 2" xfId="47697"/>
    <cellStyle name="표준 9 2 2 4 3 4 2 3" xfId="47698"/>
    <cellStyle name="표준 9 2 2 4 3 4 3" xfId="47699"/>
    <cellStyle name="표준 9 2 2 4 3 4 4" xfId="47700"/>
    <cellStyle name="표준 9 2 2 4 3 5" xfId="47701"/>
    <cellStyle name="표준 9 2 2 4 3 5 2" xfId="47702"/>
    <cellStyle name="표준 9 2 2 4 3 5 3" xfId="47703"/>
    <cellStyle name="표준 9 2 2 4 3 6" xfId="47704"/>
    <cellStyle name="표준 9 2 2 4 3 7" xfId="47705"/>
    <cellStyle name="표준 9 2 2 4 4" xfId="47706"/>
    <cellStyle name="표준 9 2 2 4 4 2" xfId="47707"/>
    <cellStyle name="표준 9 2 2 4 4 2 2" xfId="47708"/>
    <cellStyle name="표준 9 2 2 4 4 2 2 2" xfId="47709"/>
    <cellStyle name="표준 9 2 2 4 4 2 2 3" xfId="47710"/>
    <cellStyle name="표준 9 2 2 4 4 2 3" xfId="47711"/>
    <cellStyle name="표준 9 2 2 4 4 2 4" xfId="47712"/>
    <cellStyle name="표준 9 2 2 4 4 3" xfId="47713"/>
    <cellStyle name="표준 9 2 2 4 4 3 2" xfId="47714"/>
    <cellStyle name="표준 9 2 2 4 4 3 3" xfId="47715"/>
    <cellStyle name="표준 9 2 2 4 4 4" xfId="47716"/>
    <cellStyle name="표준 9 2 2 4 4 5" xfId="47717"/>
    <cellStyle name="표준 9 2 2 4 5" xfId="47718"/>
    <cellStyle name="표준 9 2 2 4 5 2" xfId="47719"/>
    <cellStyle name="표준 9 2 2 4 5 2 2" xfId="47720"/>
    <cellStyle name="표준 9 2 2 4 5 2 2 2" xfId="47721"/>
    <cellStyle name="표준 9 2 2 4 5 2 2 3" xfId="47722"/>
    <cellStyle name="표준 9 2 2 4 5 2 3" xfId="47723"/>
    <cellStyle name="표준 9 2 2 4 5 2 4" xfId="47724"/>
    <cellStyle name="표준 9 2 2 4 5 3" xfId="47725"/>
    <cellStyle name="표준 9 2 2 4 5 3 2" xfId="47726"/>
    <cellStyle name="표준 9 2 2 4 5 3 3" xfId="47727"/>
    <cellStyle name="표준 9 2 2 4 5 4" xfId="47728"/>
    <cellStyle name="표준 9 2 2 4 5 5" xfId="47729"/>
    <cellStyle name="표준 9 2 2 4 6" xfId="47730"/>
    <cellStyle name="표준 9 2 2 4 6 2" xfId="47731"/>
    <cellStyle name="표준 9 2 2 4 6 2 2" xfId="47732"/>
    <cellStyle name="표준 9 2 2 4 6 2 2 2" xfId="47733"/>
    <cellStyle name="표준 9 2 2 4 6 2 2 3" xfId="47734"/>
    <cellStyle name="표준 9 2 2 4 6 2 3" xfId="47735"/>
    <cellStyle name="표준 9 2 2 4 6 2 4" xfId="47736"/>
    <cellStyle name="표준 9 2 2 4 6 3" xfId="47737"/>
    <cellStyle name="표준 9 2 2 4 6 3 2" xfId="47738"/>
    <cellStyle name="표준 9 2 2 4 6 3 3" xfId="47739"/>
    <cellStyle name="표준 9 2 2 4 6 4" xfId="47740"/>
    <cellStyle name="표준 9 2 2 4 6 5" xfId="47741"/>
    <cellStyle name="표준 9 2 2 4 7" xfId="47742"/>
    <cellStyle name="표준 9 2 2 4 7 2" xfId="47743"/>
    <cellStyle name="표준 9 2 2 4 7 2 2" xfId="47744"/>
    <cellStyle name="표준 9 2 2 4 7 2 3" xfId="47745"/>
    <cellStyle name="표준 9 2 2 4 7 3" xfId="47746"/>
    <cellStyle name="표준 9 2 2 4 7 4" xfId="47747"/>
    <cellStyle name="표준 9 2 2 4 8" xfId="47748"/>
    <cellStyle name="표준 9 2 2 4 8 2" xfId="47749"/>
    <cellStyle name="표준 9 2 2 4 8 3" xfId="47750"/>
    <cellStyle name="표준 9 2 2 4 9" xfId="47751"/>
    <cellStyle name="표준 9 2 2 5" xfId="47752"/>
    <cellStyle name="표준 9 2 2 5 2" xfId="47753"/>
    <cellStyle name="표준 9 2 2 5 2 2" xfId="47754"/>
    <cellStyle name="표준 9 2 2 5 2 2 2" xfId="47755"/>
    <cellStyle name="표준 9 2 2 5 2 2 2 2" xfId="47756"/>
    <cellStyle name="표준 9 2 2 5 2 2 2 3" xfId="47757"/>
    <cellStyle name="표준 9 2 2 5 2 2 3" xfId="47758"/>
    <cellStyle name="표준 9 2 2 5 2 2 4" xfId="47759"/>
    <cellStyle name="표준 9 2 2 5 2 3" xfId="47760"/>
    <cellStyle name="표준 9 2 2 5 2 3 2" xfId="47761"/>
    <cellStyle name="표준 9 2 2 5 2 3 3" xfId="47762"/>
    <cellStyle name="표준 9 2 2 5 2 4" xfId="47763"/>
    <cellStyle name="표준 9 2 2 5 2 5" xfId="47764"/>
    <cellStyle name="표준 9 2 2 5 3" xfId="47765"/>
    <cellStyle name="표준 9 2 2 5 3 2" xfId="47766"/>
    <cellStyle name="표준 9 2 2 5 3 2 2" xfId="47767"/>
    <cellStyle name="표준 9 2 2 5 3 2 2 2" xfId="47768"/>
    <cellStyle name="표준 9 2 2 5 3 2 2 3" xfId="47769"/>
    <cellStyle name="표준 9 2 2 5 3 2 3" xfId="47770"/>
    <cellStyle name="표준 9 2 2 5 3 2 4" xfId="47771"/>
    <cellStyle name="표준 9 2 2 5 3 3" xfId="47772"/>
    <cellStyle name="표준 9 2 2 5 3 3 2" xfId="47773"/>
    <cellStyle name="표준 9 2 2 5 3 3 3" xfId="47774"/>
    <cellStyle name="표준 9 2 2 5 3 4" xfId="47775"/>
    <cellStyle name="표준 9 2 2 5 3 5" xfId="47776"/>
    <cellStyle name="표준 9 2 2 5 4" xfId="47777"/>
    <cellStyle name="표준 9 2 2 5 4 2" xfId="47778"/>
    <cellStyle name="표준 9 2 2 5 4 2 2" xfId="47779"/>
    <cellStyle name="표준 9 2 2 5 4 2 3" xfId="47780"/>
    <cellStyle name="표준 9 2 2 5 4 3" xfId="47781"/>
    <cellStyle name="표준 9 2 2 5 4 4" xfId="47782"/>
    <cellStyle name="표준 9 2 2 5 5" xfId="47783"/>
    <cellStyle name="표준 9 2 2 5 5 2" xfId="47784"/>
    <cellStyle name="표준 9 2 2 5 5 3" xfId="47785"/>
    <cellStyle name="표준 9 2 2 5 6" xfId="47786"/>
    <cellStyle name="표준 9 2 2 5 7" xfId="47787"/>
    <cellStyle name="표준 9 2 2 6" xfId="47788"/>
    <cellStyle name="표준 9 2 2 6 2" xfId="47789"/>
    <cellStyle name="표준 9 2 2 6 2 2" xfId="47790"/>
    <cellStyle name="표준 9 2 2 6 2 2 2" xfId="47791"/>
    <cellStyle name="표준 9 2 2 6 2 2 2 2" xfId="47792"/>
    <cellStyle name="표준 9 2 2 6 2 2 2 3" xfId="47793"/>
    <cellStyle name="표준 9 2 2 6 2 2 3" xfId="47794"/>
    <cellStyle name="표준 9 2 2 6 2 2 4" xfId="47795"/>
    <cellStyle name="표준 9 2 2 6 2 3" xfId="47796"/>
    <cellStyle name="표준 9 2 2 6 2 3 2" xfId="47797"/>
    <cellStyle name="표준 9 2 2 6 2 3 3" xfId="47798"/>
    <cellStyle name="표준 9 2 2 6 2 4" xfId="47799"/>
    <cellStyle name="표준 9 2 2 6 2 5" xfId="47800"/>
    <cellStyle name="표준 9 2 2 6 3" xfId="47801"/>
    <cellStyle name="표준 9 2 2 6 3 2" xfId="47802"/>
    <cellStyle name="표준 9 2 2 6 3 2 2" xfId="47803"/>
    <cellStyle name="표준 9 2 2 6 3 2 2 2" xfId="47804"/>
    <cellStyle name="표준 9 2 2 6 3 2 2 3" xfId="47805"/>
    <cellStyle name="표준 9 2 2 6 3 2 3" xfId="47806"/>
    <cellStyle name="표준 9 2 2 6 3 2 4" xfId="47807"/>
    <cellStyle name="표준 9 2 2 6 3 3" xfId="47808"/>
    <cellStyle name="표준 9 2 2 6 3 3 2" xfId="47809"/>
    <cellStyle name="표준 9 2 2 6 3 3 3" xfId="47810"/>
    <cellStyle name="표준 9 2 2 6 3 4" xfId="47811"/>
    <cellStyle name="표준 9 2 2 6 3 5" xfId="47812"/>
    <cellStyle name="표준 9 2 2 6 4" xfId="47813"/>
    <cellStyle name="표준 9 2 2 6 4 2" xfId="47814"/>
    <cellStyle name="표준 9 2 2 6 4 2 2" xfId="47815"/>
    <cellStyle name="표준 9 2 2 6 4 2 3" xfId="47816"/>
    <cellStyle name="표준 9 2 2 6 4 3" xfId="47817"/>
    <cellStyle name="표준 9 2 2 6 4 4" xfId="47818"/>
    <cellStyle name="표준 9 2 2 6 5" xfId="47819"/>
    <cellStyle name="표준 9 2 2 6 5 2" xfId="47820"/>
    <cellStyle name="표준 9 2 2 6 5 3" xfId="47821"/>
    <cellStyle name="표준 9 2 2 6 6" xfId="47822"/>
    <cellStyle name="표준 9 2 2 6 7" xfId="47823"/>
    <cellStyle name="표준 9 2 2 7" xfId="47824"/>
    <cellStyle name="표준 9 2 2 7 2" xfId="47825"/>
    <cellStyle name="표준 9 2 2 7 2 2" xfId="47826"/>
    <cellStyle name="표준 9 2 2 7 2 2 2" xfId="47827"/>
    <cellStyle name="표준 9 2 2 7 2 2 3" xfId="47828"/>
    <cellStyle name="표준 9 2 2 7 2 3" xfId="47829"/>
    <cellStyle name="표준 9 2 2 7 2 4" xfId="47830"/>
    <cellStyle name="표준 9 2 2 7 3" xfId="47831"/>
    <cellStyle name="표준 9 2 2 7 3 2" xfId="47832"/>
    <cellStyle name="표준 9 2 2 7 3 3" xfId="47833"/>
    <cellStyle name="표준 9 2 2 7 4" xfId="47834"/>
    <cellStyle name="표준 9 2 2 7 5" xfId="47835"/>
    <cellStyle name="표준 9 2 2 8" xfId="47836"/>
    <cellStyle name="표준 9 2 2 8 2" xfId="47837"/>
    <cellStyle name="표준 9 2 2 8 2 2" xfId="47838"/>
    <cellStyle name="표준 9 2 2 8 2 2 2" xfId="47839"/>
    <cellStyle name="표준 9 2 2 8 2 2 3" xfId="47840"/>
    <cellStyle name="표준 9 2 2 8 2 3" xfId="47841"/>
    <cellStyle name="표준 9 2 2 8 2 4" xfId="47842"/>
    <cellStyle name="표준 9 2 2 8 3" xfId="47843"/>
    <cellStyle name="표준 9 2 2 8 3 2" xfId="47844"/>
    <cellStyle name="표준 9 2 2 8 3 3" xfId="47845"/>
    <cellStyle name="표준 9 2 2 8 4" xfId="47846"/>
    <cellStyle name="표준 9 2 2 8 5" xfId="47847"/>
    <cellStyle name="표준 9 2 2 9" xfId="47848"/>
    <cellStyle name="표준 9 2 2 9 2" xfId="47849"/>
    <cellStyle name="표준 9 2 2 9 2 2" xfId="47850"/>
    <cellStyle name="표준 9 2 2 9 2 2 2" xfId="47851"/>
    <cellStyle name="표준 9 2 2 9 2 2 3" xfId="47852"/>
    <cellStyle name="표준 9 2 2 9 2 3" xfId="47853"/>
    <cellStyle name="표준 9 2 2 9 2 4" xfId="47854"/>
    <cellStyle name="표준 9 2 2 9 3" xfId="47855"/>
    <cellStyle name="표준 9 2 2 9 3 2" xfId="47856"/>
    <cellStyle name="표준 9 2 2 9 3 3" xfId="47857"/>
    <cellStyle name="표준 9 2 2 9 4" xfId="47858"/>
    <cellStyle name="표준 9 2 2 9 5" xfId="47859"/>
    <cellStyle name="표준 9 2 3" xfId="47860"/>
    <cellStyle name="표준 9 2 3 10" xfId="47861"/>
    <cellStyle name="표준 9 2 3 2" xfId="47862"/>
    <cellStyle name="표준 9 2 3 2 2" xfId="47863"/>
    <cellStyle name="표준 9 2 3 2 2 2" xfId="47864"/>
    <cellStyle name="표준 9 2 3 2 2 2 2" xfId="47865"/>
    <cellStyle name="표준 9 2 3 2 2 2 2 2" xfId="47866"/>
    <cellStyle name="표준 9 2 3 2 2 2 2 3" xfId="47867"/>
    <cellStyle name="표준 9 2 3 2 2 2 3" xfId="47868"/>
    <cellStyle name="표준 9 2 3 2 2 2 4" xfId="47869"/>
    <cellStyle name="표준 9 2 3 2 2 3" xfId="47870"/>
    <cellStyle name="표준 9 2 3 2 2 3 2" xfId="47871"/>
    <cellStyle name="표준 9 2 3 2 2 3 3" xfId="47872"/>
    <cellStyle name="표준 9 2 3 2 2 4" xfId="47873"/>
    <cellStyle name="표준 9 2 3 2 2 5" xfId="47874"/>
    <cellStyle name="표준 9 2 3 2 3" xfId="47875"/>
    <cellStyle name="표준 9 2 3 2 3 2" xfId="47876"/>
    <cellStyle name="표준 9 2 3 2 3 2 2" xfId="47877"/>
    <cellStyle name="표준 9 2 3 2 3 2 2 2" xfId="47878"/>
    <cellStyle name="표준 9 2 3 2 3 2 2 3" xfId="47879"/>
    <cellStyle name="표준 9 2 3 2 3 2 3" xfId="47880"/>
    <cellStyle name="표준 9 2 3 2 3 2 4" xfId="47881"/>
    <cellStyle name="표준 9 2 3 2 3 3" xfId="47882"/>
    <cellStyle name="표준 9 2 3 2 3 3 2" xfId="47883"/>
    <cellStyle name="표준 9 2 3 2 3 3 3" xfId="47884"/>
    <cellStyle name="표준 9 2 3 2 3 4" xfId="47885"/>
    <cellStyle name="표준 9 2 3 2 3 5" xfId="47886"/>
    <cellStyle name="표준 9 2 3 2 4" xfId="47887"/>
    <cellStyle name="표준 9 2 3 2 4 2" xfId="47888"/>
    <cellStyle name="표준 9 2 3 2 4 2 2" xfId="47889"/>
    <cellStyle name="표준 9 2 3 2 4 2 3" xfId="47890"/>
    <cellStyle name="표준 9 2 3 2 4 3" xfId="47891"/>
    <cellStyle name="표준 9 2 3 2 4 4" xfId="47892"/>
    <cellStyle name="표준 9 2 3 2 5" xfId="47893"/>
    <cellStyle name="표준 9 2 3 2 5 2" xfId="47894"/>
    <cellStyle name="표준 9 2 3 2 5 3" xfId="47895"/>
    <cellStyle name="표준 9 2 3 2 6" xfId="47896"/>
    <cellStyle name="표준 9 2 3 2 7" xfId="47897"/>
    <cellStyle name="표준 9 2 3 3" xfId="47898"/>
    <cellStyle name="표준 9 2 3 3 2" xfId="47899"/>
    <cellStyle name="표준 9 2 3 3 2 2" xfId="47900"/>
    <cellStyle name="표준 9 2 3 3 2 2 2" xfId="47901"/>
    <cellStyle name="표준 9 2 3 3 2 2 2 2" xfId="47902"/>
    <cellStyle name="표준 9 2 3 3 2 2 2 3" xfId="47903"/>
    <cellStyle name="표준 9 2 3 3 2 2 3" xfId="47904"/>
    <cellStyle name="표준 9 2 3 3 2 2 4" xfId="47905"/>
    <cellStyle name="표준 9 2 3 3 2 3" xfId="47906"/>
    <cellStyle name="표준 9 2 3 3 2 3 2" xfId="47907"/>
    <cellStyle name="표준 9 2 3 3 2 3 3" xfId="47908"/>
    <cellStyle name="표준 9 2 3 3 2 4" xfId="47909"/>
    <cellStyle name="표준 9 2 3 3 2 5" xfId="47910"/>
    <cellStyle name="표준 9 2 3 3 3" xfId="47911"/>
    <cellStyle name="표준 9 2 3 3 3 2" xfId="47912"/>
    <cellStyle name="표준 9 2 3 3 3 2 2" xfId="47913"/>
    <cellStyle name="표준 9 2 3 3 3 2 2 2" xfId="47914"/>
    <cellStyle name="표준 9 2 3 3 3 2 2 3" xfId="47915"/>
    <cellStyle name="표준 9 2 3 3 3 2 3" xfId="47916"/>
    <cellStyle name="표준 9 2 3 3 3 2 4" xfId="47917"/>
    <cellStyle name="표준 9 2 3 3 3 3" xfId="47918"/>
    <cellStyle name="표준 9 2 3 3 3 3 2" xfId="47919"/>
    <cellStyle name="표준 9 2 3 3 3 3 3" xfId="47920"/>
    <cellStyle name="표준 9 2 3 3 3 4" xfId="47921"/>
    <cellStyle name="표준 9 2 3 3 3 5" xfId="47922"/>
    <cellStyle name="표준 9 2 3 3 4" xfId="47923"/>
    <cellStyle name="표준 9 2 3 3 4 2" xfId="47924"/>
    <cellStyle name="표준 9 2 3 3 4 2 2" xfId="47925"/>
    <cellStyle name="표준 9 2 3 3 4 2 3" xfId="47926"/>
    <cellStyle name="표준 9 2 3 3 4 3" xfId="47927"/>
    <cellStyle name="표준 9 2 3 3 4 4" xfId="47928"/>
    <cellStyle name="표준 9 2 3 3 5" xfId="47929"/>
    <cellStyle name="표준 9 2 3 3 5 2" xfId="47930"/>
    <cellStyle name="표준 9 2 3 3 5 3" xfId="47931"/>
    <cellStyle name="표준 9 2 3 3 6" xfId="47932"/>
    <cellStyle name="표준 9 2 3 3 7" xfId="47933"/>
    <cellStyle name="표준 9 2 3 4" xfId="47934"/>
    <cellStyle name="표준 9 2 3 4 2" xfId="47935"/>
    <cellStyle name="표준 9 2 3 4 2 2" xfId="47936"/>
    <cellStyle name="표준 9 2 3 4 2 2 2" xfId="47937"/>
    <cellStyle name="표준 9 2 3 4 2 2 3" xfId="47938"/>
    <cellStyle name="표준 9 2 3 4 2 3" xfId="47939"/>
    <cellStyle name="표준 9 2 3 4 2 4" xfId="47940"/>
    <cellStyle name="표준 9 2 3 4 3" xfId="47941"/>
    <cellStyle name="표준 9 2 3 4 3 2" xfId="47942"/>
    <cellStyle name="표준 9 2 3 4 3 3" xfId="47943"/>
    <cellStyle name="표준 9 2 3 4 4" xfId="47944"/>
    <cellStyle name="표준 9 2 3 4 5" xfId="47945"/>
    <cellStyle name="표준 9 2 3 5" xfId="47946"/>
    <cellStyle name="표준 9 2 3 5 2" xfId="47947"/>
    <cellStyle name="표준 9 2 3 5 2 2" xfId="47948"/>
    <cellStyle name="표준 9 2 3 5 2 2 2" xfId="47949"/>
    <cellStyle name="표준 9 2 3 5 2 2 3" xfId="47950"/>
    <cellStyle name="표준 9 2 3 5 2 3" xfId="47951"/>
    <cellStyle name="표준 9 2 3 5 2 4" xfId="47952"/>
    <cellStyle name="표준 9 2 3 5 3" xfId="47953"/>
    <cellStyle name="표준 9 2 3 5 3 2" xfId="47954"/>
    <cellStyle name="표준 9 2 3 5 3 3" xfId="47955"/>
    <cellStyle name="표준 9 2 3 5 4" xfId="47956"/>
    <cellStyle name="표준 9 2 3 5 5" xfId="47957"/>
    <cellStyle name="표준 9 2 3 6" xfId="47958"/>
    <cellStyle name="표준 9 2 3 6 2" xfId="47959"/>
    <cellStyle name="표준 9 2 3 6 2 2" xfId="47960"/>
    <cellStyle name="표준 9 2 3 6 2 2 2" xfId="47961"/>
    <cellStyle name="표준 9 2 3 6 2 2 3" xfId="47962"/>
    <cellStyle name="표준 9 2 3 6 2 3" xfId="47963"/>
    <cellStyle name="표준 9 2 3 6 2 4" xfId="47964"/>
    <cellStyle name="표준 9 2 3 6 3" xfId="47965"/>
    <cellStyle name="표준 9 2 3 6 3 2" xfId="47966"/>
    <cellStyle name="표준 9 2 3 6 3 3" xfId="47967"/>
    <cellStyle name="표준 9 2 3 6 4" xfId="47968"/>
    <cellStyle name="표준 9 2 3 6 5" xfId="47969"/>
    <cellStyle name="표준 9 2 3 7" xfId="47970"/>
    <cellStyle name="표준 9 2 3 7 2" xfId="47971"/>
    <cellStyle name="표준 9 2 3 7 2 2" xfId="47972"/>
    <cellStyle name="표준 9 2 3 7 2 3" xfId="47973"/>
    <cellStyle name="표준 9 2 3 7 3" xfId="47974"/>
    <cellStyle name="표준 9 2 3 7 4" xfId="47975"/>
    <cellStyle name="표준 9 2 3 8" xfId="47976"/>
    <cellStyle name="표준 9 2 3 8 2" xfId="47977"/>
    <cellStyle name="표준 9 2 3 8 3" xfId="47978"/>
    <cellStyle name="표준 9 2 3 9" xfId="47979"/>
    <cellStyle name="표준 9 2 4" xfId="47980"/>
    <cellStyle name="표준 9 2 4 10" xfId="47981"/>
    <cellStyle name="표준 9 2 4 2" xfId="47982"/>
    <cellStyle name="표준 9 2 4 2 2" xfId="47983"/>
    <cellStyle name="표준 9 2 4 2 2 2" xfId="47984"/>
    <cellStyle name="표준 9 2 4 2 2 2 2" xfId="47985"/>
    <cellStyle name="표준 9 2 4 2 2 2 2 2" xfId="47986"/>
    <cellStyle name="표준 9 2 4 2 2 2 2 3" xfId="47987"/>
    <cellStyle name="표준 9 2 4 2 2 2 3" xfId="47988"/>
    <cellStyle name="표준 9 2 4 2 2 2 4" xfId="47989"/>
    <cellStyle name="표준 9 2 4 2 2 3" xfId="47990"/>
    <cellStyle name="표준 9 2 4 2 2 3 2" xfId="47991"/>
    <cellStyle name="표준 9 2 4 2 2 3 3" xfId="47992"/>
    <cellStyle name="표준 9 2 4 2 2 4" xfId="47993"/>
    <cellStyle name="표준 9 2 4 2 2 5" xfId="47994"/>
    <cellStyle name="표준 9 2 4 2 3" xfId="47995"/>
    <cellStyle name="표준 9 2 4 2 3 2" xfId="47996"/>
    <cellStyle name="표준 9 2 4 2 3 2 2" xfId="47997"/>
    <cellStyle name="표준 9 2 4 2 3 2 2 2" xfId="47998"/>
    <cellStyle name="표준 9 2 4 2 3 2 2 3" xfId="47999"/>
    <cellStyle name="표준 9 2 4 2 3 2 3" xfId="48000"/>
    <cellStyle name="표준 9 2 4 2 3 2 4" xfId="48001"/>
    <cellStyle name="표준 9 2 4 2 3 3" xfId="48002"/>
    <cellStyle name="표준 9 2 4 2 3 3 2" xfId="48003"/>
    <cellStyle name="표준 9 2 4 2 3 3 3" xfId="48004"/>
    <cellStyle name="표준 9 2 4 2 3 4" xfId="48005"/>
    <cellStyle name="표준 9 2 4 2 3 5" xfId="48006"/>
    <cellStyle name="표준 9 2 4 2 4" xfId="48007"/>
    <cellStyle name="표준 9 2 4 2 4 2" xfId="48008"/>
    <cellStyle name="표준 9 2 4 2 4 2 2" xfId="48009"/>
    <cellStyle name="표준 9 2 4 2 4 2 3" xfId="48010"/>
    <cellStyle name="표준 9 2 4 2 4 3" xfId="48011"/>
    <cellStyle name="표준 9 2 4 2 4 4" xfId="48012"/>
    <cellStyle name="표준 9 2 4 2 5" xfId="48013"/>
    <cellStyle name="표준 9 2 4 2 5 2" xfId="48014"/>
    <cellStyle name="표준 9 2 4 2 5 3" xfId="48015"/>
    <cellStyle name="표준 9 2 4 2 6" xfId="48016"/>
    <cellStyle name="표준 9 2 4 2 7" xfId="48017"/>
    <cellStyle name="표준 9 2 4 3" xfId="48018"/>
    <cellStyle name="표준 9 2 4 3 2" xfId="48019"/>
    <cellStyle name="표준 9 2 4 3 2 2" xfId="48020"/>
    <cellStyle name="표준 9 2 4 3 2 2 2" xfId="48021"/>
    <cellStyle name="표준 9 2 4 3 2 2 2 2" xfId="48022"/>
    <cellStyle name="표준 9 2 4 3 2 2 2 3" xfId="48023"/>
    <cellStyle name="표준 9 2 4 3 2 2 3" xfId="48024"/>
    <cellStyle name="표준 9 2 4 3 2 2 4" xfId="48025"/>
    <cellStyle name="표준 9 2 4 3 2 3" xfId="48026"/>
    <cellStyle name="표준 9 2 4 3 2 3 2" xfId="48027"/>
    <cellStyle name="표준 9 2 4 3 2 3 3" xfId="48028"/>
    <cellStyle name="표준 9 2 4 3 2 4" xfId="48029"/>
    <cellStyle name="표준 9 2 4 3 2 5" xfId="48030"/>
    <cellStyle name="표준 9 2 4 3 3" xfId="48031"/>
    <cellStyle name="표준 9 2 4 3 3 2" xfId="48032"/>
    <cellStyle name="표준 9 2 4 3 3 2 2" xfId="48033"/>
    <cellStyle name="표준 9 2 4 3 3 2 2 2" xfId="48034"/>
    <cellStyle name="표준 9 2 4 3 3 2 2 3" xfId="48035"/>
    <cellStyle name="표준 9 2 4 3 3 2 3" xfId="48036"/>
    <cellStyle name="표준 9 2 4 3 3 2 4" xfId="48037"/>
    <cellStyle name="표준 9 2 4 3 3 3" xfId="48038"/>
    <cellStyle name="표준 9 2 4 3 3 3 2" xfId="48039"/>
    <cellStyle name="표준 9 2 4 3 3 3 3" xfId="48040"/>
    <cellStyle name="표준 9 2 4 3 3 4" xfId="48041"/>
    <cellStyle name="표준 9 2 4 3 3 5" xfId="48042"/>
    <cellStyle name="표준 9 2 4 3 4" xfId="48043"/>
    <cellStyle name="표준 9 2 4 3 4 2" xfId="48044"/>
    <cellStyle name="표준 9 2 4 3 4 2 2" xfId="48045"/>
    <cellStyle name="표준 9 2 4 3 4 2 3" xfId="48046"/>
    <cellStyle name="표준 9 2 4 3 4 3" xfId="48047"/>
    <cellStyle name="표준 9 2 4 3 4 4" xfId="48048"/>
    <cellStyle name="표준 9 2 4 3 5" xfId="48049"/>
    <cellStyle name="표준 9 2 4 3 5 2" xfId="48050"/>
    <cellStyle name="표준 9 2 4 3 5 3" xfId="48051"/>
    <cellStyle name="표준 9 2 4 3 6" xfId="48052"/>
    <cellStyle name="표준 9 2 4 3 7" xfId="48053"/>
    <cellStyle name="표준 9 2 4 4" xfId="48054"/>
    <cellStyle name="표준 9 2 4 4 2" xfId="48055"/>
    <cellStyle name="표준 9 2 4 4 2 2" xfId="48056"/>
    <cellStyle name="표준 9 2 4 4 2 2 2" xfId="48057"/>
    <cellStyle name="표준 9 2 4 4 2 2 3" xfId="48058"/>
    <cellStyle name="표준 9 2 4 4 2 3" xfId="48059"/>
    <cellStyle name="표준 9 2 4 4 2 4" xfId="48060"/>
    <cellStyle name="표준 9 2 4 4 3" xfId="48061"/>
    <cellStyle name="표준 9 2 4 4 3 2" xfId="48062"/>
    <cellStyle name="표준 9 2 4 4 3 3" xfId="48063"/>
    <cellStyle name="표준 9 2 4 4 4" xfId="48064"/>
    <cellStyle name="표준 9 2 4 4 5" xfId="48065"/>
    <cellStyle name="표준 9 2 4 5" xfId="48066"/>
    <cellStyle name="표준 9 2 4 5 2" xfId="48067"/>
    <cellStyle name="표준 9 2 4 5 2 2" xfId="48068"/>
    <cellStyle name="표준 9 2 4 5 2 2 2" xfId="48069"/>
    <cellStyle name="표준 9 2 4 5 2 2 3" xfId="48070"/>
    <cellStyle name="표준 9 2 4 5 2 3" xfId="48071"/>
    <cellStyle name="표준 9 2 4 5 2 4" xfId="48072"/>
    <cellStyle name="표준 9 2 4 5 3" xfId="48073"/>
    <cellStyle name="표준 9 2 4 5 3 2" xfId="48074"/>
    <cellStyle name="표준 9 2 4 5 3 3" xfId="48075"/>
    <cellStyle name="표준 9 2 4 5 4" xfId="48076"/>
    <cellStyle name="표준 9 2 4 5 5" xfId="48077"/>
    <cellStyle name="표준 9 2 4 6" xfId="48078"/>
    <cellStyle name="표준 9 2 4 6 2" xfId="48079"/>
    <cellStyle name="표준 9 2 4 6 2 2" xfId="48080"/>
    <cellStyle name="표준 9 2 4 6 2 2 2" xfId="48081"/>
    <cellStyle name="표준 9 2 4 6 2 2 3" xfId="48082"/>
    <cellStyle name="표준 9 2 4 6 2 3" xfId="48083"/>
    <cellStyle name="표준 9 2 4 6 2 4" xfId="48084"/>
    <cellStyle name="표준 9 2 4 6 3" xfId="48085"/>
    <cellStyle name="표준 9 2 4 6 3 2" xfId="48086"/>
    <cellStyle name="표준 9 2 4 6 3 3" xfId="48087"/>
    <cellStyle name="표준 9 2 4 6 4" xfId="48088"/>
    <cellStyle name="표준 9 2 4 6 5" xfId="48089"/>
    <cellStyle name="표준 9 2 4 7" xfId="48090"/>
    <cellStyle name="표준 9 2 4 7 2" xfId="48091"/>
    <cellStyle name="표준 9 2 4 7 2 2" xfId="48092"/>
    <cellStyle name="표준 9 2 4 7 2 3" xfId="48093"/>
    <cellStyle name="표준 9 2 4 7 3" xfId="48094"/>
    <cellStyle name="표준 9 2 4 7 4" xfId="48095"/>
    <cellStyle name="표준 9 2 4 8" xfId="48096"/>
    <cellStyle name="표준 9 2 4 8 2" xfId="48097"/>
    <cellStyle name="표준 9 2 4 8 3" xfId="48098"/>
    <cellStyle name="표준 9 2 4 9" xfId="48099"/>
    <cellStyle name="표준 9 2 5" xfId="48100"/>
    <cellStyle name="표준 9 2 5 10" xfId="48101"/>
    <cellStyle name="표준 9 2 5 2" xfId="48102"/>
    <cellStyle name="표준 9 2 5 2 2" xfId="48103"/>
    <cellStyle name="표준 9 2 5 2 2 2" xfId="48104"/>
    <cellStyle name="표준 9 2 5 2 2 2 2" xfId="48105"/>
    <cellStyle name="표준 9 2 5 2 2 2 2 2" xfId="48106"/>
    <cellStyle name="표준 9 2 5 2 2 2 2 3" xfId="48107"/>
    <cellStyle name="표준 9 2 5 2 2 2 3" xfId="48108"/>
    <cellStyle name="표준 9 2 5 2 2 2 4" xfId="48109"/>
    <cellStyle name="표준 9 2 5 2 2 3" xfId="48110"/>
    <cellStyle name="표준 9 2 5 2 2 3 2" xfId="48111"/>
    <cellStyle name="표준 9 2 5 2 2 3 3" xfId="48112"/>
    <cellStyle name="표준 9 2 5 2 2 4" xfId="48113"/>
    <cellStyle name="표준 9 2 5 2 2 5" xfId="48114"/>
    <cellStyle name="표준 9 2 5 2 3" xfId="48115"/>
    <cellStyle name="표준 9 2 5 2 3 2" xfId="48116"/>
    <cellStyle name="표준 9 2 5 2 3 2 2" xfId="48117"/>
    <cellStyle name="표준 9 2 5 2 3 2 2 2" xfId="48118"/>
    <cellStyle name="표준 9 2 5 2 3 2 2 3" xfId="48119"/>
    <cellStyle name="표준 9 2 5 2 3 2 3" xfId="48120"/>
    <cellStyle name="표준 9 2 5 2 3 2 4" xfId="48121"/>
    <cellStyle name="표준 9 2 5 2 3 3" xfId="48122"/>
    <cellStyle name="표준 9 2 5 2 3 3 2" xfId="48123"/>
    <cellStyle name="표준 9 2 5 2 3 3 3" xfId="48124"/>
    <cellStyle name="표준 9 2 5 2 3 4" xfId="48125"/>
    <cellStyle name="표준 9 2 5 2 3 5" xfId="48126"/>
    <cellStyle name="표준 9 2 5 2 4" xfId="48127"/>
    <cellStyle name="표준 9 2 5 2 4 2" xfId="48128"/>
    <cellStyle name="표준 9 2 5 2 4 2 2" xfId="48129"/>
    <cellStyle name="표준 9 2 5 2 4 2 3" xfId="48130"/>
    <cellStyle name="표준 9 2 5 2 4 3" xfId="48131"/>
    <cellStyle name="표준 9 2 5 2 4 4" xfId="48132"/>
    <cellStyle name="표준 9 2 5 2 5" xfId="48133"/>
    <cellStyle name="표준 9 2 5 2 5 2" xfId="48134"/>
    <cellStyle name="표준 9 2 5 2 5 3" xfId="48135"/>
    <cellStyle name="표준 9 2 5 2 6" xfId="48136"/>
    <cellStyle name="표준 9 2 5 2 7" xfId="48137"/>
    <cellStyle name="표준 9 2 5 3" xfId="48138"/>
    <cellStyle name="표준 9 2 5 3 2" xfId="48139"/>
    <cellStyle name="표준 9 2 5 3 2 2" xfId="48140"/>
    <cellStyle name="표준 9 2 5 3 2 2 2" xfId="48141"/>
    <cellStyle name="표준 9 2 5 3 2 2 2 2" xfId="48142"/>
    <cellStyle name="표준 9 2 5 3 2 2 2 3" xfId="48143"/>
    <cellStyle name="표준 9 2 5 3 2 2 3" xfId="48144"/>
    <cellStyle name="표준 9 2 5 3 2 2 4" xfId="48145"/>
    <cellStyle name="표준 9 2 5 3 2 3" xfId="48146"/>
    <cellStyle name="표준 9 2 5 3 2 3 2" xfId="48147"/>
    <cellStyle name="표준 9 2 5 3 2 3 3" xfId="48148"/>
    <cellStyle name="표준 9 2 5 3 2 4" xfId="48149"/>
    <cellStyle name="표준 9 2 5 3 2 5" xfId="48150"/>
    <cellStyle name="표준 9 2 5 3 3" xfId="48151"/>
    <cellStyle name="표준 9 2 5 3 3 2" xfId="48152"/>
    <cellStyle name="표준 9 2 5 3 3 2 2" xfId="48153"/>
    <cellStyle name="표준 9 2 5 3 3 2 2 2" xfId="48154"/>
    <cellStyle name="표준 9 2 5 3 3 2 2 3" xfId="48155"/>
    <cellStyle name="표준 9 2 5 3 3 2 3" xfId="48156"/>
    <cellStyle name="표준 9 2 5 3 3 2 4" xfId="48157"/>
    <cellStyle name="표준 9 2 5 3 3 3" xfId="48158"/>
    <cellStyle name="표준 9 2 5 3 3 3 2" xfId="48159"/>
    <cellStyle name="표준 9 2 5 3 3 3 3" xfId="48160"/>
    <cellStyle name="표준 9 2 5 3 3 4" xfId="48161"/>
    <cellStyle name="표준 9 2 5 3 3 5" xfId="48162"/>
    <cellStyle name="표준 9 2 5 3 4" xfId="48163"/>
    <cellStyle name="표준 9 2 5 3 4 2" xfId="48164"/>
    <cellStyle name="표준 9 2 5 3 4 2 2" xfId="48165"/>
    <cellStyle name="표준 9 2 5 3 4 2 3" xfId="48166"/>
    <cellStyle name="표준 9 2 5 3 4 3" xfId="48167"/>
    <cellStyle name="표준 9 2 5 3 4 4" xfId="48168"/>
    <cellStyle name="표준 9 2 5 3 5" xfId="48169"/>
    <cellStyle name="표준 9 2 5 3 5 2" xfId="48170"/>
    <cellStyle name="표준 9 2 5 3 5 3" xfId="48171"/>
    <cellStyle name="표준 9 2 5 3 6" xfId="48172"/>
    <cellStyle name="표준 9 2 5 3 7" xfId="48173"/>
    <cellStyle name="표준 9 2 5 4" xfId="48174"/>
    <cellStyle name="표준 9 2 5 4 2" xfId="48175"/>
    <cellStyle name="표준 9 2 5 4 2 2" xfId="48176"/>
    <cellStyle name="표준 9 2 5 4 2 2 2" xfId="48177"/>
    <cellStyle name="표준 9 2 5 4 2 2 3" xfId="48178"/>
    <cellStyle name="표준 9 2 5 4 2 3" xfId="48179"/>
    <cellStyle name="표준 9 2 5 4 2 4" xfId="48180"/>
    <cellStyle name="표준 9 2 5 4 3" xfId="48181"/>
    <cellStyle name="표준 9 2 5 4 3 2" xfId="48182"/>
    <cellStyle name="표준 9 2 5 4 3 3" xfId="48183"/>
    <cellStyle name="표준 9 2 5 4 4" xfId="48184"/>
    <cellStyle name="표준 9 2 5 4 5" xfId="48185"/>
    <cellStyle name="표준 9 2 5 5" xfId="48186"/>
    <cellStyle name="표준 9 2 5 5 2" xfId="48187"/>
    <cellStyle name="표준 9 2 5 5 2 2" xfId="48188"/>
    <cellStyle name="표준 9 2 5 5 2 2 2" xfId="48189"/>
    <cellStyle name="표준 9 2 5 5 2 2 3" xfId="48190"/>
    <cellStyle name="표준 9 2 5 5 2 3" xfId="48191"/>
    <cellStyle name="표준 9 2 5 5 2 4" xfId="48192"/>
    <cellStyle name="표준 9 2 5 5 3" xfId="48193"/>
    <cellStyle name="표준 9 2 5 5 3 2" xfId="48194"/>
    <cellStyle name="표준 9 2 5 5 3 3" xfId="48195"/>
    <cellStyle name="표준 9 2 5 5 4" xfId="48196"/>
    <cellStyle name="표준 9 2 5 5 5" xfId="48197"/>
    <cellStyle name="표준 9 2 5 6" xfId="48198"/>
    <cellStyle name="표준 9 2 5 6 2" xfId="48199"/>
    <cellStyle name="표준 9 2 5 6 2 2" xfId="48200"/>
    <cellStyle name="표준 9 2 5 6 2 2 2" xfId="48201"/>
    <cellStyle name="표준 9 2 5 6 2 2 3" xfId="48202"/>
    <cellStyle name="표준 9 2 5 6 2 3" xfId="48203"/>
    <cellStyle name="표준 9 2 5 6 2 4" xfId="48204"/>
    <cellStyle name="표준 9 2 5 6 3" xfId="48205"/>
    <cellStyle name="표준 9 2 5 6 3 2" xfId="48206"/>
    <cellStyle name="표준 9 2 5 6 3 3" xfId="48207"/>
    <cellStyle name="표준 9 2 5 6 4" xfId="48208"/>
    <cellStyle name="표준 9 2 5 6 5" xfId="48209"/>
    <cellStyle name="표준 9 2 5 7" xfId="48210"/>
    <cellStyle name="표준 9 2 5 7 2" xfId="48211"/>
    <cellStyle name="표준 9 2 5 7 2 2" xfId="48212"/>
    <cellStyle name="표준 9 2 5 7 2 3" xfId="48213"/>
    <cellStyle name="표준 9 2 5 7 3" xfId="48214"/>
    <cellStyle name="표준 9 2 5 7 4" xfId="48215"/>
    <cellStyle name="표준 9 2 5 8" xfId="48216"/>
    <cellStyle name="표준 9 2 5 8 2" xfId="48217"/>
    <cellStyle name="표준 9 2 5 8 3" xfId="48218"/>
    <cellStyle name="표준 9 2 5 9" xfId="48219"/>
    <cellStyle name="표준 9 2 6" xfId="48220"/>
    <cellStyle name="표준 9 2 6 2" xfId="48221"/>
    <cellStyle name="표준 9 2 6 2 2" xfId="48222"/>
    <cellStyle name="표준 9 2 6 2 2 2" xfId="48223"/>
    <cellStyle name="표준 9 2 6 2 2 2 2" xfId="48224"/>
    <cellStyle name="표준 9 2 6 2 2 2 3" xfId="48225"/>
    <cellStyle name="표준 9 2 6 2 2 3" xfId="48226"/>
    <cellStyle name="표준 9 2 6 2 2 4" xfId="48227"/>
    <cellStyle name="표준 9 2 6 2 3" xfId="48228"/>
    <cellStyle name="표준 9 2 6 2 3 2" xfId="48229"/>
    <cellStyle name="표준 9 2 6 2 3 3" xfId="48230"/>
    <cellStyle name="표준 9 2 6 2 4" xfId="48231"/>
    <cellStyle name="표준 9 2 6 2 5" xfId="48232"/>
    <cellStyle name="표준 9 2 6 3" xfId="48233"/>
    <cellStyle name="표준 9 2 6 3 2" xfId="48234"/>
    <cellStyle name="표준 9 2 6 3 2 2" xfId="48235"/>
    <cellStyle name="표준 9 2 6 3 2 2 2" xfId="48236"/>
    <cellStyle name="표준 9 2 6 3 2 2 3" xfId="48237"/>
    <cellStyle name="표준 9 2 6 3 2 3" xfId="48238"/>
    <cellStyle name="표준 9 2 6 3 2 4" xfId="48239"/>
    <cellStyle name="표준 9 2 6 3 3" xfId="48240"/>
    <cellStyle name="표준 9 2 6 3 3 2" xfId="48241"/>
    <cellStyle name="표준 9 2 6 3 3 3" xfId="48242"/>
    <cellStyle name="표준 9 2 6 3 4" xfId="48243"/>
    <cellStyle name="표준 9 2 6 3 5" xfId="48244"/>
    <cellStyle name="표준 9 2 6 4" xfId="48245"/>
    <cellStyle name="표준 9 2 6 4 2" xfId="48246"/>
    <cellStyle name="표준 9 2 6 4 2 2" xfId="48247"/>
    <cellStyle name="표준 9 2 6 4 2 3" xfId="48248"/>
    <cellStyle name="표준 9 2 6 4 3" xfId="48249"/>
    <cellStyle name="표준 9 2 6 4 4" xfId="48250"/>
    <cellStyle name="표준 9 2 6 5" xfId="48251"/>
    <cellStyle name="표준 9 2 6 5 2" xfId="48252"/>
    <cellStyle name="표준 9 2 6 5 3" xfId="48253"/>
    <cellStyle name="표준 9 2 6 6" xfId="48254"/>
    <cellStyle name="표준 9 2 6 7" xfId="48255"/>
    <cellStyle name="표준 9 2 7" xfId="48256"/>
    <cellStyle name="표준 9 2 7 2" xfId="48257"/>
    <cellStyle name="표준 9 2 7 2 2" xfId="48258"/>
    <cellStyle name="표준 9 2 7 2 2 2" xfId="48259"/>
    <cellStyle name="표준 9 2 7 2 2 2 2" xfId="48260"/>
    <cellStyle name="표준 9 2 7 2 2 2 3" xfId="48261"/>
    <cellStyle name="표준 9 2 7 2 2 3" xfId="48262"/>
    <cellStyle name="표준 9 2 7 2 2 4" xfId="48263"/>
    <cellStyle name="표준 9 2 7 2 3" xfId="48264"/>
    <cellStyle name="표준 9 2 7 2 3 2" xfId="48265"/>
    <cellStyle name="표준 9 2 7 2 3 3" xfId="48266"/>
    <cellStyle name="표준 9 2 7 2 4" xfId="48267"/>
    <cellStyle name="표준 9 2 7 2 5" xfId="48268"/>
    <cellStyle name="표준 9 2 7 3" xfId="48269"/>
    <cellStyle name="표준 9 2 7 3 2" xfId="48270"/>
    <cellStyle name="표준 9 2 7 3 2 2" xfId="48271"/>
    <cellStyle name="표준 9 2 7 3 2 2 2" xfId="48272"/>
    <cellStyle name="표준 9 2 7 3 2 2 3" xfId="48273"/>
    <cellStyle name="표준 9 2 7 3 2 3" xfId="48274"/>
    <cellStyle name="표준 9 2 7 3 2 4" xfId="48275"/>
    <cellStyle name="표준 9 2 7 3 3" xfId="48276"/>
    <cellStyle name="표준 9 2 7 3 3 2" xfId="48277"/>
    <cellStyle name="표준 9 2 7 3 3 3" xfId="48278"/>
    <cellStyle name="표준 9 2 7 3 4" xfId="48279"/>
    <cellStyle name="표준 9 2 7 3 5" xfId="48280"/>
    <cellStyle name="표준 9 2 7 4" xfId="48281"/>
    <cellStyle name="표준 9 2 7 4 2" xfId="48282"/>
    <cellStyle name="표준 9 2 7 4 2 2" xfId="48283"/>
    <cellStyle name="표준 9 2 7 4 2 3" xfId="48284"/>
    <cellStyle name="표준 9 2 7 4 3" xfId="48285"/>
    <cellStyle name="표준 9 2 7 4 4" xfId="48286"/>
    <cellStyle name="표준 9 2 7 5" xfId="48287"/>
    <cellStyle name="표준 9 2 7 5 2" xfId="48288"/>
    <cellStyle name="표준 9 2 7 5 3" xfId="48289"/>
    <cellStyle name="표준 9 2 7 6" xfId="48290"/>
    <cellStyle name="표준 9 2 7 7" xfId="48291"/>
    <cellStyle name="표준 9 2 8" xfId="48292"/>
    <cellStyle name="표준 9 2 8 2" xfId="48293"/>
    <cellStyle name="표준 9 2 8 2 2" xfId="48294"/>
    <cellStyle name="표준 9 2 8 2 2 2" xfId="48295"/>
    <cellStyle name="표준 9 2 8 2 2 3" xfId="48296"/>
    <cellStyle name="표준 9 2 8 2 3" xfId="48297"/>
    <cellStyle name="표준 9 2 8 2 4" xfId="48298"/>
    <cellStyle name="표준 9 2 8 3" xfId="48299"/>
    <cellStyle name="표준 9 2 8 3 2" xfId="48300"/>
    <cellStyle name="표준 9 2 8 3 3" xfId="48301"/>
    <cellStyle name="표준 9 2 8 4" xfId="48302"/>
    <cellStyle name="표준 9 2 8 5" xfId="48303"/>
    <cellStyle name="표준 9 2 9" xfId="48304"/>
    <cellStyle name="표준 9 2 9 2" xfId="48305"/>
    <cellStyle name="표준 9 2 9 2 2" xfId="48306"/>
    <cellStyle name="표준 9 2 9 2 2 2" xfId="48307"/>
    <cellStyle name="표준 9 2 9 2 2 3" xfId="48308"/>
    <cellStyle name="표준 9 2 9 2 3" xfId="48309"/>
    <cellStyle name="표준 9 2 9 2 4" xfId="48310"/>
    <cellStyle name="표준 9 2 9 3" xfId="48311"/>
    <cellStyle name="표준 9 2 9 3 2" xfId="48312"/>
    <cellStyle name="표준 9 2 9 3 3" xfId="48313"/>
    <cellStyle name="표준 9 2 9 4" xfId="48314"/>
    <cellStyle name="표준 9 2 9 5" xfId="48315"/>
    <cellStyle name="표준 9 20" xfId="48316"/>
    <cellStyle name="표준 9 21" xfId="48317"/>
    <cellStyle name="표준 9 3" xfId="48318"/>
    <cellStyle name="표준 9 3 10" xfId="48319"/>
    <cellStyle name="표준 9 3 10 2" xfId="48320"/>
    <cellStyle name="표준 9 3 10 2 2" xfId="48321"/>
    <cellStyle name="표준 9 3 10 2 2 2" xfId="48322"/>
    <cellStyle name="표준 9 3 10 2 2 3" xfId="48323"/>
    <cellStyle name="표준 9 3 10 2 3" xfId="48324"/>
    <cellStyle name="표준 9 3 10 2 4" xfId="48325"/>
    <cellStyle name="표준 9 3 10 3" xfId="48326"/>
    <cellStyle name="표준 9 3 10 3 2" xfId="48327"/>
    <cellStyle name="표준 9 3 10 3 3" xfId="48328"/>
    <cellStyle name="표준 9 3 10 4" xfId="48329"/>
    <cellStyle name="표준 9 3 10 5" xfId="48330"/>
    <cellStyle name="표준 9 3 11" xfId="48331"/>
    <cellStyle name="표준 9 3 11 2" xfId="48332"/>
    <cellStyle name="표준 9 3 11 2 2" xfId="48333"/>
    <cellStyle name="표준 9 3 11 2 3" xfId="48334"/>
    <cellStyle name="표준 9 3 11 3" xfId="48335"/>
    <cellStyle name="표준 9 3 11 4" xfId="48336"/>
    <cellStyle name="표준 9 3 12" xfId="48337"/>
    <cellStyle name="표준 9 3 12 2" xfId="48338"/>
    <cellStyle name="표준 9 3 12 3" xfId="48339"/>
    <cellStyle name="표준 9 3 13" xfId="48340"/>
    <cellStyle name="표준 9 3 14" xfId="48341"/>
    <cellStyle name="표준 9 3 15" xfId="48342"/>
    <cellStyle name="표준 9 3 2" xfId="48343"/>
    <cellStyle name="표준 9 3 2 10" xfId="48344"/>
    <cellStyle name="표준 9 3 2 10 2" xfId="48345"/>
    <cellStyle name="표준 9 3 2 10 2 2" xfId="48346"/>
    <cellStyle name="표준 9 3 2 10 2 3" xfId="48347"/>
    <cellStyle name="표준 9 3 2 10 3" xfId="48348"/>
    <cellStyle name="표준 9 3 2 10 4" xfId="48349"/>
    <cellStyle name="표준 9 3 2 11" xfId="48350"/>
    <cellStyle name="표준 9 3 2 11 2" xfId="48351"/>
    <cellStyle name="표준 9 3 2 11 3" xfId="48352"/>
    <cellStyle name="표준 9 3 2 12" xfId="48353"/>
    <cellStyle name="표준 9 3 2 13" xfId="48354"/>
    <cellStyle name="표준 9 3 2 2" xfId="48355"/>
    <cellStyle name="표준 9 3 2 2 10" xfId="48356"/>
    <cellStyle name="표준 9 3 2 2 2" xfId="48357"/>
    <cellStyle name="표준 9 3 2 2 2 2" xfId="48358"/>
    <cellStyle name="표준 9 3 2 2 2 2 2" xfId="48359"/>
    <cellStyle name="표준 9 3 2 2 2 2 2 2" xfId="48360"/>
    <cellStyle name="표준 9 3 2 2 2 2 2 2 2" xfId="48361"/>
    <cellStyle name="표준 9 3 2 2 2 2 2 2 3" xfId="48362"/>
    <cellStyle name="표준 9 3 2 2 2 2 2 3" xfId="48363"/>
    <cellStyle name="표준 9 3 2 2 2 2 2 4" xfId="48364"/>
    <cellStyle name="표준 9 3 2 2 2 2 3" xfId="48365"/>
    <cellStyle name="표준 9 3 2 2 2 2 3 2" xfId="48366"/>
    <cellStyle name="표준 9 3 2 2 2 2 3 3" xfId="48367"/>
    <cellStyle name="표준 9 3 2 2 2 2 4" xfId="48368"/>
    <cellStyle name="표준 9 3 2 2 2 2 5" xfId="48369"/>
    <cellStyle name="표준 9 3 2 2 2 3" xfId="48370"/>
    <cellStyle name="표준 9 3 2 2 2 3 2" xfId="48371"/>
    <cellStyle name="표준 9 3 2 2 2 3 2 2" xfId="48372"/>
    <cellStyle name="표준 9 3 2 2 2 3 2 2 2" xfId="48373"/>
    <cellStyle name="표준 9 3 2 2 2 3 2 2 3" xfId="48374"/>
    <cellStyle name="표준 9 3 2 2 2 3 2 3" xfId="48375"/>
    <cellStyle name="표준 9 3 2 2 2 3 2 4" xfId="48376"/>
    <cellStyle name="표준 9 3 2 2 2 3 3" xfId="48377"/>
    <cellStyle name="표준 9 3 2 2 2 3 3 2" xfId="48378"/>
    <cellStyle name="표준 9 3 2 2 2 3 3 3" xfId="48379"/>
    <cellStyle name="표준 9 3 2 2 2 3 4" xfId="48380"/>
    <cellStyle name="표준 9 3 2 2 2 3 5" xfId="48381"/>
    <cellStyle name="표준 9 3 2 2 2 4" xfId="48382"/>
    <cellStyle name="표준 9 3 2 2 2 4 2" xfId="48383"/>
    <cellStyle name="표준 9 3 2 2 2 4 2 2" xfId="48384"/>
    <cellStyle name="표준 9 3 2 2 2 4 2 3" xfId="48385"/>
    <cellStyle name="표준 9 3 2 2 2 4 3" xfId="48386"/>
    <cellStyle name="표준 9 3 2 2 2 4 4" xfId="48387"/>
    <cellStyle name="표준 9 3 2 2 2 5" xfId="48388"/>
    <cellStyle name="표준 9 3 2 2 2 5 2" xfId="48389"/>
    <cellStyle name="표준 9 3 2 2 2 5 3" xfId="48390"/>
    <cellStyle name="표준 9 3 2 2 2 6" xfId="48391"/>
    <cellStyle name="표준 9 3 2 2 2 7" xfId="48392"/>
    <cellStyle name="표준 9 3 2 2 3" xfId="48393"/>
    <cellStyle name="표준 9 3 2 2 3 2" xfId="48394"/>
    <cellStyle name="표준 9 3 2 2 3 2 2" xfId="48395"/>
    <cellStyle name="표준 9 3 2 2 3 2 2 2" xfId="48396"/>
    <cellStyle name="표준 9 3 2 2 3 2 2 2 2" xfId="48397"/>
    <cellStyle name="표준 9 3 2 2 3 2 2 2 3" xfId="48398"/>
    <cellStyle name="표준 9 3 2 2 3 2 2 3" xfId="48399"/>
    <cellStyle name="표준 9 3 2 2 3 2 2 4" xfId="48400"/>
    <cellStyle name="표준 9 3 2 2 3 2 3" xfId="48401"/>
    <cellStyle name="표준 9 3 2 2 3 2 3 2" xfId="48402"/>
    <cellStyle name="표준 9 3 2 2 3 2 3 3" xfId="48403"/>
    <cellStyle name="표준 9 3 2 2 3 2 4" xfId="48404"/>
    <cellStyle name="표준 9 3 2 2 3 2 5" xfId="48405"/>
    <cellStyle name="표준 9 3 2 2 3 3" xfId="48406"/>
    <cellStyle name="표준 9 3 2 2 3 3 2" xfId="48407"/>
    <cellStyle name="표준 9 3 2 2 3 3 2 2" xfId="48408"/>
    <cellStyle name="표준 9 3 2 2 3 3 2 2 2" xfId="48409"/>
    <cellStyle name="표준 9 3 2 2 3 3 2 2 3" xfId="48410"/>
    <cellStyle name="표준 9 3 2 2 3 3 2 3" xfId="48411"/>
    <cellStyle name="표준 9 3 2 2 3 3 2 4" xfId="48412"/>
    <cellStyle name="표준 9 3 2 2 3 3 3" xfId="48413"/>
    <cellStyle name="표준 9 3 2 2 3 3 3 2" xfId="48414"/>
    <cellStyle name="표준 9 3 2 2 3 3 3 3" xfId="48415"/>
    <cellStyle name="표준 9 3 2 2 3 3 4" xfId="48416"/>
    <cellStyle name="표준 9 3 2 2 3 3 5" xfId="48417"/>
    <cellStyle name="표준 9 3 2 2 3 4" xfId="48418"/>
    <cellStyle name="표준 9 3 2 2 3 4 2" xfId="48419"/>
    <cellStyle name="표준 9 3 2 2 3 4 2 2" xfId="48420"/>
    <cellStyle name="표준 9 3 2 2 3 4 2 3" xfId="48421"/>
    <cellStyle name="표준 9 3 2 2 3 4 3" xfId="48422"/>
    <cellStyle name="표준 9 3 2 2 3 4 4" xfId="48423"/>
    <cellStyle name="표준 9 3 2 2 3 5" xfId="48424"/>
    <cellStyle name="표준 9 3 2 2 3 5 2" xfId="48425"/>
    <cellStyle name="표준 9 3 2 2 3 5 3" xfId="48426"/>
    <cellStyle name="표준 9 3 2 2 3 6" xfId="48427"/>
    <cellStyle name="표준 9 3 2 2 3 7" xfId="48428"/>
    <cellStyle name="표준 9 3 2 2 4" xfId="48429"/>
    <cellStyle name="표준 9 3 2 2 4 2" xfId="48430"/>
    <cellStyle name="표준 9 3 2 2 4 2 2" xfId="48431"/>
    <cellStyle name="표준 9 3 2 2 4 2 2 2" xfId="48432"/>
    <cellStyle name="표준 9 3 2 2 4 2 2 3" xfId="48433"/>
    <cellStyle name="표준 9 3 2 2 4 2 3" xfId="48434"/>
    <cellStyle name="표준 9 3 2 2 4 2 4" xfId="48435"/>
    <cellStyle name="표준 9 3 2 2 4 3" xfId="48436"/>
    <cellStyle name="표준 9 3 2 2 4 3 2" xfId="48437"/>
    <cellStyle name="표준 9 3 2 2 4 3 3" xfId="48438"/>
    <cellStyle name="표준 9 3 2 2 4 4" xfId="48439"/>
    <cellStyle name="표준 9 3 2 2 4 5" xfId="48440"/>
    <cellStyle name="표준 9 3 2 2 5" xfId="48441"/>
    <cellStyle name="표준 9 3 2 2 5 2" xfId="48442"/>
    <cellStyle name="표준 9 3 2 2 5 2 2" xfId="48443"/>
    <cellStyle name="표준 9 3 2 2 5 2 2 2" xfId="48444"/>
    <cellStyle name="표준 9 3 2 2 5 2 2 3" xfId="48445"/>
    <cellStyle name="표준 9 3 2 2 5 2 3" xfId="48446"/>
    <cellStyle name="표준 9 3 2 2 5 2 4" xfId="48447"/>
    <cellStyle name="표준 9 3 2 2 5 3" xfId="48448"/>
    <cellStyle name="표준 9 3 2 2 5 3 2" xfId="48449"/>
    <cellStyle name="표준 9 3 2 2 5 3 3" xfId="48450"/>
    <cellStyle name="표준 9 3 2 2 5 4" xfId="48451"/>
    <cellStyle name="표준 9 3 2 2 5 5" xfId="48452"/>
    <cellStyle name="표준 9 3 2 2 6" xfId="48453"/>
    <cellStyle name="표준 9 3 2 2 6 2" xfId="48454"/>
    <cellStyle name="표준 9 3 2 2 6 2 2" xfId="48455"/>
    <cellStyle name="표준 9 3 2 2 6 2 2 2" xfId="48456"/>
    <cellStyle name="표준 9 3 2 2 6 2 2 3" xfId="48457"/>
    <cellStyle name="표준 9 3 2 2 6 2 3" xfId="48458"/>
    <cellStyle name="표준 9 3 2 2 6 2 4" xfId="48459"/>
    <cellStyle name="표준 9 3 2 2 6 3" xfId="48460"/>
    <cellStyle name="표준 9 3 2 2 6 3 2" xfId="48461"/>
    <cellStyle name="표준 9 3 2 2 6 3 3" xfId="48462"/>
    <cellStyle name="표준 9 3 2 2 6 4" xfId="48463"/>
    <cellStyle name="표준 9 3 2 2 6 5" xfId="48464"/>
    <cellStyle name="표준 9 3 2 2 7" xfId="48465"/>
    <cellStyle name="표준 9 3 2 2 7 2" xfId="48466"/>
    <cellStyle name="표준 9 3 2 2 7 2 2" xfId="48467"/>
    <cellStyle name="표준 9 3 2 2 7 2 3" xfId="48468"/>
    <cellStyle name="표준 9 3 2 2 7 3" xfId="48469"/>
    <cellStyle name="표준 9 3 2 2 7 4" xfId="48470"/>
    <cellStyle name="표준 9 3 2 2 8" xfId="48471"/>
    <cellStyle name="표준 9 3 2 2 8 2" xfId="48472"/>
    <cellStyle name="표준 9 3 2 2 8 3" xfId="48473"/>
    <cellStyle name="표준 9 3 2 2 9" xfId="48474"/>
    <cellStyle name="표준 9 3 2 3" xfId="48475"/>
    <cellStyle name="표준 9 3 2 3 10" xfId="48476"/>
    <cellStyle name="표준 9 3 2 3 2" xfId="48477"/>
    <cellStyle name="표준 9 3 2 3 2 2" xfId="48478"/>
    <cellStyle name="표준 9 3 2 3 2 2 2" xfId="48479"/>
    <cellStyle name="표준 9 3 2 3 2 2 2 2" xfId="48480"/>
    <cellStyle name="표준 9 3 2 3 2 2 2 2 2" xfId="48481"/>
    <cellStyle name="표준 9 3 2 3 2 2 2 2 3" xfId="48482"/>
    <cellStyle name="표준 9 3 2 3 2 2 2 3" xfId="48483"/>
    <cellStyle name="표준 9 3 2 3 2 2 2 4" xfId="48484"/>
    <cellStyle name="표준 9 3 2 3 2 2 3" xfId="48485"/>
    <cellStyle name="표준 9 3 2 3 2 2 3 2" xfId="48486"/>
    <cellStyle name="표준 9 3 2 3 2 2 3 3" xfId="48487"/>
    <cellStyle name="표준 9 3 2 3 2 2 4" xfId="48488"/>
    <cellStyle name="표준 9 3 2 3 2 2 5" xfId="48489"/>
    <cellStyle name="표준 9 3 2 3 2 3" xfId="48490"/>
    <cellStyle name="표준 9 3 2 3 2 3 2" xfId="48491"/>
    <cellStyle name="표준 9 3 2 3 2 3 2 2" xfId="48492"/>
    <cellStyle name="표준 9 3 2 3 2 3 2 2 2" xfId="48493"/>
    <cellStyle name="표준 9 3 2 3 2 3 2 2 3" xfId="48494"/>
    <cellStyle name="표준 9 3 2 3 2 3 2 3" xfId="48495"/>
    <cellStyle name="표준 9 3 2 3 2 3 2 4" xfId="48496"/>
    <cellStyle name="표준 9 3 2 3 2 3 3" xfId="48497"/>
    <cellStyle name="표준 9 3 2 3 2 3 3 2" xfId="48498"/>
    <cellStyle name="표준 9 3 2 3 2 3 3 3" xfId="48499"/>
    <cellStyle name="표준 9 3 2 3 2 3 4" xfId="48500"/>
    <cellStyle name="표준 9 3 2 3 2 3 5" xfId="48501"/>
    <cellStyle name="표준 9 3 2 3 2 4" xfId="48502"/>
    <cellStyle name="표준 9 3 2 3 2 4 2" xfId="48503"/>
    <cellStyle name="표준 9 3 2 3 2 4 2 2" xfId="48504"/>
    <cellStyle name="표준 9 3 2 3 2 4 2 3" xfId="48505"/>
    <cellStyle name="표준 9 3 2 3 2 4 3" xfId="48506"/>
    <cellStyle name="표준 9 3 2 3 2 4 4" xfId="48507"/>
    <cellStyle name="표준 9 3 2 3 2 5" xfId="48508"/>
    <cellStyle name="표준 9 3 2 3 2 5 2" xfId="48509"/>
    <cellStyle name="표준 9 3 2 3 2 5 3" xfId="48510"/>
    <cellStyle name="표준 9 3 2 3 2 6" xfId="48511"/>
    <cellStyle name="표준 9 3 2 3 2 7" xfId="48512"/>
    <cellStyle name="표준 9 3 2 3 3" xfId="48513"/>
    <cellStyle name="표준 9 3 2 3 3 2" xfId="48514"/>
    <cellStyle name="표준 9 3 2 3 3 2 2" xfId="48515"/>
    <cellStyle name="표준 9 3 2 3 3 2 2 2" xfId="48516"/>
    <cellStyle name="표준 9 3 2 3 3 2 2 2 2" xfId="48517"/>
    <cellStyle name="표준 9 3 2 3 3 2 2 2 3" xfId="48518"/>
    <cellStyle name="표준 9 3 2 3 3 2 2 3" xfId="48519"/>
    <cellStyle name="표준 9 3 2 3 3 2 2 4" xfId="48520"/>
    <cellStyle name="표준 9 3 2 3 3 2 3" xfId="48521"/>
    <cellStyle name="표준 9 3 2 3 3 2 3 2" xfId="48522"/>
    <cellStyle name="표준 9 3 2 3 3 2 3 3" xfId="48523"/>
    <cellStyle name="표준 9 3 2 3 3 2 4" xfId="48524"/>
    <cellStyle name="표준 9 3 2 3 3 2 5" xfId="48525"/>
    <cellStyle name="표준 9 3 2 3 3 3" xfId="48526"/>
    <cellStyle name="표준 9 3 2 3 3 3 2" xfId="48527"/>
    <cellStyle name="표준 9 3 2 3 3 3 2 2" xfId="48528"/>
    <cellStyle name="표준 9 3 2 3 3 3 2 2 2" xfId="48529"/>
    <cellStyle name="표준 9 3 2 3 3 3 2 2 3" xfId="48530"/>
    <cellStyle name="표준 9 3 2 3 3 3 2 3" xfId="48531"/>
    <cellStyle name="표준 9 3 2 3 3 3 2 4" xfId="48532"/>
    <cellStyle name="표준 9 3 2 3 3 3 3" xfId="48533"/>
    <cellStyle name="표준 9 3 2 3 3 3 3 2" xfId="48534"/>
    <cellStyle name="표준 9 3 2 3 3 3 3 3" xfId="48535"/>
    <cellStyle name="표준 9 3 2 3 3 3 4" xfId="48536"/>
    <cellStyle name="표준 9 3 2 3 3 3 5" xfId="48537"/>
    <cellStyle name="표준 9 3 2 3 3 4" xfId="48538"/>
    <cellStyle name="표준 9 3 2 3 3 4 2" xfId="48539"/>
    <cellStyle name="표준 9 3 2 3 3 4 2 2" xfId="48540"/>
    <cellStyle name="표준 9 3 2 3 3 4 2 3" xfId="48541"/>
    <cellStyle name="표준 9 3 2 3 3 4 3" xfId="48542"/>
    <cellStyle name="표준 9 3 2 3 3 4 4" xfId="48543"/>
    <cellStyle name="표준 9 3 2 3 3 5" xfId="48544"/>
    <cellStyle name="표준 9 3 2 3 3 5 2" xfId="48545"/>
    <cellStyle name="표준 9 3 2 3 3 5 3" xfId="48546"/>
    <cellStyle name="표준 9 3 2 3 3 6" xfId="48547"/>
    <cellStyle name="표준 9 3 2 3 3 7" xfId="48548"/>
    <cellStyle name="표준 9 3 2 3 4" xfId="48549"/>
    <cellStyle name="표준 9 3 2 3 4 2" xfId="48550"/>
    <cellStyle name="표준 9 3 2 3 4 2 2" xfId="48551"/>
    <cellStyle name="표준 9 3 2 3 4 2 2 2" xfId="48552"/>
    <cellStyle name="표준 9 3 2 3 4 2 2 3" xfId="48553"/>
    <cellStyle name="표준 9 3 2 3 4 2 3" xfId="48554"/>
    <cellStyle name="표준 9 3 2 3 4 2 4" xfId="48555"/>
    <cellStyle name="표준 9 3 2 3 4 3" xfId="48556"/>
    <cellStyle name="표준 9 3 2 3 4 3 2" xfId="48557"/>
    <cellStyle name="표준 9 3 2 3 4 3 3" xfId="48558"/>
    <cellStyle name="표준 9 3 2 3 4 4" xfId="48559"/>
    <cellStyle name="표준 9 3 2 3 4 5" xfId="48560"/>
    <cellStyle name="표준 9 3 2 3 5" xfId="48561"/>
    <cellStyle name="표준 9 3 2 3 5 2" xfId="48562"/>
    <cellStyle name="표준 9 3 2 3 5 2 2" xfId="48563"/>
    <cellStyle name="표준 9 3 2 3 5 2 2 2" xfId="48564"/>
    <cellStyle name="표준 9 3 2 3 5 2 2 3" xfId="48565"/>
    <cellStyle name="표준 9 3 2 3 5 2 3" xfId="48566"/>
    <cellStyle name="표준 9 3 2 3 5 2 4" xfId="48567"/>
    <cellStyle name="표준 9 3 2 3 5 3" xfId="48568"/>
    <cellStyle name="표준 9 3 2 3 5 3 2" xfId="48569"/>
    <cellStyle name="표준 9 3 2 3 5 3 3" xfId="48570"/>
    <cellStyle name="표준 9 3 2 3 5 4" xfId="48571"/>
    <cellStyle name="표준 9 3 2 3 5 5" xfId="48572"/>
    <cellStyle name="표준 9 3 2 3 6" xfId="48573"/>
    <cellStyle name="표준 9 3 2 3 6 2" xfId="48574"/>
    <cellStyle name="표준 9 3 2 3 6 2 2" xfId="48575"/>
    <cellStyle name="표준 9 3 2 3 6 2 2 2" xfId="48576"/>
    <cellStyle name="표준 9 3 2 3 6 2 2 3" xfId="48577"/>
    <cellStyle name="표준 9 3 2 3 6 2 3" xfId="48578"/>
    <cellStyle name="표준 9 3 2 3 6 2 4" xfId="48579"/>
    <cellStyle name="표준 9 3 2 3 6 3" xfId="48580"/>
    <cellStyle name="표준 9 3 2 3 6 3 2" xfId="48581"/>
    <cellStyle name="표준 9 3 2 3 6 3 3" xfId="48582"/>
    <cellStyle name="표준 9 3 2 3 6 4" xfId="48583"/>
    <cellStyle name="표준 9 3 2 3 6 5" xfId="48584"/>
    <cellStyle name="표준 9 3 2 3 7" xfId="48585"/>
    <cellStyle name="표준 9 3 2 3 7 2" xfId="48586"/>
    <cellStyle name="표준 9 3 2 3 7 2 2" xfId="48587"/>
    <cellStyle name="표준 9 3 2 3 7 2 3" xfId="48588"/>
    <cellStyle name="표준 9 3 2 3 7 3" xfId="48589"/>
    <cellStyle name="표준 9 3 2 3 7 4" xfId="48590"/>
    <cellStyle name="표준 9 3 2 3 8" xfId="48591"/>
    <cellStyle name="표준 9 3 2 3 8 2" xfId="48592"/>
    <cellStyle name="표준 9 3 2 3 8 3" xfId="48593"/>
    <cellStyle name="표준 9 3 2 3 9" xfId="48594"/>
    <cellStyle name="표준 9 3 2 4" xfId="48595"/>
    <cellStyle name="표준 9 3 2 4 10" xfId="48596"/>
    <cellStyle name="표준 9 3 2 4 2" xfId="48597"/>
    <cellStyle name="표준 9 3 2 4 2 2" xfId="48598"/>
    <cellStyle name="표준 9 3 2 4 2 2 2" xfId="48599"/>
    <cellStyle name="표준 9 3 2 4 2 2 2 2" xfId="48600"/>
    <cellStyle name="표준 9 3 2 4 2 2 2 2 2" xfId="48601"/>
    <cellStyle name="표준 9 3 2 4 2 2 2 2 3" xfId="48602"/>
    <cellStyle name="표준 9 3 2 4 2 2 2 3" xfId="48603"/>
    <cellStyle name="표준 9 3 2 4 2 2 2 4" xfId="48604"/>
    <cellStyle name="표준 9 3 2 4 2 2 3" xfId="48605"/>
    <cellStyle name="표준 9 3 2 4 2 2 3 2" xfId="48606"/>
    <cellStyle name="표준 9 3 2 4 2 2 3 3" xfId="48607"/>
    <cellStyle name="표준 9 3 2 4 2 2 4" xfId="48608"/>
    <cellStyle name="표준 9 3 2 4 2 2 5" xfId="48609"/>
    <cellStyle name="표준 9 3 2 4 2 3" xfId="48610"/>
    <cellStyle name="표준 9 3 2 4 2 3 2" xfId="48611"/>
    <cellStyle name="표준 9 3 2 4 2 3 2 2" xfId="48612"/>
    <cellStyle name="표준 9 3 2 4 2 3 2 2 2" xfId="48613"/>
    <cellStyle name="표준 9 3 2 4 2 3 2 2 3" xfId="48614"/>
    <cellStyle name="표준 9 3 2 4 2 3 2 3" xfId="48615"/>
    <cellStyle name="표준 9 3 2 4 2 3 2 4" xfId="48616"/>
    <cellStyle name="표준 9 3 2 4 2 3 3" xfId="48617"/>
    <cellStyle name="표준 9 3 2 4 2 3 3 2" xfId="48618"/>
    <cellStyle name="표준 9 3 2 4 2 3 3 3" xfId="48619"/>
    <cellStyle name="표준 9 3 2 4 2 3 4" xfId="48620"/>
    <cellStyle name="표준 9 3 2 4 2 3 5" xfId="48621"/>
    <cellStyle name="표준 9 3 2 4 2 4" xfId="48622"/>
    <cellStyle name="표준 9 3 2 4 2 4 2" xfId="48623"/>
    <cellStyle name="표준 9 3 2 4 2 4 2 2" xfId="48624"/>
    <cellStyle name="표준 9 3 2 4 2 4 2 3" xfId="48625"/>
    <cellStyle name="표준 9 3 2 4 2 4 3" xfId="48626"/>
    <cellStyle name="표준 9 3 2 4 2 4 4" xfId="48627"/>
    <cellStyle name="표준 9 3 2 4 2 5" xfId="48628"/>
    <cellStyle name="표준 9 3 2 4 2 5 2" xfId="48629"/>
    <cellStyle name="표준 9 3 2 4 2 5 3" xfId="48630"/>
    <cellStyle name="표준 9 3 2 4 2 6" xfId="48631"/>
    <cellStyle name="표준 9 3 2 4 2 7" xfId="48632"/>
    <cellStyle name="표준 9 3 2 4 3" xfId="48633"/>
    <cellStyle name="표준 9 3 2 4 3 2" xfId="48634"/>
    <cellStyle name="표준 9 3 2 4 3 2 2" xfId="48635"/>
    <cellStyle name="표준 9 3 2 4 3 2 2 2" xfId="48636"/>
    <cellStyle name="표준 9 3 2 4 3 2 2 2 2" xfId="48637"/>
    <cellStyle name="표준 9 3 2 4 3 2 2 2 3" xfId="48638"/>
    <cellStyle name="표준 9 3 2 4 3 2 2 3" xfId="48639"/>
    <cellStyle name="표준 9 3 2 4 3 2 2 4" xfId="48640"/>
    <cellStyle name="표준 9 3 2 4 3 2 3" xfId="48641"/>
    <cellStyle name="표준 9 3 2 4 3 2 3 2" xfId="48642"/>
    <cellStyle name="표준 9 3 2 4 3 2 3 3" xfId="48643"/>
    <cellStyle name="표준 9 3 2 4 3 2 4" xfId="48644"/>
    <cellStyle name="표준 9 3 2 4 3 2 5" xfId="48645"/>
    <cellStyle name="표준 9 3 2 4 3 3" xfId="48646"/>
    <cellStyle name="표준 9 3 2 4 3 3 2" xfId="48647"/>
    <cellStyle name="표준 9 3 2 4 3 3 2 2" xfId="48648"/>
    <cellStyle name="표준 9 3 2 4 3 3 2 2 2" xfId="48649"/>
    <cellStyle name="표준 9 3 2 4 3 3 2 2 3" xfId="48650"/>
    <cellStyle name="표준 9 3 2 4 3 3 2 3" xfId="48651"/>
    <cellStyle name="표준 9 3 2 4 3 3 2 4" xfId="48652"/>
    <cellStyle name="표준 9 3 2 4 3 3 3" xfId="48653"/>
    <cellStyle name="표준 9 3 2 4 3 3 3 2" xfId="48654"/>
    <cellStyle name="표준 9 3 2 4 3 3 3 3" xfId="48655"/>
    <cellStyle name="표준 9 3 2 4 3 3 4" xfId="48656"/>
    <cellStyle name="표준 9 3 2 4 3 3 5" xfId="48657"/>
    <cellStyle name="표준 9 3 2 4 3 4" xfId="48658"/>
    <cellStyle name="표준 9 3 2 4 3 4 2" xfId="48659"/>
    <cellStyle name="표준 9 3 2 4 3 4 2 2" xfId="48660"/>
    <cellStyle name="표준 9 3 2 4 3 4 2 3" xfId="48661"/>
    <cellStyle name="표준 9 3 2 4 3 4 3" xfId="48662"/>
    <cellStyle name="표준 9 3 2 4 3 4 4" xfId="48663"/>
    <cellStyle name="표준 9 3 2 4 3 5" xfId="48664"/>
    <cellStyle name="표준 9 3 2 4 3 5 2" xfId="48665"/>
    <cellStyle name="표준 9 3 2 4 3 5 3" xfId="48666"/>
    <cellStyle name="표준 9 3 2 4 3 6" xfId="48667"/>
    <cellStyle name="표준 9 3 2 4 3 7" xfId="48668"/>
    <cellStyle name="표준 9 3 2 4 4" xfId="48669"/>
    <cellStyle name="표준 9 3 2 4 4 2" xfId="48670"/>
    <cellStyle name="표준 9 3 2 4 4 2 2" xfId="48671"/>
    <cellStyle name="표준 9 3 2 4 4 2 2 2" xfId="48672"/>
    <cellStyle name="표준 9 3 2 4 4 2 2 3" xfId="48673"/>
    <cellStyle name="표준 9 3 2 4 4 2 3" xfId="48674"/>
    <cellStyle name="표준 9 3 2 4 4 2 4" xfId="48675"/>
    <cellStyle name="표준 9 3 2 4 4 3" xfId="48676"/>
    <cellStyle name="표준 9 3 2 4 4 3 2" xfId="48677"/>
    <cellStyle name="표준 9 3 2 4 4 3 3" xfId="48678"/>
    <cellStyle name="표준 9 3 2 4 4 4" xfId="48679"/>
    <cellStyle name="표준 9 3 2 4 4 5" xfId="48680"/>
    <cellStyle name="표준 9 3 2 4 5" xfId="48681"/>
    <cellStyle name="표준 9 3 2 4 5 2" xfId="48682"/>
    <cellStyle name="표준 9 3 2 4 5 2 2" xfId="48683"/>
    <cellStyle name="표준 9 3 2 4 5 2 2 2" xfId="48684"/>
    <cellStyle name="표준 9 3 2 4 5 2 2 3" xfId="48685"/>
    <cellStyle name="표준 9 3 2 4 5 2 3" xfId="48686"/>
    <cellStyle name="표준 9 3 2 4 5 2 4" xfId="48687"/>
    <cellStyle name="표준 9 3 2 4 5 3" xfId="48688"/>
    <cellStyle name="표준 9 3 2 4 5 3 2" xfId="48689"/>
    <cellStyle name="표준 9 3 2 4 5 3 3" xfId="48690"/>
    <cellStyle name="표준 9 3 2 4 5 4" xfId="48691"/>
    <cellStyle name="표준 9 3 2 4 5 5" xfId="48692"/>
    <cellStyle name="표준 9 3 2 4 6" xfId="48693"/>
    <cellStyle name="표준 9 3 2 4 6 2" xfId="48694"/>
    <cellStyle name="표준 9 3 2 4 6 2 2" xfId="48695"/>
    <cellStyle name="표준 9 3 2 4 6 2 2 2" xfId="48696"/>
    <cellStyle name="표준 9 3 2 4 6 2 2 3" xfId="48697"/>
    <cellStyle name="표준 9 3 2 4 6 2 3" xfId="48698"/>
    <cellStyle name="표준 9 3 2 4 6 2 4" xfId="48699"/>
    <cellStyle name="표준 9 3 2 4 6 3" xfId="48700"/>
    <cellStyle name="표준 9 3 2 4 6 3 2" xfId="48701"/>
    <cellStyle name="표준 9 3 2 4 6 3 3" xfId="48702"/>
    <cellStyle name="표준 9 3 2 4 6 4" xfId="48703"/>
    <cellStyle name="표준 9 3 2 4 6 5" xfId="48704"/>
    <cellStyle name="표준 9 3 2 4 7" xfId="48705"/>
    <cellStyle name="표준 9 3 2 4 7 2" xfId="48706"/>
    <cellStyle name="표준 9 3 2 4 7 2 2" xfId="48707"/>
    <cellStyle name="표준 9 3 2 4 7 2 3" xfId="48708"/>
    <cellStyle name="표준 9 3 2 4 7 3" xfId="48709"/>
    <cellStyle name="표준 9 3 2 4 7 4" xfId="48710"/>
    <cellStyle name="표준 9 3 2 4 8" xfId="48711"/>
    <cellStyle name="표준 9 3 2 4 8 2" xfId="48712"/>
    <cellStyle name="표준 9 3 2 4 8 3" xfId="48713"/>
    <cellStyle name="표준 9 3 2 4 9" xfId="48714"/>
    <cellStyle name="표준 9 3 2 5" xfId="48715"/>
    <cellStyle name="표준 9 3 2 5 2" xfId="48716"/>
    <cellStyle name="표준 9 3 2 5 2 2" xfId="48717"/>
    <cellStyle name="표준 9 3 2 5 2 2 2" xfId="48718"/>
    <cellStyle name="표준 9 3 2 5 2 2 2 2" xfId="48719"/>
    <cellStyle name="표준 9 3 2 5 2 2 2 3" xfId="48720"/>
    <cellStyle name="표준 9 3 2 5 2 2 3" xfId="48721"/>
    <cellStyle name="표준 9 3 2 5 2 2 4" xfId="48722"/>
    <cellStyle name="표준 9 3 2 5 2 3" xfId="48723"/>
    <cellStyle name="표준 9 3 2 5 2 3 2" xfId="48724"/>
    <cellStyle name="표준 9 3 2 5 2 3 3" xfId="48725"/>
    <cellStyle name="표준 9 3 2 5 2 4" xfId="48726"/>
    <cellStyle name="표준 9 3 2 5 2 5" xfId="48727"/>
    <cellStyle name="표준 9 3 2 5 3" xfId="48728"/>
    <cellStyle name="표준 9 3 2 5 3 2" xfId="48729"/>
    <cellStyle name="표준 9 3 2 5 3 2 2" xfId="48730"/>
    <cellStyle name="표준 9 3 2 5 3 2 2 2" xfId="48731"/>
    <cellStyle name="표준 9 3 2 5 3 2 2 3" xfId="48732"/>
    <cellStyle name="표준 9 3 2 5 3 2 3" xfId="48733"/>
    <cellStyle name="표준 9 3 2 5 3 2 4" xfId="48734"/>
    <cellStyle name="표준 9 3 2 5 3 3" xfId="48735"/>
    <cellStyle name="표준 9 3 2 5 3 3 2" xfId="48736"/>
    <cellStyle name="표준 9 3 2 5 3 3 3" xfId="48737"/>
    <cellStyle name="표준 9 3 2 5 3 4" xfId="48738"/>
    <cellStyle name="표준 9 3 2 5 3 5" xfId="48739"/>
    <cellStyle name="표준 9 3 2 5 4" xfId="48740"/>
    <cellStyle name="표준 9 3 2 5 4 2" xfId="48741"/>
    <cellStyle name="표준 9 3 2 5 4 2 2" xfId="48742"/>
    <cellStyle name="표준 9 3 2 5 4 2 3" xfId="48743"/>
    <cellStyle name="표준 9 3 2 5 4 3" xfId="48744"/>
    <cellStyle name="표준 9 3 2 5 4 4" xfId="48745"/>
    <cellStyle name="표준 9 3 2 5 5" xfId="48746"/>
    <cellStyle name="표준 9 3 2 5 5 2" xfId="48747"/>
    <cellStyle name="표준 9 3 2 5 5 3" xfId="48748"/>
    <cellStyle name="표준 9 3 2 5 6" xfId="48749"/>
    <cellStyle name="표준 9 3 2 5 7" xfId="48750"/>
    <cellStyle name="표준 9 3 2 6" xfId="48751"/>
    <cellStyle name="표준 9 3 2 6 2" xfId="48752"/>
    <cellStyle name="표준 9 3 2 6 2 2" xfId="48753"/>
    <cellStyle name="표준 9 3 2 6 2 2 2" xfId="48754"/>
    <cellStyle name="표준 9 3 2 6 2 2 2 2" xfId="48755"/>
    <cellStyle name="표준 9 3 2 6 2 2 2 3" xfId="48756"/>
    <cellStyle name="표준 9 3 2 6 2 2 3" xfId="48757"/>
    <cellStyle name="표준 9 3 2 6 2 2 4" xfId="48758"/>
    <cellStyle name="표준 9 3 2 6 2 3" xfId="48759"/>
    <cellStyle name="표준 9 3 2 6 2 3 2" xfId="48760"/>
    <cellStyle name="표준 9 3 2 6 2 3 3" xfId="48761"/>
    <cellStyle name="표준 9 3 2 6 2 4" xfId="48762"/>
    <cellStyle name="표준 9 3 2 6 2 5" xfId="48763"/>
    <cellStyle name="표준 9 3 2 6 3" xfId="48764"/>
    <cellStyle name="표준 9 3 2 6 3 2" xfId="48765"/>
    <cellStyle name="표준 9 3 2 6 3 2 2" xfId="48766"/>
    <cellStyle name="표준 9 3 2 6 3 2 2 2" xfId="48767"/>
    <cellStyle name="표준 9 3 2 6 3 2 2 3" xfId="48768"/>
    <cellStyle name="표준 9 3 2 6 3 2 3" xfId="48769"/>
    <cellStyle name="표준 9 3 2 6 3 2 4" xfId="48770"/>
    <cellStyle name="표준 9 3 2 6 3 3" xfId="48771"/>
    <cellStyle name="표준 9 3 2 6 3 3 2" xfId="48772"/>
    <cellStyle name="표준 9 3 2 6 3 3 3" xfId="48773"/>
    <cellStyle name="표준 9 3 2 6 3 4" xfId="48774"/>
    <cellStyle name="표준 9 3 2 6 3 5" xfId="48775"/>
    <cellStyle name="표준 9 3 2 6 4" xfId="48776"/>
    <cellStyle name="표준 9 3 2 6 4 2" xfId="48777"/>
    <cellStyle name="표준 9 3 2 6 4 2 2" xfId="48778"/>
    <cellStyle name="표준 9 3 2 6 4 2 3" xfId="48779"/>
    <cellStyle name="표준 9 3 2 6 4 3" xfId="48780"/>
    <cellStyle name="표준 9 3 2 6 4 4" xfId="48781"/>
    <cellStyle name="표준 9 3 2 6 5" xfId="48782"/>
    <cellStyle name="표준 9 3 2 6 5 2" xfId="48783"/>
    <cellStyle name="표준 9 3 2 6 5 3" xfId="48784"/>
    <cellStyle name="표준 9 3 2 6 6" xfId="48785"/>
    <cellStyle name="표준 9 3 2 6 7" xfId="48786"/>
    <cellStyle name="표준 9 3 2 7" xfId="48787"/>
    <cellStyle name="표준 9 3 2 7 2" xfId="48788"/>
    <cellStyle name="표준 9 3 2 7 2 2" xfId="48789"/>
    <cellStyle name="표준 9 3 2 7 2 2 2" xfId="48790"/>
    <cellStyle name="표준 9 3 2 7 2 2 3" xfId="48791"/>
    <cellStyle name="표준 9 3 2 7 2 3" xfId="48792"/>
    <cellStyle name="표준 9 3 2 7 2 4" xfId="48793"/>
    <cellStyle name="표준 9 3 2 7 3" xfId="48794"/>
    <cellStyle name="표준 9 3 2 7 3 2" xfId="48795"/>
    <cellStyle name="표준 9 3 2 7 3 3" xfId="48796"/>
    <cellStyle name="표준 9 3 2 7 4" xfId="48797"/>
    <cellStyle name="표준 9 3 2 7 5" xfId="48798"/>
    <cellStyle name="표준 9 3 2 8" xfId="48799"/>
    <cellStyle name="표준 9 3 2 8 2" xfId="48800"/>
    <cellStyle name="표준 9 3 2 8 2 2" xfId="48801"/>
    <cellStyle name="표준 9 3 2 8 2 2 2" xfId="48802"/>
    <cellStyle name="표준 9 3 2 8 2 2 3" xfId="48803"/>
    <cellStyle name="표준 9 3 2 8 2 3" xfId="48804"/>
    <cellStyle name="표준 9 3 2 8 2 4" xfId="48805"/>
    <cellStyle name="표준 9 3 2 8 3" xfId="48806"/>
    <cellStyle name="표준 9 3 2 8 3 2" xfId="48807"/>
    <cellStyle name="표준 9 3 2 8 3 3" xfId="48808"/>
    <cellStyle name="표준 9 3 2 8 4" xfId="48809"/>
    <cellStyle name="표준 9 3 2 8 5" xfId="48810"/>
    <cellStyle name="표준 9 3 2 9" xfId="48811"/>
    <cellStyle name="표준 9 3 2 9 2" xfId="48812"/>
    <cellStyle name="표준 9 3 2 9 2 2" xfId="48813"/>
    <cellStyle name="표준 9 3 2 9 2 2 2" xfId="48814"/>
    <cellStyle name="표준 9 3 2 9 2 2 3" xfId="48815"/>
    <cellStyle name="표준 9 3 2 9 2 3" xfId="48816"/>
    <cellStyle name="표준 9 3 2 9 2 4" xfId="48817"/>
    <cellStyle name="표준 9 3 2 9 3" xfId="48818"/>
    <cellStyle name="표준 9 3 2 9 3 2" xfId="48819"/>
    <cellStyle name="표준 9 3 2 9 3 3" xfId="48820"/>
    <cellStyle name="표준 9 3 2 9 4" xfId="48821"/>
    <cellStyle name="표준 9 3 2 9 5" xfId="48822"/>
    <cellStyle name="표준 9 3 3" xfId="48823"/>
    <cellStyle name="표준 9 3 3 10" xfId="48824"/>
    <cellStyle name="표준 9 3 3 2" xfId="48825"/>
    <cellStyle name="표준 9 3 3 2 2" xfId="48826"/>
    <cellStyle name="표준 9 3 3 2 2 2" xfId="48827"/>
    <cellStyle name="표준 9 3 3 2 2 2 2" xfId="48828"/>
    <cellStyle name="표준 9 3 3 2 2 2 2 2" xfId="48829"/>
    <cellStyle name="표준 9 3 3 2 2 2 2 3" xfId="48830"/>
    <cellStyle name="표준 9 3 3 2 2 2 3" xfId="48831"/>
    <cellStyle name="표준 9 3 3 2 2 2 4" xfId="48832"/>
    <cellStyle name="표준 9 3 3 2 2 3" xfId="48833"/>
    <cellStyle name="표준 9 3 3 2 2 3 2" xfId="48834"/>
    <cellStyle name="표준 9 3 3 2 2 3 3" xfId="48835"/>
    <cellStyle name="표준 9 3 3 2 2 4" xfId="48836"/>
    <cellStyle name="표준 9 3 3 2 2 5" xfId="48837"/>
    <cellStyle name="표준 9 3 3 2 3" xfId="48838"/>
    <cellStyle name="표준 9 3 3 2 3 2" xfId="48839"/>
    <cellStyle name="표준 9 3 3 2 3 2 2" xfId="48840"/>
    <cellStyle name="표준 9 3 3 2 3 2 2 2" xfId="48841"/>
    <cellStyle name="표준 9 3 3 2 3 2 2 3" xfId="48842"/>
    <cellStyle name="표준 9 3 3 2 3 2 3" xfId="48843"/>
    <cellStyle name="표준 9 3 3 2 3 2 4" xfId="48844"/>
    <cellStyle name="표준 9 3 3 2 3 3" xfId="48845"/>
    <cellStyle name="표준 9 3 3 2 3 3 2" xfId="48846"/>
    <cellStyle name="표준 9 3 3 2 3 3 3" xfId="48847"/>
    <cellStyle name="표준 9 3 3 2 3 4" xfId="48848"/>
    <cellStyle name="표준 9 3 3 2 3 5" xfId="48849"/>
    <cellStyle name="표준 9 3 3 2 4" xfId="48850"/>
    <cellStyle name="표준 9 3 3 2 4 2" xfId="48851"/>
    <cellStyle name="표준 9 3 3 2 4 2 2" xfId="48852"/>
    <cellStyle name="표준 9 3 3 2 4 2 3" xfId="48853"/>
    <cellStyle name="표준 9 3 3 2 4 3" xfId="48854"/>
    <cellStyle name="표준 9 3 3 2 4 4" xfId="48855"/>
    <cellStyle name="표준 9 3 3 2 5" xfId="48856"/>
    <cellStyle name="표준 9 3 3 2 5 2" xfId="48857"/>
    <cellStyle name="표준 9 3 3 2 5 3" xfId="48858"/>
    <cellStyle name="표준 9 3 3 2 6" xfId="48859"/>
    <cellStyle name="표준 9 3 3 2 7" xfId="48860"/>
    <cellStyle name="표준 9 3 3 3" xfId="48861"/>
    <cellStyle name="표준 9 3 3 3 2" xfId="48862"/>
    <cellStyle name="표준 9 3 3 3 2 2" xfId="48863"/>
    <cellStyle name="표준 9 3 3 3 2 2 2" xfId="48864"/>
    <cellStyle name="표준 9 3 3 3 2 2 2 2" xfId="48865"/>
    <cellStyle name="표준 9 3 3 3 2 2 2 3" xfId="48866"/>
    <cellStyle name="표준 9 3 3 3 2 2 3" xfId="48867"/>
    <cellStyle name="표준 9 3 3 3 2 2 4" xfId="48868"/>
    <cellStyle name="표준 9 3 3 3 2 3" xfId="48869"/>
    <cellStyle name="표준 9 3 3 3 2 3 2" xfId="48870"/>
    <cellStyle name="표준 9 3 3 3 2 3 3" xfId="48871"/>
    <cellStyle name="표준 9 3 3 3 2 4" xfId="48872"/>
    <cellStyle name="표준 9 3 3 3 2 5" xfId="48873"/>
    <cellStyle name="표준 9 3 3 3 3" xfId="48874"/>
    <cellStyle name="표준 9 3 3 3 3 2" xfId="48875"/>
    <cellStyle name="표준 9 3 3 3 3 2 2" xfId="48876"/>
    <cellStyle name="표준 9 3 3 3 3 2 2 2" xfId="48877"/>
    <cellStyle name="표준 9 3 3 3 3 2 2 3" xfId="48878"/>
    <cellStyle name="표준 9 3 3 3 3 2 3" xfId="48879"/>
    <cellStyle name="표준 9 3 3 3 3 2 4" xfId="48880"/>
    <cellStyle name="표준 9 3 3 3 3 3" xfId="48881"/>
    <cellStyle name="표준 9 3 3 3 3 3 2" xfId="48882"/>
    <cellStyle name="표준 9 3 3 3 3 3 3" xfId="48883"/>
    <cellStyle name="표준 9 3 3 3 3 4" xfId="48884"/>
    <cellStyle name="표준 9 3 3 3 3 5" xfId="48885"/>
    <cellStyle name="표준 9 3 3 3 4" xfId="48886"/>
    <cellStyle name="표준 9 3 3 3 4 2" xfId="48887"/>
    <cellStyle name="표준 9 3 3 3 4 2 2" xfId="48888"/>
    <cellStyle name="표준 9 3 3 3 4 2 3" xfId="48889"/>
    <cellStyle name="표준 9 3 3 3 4 3" xfId="48890"/>
    <cellStyle name="표준 9 3 3 3 4 4" xfId="48891"/>
    <cellStyle name="표준 9 3 3 3 5" xfId="48892"/>
    <cellStyle name="표준 9 3 3 3 5 2" xfId="48893"/>
    <cellStyle name="표준 9 3 3 3 5 3" xfId="48894"/>
    <cellStyle name="표준 9 3 3 3 6" xfId="48895"/>
    <cellStyle name="표준 9 3 3 3 7" xfId="48896"/>
    <cellStyle name="표준 9 3 3 4" xfId="48897"/>
    <cellStyle name="표준 9 3 3 4 2" xfId="48898"/>
    <cellStyle name="표준 9 3 3 4 2 2" xfId="48899"/>
    <cellStyle name="표준 9 3 3 4 2 2 2" xfId="48900"/>
    <cellStyle name="표준 9 3 3 4 2 2 3" xfId="48901"/>
    <cellStyle name="표준 9 3 3 4 2 3" xfId="48902"/>
    <cellStyle name="표준 9 3 3 4 2 4" xfId="48903"/>
    <cellStyle name="표준 9 3 3 4 3" xfId="48904"/>
    <cellStyle name="표준 9 3 3 4 3 2" xfId="48905"/>
    <cellStyle name="표준 9 3 3 4 3 3" xfId="48906"/>
    <cellStyle name="표준 9 3 3 4 4" xfId="48907"/>
    <cellStyle name="표준 9 3 3 4 5" xfId="48908"/>
    <cellStyle name="표준 9 3 3 5" xfId="48909"/>
    <cellStyle name="표준 9 3 3 5 2" xfId="48910"/>
    <cellStyle name="표준 9 3 3 5 2 2" xfId="48911"/>
    <cellStyle name="표준 9 3 3 5 2 2 2" xfId="48912"/>
    <cellStyle name="표준 9 3 3 5 2 2 3" xfId="48913"/>
    <cellStyle name="표준 9 3 3 5 2 3" xfId="48914"/>
    <cellStyle name="표준 9 3 3 5 2 4" xfId="48915"/>
    <cellStyle name="표준 9 3 3 5 3" xfId="48916"/>
    <cellStyle name="표준 9 3 3 5 3 2" xfId="48917"/>
    <cellStyle name="표준 9 3 3 5 3 3" xfId="48918"/>
    <cellStyle name="표준 9 3 3 5 4" xfId="48919"/>
    <cellStyle name="표준 9 3 3 5 5" xfId="48920"/>
    <cellStyle name="표준 9 3 3 6" xfId="48921"/>
    <cellStyle name="표준 9 3 3 6 2" xfId="48922"/>
    <cellStyle name="표준 9 3 3 6 2 2" xfId="48923"/>
    <cellStyle name="표준 9 3 3 6 2 2 2" xfId="48924"/>
    <cellStyle name="표준 9 3 3 6 2 2 3" xfId="48925"/>
    <cellStyle name="표준 9 3 3 6 2 3" xfId="48926"/>
    <cellStyle name="표준 9 3 3 6 2 4" xfId="48927"/>
    <cellStyle name="표준 9 3 3 6 3" xfId="48928"/>
    <cellStyle name="표준 9 3 3 6 3 2" xfId="48929"/>
    <cellStyle name="표준 9 3 3 6 3 3" xfId="48930"/>
    <cellStyle name="표준 9 3 3 6 4" xfId="48931"/>
    <cellStyle name="표준 9 3 3 6 5" xfId="48932"/>
    <cellStyle name="표준 9 3 3 7" xfId="48933"/>
    <cellStyle name="표준 9 3 3 7 2" xfId="48934"/>
    <cellStyle name="표준 9 3 3 7 2 2" xfId="48935"/>
    <cellStyle name="표준 9 3 3 7 2 3" xfId="48936"/>
    <cellStyle name="표준 9 3 3 7 3" xfId="48937"/>
    <cellStyle name="표준 9 3 3 7 4" xfId="48938"/>
    <cellStyle name="표준 9 3 3 8" xfId="48939"/>
    <cellStyle name="표준 9 3 3 8 2" xfId="48940"/>
    <cellStyle name="표준 9 3 3 8 3" xfId="48941"/>
    <cellStyle name="표준 9 3 3 9" xfId="48942"/>
    <cellStyle name="표준 9 3 4" xfId="48943"/>
    <cellStyle name="표준 9 3 4 10" xfId="48944"/>
    <cellStyle name="표준 9 3 4 2" xfId="48945"/>
    <cellStyle name="표준 9 3 4 2 2" xfId="48946"/>
    <cellStyle name="표준 9 3 4 2 2 2" xfId="48947"/>
    <cellStyle name="표준 9 3 4 2 2 2 2" xfId="48948"/>
    <cellStyle name="표준 9 3 4 2 2 2 2 2" xfId="48949"/>
    <cellStyle name="표준 9 3 4 2 2 2 2 3" xfId="48950"/>
    <cellStyle name="표준 9 3 4 2 2 2 3" xfId="48951"/>
    <cellStyle name="표준 9 3 4 2 2 2 4" xfId="48952"/>
    <cellStyle name="표준 9 3 4 2 2 3" xfId="48953"/>
    <cellStyle name="표준 9 3 4 2 2 3 2" xfId="48954"/>
    <cellStyle name="표준 9 3 4 2 2 3 3" xfId="48955"/>
    <cellStyle name="표준 9 3 4 2 2 4" xfId="48956"/>
    <cellStyle name="표준 9 3 4 2 2 5" xfId="48957"/>
    <cellStyle name="표준 9 3 4 2 3" xfId="48958"/>
    <cellStyle name="표준 9 3 4 2 3 2" xfId="48959"/>
    <cellStyle name="표준 9 3 4 2 3 2 2" xfId="48960"/>
    <cellStyle name="표준 9 3 4 2 3 2 2 2" xfId="48961"/>
    <cellStyle name="표준 9 3 4 2 3 2 2 3" xfId="48962"/>
    <cellStyle name="표준 9 3 4 2 3 2 3" xfId="48963"/>
    <cellStyle name="표준 9 3 4 2 3 2 4" xfId="48964"/>
    <cellStyle name="표준 9 3 4 2 3 3" xfId="48965"/>
    <cellStyle name="표준 9 3 4 2 3 3 2" xfId="48966"/>
    <cellStyle name="표준 9 3 4 2 3 3 3" xfId="48967"/>
    <cellStyle name="표준 9 3 4 2 3 4" xfId="48968"/>
    <cellStyle name="표준 9 3 4 2 3 5" xfId="48969"/>
    <cellStyle name="표준 9 3 4 2 4" xfId="48970"/>
    <cellStyle name="표준 9 3 4 2 4 2" xfId="48971"/>
    <cellStyle name="표준 9 3 4 2 4 2 2" xfId="48972"/>
    <cellStyle name="표준 9 3 4 2 4 2 3" xfId="48973"/>
    <cellStyle name="표준 9 3 4 2 4 3" xfId="48974"/>
    <cellStyle name="표준 9 3 4 2 4 4" xfId="48975"/>
    <cellStyle name="표준 9 3 4 2 5" xfId="48976"/>
    <cellStyle name="표준 9 3 4 2 5 2" xfId="48977"/>
    <cellStyle name="표준 9 3 4 2 5 3" xfId="48978"/>
    <cellStyle name="표준 9 3 4 2 6" xfId="48979"/>
    <cellStyle name="표준 9 3 4 2 7" xfId="48980"/>
    <cellStyle name="표준 9 3 4 3" xfId="48981"/>
    <cellStyle name="표준 9 3 4 3 2" xfId="48982"/>
    <cellStyle name="표준 9 3 4 3 2 2" xfId="48983"/>
    <cellStyle name="표준 9 3 4 3 2 2 2" xfId="48984"/>
    <cellStyle name="표준 9 3 4 3 2 2 2 2" xfId="48985"/>
    <cellStyle name="표준 9 3 4 3 2 2 2 3" xfId="48986"/>
    <cellStyle name="표준 9 3 4 3 2 2 3" xfId="48987"/>
    <cellStyle name="표준 9 3 4 3 2 2 4" xfId="48988"/>
    <cellStyle name="표준 9 3 4 3 2 3" xfId="48989"/>
    <cellStyle name="표준 9 3 4 3 2 3 2" xfId="48990"/>
    <cellStyle name="표준 9 3 4 3 2 3 3" xfId="48991"/>
    <cellStyle name="표준 9 3 4 3 2 4" xfId="48992"/>
    <cellStyle name="표준 9 3 4 3 2 5" xfId="48993"/>
    <cellStyle name="표준 9 3 4 3 3" xfId="48994"/>
    <cellStyle name="표준 9 3 4 3 3 2" xfId="48995"/>
    <cellStyle name="표준 9 3 4 3 3 2 2" xfId="48996"/>
    <cellStyle name="표준 9 3 4 3 3 2 2 2" xfId="48997"/>
    <cellStyle name="표준 9 3 4 3 3 2 2 3" xfId="48998"/>
    <cellStyle name="표준 9 3 4 3 3 2 3" xfId="48999"/>
    <cellStyle name="표준 9 3 4 3 3 2 4" xfId="49000"/>
    <cellStyle name="표준 9 3 4 3 3 3" xfId="49001"/>
    <cellStyle name="표준 9 3 4 3 3 3 2" xfId="49002"/>
    <cellStyle name="표준 9 3 4 3 3 3 3" xfId="49003"/>
    <cellStyle name="표준 9 3 4 3 3 4" xfId="49004"/>
    <cellStyle name="표준 9 3 4 3 3 5" xfId="49005"/>
    <cellStyle name="표준 9 3 4 3 4" xfId="49006"/>
    <cellStyle name="표준 9 3 4 3 4 2" xfId="49007"/>
    <cellStyle name="표준 9 3 4 3 4 2 2" xfId="49008"/>
    <cellStyle name="표준 9 3 4 3 4 2 3" xfId="49009"/>
    <cellStyle name="표준 9 3 4 3 4 3" xfId="49010"/>
    <cellStyle name="표준 9 3 4 3 4 4" xfId="49011"/>
    <cellStyle name="표준 9 3 4 3 5" xfId="49012"/>
    <cellStyle name="표준 9 3 4 3 5 2" xfId="49013"/>
    <cellStyle name="표준 9 3 4 3 5 3" xfId="49014"/>
    <cellStyle name="표준 9 3 4 3 6" xfId="49015"/>
    <cellStyle name="표준 9 3 4 3 7" xfId="49016"/>
    <cellStyle name="표준 9 3 4 4" xfId="49017"/>
    <cellStyle name="표준 9 3 4 4 2" xfId="49018"/>
    <cellStyle name="표준 9 3 4 4 2 2" xfId="49019"/>
    <cellStyle name="표준 9 3 4 4 2 2 2" xfId="49020"/>
    <cellStyle name="표준 9 3 4 4 2 2 3" xfId="49021"/>
    <cellStyle name="표준 9 3 4 4 2 3" xfId="49022"/>
    <cellStyle name="표준 9 3 4 4 2 4" xfId="49023"/>
    <cellStyle name="표준 9 3 4 4 3" xfId="49024"/>
    <cellStyle name="표준 9 3 4 4 3 2" xfId="49025"/>
    <cellStyle name="표준 9 3 4 4 3 3" xfId="49026"/>
    <cellStyle name="표준 9 3 4 4 4" xfId="49027"/>
    <cellStyle name="표준 9 3 4 4 5" xfId="49028"/>
    <cellStyle name="표준 9 3 4 5" xfId="49029"/>
    <cellStyle name="표준 9 3 4 5 2" xfId="49030"/>
    <cellStyle name="표준 9 3 4 5 2 2" xfId="49031"/>
    <cellStyle name="표준 9 3 4 5 2 2 2" xfId="49032"/>
    <cellStyle name="표준 9 3 4 5 2 2 3" xfId="49033"/>
    <cellStyle name="표준 9 3 4 5 2 3" xfId="49034"/>
    <cellStyle name="표준 9 3 4 5 2 4" xfId="49035"/>
    <cellStyle name="표준 9 3 4 5 3" xfId="49036"/>
    <cellStyle name="표준 9 3 4 5 3 2" xfId="49037"/>
    <cellStyle name="표준 9 3 4 5 3 3" xfId="49038"/>
    <cellStyle name="표준 9 3 4 5 4" xfId="49039"/>
    <cellStyle name="표준 9 3 4 5 5" xfId="49040"/>
    <cellStyle name="표준 9 3 4 6" xfId="49041"/>
    <cellStyle name="표준 9 3 4 6 2" xfId="49042"/>
    <cellStyle name="표준 9 3 4 6 2 2" xfId="49043"/>
    <cellStyle name="표준 9 3 4 6 2 2 2" xfId="49044"/>
    <cellStyle name="표준 9 3 4 6 2 2 3" xfId="49045"/>
    <cellStyle name="표준 9 3 4 6 2 3" xfId="49046"/>
    <cellStyle name="표준 9 3 4 6 2 4" xfId="49047"/>
    <cellStyle name="표준 9 3 4 6 3" xfId="49048"/>
    <cellStyle name="표준 9 3 4 6 3 2" xfId="49049"/>
    <cellStyle name="표준 9 3 4 6 3 3" xfId="49050"/>
    <cellStyle name="표준 9 3 4 6 4" xfId="49051"/>
    <cellStyle name="표준 9 3 4 6 5" xfId="49052"/>
    <cellStyle name="표준 9 3 4 7" xfId="49053"/>
    <cellStyle name="표준 9 3 4 7 2" xfId="49054"/>
    <cellStyle name="표준 9 3 4 7 2 2" xfId="49055"/>
    <cellStyle name="표준 9 3 4 7 2 3" xfId="49056"/>
    <cellStyle name="표준 9 3 4 7 3" xfId="49057"/>
    <cellStyle name="표준 9 3 4 7 4" xfId="49058"/>
    <cellStyle name="표준 9 3 4 8" xfId="49059"/>
    <cellStyle name="표준 9 3 4 8 2" xfId="49060"/>
    <cellStyle name="표준 9 3 4 8 3" xfId="49061"/>
    <cellStyle name="표준 9 3 4 9" xfId="49062"/>
    <cellStyle name="표준 9 3 5" xfId="49063"/>
    <cellStyle name="표준 9 3 5 10" xfId="49064"/>
    <cellStyle name="표준 9 3 5 2" xfId="49065"/>
    <cellStyle name="표준 9 3 5 2 2" xfId="49066"/>
    <cellStyle name="표준 9 3 5 2 2 2" xfId="49067"/>
    <cellStyle name="표준 9 3 5 2 2 2 2" xfId="49068"/>
    <cellStyle name="표준 9 3 5 2 2 2 2 2" xfId="49069"/>
    <cellStyle name="표준 9 3 5 2 2 2 2 3" xfId="49070"/>
    <cellStyle name="표준 9 3 5 2 2 2 3" xfId="49071"/>
    <cellStyle name="표준 9 3 5 2 2 2 4" xfId="49072"/>
    <cellStyle name="표준 9 3 5 2 2 3" xfId="49073"/>
    <cellStyle name="표준 9 3 5 2 2 3 2" xfId="49074"/>
    <cellStyle name="표준 9 3 5 2 2 3 3" xfId="49075"/>
    <cellStyle name="표준 9 3 5 2 2 4" xfId="49076"/>
    <cellStyle name="표준 9 3 5 2 2 5" xfId="49077"/>
    <cellStyle name="표준 9 3 5 2 3" xfId="49078"/>
    <cellStyle name="표준 9 3 5 2 3 2" xfId="49079"/>
    <cellStyle name="표준 9 3 5 2 3 2 2" xfId="49080"/>
    <cellStyle name="표준 9 3 5 2 3 2 2 2" xfId="49081"/>
    <cellStyle name="표준 9 3 5 2 3 2 2 3" xfId="49082"/>
    <cellStyle name="표준 9 3 5 2 3 2 3" xfId="49083"/>
    <cellStyle name="표준 9 3 5 2 3 2 4" xfId="49084"/>
    <cellStyle name="표준 9 3 5 2 3 3" xfId="49085"/>
    <cellStyle name="표준 9 3 5 2 3 3 2" xfId="49086"/>
    <cellStyle name="표준 9 3 5 2 3 3 3" xfId="49087"/>
    <cellStyle name="표준 9 3 5 2 3 4" xfId="49088"/>
    <cellStyle name="표준 9 3 5 2 3 5" xfId="49089"/>
    <cellStyle name="표준 9 3 5 2 4" xfId="49090"/>
    <cellStyle name="표준 9 3 5 2 4 2" xfId="49091"/>
    <cellStyle name="표준 9 3 5 2 4 2 2" xfId="49092"/>
    <cellStyle name="표준 9 3 5 2 4 2 3" xfId="49093"/>
    <cellStyle name="표준 9 3 5 2 4 3" xfId="49094"/>
    <cellStyle name="표준 9 3 5 2 4 4" xfId="49095"/>
    <cellStyle name="표준 9 3 5 2 5" xfId="49096"/>
    <cellStyle name="표준 9 3 5 2 5 2" xfId="49097"/>
    <cellStyle name="표준 9 3 5 2 5 3" xfId="49098"/>
    <cellStyle name="표준 9 3 5 2 6" xfId="49099"/>
    <cellStyle name="표준 9 3 5 2 7" xfId="49100"/>
    <cellStyle name="표준 9 3 5 3" xfId="49101"/>
    <cellStyle name="표준 9 3 5 3 2" xfId="49102"/>
    <cellStyle name="표준 9 3 5 3 2 2" xfId="49103"/>
    <cellStyle name="표준 9 3 5 3 2 2 2" xfId="49104"/>
    <cellStyle name="표준 9 3 5 3 2 2 2 2" xfId="49105"/>
    <cellStyle name="표준 9 3 5 3 2 2 2 3" xfId="49106"/>
    <cellStyle name="표준 9 3 5 3 2 2 3" xfId="49107"/>
    <cellStyle name="표준 9 3 5 3 2 2 4" xfId="49108"/>
    <cellStyle name="표준 9 3 5 3 2 3" xfId="49109"/>
    <cellStyle name="표준 9 3 5 3 2 3 2" xfId="49110"/>
    <cellStyle name="표준 9 3 5 3 2 3 3" xfId="49111"/>
    <cellStyle name="표준 9 3 5 3 2 4" xfId="49112"/>
    <cellStyle name="표준 9 3 5 3 2 5" xfId="49113"/>
    <cellStyle name="표준 9 3 5 3 3" xfId="49114"/>
    <cellStyle name="표준 9 3 5 3 3 2" xfId="49115"/>
    <cellStyle name="표준 9 3 5 3 3 2 2" xfId="49116"/>
    <cellStyle name="표준 9 3 5 3 3 2 2 2" xfId="49117"/>
    <cellStyle name="표준 9 3 5 3 3 2 2 3" xfId="49118"/>
    <cellStyle name="표준 9 3 5 3 3 2 3" xfId="49119"/>
    <cellStyle name="표준 9 3 5 3 3 2 4" xfId="49120"/>
    <cellStyle name="표준 9 3 5 3 3 3" xfId="49121"/>
    <cellStyle name="표준 9 3 5 3 3 3 2" xfId="49122"/>
    <cellStyle name="표준 9 3 5 3 3 3 3" xfId="49123"/>
    <cellStyle name="표준 9 3 5 3 3 4" xfId="49124"/>
    <cellStyle name="표준 9 3 5 3 3 5" xfId="49125"/>
    <cellStyle name="표준 9 3 5 3 4" xfId="49126"/>
    <cellStyle name="표준 9 3 5 3 4 2" xfId="49127"/>
    <cellStyle name="표준 9 3 5 3 4 2 2" xfId="49128"/>
    <cellStyle name="표준 9 3 5 3 4 2 3" xfId="49129"/>
    <cellStyle name="표준 9 3 5 3 4 3" xfId="49130"/>
    <cellStyle name="표준 9 3 5 3 4 4" xfId="49131"/>
    <cellStyle name="표준 9 3 5 3 5" xfId="49132"/>
    <cellStyle name="표준 9 3 5 3 5 2" xfId="49133"/>
    <cellStyle name="표준 9 3 5 3 5 3" xfId="49134"/>
    <cellStyle name="표준 9 3 5 3 6" xfId="49135"/>
    <cellStyle name="표준 9 3 5 3 7" xfId="49136"/>
    <cellStyle name="표준 9 3 5 4" xfId="49137"/>
    <cellStyle name="표준 9 3 5 4 2" xfId="49138"/>
    <cellStyle name="표준 9 3 5 4 2 2" xfId="49139"/>
    <cellStyle name="표준 9 3 5 4 2 2 2" xfId="49140"/>
    <cellStyle name="표준 9 3 5 4 2 2 3" xfId="49141"/>
    <cellStyle name="표준 9 3 5 4 2 3" xfId="49142"/>
    <cellStyle name="표준 9 3 5 4 2 4" xfId="49143"/>
    <cellStyle name="표준 9 3 5 4 3" xfId="49144"/>
    <cellStyle name="표준 9 3 5 4 3 2" xfId="49145"/>
    <cellStyle name="표준 9 3 5 4 3 3" xfId="49146"/>
    <cellStyle name="표준 9 3 5 4 4" xfId="49147"/>
    <cellStyle name="표준 9 3 5 4 5" xfId="49148"/>
    <cellStyle name="표준 9 3 5 5" xfId="49149"/>
    <cellStyle name="표준 9 3 5 5 2" xfId="49150"/>
    <cellStyle name="표준 9 3 5 5 2 2" xfId="49151"/>
    <cellStyle name="표준 9 3 5 5 2 2 2" xfId="49152"/>
    <cellStyle name="표준 9 3 5 5 2 2 3" xfId="49153"/>
    <cellStyle name="표준 9 3 5 5 2 3" xfId="49154"/>
    <cellStyle name="표준 9 3 5 5 2 4" xfId="49155"/>
    <cellStyle name="표준 9 3 5 5 3" xfId="49156"/>
    <cellStyle name="표준 9 3 5 5 3 2" xfId="49157"/>
    <cellStyle name="표준 9 3 5 5 3 3" xfId="49158"/>
    <cellStyle name="표준 9 3 5 5 4" xfId="49159"/>
    <cellStyle name="표준 9 3 5 5 5" xfId="49160"/>
    <cellStyle name="표준 9 3 5 6" xfId="49161"/>
    <cellStyle name="표준 9 3 5 6 2" xfId="49162"/>
    <cellStyle name="표준 9 3 5 6 2 2" xfId="49163"/>
    <cellStyle name="표준 9 3 5 6 2 2 2" xfId="49164"/>
    <cellStyle name="표준 9 3 5 6 2 2 3" xfId="49165"/>
    <cellStyle name="표준 9 3 5 6 2 3" xfId="49166"/>
    <cellStyle name="표준 9 3 5 6 2 4" xfId="49167"/>
    <cellStyle name="표준 9 3 5 6 3" xfId="49168"/>
    <cellStyle name="표준 9 3 5 6 3 2" xfId="49169"/>
    <cellStyle name="표준 9 3 5 6 3 3" xfId="49170"/>
    <cellStyle name="표준 9 3 5 6 4" xfId="49171"/>
    <cellStyle name="표준 9 3 5 6 5" xfId="49172"/>
    <cellStyle name="표준 9 3 5 7" xfId="49173"/>
    <cellStyle name="표준 9 3 5 7 2" xfId="49174"/>
    <cellStyle name="표준 9 3 5 7 2 2" xfId="49175"/>
    <cellStyle name="표준 9 3 5 7 2 3" xfId="49176"/>
    <cellStyle name="표준 9 3 5 7 3" xfId="49177"/>
    <cellStyle name="표준 9 3 5 7 4" xfId="49178"/>
    <cellStyle name="표준 9 3 5 8" xfId="49179"/>
    <cellStyle name="표준 9 3 5 8 2" xfId="49180"/>
    <cellStyle name="표준 9 3 5 8 3" xfId="49181"/>
    <cellStyle name="표준 9 3 5 9" xfId="49182"/>
    <cellStyle name="표준 9 3 6" xfId="49183"/>
    <cellStyle name="표준 9 3 6 2" xfId="49184"/>
    <cellStyle name="표준 9 3 6 2 2" xfId="49185"/>
    <cellStyle name="표준 9 3 6 2 2 2" xfId="49186"/>
    <cellStyle name="표준 9 3 6 2 2 2 2" xfId="49187"/>
    <cellStyle name="표준 9 3 6 2 2 2 3" xfId="49188"/>
    <cellStyle name="표준 9 3 6 2 2 3" xfId="49189"/>
    <cellStyle name="표준 9 3 6 2 2 4" xfId="49190"/>
    <cellStyle name="표준 9 3 6 2 3" xfId="49191"/>
    <cellStyle name="표준 9 3 6 2 3 2" xfId="49192"/>
    <cellStyle name="표준 9 3 6 2 3 3" xfId="49193"/>
    <cellStyle name="표준 9 3 6 2 4" xfId="49194"/>
    <cellStyle name="표준 9 3 6 2 5" xfId="49195"/>
    <cellStyle name="표준 9 3 6 3" xfId="49196"/>
    <cellStyle name="표준 9 3 6 3 2" xfId="49197"/>
    <cellStyle name="표준 9 3 6 3 2 2" xfId="49198"/>
    <cellStyle name="표준 9 3 6 3 2 2 2" xfId="49199"/>
    <cellStyle name="표준 9 3 6 3 2 2 3" xfId="49200"/>
    <cellStyle name="표준 9 3 6 3 2 3" xfId="49201"/>
    <cellStyle name="표준 9 3 6 3 2 4" xfId="49202"/>
    <cellStyle name="표준 9 3 6 3 3" xfId="49203"/>
    <cellStyle name="표준 9 3 6 3 3 2" xfId="49204"/>
    <cellStyle name="표준 9 3 6 3 3 3" xfId="49205"/>
    <cellStyle name="표준 9 3 6 3 4" xfId="49206"/>
    <cellStyle name="표준 9 3 6 3 5" xfId="49207"/>
    <cellStyle name="표준 9 3 6 4" xfId="49208"/>
    <cellStyle name="표준 9 3 6 4 2" xfId="49209"/>
    <cellStyle name="표준 9 3 6 4 2 2" xfId="49210"/>
    <cellStyle name="표준 9 3 6 4 2 3" xfId="49211"/>
    <cellStyle name="표준 9 3 6 4 3" xfId="49212"/>
    <cellStyle name="표준 9 3 6 4 4" xfId="49213"/>
    <cellStyle name="표준 9 3 6 5" xfId="49214"/>
    <cellStyle name="표준 9 3 6 5 2" xfId="49215"/>
    <cellStyle name="표준 9 3 6 5 3" xfId="49216"/>
    <cellStyle name="표준 9 3 6 6" xfId="49217"/>
    <cellStyle name="표준 9 3 6 7" xfId="49218"/>
    <cellStyle name="표준 9 3 7" xfId="49219"/>
    <cellStyle name="표준 9 3 7 2" xfId="49220"/>
    <cellStyle name="표준 9 3 7 2 2" xfId="49221"/>
    <cellStyle name="표준 9 3 7 2 2 2" xfId="49222"/>
    <cellStyle name="표준 9 3 7 2 2 2 2" xfId="49223"/>
    <cellStyle name="표준 9 3 7 2 2 2 3" xfId="49224"/>
    <cellStyle name="표준 9 3 7 2 2 3" xfId="49225"/>
    <cellStyle name="표준 9 3 7 2 2 4" xfId="49226"/>
    <cellStyle name="표준 9 3 7 2 3" xfId="49227"/>
    <cellStyle name="표준 9 3 7 2 3 2" xfId="49228"/>
    <cellStyle name="표준 9 3 7 2 3 3" xfId="49229"/>
    <cellStyle name="표준 9 3 7 2 4" xfId="49230"/>
    <cellStyle name="표준 9 3 7 2 5" xfId="49231"/>
    <cellStyle name="표준 9 3 7 3" xfId="49232"/>
    <cellStyle name="표준 9 3 7 3 2" xfId="49233"/>
    <cellStyle name="표준 9 3 7 3 2 2" xfId="49234"/>
    <cellStyle name="표준 9 3 7 3 2 2 2" xfId="49235"/>
    <cellStyle name="표준 9 3 7 3 2 2 3" xfId="49236"/>
    <cellStyle name="표준 9 3 7 3 2 3" xfId="49237"/>
    <cellStyle name="표준 9 3 7 3 2 4" xfId="49238"/>
    <cellStyle name="표준 9 3 7 3 3" xfId="49239"/>
    <cellStyle name="표준 9 3 7 3 3 2" xfId="49240"/>
    <cellStyle name="표준 9 3 7 3 3 3" xfId="49241"/>
    <cellStyle name="표준 9 3 7 3 4" xfId="49242"/>
    <cellStyle name="표준 9 3 7 3 5" xfId="49243"/>
    <cellStyle name="표준 9 3 7 4" xfId="49244"/>
    <cellStyle name="표준 9 3 7 4 2" xfId="49245"/>
    <cellStyle name="표준 9 3 7 4 2 2" xfId="49246"/>
    <cellStyle name="표준 9 3 7 4 2 3" xfId="49247"/>
    <cellStyle name="표준 9 3 7 4 3" xfId="49248"/>
    <cellStyle name="표준 9 3 7 4 4" xfId="49249"/>
    <cellStyle name="표준 9 3 7 5" xfId="49250"/>
    <cellStyle name="표준 9 3 7 5 2" xfId="49251"/>
    <cellStyle name="표준 9 3 7 5 3" xfId="49252"/>
    <cellStyle name="표준 9 3 7 6" xfId="49253"/>
    <cellStyle name="표준 9 3 7 7" xfId="49254"/>
    <cellStyle name="표준 9 3 8" xfId="49255"/>
    <cellStyle name="표준 9 3 8 2" xfId="49256"/>
    <cellStyle name="표준 9 3 8 2 2" xfId="49257"/>
    <cellStyle name="표준 9 3 8 2 2 2" xfId="49258"/>
    <cellStyle name="표준 9 3 8 2 2 3" xfId="49259"/>
    <cellStyle name="표준 9 3 8 2 3" xfId="49260"/>
    <cellStyle name="표준 9 3 8 2 4" xfId="49261"/>
    <cellStyle name="표준 9 3 8 3" xfId="49262"/>
    <cellStyle name="표준 9 3 8 3 2" xfId="49263"/>
    <cellStyle name="표준 9 3 8 3 3" xfId="49264"/>
    <cellStyle name="표준 9 3 8 4" xfId="49265"/>
    <cellStyle name="표준 9 3 8 5" xfId="49266"/>
    <cellStyle name="표준 9 3 9" xfId="49267"/>
    <cellStyle name="표준 9 3 9 2" xfId="49268"/>
    <cellStyle name="표준 9 3 9 2 2" xfId="49269"/>
    <cellStyle name="표준 9 3 9 2 2 2" xfId="49270"/>
    <cellStyle name="표준 9 3 9 2 2 3" xfId="49271"/>
    <cellStyle name="표준 9 3 9 2 3" xfId="49272"/>
    <cellStyle name="표준 9 3 9 2 4" xfId="49273"/>
    <cellStyle name="표준 9 3 9 3" xfId="49274"/>
    <cellStyle name="표준 9 3 9 3 2" xfId="49275"/>
    <cellStyle name="표준 9 3 9 3 3" xfId="49276"/>
    <cellStyle name="표준 9 3 9 4" xfId="49277"/>
    <cellStyle name="표준 9 3 9 5" xfId="49278"/>
    <cellStyle name="표준 9 4" xfId="49279"/>
    <cellStyle name="표준 9 4 10" xfId="49280"/>
    <cellStyle name="표준 9 4 10 2" xfId="49281"/>
    <cellStyle name="표준 9 4 10 2 2" xfId="49282"/>
    <cellStyle name="표준 9 4 10 2 2 2" xfId="49283"/>
    <cellStyle name="표준 9 4 10 2 2 3" xfId="49284"/>
    <cellStyle name="표준 9 4 10 2 3" xfId="49285"/>
    <cellStyle name="표준 9 4 10 2 4" xfId="49286"/>
    <cellStyle name="표준 9 4 10 3" xfId="49287"/>
    <cellStyle name="표준 9 4 10 3 2" xfId="49288"/>
    <cellStyle name="표준 9 4 10 3 3" xfId="49289"/>
    <cellStyle name="표준 9 4 10 4" xfId="49290"/>
    <cellStyle name="표준 9 4 10 5" xfId="49291"/>
    <cellStyle name="표준 9 4 11" xfId="49292"/>
    <cellStyle name="표준 9 4 11 2" xfId="49293"/>
    <cellStyle name="표준 9 4 11 2 2" xfId="49294"/>
    <cellStyle name="표준 9 4 11 2 3" xfId="49295"/>
    <cellStyle name="표준 9 4 11 3" xfId="49296"/>
    <cellStyle name="표준 9 4 11 4" xfId="49297"/>
    <cellStyle name="표준 9 4 12" xfId="49298"/>
    <cellStyle name="표준 9 4 12 2" xfId="49299"/>
    <cellStyle name="표준 9 4 12 3" xfId="49300"/>
    <cellStyle name="표준 9 4 13" xfId="49301"/>
    <cellStyle name="표준 9 4 14" xfId="49302"/>
    <cellStyle name="표준 9 4 2" xfId="49303"/>
    <cellStyle name="표준 9 4 2 10" xfId="49304"/>
    <cellStyle name="표준 9 4 2 10 2" xfId="49305"/>
    <cellStyle name="표준 9 4 2 10 2 2" xfId="49306"/>
    <cellStyle name="표준 9 4 2 10 2 3" xfId="49307"/>
    <cellStyle name="표준 9 4 2 10 3" xfId="49308"/>
    <cellStyle name="표준 9 4 2 10 4" xfId="49309"/>
    <cellStyle name="표준 9 4 2 11" xfId="49310"/>
    <cellStyle name="표준 9 4 2 11 2" xfId="49311"/>
    <cellStyle name="표준 9 4 2 11 3" xfId="49312"/>
    <cellStyle name="표준 9 4 2 12" xfId="49313"/>
    <cellStyle name="표준 9 4 2 13" xfId="49314"/>
    <cellStyle name="표준 9 4 2 2" xfId="49315"/>
    <cellStyle name="표준 9 4 2 2 10" xfId="49316"/>
    <cellStyle name="표준 9 4 2 2 2" xfId="49317"/>
    <cellStyle name="표준 9 4 2 2 2 2" xfId="49318"/>
    <cellStyle name="표준 9 4 2 2 2 2 2" xfId="49319"/>
    <cellStyle name="표준 9 4 2 2 2 2 2 2" xfId="49320"/>
    <cellStyle name="표준 9 4 2 2 2 2 2 2 2" xfId="49321"/>
    <cellStyle name="표준 9 4 2 2 2 2 2 2 3" xfId="49322"/>
    <cellStyle name="표준 9 4 2 2 2 2 2 3" xfId="49323"/>
    <cellStyle name="표준 9 4 2 2 2 2 2 4" xfId="49324"/>
    <cellStyle name="표준 9 4 2 2 2 2 3" xfId="49325"/>
    <cellStyle name="표준 9 4 2 2 2 2 3 2" xfId="49326"/>
    <cellStyle name="표준 9 4 2 2 2 2 3 3" xfId="49327"/>
    <cellStyle name="표준 9 4 2 2 2 2 4" xfId="49328"/>
    <cellStyle name="표준 9 4 2 2 2 2 5" xfId="49329"/>
    <cellStyle name="표준 9 4 2 2 2 3" xfId="49330"/>
    <cellStyle name="표준 9 4 2 2 2 3 2" xfId="49331"/>
    <cellStyle name="표준 9 4 2 2 2 3 2 2" xfId="49332"/>
    <cellStyle name="표준 9 4 2 2 2 3 2 2 2" xfId="49333"/>
    <cellStyle name="표준 9 4 2 2 2 3 2 2 3" xfId="49334"/>
    <cellStyle name="표준 9 4 2 2 2 3 2 3" xfId="49335"/>
    <cellStyle name="표준 9 4 2 2 2 3 2 4" xfId="49336"/>
    <cellStyle name="표준 9 4 2 2 2 3 3" xfId="49337"/>
    <cellStyle name="표준 9 4 2 2 2 3 3 2" xfId="49338"/>
    <cellStyle name="표준 9 4 2 2 2 3 3 3" xfId="49339"/>
    <cellStyle name="표준 9 4 2 2 2 3 4" xfId="49340"/>
    <cellStyle name="표준 9 4 2 2 2 3 5" xfId="49341"/>
    <cellStyle name="표준 9 4 2 2 2 4" xfId="49342"/>
    <cellStyle name="표준 9 4 2 2 2 4 2" xfId="49343"/>
    <cellStyle name="표준 9 4 2 2 2 4 2 2" xfId="49344"/>
    <cellStyle name="표준 9 4 2 2 2 4 2 3" xfId="49345"/>
    <cellStyle name="표준 9 4 2 2 2 4 3" xfId="49346"/>
    <cellStyle name="표준 9 4 2 2 2 4 4" xfId="49347"/>
    <cellStyle name="표준 9 4 2 2 2 5" xfId="49348"/>
    <cellStyle name="표준 9 4 2 2 2 5 2" xfId="49349"/>
    <cellStyle name="표준 9 4 2 2 2 5 3" xfId="49350"/>
    <cellStyle name="표준 9 4 2 2 2 6" xfId="49351"/>
    <cellStyle name="표준 9 4 2 2 2 7" xfId="49352"/>
    <cellStyle name="표준 9 4 2 2 3" xfId="49353"/>
    <cellStyle name="표준 9 4 2 2 3 2" xfId="49354"/>
    <cellStyle name="표준 9 4 2 2 3 2 2" xfId="49355"/>
    <cellStyle name="표준 9 4 2 2 3 2 2 2" xfId="49356"/>
    <cellStyle name="표준 9 4 2 2 3 2 2 2 2" xfId="49357"/>
    <cellStyle name="표준 9 4 2 2 3 2 2 2 3" xfId="49358"/>
    <cellStyle name="표준 9 4 2 2 3 2 2 3" xfId="49359"/>
    <cellStyle name="표준 9 4 2 2 3 2 2 4" xfId="49360"/>
    <cellStyle name="표준 9 4 2 2 3 2 3" xfId="49361"/>
    <cellStyle name="표준 9 4 2 2 3 2 3 2" xfId="49362"/>
    <cellStyle name="표준 9 4 2 2 3 2 3 3" xfId="49363"/>
    <cellStyle name="표준 9 4 2 2 3 2 4" xfId="49364"/>
    <cellStyle name="표준 9 4 2 2 3 2 5" xfId="49365"/>
    <cellStyle name="표준 9 4 2 2 3 3" xfId="49366"/>
    <cellStyle name="표준 9 4 2 2 3 3 2" xfId="49367"/>
    <cellStyle name="표준 9 4 2 2 3 3 2 2" xfId="49368"/>
    <cellStyle name="표준 9 4 2 2 3 3 2 2 2" xfId="49369"/>
    <cellStyle name="표준 9 4 2 2 3 3 2 2 3" xfId="49370"/>
    <cellStyle name="표준 9 4 2 2 3 3 2 3" xfId="49371"/>
    <cellStyle name="표준 9 4 2 2 3 3 2 4" xfId="49372"/>
    <cellStyle name="표준 9 4 2 2 3 3 3" xfId="49373"/>
    <cellStyle name="표준 9 4 2 2 3 3 3 2" xfId="49374"/>
    <cellStyle name="표준 9 4 2 2 3 3 3 3" xfId="49375"/>
    <cellStyle name="표준 9 4 2 2 3 3 4" xfId="49376"/>
    <cellStyle name="표준 9 4 2 2 3 3 5" xfId="49377"/>
    <cellStyle name="표준 9 4 2 2 3 4" xfId="49378"/>
    <cellStyle name="표준 9 4 2 2 3 4 2" xfId="49379"/>
    <cellStyle name="표준 9 4 2 2 3 4 2 2" xfId="49380"/>
    <cellStyle name="표준 9 4 2 2 3 4 2 3" xfId="49381"/>
    <cellStyle name="표준 9 4 2 2 3 4 3" xfId="49382"/>
    <cellStyle name="표준 9 4 2 2 3 4 4" xfId="49383"/>
    <cellStyle name="표준 9 4 2 2 3 5" xfId="49384"/>
    <cellStyle name="표준 9 4 2 2 3 5 2" xfId="49385"/>
    <cellStyle name="표준 9 4 2 2 3 5 3" xfId="49386"/>
    <cellStyle name="표준 9 4 2 2 3 6" xfId="49387"/>
    <cellStyle name="표준 9 4 2 2 3 7" xfId="49388"/>
    <cellStyle name="표준 9 4 2 2 4" xfId="49389"/>
    <cellStyle name="표준 9 4 2 2 4 2" xfId="49390"/>
    <cellStyle name="표준 9 4 2 2 4 2 2" xfId="49391"/>
    <cellStyle name="표준 9 4 2 2 4 2 2 2" xfId="49392"/>
    <cellStyle name="표준 9 4 2 2 4 2 2 3" xfId="49393"/>
    <cellStyle name="표준 9 4 2 2 4 2 3" xfId="49394"/>
    <cellStyle name="표준 9 4 2 2 4 2 4" xfId="49395"/>
    <cellStyle name="표준 9 4 2 2 4 3" xfId="49396"/>
    <cellStyle name="표준 9 4 2 2 4 3 2" xfId="49397"/>
    <cellStyle name="표준 9 4 2 2 4 3 3" xfId="49398"/>
    <cellStyle name="표준 9 4 2 2 4 4" xfId="49399"/>
    <cellStyle name="표준 9 4 2 2 4 5" xfId="49400"/>
    <cellStyle name="표준 9 4 2 2 5" xfId="49401"/>
    <cellStyle name="표준 9 4 2 2 5 2" xfId="49402"/>
    <cellStyle name="표준 9 4 2 2 5 2 2" xfId="49403"/>
    <cellStyle name="표준 9 4 2 2 5 2 2 2" xfId="49404"/>
    <cellStyle name="표준 9 4 2 2 5 2 2 3" xfId="49405"/>
    <cellStyle name="표준 9 4 2 2 5 2 3" xfId="49406"/>
    <cellStyle name="표준 9 4 2 2 5 2 4" xfId="49407"/>
    <cellStyle name="표준 9 4 2 2 5 3" xfId="49408"/>
    <cellStyle name="표준 9 4 2 2 5 3 2" xfId="49409"/>
    <cellStyle name="표준 9 4 2 2 5 3 3" xfId="49410"/>
    <cellStyle name="표준 9 4 2 2 5 4" xfId="49411"/>
    <cellStyle name="표준 9 4 2 2 5 5" xfId="49412"/>
    <cellStyle name="표준 9 4 2 2 6" xfId="49413"/>
    <cellStyle name="표준 9 4 2 2 6 2" xfId="49414"/>
    <cellStyle name="표준 9 4 2 2 6 2 2" xfId="49415"/>
    <cellStyle name="표준 9 4 2 2 6 2 2 2" xfId="49416"/>
    <cellStyle name="표준 9 4 2 2 6 2 2 3" xfId="49417"/>
    <cellStyle name="표준 9 4 2 2 6 2 3" xfId="49418"/>
    <cellStyle name="표준 9 4 2 2 6 2 4" xfId="49419"/>
    <cellStyle name="표준 9 4 2 2 6 3" xfId="49420"/>
    <cellStyle name="표준 9 4 2 2 6 3 2" xfId="49421"/>
    <cellStyle name="표준 9 4 2 2 6 3 3" xfId="49422"/>
    <cellStyle name="표준 9 4 2 2 6 4" xfId="49423"/>
    <cellStyle name="표준 9 4 2 2 6 5" xfId="49424"/>
    <cellStyle name="표준 9 4 2 2 7" xfId="49425"/>
    <cellStyle name="표준 9 4 2 2 7 2" xfId="49426"/>
    <cellStyle name="표준 9 4 2 2 7 2 2" xfId="49427"/>
    <cellStyle name="표준 9 4 2 2 7 2 3" xfId="49428"/>
    <cellStyle name="표준 9 4 2 2 7 3" xfId="49429"/>
    <cellStyle name="표준 9 4 2 2 7 4" xfId="49430"/>
    <cellStyle name="표준 9 4 2 2 8" xfId="49431"/>
    <cellStyle name="표준 9 4 2 2 8 2" xfId="49432"/>
    <cellStyle name="표준 9 4 2 2 8 3" xfId="49433"/>
    <cellStyle name="표준 9 4 2 2 9" xfId="49434"/>
    <cellStyle name="표준 9 4 2 3" xfId="49435"/>
    <cellStyle name="표준 9 4 2 3 10" xfId="49436"/>
    <cellStyle name="표준 9 4 2 3 2" xfId="49437"/>
    <cellStyle name="표준 9 4 2 3 2 2" xfId="49438"/>
    <cellStyle name="표준 9 4 2 3 2 2 2" xfId="49439"/>
    <cellStyle name="표준 9 4 2 3 2 2 2 2" xfId="49440"/>
    <cellStyle name="표준 9 4 2 3 2 2 2 2 2" xfId="49441"/>
    <cellStyle name="표준 9 4 2 3 2 2 2 2 3" xfId="49442"/>
    <cellStyle name="표준 9 4 2 3 2 2 2 3" xfId="49443"/>
    <cellStyle name="표준 9 4 2 3 2 2 2 4" xfId="49444"/>
    <cellStyle name="표준 9 4 2 3 2 2 3" xfId="49445"/>
    <cellStyle name="표준 9 4 2 3 2 2 3 2" xfId="49446"/>
    <cellStyle name="표준 9 4 2 3 2 2 3 3" xfId="49447"/>
    <cellStyle name="표준 9 4 2 3 2 2 4" xfId="49448"/>
    <cellStyle name="표준 9 4 2 3 2 2 5" xfId="49449"/>
    <cellStyle name="표준 9 4 2 3 2 3" xfId="49450"/>
    <cellStyle name="표준 9 4 2 3 2 3 2" xfId="49451"/>
    <cellStyle name="표준 9 4 2 3 2 3 2 2" xfId="49452"/>
    <cellStyle name="표준 9 4 2 3 2 3 2 2 2" xfId="49453"/>
    <cellStyle name="표준 9 4 2 3 2 3 2 2 3" xfId="49454"/>
    <cellStyle name="표준 9 4 2 3 2 3 2 3" xfId="49455"/>
    <cellStyle name="표준 9 4 2 3 2 3 2 4" xfId="49456"/>
    <cellStyle name="표준 9 4 2 3 2 3 3" xfId="49457"/>
    <cellStyle name="표준 9 4 2 3 2 3 3 2" xfId="49458"/>
    <cellStyle name="표준 9 4 2 3 2 3 3 3" xfId="49459"/>
    <cellStyle name="표준 9 4 2 3 2 3 4" xfId="49460"/>
    <cellStyle name="표준 9 4 2 3 2 3 5" xfId="49461"/>
    <cellStyle name="표준 9 4 2 3 2 4" xfId="49462"/>
    <cellStyle name="표준 9 4 2 3 2 4 2" xfId="49463"/>
    <cellStyle name="표준 9 4 2 3 2 4 2 2" xfId="49464"/>
    <cellStyle name="표준 9 4 2 3 2 4 2 3" xfId="49465"/>
    <cellStyle name="표준 9 4 2 3 2 4 3" xfId="49466"/>
    <cellStyle name="표준 9 4 2 3 2 4 4" xfId="49467"/>
    <cellStyle name="표준 9 4 2 3 2 5" xfId="49468"/>
    <cellStyle name="표준 9 4 2 3 2 5 2" xfId="49469"/>
    <cellStyle name="표준 9 4 2 3 2 5 3" xfId="49470"/>
    <cellStyle name="표준 9 4 2 3 2 6" xfId="49471"/>
    <cellStyle name="표준 9 4 2 3 2 7" xfId="49472"/>
    <cellStyle name="표준 9 4 2 3 3" xfId="49473"/>
    <cellStyle name="표준 9 4 2 3 3 2" xfId="49474"/>
    <cellStyle name="표준 9 4 2 3 3 2 2" xfId="49475"/>
    <cellStyle name="표준 9 4 2 3 3 2 2 2" xfId="49476"/>
    <cellStyle name="표준 9 4 2 3 3 2 2 2 2" xfId="49477"/>
    <cellStyle name="표준 9 4 2 3 3 2 2 2 3" xfId="49478"/>
    <cellStyle name="표준 9 4 2 3 3 2 2 3" xfId="49479"/>
    <cellStyle name="표준 9 4 2 3 3 2 2 4" xfId="49480"/>
    <cellStyle name="표준 9 4 2 3 3 2 3" xfId="49481"/>
    <cellStyle name="표준 9 4 2 3 3 2 3 2" xfId="49482"/>
    <cellStyle name="표준 9 4 2 3 3 2 3 3" xfId="49483"/>
    <cellStyle name="표준 9 4 2 3 3 2 4" xfId="49484"/>
    <cellStyle name="표준 9 4 2 3 3 2 5" xfId="49485"/>
    <cellStyle name="표준 9 4 2 3 3 3" xfId="49486"/>
    <cellStyle name="표준 9 4 2 3 3 3 2" xfId="49487"/>
    <cellStyle name="표준 9 4 2 3 3 3 2 2" xfId="49488"/>
    <cellStyle name="표준 9 4 2 3 3 3 2 2 2" xfId="49489"/>
    <cellStyle name="표준 9 4 2 3 3 3 2 2 3" xfId="49490"/>
    <cellStyle name="표준 9 4 2 3 3 3 2 3" xfId="49491"/>
    <cellStyle name="표준 9 4 2 3 3 3 2 4" xfId="49492"/>
    <cellStyle name="표준 9 4 2 3 3 3 3" xfId="49493"/>
    <cellStyle name="표준 9 4 2 3 3 3 3 2" xfId="49494"/>
    <cellStyle name="표준 9 4 2 3 3 3 3 3" xfId="49495"/>
    <cellStyle name="표준 9 4 2 3 3 3 4" xfId="49496"/>
    <cellStyle name="표준 9 4 2 3 3 3 5" xfId="49497"/>
    <cellStyle name="표준 9 4 2 3 3 4" xfId="49498"/>
    <cellStyle name="표준 9 4 2 3 3 4 2" xfId="49499"/>
    <cellStyle name="표준 9 4 2 3 3 4 2 2" xfId="49500"/>
    <cellStyle name="표준 9 4 2 3 3 4 2 3" xfId="49501"/>
    <cellStyle name="표준 9 4 2 3 3 4 3" xfId="49502"/>
    <cellStyle name="표준 9 4 2 3 3 4 4" xfId="49503"/>
    <cellStyle name="표준 9 4 2 3 3 5" xfId="49504"/>
    <cellStyle name="표준 9 4 2 3 3 5 2" xfId="49505"/>
    <cellStyle name="표준 9 4 2 3 3 5 3" xfId="49506"/>
    <cellStyle name="표준 9 4 2 3 3 6" xfId="49507"/>
    <cellStyle name="표준 9 4 2 3 3 7" xfId="49508"/>
    <cellStyle name="표준 9 4 2 3 4" xfId="49509"/>
    <cellStyle name="표준 9 4 2 3 4 2" xfId="49510"/>
    <cellStyle name="표준 9 4 2 3 4 2 2" xfId="49511"/>
    <cellStyle name="표준 9 4 2 3 4 2 2 2" xfId="49512"/>
    <cellStyle name="표준 9 4 2 3 4 2 2 3" xfId="49513"/>
    <cellStyle name="표준 9 4 2 3 4 2 3" xfId="49514"/>
    <cellStyle name="표준 9 4 2 3 4 2 4" xfId="49515"/>
    <cellStyle name="표준 9 4 2 3 4 3" xfId="49516"/>
    <cellStyle name="표준 9 4 2 3 4 3 2" xfId="49517"/>
    <cellStyle name="표준 9 4 2 3 4 3 3" xfId="49518"/>
    <cellStyle name="표준 9 4 2 3 4 4" xfId="49519"/>
    <cellStyle name="표준 9 4 2 3 4 5" xfId="49520"/>
    <cellStyle name="표준 9 4 2 3 5" xfId="49521"/>
    <cellStyle name="표준 9 4 2 3 5 2" xfId="49522"/>
    <cellStyle name="표준 9 4 2 3 5 2 2" xfId="49523"/>
    <cellStyle name="표준 9 4 2 3 5 2 2 2" xfId="49524"/>
    <cellStyle name="표준 9 4 2 3 5 2 2 3" xfId="49525"/>
    <cellStyle name="표준 9 4 2 3 5 2 3" xfId="49526"/>
    <cellStyle name="표준 9 4 2 3 5 2 4" xfId="49527"/>
    <cellStyle name="표준 9 4 2 3 5 3" xfId="49528"/>
    <cellStyle name="표준 9 4 2 3 5 3 2" xfId="49529"/>
    <cellStyle name="표준 9 4 2 3 5 3 3" xfId="49530"/>
    <cellStyle name="표준 9 4 2 3 5 4" xfId="49531"/>
    <cellStyle name="표준 9 4 2 3 5 5" xfId="49532"/>
    <cellStyle name="표준 9 4 2 3 6" xfId="49533"/>
    <cellStyle name="표준 9 4 2 3 6 2" xfId="49534"/>
    <cellStyle name="표준 9 4 2 3 6 2 2" xfId="49535"/>
    <cellStyle name="표준 9 4 2 3 6 2 2 2" xfId="49536"/>
    <cellStyle name="표준 9 4 2 3 6 2 2 3" xfId="49537"/>
    <cellStyle name="표준 9 4 2 3 6 2 3" xfId="49538"/>
    <cellStyle name="표준 9 4 2 3 6 2 4" xfId="49539"/>
    <cellStyle name="표준 9 4 2 3 6 3" xfId="49540"/>
    <cellStyle name="표준 9 4 2 3 6 3 2" xfId="49541"/>
    <cellStyle name="표준 9 4 2 3 6 3 3" xfId="49542"/>
    <cellStyle name="표준 9 4 2 3 6 4" xfId="49543"/>
    <cellStyle name="표준 9 4 2 3 6 5" xfId="49544"/>
    <cellStyle name="표준 9 4 2 3 7" xfId="49545"/>
    <cellStyle name="표준 9 4 2 3 7 2" xfId="49546"/>
    <cellStyle name="표준 9 4 2 3 7 2 2" xfId="49547"/>
    <cellStyle name="표준 9 4 2 3 7 2 3" xfId="49548"/>
    <cellStyle name="표준 9 4 2 3 7 3" xfId="49549"/>
    <cellStyle name="표준 9 4 2 3 7 4" xfId="49550"/>
    <cellStyle name="표준 9 4 2 3 8" xfId="49551"/>
    <cellStyle name="표준 9 4 2 3 8 2" xfId="49552"/>
    <cellStyle name="표준 9 4 2 3 8 3" xfId="49553"/>
    <cellStyle name="표준 9 4 2 3 9" xfId="49554"/>
    <cellStyle name="표준 9 4 2 4" xfId="49555"/>
    <cellStyle name="표준 9 4 2 4 10" xfId="49556"/>
    <cellStyle name="표준 9 4 2 4 2" xfId="49557"/>
    <cellStyle name="표준 9 4 2 4 2 2" xfId="49558"/>
    <cellStyle name="표준 9 4 2 4 2 2 2" xfId="49559"/>
    <cellStyle name="표준 9 4 2 4 2 2 2 2" xfId="49560"/>
    <cellStyle name="표준 9 4 2 4 2 2 2 2 2" xfId="49561"/>
    <cellStyle name="표준 9 4 2 4 2 2 2 2 3" xfId="49562"/>
    <cellStyle name="표준 9 4 2 4 2 2 2 3" xfId="49563"/>
    <cellStyle name="표준 9 4 2 4 2 2 2 4" xfId="49564"/>
    <cellStyle name="표준 9 4 2 4 2 2 3" xfId="49565"/>
    <cellStyle name="표준 9 4 2 4 2 2 3 2" xfId="49566"/>
    <cellStyle name="표준 9 4 2 4 2 2 3 3" xfId="49567"/>
    <cellStyle name="표준 9 4 2 4 2 2 4" xfId="49568"/>
    <cellStyle name="표준 9 4 2 4 2 2 5" xfId="49569"/>
    <cellStyle name="표준 9 4 2 4 2 3" xfId="49570"/>
    <cellStyle name="표준 9 4 2 4 2 3 2" xfId="49571"/>
    <cellStyle name="표준 9 4 2 4 2 3 2 2" xfId="49572"/>
    <cellStyle name="표준 9 4 2 4 2 3 2 2 2" xfId="49573"/>
    <cellStyle name="표준 9 4 2 4 2 3 2 2 3" xfId="49574"/>
    <cellStyle name="표준 9 4 2 4 2 3 2 3" xfId="49575"/>
    <cellStyle name="표준 9 4 2 4 2 3 2 4" xfId="49576"/>
    <cellStyle name="표준 9 4 2 4 2 3 3" xfId="49577"/>
    <cellStyle name="표준 9 4 2 4 2 3 3 2" xfId="49578"/>
    <cellStyle name="표준 9 4 2 4 2 3 3 3" xfId="49579"/>
    <cellStyle name="표준 9 4 2 4 2 3 4" xfId="49580"/>
    <cellStyle name="표준 9 4 2 4 2 3 5" xfId="49581"/>
    <cellStyle name="표준 9 4 2 4 2 4" xfId="49582"/>
    <cellStyle name="표준 9 4 2 4 2 4 2" xfId="49583"/>
    <cellStyle name="표준 9 4 2 4 2 4 2 2" xfId="49584"/>
    <cellStyle name="표준 9 4 2 4 2 4 2 3" xfId="49585"/>
    <cellStyle name="표준 9 4 2 4 2 4 3" xfId="49586"/>
    <cellStyle name="표준 9 4 2 4 2 4 4" xfId="49587"/>
    <cellStyle name="표준 9 4 2 4 2 5" xfId="49588"/>
    <cellStyle name="표준 9 4 2 4 2 5 2" xfId="49589"/>
    <cellStyle name="표준 9 4 2 4 2 5 3" xfId="49590"/>
    <cellStyle name="표준 9 4 2 4 2 6" xfId="49591"/>
    <cellStyle name="표준 9 4 2 4 2 7" xfId="49592"/>
    <cellStyle name="표준 9 4 2 4 3" xfId="49593"/>
    <cellStyle name="표준 9 4 2 4 3 2" xfId="49594"/>
    <cellStyle name="표준 9 4 2 4 3 2 2" xfId="49595"/>
    <cellStyle name="표준 9 4 2 4 3 2 2 2" xfId="49596"/>
    <cellStyle name="표준 9 4 2 4 3 2 2 2 2" xfId="49597"/>
    <cellStyle name="표준 9 4 2 4 3 2 2 2 3" xfId="49598"/>
    <cellStyle name="표준 9 4 2 4 3 2 2 3" xfId="49599"/>
    <cellStyle name="표준 9 4 2 4 3 2 2 4" xfId="49600"/>
    <cellStyle name="표준 9 4 2 4 3 2 3" xfId="49601"/>
    <cellStyle name="표준 9 4 2 4 3 2 3 2" xfId="49602"/>
    <cellStyle name="표준 9 4 2 4 3 2 3 3" xfId="49603"/>
    <cellStyle name="표준 9 4 2 4 3 2 4" xfId="49604"/>
    <cellStyle name="표준 9 4 2 4 3 2 5" xfId="49605"/>
    <cellStyle name="표준 9 4 2 4 3 3" xfId="49606"/>
    <cellStyle name="표준 9 4 2 4 3 3 2" xfId="49607"/>
    <cellStyle name="표준 9 4 2 4 3 3 2 2" xfId="49608"/>
    <cellStyle name="표준 9 4 2 4 3 3 2 2 2" xfId="49609"/>
    <cellStyle name="표준 9 4 2 4 3 3 2 2 3" xfId="49610"/>
    <cellStyle name="표준 9 4 2 4 3 3 2 3" xfId="49611"/>
    <cellStyle name="표준 9 4 2 4 3 3 2 4" xfId="49612"/>
    <cellStyle name="표준 9 4 2 4 3 3 3" xfId="49613"/>
    <cellStyle name="표준 9 4 2 4 3 3 3 2" xfId="49614"/>
    <cellStyle name="표준 9 4 2 4 3 3 3 3" xfId="49615"/>
    <cellStyle name="표준 9 4 2 4 3 3 4" xfId="49616"/>
    <cellStyle name="표준 9 4 2 4 3 3 5" xfId="49617"/>
    <cellStyle name="표준 9 4 2 4 3 4" xfId="49618"/>
    <cellStyle name="표준 9 4 2 4 3 4 2" xfId="49619"/>
    <cellStyle name="표준 9 4 2 4 3 4 2 2" xfId="49620"/>
    <cellStyle name="표준 9 4 2 4 3 4 2 3" xfId="49621"/>
    <cellStyle name="표준 9 4 2 4 3 4 3" xfId="49622"/>
    <cellStyle name="표준 9 4 2 4 3 4 4" xfId="49623"/>
    <cellStyle name="표준 9 4 2 4 3 5" xfId="49624"/>
    <cellStyle name="표준 9 4 2 4 3 5 2" xfId="49625"/>
    <cellStyle name="표준 9 4 2 4 3 5 3" xfId="49626"/>
    <cellStyle name="표준 9 4 2 4 3 6" xfId="49627"/>
    <cellStyle name="표준 9 4 2 4 3 7" xfId="49628"/>
    <cellStyle name="표준 9 4 2 4 4" xfId="49629"/>
    <cellStyle name="표준 9 4 2 4 4 2" xfId="49630"/>
    <cellStyle name="표준 9 4 2 4 4 2 2" xfId="49631"/>
    <cellStyle name="표준 9 4 2 4 4 2 2 2" xfId="49632"/>
    <cellStyle name="표준 9 4 2 4 4 2 2 3" xfId="49633"/>
    <cellStyle name="표준 9 4 2 4 4 2 3" xfId="49634"/>
    <cellStyle name="표준 9 4 2 4 4 2 4" xfId="49635"/>
    <cellStyle name="표준 9 4 2 4 4 3" xfId="49636"/>
    <cellStyle name="표준 9 4 2 4 4 3 2" xfId="49637"/>
    <cellStyle name="표준 9 4 2 4 4 3 3" xfId="49638"/>
    <cellStyle name="표준 9 4 2 4 4 4" xfId="49639"/>
    <cellStyle name="표준 9 4 2 4 4 5" xfId="49640"/>
    <cellStyle name="표준 9 4 2 4 5" xfId="49641"/>
    <cellStyle name="표준 9 4 2 4 5 2" xfId="49642"/>
    <cellStyle name="표준 9 4 2 4 5 2 2" xfId="49643"/>
    <cellStyle name="표준 9 4 2 4 5 2 2 2" xfId="49644"/>
    <cellStyle name="표준 9 4 2 4 5 2 2 3" xfId="49645"/>
    <cellStyle name="표준 9 4 2 4 5 2 3" xfId="49646"/>
    <cellStyle name="표준 9 4 2 4 5 2 4" xfId="49647"/>
    <cellStyle name="표준 9 4 2 4 5 3" xfId="49648"/>
    <cellStyle name="표준 9 4 2 4 5 3 2" xfId="49649"/>
    <cellStyle name="표준 9 4 2 4 5 3 3" xfId="49650"/>
    <cellStyle name="표준 9 4 2 4 5 4" xfId="49651"/>
    <cellStyle name="표준 9 4 2 4 5 5" xfId="49652"/>
    <cellStyle name="표준 9 4 2 4 6" xfId="49653"/>
    <cellStyle name="표준 9 4 2 4 6 2" xfId="49654"/>
    <cellStyle name="표준 9 4 2 4 6 2 2" xfId="49655"/>
    <cellStyle name="표준 9 4 2 4 6 2 2 2" xfId="49656"/>
    <cellStyle name="표준 9 4 2 4 6 2 2 3" xfId="49657"/>
    <cellStyle name="표준 9 4 2 4 6 2 3" xfId="49658"/>
    <cellStyle name="표준 9 4 2 4 6 2 4" xfId="49659"/>
    <cellStyle name="표준 9 4 2 4 6 3" xfId="49660"/>
    <cellStyle name="표준 9 4 2 4 6 3 2" xfId="49661"/>
    <cellStyle name="표준 9 4 2 4 6 3 3" xfId="49662"/>
    <cellStyle name="표준 9 4 2 4 6 4" xfId="49663"/>
    <cellStyle name="표준 9 4 2 4 6 5" xfId="49664"/>
    <cellStyle name="표준 9 4 2 4 7" xfId="49665"/>
    <cellStyle name="표준 9 4 2 4 7 2" xfId="49666"/>
    <cellStyle name="표준 9 4 2 4 7 2 2" xfId="49667"/>
    <cellStyle name="표준 9 4 2 4 7 2 3" xfId="49668"/>
    <cellStyle name="표준 9 4 2 4 7 3" xfId="49669"/>
    <cellStyle name="표준 9 4 2 4 7 4" xfId="49670"/>
    <cellStyle name="표준 9 4 2 4 8" xfId="49671"/>
    <cellStyle name="표준 9 4 2 4 8 2" xfId="49672"/>
    <cellStyle name="표준 9 4 2 4 8 3" xfId="49673"/>
    <cellStyle name="표준 9 4 2 4 9" xfId="49674"/>
    <cellStyle name="표준 9 4 2 5" xfId="49675"/>
    <cellStyle name="표준 9 4 2 5 2" xfId="49676"/>
    <cellStyle name="표준 9 4 2 5 2 2" xfId="49677"/>
    <cellStyle name="표준 9 4 2 5 2 2 2" xfId="49678"/>
    <cellStyle name="표준 9 4 2 5 2 2 2 2" xfId="49679"/>
    <cellStyle name="표준 9 4 2 5 2 2 2 3" xfId="49680"/>
    <cellStyle name="표준 9 4 2 5 2 2 3" xfId="49681"/>
    <cellStyle name="표준 9 4 2 5 2 2 4" xfId="49682"/>
    <cellStyle name="표준 9 4 2 5 2 3" xfId="49683"/>
    <cellStyle name="표준 9 4 2 5 2 3 2" xfId="49684"/>
    <cellStyle name="표준 9 4 2 5 2 3 3" xfId="49685"/>
    <cellStyle name="표준 9 4 2 5 2 4" xfId="49686"/>
    <cellStyle name="표준 9 4 2 5 2 5" xfId="49687"/>
    <cellStyle name="표준 9 4 2 5 3" xfId="49688"/>
    <cellStyle name="표준 9 4 2 5 3 2" xfId="49689"/>
    <cellStyle name="표준 9 4 2 5 3 2 2" xfId="49690"/>
    <cellStyle name="표준 9 4 2 5 3 2 2 2" xfId="49691"/>
    <cellStyle name="표준 9 4 2 5 3 2 2 3" xfId="49692"/>
    <cellStyle name="표준 9 4 2 5 3 2 3" xfId="49693"/>
    <cellStyle name="표준 9 4 2 5 3 2 4" xfId="49694"/>
    <cellStyle name="표준 9 4 2 5 3 3" xfId="49695"/>
    <cellStyle name="표준 9 4 2 5 3 3 2" xfId="49696"/>
    <cellStyle name="표준 9 4 2 5 3 3 3" xfId="49697"/>
    <cellStyle name="표준 9 4 2 5 3 4" xfId="49698"/>
    <cellStyle name="표준 9 4 2 5 3 5" xfId="49699"/>
    <cellStyle name="표준 9 4 2 5 4" xfId="49700"/>
    <cellStyle name="표준 9 4 2 5 4 2" xfId="49701"/>
    <cellStyle name="표준 9 4 2 5 4 2 2" xfId="49702"/>
    <cellStyle name="표준 9 4 2 5 4 2 3" xfId="49703"/>
    <cellStyle name="표준 9 4 2 5 4 3" xfId="49704"/>
    <cellStyle name="표준 9 4 2 5 4 4" xfId="49705"/>
    <cellStyle name="표준 9 4 2 5 5" xfId="49706"/>
    <cellStyle name="표준 9 4 2 5 5 2" xfId="49707"/>
    <cellStyle name="표준 9 4 2 5 5 3" xfId="49708"/>
    <cellStyle name="표준 9 4 2 5 6" xfId="49709"/>
    <cellStyle name="표준 9 4 2 5 7" xfId="49710"/>
    <cellStyle name="표준 9 4 2 6" xfId="49711"/>
    <cellStyle name="표준 9 4 2 6 2" xfId="49712"/>
    <cellStyle name="표준 9 4 2 6 2 2" xfId="49713"/>
    <cellStyle name="표준 9 4 2 6 2 2 2" xfId="49714"/>
    <cellStyle name="표준 9 4 2 6 2 2 2 2" xfId="49715"/>
    <cellStyle name="표준 9 4 2 6 2 2 2 3" xfId="49716"/>
    <cellStyle name="표준 9 4 2 6 2 2 3" xfId="49717"/>
    <cellStyle name="표준 9 4 2 6 2 2 4" xfId="49718"/>
    <cellStyle name="표준 9 4 2 6 2 3" xfId="49719"/>
    <cellStyle name="표준 9 4 2 6 2 3 2" xfId="49720"/>
    <cellStyle name="표준 9 4 2 6 2 3 3" xfId="49721"/>
    <cellStyle name="표준 9 4 2 6 2 4" xfId="49722"/>
    <cellStyle name="표준 9 4 2 6 2 5" xfId="49723"/>
    <cellStyle name="표준 9 4 2 6 3" xfId="49724"/>
    <cellStyle name="표준 9 4 2 6 3 2" xfId="49725"/>
    <cellStyle name="표준 9 4 2 6 3 2 2" xfId="49726"/>
    <cellStyle name="표준 9 4 2 6 3 2 2 2" xfId="49727"/>
    <cellStyle name="표준 9 4 2 6 3 2 2 3" xfId="49728"/>
    <cellStyle name="표준 9 4 2 6 3 2 3" xfId="49729"/>
    <cellStyle name="표준 9 4 2 6 3 2 4" xfId="49730"/>
    <cellStyle name="표준 9 4 2 6 3 3" xfId="49731"/>
    <cellStyle name="표준 9 4 2 6 3 3 2" xfId="49732"/>
    <cellStyle name="표준 9 4 2 6 3 3 3" xfId="49733"/>
    <cellStyle name="표준 9 4 2 6 3 4" xfId="49734"/>
    <cellStyle name="표준 9 4 2 6 3 5" xfId="49735"/>
    <cellStyle name="표준 9 4 2 6 4" xfId="49736"/>
    <cellStyle name="표준 9 4 2 6 4 2" xfId="49737"/>
    <cellStyle name="표준 9 4 2 6 4 2 2" xfId="49738"/>
    <cellStyle name="표준 9 4 2 6 4 2 3" xfId="49739"/>
    <cellStyle name="표준 9 4 2 6 4 3" xfId="49740"/>
    <cellStyle name="표준 9 4 2 6 4 4" xfId="49741"/>
    <cellStyle name="표준 9 4 2 6 5" xfId="49742"/>
    <cellStyle name="표준 9 4 2 6 5 2" xfId="49743"/>
    <cellStyle name="표준 9 4 2 6 5 3" xfId="49744"/>
    <cellStyle name="표준 9 4 2 6 6" xfId="49745"/>
    <cellStyle name="표준 9 4 2 6 7" xfId="49746"/>
    <cellStyle name="표준 9 4 2 7" xfId="49747"/>
    <cellStyle name="표준 9 4 2 7 2" xfId="49748"/>
    <cellStyle name="표준 9 4 2 7 2 2" xfId="49749"/>
    <cellStyle name="표준 9 4 2 7 2 2 2" xfId="49750"/>
    <cellStyle name="표준 9 4 2 7 2 2 3" xfId="49751"/>
    <cellStyle name="표준 9 4 2 7 2 3" xfId="49752"/>
    <cellStyle name="표준 9 4 2 7 2 4" xfId="49753"/>
    <cellStyle name="표준 9 4 2 7 3" xfId="49754"/>
    <cellStyle name="표준 9 4 2 7 3 2" xfId="49755"/>
    <cellStyle name="표준 9 4 2 7 3 3" xfId="49756"/>
    <cellStyle name="표준 9 4 2 7 4" xfId="49757"/>
    <cellStyle name="표준 9 4 2 7 5" xfId="49758"/>
    <cellStyle name="표준 9 4 2 8" xfId="49759"/>
    <cellStyle name="표준 9 4 2 8 2" xfId="49760"/>
    <cellStyle name="표준 9 4 2 8 2 2" xfId="49761"/>
    <cellStyle name="표준 9 4 2 8 2 2 2" xfId="49762"/>
    <cellStyle name="표준 9 4 2 8 2 2 3" xfId="49763"/>
    <cellStyle name="표준 9 4 2 8 2 3" xfId="49764"/>
    <cellStyle name="표준 9 4 2 8 2 4" xfId="49765"/>
    <cellStyle name="표준 9 4 2 8 3" xfId="49766"/>
    <cellStyle name="표준 9 4 2 8 3 2" xfId="49767"/>
    <cellStyle name="표준 9 4 2 8 3 3" xfId="49768"/>
    <cellStyle name="표준 9 4 2 8 4" xfId="49769"/>
    <cellStyle name="표준 9 4 2 8 5" xfId="49770"/>
    <cellStyle name="표준 9 4 2 9" xfId="49771"/>
    <cellStyle name="표준 9 4 2 9 2" xfId="49772"/>
    <cellStyle name="표준 9 4 2 9 2 2" xfId="49773"/>
    <cellStyle name="표준 9 4 2 9 2 2 2" xfId="49774"/>
    <cellStyle name="표준 9 4 2 9 2 2 3" xfId="49775"/>
    <cellStyle name="표준 9 4 2 9 2 3" xfId="49776"/>
    <cellStyle name="표준 9 4 2 9 2 4" xfId="49777"/>
    <cellStyle name="표준 9 4 2 9 3" xfId="49778"/>
    <cellStyle name="표준 9 4 2 9 3 2" xfId="49779"/>
    <cellStyle name="표준 9 4 2 9 3 3" xfId="49780"/>
    <cellStyle name="표준 9 4 2 9 4" xfId="49781"/>
    <cellStyle name="표준 9 4 2 9 5" xfId="49782"/>
    <cellStyle name="표준 9 4 3" xfId="49783"/>
    <cellStyle name="표준 9 4 3 10" xfId="49784"/>
    <cellStyle name="표준 9 4 3 2" xfId="49785"/>
    <cellStyle name="표준 9 4 3 2 2" xfId="49786"/>
    <cellStyle name="표준 9 4 3 2 2 2" xfId="49787"/>
    <cellStyle name="표준 9 4 3 2 2 2 2" xfId="49788"/>
    <cellStyle name="표준 9 4 3 2 2 2 2 2" xfId="49789"/>
    <cellStyle name="표준 9 4 3 2 2 2 2 3" xfId="49790"/>
    <cellStyle name="표준 9 4 3 2 2 2 3" xfId="49791"/>
    <cellStyle name="표준 9 4 3 2 2 2 4" xfId="49792"/>
    <cellStyle name="표준 9 4 3 2 2 3" xfId="49793"/>
    <cellStyle name="표준 9 4 3 2 2 3 2" xfId="49794"/>
    <cellStyle name="표준 9 4 3 2 2 3 3" xfId="49795"/>
    <cellStyle name="표준 9 4 3 2 2 4" xfId="49796"/>
    <cellStyle name="표준 9 4 3 2 2 5" xfId="49797"/>
    <cellStyle name="표준 9 4 3 2 3" xfId="49798"/>
    <cellStyle name="표준 9 4 3 2 3 2" xfId="49799"/>
    <cellStyle name="표준 9 4 3 2 3 2 2" xfId="49800"/>
    <cellStyle name="표준 9 4 3 2 3 2 2 2" xfId="49801"/>
    <cellStyle name="표준 9 4 3 2 3 2 2 3" xfId="49802"/>
    <cellStyle name="표준 9 4 3 2 3 2 3" xfId="49803"/>
    <cellStyle name="표준 9 4 3 2 3 2 4" xfId="49804"/>
    <cellStyle name="표준 9 4 3 2 3 3" xfId="49805"/>
    <cellStyle name="표준 9 4 3 2 3 3 2" xfId="49806"/>
    <cellStyle name="표준 9 4 3 2 3 3 3" xfId="49807"/>
    <cellStyle name="표준 9 4 3 2 3 4" xfId="49808"/>
    <cellStyle name="표준 9 4 3 2 3 5" xfId="49809"/>
    <cellStyle name="표준 9 4 3 2 4" xfId="49810"/>
    <cellStyle name="표준 9 4 3 2 4 2" xfId="49811"/>
    <cellStyle name="표준 9 4 3 2 4 2 2" xfId="49812"/>
    <cellStyle name="표준 9 4 3 2 4 2 3" xfId="49813"/>
    <cellStyle name="표준 9 4 3 2 4 3" xfId="49814"/>
    <cellStyle name="표준 9 4 3 2 4 4" xfId="49815"/>
    <cellStyle name="표준 9 4 3 2 5" xfId="49816"/>
    <cellStyle name="표준 9 4 3 2 5 2" xfId="49817"/>
    <cellStyle name="표준 9 4 3 2 5 3" xfId="49818"/>
    <cellStyle name="표준 9 4 3 2 6" xfId="49819"/>
    <cellStyle name="표준 9 4 3 2 7" xfId="49820"/>
    <cellStyle name="표준 9 4 3 3" xfId="49821"/>
    <cellStyle name="표준 9 4 3 3 2" xfId="49822"/>
    <cellStyle name="표준 9 4 3 3 2 2" xfId="49823"/>
    <cellStyle name="표준 9 4 3 3 2 2 2" xfId="49824"/>
    <cellStyle name="표준 9 4 3 3 2 2 2 2" xfId="49825"/>
    <cellStyle name="표준 9 4 3 3 2 2 2 3" xfId="49826"/>
    <cellStyle name="표준 9 4 3 3 2 2 3" xfId="49827"/>
    <cellStyle name="표준 9 4 3 3 2 2 4" xfId="49828"/>
    <cellStyle name="표준 9 4 3 3 2 3" xfId="49829"/>
    <cellStyle name="표준 9 4 3 3 2 3 2" xfId="49830"/>
    <cellStyle name="표준 9 4 3 3 2 3 3" xfId="49831"/>
    <cellStyle name="표준 9 4 3 3 2 4" xfId="49832"/>
    <cellStyle name="표준 9 4 3 3 2 5" xfId="49833"/>
    <cellStyle name="표준 9 4 3 3 3" xfId="49834"/>
    <cellStyle name="표준 9 4 3 3 3 2" xfId="49835"/>
    <cellStyle name="표준 9 4 3 3 3 2 2" xfId="49836"/>
    <cellStyle name="표준 9 4 3 3 3 2 2 2" xfId="49837"/>
    <cellStyle name="표준 9 4 3 3 3 2 2 3" xfId="49838"/>
    <cellStyle name="표준 9 4 3 3 3 2 3" xfId="49839"/>
    <cellStyle name="표준 9 4 3 3 3 2 4" xfId="49840"/>
    <cellStyle name="표준 9 4 3 3 3 3" xfId="49841"/>
    <cellStyle name="표준 9 4 3 3 3 3 2" xfId="49842"/>
    <cellStyle name="표준 9 4 3 3 3 3 3" xfId="49843"/>
    <cellStyle name="표준 9 4 3 3 3 4" xfId="49844"/>
    <cellStyle name="표준 9 4 3 3 3 5" xfId="49845"/>
    <cellStyle name="표준 9 4 3 3 4" xfId="49846"/>
    <cellStyle name="표준 9 4 3 3 4 2" xfId="49847"/>
    <cellStyle name="표준 9 4 3 3 4 2 2" xfId="49848"/>
    <cellStyle name="표준 9 4 3 3 4 2 3" xfId="49849"/>
    <cellStyle name="표준 9 4 3 3 4 3" xfId="49850"/>
    <cellStyle name="표준 9 4 3 3 4 4" xfId="49851"/>
    <cellStyle name="표준 9 4 3 3 5" xfId="49852"/>
    <cellStyle name="표준 9 4 3 3 5 2" xfId="49853"/>
    <cellStyle name="표준 9 4 3 3 5 3" xfId="49854"/>
    <cellStyle name="표준 9 4 3 3 6" xfId="49855"/>
    <cellStyle name="표준 9 4 3 3 7" xfId="49856"/>
    <cellStyle name="표준 9 4 3 4" xfId="49857"/>
    <cellStyle name="표준 9 4 3 4 2" xfId="49858"/>
    <cellStyle name="표준 9 4 3 4 2 2" xfId="49859"/>
    <cellStyle name="표준 9 4 3 4 2 2 2" xfId="49860"/>
    <cellStyle name="표준 9 4 3 4 2 2 3" xfId="49861"/>
    <cellStyle name="표준 9 4 3 4 2 3" xfId="49862"/>
    <cellStyle name="표준 9 4 3 4 2 4" xfId="49863"/>
    <cellStyle name="표준 9 4 3 4 3" xfId="49864"/>
    <cellStyle name="표준 9 4 3 4 3 2" xfId="49865"/>
    <cellStyle name="표준 9 4 3 4 3 3" xfId="49866"/>
    <cellStyle name="표준 9 4 3 4 4" xfId="49867"/>
    <cellStyle name="표준 9 4 3 4 5" xfId="49868"/>
    <cellStyle name="표준 9 4 3 5" xfId="49869"/>
    <cellStyle name="표준 9 4 3 5 2" xfId="49870"/>
    <cellStyle name="표준 9 4 3 5 2 2" xfId="49871"/>
    <cellStyle name="표준 9 4 3 5 2 2 2" xfId="49872"/>
    <cellStyle name="표준 9 4 3 5 2 2 3" xfId="49873"/>
    <cellStyle name="표준 9 4 3 5 2 3" xfId="49874"/>
    <cellStyle name="표준 9 4 3 5 2 4" xfId="49875"/>
    <cellStyle name="표준 9 4 3 5 3" xfId="49876"/>
    <cellStyle name="표준 9 4 3 5 3 2" xfId="49877"/>
    <cellStyle name="표준 9 4 3 5 3 3" xfId="49878"/>
    <cellStyle name="표준 9 4 3 5 4" xfId="49879"/>
    <cellStyle name="표준 9 4 3 5 5" xfId="49880"/>
    <cellStyle name="표준 9 4 3 6" xfId="49881"/>
    <cellStyle name="표준 9 4 3 6 2" xfId="49882"/>
    <cellStyle name="표준 9 4 3 6 2 2" xfId="49883"/>
    <cellStyle name="표준 9 4 3 6 2 2 2" xfId="49884"/>
    <cellStyle name="표준 9 4 3 6 2 2 3" xfId="49885"/>
    <cellStyle name="표준 9 4 3 6 2 3" xfId="49886"/>
    <cellStyle name="표준 9 4 3 6 2 4" xfId="49887"/>
    <cellStyle name="표준 9 4 3 6 3" xfId="49888"/>
    <cellStyle name="표준 9 4 3 6 3 2" xfId="49889"/>
    <cellStyle name="표준 9 4 3 6 3 3" xfId="49890"/>
    <cellStyle name="표준 9 4 3 6 4" xfId="49891"/>
    <cellStyle name="표준 9 4 3 6 5" xfId="49892"/>
    <cellStyle name="표준 9 4 3 7" xfId="49893"/>
    <cellStyle name="표준 9 4 3 7 2" xfId="49894"/>
    <cellStyle name="표준 9 4 3 7 2 2" xfId="49895"/>
    <cellStyle name="표준 9 4 3 7 2 3" xfId="49896"/>
    <cellStyle name="표준 9 4 3 7 3" xfId="49897"/>
    <cellStyle name="표준 9 4 3 7 4" xfId="49898"/>
    <cellStyle name="표준 9 4 3 8" xfId="49899"/>
    <cellStyle name="표준 9 4 3 8 2" xfId="49900"/>
    <cellStyle name="표준 9 4 3 8 3" xfId="49901"/>
    <cellStyle name="표준 9 4 3 9" xfId="49902"/>
    <cellStyle name="표준 9 4 4" xfId="49903"/>
    <cellStyle name="표준 9 4 4 10" xfId="49904"/>
    <cellStyle name="표준 9 4 4 2" xfId="49905"/>
    <cellStyle name="표준 9 4 4 2 2" xfId="49906"/>
    <cellStyle name="표준 9 4 4 2 2 2" xfId="49907"/>
    <cellStyle name="표준 9 4 4 2 2 2 2" xfId="49908"/>
    <cellStyle name="표준 9 4 4 2 2 2 2 2" xfId="49909"/>
    <cellStyle name="표준 9 4 4 2 2 2 2 3" xfId="49910"/>
    <cellStyle name="표준 9 4 4 2 2 2 3" xfId="49911"/>
    <cellStyle name="표준 9 4 4 2 2 2 4" xfId="49912"/>
    <cellStyle name="표준 9 4 4 2 2 3" xfId="49913"/>
    <cellStyle name="표준 9 4 4 2 2 3 2" xfId="49914"/>
    <cellStyle name="표준 9 4 4 2 2 3 3" xfId="49915"/>
    <cellStyle name="표준 9 4 4 2 2 4" xfId="49916"/>
    <cellStyle name="표준 9 4 4 2 2 5" xfId="49917"/>
    <cellStyle name="표준 9 4 4 2 3" xfId="49918"/>
    <cellStyle name="표준 9 4 4 2 3 2" xfId="49919"/>
    <cellStyle name="표준 9 4 4 2 3 2 2" xfId="49920"/>
    <cellStyle name="표준 9 4 4 2 3 2 2 2" xfId="49921"/>
    <cellStyle name="표준 9 4 4 2 3 2 2 3" xfId="49922"/>
    <cellStyle name="표준 9 4 4 2 3 2 3" xfId="49923"/>
    <cellStyle name="표준 9 4 4 2 3 2 4" xfId="49924"/>
    <cellStyle name="표준 9 4 4 2 3 3" xfId="49925"/>
    <cellStyle name="표준 9 4 4 2 3 3 2" xfId="49926"/>
    <cellStyle name="표준 9 4 4 2 3 3 3" xfId="49927"/>
    <cellStyle name="표준 9 4 4 2 3 4" xfId="49928"/>
    <cellStyle name="표준 9 4 4 2 3 5" xfId="49929"/>
    <cellStyle name="표준 9 4 4 2 4" xfId="49930"/>
    <cellStyle name="표준 9 4 4 2 4 2" xfId="49931"/>
    <cellStyle name="표준 9 4 4 2 4 2 2" xfId="49932"/>
    <cellStyle name="표준 9 4 4 2 4 2 3" xfId="49933"/>
    <cellStyle name="표준 9 4 4 2 4 3" xfId="49934"/>
    <cellStyle name="표준 9 4 4 2 4 4" xfId="49935"/>
    <cellStyle name="표준 9 4 4 2 5" xfId="49936"/>
    <cellStyle name="표준 9 4 4 2 5 2" xfId="49937"/>
    <cellStyle name="표준 9 4 4 2 5 3" xfId="49938"/>
    <cellStyle name="표준 9 4 4 2 6" xfId="49939"/>
    <cellStyle name="표준 9 4 4 2 7" xfId="49940"/>
    <cellStyle name="표준 9 4 4 3" xfId="49941"/>
    <cellStyle name="표준 9 4 4 3 2" xfId="49942"/>
    <cellStyle name="표준 9 4 4 3 2 2" xfId="49943"/>
    <cellStyle name="표준 9 4 4 3 2 2 2" xfId="49944"/>
    <cellStyle name="표준 9 4 4 3 2 2 2 2" xfId="49945"/>
    <cellStyle name="표준 9 4 4 3 2 2 2 3" xfId="49946"/>
    <cellStyle name="표준 9 4 4 3 2 2 3" xfId="49947"/>
    <cellStyle name="표준 9 4 4 3 2 2 4" xfId="49948"/>
    <cellStyle name="표준 9 4 4 3 2 3" xfId="49949"/>
    <cellStyle name="표준 9 4 4 3 2 3 2" xfId="49950"/>
    <cellStyle name="표준 9 4 4 3 2 3 3" xfId="49951"/>
    <cellStyle name="표준 9 4 4 3 2 4" xfId="49952"/>
    <cellStyle name="표준 9 4 4 3 2 5" xfId="49953"/>
    <cellStyle name="표준 9 4 4 3 3" xfId="49954"/>
    <cellStyle name="표준 9 4 4 3 3 2" xfId="49955"/>
    <cellStyle name="표준 9 4 4 3 3 2 2" xfId="49956"/>
    <cellStyle name="표준 9 4 4 3 3 2 2 2" xfId="49957"/>
    <cellStyle name="표준 9 4 4 3 3 2 2 3" xfId="49958"/>
    <cellStyle name="표준 9 4 4 3 3 2 3" xfId="49959"/>
    <cellStyle name="표준 9 4 4 3 3 2 4" xfId="49960"/>
    <cellStyle name="표준 9 4 4 3 3 3" xfId="49961"/>
    <cellStyle name="표준 9 4 4 3 3 3 2" xfId="49962"/>
    <cellStyle name="표준 9 4 4 3 3 3 3" xfId="49963"/>
    <cellStyle name="표준 9 4 4 3 3 4" xfId="49964"/>
    <cellStyle name="표준 9 4 4 3 3 5" xfId="49965"/>
    <cellStyle name="표준 9 4 4 3 4" xfId="49966"/>
    <cellStyle name="표준 9 4 4 3 4 2" xfId="49967"/>
    <cellStyle name="표준 9 4 4 3 4 2 2" xfId="49968"/>
    <cellStyle name="표준 9 4 4 3 4 2 3" xfId="49969"/>
    <cellStyle name="표준 9 4 4 3 4 3" xfId="49970"/>
    <cellStyle name="표준 9 4 4 3 4 4" xfId="49971"/>
    <cellStyle name="표준 9 4 4 3 5" xfId="49972"/>
    <cellStyle name="표준 9 4 4 3 5 2" xfId="49973"/>
    <cellStyle name="표준 9 4 4 3 5 3" xfId="49974"/>
    <cellStyle name="표준 9 4 4 3 6" xfId="49975"/>
    <cellStyle name="표준 9 4 4 3 7" xfId="49976"/>
    <cellStyle name="표준 9 4 4 4" xfId="49977"/>
    <cellStyle name="표준 9 4 4 4 2" xfId="49978"/>
    <cellStyle name="표준 9 4 4 4 2 2" xfId="49979"/>
    <cellStyle name="표준 9 4 4 4 2 2 2" xfId="49980"/>
    <cellStyle name="표준 9 4 4 4 2 2 3" xfId="49981"/>
    <cellStyle name="표준 9 4 4 4 2 3" xfId="49982"/>
    <cellStyle name="표준 9 4 4 4 2 4" xfId="49983"/>
    <cellStyle name="표준 9 4 4 4 3" xfId="49984"/>
    <cellStyle name="표준 9 4 4 4 3 2" xfId="49985"/>
    <cellStyle name="표준 9 4 4 4 3 3" xfId="49986"/>
    <cellStyle name="표준 9 4 4 4 4" xfId="49987"/>
    <cellStyle name="표준 9 4 4 4 5" xfId="49988"/>
    <cellStyle name="표준 9 4 4 5" xfId="49989"/>
    <cellStyle name="표준 9 4 4 5 2" xfId="49990"/>
    <cellStyle name="표준 9 4 4 5 2 2" xfId="49991"/>
    <cellStyle name="표준 9 4 4 5 2 2 2" xfId="49992"/>
    <cellStyle name="표준 9 4 4 5 2 2 3" xfId="49993"/>
    <cellStyle name="표준 9 4 4 5 2 3" xfId="49994"/>
    <cellStyle name="표준 9 4 4 5 2 4" xfId="49995"/>
    <cellStyle name="표준 9 4 4 5 3" xfId="49996"/>
    <cellStyle name="표준 9 4 4 5 3 2" xfId="49997"/>
    <cellStyle name="표준 9 4 4 5 3 3" xfId="49998"/>
    <cellStyle name="표준 9 4 4 5 4" xfId="49999"/>
    <cellStyle name="표준 9 4 4 5 5" xfId="50000"/>
    <cellStyle name="표준 9 4 4 6" xfId="50001"/>
    <cellStyle name="표준 9 4 4 6 2" xfId="50002"/>
    <cellStyle name="표준 9 4 4 6 2 2" xfId="50003"/>
    <cellStyle name="표준 9 4 4 6 2 2 2" xfId="50004"/>
    <cellStyle name="표준 9 4 4 6 2 2 3" xfId="50005"/>
    <cellStyle name="표준 9 4 4 6 2 3" xfId="50006"/>
    <cellStyle name="표준 9 4 4 6 2 4" xfId="50007"/>
    <cellStyle name="표준 9 4 4 6 3" xfId="50008"/>
    <cellStyle name="표준 9 4 4 6 3 2" xfId="50009"/>
    <cellStyle name="표준 9 4 4 6 3 3" xfId="50010"/>
    <cellStyle name="표준 9 4 4 6 4" xfId="50011"/>
    <cellStyle name="표준 9 4 4 6 5" xfId="50012"/>
    <cellStyle name="표준 9 4 4 7" xfId="50013"/>
    <cellStyle name="표준 9 4 4 7 2" xfId="50014"/>
    <cellStyle name="표준 9 4 4 7 2 2" xfId="50015"/>
    <cellStyle name="표준 9 4 4 7 2 3" xfId="50016"/>
    <cellStyle name="표준 9 4 4 7 3" xfId="50017"/>
    <cellStyle name="표준 9 4 4 7 4" xfId="50018"/>
    <cellStyle name="표준 9 4 4 8" xfId="50019"/>
    <cellStyle name="표준 9 4 4 8 2" xfId="50020"/>
    <cellStyle name="표준 9 4 4 8 3" xfId="50021"/>
    <cellStyle name="표준 9 4 4 9" xfId="50022"/>
    <cellStyle name="표준 9 4 5" xfId="50023"/>
    <cellStyle name="표준 9 4 5 10" xfId="50024"/>
    <cellStyle name="표준 9 4 5 2" xfId="50025"/>
    <cellStyle name="표준 9 4 5 2 2" xfId="50026"/>
    <cellStyle name="표준 9 4 5 2 2 2" xfId="50027"/>
    <cellStyle name="표준 9 4 5 2 2 2 2" xfId="50028"/>
    <cellStyle name="표준 9 4 5 2 2 2 2 2" xfId="50029"/>
    <cellStyle name="표준 9 4 5 2 2 2 2 3" xfId="50030"/>
    <cellStyle name="표준 9 4 5 2 2 2 3" xfId="50031"/>
    <cellStyle name="표준 9 4 5 2 2 2 4" xfId="50032"/>
    <cellStyle name="표준 9 4 5 2 2 3" xfId="50033"/>
    <cellStyle name="표준 9 4 5 2 2 3 2" xfId="50034"/>
    <cellStyle name="표준 9 4 5 2 2 3 3" xfId="50035"/>
    <cellStyle name="표준 9 4 5 2 2 4" xfId="50036"/>
    <cellStyle name="표준 9 4 5 2 2 5" xfId="50037"/>
    <cellStyle name="표준 9 4 5 2 3" xfId="50038"/>
    <cellStyle name="표준 9 4 5 2 3 2" xfId="50039"/>
    <cellStyle name="표준 9 4 5 2 3 2 2" xfId="50040"/>
    <cellStyle name="표준 9 4 5 2 3 2 2 2" xfId="50041"/>
    <cellStyle name="표준 9 4 5 2 3 2 2 3" xfId="50042"/>
    <cellStyle name="표준 9 4 5 2 3 2 3" xfId="50043"/>
    <cellStyle name="표준 9 4 5 2 3 2 4" xfId="50044"/>
    <cellStyle name="표준 9 4 5 2 3 3" xfId="50045"/>
    <cellStyle name="표준 9 4 5 2 3 3 2" xfId="50046"/>
    <cellStyle name="표준 9 4 5 2 3 3 3" xfId="50047"/>
    <cellStyle name="표준 9 4 5 2 3 4" xfId="50048"/>
    <cellStyle name="표준 9 4 5 2 3 5" xfId="50049"/>
    <cellStyle name="표준 9 4 5 2 4" xfId="50050"/>
    <cellStyle name="표준 9 4 5 2 4 2" xfId="50051"/>
    <cellStyle name="표준 9 4 5 2 4 2 2" xfId="50052"/>
    <cellStyle name="표준 9 4 5 2 4 2 3" xfId="50053"/>
    <cellStyle name="표준 9 4 5 2 4 3" xfId="50054"/>
    <cellStyle name="표준 9 4 5 2 4 4" xfId="50055"/>
    <cellStyle name="표준 9 4 5 2 5" xfId="50056"/>
    <cellStyle name="표준 9 4 5 2 5 2" xfId="50057"/>
    <cellStyle name="표준 9 4 5 2 5 3" xfId="50058"/>
    <cellStyle name="표준 9 4 5 2 6" xfId="50059"/>
    <cellStyle name="표준 9 4 5 2 7" xfId="50060"/>
    <cellStyle name="표준 9 4 5 3" xfId="50061"/>
    <cellStyle name="표준 9 4 5 3 2" xfId="50062"/>
    <cellStyle name="표준 9 4 5 3 2 2" xfId="50063"/>
    <cellStyle name="표준 9 4 5 3 2 2 2" xfId="50064"/>
    <cellStyle name="표준 9 4 5 3 2 2 2 2" xfId="50065"/>
    <cellStyle name="표준 9 4 5 3 2 2 2 3" xfId="50066"/>
    <cellStyle name="표준 9 4 5 3 2 2 3" xfId="50067"/>
    <cellStyle name="표준 9 4 5 3 2 2 4" xfId="50068"/>
    <cellStyle name="표준 9 4 5 3 2 3" xfId="50069"/>
    <cellStyle name="표준 9 4 5 3 2 3 2" xfId="50070"/>
    <cellStyle name="표준 9 4 5 3 2 3 3" xfId="50071"/>
    <cellStyle name="표준 9 4 5 3 2 4" xfId="50072"/>
    <cellStyle name="표준 9 4 5 3 2 5" xfId="50073"/>
    <cellStyle name="표준 9 4 5 3 3" xfId="50074"/>
    <cellStyle name="표준 9 4 5 3 3 2" xfId="50075"/>
    <cellStyle name="표준 9 4 5 3 3 2 2" xfId="50076"/>
    <cellStyle name="표준 9 4 5 3 3 2 2 2" xfId="50077"/>
    <cellStyle name="표준 9 4 5 3 3 2 2 3" xfId="50078"/>
    <cellStyle name="표준 9 4 5 3 3 2 3" xfId="50079"/>
    <cellStyle name="표준 9 4 5 3 3 2 4" xfId="50080"/>
    <cellStyle name="표준 9 4 5 3 3 3" xfId="50081"/>
    <cellStyle name="표준 9 4 5 3 3 3 2" xfId="50082"/>
    <cellStyle name="표준 9 4 5 3 3 3 3" xfId="50083"/>
    <cellStyle name="표준 9 4 5 3 3 4" xfId="50084"/>
    <cellStyle name="표준 9 4 5 3 3 5" xfId="50085"/>
    <cellStyle name="표준 9 4 5 3 4" xfId="50086"/>
    <cellStyle name="표준 9 4 5 3 4 2" xfId="50087"/>
    <cellStyle name="표준 9 4 5 3 4 2 2" xfId="50088"/>
    <cellStyle name="표준 9 4 5 3 4 2 3" xfId="50089"/>
    <cellStyle name="표준 9 4 5 3 4 3" xfId="50090"/>
    <cellStyle name="표준 9 4 5 3 4 4" xfId="50091"/>
    <cellStyle name="표준 9 4 5 3 5" xfId="50092"/>
    <cellStyle name="표준 9 4 5 3 5 2" xfId="50093"/>
    <cellStyle name="표준 9 4 5 3 5 3" xfId="50094"/>
    <cellStyle name="표준 9 4 5 3 6" xfId="50095"/>
    <cellStyle name="표준 9 4 5 3 7" xfId="50096"/>
    <cellStyle name="표준 9 4 5 4" xfId="50097"/>
    <cellStyle name="표준 9 4 5 4 2" xfId="50098"/>
    <cellStyle name="표준 9 4 5 4 2 2" xfId="50099"/>
    <cellStyle name="표준 9 4 5 4 2 2 2" xfId="50100"/>
    <cellStyle name="표준 9 4 5 4 2 2 3" xfId="50101"/>
    <cellStyle name="표준 9 4 5 4 2 3" xfId="50102"/>
    <cellStyle name="표준 9 4 5 4 2 4" xfId="50103"/>
    <cellStyle name="표준 9 4 5 4 3" xfId="50104"/>
    <cellStyle name="표준 9 4 5 4 3 2" xfId="50105"/>
    <cellStyle name="표준 9 4 5 4 3 3" xfId="50106"/>
    <cellStyle name="표준 9 4 5 4 4" xfId="50107"/>
    <cellStyle name="표준 9 4 5 4 5" xfId="50108"/>
    <cellStyle name="표준 9 4 5 5" xfId="50109"/>
    <cellStyle name="표준 9 4 5 5 2" xfId="50110"/>
    <cellStyle name="표준 9 4 5 5 2 2" xfId="50111"/>
    <cellStyle name="표준 9 4 5 5 2 2 2" xfId="50112"/>
    <cellStyle name="표준 9 4 5 5 2 2 3" xfId="50113"/>
    <cellStyle name="표준 9 4 5 5 2 3" xfId="50114"/>
    <cellStyle name="표준 9 4 5 5 2 4" xfId="50115"/>
    <cellStyle name="표준 9 4 5 5 3" xfId="50116"/>
    <cellStyle name="표준 9 4 5 5 3 2" xfId="50117"/>
    <cellStyle name="표준 9 4 5 5 3 3" xfId="50118"/>
    <cellStyle name="표준 9 4 5 5 4" xfId="50119"/>
    <cellStyle name="표준 9 4 5 5 5" xfId="50120"/>
    <cellStyle name="표준 9 4 5 6" xfId="50121"/>
    <cellStyle name="표준 9 4 5 6 2" xfId="50122"/>
    <cellStyle name="표준 9 4 5 6 2 2" xfId="50123"/>
    <cellStyle name="표준 9 4 5 6 2 2 2" xfId="50124"/>
    <cellStyle name="표준 9 4 5 6 2 2 3" xfId="50125"/>
    <cellStyle name="표준 9 4 5 6 2 3" xfId="50126"/>
    <cellStyle name="표준 9 4 5 6 2 4" xfId="50127"/>
    <cellStyle name="표준 9 4 5 6 3" xfId="50128"/>
    <cellStyle name="표준 9 4 5 6 3 2" xfId="50129"/>
    <cellStyle name="표준 9 4 5 6 3 3" xfId="50130"/>
    <cellStyle name="표준 9 4 5 6 4" xfId="50131"/>
    <cellStyle name="표준 9 4 5 6 5" xfId="50132"/>
    <cellStyle name="표준 9 4 5 7" xfId="50133"/>
    <cellStyle name="표준 9 4 5 7 2" xfId="50134"/>
    <cellStyle name="표준 9 4 5 7 2 2" xfId="50135"/>
    <cellStyle name="표준 9 4 5 7 2 3" xfId="50136"/>
    <cellStyle name="표준 9 4 5 7 3" xfId="50137"/>
    <cellStyle name="표준 9 4 5 7 4" xfId="50138"/>
    <cellStyle name="표준 9 4 5 8" xfId="50139"/>
    <cellStyle name="표준 9 4 5 8 2" xfId="50140"/>
    <cellStyle name="표준 9 4 5 8 3" xfId="50141"/>
    <cellStyle name="표준 9 4 5 9" xfId="50142"/>
    <cellStyle name="표준 9 4 6" xfId="50143"/>
    <cellStyle name="표준 9 4 6 2" xfId="50144"/>
    <cellStyle name="표준 9 4 6 2 2" xfId="50145"/>
    <cellStyle name="표준 9 4 6 2 2 2" xfId="50146"/>
    <cellStyle name="표준 9 4 6 2 2 2 2" xfId="50147"/>
    <cellStyle name="표준 9 4 6 2 2 2 3" xfId="50148"/>
    <cellStyle name="표준 9 4 6 2 2 3" xfId="50149"/>
    <cellStyle name="표준 9 4 6 2 2 4" xfId="50150"/>
    <cellStyle name="표준 9 4 6 2 3" xfId="50151"/>
    <cellStyle name="표준 9 4 6 2 3 2" xfId="50152"/>
    <cellStyle name="표준 9 4 6 2 3 3" xfId="50153"/>
    <cellStyle name="표준 9 4 6 2 4" xfId="50154"/>
    <cellStyle name="표준 9 4 6 2 5" xfId="50155"/>
    <cellStyle name="표준 9 4 6 3" xfId="50156"/>
    <cellStyle name="표준 9 4 6 3 2" xfId="50157"/>
    <cellStyle name="표준 9 4 6 3 2 2" xfId="50158"/>
    <cellStyle name="표준 9 4 6 3 2 2 2" xfId="50159"/>
    <cellStyle name="표준 9 4 6 3 2 2 3" xfId="50160"/>
    <cellStyle name="표준 9 4 6 3 2 3" xfId="50161"/>
    <cellStyle name="표준 9 4 6 3 2 4" xfId="50162"/>
    <cellStyle name="표준 9 4 6 3 3" xfId="50163"/>
    <cellStyle name="표준 9 4 6 3 3 2" xfId="50164"/>
    <cellStyle name="표준 9 4 6 3 3 3" xfId="50165"/>
    <cellStyle name="표준 9 4 6 3 4" xfId="50166"/>
    <cellStyle name="표준 9 4 6 3 5" xfId="50167"/>
    <cellStyle name="표준 9 4 6 4" xfId="50168"/>
    <cellStyle name="표준 9 4 6 4 2" xfId="50169"/>
    <cellStyle name="표준 9 4 6 4 2 2" xfId="50170"/>
    <cellStyle name="표준 9 4 6 4 2 3" xfId="50171"/>
    <cellStyle name="표준 9 4 6 4 3" xfId="50172"/>
    <cellStyle name="표준 9 4 6 4 4" xfId="50173"/>
    <cellStyle name="표준 9 4 6 5" xfId="50174"/>
    <cellStyle name="표준 9 4 6 5 2" xfId="50175"/>
    <cellStyle name="표준 9 4 6 5 3" xfId="50176"/>
    <cellStyle name="표준 9 4 6 6" xfId="50177"/>
    <cellStyle name="표준 9 4 6 7" xfId="50178"/>
    <cellStyle name="표준 9 4 7" xfId="50179"/>
    <cellStyle name="표준 9 4 7 2" xfId="50180"/>
    <cellStyle name="표준 9 4 7 2 2" xfId="50181"/>
    <cellStyle name="표준 9 4 7 2 2 2" xfId="50182"/>
    <cellStyle name="표준 9 4 7 2 2 2 2" xfId="50183"/>
    <cellStyle name="표준 9 4 7 2 2 2 3" xfId="50184"/>
    <cellStyle name="표준 9 4 7 2 2 3" xfId="50185"/>
    <cellStyle name="표준 9 4 7 2 2 4" xfId="50186"/>
    <cellStyle name="표준 9 4 7 2 3" xfId="50187"/>
    <cellStyle name="표준 9 4 7 2 3 2" xfId="50188"/>
    <cellStyle name="표준 9 4 7 2 3 3" xfId="50189"/>
    <cellStyle name="표준 9 4 7 2 4" xfId="50190"/>
    <cellStyle name="표준 9 4 7 2 5" xfId="50191"/>
    <cellStyle name="표준 9 4 7 3" xfId="50192"/>
    <cellStyle name="표준 9 4 7 3 2" xfId="50193"/>
    <cellStyle name="표준 9 4 7 3 2 2" xfId="50194"/>
    <cellStyle name="표준 9 4 7 3 2 2 2" xfId="50195"/>
    <cellStyle name="표준 9 4 7 3 2 2 3" xfId="50196"/>
    <cellStyle name="표준 9 4 7 3 2 3" xfId="50197"/>
    <cellStyle name="표준 9 4 7 3 2 4" xfId="50198"/>
    <cellStyle name="표준 9 4 7 3 3" xfId="50199"/>
    <cellStyle name="표준 9 4 7 3 3 2" xfId="50200"/>
    <cellStyle name="표준 9 4 7 3 3 3" xfId="50201"/>
    <cellStyle name="표준 9 4 7 3 4" xfId="50202"/>
    <cellStyle name="표준 9 4 7 3 5" xfId="50203"/>
    <cellStyle name="표준 9 4 7 4" xfId="50204"/>
    <cellStyle name="표준 9 4 7 4 2" xfId="50205"/>
    <cellStyle name="표준 9 4 7 4 2 2" xfId="50206"/>
    <cellStyle name="표준 9 4 7 4 2 3" xfId="50207"/>
    <cellStyle name="표준 9 4 7 4 3" xfId="50208"/>
    <cellStyle name="표준 9 4 7 4 4" xfId="50209"/>
    <cellStyle name="표준 9 4 7 5" xfId="50210"/>
    <cellStyle name="표준 9 4 7 5 2" xfId="50211"/>
    <cellStyle name="표준 9 4 7 5 3" xfId="50212"/>
    <cellStyle name="표준 9 4 7 6" xfId="50213"/>
    <cellStyle name="표준 9 4 7 7" xfId="50214"/>
    <cellStyle name="표준 9 4 8" xfId="50215"/>
    <cellStyle name="표준 9 4 8 2" xfId="50216"/>
    <cellStyle name="표준 9 4 8 2 2" xfId="50217"/>
    <cellStyle name="표준 9 4 8 2 2 2" xfId="50218"/>
    <cellStyle name="표준 9 4 8 2 2 3" xfId="50219"/>
    <cellStyle name="표준 9 4 8 2 3" xfId="50220"/>
    <cellStyle name="표준 9 4 8 2 4" xfId="50221"/>
    <cellStyle name="표준 9 4 8 3" xfId="50222"/>
    <cellStyle name="표준 9 4 8 3 2" xfId="50223"/>
    <cellStyle name="표준 9 4 8 3 3" xfId="50224"/>
    <cellStyle name="표준 9 4 8 4" xfId="50225"/>
    <cellStyle name="표준 9 4 8 5" xfId="50226"/>
    <cellStyle name="표준 9 4 9" xfId="50227"/>
    <cellStyle name="표준 9 4 9 2" xfId="50228"/>
    <cellStyle name="표준 9 4 9 2 2" xfId="50229"/>
    <cellStyle name="표준 9 4 9 2 2 2" xfId="50230"/>
    <cellStyle name="표준 9 4 9 2 2 3" xfId="50231"/>
    <cellStyle name="표준 9 4 9 2 3" xfId="50232"/>
    <cellStyle name="표준 9 4 9 2 4" xfId="50233"/>
    <cellStyle name="표준 9 4 9 3" xfId="50234"/>
    <cellStyle name="표준 9 4 9 3 2" xfId="50235"/>
    <cellStyle name="표준 9 4 9 3 3" xfId="50236"/>
    <cellStyle name="표준 9 4 9 4" xfId="50237"/>
    <cellStyle name="표준 9 4 9 5" xfId="50238"/>
    <cellStyle name="표준 9 5" xfId="50239"/>
    <cellStyle name="표준 9 5 10" xfId="50240"/>
    <cellStyle name="표준 9 5 10 2" xfId="50241"/>
    <cellStyle name="표준 9 5 10 2 2" xfId="50242"/>
    <cellStyle name="표준 9 5 10 2 3" xfId="50243"/>
    <cellStyle name="표준 9 5 10 3" xfId="50244"/>
    <cellStyle name="표준 9 5 10 4" xfId="50245"/>
    <cellStyle name="표준 9 5 11" xfId="50246"/>
    <cellStyle name="표준 9 5 11 2" xfId="50247"/>
    <cellStyle name="표준 9 5 11 3" xfId="50248"/>
    <cellStyle name="표준 9 5 12" xfId="50249"/>
    <cellStyle name="표준 9 5 13" xfId="50250"/>
    <cellStyle name="표준 9 5 2" xfId="50251"/>
    <cellStyle name="표준 9 5 2 10" xfId="50252"/>
    <cellStyle name="표준 9 5 2 2" xfId="50253"/>
    <cellStyle name="표준 9 5 2 2 2" xfId="50254"/>
    <cellStyle name="표준 9 5 2 2 2 2" xfId="50255"/>
    <cellStyle name="표준 9 5 2 2 2 2 2" xfId="50256"/>
    <cellStyle name="표준 9 5 2 2 2 2 2 2" xfId="50257"/>
    <cellStyle name="표준 9 5 2 2 2 2 2 3" xfId="50258"/>
    <cellStyle name="표준 9 5 2 2 2 2 3" xfId="50259"/>
    <cellStyle name="표준 9 5 2 2 2 2 4" xfId="50260"/>
    <cellStyle name="표준 9 5 2 2 2 3" xfId="50261"/>
    <cellStyle name="표준 9 5 2 2 2 3 2" xfId="50262"/>
    <cellStyle name="표준 9 5 2 2 2 3 3" xfId="50263"/>
    <cellStyle name="표준 9 5 2 2 2 4" xfId="50264"/>
    <cellStyle name="표준 9 5 2 2 2 5" xfId="50265"/>
    <cellStyle name="표준 9 5 2 2 3" xfId="50266"/>
    <cellStyle name="표준 9 5 2 2 3 2" xfId="50267"/>
    <cellStyle name="표준 9 5 2 2 3 2 2" xfId="50268"/>
    <cellStyle name="표준 9 5 2 2 3 2 2 2" xfId="50269"/>
    <cellStyle name="표준 9 5 2 2 3 2 2 3" xfId="50270"/>
    <cellStyle name="표준 9 5 2 2 3 2 3" xfId="50271"/>
    <cellStyle name="표준 9 5 2 2 3 2 4" xfId="50272"/>
    <cellStyle name="표준 9 5 2 2 3 3" xfId="50273"/>
    <cellStyle name="표준 9 5 2 2 3 3 2" xfId="50274"/>
    <cellStyle name="표준 9 5 2 2 3 3 3" xfId="50275"/>
    <cellStyle name="표준 9 5 2 2 3 4" xfId="50276"/>
    <cellStyle name="표준 9 5 2 2 3 5" xfId="50277"/>
    <cellStyle name="표준 9 5 2 2 4" xfId="50278"/>
    <cellStyle name="표준 9 5 2 2 4 2" xfId="50279"/>
    <cellStyle name="표준 9 5 2 2 4 2 2" xfId="50280"/>
    <cellStyle name="표준 9 5 2 2 4 2 3" xfId="50281"/>
    <cellStyle name="표준 9 5 2 2 4 3" xfId="50282"/>
    <cellStyle name="표준 9 5 2 2 4 4" xfId="50283"/>
    <cellStyle name="표준 9 5 2 2 5" xfId="50284"/>
    <cellStyle name="표준 9 5 2 2 5 2" xfId="50285"/>
    <cellStyle name="표준 9 5 2 2 5 3" xfId="50286"/>
    <cellStyle name="표준 9 5 2 2 6" xfId="50287"/>
    <cellStyle name="표준 9 5 2 2 7" xfId="50288"/>
    <cellStyle name="표준 9 5 2 3" xfId="50289"/>
    <cellStyle name="표준 9 5 2 3 2" xfId="50290"/>
    <cellStyle name="표준 9 5 2 3 2 2" xfId="50291"/>
    <cellStyle name="표준 9 5 2 3 2 2 2" xfId="50292"/>
    <cellStyle name="표준 9 5 2 3 2 2 2 2" xfId="50293"/>
    <cellStyle name="표준 9 5 2 3 2 2 2 3" xfId="50294"/>
    <cellStyle name="표준 9 5 2 3 2 2 3" xfId="50295"/>
    <cellStyle name="표준 9 5 2 3 2 2 4" xfId="50296"/>
    <cellStyle name="표준 9 5 2 3 2 3" xfId="50297"/>
    <cellStyle name="표준 9 5 2 3 2 3 2" xfId="50298"/>
    <cellStyle name="표준 9 5 2 3 2 3 3" xfId="50299"/>
    <cellStyle name="표준 9 5 2 3 2 4" xfId="50300"/>
    <cellStyle name="표준 9 5 2 3 2 5" xfId="50301"/>
    <cellStyle name="표준 9 5 2 3 3" xfId="50302"/>
    <cellStyle name="표준 9 5 2 3 3 2" xfId="50303"/>
    <cellStyle name="표준 9 5 2 3 3 2 2" xfId="50304"/>
    <cellStyle name="표준 9 5 2 3 3 2 2 2" xfId="50305"/>
    <cellStyle name="표준 9 5 2 3 3 2 2 3" xfId="50306"/>
    <cellStyle name="표준 9 5 2 3 3 2 3" xfId="50307"/>
    <cellStyle name="표준 9 5 2 3 3 2 4" xfId="50308"/>
    <cellStyle name="표준 9 5 2 3 3 3" xfId="50309"/>
    <cellStyle name="표준 9 5 2 3 3 3 2" xfId="50310"/>
    <cellStyle name="표준 9 5 2 3 3 3 3" xfId="50311"/>
    <cellStyle name="표준 9 5 2 3 3 4" xfId="50312"/>
    <cellStyle name="표준 9 5 2 3 3 5" xfId="50313"/>
    <cellStyle name="표준 9 5 2 3 4" xfId="50314"/>
    <cellStyle name="표준 9 5 2 3 4 2" xfId="50315"/>
    <cellStyle name="표준 9 5 2 3 4 2 2" xfId="50316"/>
    <cellStyle name="표준 9 5 2 3 4 2 3" xfId="50317"/>
    <cellStyle name="표준 9 5 2 3 4 3" xfId="50318"/>
    <cellStyle name="표준 9 5 2 3 4 4" xfId="50319"/>
    <cellStyle name="표준 9 5 2 3 5" xfId="50320"/>
    <cellStyle name="표준 9 5 2 3 5 2" xfId="50321"/>
    <cellStyle name="표준 9 5 2 3 5 3" xfId="50322"/>
    <cellStyle name="표준 9 5 2 3 6" xfId="50323"/>
    <cellStyle name="표준 9 5 2 3 7" xfId="50324"/>
    <cellStyle name="표준 9 5 2 4" xfId="50325"/>
    <cellStyle name="표준 9 5 2 4 2" xfId="50326"/>
    <cellStyle name="표준 9 5 2 4 2 2" xfId="50327"/>
    <cellStyle name="표준 9 5 2 4 2 2 2" xfId="50328"/>
    <cellStyle name="표준 9 5 2 4 2 2 3" xfId="50329"/>
    <cellStyle name="표준 9 5 2 4 2 3" xfId="50330"/>
    <cellStyle name="표준 9 5 2 4 2 4" xfId="50331"/>
    <cellStyle name="표준 9 5 2 4 3" xfId="50332"/>
    <cellStyle name="표준 9 5 2 4 3 2" xfId="50333"/>
    <cellStyle name="표준 9 5 2 4 3 3" xfId="50334"/>
    <cellStyle name="표준 9 5 2 4 4" xfId="50335"/>
    <cellStyle name="표준 9 5 2 4 5" xfId="50336"/>
    <cellStyle name="표준 9 5 2 5" xfId="50337"/>
    <cellStyle name="표준 9 5 2 5 2" xfId="50338"/>
    <cellStyle name="표준 9 5 2 5 2 2" xfId="50339"/>
    <cellStyle name="표준 9 5 2 5 2 2 2" xfId="50340"/>
    <cellStyle name="표준 9 5 2 5 2 2 3" xfId="50341"/>
    <cellStyle name="표준 9 5 2 5 2 3" xfId="50342"/>
    <cellStyle name="표준 9 5 2 5 2 4" xfId="50343"/>
    <cellStyle name="표준 9 5 2 5 3" xfId="50344"/>
    <cellStyle name="표준 9 5 2 5 3 2" xfId="50345"/>
    <cellStyle name="표준 9 5 2 5 3 3" xfId="50346"/>
    <cellStyle name="표준 9 5 2 5 4" xfId="50347"/>
    <cellStyle name="표준 9 5 2 5 5" xfId="50348"/>
    <cellStyle name="표준 9 5 2 6" xfId="50349"/>
    <cellStyle name="표준 9 5 2 6 2" xfId="50350"/>
    <cellStyle name="표준 9 5 2 6 2 2" xfId="50351"/>
    <cellStyle name="표준 9 5 2 6 2 2 2" xfId="50352"/>
    <cellStyle name="표준 9 5 2 6 2 2 3" xfId="50353"/>
    <cellStyle name="표준 9 5 2 6 2 3" xfId="50354"/>
    <cellStyle name="표준 9 5 2 6 2 4" xfId="50355"/>
    <cellStyle name="표준 9 5 2 6 3" xfId="50356"/>
    <cellStyle name="표준 9 5 2 6 3 2" xfId="50357"/>
    <cellStyle name="표준 9 5 2 6 3 3" xfId="50358"/>
    <cellStyle name="표준 9 5 2 6 4" xfId="50359"/>
    <cellStyle name="표준 9 5 2 6 5" xfId="50360"/>
    <cellStyle name="표준 9 5 2 7" xfId="50361"/>
    <cellStyle name="표준 9 5 2 7 2" xfId="50362"/>
    <cellStyle name="표준 9 5 2 7 2 2" xfId="50363"/>
    <cellStyle name="표준 9 5 2 7 2 3" xfId="50364"/>
    <cellStyle name="표준 9 5 2 7 3" xfId="50365"/>
    <cellStyle name="표준 9 5 2 7 4" xfId="50366"/>
    <cellStyle name="표준 9 5 2 8" xfId="50367"/>
    <cellStyle name="표준 9 5 2 8 2" xfId="50368"/>
    <cellStyle name="표준 9 5 2 8 3" xfId="50369"/>
    <cellStyle name="표준 9 5 2 9" xfId="50370"/>
    <cellStyle name="표준 9 5 3" xfId="50371"/>
    <cellStyle name="표준 9 5 3 10" xfId="50372"/>
    <cellStyle name="표준 9 5 3 2" xfId="50373"/>
    <cellStyle name="표준 9 5 3 2 2" xfId="50374"/>
    <cellStyle name="표준 9 5 3 2 2 2" xfId="50375"/>
    <cellStyle name="표준 9 5 3 2 2 2 2" xfId="50376"/>
    <cellStyle name="표준 9 5 3 2 2 2 2 2" xfId="50377"/>
    <cellStyle name="표준 9 5 3 2 2 2 2 3" xfId="50378"/>
    <cellStyle name="표준 9 5 3 2 2 2 3" xfId="50379"/>
    <cellStyle name="표준 9 5 3 2 2 2 4" xfId="50380"/>
    <cellStyle name="표준 9 5 3 2 2 3" xfId="50381"/>
    <cellStyle name="표준 9 5 3 2 2 3 2" xfId="50382"/>
    <cellStyle name="표준 9 5 3 2 2 3 3" xfId="50383"/>
    <cellStyle name="표준 9 5 3 2 2 4" xfId="50384"/>
    <cellStyle name="표준 9 5 3 2 2 5" xfId="50385"/>
    <cellStyle name="표준 9 5 3 2 3" xfId="50386"/>
    <cellStyle name="표준 9 5 3 2 3 2" xfId="50387"/>
    <cellStyle name="표준 9 5 3 2 3 2 2" xfId="50388"/>
    <cellStyle name="표준 9 5 3 2 3 2 2 2" xfId="50389"/>
    <cellStyle name="표준 9 5 3 2 3 2 2 3" xfId="50390"/>
    <cellStyle name="표준 9 5 3 2 3 2 3" xfId="50391"/>
    <cellStyle name="표준 9 5 3 2 3 2 4" xfId="50392"/>
    <cellStyle name="표준 9 5 3 2 3 3" xfId="50393"/>
    <cellStyle name="표준 9 5 3 2 3 3 2" xfId="50394"/>
    <cellStyle name="표준 9 5 3 2 3 3 3" xfId="50395"/>
    <cellStyle name="표준 9 5 3 2 3 4" xfId="50396"/>
    <cellStyle name="표준 9 5 3 2 3 5" xfId="50397"/>
    <cellStyle name="표준 9 5 3 2 4" xfId="50398"/>
    <cellStyle name="표준 9 5 3 2 4 2" xfId="50399"/>
    <cellStyle name="표준 9 5 3 2 4 2 2" xfId="50400"/>
    <cellStyle name="표준 9 5 3 2 4 2 3" xfId="50401"/>
    <cellStyle name="표준 9 5 3 2 4 3" xfId="50402"/>
    <cellStyle name="표준 9 5 3 2 4 4" xfId="50403"/>
    <cellStyle name="표준 9 5 3 2 5" xfId="50404"/>
    <cellStyle name="표준 9 5 3 2 5 2" xfId="50405"/>
    <cellStyle name="표준 9 5 3 2 5 3" xfId="50406"/>
    <cellStyle name="표준 9 5 3 2 6" xfId="50407"/>
    <cellStyle name="표준 9 5 3 2 7" xfId="50408"/>
    <cellStyle name="표준 9 5 3 3" xfId="50409"/>
    <cellStyle name="표준 9 5 3 3 2" xfId="50410"/>
    <cellStyle name="표준 9 5 3 3 2 2" xfId="50411"/>
    <cellStyle name="표준 9 5 3 3 2 2 2" xfId="50412"/>
    <cellStyle name="표준 9 5 3 3 2 2 2 2" xfId="50413"/>
    <cellStyle name="표준 9 5 3 3 2 2 2 3" xfId="50414"/>
    <cellStyle name="표준 9 5 3 3 2 2 3" xfId="50415"/>
    <cellStyle name="표준 9 5 3 3 2 2 4" xfId="50416"/>
    <cellStyle name="표준 9 5 3 3 2 3" xfId="50417"/>
    <cellStyle name="표준 9 5 3 3 2 3 2" xfId="50418"/>
    <cellStyle name="표준 9 5 3 3 2 3 3" xfId="50419"/>
    <cellStyle name="표준 9 5 3 3 2 4" xfId="50420"/>
    <cellStyle name="표준 9 5 3 3 2 5" xfId="50421"/>
    <cellStyle name="표준 9 5 3 3 3" xfId="50422"/>
    <cellStyle name="표준 9 5 3 3 3 2" xfId="50423"/>
    <cellStyle name="표준 9 5 3 3 3 2 2" xfId="50424"/>
    <cellStyle name="표준 9 5 3 3 3 2 2 2" xfId="50425"/>
    <cellStyle name="표준 9 5 3 3 3 2 2 3" xfId="50426"/>
    <cellStyle name="표준 9 5 3 3 3 2 3" xfId="50427"/>
    <cellStyle name="표준 9 5 3 3 3 2 4" xfId="50428"/>
    <cellStyle name="표준 9 5 3 3 3 3" xfId="50429"/>
    <cellStyle name="표준 9 5 3 3 3 3 2" xfId="50430"/>
    <cellStyle name="표준 9 5 3 3 3 3 3" xfId="50431"/>
    <cellStyle name="표준 9 5 3 3 3 4" xfId="50432"/>
    <cellStyle name="표준 9 5 3 3 3 5" xfId="50433"/>
    <cellStyle name="표준 9 5 3 3 4" xfId="50434"/>
    <cellStyle name="표준 9 5 3 3 4 2" xfId="50435"/>
    <cellStyle name="표준 9 5 3 3 4 2 2" xfId="50436"/>
    <cellStyle name="표준 9 5 3 3 4 2 3" xfId="50437"/>
    <cellStyle name="표준 9 5 3 3 4 3" xfId="50438"/>
    <cellStyle name="표준 9 5 3 3 4 4" xfId="50439"/>
    <cellStyle name="표준 9 5 3 3 5" xfId="50440"/>
    <cellStyle name="표준 9 5 3 3 5 2" xfId="50441"/>
    <cellStyle name="표준 9 5 3 3 5 3" xfId="50442"/>
    <cellStyle name="표준 9 5 3 3 6" xfId="50443"/>
    <cellStyle name="표준 9 5 3 3 7" xfId="50444"/>
    <cellStyle name="표준 9 5 3 4" xfId="50445"/>
    <cellStyle name="표준 9 5 3 4 2" xfId="50446"/>
    <cellStyle name="표준 9 5 3 4 2 2" xfId="50447"/>
    <cellStyle name="표준 9 5 3 4 2 2 2" xfId="50448"/>
    <cellStyle name="표준 9 5 3 4 2 2 3" xfId="50449"/>
    <cellStyle name="표준 9 5 3 4 2 3" xfId="50450"/>
    <cellStyle name="표준 9 5 3 4 2 4" xfId="50451"/>
    <cellStyle name="표준 9 5 3 4 3" xfId="50452"/>
    <cellStyle name="표준 9 5 3 4 3 2" xfId="50453"/>
    <cellStyle name="표준 9 5 3 4 3 3" xfId="50454"/>
    <cellStyle name="표준 9 5 3 4 4" xfId="50455"/>
    <cellStyle name="표준 9 5 3 4 5" xfId="50456"/>
    <cellStyle name="표준 9 5 3 5" xfId="50457"/>
    <cellStyle name="표준 9 5 3 5 2" xfId="50458"/>
    <cellStyle name="표준 9 5 3 5 2 2" xfId="50459"/>
    <cellStyle name="표준 9 5 3 5 2 2 2" xfId="50460"/>
    <cellStyle name="표준 9 5 3 5 2 2 3" xfId="50461"/>
    <cellStyle name="표준 9 5 3 5 2 3" xfId="50462"/>
    <cellStyle name="표준 9 5 3 5 2 4" xfId="50463"/>
    <cellStyle name="표준 9 5 3 5 3" xfId="50464"/>
    <cellStyle name="표준 9 5 3 5 3 2" xfId="50465"/>
    <cellStyle name="표준 9 5 3 5 3 3" xfId="50466"/>
    <cellStyle name="표준 9 5 3 5 4" xfId="50467"/>
    <cellStyle name="표준 9 5 3 5 5" xfId="50468"/>
    <cellStyle name="표준 9 5 3 6" xfId="50469"/>
    <cellStyle name="표준 9 5 3 6 2" xfId="50470"/>
    <cellStyle name="표준 9 5 3 6 2 2" xfId="50471"/>
    <cellStyle name="표준 9 5 3 6 2 2 2" xfId="50472"/>
    <cellStyle name="표준 9 5 3 6 2 2 3" xfId="50473"/>
    <cellStyle name="표준 9 5 3 6 2 3" xfId="50474"/>
    <cellStyle name="표준 9 5 3 6 2 4" xfId="50475"/>
    <cellStyle name="표준 9 5 3 6 3" xfId="50476"/>
    <cellStyle name="표준 9 5 3 6 3 2" xfId="50477"/>
    <cellStyle name="표준 9 5 3 6 3 3" xfId="50478"/>
    <cellStyle name="표준 9 5 3 6 4" xfId="50479"/>
    <cellStyle name="표준 9 5 3 6 5" xfId="50480"/>
    <cellStyle name="표준 9 5 3 7" xfId="50481"/>
    <cellStyle name="표준 9 5 3 7 2" xfId="50482"/>
    <cellStyle name="표준 9 5 3 7 2 2" xfId="50483"/>
    <cellStyle name="표준 9 5 3 7 2 3" xfId="50484"/>
    <cellStyle name="표준 9 5 3 7 3" xfId="50485"/>
    <cellStyle name="표준 9 5 3 7 4" xfId="50486"/>
    <cellStyle name="표준 9 5 3 8" xfId="50487"/>
    <cellStyle name="표준 9 5 3 8 2" xfId="50488"/>
    <cellStyle name="표준 9 5 3 8 3" xfId="50489"/>
    <cellStyle name="표준 9 5 3 9" xfId="50490"/>
    <cellStyle name="표준 9 5 4" xfId="50491"/>
    <cellStyle name="표준 9 5 4 10" xfId="50492"/>
    <cellStyle name="표준 9 5 4 2" xfId="50493"/>
    <cellStyle name="표준 9 5 4 2 2" xfId="50494"/>
    <cellStyle name="표준 9 5 4 2 2 2" xfId="50495"/>
    <cellStyle name="표준 9 5 4 2 2 2 2" xfId="50496"/>
    <cellStyle name="표준 9 5 4 2 2 2 2 2" xfId="50497"/>
    <cellStyle name="표준 9 5 4 2 2 2 2 3" xfId="50498"/>
    <cellStyle name="표준 9 5 4 2 2 2 3" xfId="50499"/>
    <cellStyle name="표준 9 5 4 2 2 2 4" xfId="50500"/>
    <cellStyle name="표준 9 5 4 2 2 3" xfId="50501"/>
    <cellStyle name="표준 9 5 4 2 2 3 2" xfId="50502"/>
    <cellStyle name="표준 9 5 4 2 2 3 3" xfId="50503"/>
    <cellStyle name="표준 9 5 4 2 2 4" xfId="50504"/>
    <cellStyle name="표준 9 5 4 2 2 5" xfId="50505"/>
    <cellStyle name="표준 9 5 4 2 3" xfId="50506"/>
    <cellStyle name="표준 9 5 4 2 3 2" xfId="50507"/>
    <cellStyle name="표준 9 5 4 2 3 2 2" xfId="50508"/>
    <cellStyle name="표준 9 5 4 2 3 2 2 2" xfId="50509"/>
    <cellStyle name="표준 9 5 4 2 3 2 2 3" xfId="50510"/>
    <cellStyle name="표준 9 5 4 2 3 2 3" xfId="50511"/>
    <cellStyle name="표준 9 5 4 2 3 2 4" xfId="50512"/>
    <cellStyle name="표준 9 5 4 2 3 3" xfId="50513"/>
    <cellStyle name="표준 9 5 4 2 3 3 2" xfId="50514"/>
    <cellStyle name="표준 9 5 4 2 3 3 3" xfId="50515"/>
    <cellStyle name="표준 9 5 4 2 3 4" xfId="50516"/>
    <cellStyle name="표준 9 5 4 2 3 5" xfId="50517"/>
    <cellStyle name="표준 9 5 4 2 4" xfId="50518"/>
    <cellStyle name="표준 9 5 4 2 4 2" xfId="50519"/>
    <cellStyle name="표준 9 5 4 2 4 2 2" xfId="50520"/>
    <cellStyle name="표준 9 5 4 2 4 2 3" xfId="50521"/>
    <cellStyle name="표준 9 5 4 2 4 3" xfId="50522"/>
    <cellStyle name="표준 9 5 4 2 4 4" xfId="50523"/>
    <cellStyle name="표준 9 5 4 2 5" xfId="50524"/>
    <cellStyle name="표준 9 5 4 2 5 2" xfId="50525"/>
    <cellStyle name="표준 9 5 4 2 5 3" xfId="50526"/>
    <cellStyle name="표준 9 5 4 2 6" xfId="50527"/>
    <cellStyle name="표준 9 5 4 2 7" xfId="50528"/>
    <cellStyle name="표준 9 5 4 3" xfId="50529"/>
    <cellStyle name="표준 9 5 4 3 2" xfId="50530"/>
    <cellStyle name="표준 9 5 4 3 2 2" xfId="50531"/>
    <cellStyle name="표준 9 5 4 3 2 2 2" xfId="50532"/>
    <cellStyle name="표준 9 5 4 3 2 2 2 2" xfId="50533"/>
    <cellStyle name="표준 9 5 4 3 2 2 2 3" xfId="50534"/>
    <cellStyle name="표준 9 5 4 3 2 2 3" xfId="50535"/>
    <cellStyle name="표준 9 5 4 3 2 2 4" xfId="50536"/>
    <cellStyle name="표준 9 5 4 3 2 3" xfId="50537"/>
    <cellStyle name="표준 9 5 4 3 2 3 2" xfId="50538"/>
    <cellStyle name="표준 9 5 4 3 2 3 3" xfId="50539"/>
    <cellStyle name="표준 9 5 4 3 2 4" xfId="50540"/>
    <cellStyle name="표준 9 5 4 3 2 5" xfId="50541"/>
    <cellStyle name="표준 9 5 4 3 3" xfId="50542"/>
    <cellStyle name="표준 9 5 4 3 3 2" xfId="50543"/>
    <cellStyle name="표준 9 5 4 3 3 2 2" xfId="50544"/>
    <cellStyle name="표준 9 5 4 3 3 2 2 2" xfId="50545"/>
    <cellStyle name="표준 9 5 4 3 3 2 2 3" xfId="50546"/>
    <cellStyle name="표준 9 5 4 3 3 2 3" xfId="50547"/>
    <cellStyle name="표준 9 5 4 3 3 2 4" xfId="50548"/>
    <cellStyle name="표준 9 5 4 3 3 3" xfId="50549"/>
    <cellStyle name="표준 9 5 4 3 3 3 2" xfId="50550"/>
    <cellStyle name="표준 9 5 4 3 3 3 3" xfId="50551"/>
    <cellStyle name="표준 9 5 4 3 3 4" xfId="50552"/>
    <cellStyle name="표준 9 5 4 3 3 5" xfId="50553"/>
    <cellStyle name="표준 9 5 4 3 4" xfId="50554"/>
    <cellStyle name="표준 9 5 4 3 4 2" xfId="50555"/>
    <cellStyle name="표준 9 5 4 3 4 2 2" xfId="50556"/>
    <cellStyle name="표준 9 5 4 3 4 2 3" xfId="50557"/>
    <cellStyle name="표준 9 5 4 3 4 3" xfId="50558"/>
    <cellStyle name="표준 9 5 4 3 4 4" xfId="50559"/>
    <cellStyle name="표준 9 5 4 3 5" xfId="50560"/>
    <cellStyle name="표준 9 5 4 3 5 2" xfId="50561"/>
    <cellStyle name="표준 9 5 4 3 5 3" xfId="50562"/>
    <cellStyle name="표준 9 5 4 3 6" xfId="50563"/>
    <cellStyle name="표준 9 5 4 3 7" xfId="50564"/>
    <cellStyle name="표준 9 5 4 4" xfId="50565"/>
    <cellStyle name="표준 9 5 4 4 2" xfId="50566"/>
    <cellStyle name="표준 9 5 4 4 2 2" xfId="50567"/>
    <cellStyle name="표준 9 5 4 4 2 2 2" xfId="50568"/>
    <cellStyle name="표준 9 5 4 4 2 2 3" xfId="50569"/>
    <cellStyle name="표준 9 5 4 4 2 3" xfId="50570"/>
    <cellStyle name="표준 9 5 4 4 2 4" xfId="50571"/>
    <cellStyle name="표준 9 5 4 4 3" xfId="50572"/>
    <cellStyle name="표준 9 5 4 4 3 2" xfId="50573"/>
    <cellStyle name="표준 9 5 4 4 3 3" xfId="50574"/>
    <cellStyle name="표준 9 5 4 4 4" xfId="50575"/>
    <cellStyle name="표준 9 5 4 4 5" xfId="50576"/>
    <cellStyle name="표준 9 5 4 5" xfId="50577"/>
    <cellStyle name="표준 9 5 4 5 2" xfId="50578"/>
    <cellStyle name="표준 9 5 4 5 2 2" xfId="50579"/>
    <cellStyle name="표준 9 5 4 5 2 2 2" xfId="50580"/>
    <cellStyle name="표준 9 5 4 5 2 2 3" xfId="50581"/>
    <cellStyle name="표준 9 5 4 5 2 3" xfId="50582"/>
    <cellStyle name="표준 9 5 4 5 2 4" xfId="50583"/>
    <cellStyle name="표준 9 5 4 5 3" xfId="50584"/>
    <cellStyle name="표준 9 5 4 5 3 2" xfId="50585"/>
    <cellStyle name="표준 9 5 4 5 3 3" xfId="50586"/>
    <cellStyle name="표준 9 5 4 5 4" xfId="50587"/>
    <cellStyle name="표준 9 5 4 5 5" xfId="50588"/>
    <cellStyle name="표준 9 5 4 6" xfId="50589"/>
    <cellStyle name="표준 9 5 4 6 2" xfId="50590"/>
    <cellStyle name="표준 9 5 4 6 2 2" xfId="50591"/>
    <cellStyle name="표준 9 5 4 6 2 2 2" xfId="50592"/>
    <cellStyle name="표준 9 5 4 6 2 2 3" xfId="50593"/>
    <cellStyle name="표준 9 5 4 6 2 3" xfId="50594"/>
    <cellStyle name="표준 9 5 4 6 2 4" xfId="50595"/>
    <cellStyle name="표준 9 5 4 6 3" xfId="50596"/>
    <cellStyle name="표준 9 5 4 6 3 2" xfId="50597"/>
    <cellStyle name="표준 9 5 4 6 3 3" xfId="50598"/>
    <cellStyle name="표준 9 5 4 6 4" xfId="50599"/>
    <cellStyle name="표준 9 5 4 6 5" xfId="50600"/>
    <cellStyle name="표준 9 5 4 7" xfId="50601"/>
    <cellStyle name="표준 9 5 4 7 2" xfId="50602"/>
    <cellStyle name="표준 9 5 4 7 2 2" xfId="50603"/>
    <cellStyle name="표준 9 5 4 7 2 3" xfId="50604"/>
    <cellStyle name="표준 9 5 4 7 3" xfId="50605"/>
    <cellStyle name="표준 9 5 4 7 4" xfId="50606"/>
    <cellStyle name="표준 9 5 4 8" xfId="50607"/>
    <cellStyle name="표준 9 5 4 8 2" xfId="50608"/>
    <cellStyle name="표준 9 5 4 8 3" xfId="50609"/>
    <cellStyle name="표준 9 5 4 9" xfId="50610"/>
    <cellStyle name="표준 9 5 5" xfId="50611"/>
    <cellStyle name="표준 9 5 5 2" xfId="50612"/>
    <cellStyle name="표준 9 5 5 2 2" xfId="50613"/>
    <cellStyle name="표준 9 5 5 2 2 2" xfId="50614"/>
    <cellStyle name="표준 9 5 5 2 2 2 2" xfId="50615"/>
    <cellStyle name="표준 9 5 5 2 2 2 3" xfId="50616"/>
    <cellStyle name="표준 9 5 5 2 2 3" xfId="50617"/>
    <cellStyle name="표준 9 5 5 2 2 4" xfId="50618"/>
    <cellStyle name="표준 9 5 5 2 3" xfId="50619"/>
    <cellStyle name="표준 9 5 5 2 3 2" xfId="50620"/>
    <cellStyle name="표준 9 5 5 2 3 3" xfId="50621"/>
    <cellStyle name="표준 9 5 5 2 4" xfId="50622"/>
    <cellStyle name="표준 9 5 5 2 5" xfId="50623"/>
    <cellStyle name="표준 9 5 5 3" xfId="50624"/>
    <cellStyle name="표준 9 5 5 3 2" xfId="50625"/>
    <cellStyle name="표준 9 5 5 3 2 2" xfId="50626"/>
    <cellStyle name="표준 9 5 5 3 2 2 2" xfId="50627"/>
    <cellStyle name="표준 9 5 5 3 2 2 3" xfId="50628"/>
    <cellStyle name="표준 9 5 5 3 2 3" xfId="50629"/>
    <cellStyle name="표준 9 5 5 3 2 4" xfId="50630"/>
    <cellStyle name="표준 9 5 5 3 3" xfId="50631"/>
    <cellStyle name="표준 9 5 5 3 3 2" xfId="50632"/>
    <cellStyle name="표준 9 5 5 3 3 3" xfId="50633"/>
    <cellStyle name="표준 9 5 5 3 4" xfId="50634"/>
    <cellStyle name="표준 9 5 5 3 5" xfId="50635"/>
    <cellStyle name="표준 9 5 5 4" xfId="50636"/>
    <cellStyle name="표준 9 5 5 4 2" xfId="50637"/>
    <cellStyle name="표준 9 5 5 4 2 2" xfId="50638"/>
    <cellStyle name="표준 9 5 5 4 2 3" xfId="50639"/>
    <cellStyle name="표준 9 5 5 4 3" xfId="50640"/>
    <cellStyle name="표준 9 5 5 4 4" xfId="50641"/>
    <cellStyle name="표준 9 5 5 5" xfId="50642"/>
    <cellStyle name="표준 9 5 5 5 2" xfId="50643"/>
    <cellStyle name="표준 9 5 5 5 3" xfId="50644"/>
    <cellStyle name="표준 9 5 5 6" xfId="50645"/>
    <cellStyle name="표준 9 5 5 7" xfId="50646"/>
    <cellStyle name="표준 9 5 6" xfId="50647"/>
    <cellStyle name="표준 9 5 6 2" xfId="50648"/>
    <cellStyle name="표준 9 5 6 2 2" xfId="50649"/>
    <cellStyle name="표준 9 5 6 2 2 2" xfId="50650"/>
    <cellStyle name="표준 9 5 6 2 2 2 2" xfId="50651"/>
    <cellStyle name="표준 9 5 6 2 2 2 3" xfId="50652"/>
    <cellStyle name="표준 9 5 6 2 2 3" xfId="50653"/>
    <cellStyle name="표준 9 5 6 2 2 4" xfId="50654"/>
    <cellStyle name="표준 9 5 6 2 3" xfId="50655"/>
    <cellStyle name="표준 9 5 6 2 3 2" xfId="50656"/>
    <cellStyle name="표준 9 5 6 2 3 3" xfId="50657"/>
    <cellStyle name="표준 9 5 6 2 4" xfId="50658"/>
    <cellStyle name="표준 9 5 6 2 5" xfId="50659"/>
    <cellStyle name="표준 9 5 6 3" xfId="50660"/>
    <cellStyle name="표준 9 5 6 3 2" xfId="50661"/>
    <cellStyle name="표준 9 5 6 3 2 2" xfId="50662"/>
    <cellStyle name="표준 9 5 6 3 2 2 2" xfId="50663"/>
    <cellStyle name="표준 9 5 6 3 2 2 3" xfId="50664"/>
    <cellStyle name="표준 9 5 6 3 2 3" xfId="50665"/>
    <cellStyle name="표준 9 5 6 3 2 4" xfId="50666"/>
    <cellStyle name="표준 9 5 6 3 3" xfId="50667"/>
    <cellStyle name="표준 9 5 6 3 3 2" xfId="50668"/>
    <cellStyle name="표준 9 5 6 3 3 3" xfId="50669"/>
    <cellStyle name="표준 9 5 6 3 4" xfId="50670"/>
    <cellStyle name="표준 9 5 6 3 5" xfId="50671"/>
    <cellStyle name="표준 9 5 6 4" xfId="50672"/>
    <cellStyle name="표준 9 5 6 4 2" xfId="50673"/>
    <cellStyle name="표준 9 5 6 4 2 2" xfId="50674"/>
    <cellStyle name="표준 9 5 6 4 2 3" xfId="50675"/>
    <cellStyle name="표준 9 5 6 4 3" xfId="50676"/>
    <cellStyle name="표준 9 5 6 4 4" xfId="50677"/>
    <cellStyle name="표준 9 5 6 5" xfId="50678"/>
    <cellStyle name="표준 9 5 6 5 2" xfId="50679"/>
    <cellStyle name="표준 9 5 6 5 3" xfId="50680"/>
    <cellStyle name="표준 9 5 6 6" xfId="50681"/>
    <cellStyle name="표준 9 5 6 7" xfId="50682"/>
    <cellStyle name="표준 9 5 7" xfId="50683"/>
    <cellStyle name="표준 9 5 7 2" xfId="50684"/>
    <cellStyle name="표준 9 5 7 2 2" xfId="50685"/>
    <cellStyle name="표준 9 5 7 2 2 2" xfId="50686"/>
    <cellStyle name="표준 9 5 7 2 2 3" xfId="50687"/>
    <cellStyle name="표준 9 5 7 2 3" xfId="50688"/>
    <cellStyle name="표준 9 5 7 2 4" xfId="50689"/>
    <cellStyle name="표준 9 5 7 3" xfId="50690"/>
    <cellStyle name="표준 9 5 7 3 2" xfId="50691"/>
    <cellStyle name="표준 9 5 7 3 3" xfId="50692"/>
    <cellStyle name="표준 9 5 7 4" xfId="50693"/>
    <cellStyle name="표준 9 5 7 5" xfId="50694"/>
    <cellStyle name="표준 9 5 8" xfId="50695"/>
    <cellStyle name="표준 9 5 8 2" xfId="50696"/>
    <cellStyle name="표준 9 5 8 2 2" xfId="50697"/>
    <cellStyle name="표준 9 5 8 2 2 2" xfId="50698"/>
    <cellStyle name="표준 9 5 8 2 2 3" xfId="50699"/>
    <cellStyle name="표준 9 5 8 2 3" xfId="50700"/>
    <cellStyle name="표준 9 5 8 2 4" xfId="50701"/>
    <cellStyle name="표준 9 5 8 3" xfId="50702"/>
    <cellStyle name="표준 9 5 8 3 2" xfId="50703"/>
    <cellStyle name="표준 9 5 8 3 3" xfId="50704"/>
    <cellStyle name="표준 9 5 8 4" xfId="50705"/>
    <cellStyle name="표준 9 5 8 5" xfId="50706"/>
    <cellStyle name="표준 9 5 9" xfId="50707"/>
    <cellStyle name="표준 9 5 9 2" xfId="50708"/>
    <cellStyle name="표준 9 5 9 2 2" xfId="50709"/>
    <cellStyle name="표준 9 5 9 2 2 2" xfId="50710"/>
    <cellStyle name="표준 9 5 9 2 2 3" xfId="50711"/>
    <cellStyle name="표준 9 5 9 2 3" xfId="50712"/>
    <cellStyle name="표준 9 5 9 2 4" xfId="50713"/>
    <cellStyle name="표준 9 5 9 3" xfId="50714"/>
    <cellStyle name="표준 9 5 9 3 2" xfId="50715"/>
    <cellStyle name="표준 9 5 9 3 3" xfId="50716"/>
    <cellStyle name="표준 9 5 9 4" xfId="50717"/>
    <cellStyle name="표준 9 5 9 5" xfId="50718"/>
    <cellStyle name="표준 9 6" xfId="50719"/>
    <cellStyle name="표준 9 6 10" xfId="50720"/>
    <cellStyle name="표준 9 6 2" xfId="50721"/>
    <cellStyle name="표준 9 6 2 2" xfId="50722"/>
    <cellStyle name="표준 9 6 2 2 2" xfId="50723"/>
    <cellStyle name="표준 9 6 2 2 2 2" xfId="50724"/>
    <cellStyle name="표준 9 6 2 2 2 2 2" xfId="50725"/>
    <cellStyle name="표준 9 6 2 2 2 2 3" xfId="50726"/>
    <cellStyle name="표준 9 6 2 2 2 3" xfId="50727"/>
    <cellStyle name="표준 9 6 2 2 2 4" xfId="50728"/>
    <cellStyle name="표준 9 6 2 2 3" xfId="50729"/>
    <cellStyle name="표준 9 6 2 2 3 2" xfId="50730"/>
    <cellStyle name="표준 9 6 2 2 3 3" xfId="50731"/>
    <cellStyle name="표준 9 6 2 2 4" xfId="50732"/>
    <cellStyle name="표준 9 6 2 2 5" xfId="50733"/>
    <cellStyle name="표준 9 6 2 3" xfId="50734"/>
    <cellStyle name="표준 9 6 2 3 2" xfId="50735"/>
    <cellStyle name="표준 9 6 2 3 2 2" xfId="50736"/>
    <cellStyle name="표준 9 6 2 3 2 2 2" xfId="50737"/>
    <cellStyle name="표준 9 6 2 3 2 2 3" xfId="50738"/>
    <cellStyle name="표준 9 6 2 3 2 3" xfId="50739"/>
    <cellStyle name="표준 9 6 2 3 2 4" xfId="50740"/>
    <cellStyle name="표준 9 6 2 3 3" xfId="50741"/>
    <cellStyle name="표준 9 6 2 3 3 2" xfId="50742"/>
    <cellStyle name="표준 9 6 2 3 3 3" xfId="50743"/>
    <cellStyle name="표준 9 6 2 3 4" xfId="50744"/>
    <cellStyle name="표준 9 6 2 3 5" xfId="50745"/>
    <cellStyle name="표준 9 6 2 4" xfId="50746"/>
    <cellStyle name="표준 9 6 2 4 2" xfId="50747"/>
    <cellStyle name="표준 9 6 2 4 2 2" xfId="50748"/>
    <cellStyle name="표준 9 6 2 4 2 3" xfId="50749"/>
    <cellStyle name="표준 9 6 2 4 3" xfId="50750"/>
    <cellStyle name="표준 9 6 2 4 4" xfId="50751"/>
    <cellStyle name="표준 9 6 2 5" xfId="50752"/>
    <cellStyle name="표준 9 6 2 5 2" xfId="50753"/>
    <cellStyle name="표준 9 6 2 5 3" xfId="50754"/>
    <cellStyle name="표준 9 6 2 6" xfId="50755"/>
    <cellStyle name="표준 9 6 2 7" xfId="50756"/>
    <cellStyle name="표준 9 6 3" xfId="50757"/>
    <cellStyle name="표준 9 6 3 2" xfId="50758"/>
    <cellStyle name="표준 9 6 3 2 2" xfId="50759"/>
    <cellStyle name="표준 9 6 3 2 2 2" xfId="50760"/>
    <cellStyle name="표준 9 6 3 2 2 2 2" xfId="50761"/>
    <cellStyle name="표준 9 6 3 2 2 2 3" xfId="50762"/>
    <cellStyle name="표준 9 6 3 2 2 3" xfId="50763"/>
    <cellStyle name="표준 9 6 3 2 2 4" xfId="50764"/>
    <cellStyle name="표준 9 6 3 2 3" xfId="50765"/>
    <cellStyle name="표준 9 6 3 2 3 2" xfId="50766"/>
    <cellStyle name="표준 9 6 3 2 3 3" xfId="50767"/>
    <cellStyle name="표준 9 6 3 2 4" xfId="50768"/>
    <cellStyle name="표준 9 6 3 2 5" xfId="50769"/>
    <cellStyle name="표준 9 6 3 3" xfId="50770"/>
    <cellStyle name="표준 9 6 3 3 2" xfId="50771"/>
    <cellStyle name="표준 9 6 3 3 2 2" xfId="50772"/>
    <cellStyle name="표준 9 6 3 3 2 2 2" xfId="50773"/>
    <cellStyle name="표준 9 6 3 3 2 2 3" xfId="50774"/>
    <cellStyle name="표준 9 6 3 3 2 3" xfId="50775"/>
    <cellStyle name="표준 9 6 3 3 2 4" xfId="50776"/>
    <cellStyle name="표준 9 6 3 3 3" xfId="50777"/>
    <cellStyle name="표준 9 6 3 3 3 2" xfId="50778"/>
    <cellStyle name="표준 9 6 3 3 3 3" xfId="50779"/>
    <cellStyle name="표준 9 6 3 3 4" xfId="50780"/>
    <cellStyle name="표준 9 6 3 3 5" xfId="50781"/>
    <cellStyle name="표준 9 6 3 4" xfId="50782"/>
    <cellStyle name="표준 9 6 3 4 2" xfId="50783"/>
    <cellStyle name="표준 9 6 3 4 2 2" xfId="50784"/>
    <cellStyle name="표준 9 6 3 4 2 3" xfId="50785"/>
    <cellStyle name="표준 9 6 3 4 3" xfId="50786"/>
    <cellStyle name="표준 9 6 3 4 4" xfId="50787"/>
    <cellStyle name="표준 9 6 3 5" xfId="50788"/>
    <cellStyle name="표준 9 6 3 5 2" xfId="50789"/>
    <cellStyle name="표준 9 6 3 5 3" xfId="50790"/>
    <cellStyle name="표준 9 6 3 6" xfId="50791"/>
    <cellStyle name="표준 9 6 3 7" xfId="50792"/>
    <cellStyle name="표준 9 6 4" xfId="50793"/>
    <cellStyle name="표준 9 6 4 2" xfId="50794"/>
    <cellStyle name="표준 9 6 4 2 2" xfId="50795"/>
    <cellStyle name="표준 9 6 4 2 2 2" xfId="50796"/>
    <cellStyle name="표준 9 6 4 2 2 3" xfId="50797"/>
    <cellStyle name="표준 9 6 4 2 3" xfId="50798"/>
    <cellStyle name="표준 9 6 4 2 4" xfId="50799"/>
    <cellStyle name="표준 9 6 4 3" xfId="50800"/>
    <cellStyle name="표준 9 6 4 3 2" xfId="50801"/>
    <cellStyle name="표준 9 6 4 3 3" xfId="50802"/>
    <cellStyle name="표준 9 6 4 4" xfId="50803"/>
    <cellStyle name="표준 9 6 4 5" xfId="50804"/>
    <cellStyle name="표준 9 6 5" xfId="50805"/>
    <cellStyle name="표준 9 6 5 2" xfId="50806"/>
    <cellStyle name="표준 9 6 5 2 2" xfId="50807"/>
    <cellStyle name="표준 9 6 5 2 2 2" xfId="50808"/>
    <cellStyle name="표준 9 6 5 2 2 3" xfId="50809"/>
    <cellStyle name="표준 9 6 5 2 3" xfId="50810"/>
    <cellStyle name="표준 9 6 5 2 4" xfId="50811"/>
    <cellStyle name="표준 9 6 5 3" xfId="50812"/>
    <cellStyle name="표준 9 6 5 3 2" xfId="50813"/>
    <cellStyle name="표준 9 6 5 3 3" xfId="50814"/>
    <cellStyle name="표준 9 6 5 4" xfId="50815"/>
    <cellStyle name="표준 9 6 5 5" xfId="50816"/>
    <cellStyle name="표준 9 6 6" xfId="50817"/>
    <cellStyle name="표준 9 6 6 2" xfId="50818"/>
    <cellStyle name="표준 9 6 6 2 2" xfId="50819"/>
    <cellStyle name="표준 9 6 6 2 2 2" xfId="50820"/>
    <cellStyle name="표준 9 6 6 2 2 3" xfId="50821"/>
    <cellStyle name="표준 9 6 6 2 3" xfId="50822"/>
    <cellStyle name="표준 9 6 6 2 4" xfId="50823"/>
    <cellStyle name="표준 9 6 6 3" xfId="50824"/>
    <cellStyle name="표준 9 6 6 3 2" xfId="50825"/>
    <cellStyle name="표준 9 6 6 3 3" xfId="50826"/>
    <cellStyle name="표준 9 6 6 4" xfId="50827"/>
    <cellStyle name="표준 9 6 6 5" xfId="50828"/>
    <cellStyle name="표준 9 6 7" xfId="50829"/>
    <cellStyle name="표준 9 6 7 2" xfId="50830"/>
    <cellStyle name="표준 9 6 7 2 2" xfId="50831"/>
    <cellStyle name="표준 9 6 7 2 3" xfId="50832"/>
    <cellStyle name="표준 9 6 7 3" xfId="50833"/>
    <cellStyle name="표준 9 6 7 4" xfId="50834"/>
    <cellStyle name="표준 9 6 8" xfId="50835"/>
    <cellStyle name="표준 9 6 8 2" xfId="50836"/>
    <cellStyle name="표준 9 6 8 3" xfId="50837"/>
    <cellStyle name="표준 9 6 9" xfId="50838"/>
    <cellStyle name="표준 9 7" xfId="50839"/>
    <cellStyle name="표준 9 7 10" xfId="50840"/>
    <cellStyle name="표준 9 7 2" xfId="50841"/>
    <cellStyle name="표준 9 7 2 2" xfId="50842"/>
    <cellStyle name="표준 9 7 2 2 2" xfId="50843"/>
    <cellStyle name="표준 9 7 2 2 2 2" xfId="50844"/>
    <cellStyle name="표준 9 7 2 2 2 2 2" xfId="50845"/>
    <cellStyle name="표준 9 7 2 2 2 2 3" xfId="50846"/>
    <cellStyle name="표준 9 7 2 2 2 3" xfId="50847"/>
    <cellStyle name="표준 9 7 2 2 2 4" xfId="50848"/>
    <cellStyle name="표준 9 7 2 2 3" xfId="50849"/>
    <cellStyle name="표준 9 7 2 2 3 2" xfId="50850"/>
    <cellStyle name="표준 9 7 2 2 3 3" xfId="50851"/>
    <cellStyle name="표준 9 7 2 2 4" xfId="50852"/>
    <cellStyle name="표준 9 7 2 2 5" xfId="50853"/>
    <cellStyle name="표준 9 7 2 3" xfId="50854"/>
    <cellStyle name="표준 9 7 2 3 2" xfId="50855"/>
    <cellStyle name="표준 9 7 2 3 2 2" xfId="50856"/>
    <cellStyle name="표준 9 7 2 3 2 2 2" xfId="50857"/>
    <cellStyle name="표준 9 7 2 3 2 2 3" xfId="50858"/>
    <cellStyle name="표준 9 7 2 3 2 3" xfId="50859"/>
    <cellStyle name="표준 9 7 2 3 2 4" xfId="50860"/>
    <cellStyle name="표준 9 7 2 3 3" xfId="50861"/>
    <cellStyle name="표준 9 7 2 3 3 2" xfId="50862"/>
    <cellStyle name="표준 9 7 2 3 3 3" xfId="50863"/>
    <cellStyle name="표준 9 7 2 3 4" xfId="50864"/>
    <cellStyle name="표준 9 7 2 3 5" xfId="50865"/>
    <cellStyle name="표준 9 7 2 4" xfId="50866"/>
    <cellStyle name="표준 9 7 2 4 2" xfId="50867"/>
    <cellStyle name="표준 9 7 2 4 2 2" xfId="50868"/>
    <cellStyle name="표준 9 7 2 4 2 3" xfId="50869"/>
    <cellStyle name="표준 9 7 2 4 3" xfId="50870"/>
    <cellStyle name="표준 9 7 2 4 4" xfId="50871"/>
    <cellStyle name="표준 9 7 2 5" xfId="50872"/>
    <cellStyle name="표준 9 7 2 5 2" xfId="50873"/>
    <cellStyle name="표준 9 7 2 5 3" xfId="50874"/>
    <cellStyle name="표준 9 7 2 6" xfId="50875"/>
    <cellStyle name="표준 9 7 2 7" xfId="50876"/>
    <cellStyle name="표준 9 7 3" xfId="50877"/>
    <cellStyle name="표준 9 7 3 2" xfId="50878"/>
    <cellStyle name="표준 9 7 3 2 2" xfId="50879"/>
    <cellStyle name="표준 9 7 3 2 2 2" xfId="50880"/>
    <cellStyle name="표준 9 7 3 2 2 2 2" xfId="50881"/>
    <cellStyle name="표준 9 7 3 2 2 2 3" xfId="50882"/>
    <cellStyle name="표준 9 7 3 2 2 3" xfId="50883"/>
    <cellStyle name="표준 9 7 3 2 2 4" xfId="50884"/>
    <cellStyle name="표준 9 7 3 2 3" xfId="50885"/>
    <cellStyle name="표준 9 7 3 2 3 2" xfId="50886"/>
    <cellStyle name="표준 9 7 3 2 3 3" xfId="50887"/>
    <cellStyle name="표준 9 7 3 2 4" xfId="50888"/>
    <cellStyle name="표준 9 7 3 2 5" xfId="50889"/>
    <cellStyle name="표준 9 7 3 3" xfId="50890"/>
    <cellStyle name="표준 9 7 3 3 2" xfId="50891"/>
    <cellStyle name="표준 9 7 3 3 2 2" xfId="50892"/>
    <cellStyle name="표준 9 7 3 3 2 2 2" xfId="50893"/>
    <cellStyle name="표준 9 7 3 3 2 2 3" xfId="50894"/>
    <cellStyle name="표준 9 7 3 3 2 3" xfId="50895"/>
    <cellStyle name="표준 9 7 3 3 2 4" xfId="50896"/>
    <cellStyle name="표준 9 7 3 3 3" xfId="50897"/>
    <cellStyle name="표준 9 7 3 3 3 2" xfId="50898"/>
    <cellStyle name="표준 9 7 3 3 3 3" xfId="50899"/>
    <cellStyle name="표준 9 7 3 3 4" xfId="50900"/>
    <cellStyle name="표준 9 7 3 3 5" xfId="50901"/>
    <cellStyle name="표준 9 7 3 4" xfId="50902"/>
    <cellStyle name="표준 9 7 3 4 2" xfId="50903"/>
    <cellStyle name="표준 9 7 3 4 2 2" xfId="50904"/>
    <cellStyle name="표준 9 7 3 4 2 3" xfId="50905"/>
    <cellStyle name="표준 9 7 3 4 3" xfId="50906"/>
    <cellStyle name="표준 9 7 3 4 4" xfId="50907"/>
    <cellStyle name="표준 9 7 3 5" xfId="50908"/>
    <cellStyle name="표준 9 7 3 5 2" xfId="50909"/>
    <cellStyle name="표준 9 7 3 5 3" xfId="50910"/>
    <cellStyle name="표준 9 7 3 6" xfId="50911"/>
    <cellStyle name="표준 9 7 3 7" xfId="50912"/>
    <cellStyle name="표준 9 7 4" xfId="50913"/>
    <cellStyle name="표준 9 7 4 2" xfId="50914"/>
    <cellStyle name="표준 9 7 4 2 2" xfId="50915"/>
    <cellStyle name="표준 9 7 4 2 2 2" xfId="50916"/>
    <cellStyle name="표준 9 7 4 2 2 3" xfId="50917"/>
    <cellStyle name="표준 9 7 4 2 3" xfId="50918"/>
    <cellStyle name="표준 9 7 4 2 4" xfId="50919"/>
    <cellStyle name="표준 9 7 4 3" xfId="50920"/>
    <cellStyle name="표준 9 7 4 3 2" xfId="50921"/>
    <cellStyle name="표준 9 7 4 3 3" xfId="50922"/>
    <cellStyle name="표준 9 7 4 4" xfId="50923"/>
    <cellStyle name="표준 9 7 4 5" xfId="50924"/>
    <cellStyle name="표준 9 7 5" xfId="50925"/>
    <cellStyle name="표준 9 7 5 2" xfId="50926"/>
    <cellStyle name="표준 9 7 5 2 2" xfId="50927"/>
    <cellStyle name="표준 9 7 5 2 2 2" xfId="50928"/>
    <cellStyle name="표준 9 7 5 2 2 3" xfId="50929"/>
    <cellStyle name="표준 9 7 5 2 3" xfId="50930"/>
    <cellStyle name="표준 9 7 5 2 4" xfId="50931"/>
    <cellStyle name="표준 9 7 5 3" xfId="50932"/>
    <cellStyle name="표준 9 7 5 3 2" xfId="50933"/>
    <cellStyle name="표준 9 7 5 3 3" xfId="50934"/>
    <cellStyle name="표준 9 7 5 4" xfId="50935"/>
    <cellStyle name="표준 9 7 5 5" xfId="50936"/>
    <cellStyle name="표준 9 7 6" xfId="50937"/>
    <cellStyle name="표준 9 7 6 2" xfId="50938"/>
    <cellStyle name="표준 9 7 6 2 2" xfId="50939"/>
    <cellStyle name="표준 9 7 6 2 2 2" xfId="50940"/>
    <cellStyle name="표준 9 7 6 2 2 3" xfId="50941"/>
    <cellStyle name="표준 9 7 6 2 3" xfId="50942"/>
    <cellStyle name="표준 9 7 6 2 4" xfId="50943"/>
    <cellStyle name="표준 9 7 6 3" xfId="50944"/>
    <cellStyle name="표준 9 7 6 3 2" xfId="50945"/>
    <cellStyle name="표준 9 7 6 3 3" xfId="50946"/>
    <cellStyle name="표준 9 7 6 4" xfId="50947"/>
    <cellStyle name="표준 9 7 6 5" xfId="50948"/>
    <cellStyle name="표준 9 7 7" xfId="50949"/>
    <cellStyle name="표준 9 7 7 2" xfId="50950"/>
    <cellStyle name="표준 9 7 7 2 2" xfId="50951"/>
    <cellStyle name="표준 9 7 7 2 3" xfId="50952"/>
    <cellStyle name="표준 9 7 7 3" xfId="50953"/>
    <cellStyle name="표준 9 7 7 4" xfId="50954"/>
    <cellStyle name="표준 9 7 8" xfId="50955"/>
    <cellStyle name="표준 9 7 8 2" xfId="50956"/>
    <cellStyle name="표준 9 7 8 3" xfId="50957"/>
    <cellStyle name="표준 9 7 9" xfId="50958"/>
    <cellStyle name="표준 9 8" xfId="50959"/>
    <cellStyle name="표준 9 8 10" xfId="50960"/>
    <cellStyle name="표준 9 8 2" xfId="50961"/>
    <cellStyle name="표준 9 8 2 2" xfId="50962"/>
    <cellStyle name="표준 9 8 2 2 2" xfId="50963"/>
    <cellStyle name="표준 9 8 2 2 2 2" xfId="50964"/>
    <cellStyle name="표준 9 8 2 2 2 2 2" xfId="50965"/>
    <cellStyle name="표준 9 8 2 2 2 2 3" xfId="50966"/>
    <cellStyle name="표준 9 8 2 2 2 3" xfId="50967"/>
    <cellStyle name="표준 9 8 2 2 2 4" xfId="50968"/>
    <cellStyle name="표준 9 8 2 2 3" xfId="50969"/>
    <cellStyle name="표준 9 8 2 2 3 2" xfId="50970"/>
    <cellStyle name="표준 9 8 2 2 3 3" xfId="50971"/>
    <cellStyle name="표준 9 8 2 2 4" xfId="50972"/>
    <cellStyle name="표준 9 8 2 2 5" xfId="50973"/>
    <cellStyle name="표준 9 8 2 3" xfId="50974"/>
    <cellStyle name="표준 9 8 2 3 2" xfId="50975"/>
    <cellStyle name="표준 9 8 2 3 2 2" xfId="50976"/>
    <cellStyle name="표준 9 8 2 3 2 2 2" xfId="50977"/>
    <cellStyle name="표준 9 8 2 3 2 2 3" xfId="50978"/>
    <cellStyle name="표준 9 8 2 3 2 3" xfId="50979"/>
    <cellStyle name="표준 9 8 2 3 2 4" xfId="50980"/>
    <cellStyle name="표준 9 8 2 3 3" xfId="50981"/>
    <cellStyle name="표준 9 8 2 3 3 2" xfId="50982"/>
    <cellStyle name="표준 9 8 2 3 3 3" xfId="50983"/>
    <cellStyle name="표준 9 8 2 3 4" xfId="50984"/>
    <cellStyle name="표준 9 8 2 3 5" xfId="50985"/>
    <cellStyle name="표준 9 8 2 4" xfId="50986"/>
    <cellStyle name="표준 9 8 2 4 2" xfId="50987"/>
    <cellStyle name="표준 9 8 2 4 2 2" xfId="50988"/>
    <cellStyle name="표준 9 8 2 4 2 3" xfId="50989"/>
    <cellStyle name="표준 9 8 2 4 3" xfId="50990"/>
    <cellStyle name="표준 9 8 2 4 4" xfId="50991"/>
    <cellStyle name="표준 9 8 2 5" xfId="50992"/>
    <cellStyle name="표준 9 8 2 5 2" xfId="50993"/>
    <cellStyle name="표준 9 8 2 5 3" xfId="50994"/>
    <cellStyle name="표준 9 8 2 6" xfId="50995"/>
    <cellStyle name="표준 9 8 2 7" xfId="50996"/>
    <cellStyle name="표준 9 8 3" xfId="50997"/>
    <cellStyle name="표준 9 8 3 2" xfId="50998"/>
    <cellStyle name="표준 9 8 3 2 2" xfId="50999"/>
    <cellStyle name="표준 9 8 3 2 2 2" xfId="51000"/>
    <cellStyle name="표준 9 8 3 2 2 2 2" xfId="51001"/>
    <cellStyle name="표준 9 8 3 2 2 2 3" xfId="51002"/>
    <cellStyle name="표준 9 8 3 2 2 3" xfId="51003"/>
    <cellStyle name="표준 9 8 3 2 2 4" xfId="51004"/>
    <cellStyle name="표준 9 8 3 2 3" xfId="51005"/>
    <cellStyle name="표준 9 8 3 2 3 2" xfId="51006"/>
    <cellStyle name="표준 9 8 3 2 3 3" xfId="51007"/>
    <cellStyle name="표준 9 8 3 2 4" xfId="51008"/>
    <cellStyle name="표준 9 8 3 2 5" xfId="51009"/>
    <cellStyle name="표준 9 8 3 3" xfId="51010"/>
    <cellStyle name="표준 9 8 3 3 2" xfId="51011"/>
    <cellStyle name="표준 9 8 3 3 2 2" xfId="51012"/>
    <cellStyle name="표준 9 8 3 3 2 2 2" xfId="51013"/>
    <cellStyle name="표준 9 8 3 3 2 2 3" xfId="51014"/>
    <cellStyle name="표준 9 8 3 3 2 3" xfId="51015"/>
    <cellStyle name="표준 9 8 3 3 2 4" xfId="51016"/>
    <cellStyle name="표준 9 8 3 3 3" xfId="51017"/>
    <cellStyle name="표준 9 8 3 3 3 2" xfId="51018"/>
    <cellStyle name="표준 9 8 3 3 3 3" xfId="51019"/>
    <cellStyle name="표준 9 8 3 3 4" xfId="51020"/>
    <cellStyle name="표준 9 8 3 3 5" xfId="51021"/>
    <cellStyle name="표준 9 8 3 4" xfId="51022"/>
    <cellStyle name="표준 9 8 3 4 2" xfId="51023"/>
    <cellStyle name="표준 9 8 3 4 2 2" xfId="51024"/>
    <cellStyle name="표준 9 8 3 4 2 3" xfId="51025"/>
    <cellStyle name="표준 9 8 3 4 3" xfId="51026"/>
    <cellStyle name="표준 9 8 3 4 4" xfId="51027"/>
    <cellStyle name="표준 9 8 3 5" xfId="51028"/>
    <cellStyle name="표준 9 8 3 5 2" xfId="51029"/>
    <cellStyle name="표준 9 8 3 5 3" xfId="51030"/>
    <cellStyle name="표준 9 8 3 6" xfId="51031"/>
    <cellStyle name="표준 9 8 3 7" xfId="51032"/>
    <cellStyle name="표준 9 8 4" xfId="51033"/>
    <cellStyle name="표준 9 8 4 2" xfId="51034"/>
    <cellStyle name="표준 9 8 4 2 2" xfId="51035"/>
    <cellStyle name="표준 9 8 4 2 2 2" xfId="51036"/>
    <cellStyle name="표준 9 8 4 2 2 3" xfId="51037"/>
    <cellStyle name="표준 9 8 4 2 3" xfId="51038"/>
    <cellStyle name="표준 9 8 4 2 4" xfId="51039"/>
    <cellStyle name="표준 9 8 4 3" xfId="51040"/>
    <cellStyle name="표준 9 8 4 3 2" xfId="51041"/>
    <cellStyle name="표준 9 8 4 3 3" xfId="51042"/>
    <cellStyle name="표준 9 8 4 4" xfId="51043"/>
    <cellStyle name="표준 9 8 4 5" xfId="51044"/>
    <cellStyle name="표준 9 8 5" xfId="51045"/>
    <cellStyle name="표준 9 8 5 2" xfId="51046"/>
    <cellStyle name="표준 9 8 5 2 2" xfId="51047"/>
    <cellStyle name="표준 9 8 5 2 2 2" xfId="51048"/>
    <cellStyle name="표준 9 8 5 2 2 3" xfId="51049"/>
    <cellStyle name="표준 9 8 5 2 3" xfId="51050"/>
    <cellStyle name="표준 9 8 5 2 4" xfId="51051"/>
    <cellStyle name="표준 9 8 5 3" xfId="51052"/>
    <cellStyle name="표준 9 8 5 3 2" xfId="51053"/>
    <cellStyle name="표준 9 8 5 3 3" xfId="51054"/>
    <cellStyle name="표준 9 8 5 4" xfId="51055"/>
    <cellStyle name="표준 9 8 5 5" xfId="51056"/>
    <cellStyle name="표준 9 8 6" xfId="51057"/>
    <cellStyle name="표준 9 8 6 2" xfId="51058"/>
    <cellStyle name="표준 9 8 6 2 2" xfId="51059"/>
    <cellStyle name="표준 9 8 6 2 2 2" xfId="51060"/>
    <cellStyle name="표준 9 8 6 2 2 3" xfId="51061"/>
    <cellStyle name="표준 9 8 6 2 3" xfId="51062"/>
    <cellStyle name="표준 9 8 6 2 4" xfId="51063"/>
    <cellStyle name="표준 9 8 6 3" xfId="51064"/>
    <cellStyle name="표준 9 8 6 3 2" xfId="51065"/>
    <cellStyle name="표준 9 8 6 3 3" xfId="51066"/>
    <cellStyle name="표준 9 8 6 4" xfId="51067"/>
    <cellStyle name="표준 9 8 6 5" xfId="51068"/>
    <cellStyle name="표준 9 8 7" xfId="51069"/>
    <cellStyle name="표준 9 8 7 2" xfId="51070"/>
    <cellStyle name="표준 9 8 7 2 2" xfId="51071"/>
    <cellStyle name="표준 9 8 7 2 3" xfId="51072"/>
    <cellStyle name="표준 9 8 7 3" xfId="51073"/>
    <cellStyle name="표준 9 8 7 4" xfId="51074"/>
    <cellStyle name="표준 9 8 8" xfId="51075"/>
    <cellStyle name="표준 9 8 8 2" xfId="51076"/>
    <cellStyle name="표준 9 8 8 3" xfId="51077"/>
    <cellStyle name="표준 9 8 9" xfId="51078"/>
    <cellStyle name="표준 9 9" xfId="51079"/>
    <cellStyle name="표준 9 9 2" xfId="51080"/>
    <cellStyle name="표준 9 9 2 2" xfId="51081"/>
    <cellStyle name="표준 9 9 2 2 2" xfId="51082"/>
    <cellStyle name="표준 9 9 2 2 2 2" xfId="51083"/>
    <cellStyle name="표준 9 9 2 2 2 3" xfId="51084"/>
    <cellStyle name="표준 9 9 2 2 3" xfId="51085"/>
    <cellStyle name="표준 9 9 2 2 4" xfId="51086"/>
    <cellStyle name="표준 9 9 2 3" xfId="51087"/>
    <cellStyle name="표준 9 9 2 3 2" xfId="51088"/>
    <cellStyle name="표준 9 9 2 3 3" xfId="51089"/>
    <cellStyle name="표준 9 9 2 4" xfId="51090"/>
    <cellStyle name="표준 9 9 2 5" xfId="51091"/>
    <cellStyle name="표준 9 9 3" xfId="51092"/>
    <cellStyle name="표준 9 9 3 2" xfId="51093"/>
    <cellStyle name="표준 9 9 3 2 2" xfId="51094"/>
    <cellStyle name="표준 9 9 3 2 2 2" xfId="51095"/>
    <cellStyle name="표준 9 9 3 2 2 3" xfId="51096"/>
    <cellStyle name="표준 9 9 3 2 3" xfId="51097"/>
    <cellStyle name="표준 9 9 3 2 4" xfId="51098"/>
    <cellStyle name="표준 9 9 3 3" xfId="51099"/>
    <cellStyle name="표준 9 9 3 3 2" xfId="51100"/>
    <cellStyle name="표준 9 9 3 3 3" xfId="51101"/>
    <cellStyle name="표준 9 9 3 4" xfId="51102"/>
    <cellStyle name="표준 9 9 3 5" xfId="51103"/>
    <cellStyle name="표준 9 9 4" xfId="51104"/>
    <cellStyle name="표준 9 9 4 2" xfId="51105"/>
    <cellStyle name="표준 9 9 4 2 2" xfId="51106"/>
    <cellStyle name="표준 9 9 4 2 3" xfId="51107"/>
    <cellStyle name="표준 9 9 4 3" xfId="51108"/>
    <cellStyle name="표준 9 9 4 4" xfId="51109"/>
    <cellStyle name="표준 9 9 5" xfId="51110"/>
    <cellStyle name="표준 9 9 5 2" xfId="51111"/>
    <cellStyle name="표준 9 9 5 3" xfId="51112"/>
    <cellStyle name="표준 9 9 6" xfId="51113"/>
    <cellStyle name="표준 9 9 7" xfId="51114"/>
    <cellStyle name="표준 9_Sheet3" xfId="51115"/>
    <cellStyle name="표준 90" xfId="51116"/>
    <cellStyle name="표준 91" xfId="51117"/>
    <cellStyle name="표준 92" xfId="51118"/>
    <cellStyle name="표준 93" xfId="51119"/>
    <cellStyle name="표준 94" xfId="51120"/>
    <cellStyle name="표준 95" xfId="51121"/>
    <cellStyle name="표준 96" xfId="51122"/>
    <cellStyle name="표준 97" xfId="51123"/>
    <cellStyle name="표준 98" xfId="51124"/>
    <cellStyle name="표준 99" xfId="51125"/>
    <cellStyle name="표준_031215 Audit Check List Ver00 - Breaker" xfId="3"/>
    <cellStyle name="표준1" xfId="51127"/>
    <cellStyle name="표준-천마편람" xfId="51128"/>
    <cellStyle name="표준⽴laroux_laroux_2" xfId="51129"/>
    <cellStyle name="푤롸貫[0]_丹홈셕뺍,茄셥 " xfId="51130"/>
    <cellStyle name="푤롸貫_丹홈셕뺍,茄셥 " xfId="51131"/>
    <cellStyle name="하이퍼링크 2" xfId="51132"/>
    <cellStyle name="하이퍼링크 2 2" xfId="51133"/>
    <cellStyle name="하이퍼링크_NDI社 SMT공정 진단_0716" xfId="10"/>
    <cellStyle name="합산" xfId="51134"/>
    <cellStyle name="합산 2" xfId="51135"/>
    <cellStyle name="합산 2 2" xfId="51136"/>
    <cellStyle name="합산 3" xfId="51137"/>
    <cellStyle name="화폐기호" xfId="51142"/>
    <cellStyle name="화폐기호 2" xfId="51143"/>
    <cellStyle name="화폐기호 2 2" xfId="51144"/>
    <cellStyle name="화폐기호 3" xfId="51145"/>
    <cellStyle name="화폐기호0" xfId="51146"/>
    <cellStyle name="화폐기호0 2" xfId="51147"/>
    <cellStyle name="화폐기호0 2 2" xfId="51148"/>
    <cellStyle name="화폐기호0 3" xfId="51149"/>
    <cellStyle name="一般_laroux_LQFP12818x18DTAPIC" xfId="30374"/>
    <cellStyle name="一般_SQP051稽核輔導作業程序書" xfId="51158"/>
    <cellStyle name="千位分隔[0]_GTHMSNZ" xfId="30615"/>
    <cellStyle name="千位分隔_GTHMSNZ" xfId="30616"/>
    <cellStyle name="千分位[0]_H4DPG7RfezGCKgvTcNxjaUm2G" xfId="30613"/>
    <cellStyle name="千分位_H4DPG7RfezGCKgvTcNxjaUm2G" xfId="30614"/>
    <cellStyle name="咬訌裝?INCOM1" xfId="23829"/>
    <cellStyle name="咬訌裝?INCOM10" xfId="23830"/>
    <cellStyle name="咬訌裝?INCOM2" xfId="23831"/>
    <cellStyle name="咬訌裝?INCOM3" xfId="23832"/>
    <cellStyle name="咬訌裝?INCOM4" xfId="23833"/>
    <cellStyle name="咬訌裝?INCOM5" xfId="23834"/>
    <cellStyle name="咬訌裝?INCOM6" xfId="23835"/>
    <cellStyle name="咬訌裝?INCOM7" xfId="23836"/>
    <cellStyle name="咬訌裝?INCOM8" xfId="23837"/>
    <cellStyle name="咬訌裝?INCOM9" xfId="23838"/>
    <cellStyle name="咬訌裝?PRIB11" xfId="23839"/>
    <cellStyle name="單" xfId="23867"/>
    <cellStyle name="單 2" xfId="23868"/>
    <cellStyle name="巍葆 [0]_laroux" xfId="30299"/>
    <cellStyle name="巍葆_laroux" xfId="30300"/>
    <cellStyle name="常规_GTHMSNZ" xfId="30117"/>
    <cellStyle name="归盒啦_老老前龙泅炔 " xfId="23841"/>
    <cellStyle name="普通_封皮" xfId="30115"/>
    <cellStyle name="桁区切り_ＦＩＴＳ見積（FIT-042）" xfId="51138"/>
    <cellStyle name="標準_Akia(F）-8" xfId="51126"/>
    <cellStyle name="烹拳 [0]_  ?  ?  " xfId="32023"/>
    <cellStyle name="烹拳_  ?  ?  " xfId="32024"/>
    <cellStyle name="百分比_ORDER COVER SHEET(D9905-3)" xfId="26233"/>
    <cellStyle name="第俊 ?? ??欺傅?" xfId="30587"/>
    <cellStyle name="表示済みのハイパーリンク_Book1 グラフ 22" xfId="32689"/>
    <cellStyle name="貨幣[0]_laroux" xfId="51141"/>
    <cellStyle name="货币[0]_GTHMSNZ" xfId="51139"/>
    <cellStyle name="货币_GTHMSNZ" xfId="51140"/>
    <cellStyle name="通貨 [0.00]_Book1" xfId="32016"/>
    <cellStyle name="通貨_Book1" xfId="32019"/>
    <cellStyle name="钎霖_   " xfId="30612"/>
    <cellStyle name="霓付 [0]_  ?  ?  " xfId="30297"/>
    <cellStyle name="霓付_  ?  ?  " xfId="30298"/>
    <cellStyle name="鱔 [0]_laroux" xfId="30120"/>
    <cellStyle name="鱔_laroux" xfId="30121"/>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238125</xdr:colOff>
      <xdr:row>1</xdr:row>
      <xdr:rowOff>76200</xdr:rowOff>
    </xdr:from>
    <xdr:to>
      <xdr:col>3</xdr:col>
      <xdr:colOff>180975</xdr:colOff>
      <xdr:row>1</xdr:row>
      <xdr:rowOff>619125</xdr:rowOff>
    </xdr:to>
    <xdr:pic>
      <xdr:nvPicPr>
        <xdr:cNvPr id="2" name="Picture 90">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0" y="276225"/>
          <a:ext cx="12763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209550</xdr:colOff>
      <xdr:row>0</xdr:row>
      <xdr:rowOff>133350</xdr:rowOff>
    </xdr:from>
    <xdr:to>
      <xdr:col>4</xdr:col>
      <xdr:colOff>123825</xdr:colOff>
      <xdr:row>2</xdr:row>
      <xdr:rowOff>85725</xdr:rowOff>
    </xdr:to>
    <xdr:pic>
      <xdr:nvPicPr>
        <xdr:cNvPr id="2" name="Picture 90">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9550" y="133350"/>
          <a:ext cx="12763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114300</xdr:colOff>
      <xdr:row>0</xdr:row>
      <xdr:rowOff>38100</xdr:rowOff>
    </xdr:from>
    <xdr:to>
      <xdr:col>4</xdr:col>
      <xdr:colOff>200025</xdr:colOff>
      <xdr:row>1</xdr:row>
      <xdr:rowOff>257175</xdr:rowOff>
    </xdr:to>
    <xdr:pic>
      <xdr:nvPicPr>
        <xdr:cNvPr id="2" name="Picture 90">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100"/>
          <a:ext cx="12763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xdr:colOff>
      <xdr:row>0</xdr:row>
      <xdr:rowOff>47625</xdr:rowOff>
    </xdr:from>
    <xdr:to>
      <xdr:col>4</xdr:col>
      <xdr:colOff>257175</xdr:colOff>
      <xdr:row>1</xdr:row>
      <xdr:rowOff>266700</xdr:rowOff>
    </xdr:to>
    <xdr:pic>
      <xdr:nvPicPr>
        <xdr:cNvPr id="2" name="Picture 90">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47625"/>
          <a:ext cx="12763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89647</xdr:colOff>
      <xdr:row>0</xdr:row>
      <xdr:rowOff>112059</xdr:rowOff>
    </xdr:from>
    <xdr:to>
      <xdr:col>4</xdr:col>
      <xdr:colOff>44824</xdr:colOff>
      <xdr:row>1</xdr:row>
      <xdr:rowOff>168423</xdr:rowOff>
    </xdr:to>
    <xdr:pic>
      <xdr:nvPicPr>
        <xdr:cNvPr id="2" name="Picture 90">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647" y="112059"/>
          <a:ext cx="896471" cy="381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57150</xdr:colOff>
      <xdr:row>0</xdr:row>
      <xdr:rowOff>95250</xdr:rowOff>
    </xdr:from>
    <xdr:to>
      <xdr:col>4</xdr:col>
      <xdr:colOff>247650</xdr:colOff>
      <xdr:row>1</xdr:row>
      <xdr:rowOff>314325</xdr:rowOff>
    </xdr:to>
    <xdr:pic>
      <xdr:nvPicPr>
        <xdr:cNvPr id="2" name="Picture 90">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95250"/>
          <a:ext cx="12763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57150</xdr:colOff>
      <xdr:row>0</xdr:row>
      <xdr:rowOff>142876</xdr:rowOff>
    </xdr:from>
    <xdr:to>
      <xdr:col>4</xdr:col>
      <xdr:colOff>57150</xdr:colOff>
      <xdr:row>1</xdr:row>
      <xdr:rowOff>224194</xdr:rowOff>
    </xdr:to>
    <xdr:pic>
      <xdr:nvPicPr>
        <xdr:cNvPr id="2" name="Picture 90">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42876"/>
          <a:ext cx="952500" cy="4051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104775</xdr:colOff>
      <xdr:row>0</xdr:row>
      <xdr:rowOff>133350</xdr:rowOff>
    </xdr:from>
    <xdr:to>
      <xdr:col>4</xdr:col>
      <xdr:colOff>66675</xdr:colOff>
      <xdr:row>1</xdr:row>
      <xdr:rowOff>198461</xdr:rowOff>
    </xdr:to>
    <xdr:pic>
      <xdr:nvPicPr>
        <xdr:cNvPr id="2" name="Picture 90">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133350"/>
          <a:ext cx="914400" cy="3889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114300</xdr:colOff>
      <xdr:row>0</xdr:row>
      <xdr:rowOff>142875</xdr:rowOff>
    </xdr:from>
    <xdr:to>
      <xdr:col>4</xdr:col>
      <xdr:colOff>85725</xdr:colOff>
      <xdr:row>1</xdr:row>
      <xdr:rowOff>212038</xdr:rowOff>
    </xdr:to>
    <xdr:pic>
      <xdr:nvPicPr>
        <xdr:cNvPr id="2" name="Picture 90">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142875"/>
          <a:ext cx="923925" cy="3930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78441</xdr:colOff>
      <xdr:row>0</xdr:row>
      <xdr:rowOff>168089</xdr:rowOff>
    </xdr:from>
    <xdr:to>
      <xdr:col>4</xdr:col>
      <xdr:colOff>67235</xdr:colOff>
      <xdr:row>1</xdr:row>
      <xdr:rowOff>238752</xdr:rowOff>
    </xdr:to>
    <xdr:pic>
      <xdr:nvPicPr>
        <xdr:cNvPr id="2" name="Picture 90">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441" y="168089"/>
          <a:ext cx="930088" cy="3956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152400</xdr:colOff>
      <xdr:row>0</xdr:row>
      <xdr:rowOff>133350</xdr:rowOff>
    </xdr:from>
    <xdr:to>
      <xdr:col>4</xdr:col>
      <xdr:colOff>47625</xdr:colOff>
      <xdr:row>1</xdr:row>
      <xdr:rowOff>170099</xdr:rowOff>
    </xdr:to>
    <xdr:pic>
      <xdr:nvPicPr>
        <xdr:cNvPr id="2" name="Picture 90">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133350"/>
          <a:ext cx="847725" cy="360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4</xdr:col>
      <xdr:colOff>41776</xdr:colOff>
      <xdr:row>1</xdr:row>
      <xdr:rowOff>171450</xdr:rowOff>
    </xdr:to>
    <xdr:pic>
      <xdr:nvPicPr>
        <xdr:cNvPr id="2" name="Picture 90">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104775"/>
          <a:ext cx="918076"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57150</xdr:colOff>
      <xdr:row>0</xdr:row>
      <xdr:rowOff>95250</xdr:rowOff>
    </xdr:from>
    <xdr:to>
      <xdr:col>4</xdr:col>
      <xdr:colOff>157079</xdr:colOff>
      <xdr:row>1</xdr:row>
      <xdr:rowOff>219075</xdr:rowOff>
    </xdr:to>
    <xdr:pic>
      <xdr:nvPicPr>
        <xdr:cNvPr id="2" name="Picture 90">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95250"/>
          <a:ext cx="1052429"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104775</xdr:colOff>
      <xdr:row>0</xdr:row>
      <xdr:rowOff>104775</xdr:rowOff>
    </xdr:from>
    <xdr:to>
      <xdr:col>4</xdr:col>
      <xdr:colOff>66675</xdr:colOff>
      <xdr:row>1</xdr:row>
      <xdr:rowOff>169886</xdr:rowOff>
    </xdr:to>
    <xdr:pic>
      <xdr:nvPicPr>
        <xdr:cNvPr id="2" name="Picture 90">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104775"/>
          <a:ext cx="914400" cy="3889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133350</xdr:colOff>
      <xdr:row>0</xdr:row>
      <xdr:rowOff>142875</xdr:rowOff>
    </xdr:from>
    <xdr:to>
      <xdr:col>4</xdr:col>
      <xdr:colOff>104775</xdr:colOff>
      <xdr:row>1</xdr:row>
      <xdr:rowOff>212038</xdr:rowOff>
    </xdr:to>
    <xdr:pic>
      <xdr:nvPicPr>
        <xdr:cNvPr id="2" name="Picture 90">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350" y="142875"/>
          <a:ext cx="923925" cy="3930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ida305\c\&#44608;&#45209;&#54872;\&#44592;&#50500;&#51088;&#46041;&#52264;\&#51064;&#49688;&#45800;(&#44608;&#45209;&#54872;GJ)\dmpro\DOWN\&#48149;&#46041;&#54616;\&#49892;&#53468;\My%20Documents\&#50808;&#51452;&#54788;&#54889;.WQ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Ugda209\ds-2\DS-2\ccc\HP-1\MAST\My%20Documents\project\qa4\A&#50896;&#51088;&#51116;\&#49324;&#44553;&#51204;&#54872;\M1MASTE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외주현황.wq1"/>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1master"/>
    </sheetNames>
    <sheetDataSet>
      <sheetData sheetId="0" refreshError="1">
        <row r="1">
          <cell r="E1" t="str">
            <v>BODY SHOP →</v>
          </cell>
          <cell r="F1" t="str">
            <v xml:space="preserve"> M/T NON</v>
          </cell>
          <cell r="G1">
            <v>2067</v>
          </cell>
          <cell r="I1">
            <v>20</v>
          </cell>
          <cell r="J1">
            <v>233</v>
          </cell>
          <cell r="K1">
            <v>223</v>
          </cell>
          <cell r="M1">
            <v>24</v>
          </cell>
          <cell r="N1">
            <v>11</v>
          </cell>
          <cell r="O1">
            <v>134</v>
          </cell>
          <cell r="P1">
            <v>4</v>
          </cell>
          <cell r="Q1">
            <v>165</v>
          </cell>
          <cell r="R1">
            <v>539</v>
          </cell>
          <cell r="S1">
            <v>221</v>
          </cell>
          <cell r="T1">
            <v>235</v>
          </cell>
          <cell r="X1">
            <v>2</v>
          </cell>
          <cell r="AC1">
            <v>30</v>
          </cell>
          <cell r="AD1">
            <v>6</v>
          </cell>
          <cell r="AI1">
            <v>53</v>
          </cell>
          <cell r="AJ1">
            <v>36</v>
          </cell>
          <cell r="AK1">
            <v>1</v>
          </cell>
          <cell r="AL1">
            <v>6</v>
          </cell>
          <cell r="AM1">
            <v>7</v>
          </cell>
          <cell r="AN1">
            <v>7</v>
          </cell>
          <cell r="AO1">
            <v>8</v>
          </cell>
          <cell r="AQ1">
            <v>24</v>
          </cell>
          <cell r="AR1">
            <v>12</v>
          </cell>
          <cell r="AS1">
            <v>29</v>
          </cell>
          <cell r="AU1">
            <v>3</v>
          </cell>
          <cell r="AW1">
            <v>2</v>
          </cell>
          <cell r="AY1">
            <v>32</v>
          </cell>
          <cell r="CJ1">
            <v>0</v>
          </cell>
          <cell r="CK1">
            <v>0</v>
          </cell>
          <cell r="CM1">
            <v>0</v>
          </cell>
          <cell r="CO1">
            <v>0</v>
          </cell>
        </row>
        <row r="2">
          <cell r="E2">
            <v>2584</v>
          </cell>
          <cell r="F2" t="str">
            <v xml:space="preserve"> M/T ABS</v>
          </cell>
          <cell r="G2">
            <v>140</v>
          </cell>
          <cell r="K2">
            <v>1</v>
          </cell>
          <cell r="O2">
            <v>12</v>
          </cell>
          <cell r="P2">
            <v>4</v>
          </cell>
          <cell r="Q2">
            <v>123</v>
          </cell>
          <cell r="BA2" t="str">
            <v xml:space="preserve"> T:TRIM</v>
          </cell>
        </row>
        <row r="3">
          <cell r="F3" t="str">
            <v xml:space="preserve">  A/T NON</v>
          </cell>
          <cell r="G3">
            <v>254</v>
          </cell>
          <cell r="K3">
            <v>27</v>
          </cell>
          <cell r="M3">
            <v>9</v>
          </cell>
          <cell r="N3">
            <v>5</v>
          </cell>
          <cell r="O3">
            <v>57</v>
          </cell>
          <cell r="P3">
            <v>7</v>
          </cell>
          <cell r="Q3">
            <v>91</v>
          </cell>
          <cell r="T3">
            <v>23</v>
          </cell>
          <cell r="X3">
            <v>4</v>
          </cell>
          <cell r="AD3">
            <v>4</v>
          </cell>
          <cell r="AI3">
            <v>13</v>
          </cell>
          <cell r="AO3">
            <v>4</v>
          </cell>
          <cell r="AS3">
            <v>5</v>
          </cell>
          <cell r="AW3">
            <v>5</v>
          </cell>
          <cell r="BA3" t="str">
            <v xml:space="preserve"> B:BODY</v>
          </cell>
        </row>
        <row r="4">
          <cell r="F4" t="str">
            <v xml:space="preserve">  A/T ABS</v>
          </cell>
          <cell r="G4">
            <v>123</v>
          </cell>
          <cell r="K4">
            <v>15</v>
          </cell>
          <cell r="N4">
            <v>3</v>
          </cell>
          <cell r="O4">
            <v>8</v>
          </cell>
          <cell r="P4">
            <v>7</v>
          </cell>
          <cell r="Q4">
            <v>90</v>
          </cell>
          <cell r="S4">
            <v>0</v>
          </cell>
          <cell r="AA4">
            <v>0</v>
          </cell>
          <cell r="AC4">
            <v>0</v>
          </cell>
          <cell r="AE4" t="b">
            <v>1</v>
          </cell>
          <cell r="AG4">
            <v>0</v>
          </cell>
          <cell r="AH4">
            <v>0</v>
          </cell>
          <cell r="AL4" t="b">
            <v>1</v>
          </cell>
          <cell r="AN4">
            <v>0</v>
          </cell>
          <cell r="AO4">
            <v>0</v>
          </cell>
          <cell r="AZ4">
            <v>0</v>
          </cell>
          <cell r="BA4" t="str">
            <v xml:space="preserve"> A:A/S</v>
          </cell>
          <cell r="EX4">
            <v>0</v>
          </cell>
          <cell r="EZ4">
            <v>0</v>
          </cell>
          <cell r="FB4">
            <v>0</v>
          </cell>
          <cell r="FD4">
            <v>0</v>
          </cell>
          <cell r="FF4">
            <v>0</v>
          </cell>
          <cell r="FH4">
            <v>0</v>
          </cell>
          <cell r="FJ4">
            <v>0</v>
          </cell>
          <cell r="FL4">
            <v>0</v>
          </cell>
          <cell r="FV4">
            <v>0</v>
          </cell>
          <cell r="FX4">
            <v>0</v>
          </cell>
          <cell r="GI4">
            <v>0</v>
          </cell>
          <cell r="GJ4">
            <v>0</v>
          </cell>
          <cell r="GP4">
            <v>0</v>
          </cell>
          <cell r="GQ4">
            <v>0</v>
          </cell>
          <cell r="GS4">
            <v>0</v>
          </cell>
          <cell r="GU4">
            <v>0</v>
          </cell>
          <cell r="GX4">
            <v>0</v>
          </cell>
          <cell r="HA4">
            <v>0</v>
          </cell>
          <cell r="HC4">
            <v>0</v>
          </cell>
          <cell r="HE4">
            <v>0</v>
          </cell>
          <cell r="HG4">
            <v>0</v>
          </cell>
          <cell r="HH4">
            <v>0</v>
          </cell>
          <cell r="HJ4" t="e">
            <v>#NULL!</v>
          </cell>
          <cell r="HK4">
            <v>0</v>
          </cell>
          <cell r="HP4">
            <v>0</v>
          </cell>
          <cell r="HR4">
            <v>0</v>
          </cell>
        </row>
        <row r="5">
          <cell r="F5" t="str">
            <v xml:space="preserve"> TOTAL</v>
          </cell>
          <cell r="G5">
            <v>2584</v>
          </cell>
          <cell r="H5">
            <v>0</v>
          </cell>
          <cell r="I5">
            <v>20</v>
          </cell>
          <cell r="J5">
            <v>233</v>
          </cell>
          <cell r="K5">
            <v>266</v>
          </cell>
          <cell r="L5">
            <v>0</v>
          </cell>
          <cell r="M5">
            <v>33</v>
          </cell>
          <cell r="N5">
            <v>19</v>
          </cell>
          <cell r="O5">
            <v>211</v>
          </cell>
          <cell r="P5">
            <v>22</v>
          </cell>
          <cell r="Q5">
            <v>469</v>
          </cell>
          <cell r="R5">
            <v>539</v>
          </cell>
          <cell r="S5">
            <v>221</v>
          </cell>
          <cell r="T5">
            <v>258</v>
          </cell>
          <cell r="U5">
            <v>0</v>
          </cell>
          <cell r="V5">
            <v>0</v>
          </cell>
          <cell r="W5">
            <v>0</v>
          </cell>
          <cell r="X5">
            <v>6</v>
          </cell>
          <cell r="Y5">
            <v>0</v>
          </cell>
          <cell r="Z5">
            <v>0</v>
          </cell>
          <cell r="AA5">
            <v>0</v>
          </cell>
          <cell r="AB5">
            <v>0</v>
          </cell>
          <cell r="AC5">
            <v>30</v>
          </cell>
          <cell r="AD5">
            <v>10</v>
          </cell>
          <cell r="AE5">
            <v>0</v>
          </cell>
          <cell r="AF5">
            <v>0</v>
          </cell>
          <cell r="AG5">
            <v>0</v>
          </cell>
          <cell r="AH5">
            <v>0</v>
          </cell>
          <cell r="AI5">
            <v>66</v>
          </cell>
          <cell r="AJ5">
            <v>36</v>
          </cell>
          <cell r="AK5">
            <v>1</v>
          </cell>
          <cell r="AL5">
            <v>6</v>
          </cell>
          <cell r="AM5">
            <v>7</v>
          </cell>
          <cell r="AN5">
            <v>7</v>
          </cell>
          <cell r="AO5">
            <v>12</v>
          </cell>
          <cell r="AP5">
            <v>0</v>
          </cell>
          <cell r="AQ5">
            <v>24</v>
          </cell>
          <cell r="AR5">
            <v>12</v>
          </cell>
          <cell r="AS5">
            <v>34</v>
          </cell>
          <cell r="AT5">
            <v>0</v>
          </cell>
          <cell r="AU5">
            <v>3</v>
          </cell>
          <cell r="AV5">
            <v>0</v>
          </cell>
          <cell r="AW5">
            <v>7</v>
          </cell>
          <cell r="AX5">
            <v>0</v>
          </cell>
          <cell r="AY5">
            <v>32</v>
          </cell>
        </row>
        <row r="8">
          <cell r="A8" t="str">
            <v>차</v>
          </cell>
          <cell r="B8" t="str">
            <v>전</v>
          </cell>
          <cell r="C8" t="str">
            <v>불</v>
          </cell>
          <cell r="H8" t="str">
            <v>01</v>
          </cell>
          <cell r="I8" t="str">
            <v>02</v>
          </cell>
          <cell r="J8" t="str">
            <v>03</v>
          </cell>
          <cell r="K8" t="str">
            <v>04</v>
          </cell>
          <cell r="L8" t="str">
            <v>07</v>
          </cell>
          <cell r="M8" t="str">
            <v>11</v>
          </cell>
          <cell r="N8" t="str">
            <v>15</v>
          </cell>
          <cell r="O8" t="str">
            <v>16</v>
          </cell>
          <cell r="P8" t="str">
            <v>17</v>
          </cell>
          <cell r="Q8" t="str">
            <v>18</v>
          </cell>
          <cell r="R8" t="str">
            <v>19</v>
          </cell>
          <cell r="S8" t="str">
            <v>20</v>
          </cell>
          <cell r="T8" t="str">
            <v>21</v>
          </cell>
          <cell r="U8" t="str">
            <v>22</v>
          </cell>
          <cell r="V8" t="str">
            <v>23</v>
          </cell>
          <cell r="W8" t="str">
            <v>24</v>
          </cell>
          <cell r="X8" t="str">
            <v>25</v>
          </cell>
          <cell r="Y8" t="str">
            <v>26</v>
          </cell>
          <cell r="Z8" t="str">
            <v>27</v>
          </cell>
          <cell r="AA8" t="str">
            <v>28</v>
          </cell>
          <cell r="AB8" t="str">
            <v>29</v>
          </cell>
          <cell r="AC8">
            <v>30</v>
          </cell>
          <cell r="AD8">
            <v>31</v>
          </cell>
          <cell r="AE8">
            <v>67</v>
          </cell>
          <cell r="AF8">
            <v>68</v>
          </cell>
          <cell r="AG8">
            <v>69</v>
          </cell>
          <cell r="AH8">
            <v>73</v>
          </cell>
          <cell r="AI8">
            <v>76</v>
          </cell>
          <cell r="AJ8">
            <v>77</v>
          </cell>
          <cell r="AK8">
            <v>78</v>
          </cell>
          <cell r="AL8">
            <v>79</v>
          </cell>
          <cell r="AM8">
            <v>80</v>
          </cell>
          <cell r="AN8">
            <v>81</v>
          </cell>
          <cell r="AO8">
            <v>82</v>
          </cell>
          <cell r="AP8">
            <v>83</v>
          </cell>
          <cell r="AQ8">
            <v>84</v>
          </cell>
          <cell r="AR8">
            <v>85</v>
          </cell>
          <cell r="AS8">
            <v>86</v>
          </cell>
          <cell r="AT8">
            <v>87</v>
          </cell>
          <cell r="AU8">
            <v>88</v>
          </cell>
          <cell r="AV8">
            <v>89</v>
          </cell>
          <cell r="AW8">
            <v>90</v>
          </cell>
          <cell r="AX8">
            <v>91</v>
          </cell>
          <cell r="AY8">
            <v>92</v>
          </cell>
        </row>
        <row r="9">
          <cell r="A9" t="str">
            <v>이</v>
          </cell>
          <cell r="B9" t="str">
            <v>산</v>
          </cell>
          <cell r="C9" t="str">
            <v>출</v>
          </cell>
          <cell r="D9" t="str">
            <v>PART-</v>
          </cell>
          <cell r="E9" t="str">
            <v xml:space="preserve">  PART-</v>
          </cell>
          <cell r="H9" t="str">
            <v>STD</v>
          </cell>
          <cell r="I9" t="str">
            <v>STD</v>
          </cell>
          <cell r="J9" t="str">
            <v>EXD</v>
          </cell>
          <cell r="K9" t="str">
            <v>EXD</v>
          </cell>
          <cell r="L9" t="str">
            <v>EXD</v>
          </cell>
          <cell r="M9" t="str">
            <v>EXD</v>
          </cell>
          <cell r="N9" t="str">
            <v>EXD</v>
          </cell>
          <cell r="O9" t="str">
            <v>EXD</v>
          </cell>
          <cell r="P9" t="str">
            <v>EXD</v>
          </cell>
          <cell r="Q9" t="str">
            <v>EXD</v>
          </cell>
          <cell r="R9" t="str">
            <v>VAN</v>
          </cell>
          <cell r="S9" t="str">
            <v>EXD</v>
          </cell>
          <cell r="T9" t="str">
            <v>EXD</v>
          </cell>
          <cell r="U9" t="str">
            <v>XL</v>
          </cell>
          <cell r="V9" t="str">
            <v>XL</v>
          </cell>
          <cell r="W9" t="str">
            <v>GOLD</v>
          </cell>
          <cell r="X9" t="str">
            <v>GOLD</v>
          </cell>
          <cell r="Y9" t="str">
            <v>XL</v>
          </cell>
          <cell r="Z9" t="str">
            <v>EXD</v>
          </cell>
          <cell r="AA9" t="str">
            <v>XL</v>
          </cell>
          <cell r="AB9" t="str">
            <v>XL</v>
          </cell>
          <cell r="AC9" t="str">
            <v>STD</v>
          </cell>
          <cell r="AD9" t="str">
            <v>EXD</v>
          </cell>
          <cell r="AE9" t="str">
            <v>EXD</v>
          </cell>
          <cell r="AF9" t="str">
            <v>STD</v>
          </cell>
          <cell r="AG9" t="str">
            <v>STD</v>
          </cell>
          <cell r="AH9" t="str">
            <v>GOLD</v>
          </cell>
          <cell r="AI9" t="str">
            <v>EXD</v>
          </cell>
          <cell r="AJ9" t="str">
            <v>XL</v>
          </cell>
          <cell r="AK9" t="str">
            <v>XL</v>
          </cell>
          <cell r="AL9" t="str">
            <v>XL</v>
          </cell>
          <cell r="AM9" t="str">
            <v>XL</v>
          </cell>
          <cell r="AN9" t="str">
            <v>XL</v>
          </cell>
          <cell r="AO9" t="str">
            <v>EXD</v>
          </cell>
          <cell r="AP9" t="str">
            <v>GOLD</v>
          </cell>
          <cell r="AQ9" t="str">
            <v>XL</v>
          </cell>
          <cell r="AR9" t="str">
            <v>XL</v>
          </cell>
          <cell r="AS9" t="str">
            <v>EXD</v>
          </cell>
          <cell r="AT9" t="str">
            <v>GOLD</v>
          </cell>
          <cell r="AU9" t="str">
            <v>XL</v>
          </cell>
          <cell r="AV9" t="str">
            <v>XL</v>
          </cell>
          <cell r="AW9" t="str">
            <v>EXD</v>
          </cell>
          <cell r="AX9" t="str">
            <v>XL</v>
          </cell>
          <cell r="AY9" t="str">
            <v>XL</v>
          </cell>
        </row>
        <row r="10">
          <cell r="D10" t="str">
            <v xml:space="preserve">     NO</v>
          </cell>
          <cell r="E10" t="str">
            <v xml:space="preserve"> NAME</v>
          </cell>
          <cell r="F10" t="str">
            <v>OPT</v>
          </cell>
          <cell r="G10" t="str">
            <v>ALL</v>
          </cell>
          <cell r="H10" t="str">
            <v>SWB</v>
          </cell>
          <cell r="I10" t="str">
            <v>LWB</v>
          </cell>
          <cell r="J10" t="str">
            <v>LWB</v>
          </cell>
          <cell r="K10" t="str">
            <v>LWB</v>
          </cell>
          <cell r="L10" t="str">
            <v>SWB</v>
          </cell>
          <cell r="M10" t="str">
            <v>SWB</v>
          </cell>
          <cell r="N10" t="str">
            <v>SWB</v>
          </cell>
          <cell r="O10" t="str">
            <v>LWB</v>
          </cell>
          <cell r="P10" t="str">
            <v>SWB</v>
          </cell>
          <cell r="Q10" t="str">
            <v>LWB</v>
          </cell>
          <cell r="R10" t="str">
            <v>VAN</v>
          </cell>
          <cell r="S10" t="str">
            <v>H/R</v>
          </cell>
          <cell r="T10" t="str">
            <v>H/R</v>
          </cell>
          <cell r="U10" t="str">
            <v>SWB</v>
          </cell>
          <cell r="V10" t="str">
            <v>LWB</v>
          </cell>
          <cell r="W10" t="str">
            <v>SWB</v>
          </cell>
          <cell r="X10" t="str">
            <v>LWB</v>
          </cell>
          <cell r="Y10" t="str">
            <v>H/R</v>
          </cell>
          <cell r="Z10" t="str">
            <v>H/R</v>
          </cell>
          <cell r="AA10" t="str">
            <v>H/R</v>
          </cell>
          <cell r="AB10" t="str">
            <v>VAN</v>
          </cell>
          <cell r="AC10" t="str">
            <v>SWB</v>
          </cell>
          <cell r="AD10" t="str">
            <v>SWB</v>
          </cell>
          <cell r="AE10" t="str">
            <v>LWB</v>
          </cell>
          <cell r="AF10" t="str">
            <v>SWB</v>
          </cell>
          <cell r="AG10" t="str">
            <v>LWB</v>
          </cell>
          <cell r="AH10" t="str">
            <v>SWB</v>
          </cell>
          <cell r="AI10" t="str">
            <v>LWB</v>
          </cell>
          <cell r="AJ10" t="str">
            <v>LWB</v>
          </cell>
          <cell r="AK10" t="str">
            <v>LWB</v>
          </cell>
          <cell r="AL10" t="str">
            <v>SWB</v>
          </cell>
          <cell r="AM10" t="str">
            <v>SWB</v>
          </cell>
          <cell r="AN10" t="str">
            <v>SWB</v>
          </cell>
          <cell r="AO10" t="str">
            <v>SWB</v>
          </cell>
          <cell r="AP10" t="str">
            <v>SWB</v>
          </cell>
          <cell r="AQ10" t="str">
            <v>LWB</v>
          </cell>
          <cell r="AR10" t="str">
            <v>LWB</v>
          </cell>
          <cell r="AS10" t="str">
            <v>LWB</v>
          </cell>
          <cell r="AT10" t="str">
            <v>LWB</v>
          </cell>
          <cell r="AU10" t="str">
            <v>H/R</v>
          </cell>
          <cell r="AV10" t="str">
            <v>H/R</v>
          </cell>
          <cell r="AW10" t="str">
            <v>SWB</v>
          </cell>
          <cell r="AX10" t="str">
            <v>H/R</v>
          </cell>
          <cell r="AY10" t="str">
            <v>H/R</v>
          </cell>
          <cell r="AZ10" t="str">
            <v>SHOP</v>
          </cell>
          <cell r="BA10" t="str">
            <v>업 체</v>
          </cell>
          <cell r="BB10" t="str">
            <v>GL NO</v>
          </cell>
        </row>
        <row r="11">
          <cell r="C11">
            <v>1892</v>
          </cell>
          <cell r="D11" t="str">
            <v>HC000054</v>
          </cell>
          <cell r="E11" t="str">
            <v xml:space="preserve"> PANEL,RR END INR LWR ASSY LH</v>
          </cell>
          <cell r="I11">
            <v>1</v>
          </cell>
          <cell r="J11">
            <v>1</v>
          </cell>
          <cell r="K11">
            <v>1</v>
          </cell>
          <cell r="O11">
            <v>1</v>
          </cell>
          <cell r="Q11">
            <v>1</v>
          </cell>
          <cell r="S11">
            <v>1</v>
          </cell>
          <cell r="T11">
            <v>1</v>
          </cell>
          <cell r="V11">
            <v>1</v>
          </cell>
          <cell r="X11">
            <v>1</v>
          </cell>
          <cell r="Y11">
            <v>1</v>
          </cell>
          <cell r="Z11">
            <v>1</v>
          </cell>
          <cell r="AA11">
            <v>1</v>
          </cell>
          <cell r="AE11">
            <v>1</v>
          </cell>
          <cell r="AG11">
            <v>1</v>
          </cell>
          <cell r="AI11">
            <v>1</v>
          </cell>
          <cell r="AJ11">
            <v>1</v>
          </cell>
          <cell r="AK11">
            <v>1</v>
          </cell>
          <cell r="AQ11">
            <v>1</v>
          </cell>
          <cell r="AR11">
            <v>1</v>
          </cell>
          <cell r="AS11">
            <v>1</v>
          </cell>
          <cell r="AT11">
            <v>1</v>
          </cell>
          <cell r="AU11">
            <v>1</v>
          </cell>
          <cell r="AV11">
            <v>1</v>
          </cell>
          <cell r="AX11">
            <v>1</v>
          </cell>
          <cell r="AY11">
            <v>1</v>
          </cell>
          <cell r="AZ11" t="str">
            <v>B</v>
          </cell>
          <cell r="BA11" t="str">
            <v>세명금속</v>
          </cell>
          <cell r="BB11" t="str">
            <v>H50A17K</v>
          </cell>
          <cell r="BD11" t="str">
            <v>F716</v>
          </cell>
          <cell r="BI11">
            <v>888</v>
          </cell>
          <cell r="BJ11">
            <v>458</v>
          </cell>
          <cell r="BK11">
            <v>90</v>
          </cell>
          <cell r="BL11">
            <v>100</v>
          </cell>
          <cell r="BO11">
            <v>0</v>
          </cell>
        </row>
        <row r="12">
          <cell r="C12">
            <v>1892</v>
          </cell>
          <cell r="D12" t="str">
            <v>HC000055</v>
          </cell>
          <cell r="E12" t="str">
            <v xml:space="preserve"> PANEL,RR END INR LWR ASSY RH</v>
          </cell>
          <cell r="I12">
            <v>1</v>
          </cell>
          <cell r="J12">
            <v>1</v>
          </cell>
          <cell r="K12">
            <v>1</v>
          </cell>
          <cell r="O12">
            <v>1</v>
          </cell>
          <cell r="Q12">
            <v>1</v>
          </cell>
          <cell r="S12">
            <v>1</v>
          </cell>
          <cell r="T12">
            <v>1</v>
          </cell>
          <cell r="V12">
            <v>1</v>
          </cell>
          <cell r="X12">
            <v>1</v>
          </cell>
          <cell r="Y12">
            <v>1</v>
          </cell>
          <cell r="Z12">
            <v>1</v>
          </cell>
          <cell r="AA12">
            <v>1</v>
          </cell>
          <cell r="AE12">
            <v>1</v>
          </cell>
          <cell r="AG12">
            <v>1</v>
          </cell>
          <cell r="AI12">
            <v>1</v>
          </cell>
          <cell r="AJ12">
            <v>1</v>
          </cell>
          <cell r="AK12">
            <v>1</v>
          </cell>
          <cell r="AQ12">
            <v>1</v>
          </cell>
          <cell r="AR12">
            <v>1</v>
          </cell>
          <cell r="AS12">
            <v>1</v>
          </cell>
          <cell r="AT12">
            <v>1</v>
          </cell>
          <cell r="AU12">
            <v>1</v>
          </cell>
          <cell r="AV12">
            <v>1</v>
          </cell>
          <cell r="AX12">
            <v>1</v>
          </cell>
          <cell r="AY12">
            <v>1</v>
          </cell>
          <cell r="AZ12" t="str">
            <v>B</v>
          </cell>
          <cell r="BA12" t="str">
            <v>세명금속</v>
          </cell>
          <cell r="BB12" t="str">
            <v>H50A17K</v>
          </cell>
          <cell r="BD12" t="str">
            <v>F716</v>
          </cell>
          <cell r="BI12">
            <v>888</v>
          </cell>
          <cell r="BJ12">
            <v>458</v>
          </cell>
          <cell r="BK12">
            <v>90</v>
          </cell>
          <cell r="BL12">
            <v>100</v>
          </cell>
          <cell r="BO12">
            <v>0</v>
          </cell>
        </row>
        <row r="13">
          <cell r="C13">
            <v>692</v>
          </cell>
          <cell r="D13" t="str">
            <v>HC000161</v>
          </cell>
          <cell r="E13" t="str">
            <v xml:space="preserve"> PNL ASSY-RR END INR LWR LH</v>
          </cell>
          <cell r="H13">
            <v>1</v>
          </cell>
          <cell r="L13">
            <v>1</v>
          </cell>
          <cell r="M13">
            <v>1</v>
          </cell>
          <cell r="N13">
            <v>1</v>
          </cell>
          <cell r="P13">
            <v>1</v>
          </cell>
          <cell r="R13">
            <v>1</v>
          </cell>
          <cell r="U13">
            <v>1</v>
          </cell>
          <cell r="W13">
            <v>1</v>
          </cell>
          <cell r="AB13">
            <v>1</v>
          </cell>
          <cell r="AC13">
            <v>1</v>
          </cell>
          <cell r="AD13">
            <v>1</v>
          </cell>
          <cell r="AF13">
            <v>1</v>
          </cell>
          <cell r="AH13">
            <v>1</v>
          </cell>
          <cell r="AL13">
            <v>1</v>
          </cell>
          <cell r="AM13">
            <v>1</v>
          </cell>
          <cell r="AN13">
            <v>1</v>
          </cell>
          <cell r="AO13">
            <v>1</v>
          </cell>
          <cell r="AP13">
            <v>1</v>
          </cell>
          <cell r="AW13">
            <v>1</v>
          </cell>
          <cell r="AZ13" t="str">
            <v>B</v>
          </cell>
          <cell r="BA13" t="str">
            <v>세명금속</v>
          </cell>
          <cell r="BB13" t="str">
            <v>H50A17K</v>
          </cell>
          <cell r="BC13" t="str">
            <v>MB250901A-</v>
          </cell>
          <cell r="BD13" t="str">
            <v>F716</v>
          </cell>
          <cell r="BE13" t="str">
            <v>S/B</v>
          </cell>
          <cell r="BI13">
            <v>49</v>
          </cell>
          <cell r="BJ13">
            <v>539</v>
          </cell>
          <cell r="BK13">
            <v>28</v>
          </cell>
          <cell r="BL13">
            <v>2</v>
          </cell>
          <cell r="BO13">
            <v>0</v>
          </cell>
        </row>
        <row r="14">
          <cell r="C14">
            <v>692</v>
          </cell>
          <cell r="D14" t="str">
            <v>HC000162</v>
          </cell>
          <cell r="E14" t="str">
            <v xml:space="preserve"> PNL ASSY-RR END INR LWR RH</v>
          </cell>
          <cell r="H14">
            <v>1</v>
          </cell>
          <cell r="L14">
            <v>1</v>
          </cell>
          <cell r="M14">
            <v>1</v>
          </cell>
          <cell r="N14">
            <v>1</v>
          </cell>
          <cell r="P14">
            <v>1</v>
          </cell>
          <cell r="R14">
            <v>1</v>
          </cell>
          <cell r="U14">
            <v>1</v>
          </cell>
          <cell r="W14">
            <v>1</v>
          </cell>
          <cell r="AB14">
            <v>1</v>
          </cell>
          <cell r="AC14">
            <v>1</v>
          </cell>
          <cell r="AD14">
            <v>1</v>
          </cell>
          <cell r="AF14">
            <v>1</v>
          </cell>
          <cell r="AH14">
            <v>1</v>
          </cell>
          <cell r="AL14">
            <v>1</v>
          </cell>
          <cell r="AM14">
            <v>1</v>
          </cell>
          <cell r="AN14">
            <v>1</v>
          </cell>
          <cell r="AO14">
            <v>1</v>
          </cell>
          <cell r="AP14">
            <v>1</v>
          </cell>
          <cell r="AW14">
            <v>1</v>
          </cell>
          <cell r="AZ14" t="str">
            <v>B</v>
          </cell>
          <cell r="BA14" t="str">
            <v>세명금속</v>
          </cell>
          <cell r="BB14" t="str">
            <v>H50A17K</v>
          </cell>
          <cell r="BC14" t="str">
            <v>MB250902A-</v>
          </cell>
          <cell r="BD14" t="str">
            <v>F716</v>
          </cell>
          <cell r="BE14" t="str">
            <v>S/B</v>
          </cell>
          <cell r="BI14">
            <v>49</v>
          </cell>
          <cell r="BJ14">
            <v>539</v>
          </cell>
          <cell r="BK14">
            <v>28</v>
          </cell>
          <cell r="BL14">
            <v>2</v>
          </cell>
          <cell r="BO14">
            <v>0</v>
          </cell>
        </row>
        <row r="15">
          <cell r="C15">
            <v>1892</v>
          </cell>
          <cell r="D15" t="str">
            <v>HQ505141</v>
          </cell>
          <cell r="E15" t="str">
            <v xml:space="preserve"> SILL,SIDE INR LH</v>
          </cell>
          <cell r="I15">
            <v>1</v>
          </cell>
          <cell r="J15">
            <v>1</v>
          </cell>
          <cell r="K15">
            <v>1</v>
          </cell>
          <cell r="O15">
            <v>1</v>
          </cell>
          <cell r="Q15">
            <v>1</v>
          </cell>
          <cell r="S15">
            <v>1</v>
          </cell>
          <cell r="T15">
            <v>1</v>
          </cell>
          <cell r="V15">
            <v>1</v>
          </cell>
          <cell r="X15">
            <v>1</v>
          </cell>
          <cell r="Y15">
            <v>1</v>
          </cell>
          <cell r="Z15">
            <v>1</v>
          </cell>
          <cell r="AA15">
            <v>1</v>
          </cell>
          <cell r="AE15">
            <v>1</v>
          </cell>
          <cell r="AG15">
            <v>1</v>
          </cell>
          <cell r="AI15">
            <v>1</v>
          </cell>
          <cell r="AJ15">
            <v>1</v>
          </cell>
          <cell r="AK15">
            <v>1</v>
          </cell>
          <cell r="AQ15">
            <v>1</v>
          </cell>
          <cell r="AR15">
            <v>1</v>
          </cell>
          <cell r="AS15">
            <v>1</v>
          </cell>
          <cell r="AT15">
            <v>1</v>
          </cell>
          <cell r="AU15">
            <v>1</v>
          </cell>
          <cell r="AV15">
            <v>1</v>
          </cell>
          <cell r="AX15">
            <v>1</v>
          </cell>
          <cell r="AY15">
            <v>1</v>
          </cell>
          <cell r="AZ15" t="str">
            <v>B</v>
          </cell>
          <cell r="BA15" t="str">
            <v>세명금속</v>
          </cell>
          <cell r="BB15" t="str">
            <v>H50A11K</v>
          </cell>
          <cell r="BC15" t="str">
            <v>HC000003A</v>
          </cell>
          <cell r="BD15" t="str">
            <v>F716</v>
          </cell>
          <cell r="BI15">
            <v>888</v>
          </cell>
          <cell r="BJ15">
            <v>458</v>
          </cell>
          <cell r="BK15">
            <v>90</v>
          </cell>
          <cell r="BL15">
            <v>100</v>
          </cell>
          <cell r="BO15">
            <v>0</v>
          </cell>
        </row>
        <row r="16">
          <cell r="C16">
            <v>1892</v>
          </cell>
          <cell r="D16" t="str">
            <v>HQ505142</v>
          </cell>
          <cell r="E16" t="str">
            <v xml:space="preserve"> SILL,SIDE INR RH</v>
          </cell>
          <cell r="I16">
            <v>1</v>
          </cell>
          <cell r="J16">
            <v>1</v>
          </cell>
          <cell r="K16">
            <v>1</v>
          </cell>
          <cell r="O16">
            <v>1</v>
          </cell>
          <cell r="Q16">
            <v>1</v>
          </cell>
          <cell r="S16">
            <v>1</v>
          </cell>
          <cell r="T16">
            <v>1</v>
          </cell>
          <cell r="V16">
            <v>1</v>
          </cell>
          <cell r="X16">
            <v>1</v>
          </cell>
          <cell r="Y16">
            <v>1</v>
          </cell>
          <cell r="Z16">
            <v>1</v>
          </cell>
          <cell r="AA16">
            <v>1</v>
          </cell>
          <cell r="AE16">
            <v>1</v>
          </cell>
          <cell r="AG16">
            <v>1</v>
          </cell>
          <cell r="AI16">
            <v>1</v>
          </cell>
          <cell r="AJ16">
            <v>1</v>
          </cell>
          <cell r="AK16">
            <v>1</v>
          </cell>
          <cell r="AQ16">
            <v>1</v>
          </cell>
          <cell r="AR16">
            <v>1</v>
          </cell>
          <cell r="AS16">
            <v>1</v>
          </cell>
          <cell r="AT16">
            <v>1</v>
          </cell>
          <cell r="AU16">
            <v>1</v>
          </cell>
          <cell r="AV16">
            <v>1</v>
          </cell>
          <cell r="AX16">
            <v>1</v>
          </cell>
          <cell r="AY16">
            <v>1</v>
          </cell>
          <cell r="AZ16" t="str">
            <v>B</v>
          </cell>
          <cell r="BA16" t="str">
            <v>세명금속</v>
          </cell>
          <cell r="BB16" t="str">
            <v>H50A11K</v>
          </cell>
          <cell r="BC16" t="str">
            <v>HC000004A</v>
          </cell>
          <cell r="BD16" t="str">
            <v>F716</v>
          </cell>
          <cell r="BI16">
            <v>888</v>
          </cell>
          <cell r="BJ16">
            <v>458</v>
          </cell>
          <cell r="BK16">
            <v>90</v>
          </cell>
          <cell r="BL16">
            <v>100</v>
          </cell>
          <cell r="BO16">
            <v>0</v>
          </cell>
        </row>
        <row r="17">
          <cell r="C17">
            <v>1995</v>
          </cell>
          <cell r="D17" t="str">
            <v>HQ505653</v>
          </cell>
          <cell r="E17" t="str">
            <v xml:space="preserve"> PLR FR INR UPR LH</v>
          </cell>
          <cell r="J17">
            <v>1</v>
          </cell>
          <cell r="K17">
            <v>1</v>
          </cell>
          <cell r="L17">
            <v>1</v>
          </cell>
          <cell r="M17">
            <v>1</v>
          </cell>
          <cell r="N17">
            <v>1</v>
          </cell>
          <cell r="O17">
            <v>1</v>
          </cell>
          <cell r="P17">
            <v>1</v>
          </cell>
          <cell r="Q17">
            <v>1</v>
          </cell>
          <cell r="S17">
            <v>1</v>
          </cell>
          <cell r="T17">
            <v>1</v>
          </cell>
          <cell r="U17">
            <v>1</v>
          </cell>
          <cell r="V17">
            <v>1</v>
          </cell>
          <cell r="W17">
            <v>1</v>
          </cell>
          <cell r="X17">
            <v>1</v>
          </cell>
          <cell r="Y17">
            <v>1</v>
          </cell>
          <cell r="Z17">
            <v>1</v>
          </cell>
          <cell r="AA17">
            <v>1</v>
          </cell>
          <cell r="AD17">
            <v>1</v>
          </cell>
          <cell r="AE17">
            <v>1</v>
          </cell>
          <cell r="AH17">
            <v>1</v>
          </cell>
          <cell r="AI17">
            <v>1</v>
          </cell>
          <cell r="AJ17">
            <v>1</v>
          </cell>
          <cell r="AK17">
            <v>1</v>
          </cell>
          <cell r="AL17">
            <v>1</v>
          </cell>
          <cell r="AM17">
            <v>1</v>
          </cell>
          <cell r="AN17">
            <v>1</v>
          </cell>
          <cell r="AO17">
            <v>1</v>
          </cell>
          <cell r="AP17">
            <v>1</v>
          </cell>
          <cell r="AQ17">
            <v>1</v>
          </cell>
          <cell r="AR17">
            <v>1</v>
          </cell>
          <cell r="AS17">
            <v>1</v>
          </cell>
          <cell r="AT17">
            <v>1</v>
          </cell>
          <cell r="AU17">
            <v>1</v>
          </cell>
          <cell r="AV17">
            <v>1</v>
          </cell>
          <cell r="AW17">
            <v>1</v>
          </cell>
          <cell r="AX17">
            <v>1</v>
          </cell>
          <cell r="AY17">
            <v>1</v>
          </cell>
          <cell r="AZ17" t="str">
            <v>B</v>
          </cell>
          <cell r="BA17" t="str">
            <v>세명금속</v>
          </cell>
          <cell r="BB17" t="str">
            <v>H50A16K</v>
          </cell>
          <cell r="BC17" t="str">
            <v>MB275624A</v>
          </cell>
          <cell r="BD17" t="str">
            <v>F716</v>
          </cell>
          <cell r="BI17">
            <v>917</v>
          </cell>
          <cell r="BJ17">
            <v>458</v>
          </cell>
          <cell r="BK17">
            <v>118</v>
          </cell>
          <cell r="BL17">
            <v>102</v>
          </cell>
          <cell r="BO17">
            <v>0</v>
          </cell>
        </row>
        <row r="18">
          <cell r="C18">
            <v>1950</v>
          </cell>
          <cell r="D18" t="str">
            <v>HQ505654</v>
          </cell>
          <cell r="E18" t="str">
            <v xml:space="preserve"> PLR FR INR UPR RH</v>
          </cell>
          <cell r="J18">
            <v>1</v>
          </cell>
          <cell r="K18">
            <v>1</v>
          </cell>
          <cell r="L18">
            <v>1</v>
          </cell>
          <cell r="M18">
            <v>1</v>
          </cell>
          <cell r="N18">
            <v>1</v>
          </cell>
          <cell r="O18">
            <v>1</v>
          </cell>
          <cell r="P18">
            <v>1</v>
          </cell>
          <cell r="Q18">
            <v>1</v>
          </cell>
          <cell r="S18">
            <v>1</v>
          </cell>
          <cell r="T18">
            <v>1</v>
          </cell>
          <cell r="U18">
            <v>1</v>
          </cell>
          <cell r="V18">
            <v>1</v>
          </cell>
          <cell r="W18">
            <v>1</v>
          </cell>
          <cell r="X18">
            <v>1</v>
          </cell>
          <cell r="Y18">
            <v>1</v>
          </cell>
          <cell r="Z18">
            <v>1</v>
          </cell>
          <cell r="AA18">
            <v>1</v>
          </cell>
          <cell r="AD18">
            <v>1</v>
          </cell>
          <cell r="AE18">
            <v>1</v>
          </cell>
          <cell r="AH18">
            <v>1</v>
          </cell>
          <cell r="AI18">
            <v>1</v>
          </cell>
          <cell r="AJ18">
            <v>1</v>
          </cell>
          <cell r="AL18">
            <v>1</v>
          </cell>
          <cell r="AM18">
            <v>1</v>
          </cell>
          <cell r="AN18">
            <v>1</v>
          </cell>
          <cell r="AO18">
            <v>1</v>
          </cell>
          <cell r="AP18">
            <v>1</v>
          </cell>
          <cell r="AQ18">
            <v>1</v>
          </cell>
          <cell r="AS18">
            <v>1</v>
          </cell>
          <cell r="AT18">
            <v>1</v>
          </cell>
          <cell r="AU18">
            <v>1</v>
          </cell>
          <cell r="AV18">
            <v>1</v>
          </cell>
          <cell r="AW18">
            <v>1</v>
          </cell>
          <cell r="AZ18" t="str">
            <v>B</v>
          </cell>
          <cell r="BA18" t="str">
            <v>세명금속</v>
          </cell>
          <cell r="BB18" t="str">
            <v>H50A16K</v>
          </cell>
          <cell r="BC18" t="str">
            <v>MB275625A</v>
          </cell>
          <cell r="BD18" t="str">
            <v>F716</v>
          </cell>
          <cell r="BI18">
            <v>917</v>
          </cell>
          <cell r="BJ18">
            <v>458</v>
          </cell>
          <cell r="BK18">
            <v>117</v>
          </cell>
          <cell r="BL18">
            <v>58</v>
          </cell>
          <cell r="BO18">
            <v>0</v>
          </cell>
        </row>
        <row r="19">
          <cell r="C19">
            <v>2337</v>
          </cell>
          <cell r="D19" t="str">
            <v>HQ505657</v>
          </cell>
          <cell r="E19" t="str">
            <v xml:space="preserve"> PLR ASSY FR INR LWR LH</v>
          </cell>
          <cell r="H19">
            <v>1</v>
          </cell>
          <cell r="I19">
            <v>1</v>
          </cell>
          <cell r="J19">
            <v>1</v>
          </cell>
          <cell r="K19">
            <v>1</v>
          </cell>
          <cell r="L19">
            <v>1</v>
          </cell>
          <cell r="M19">
            <v>1</v>
          </cell>
          <cell r="N19">
            <v>1</v>
          </cell>
          <cell r="O19">
            <v>1</v>
          </cell>
          <cell r="P19">
            <v>1</v>
          </cell>
          <cell r="Q19">
            <v>1</v>
          </cell>
          <cell r="R19">
            <v>1</v>
          </cell>
          <cell r="S19">
            <v>1</v>
          </cell>
          <cell r="T19">
            <v>1</v>
          </cell>
          <cell r="U19">
            <v>1</v>
          </cell>
          <cell r="V19">
            <v>1</v>
          </cell>
          <cell r="W19">
            <v>1</v>
          </cell>
          <cell r="X19">
            <v>1</v>
          </cell>
          <cell r="Y19">
            <v>1</v>
          </cell>
          <cell r="Z19">
            <v>1</v>
          </cell>
          <cell r="AA19">
            <v>1</v>
          </cell>
          <cell r="AB19">
            <v>1</v>
          </cell>
          <cell r="AC19">
            <v>1</v>
          </cell>
          <cell r="AD19">
            <v>1</v>
          </cell>
          <cell r="AZ19" t="str">
            <v>B</v>
          </cell>
          <cell r="BA19" t="str">
            <v>세명금속</v>
          </cell>
          <cell r="BB19" t="str">
            <v>H50A16K</v>
          </cell>
          <cell r="BC19" t="str">
            <v>HC000061B</v>
          </cell>
          <cell r="BD19" t="str">
            <v>F716</v>
          </cell>
          <cell r="BI19">
            <v>937</v>
          </cell>
          <cell r="BJ19">
            <v>997</v>
          </cell>
          <cell r="BK19">
            <v>0</v>
          </cell>
          <cell r="BL19">
            <v>0</v>
          </cell>
          <cell r="BO19">
            <v>0</v>
          </cell>
        </row>
        <row r="20">
          <cell r="C20">
            <v>1311</v>
          </cell>
          <cell r="D20" t="str">
            <v>HQ505668</v>
          </cell>
          <cell r="E20" t="str">
            <v xml:space="preserve"> PLR ASSY FR INR LWR RH</v>
          </cell>
          <cell r="F20" t="str">
            <v>-661B,-651A</v>
          </cell>
          <cell r="H20">
            <v>1</v>
          </cell>
          <cell r="I20">
            <v>1</v>
          </cell>
          <cell r="J20">
            <v>1</v>
          </cell>
          <cell r="L20">
            <v>1</v>
          </cell>
          <cell r="R20">
            <v>1</v>
          </cell>
          <cell r="S20">
            <v>1</v>
          </cell>
          <cell r="T20">
            <v>1</v>
          </cell>
          <cell r="U20">
            <v>1</v>
          </cell>
          <cell r="V20">
            <v>1</v>
          </cell>
          <cell r="Y20">
            <v>1</v>
          </cell>
          <cell r="AA20">
            <v>1</v>
          </cell>
          <cell r="AB20">
            <v>1</v>
          </cell>
          <cell r="AC20">
            <v>1</v>
          </cell>
          <cell r="AD20">
            <v>1</v>
          </cell>
          <cell r="AZ20" t="str">
            <v>B</v>
          </cell>
          <cell r="BA20" t="str">
            <v>세명금속</v>
          </cell>
          <cell r="BB20" t="str">
            <v>H50A16K</v>
          </cell>
          <cell r="BD20" t="str">
            <v>F716</v>
          </cell>
          <cell r="BI20">
            <v>253</v>
          </cell>
          <cell r="BJ20">
            <v>995</v>
          </cell>
          <cell r="BK20">
            <v>0</v>
          </cell>
          <cell r="BL20">
            <v>0</v>
          </cell>
          <cell r="BO20">
            <v>0</v>
          </cell>
        </row>
        <row r="21">
          <cell r="C21">
            <v>1036</v>
          </cell>
          <cell r="D21" t="str">
            <v>HQ505688</v>
          </cell>
          <cell r="E21" t="str">
            <v xml:space="preserve"> PLR ASSY-FR INR LWR RH</v>
          </cell>
          <cell r="F21" t="str">
            <v>+661B</v>
          </cell>
          <cell r="K21">
            <v>1</v>
          </cell>
          <cell r="M21">
            <v>1</v>
          </cell>
          <cell r="N21">
            <v>1</v>
          </cell>
          <cell r="O21">
            <v>1</v>
          </cell>
          <cell r="P21">
            <v>1</v>
          </cell>
          <cell r="Q21">
            <v>1</v>
          </cell>
          <cell r="W21">
            <v>1</v>
          </cell>
          <cell r="X21">
            <v>1</v>
          </cell>
          <cell r="Z21">
            <v>1</v>
          </cell>
          <cell r="AD21">
            <v>1</v>
          </cell>
          <cell r="AZ21" t="str">
            <v>B</v>
          </cell>
          <cell r="BA21" t="str">
            <v>세명금속</v>
          </cell>
          <cell r="BB21" t="str">
            <v>H50A16K</v>
          </cell>
          <cell r="BC21" t="str">
            <v>HC000116D</v>
          </cell>
          <cell r="BD21" t="str">
            <v>F716</v>
          </cell>
          <cell r="BI21">
            <v>684</v>
          </cell>
          <cell r="BJ21">
            <v>2</v>
          </cell>
          <cell r="BK21">
            <v>0</v>
          </cell>
          <cell r="BL21">
            <v>0</v>
          </cell>
          <cell r="BO21">
            <v>0</v>
          </cell>
        </row>
        <row r="22">
          <cell r="C22">
            <v>589</v>
          </cell>
          <cell r="D22" t="str">
            <v>MB250317A</v>
          </cell>
          <cell r="E22" t="str">
            <v xml:space="preserve"> PILLAR FR INR UPR LH</v>
          </cell>
          <cell r="H22">
            <v>1</v>
          </cell>
          <cell r="I22">
            <v>1</v>
          </cell>
          <cell r="R22">
            <v>1</v>
          </cell>
          <cell r="AB22">
            <v>1</v>
          </cell>
          <cell r="AC22">
            <v>1</v>
          </cell>
          <cell r="AF22">
            <v>1</v>
          </cell>
          <cell r="AG22">
            <v>1</v>
          </cell>
          <cell r="AZ22" t="str">
            <v>B</v>
          </cell>
          <cell r="BA22" t="str">
            <v>세명금속</v>
          </cell>
          <cell r="BB22" t="str">
            <v>H50A16K</v>
          </cell>
          <cell r="BC22" t="str">
            <v>LINE H/ROOF미적용</v>
          </cell>
          <cell r="BD22" t="str">
            <v>F716</v>
          </cell>
          <cell r="BE22" t="str">
            <v>STD,H/R</v>
          </cell>
          <cell r="BI22">
            <v>20</v>
          </cell>
          <cell r="BJ22">
            <v>539</v>
          </cell>
          <cell r="BK22">
            <v>0</v>
          </cell>
          <cell r="BL22">
            <v>0</v>
          </cell>
          <cell r="BO22">
            <v>0</v>
          </cell>
        </row>
        <row r="23">
          <cell r="C23">
            <v>589</v>
          </cell>
          <cell r="D23" t="str">
            <v>MB250318A</v>
          </cell>
          <cell r="E23" t="str">
            <v xml:space="preserve"> PILLAR FR INR UPR RH</v>
          </cell>
          <cell r="H23">
            <v>1</v>
          </cell>
          <cell r="I23">
            <v>1</v>
          </cell>
          <cell r="R23">
            <v>1</v>
          </cell>
          <cell r="AB23">
            <v>1</v>
          </cell>
          <cell r="AC23">
            <v>1</v>
          </cell>
          <cell r="AF23">
            <v>1</v>
          </cell>
          <cell r="AG23">
            <v>1</v>
          </cell>
          <cell r="AZ23" t="str">
            <v>B</v>
          </cell>
          <cell r="BA23" t="str">
            <v>세명금속</v>
          </cell>
          <cell r="BB23" t="str">
            <v>H50A16K</v>
          </cell>
          <cell r="BC23" t="str">
            <v xml:space="preserve"> 〃(KICK UP JOB#1)</v>
          </cell>
          <cell r="BD23" t="str">
            <v>F716</v>
          </cell>
          <cell r="BE23" t="str">
            <v>STD,H/R</v>
          </cell>
          <cell r="BI23">
            <v>20</v>
          </cell>
          <cell r="BJ23">
            <v>539</v>
          </cell>
          <cell r="BK23">
            <v>0</v>
          </cell>
          <cell r="BL23">
            <v>0</v>
          </cell>
          <cell r="BO23">
            <v>0</v>
          </cell>
        </row>
        <row r="24">
          <cell r="C24">
            <v>2584</v>
          </cell>
          <cell r="D24" t="str">
            <v>MB250413A</v>
          </cell>
          <cell r="E24" t="str">
            <v xml:space="preserve"> REINF,RR END PANEL LH</v>
          </cell>
          <cell r="G24">
            <v>1</v>
          </cell>
          <cell r="AZ24" t="str">
            <v>B</v>
          </cell>
          <cell r="BA24" t="str">
            <v>세명금속</v>
          </cell>
          <cell r="BB24" t="str">
            <v>H50A17K</v>
          </cell>
          <cell r="BD24" t="str">
            <v>F716</v>
          </cell>
          <cell r="BE24" t="str">
            <v>ALL</v>
          </cell>
          <cell r="BI24">
            <v>0</v>
          </cell>
          <cell r="BJ24">
            <v>0</v>
          </cell>
          <cell r="BK24">
            <v>0</v>
          </cell>
          <cell r="BL24">
            <v>0</v>
          </cell>
          <cell r="BO24">
            <v>0</v>
          </cell>
        </row>
        <row r="25">
          <cell r="C25">
            <v>2584</v>
          </cell>
          <cell r="D25" t="str">
            <v>MB250416A</v>
          </cell>
          <cell r="E25" t="str">
            <v xml:space="preserve"> REINF,RR END PANEL RH</v>
          </cell>
          <cell r="G25">
            <v>1</v>
          </cell>
          <cell r="AZ25" t="str">
            <v>B</v>
          </cell>
          <cell r="BA25" t="str">
            <v>세명금속</v>
          </cell>
          <cell r="BB25" t="str">
            <v>H50A17K</v>
          </cell>
          <cell r="BD25" t="str">
            <v>F716</v>
          </cell>
          <cell r="BE25" t="str">
            <v>ALL</v>
          </cell>
          <cell r="BI25">
            <v>0</v>
          </cell>
          <cell r="BJ25">
            <v>0</v>
          </cell>
          <cell r="BK25">
            <v>0</v>
          </cell>
          <cell r="BL25">
            <v>0</v>
          </cell>
          <cell r="BO25">
            <v>0</v>
          </cell>
        </row>
        <row r="26">
          <cell r="C26">
            <v>692</v>
          </cell>
          <cell r="D26" t="str">
            <v>MB250457A</v>
          </cell>
          <cell r="E26" t="str">
            <v xml:space="preserve"> PANEL,SIDE INR LWR LH</v>
          </cell>
          <cell r="H26">
            <v>1</v>
          </cell>
          <cell r="L26">
            <v>1</v>
          </cell>
          <cell r="M26">
            <v>1</v>
          </cell>
          <cell r="N26">
            <v>1</v>
          </cell>
          <cell r="P26">
            <v>1</v>
          </cell>
          <cell r="R26">
            <v>1</v>
          </cell>
          <cell r="U26">
            <v>1</v>
          </cell>
          <cell r="W26">
            <v>1</v>
          </cell>
          <cell r="AB26">
            <v>1</v>
          </cell>
          <cell r="AC26">
            <v>1</v>
          </cell>
          <cell r="AD26">
            <v>1</v>
          </cell>
          <cell r="AF26">
            <v>1</v>
          </cell>
          <cell r="AH26">
            <v>1</v>
          </cell>
          <cell r="AL26">
            <v>1</v>
          </cell>
          <cell r="AM26">
            <v>1</v>
          </cell>
          <cell r="AN26">
            <v>1</v>
          </cell>
          <cell r="AO26">
            <v>1</v>
          </cell>
          <cell r="AP26">
            <v>1</v>
          </cell>
          <cell r="AW26">
            <v>1</v>
          </cell>
          <cell r="AZ26" t="str">
            <v>B</v>
          </cell>
          <cell r="BA26" t="str">
            <v>세명금속</v>
          </cell>
          <cell r="BB26" t="str">
            <v>H50A17K</v>
          </cell>
          <cell r="BD26" t="str">
            <v>F716</v>
          </cell>
          <cell r="BE26" t="str">
            <v>S/B</v>
          </cell>
          <cell r="BI26">
            <v>49</v>
          </cell>
          <cell r="BJ26">
            <v>539</v>
          </cell>
          <cell r="BK26">
            <v>28</v>
          </cell>
          <cell r="BL26">
            <v>2</v>
          </cell>
          <cell r="BO26">
            <v>0</v>
          </cell>
        </row>
        <row r="27">
          <cell r="C27">
            <v>692</v>
          </cell>
          <cell r="D27" t="str">
            <v>MB250458A</v>
          </cell>
          <cell r="E27" t="str">
            <v xml:space="preserve"> PANEL,SIDE,INR LWR RH</v>
          </cell>
          <cell r="H27">
            <v>1</v>
          </cell>
          <cell r="L27">
            <v>1</v>
          </cell>
          <cell r="M27">
            <v>1</v>
          </cell>
          <cell r="N27">
            <v>1</v>
          </cell>
          <cell r="P27">
            <v>1</v>
          </cell>
          <cell r="R27">
            <v>1</v>
          </cell>
          <cell r="U27">
            <v>1</v>
          </cell>
          <cell r="W27">
            <v>1</v>
          </cell>
          <cell r="AB27">
            <v>1</v>
          </cell>
          <cell r="AC27">
            <v>1</v>
          </cell>
          <cell r="AD27">
            <v>1</v>
          </cell>
          <cell r="AF27">
            <v>1</v>
          </cell>
          <cell r="AH27">
            <v>1</v>
          </cell>
          <cell r="AL27">
            <v>1</v>
          </cell>
          <cell r="AM27">
            <v>1</v>
          </cell>
          <cell r="AN27">
            <v>1</v>
          </cell>
          <cell r="AO27">
            <v>1</v>
          </cell>
          <cell r="AP27">
            <v>1</v>
          </cell>
          <cell r="AW27">
            <v>1</v>
          </cell>
          <cell r="AZ27" t="str">
            <v>B</v>
          </cell>
          <cell r="BA27" t="str">
            <v>세명금속</v>
          </cell>
          <cell r="BB27" t="str">
            <v>H50A17K</v>
          </cell>
          <cell r="BD27" t="str">
            <v>F716</v>
          </cell>
          <cell r="BE27" t="str">
            <v>S/B</v>
          </cell>
          <cell r="BI27">
            <v>49</v>
          </cell>
          <cell r="BJ27">
            <v>539</v>
          </cell>
          <cell r="BK27">
            <v>28</v>
          </cell>
          <cell r="BL27">
            <v>2</v>
          </cell>
          <cell r="BO27">
            <v>0</v>
          </cell>
        </row>
        <row r="28">
          <cell r="C28">
            <v>2454</v>
          </cell>
          <cell r="D28" t="str">
            <v>MB250487A</v>
          </cell>
          <cell r="E28" t="str">
            <v xml:space="preserve"> PANEL ASSY COWL TOP FR</v>
          </cell>
          <cell r="H28">
            <v>1</v>
          </cell>
          <cell r="I28">
            <v>1</v>
          </cell>
          <cell r="J28">
            <v>1</v>
          </cell>
          <cell r="K28">
            <v>1</v>
          </cell>
          <cell r="L28">
            <v>1</v>
          </cell>
          <cell r="M28">
            <v>1</v>
          </cell>
          <cell r="N28">
            <v>1</v>
          </cell>
          <cell r="O28">
            <v>1</v>
          </cell>
          <cell r="P28">
            <v>1</v>
          </cell>
          <cell r="Q28">
            <v>1</v>
          </cell>
          <cell r="R28">
            <v>1</v>
          </cell>
          <cell r="S28">
            <v>1</v>
          </cell>
          <cell r="T28">
            <v>1</v>
          </cell>
          <cell r="U28">
            <v>1</v>
          </cell>
          <cell r="V28">
            <v>1</v>
          </cell>
          <cell r="Y28">
            <v>1</v>
          </cell>
          <cell r="Z28">
            <v>1</v>
          </cell>
          <cell r="AA28">
            <v>1</v>
          </cell>
          <cell r="AB28">
            <v>1</v>
          </cell>
          <cell r="AC28">
            <v>1</v>
          </cell>
          <cell r="AD28">
            <v>1</v>
          </cell>
          <cell r="AF28">
            <v>1</v>
          </cell>
          <cell r="AG28">
            <v>1</v>
          </cell>
          <cell r="AJ28">
            <v>1</v>
          </cell>
          <cell r="AK28">
            <v>1</v>
          </cell>
          <cell r="AL28">
            <v>1</v>
          </cell>
          <cell r="AM28">
            <v>1</v>
          </cell>
          <cell r="AO28">
            <v>1</v>
          </cell>
          <cell r="AQ28">
            <v>1</v>
          </cell>
          <cell r="AS28">
            <v>1</v>
          </cell>
          <cell r="AU28">
            <v>1</v>
          </cell>
          <cell r="AV28">
            <v>1</v>
          </cell>
          <cell r="AX28">
            <v>1</v>
          </cell>
          <cell r="AZ28" t="str">
            <v>B</v>
          </cell>
          <cell r="BA28" t="str">
            <v>세명금속</v>
          </cell>
          <cell r="BB28" t="str">
            <v>H50A18K</v>
          </cell>
          <cell r="BC28" t="str">
            <v>MB591512</v>
          </cell>
          <cell r="BD28" t="str">
            <v>F716</v>
          </cell>
          <cell r="BI28">
            <v>937</v>
          </cell>
          <cell r="BJ28">
            <v>995</v>
          </cell>
          <cell r="BK28">
            <v>58</v>
          </cell>
          <cell r="BL28">
            <v>56</v>
          </cell>
          <cell r="BO28">
            <v>0</v>
          </cell>
        </row>
        <row r="29">
          <cell r="C29">
            <v>589</v>
          </cell>
          <cell r="D29" t="str">
            <v>MB250877A</v>
          </cell>
          <cell r="E29" t="str">
            <v xml:space="preserve"> PANEL,RR END INR UPR LH삭제</v>
          </cell>
          <cell r="H29">
            <v>1</v>
          </cell>
          <cell r="I29">
            <v>1</v>
          </cell>
          <cell r="R29">
            <v>1</v>
          </cell>
          <cell r="AB29">
            <v>1</v>
          </cell>
          <cell r="AC29">
            <v>1</v>
          </cell>
          <cell r="AF29">
            <v>1</v>
          </cell>
          <cell r="AG29">
            <v>1</v>
          </cell>
          <cell r="AZ29" t="str">
            <v>B</v>
          </cell>
          <cell r="BA29" t="str">
            <v>세명금속</v>
          </cell>
          <cell r="BB29" t="str">
            <v>H50A17K</v>
          </cell>
          <cell r="BC29" t="str">
            <v>MB591375A,H/R삭제</v>
          </cell>
          <cell r="BD29" t="str">
            <v>F716</v>
          </cell>
          <cell r="BE29" t="str">
            <v>S/B</v>
          </cell>
          <cell r="BI29">
            <v>20</v>
          </cell>
          <cell r="BJ29">
            <v>539</v>
          </cell>
          <cell r="BK29">
            <v>0</v>
          </cell>
          <cell r="BL29">
            <v>0</v>
          </cell>
          <cell r="BO29">
            <v>0</v>
          </cell>
        </row>
        <row r="30">
          <cell r="C30">
            <v>589</v>
          </cell>
          <cell r="D30" t="str">
            <v>MB250878A</v>
          </cell>
          <cell r="E30" t="str">
            <v xml:space="preserve"> PANEL,RR END,INR UPR RH삭제</v>
          </cell>
          <cell r="H30">
            <v>1</v>
          </cell>
          <cell r="I30">
            <v>1</v>
          </cell>
          <cell r="R30">
            <v>1</v>
          </cell>
          <cell r="AB30">
            <v>1</v>
          </cell>
          <cell r="AC30">
            <v>1</v>
          </cell>
          <cell r="AF30">
            <v>1</v>
          </cell>
          <cell r="AG30">
            <v>1</v>
          </cell>
          <cell r="AZ30" t="str">
            <v>B</v>
          </cell>
          <cell r="BA30" t="str">
            <v>세명금속</v>
          </cell>
          <cell r="BB30" t="str">
            <v>H50A17K</v>
          </cell>
          <cell r="BC30" t="str">
            <v>MB591376A,K/UPJB#1</v>
          </cell>
          <cell r="BD30" t="str">
            <v>F716</v>
          </cell>
          <cell r="BE30" t="str">
            <v>S/B</v>
          </cell>
          <cell r="BI30">
            <v>20</v>
          </cell>
          <cell r="BJ30">
            <v>539</v>
          </cell>
          <cell r="BK30">
            <v>0</v>
          </cell>
          <cell r="BL30">
            <v>0</v>
          </cell>
          <cell r="BO30">
            <v>0</v>
          </cell>
        </row>
        <row r="31">
          <cell r="C31">
            <v>1892</v>
          </cell>
          <cell r="D31" t="str">
            <v>MB275061A</v>
          </cell>
          <cell r="E31" t="str">
            <v xml:space="preserve"> PLATE,CTR PILLAR LH</v>
          </cell>
          <cell r="I31">
            <v>1</v>
          </cell>
          <cell r="J31">
            <v>1</v>
          </cell>
          <cell r="K31">
            <v>1</v>
          </cell>
          <cell r="O31">
            <v>1</v>
          </cell>
          <cell r="Q31">
            <v>1</v>
          </cell>
          <cell r="S31">
            <v>1</v>
          </cell>
          <cell r="T31">
            <v>1</v>
          </cell>
          <cell r="V31">
            <v>1</v>
          </cell>
          <cell r="X31">
            <v>1</v>
          </cell>
          <cell r="Y31">
            <v>1</v>
          </cell>
          <cell r="Z31">
            <v>1</v>
          </cell>
          <cell r="AA31">
            <v>1</v>
          </cell>
          <cell r="AE31">
            <v>1</v>
          </cell>
          <cell r="AG31">
            <v>1</v>
          </cell>
          <cell r="AI31">
            <v>1</v>
          </cell>
          <cell r="AJ31">
            <v>1</v>
          </cell>
          <cell r="AK31">
            <v>1</v>
          </cell>
          <cell r="AQ31">
            <v>1</v>
          </cell>
          <cell r="AR31">
            <v>1</v>
          </cell>
          <cell r="AS31">
            <v>1</v>
          </cell>
          <cell r="AT31">
            <v>1</v>
          </cell>
          <cell r="AU31">
            <v>1</v>
          </cell>
          <cell r="AV31">
            <v>1</v>
          </cell>
          <cell r="AX31">
            <v>1</v>
          </cell>
          <cell r="AY31">
            <v>1</v>
          </cell>
          <cell r="AZ31" t="str">
            <v>B</v>
          </cell>
          <cell r="BA31" t="str">
            <v>세명금속</v>
          </cell>
          <cell r="BB31" t="str">
            <v>H50A17K</v>
          </cell>
          <cell r="BD31" t="str">
            <v>F716</v>
          </cell>
          <cell r="BI31">
            <v>888</v>
          </cell>
          <cell r="BJ31">
            <v>458</v>
          </cell>
          <cell r="BK31">
            <v>90</v>
          </cell>
          <cell r="BL31">
            <v>100</v>
          </cell>
          <cell r="BO31">
            <v>0</v>
          </cell>
        </row>
        <row r="32">
          <cell r="C32">
            <v>1892</v>
          </cell>
          <cell r="D32" t="str">
            <v>MB275062</v>
          </cell>
          <cell r="E32" t="str">
            <v xml:space="preserve"> PLATE,CTR PILLAR RH</v>
          </cell>
          <cell r="I32">
            <v>1</v>
          </cell>
          <cell r="J32">
            <v>1</v>
          </cell>
          <cell r="K32">
            <v>1</v>
          </cell>
          <cell r="O32">
            <v>1</v>
          </cell>
          <cell r="Q32">
            <v>1</v>
          </cell>
          <cell r="S32">
            <v>1</v>
          </cell>
          <cell r="T32">
            <v>1</v>
          </cell>
          <cell r="V32">
            <v>1</v>
          </cell>
          <cell r="X32">
            <v>1</v>
          </cell>
          <cell r="Y32">
            <v>1</v>
          </cell>
          <cell r="Z32">
            <v>1</v>
          </cell>
          <cell r="AA32">
            <v>1</v>
          </cell>
          <cell r="AE32">
            <v>1</v>
          </cell>
          <cell r="AG32">
            <v>1</v>
          </cell>
          <cell r="AI32">
            <v>1</v>
          </cell>
          <cell r="AJ32">
            <v>1</v>
          </cell>
          <cell r="AK32">
            <v>1</v>
          </cell>
          <cell r="AQ32">
            <v>1</v>
          </cell>
          <cell r="AR32">
            <v>1</v>
          </cell>
          <cell r="AS32">
            <v>1</v>
          </cell>
          <cell r="AT32">
            <v>1</v>
          </cell>
          <cell r="AU32">
            <v>1</v>
          </cell>
          <cell r="AV32">
            <v>1</v>
          </cell>
          <cell r="AX32">
            <v>1</v>
          </cell>
          <cell r="AY32">
            <v>1</v>
          </cell>
          <cell r="AZ32" t="str">
            <v>B</v>
          </cell>
          <cell r="BA32" t="str">
            <v>세명금속</v>
          </cell>
          <cell r="BB32" t="str">
            <v>H50A17K</v>
          </cell>
          <cell r="BD32" t="str">
            <v>F716</v>
          </cell>
          <cell r="BI32">
            <v>888</v>
          </cell>
          <cell r="BJ32">
            <v>458</v>
          </cell>
          <cell r="BK32">
            <v>90</v>
          </cell>
          <cell r="BL32">
            <v>100</v>
          </cell>
          <cell r="BO32">
            <v>0</v>
          </cell>
        </row>
        <row r="33">
          <cell r="C33">
            <v>2584</v>
          </cell>
          <cell r="D33" t="str">
            <v>MB275390A</v>
          </cell>
          <cell r="E33" t="str">
            <v xml:space="preserve"> PANEL,GRILLE FILLER</v>
          </cell>
          <cell r="H33">
            <v>1</v>
          </cell>
          <cell r="I33">
            <v>1</v>
          </cell>
          <cell r="J33">
            <v>1</v>
          </cell>
          <cell r="K33">
            <v>1</v>
          </cell>
          <cell r="L33">
            <v>1</v>
          </cell>
          <cell r="M33">
            <v>1</v>
          </cell>
          <cell r="N33">
            <v>1</v>
          </cell>
          <cell r="O33">
            <v>1</v>
          </cell>
          <cell r="P33">
            <v>1</v>
          </cell>
          <cell r="Q33">
            <v>1</v>
          </cell>
          <cell r="R33">
            <v>1</v>
          </cell>
          <cell r="S33">
            <v>1</v>
          </cell>
          <cell r="T33">
            <v>1</v>
          </cell>
          <cell r="U33">
            <v>1</v>
          </cell>
          <cell r="V33">
            <v>1</v>
          </cell>
          <cell r="W33">
            <v>1</v>
          </cell>
          <cell r="X33">
            <v>1</v>
          </cell>
          <cell r="Y33">
            <v>1</v>
          </cell>
          <cell r="Z33">
            <v>1</v>
          </cell>
          <cell r="AA33">
            <v>1</v>
          </cell>
          <cell r="AB33">
            <v>1</v>
          </cell>
          <cell r="AC33">
            <v>1</v>
          </cell>
          <cell r="AD33">
            <v>1</v>
          </cell>
          <cell r="AE33">
            <v>1</v>
          </cell>
          <cell r="AF33">
            <v>1</v>
          </cell>
          <cell r="AG33">
            <v>1</v>
          </cell>
          <cell r="AH33">
            <v>1</v>
          </cell>
          <cell r="AI33">
            <v>1</v>
          </cell>
          <cell r="AJ33">
            <v>1</v>
          </cell>
          <cell r="AK33">
            <v>1</v>
          </cell>
          <cell r="AL33">
            <v>1</v>
          </cell>
          <cell r="AM33">
            <v>1</v>
          </cell>
          <cell r="AN33">
            <v>1</v>
          </cell>
          <cell r="AO33">
            <v>1</v>
          </cell>
          <cell r="AQ33">
            <v>1</v>
          </cell>
          <cell r="AR33">
            <v>1</v>
          </cell>
          <cell r="AS33">
            <v>1</v>
          </cell>
          <cell r="AU33">
            <v>1</v>
          </cell>
          <cell r="AV33">
            <v>1</v>
          </cell>
          <cell r="AW33">
            <v>1</v>
          </cell>
          <cell r="AX33">
            <v>1</v>
          </cell>
          <cell r="AY33">
            <v>1</v>
          </cell>
          <cell r="AZ33" t="str">
            <v>B</v>
          </cell>
          <cell r="BA33" t="str">
            <v>세명금속</v>
          </cell>
          <cell r="BB33" t="str">
            <v>H50C39K</v>
          </cell>
          <cell r="BD33" t="str">
            <v>F716</v>
          </cell>
          <cell r="BE33" t="str">
            <v>ALL</v>
          </cell>
          <cell r="BI33">
            <v>937</v>
          </cell>
          <cell r="BJ33">
            <v>997</v>
          </cell>
          <cell r="BK33">
            <v>118</v>
          </cell>
          <cell r="BL33">
            <v>102</v>
          </cell>
          <cell r="BO33">
            <v>0</v>
          </cell>
        </row>
        <row r="34">
          <cell r="C34">
            <v>1995</v>
          </cell>
          <cell r="D34" t="str">
            <v>MB591375A</v>
          </cell>
          <cell r="E34" t="str">
            <v xml:space="preserve"> PANEL,RR END INR UPR LH</v>
          </cell>
          <cell r="J34">
            <v>1</v>
          </cell>
          <cell r="K34">
            <v>1</v>
          </cell>
          <cell r="L34">
            <v>1</v>
          </cell>
          <cell r="M34">
            <v>1</v>
          </cell>
          <cell r="N34">
            <v>1</v>
          </cell>
          <cell r="O34">
            <v>1</v>
          </cell>
          <cell r="P34">
            <v>1</v>
          </cell>
          <cell r="Q34">
            <v>1</v>
          </cell>
          <cell r="S34">
            <v>1</v>
          </cell>
          <cell r="T34">
            <v>1</v>
          </cell>
          <cell r="U34">
            <v>1</v>
          </cell>
          <cell r="V34">
            <v>1</v>
          </cell>
          <cell r="W34">
            <v>1</v>
          </cell>
          <cell r="X34">
            <v>1</v>
          </cell>
          <cell r="Y34">
            <v>1</v>
          </cell>
          <cell r="Z34">
            <v>1</v>
          </cell>
          <cell r="AA34">
            <v>1</v>
          </cell>
          <cell r="AD34">
            <v>1</v>
          </cell>
          <cell r="AE34">
            <v>1</v>
          </cell>
          <cell r="AH34">
            <v>1</v>
          </cell>
          <cell r="AI34">
            <v>1</v>
          </cell>
          <cell r="AJ34">
            <v>1</v>
          </cell>
          <cell r="AK34">
            <v>1</v>
          </cell>
          <cell r="AL34">
            <v>1</v>
          </cell>
          <cell r="AM34">
            <v>1</v>
          </cell>
          <cell r="AN34">
            <v>1</v>
          </cell>
          <cell r="AO34">
            <v>1</v>
          </cell>
          <cell r="AP34">
            <v>1</v>
          </cell>
          <cell r="AQ34">
            <v>1</v>
          </cell>
          <cell r="AR34">
            <v>1</v>
          </cell>
          <cell r="AS34">
            <v>1</v>
          </cell>
          <cell r="AT34">
            <v>1</v>
          </cell>
          <cell r="AU34">
            <v>1</v>
          </cell>
          <cell r="AV34">
            <v>1</v>
          </cell>
          <cell r="AW34">
            <v>1</v>
          </cell>
          <cell r="AX34">
            <v>1</v>
          </cell>
          <cell r="AY34">
            <v>1</v>
          </cell>
          <cell r="AZ34" t="str">
            <v>B</v>
          </cell>
          <cell r="BA34" t="str">
            <v>세명금속</v>
          </cell>
          <cell r="BB34" t="str">
            <v>H50A17K</v>
          </cell>
          <cell r="BC34" t="str">
            <v>MB250877A-S/B,STD</v>
          </cell>
          <cell r="BD34" t="str">
            <v>F716</v>
          </cell>
          <cell r="BE34" t="str">
            <v>ALL</v>
          </cell>
          <cell r="BI34">
            <v>917</v>
          </cell>
          <cell r="BJ34">
            <v>458</v>
          </cell>
          <cell r="BK34">
            <v>118</v>
          </cell>
          <cell r="BL34">
            <v>102</v>
          </cell>
          <cell r="BO34">
            <v>0</v>
          </cell>
        </row>
        <row r="35">
          <cell r="C35">
            <v>1995</v>
          </cell>
          <cell r="D35" t="str">
            <v>MB591376A</v>
          </cell>
          <cell r="E35" t="str">
            <v xml:space="preserve"> PANEL,RR END,INR UPR RH</v>
          </cell>
          <cell r="J35">
            <v>1</v>
          </cell>
          <cell r="K35">
            <v>1</v>
          </cell>
          <cell r="L35">
            <v>1</v>
          </cell>
          <cell r="M35">
            <v>1</v>
          </cell>
          <cell r="N35">
            <v>1</v>
          </cell>
          <cell r="O35">
            <v>1</v>
          </cell>
          <cell r="P35">
            <v>1</v>
          </cell>
          <cell r="Q35">
            <v>1</v>
          </cell>
          <cell r="S35">
            <v>1</v>
          </cell>
          <cell r="T35">
            <v>1</v>
          </cell>
          <cell r="U35">
            <v>1</v>
          </cell>
          <cell r="V35">
            <v>1</v>
          </cell>
          <cell r="W35">
            <v>1</v>
          </cell>
          <cell r="X35">
            <v>1</v>
          </cell>
          <cell r="Y35">
            <v>1</v>
          </cell>
          <cell r="Z35">
            <v>1</v>
          </cell>
          <cell r="AA35">
            <v>1</v>
          </cell>
          <cell r="AD35">
            <v>1</v>
          </cell>
          <cell r="AE35">
            <v>1</v>
          </cell>
          <cell r="AH35">
            <v>1</v>
          </cell>
          <cell r="AI35">
            <v>1</v>
          </cell>
          <cell r="AJ35">
            <v>1</v>
          </cell>
          <cell r="AK35">
            <v>1</v>
          </cell>
          <cell r="AL35">
            <v>1</v>
          </cell>
          <cell r="AM35">
            <v>1</v>
          </cell>
          <cell r="AN35">
            <v>1</v>
          </cell>
          <cell r="AO35">
            <v>1</v>
          </cell>
          <cell r="AP35">
            <v>1</v>
          </cell>
          <cell r="AQ35">
            <v>1</v>
          </cell>
          <cell r="AR35">
            <v>1</v>
          </cell>
          <cell r="AS35">
            <v>1</v>
          </cell>
          <cell r="AT35">
            <v>1</v>
          </cell>
          <cell r="AU35">
            <v>1</v>
          </cell>
          <cell r="AV35">
            <v>1</v>
          </cell>
          <cell r="AW35">
            <v>1</v>
          </cell>
          <cell r="AX35">
            <v>1</v>
          </cell>
          <cell r="AY35">
            <v>1</v>
          </cell>
          <cell r="AZ35" t="str">
            <v>B</v>
          </cell>
          <cell r="BA35" t="str">
            <v>세명금속</v>
          </cell>
          <cell r="BB35" t="str">
            <v>H50A17K</v>
          </cell>
          <cell r="BC35" t="str">
            <v>MB250878A-S/B,STD</v>
          </cell>
          <cell r="BD35" t="str">
            <v>F716</v>
          </cell>
          <cell r="BE35" t="str">
            <v>ALL</v>
          </cell>
          <cell r="BI35">
            <v>917</v>
          </cell>
          <cell r="BJ35">
            <v>458</v>
          </cell>
          <cell r="BK35">
            <v>118</v>
          </cell>
          <cell r="BL35">
            <v>102</v>
          </cell>
          <cell r="BO35">
            <v>0</v>
          </cell>
        </row>
        <row r="36">
          <cell r="C36">
            <v>130</v>
          </cell>
          <cell r="D36" t="str">
            <v>MB591493A</v>
          </cell>
          <cell r="E36" t="str">
            <v xml:space="preserve"> PANEL ASS'Y,COWL TOP,FR</v>
          </cell>
          <cell r="W36">
            <v>1</v>
          </cell>
          <cell r="X36">
            <v>1</v>
          </cell>
          <cell r="AE36">
            <v>1</v>
          </cell>
          <cell r="AH36">
            <v>1</v>
          </cell>
          <cell r="AI36">
            <v>1</v>
          </cell>
          <cell r="AN36">
            <v>1</v>
          </cell>
          <cell r="AP36">
            <v>1</v>
          </cell>
          <cell r="AR36">
            <v>1</v>
          </cell>
          <cell r="AT36">
            <v>1</v>
          </cell>
          <cell r="AW36">
            <v>1</v>
          </cell>
          <cell r="AY36">
            <v>1</v>
          </cell>
          <cell r="AZ36" t="str">
            <v>B</v>
          </cell>
          <cell r="BA36" t="str">
            <v>세명금속</v>
          </cell>
          <cell r="BB36" t="str">
            <v>H50A18K</v>
          </cell>
          <cell r="BD36" t="str">
            <v>F716</v>
          </cell>
          <cell r="BE36" t="str">
            <v>V6</v>
          </cell>
          <cell r="BI36">
            <v>0</v>
          </cell>
          <cell r="BJ36">
            <v>2</v>
          </cell>
          <cell r="BK36">
            <v>60</v>
          </cell>
          <cell r="BL36">
            <v>46</v>
          </cell>
          <cell r="BO36">
            <v>0</v>
          </cell>
        </row>
        <row r="37">
          <cell r="C37">
            <v>692</v>
          </cell>
          <cell r="D37" t="str">
            <v>MB591633B</v>
          </cell>
          <cell r="E37" t="str">
            <v xml:space="preserve"> SILL,SIDE INR FRT LH</v>
          </cell>
          <cell r="H37">
            <v>1</v>
          </cell>
          <cell r="L37">
            <v>1</v>
          </cell>
          <cell r="M37">
            <v>1</v>
          </cell>
          <cell r="N37">
            <v>1</v>
          </cell>
          <cell r="P37">
            <v>1</v>
          </cell>
          <cell r="R37">
            <v>1</v>
          </cell>
          <cell r="U37">
            <v>1</v>
          </cell>
          <cell r="W37">
            <v>1</v>
          </cell>
          <cell r="AB37">
            <v>1</v>
          </cell>
          <cell r="AC37">
            <v>1</v>
          </cell>
          <cell r="AD37">
            <v>1</v>
          </cell>
          <cell r="AF37">
            <v>1</v>
          </cell>
          <cell r="AH37">
            <v>1</v>
          </cell>
          <cell r="AL37">
            <v>1</v>
          </cell>
          <cell r="AM37">
            <v>1</v>
          </cell>
          <cell r="AN37">
            <v>1</v>
          </cell>
          <cell r="AO37">
            <v>1</v>
          </cell>
          <cell r="AP37">
            <v>1</v>
          </cell>
          <cell r="AW37">
            <v>1</v>
          </cell>
          <cell r="AZ37" t="str">
            <v>B</v>
          </cell>
          <cell r="BA37" t="str">
            <v>세명금속</v>
          </cell>
          <cell r="BB37" t="str">
            <v>H50A11K</v>
          </cell>
          <cell r="BD37" t="str">
            <v>F716</v>
          </cell>
          <cell r="BE37" t="str">
            <v>S/B</v>
          </cell>
          <cell r="BI37">
            <v>49</v>
          </cell>
          <cell r="BJ37">
            <v>539</v>
          </cell>
          <cell r="BK37">
            <v>28</v>
          </cell>
          <cell r="BL37">
            <v>2</v>
          </cell>
          <cell r="BO37">
            <v>0</v>
          </cell>
        </row>
        <row r="38">
          <cell r="C38">
            <v>692</v>
          </cell>
          <cell r="D38" t="str">
            <v>MB591634B</v>
          </cell>
          <cell r="E38" t="str">
            <v xml:space="preserve"> SILL,SIDE INR FRT RH</v>
          </cell>
          <cell r="H38">
            <v>1</v>
          </cell>
          <cell r="L38">
            <v>1</v>
          </cell>
          <cell r="M38">
            <v>1</v>
          </cell>
          <cell r="N38">
            <v>1</v>
          </cell>
          <cell r="P38">
            <v>1</v>
          </cell>
          <cell r="R38">
            <v>1</v>
          </cell>
          <cell r="U38">
            <v>1</v>
          </cell>
          <cell r="W38">
            <v>1</v>
          </cell>
          <cell r="AB38">
            <v>1</v>
          </cell>
          <cell r="AC38">
            <v>1</v>
          </cell>
          <cell r="AD38">
            <v>1</v>
          </cell>
          <cell r="AF38">
            <v>1</v>
          </cell>
          <cell r="AH38">
            <v>1</v>
          </cell>
          <cell r="AL38">
            <v>1</v>
          </cell>
          <cell r="AM38">
            <v>1</v>
          </cell>
          <cell r="AN38">
            <v>1</v>
          </cell>
          <cell r="AO38">
            <v>1</v>
          </cell>
          <cell r="AP38">
            <v>1</v>
          </cell>
          <cell r="AW38">
            <v>1</v>
          </cell>
          <cell r="AZ38" t="str">
            <v>B</v>
          </cell>
          <cell r="BA38" t="str">
            <v>세명금속</v>
          </cell>
          <cell r="BB38" t="str">
            <v>H50A11K</v>
          </cell>
          <cell r="BD38" t="str">
            <v>F716</v>
          </cell>
          <cell r="BE38" t="str">
            <v>S/B</v>
          </cell>
          <cell r="BI38">
            <v>49</v>
          </cell>
          <cell r="BJ38">
            <v>539</v>
          </cell>
          <cell r="BK38">
            <v>28</v>
          </cell>
          <cell r="BL38">
            <v>2</v>
          </cell>
          <cell r="BO38">
            <v>0</v>
          </cell>
        </row>
        <row r="39">
          <cell r="C39">
            <v>1776</v>
          </cell>
          <cell r="D39" t="str">
            <v>HC000045</v>
          </cell>
          <cell r="E39" t="str">
            <v xml:space="preserve"> EXT,RR FLOOR ASSY</v>
          </cell>
          <cell r="F39" t="str">
            <v>DSL L/B</v>
          </cell>
          <cell r="I39">
            <v>1</v>
          </cell>
          <cell r="J39">
            <v>1</v>
          </cell>
          <cell r="K39">
            <v>1</v>
          </cell>
          <cell r="O39">
            <v>1</v>
          </cell>
          <cell r="Q39">
            <v>1</v>
          </cell>
          <cell r="S39">
            <v>1</v>
          </cell>
          <cell r="T39">
            <v>1</v>
          </cell>
          <cell r="V39">
            <v>1</v>
          </cell>
          <cell r="Y39">
            <v>1</v>
          </cell>
          <cell r="Z39">
            <v>1</v>
          </cell>
          <cell r="AA39">
            <v>1</v>
          </cell>
          <cell r="AG39">
            <v>1</v>
          </cell>
          <cell r="AJ39">
            <v>1</v>
          </cell>
          <cell r="AK39">
            <v>1</v>
          </cell>
          <cell r="AQ39">
            <v>1</v>
          </cell>
          <cell r="AS39">
            <v>1</v>
          </cell>
          <cell r="AU39">
            <v>1</v>
          </cell>
          <cell r="AV39">
            <v>1</v>
          </cell>
          <cell r="AX39">
            <v>1</v>
          </cell>
          <cell r="AZ39" t="str">
            <v>B</v>
          </cell>
          <cell r="BA39" t="str">
            <v>신아금속</v>
          </cell>
          <cell r="BB39" t="str">
            <v>H50A11K01-8,12^17,63</v>
          </cell>
          <cell r="BD39" t="str">
            <v>K591</v>
          </cell>
          <cell r="BI39">
            <v>888</v>
          </cell>
          <cell r="BJ39">
            <v>456</v>
          </cell>
          <cell r="BK39">
            <v>37</v>
          </cell>
          <cell r="BL39">
            <v>56</v>
          </cell>
          <cell r="BO39">
            <v>0</v>
          </cell>
        </row>
        <row r="40">
          <cell r="C40">
            <v>116</v>
          </cell>
          <cell r="D40" t="str">
            <v>HC000046</v>
          </cell>
          <cell r="E40" t="str">
            <v xml:space="preserve"> EXT,RR FLOOR ASSY</v>
          </cell>
          <cell r="F40" t="str">
            <v>V6 L/B</v>
          </cell>
          <cell r="X40">
            <v>1</v>
          </cell>
          <cell r="AE40">
            <v>1</v>
          </cell>
          <cell r="AI40">
            <v>1</v>
          </cell>
          <cell r="AR40">
            <v>1</v>
          </cell>
          <cell r="AT40">
            <v>1</v>
          </cell>
          <cell r="AY40">
            <v>1</v>
          </cell>
          <cell r="AZ40" t="str">
            <v>B</v>
          </cell>
          <cell r="BA40" t="str">
            <v>신아금속</v>
          </cell>
          <cell r="BB40" t="str">
            <v>H50A11K</v>
          </cell>
          <cell r="BD40" t="str">
            <v>K591</v>
          </cell>
          <cell r="BE40" t="str">
            <v>6</v>
          </cell>
          <cell r="BI40">
            <v>0</v>
          </cell>
          <cell r="BJ40">
            <v>2</v>
          </cell>
          <cell r="BK40">
            <v>53</v>
          </cell>
          <cell r="BL40">
            <v>44</v>
          </cell>
          <cell r="BO40">
            <v>0</v>
          </cell>
        </row>
        <row r="41">
          <cell r="C41">
            <v>2584</v>
          </cell>
          <cell r="D41" t="str">
            <v>HC000076</v>
          </cell>
          <cell r="E41" t="str">
            <v xml:space="preserve"> REINF,HINGE ASSY LH</v>
          </cell>
          <cell r="G41">
            <v>1</v>
          </cell>
          <cell r="AZ41" t="str">
            <v>B</v>
          </cell>
          <cell r="BA41" t="str">
            <v>신아금속</v>
          </cell>
          <cell r="BB41" t="str">
            <v>H50A16K</v>
          </cell>
          <cell r="BD41" t="str">
            <v>K591</v>
          </cell>
          <cell r="BE41" t="str">
            <v>ALL</v>
          </cell>
          <cell r="BI41">
            <v>0</v>
          </cell>
          <cell r="BJ41">
            <v>0</v>
          </cell>
          <cell r="BK41">
            <v>0</v>
          </cell>
          <cell r="BL41">
            <v>0</v>
          </cell>
          <cell r="BO41">
            <v>0</v>
          </cell>
        </row>
        <row r="42">
          <cell r="C42">
            <v>2584</v>
          </cell>
          <cell r="D42" t="str">
            <v>HC000077</v>
          </cell>
          <cell r="E42" t="str">
            <v xml:space="preserve"> REINF HINGE ASSY RH</v>
          </cell>
          <cell r="G42">
            <v>1</v>
          </cell>
          <cell r="AZ42" t="str">
            <v>B</v>
          </cell>
          <cell r="BA42" t="str">
            <v>신아금속</v>
          </cell>
          <cell r="BB42" t="str">
            <v>H50A16K</v>
          </cell>
          <cell r="BD42" t="str">
            <v>K591</v>
          </cell>
          <cell r="BE42" t="str">
            <v>ALL</v>
          </cell>
          <cell r="BI42">
            <v>0</v>
          </cell>
          <cell r="BJ42">
            <v>0</v>
          </cell>
          <cell r="BK42">
            <v>0</v>
          </cell>
          <cell r="BL42">
            <v>0</v>
          </cell>
          <cell r="BO42">
            <v>0</v>
          </cell>
        </row>
        <row r="43">
          <cell r="C43">
            <v>2584</v>
          </cell>
          <cell r="D43" t="str">
            <v>HC000090A</v>
          </cell>
          <cell r="E43" t="str">
            <v xml:space="preserve"> C/MBR,RR FLOOR</v>
          </cell>
          <cell r="F43" t="str">
            <v>-973A</v>
          </cell>
          <cell r="G43">
            <v>1</v>
          </cell>
          <cell r="AZ43" t="str">
            <v>B</v>
          </cell>
          <cell r="BA43" t="str">
            <v>신아금속</v>
          </cell>
          <cell r="BB43" t="str">
            <v>H50A12K</v>
          </cell>
          <cell r="BD43" t="str">
            <v>K591</v>
          </cell>
          <cell r="BE43" t="str">
            <v>ALL</v>
          </cell>
          <cell r="BI43">
            <v>0</v>
          </cell>
          <cell r="BJ43">
            <v>0</v>
          </cell>
          <cell r="BK43">
            <v>0</v>
          </cell>
          <cell r="BL43">
            <v>0</v>
          </cell>
          <cell r="BO43">
            <v>0</v>
          </cell>
        </row>
        <row r="44">
          <cell r="C44">
            <v>1062</v>
          </cell>
          <cell r="D44" t="str">
            <v>HC000091</v>
          </cell>
          <cell r="E44" t="str">
            <v xml:space="preserve"> BRKT,PK/BRK,LVR</v>
          </cell>
          <cell r="F44" t="str">
            <v>MB591409생산실적합계</v>
          </cell>
          <cell r="I44">
            <v>1</v>
          </cell>
          <cell r="J44">
            <v>1</v>
          </cell>
          <cell r="K44">
            <v>1</v>
          </cell>
          <cell r="S44">
            <v>1</v>
          </cell>
          <cell r="T44">
            <v>1</v>
          </cell>
          <cell r="AJ44">
            <v>1</v>
          </cell>
          <cell r="AK44">
            <v>1</v>
          </cell>
          <cell r="AQ44">
            <v>1</v>
          </cell>
          <cell r="AU44">
            <v>1</v>
          </cell>
          <cell r="AX44">
            <v>1</v>
          </cell>
          <cell r="AZ44" t="str">
            <v>B</v>
          </cell>
          <cell r="BA44" t="str">
            <v>신아금속</v>
          </cell>
          <cell r="BB44" t="str">
            <v>H50A11K01-3,4,8,15^17</v>
          </cell>
          <cell r="BD44" t="str">
            <v>K591</v>
          </cell>
          <cell r="BI44">
            <v>491</v>
          </cell>
          <cell r="BJ44">
            <v>456</v>
          </cell>
          <cell r="BK44">
            <v>37</v>
          </cell>
          <cell r="BL44">
            <v>27</v>
          </cell>
          <cell r="BO44">
            <v>0</v>
          </cell>
        </row>
        <row r="45">
          <cell r="C45">
            <v>0</v>
          </cell>
          <cell r="D45" t="str">
            <v>HC000092</v>
          </cell>
          <cell r="E45" t="str">
            <v xml:space="preserve"> C/MBR,RR FLOOR(NO6 MOUNT)</v>
          </cell>
          <cell r="F45" t="str">
            <v>XB591311</v>
          </cell>
          <cell r="AZ45" t="str">
            <v>B</v>
          </cell>
          <cell r="BA45" t="str">
            <v>신아금속</v>
          </cell>
          <cell r="BB45" t="str">
            <v>H50A12K</v>
          </cell>
          <cell r="BD45" t="str">
            <v>K591</v>
          </cell>
          <cell r="BE45" t="str">
            <v>2</v>
          </cell>
          <cell r="BI45">
            <v>0</v>
          </cell>
          <cell r="BJ45">
            <v>0</v>
          </cell>
          <cell r="BK45">
            <v>0</v>
          </cell>
          <cell r="BL45">
            <v>0</v>
          </cell>
          <cell r="BO45">
            <v>0</v>
          </cell>
        </row>
        <row r="46">
          <cell r="C46">
            <v>14</v>
          </cell>
          <cell r="D46" t="str">
            <v>HC000117</v>
          </cell>
          <cell r="E46" t="str">
            <v xml:space="preserve"> C/MBR,RR FLOOR(TCI MB275217적용)</v>
          </cell>
          <cell r="W46">
            <v>1</v>
          </cell>
          <cell r="AH46">
            <v>1</v>
          </cell>
          <cell r="AN46">
            <v>1</v>
          </cell>
          <cell r="AP46">
            <v>1</v>
          </cell>
          <cell r="AW46">
            <v>1</v>
          </cell>
          <cell r="AZ46" t="str">
            <v>B</v>
          </cell>
          <cell r="BA46" t="str">
            <v>신아금속</v>
          </cell>
          <cell r="BB46" t="str">
            <v>H50A12K</v>
          </cell>
          <cell r="BC46" t="str">
            <v>MB275217A=</v>
          </cell>
          <cell r="BD46" t="str">
            <v>K591</v>
          </cell>
          <cell r="BE46" t="str">
            <v>V6,TCI S/B</v>
          </cell>
          <cell r="BI46">
            <v>0</v>
          </cell>
          <cell r="BJ46">
            <v>0</v>
          </cell>
          <cell r="BK46">
            <v>7</v>
          </cell>
          <cell r="BL46">
            <v>2</v>
          </cell>
          <cell r="BO46">
            <v>0</v>
          </cell>
        </row>
        <row r="47">
          <cell r="C47">
            <v>116</v>
          </cell>
          <cell r="D47" t="str">
            <v>HC000118</v>
          </cell>
          <cell r="E47" t="str">
            <v xml:space="preserve"> C/MBR,RR FLOOR(TCI MB275080적용)</v>
          </cell>
          <cell r="X47">
            <v>1</v>
          </cell>
          <cell r="AE47">
            <v>1</v>
          </cell>
          <cell r="AI47">
            <v>1</v>
          </cell>
          <cell r="AR47">
            <v>1</v>
          </cell>
          <cell r="AT47">
            <v>1</v>
          </cell>
          <cell r="AY47">
            <v>1</v>
          </cell>
          <cell r="AZ47" t="str">
            <v>B</v>
          </cell>
          <cell r="BA47" t="str">
            <v>신아금속</v>
          </cell>
          <cell r="BB47" t="str">
            <v>H50A12K</v>
          </cell>
          <cell r="BC47" t="str">
            <v>MB250080A=</v>
          </cell>
          <cell r="BD47" t="str">
            <v>K591</v>
          </cell>
          <cell r="BE47" t="str">
            <v>6,16,18</v>
          </cell>
          <cell r="BI47">
            <v>0</v>
          </cell>
          <cell r="BJ47">
            <v>2</v>
          </cell>
          <cell r="BK47">
            <v>53</v>
          </cell>
          <cell r="BL47">
            <v>44</v>
          </cell>
          <cell r="BO47">
            <v>0</v>
          </cell>
        </row>
        <row r="48">
          <cell r="C48">
            <v>20</v>
          </cell>
          <cell r="D48" t="str">
            <v>HC000121</v>
          </cell>
          <cell r="E48" t="str">
            <v xml:space="preserve"> REINF ASSY RR FLR EXT</v>
          </cell>
          <cell r="I48">
            <v>1</v>
          </cell>
          <cell r="AG48">
            <v>1</v>
          </cell>
          <cell r="AZ48" t="str">
            <v>B</v>
          </cell>
          <cell r="BA48" t="str">
            <v>신아금속</v>
          </cell>
          <cell r="BB48" t="str">
            <v>H50A11K</v>
          </cell>
          <cell r="BD48" t="str">
            <v>K591</v>
          </cell>
          <cell r="BE48" t="str">
            <v>2</v>
          </cell>
          <cell r="BI48">
            <v>20</v>
          </cell>
          <cell r="BJ48">
            <v>0</v>
          </cell>
          <cell r="BK48">
            <v>0</v>
          </cell>
          <cell r="BL48">
            <v>0</v>
          </cell>
          <cell r="BO48">
            <v>0</v>
          </cell>
        </row>
        <row r="49">
          <cell r="C49">
            <v>116</v>
          </cell>
          <cell r="D49" t="str">
            <v>HC000122</v>
          </cell>
          <cell r="E49" t="str">
            <v xml:space="preserve"> REINF ASSY RR FLR EXT</v>
          </cell>
          <cell r="X49">
            <v>1</v>
          </cell>
          <cell r="AE49">
            <v>1</v>
          </cell>
          <cell r="AI49">
            <v>1</v>
          </cell>
          <cell r="AR49">
            <v>1</v>
          </cell>
          <cell r="AT49">
            <v>1</v>
          </cell>
          <cell r="AY49">
            <v>1</v>
          </cell>
          <cell r="AZ49" t="str">
            <v>B</v>
          </cell>
          <cell r="BA49" t="str">
            <v>신아금속</v>
          </cell>
          <cell r="BB49" t="str">
            <v>H50A11K</v>
          </cell>
          <cell r="BD49" t="str">
            <v>K591</v>
          </cell>
          <cell r="BE49" t="str">
            <v>6</v>
          </cell>
          <cell r="BI49">
            <v>0</v>
          </cell>
          <cell r="BJ49">
            <v>2</v>
          </cell>
          <cell r="BK49">
            <v>53</v>
          </cell>
          <cell r="BL49">
            <v>44</v>
          </cell>
          <cell r="BO49">
            <v>0</v>
          </cell>
        </row>
        <row r="50">
          <cell r="C50">
            <v>1756</v>
          </cell>
          <cell r="D50" t="str">
            <v>HC000123</v>
          </cell>
          <cell r="E50" t="str">
            <v xml:space="preserve"> REINF ASSY,RR FLOOR EXT</v>
          </cell>
          <cell r="J50">
            <v>1</v>
          </cell>
          <cell r="K50">
            <v>1</v>
          </cell>
          <cell r="O50">
            <v>1</v>
          </cell>
          <cell r="Q50">
            <v>1</v>
          </cell>
          <cell r="S50">
            <v>1</v>
          </cell>
          <cell r="T50">
            <v>1</v>
          </cell>
          <cell r="V50">
            <v>1</v>
          </cell>
          <cell r="Y50">
            <v>1</v>
          </cell>
          <cell r="Z50">
            <v>1</v>
          </cell>
          <cell r="AA50">
            <v>1</v>
          </cell>
          <cell r="AJ50">
            <v>1</v>
          </cell>
          <cell r="AK50">
            <v>1</v>
          </cell>
          <cell r="AQ50">
            <v>1</v>
          </cell>
          <cell r="AS50">
            <v>1</v>
          </cell>
          <cell r="AU50">
            <v>1</v>
          </cell>
          <cell r="AV50">
            <v>1</v>
          </cell>
          <cell r="AX50">
            <v>1</v>
          </cell>
          <cell r="AZ50" t="str">
            <v>B</v>
          </cell>
          <cell r="BA50" t="str">
            <v>신아금속</v>
          </cell>
          <cell r="BB50" t="str">
            <v>H50A11K</v>
          </cell>
          <cell r="BD50" t="str">
            <v>K591</v>
          </cell>
          <cell r="BI50">
            <v>868</v>
          </cell>
          <cell r="BJ50">
            <v>456</v>
          </cell>
          <cell r="BK50">
            <v>37</v>
          </cell>
          <cell r="BL50">
            <v>56</v>
          </cell>
          <cell r="BO50">
            <v>0</v>
          </cell>
        </row>
        <row r="51">
          <cell r="C51">
            <v>20</v>
          </cell>
          <cell r="D51" t="str">
            <v>HC000124</v>
          </cell>
          <cell r="E51" t="str">
            <v xml:space="preserve"> EXT ASSY FRT FLR</v>
          </cell>
          <cell r="F51" t="str">
            <v>마감시대체불출∨</v>
          </cell>
          <cell r="I51">
            <v>1</v>
          </cell>
          <cell r="AG51">
            <v>1</v>
          </cell>
          <cell r="AZ51" t="str">
            <v>B</v>
          </cell>
          <cell r="BA51" t="str">
            <v>신아금속</v>
          </cell>
          <cell r="BB51" t="str">
            <v>H50A11K</v>
          </cell>
          <cell r="BD51" t="str">
            <v>K591</v>
          </cell>
          <cell r="BE51" t="str">
            <v>2</v>
          </cell>
          <cell r="BI51">
            <v>20</v>
          </cell>
          <cell r="BJ51">
            <v>0</v>
          </cell>
          <cell r="BK51">
            <v>0</v>
          </cell>
          <cell r="BL51">
            <v>0</v>
          </cell>
          <cell r="BO51">
            <v>0</v>
          </cell>
        </row>
        <row r="52">
          <cell r="C52">
            <v>1872</v>
          </cell>
          <cell r="D52" t="str">
            <v>HC000125</v>
          </cell>
          <cell r="E52" t="str">
            <v xml:space="preserve"> EXT ASSY FRT FLR</v>
          </cell>
          <cell r="F52" t="str">
            <v>+972A</v>
          </cell>
          <cell r="J52">
            <v>1</v>
          </cell>
          <cell r="K52">
            <v>1</v>
          </cell>
          <cell r="O52">
            <v>1</v>
          </cell>
          <cell r="Q52">
            <v>1</v>
          </cell>
          <cell r="S52">
            <v>1</v>
          </cell>
          <cell r="T52">
            <v>1</v>
          </cell>
          <cell r="V52">
            <v>1</v>
          </cell>
          <cell r="X52">
            <v>1</v>
          </cell>
          <cell r="Y52">
            <v>1</v>
          </cell>
          <cell r="Z52">
            <v>1</v>
          </cell>
          <cell r="AA52">
            <v>1</v>
          </cell>
          <cell r="AE52">
            <v>1</v>
          </cell>
          <cell r="AI52">
            <v>1</v>
          </cell>
          <cell r="AJ52">
            <v>1</v>
          </cell>
          <cell r="AK52">
            <v>1</v>
          </cell>
          <cell r="AQ52">
            <v>1</v>
          </cell>
          <cell r="AR52">
            <v>1</v>
          </cell>
          <cell r="AS52">
            <v>1</v>
          </cell>
          <cell r="AT52">
            <v>1</v>
          </cell>
          <cell r="AU52">
            <v>1</v>
          </cell>
          <cell r="AV52">
            <v>1</v>
          </cell>
          <cell r="AX52">
            <v>1</v>
          </cell>
          <cell r="AY52">
            <v>1</v>
          </cell>
          <cell r="AZ52" t="str">
            <v>B</v>
          </cell>
          <cell r="BA52" t="str">
            <v>신아금속</v>
          </cell>
          <cell r="BB52" t="str">
            <v>H50A11K</v>
          </cell>
          <cell r="BC52" t="str">
            <v>20,21생산임의사용</v>
          </cell>
          <cell r="BD52" t="str">
            <v>K591</v>
          </cell>
          <cell r="BI52">
            <v>868</v>
          </cell>
          <cell r="BJ52">
            <v>458</v>
          </cell>
          <cell r="BK52">
            <v>90</v>
          </cell>
          <cell r="BL52">
            <v>100</v>
          </cell>
          <cell r="BO52">
            <v>0</v>
          </cell>
        </row>
        <row r="53">
          <cell r="C53">
            <v>1872</v>
          </cell>
          <cell r="D53" t="str">
            <v>HC000126</v>
          </cell>
          <cell r="E53" t="str">
            <v xml:space="preserve"> EXT ASSY FRT FLR</v>
          </cell>
          <cell r="F53" t="str">
            <v>마감시대체불출∧</v>
          </cell>
          <cell r="J53">
            <v>1</v>
          </cell>
          <cell r="K53">
            <v>1</v>
          </cell>
          <cell r="O53">
            <v>1</v>
          </cell>
          <cell r="Q53">
            <v>1</v>
          </cell>
          <cell r="S53">
            <v>1</v>
          </cell>
          <cell r="T53">
            <v>1</v>
          </cell>
          <cell r="V53">
            <v>1</v>
          </cell>
          <cell r="X53">
            <v>1</v>
          </cell>
          <cell r="Y53">
            <v>1</v>
          </cell>
          <cell r="Z53">
            <v>1</v>
          </cell>
          <cell r="AA53">
            <v>1</v>
          </cell>
          <cell r="AE53">
            <v>1</v>
          </cell>
          <cell r="AI53">
            <v>1</v>
          </cell>
          <cell r="AJ53">
            <v>1</v>
          </cell>
          <cell r="AK53">
            <v>1</v>
          </cell>
          <cell r="AQ53">
            <v>1</v>
          </cell>
          <cell r="AR53">
            <v>1</v>
          </cell>
          <cell r="AS53">
            <v>1</v>
          </cell>
          <cell r="AT53">
            <v>1</v>
          </cell>
          <cell r="AU53">
            <v>1</v>
          </cell>
          <cell r="AV53">
            <v>1</v>
          </cell>
          <cell r="AX53">
            <v>1</v>
          </cell>
          <cell r="AY53">
            <v>1</v>
          </cell>
          <cell r="AZ53" t="str">
            <v>B</v>
          </cell>
          <cell r="BA53" t="str">
            <v>신아금속</v>
          </cell>
          <cell r="BB53" t="str">
            <v>H50A11K01-8^10,12,14,16,63</v>
          </cell>
          <cell r="BD53" t="str">
            <v>K591</v>
          </cell>
          <cell r="BI53">
            <v>868</v>
          </cell>
          <cell r="BJ53">
            <v>458</v>
          </cell>
          <cell r="BK53">
            <v>90</v>
          </cell>
          <cell r="BL53">
            <v>100</v>
          </cell>
          <cell r="BO53">
            <v>0</v>
          </cell>
        </row>
        <row r="54">
          <cell r="C54">
            <v>590</v>
          </cell>
          <cell r="D54" t="str">
            <v>HC000135</v>
          </cell>
          <cell r="E54" t="str">
            <v xml:space="preserve"> RAIL,RR ROOF,INR(삭제ITEM)</v>
          </cell>
          <cell r="H54">
            <v>1</v>
          </cell>
          <cell r="R54">
            <v>1</v>
          </cell>
          <cell r="AB54">
            <v>1</v>
          </cell>
          <cell r="AC54">
            <v>1</v>
          </cell>
          <cell r="AF54">
            <v>1</v>
          </cell>
          <cell r="AH54">
            <v>1</v>
          </cell>
          <cell r="AM54">
            <v>1</v>
          </cell>
          <cell r="AN54">
            <v>1</v>
          </cell>
          <cell r="AW54">
            <v>1</v>
          </cell>
          <cell r="AZ54" t="str">
            <v>B</v>
          </cell>
          <cell r="BA54" t="str">
            <v>신아금속</v>
          </cell>
          <cell r="BB54" t="str">
            <v>H50A20K</v>
          </cell>
          <cell r="BC54" t="str">
            <v>-HC000137</v>
          </cell>
          <cell r="BD54" t="str">
            <v>K591</v>
          </cell>
          <cell r="BE54" t="str">
            <v>S/B</v>
          </cell>
          <cell r="BI54">
            <v>0</v>
          </cell>
          <cell r="BJ54">
            <v>539</v>
          </cell>
          <cell r="BK54">
            <v>14</v>
          </cell>
          <cell r="BL54">
            <v>2</v>
          </cell>
          <cell r="BO54">
            <v>0</v>
          </cell>
        </row>
        <row r="55">
          <cell r="C55">
            <v>20</v>
          </cell>
          <cell r="D55" t="str">
            <v>HC000136</v>
          </cell>
          <cell r="E55" t="str">
            <v xml:space="preserve"> RAIL,RR ROOF,INR</v>
          </cell>
          <cell r="I55">
            <v>1</v>
          </cell>
          <cell r="AG55">
            <v>1</v>
          </cell>
          <cell r="AZ55" t="str">
            <v>B</v>
          </cell>
          <cell r="BA55" t="str">
            <v>신아금속</v>
          </cell>
          <cell r="BB55" t="str">
            <v>H50A20K</v>
          </cell>
          <cell r="BD55" t="str">
            <v>K591</v>
          </cell>
          <cell r="BE55" t="str">
            <v>2</v>
          </cell>
          <cell r="BI55">
            <v>20</v>
          </cell>
          <cell r="BJ55">
            <v>0</v>
          </cell>
          <cell r="BK55">
            <v>0</v>
          </cell>
          <cell r="BL55">
            <v>0</v>
          </cell>
          <cell r="BO55">
            <v>0</v>
          </cell>
        </row>
        <row r="56">
          <cell r="C56">
            <v>1448</v>
          </cell>
          <cell r="D56" t="str">
            <v>HC000137</v>
          </cell>
          <cell r="E56" t="str">
            <v xml:space="preserve"> RAIL,RR ROOF,INR</v>
          </cell>
          <cell r="J56">
            <v>1</v>
          </cell>
          <cell r="K56">
            <v>1</v>
          </cell>
          <cell r="L56">
            <v>1</v>
          </cell>
          <cell r="M56">
            <v>1</v>
          </cell>
          <cell r="N56">
            <v>1</v>
          </cell>
          <cell r="O56">
            <v>1</v>
          </cell>
          <cell r="P56">
            <v>1</v>
          </cell>
          <cell r="Q56">
            <v>1</v>
          </cell>
          <cell r="U56">
            <v>1</v>
          </cell>
          <cell r="V56">
            <v>1</v>
          </cell>
          <cell r="W56">
            <v>1</v>
          </cell>
          <cell r="X56">
            <v>1</v>
          </cell>
          <cell r="AD56">
            <v>1</v>
          </cell>
          <cell r="AE56">
            <v>1</v>
          </cell>
          <cell r="AI56">
            <v>1</v>
          </cell>
          <cell r="AJ56">
            <v>1</v>
          </cell>
          <cell r="AK56">
            <v>1</v>
          </cell>
          <cell r="AL56">
            <v>1</v>
          </cell>
          <cell r="AP56">
            <v>1</v>
          </cell>
          <cell r="AQ56">
            <v>1</v>
          </cell>
          <cell r="AR56">
            <v>1</v>
          </cell>
          <cell r="AS56">
            <v>1</v>
          </cell>
          <cell r="AT56">
            <v>1</v>
          </cell>
          <cell r="AZ56" t="str">
            <v>B</v>
          </cell>
          <cell r="BA56" t="str">
            <v>신아금속</v>
          </cell>
          <cell r="BB56" t="str">
            <v>H50A20K01-3,5</v>
          </cell>
          <cell r="BC56" t="str">
            <v>HC000135-</v>
          </cell>
          <cell r="BD56" t="str">
            <v>K591</v>
          </cell>
          <cell r="BI56">
            <v>917</v>
          </cell>
          <cell r="BJ56">
            <v>2</v>
          </cell>
          <cell r="BK56">
            <v>96</v>
          </cell>
          <cell r="BL56">
            <v>65</v>
          </cell>
          <cell r="BO56">
            <v>0</v>
          </cell>
        </row>
        <row r="57">
          <cell r="C57">
            <v>514</v>
          </cell>
          <cell r="D57" t="str">
            <v>HC000138A</v>
          </cell>
          <cell r="E57" t="str">
            <v xml:space="preserve"> RAIL,RR ROOF INR</v>
          </cell>
          <cell r="S57">
            <v>1</v>
          </cell>
          <cell r="T57">
            <v>1</v>
          </cell>
          <cell r="Y57">
            <v>1</v>
          </cell>
          <cell r="Z57">
            <v>1</v>
          </cell>
          <cell r="AA57">
            <v>1</v>
          </cell>
          <cell r="AU57">
            <v>1</v>
          </cell>
          <cell r="AV57">
            <v>1</v>
          </cell>
          <cell r="AX57">
            <v>1</v>
          </cell>
          <cell r="AY57">
            <v>1</v>
          </cell>
          <cell r="AZ57" t="str">
            <v>B</v>
          </cell>
          <cell r="BA57" t="str">
            <v>신아금속</v>
          </cell>
          <cell r="BB57" t="str">
            <v>H50A20K</v>
          </cell>
          <cell r="BC57" t="str">
            <v>H1</v>
          </cell>
          <cell r="BD57" t="str">
            <v>K591</v>
          </cell>
          <cell r="BE57" t="str">
            <v>HR'</v>
          </cell>
          <cell r="BI57">
            <v>0</v>
          </cell>
          <cell r="BJ57">
            <v>456</v>
          </cell>
          <cell r="BK57">
            <v>0</v>
          </cell>
          <cell r="BL57">
            <v>35</v>
          </cell>
          <cell r="BO57">
            <v>0</v>
          </cell>
        </row>
        <row r="58">
          <cell r="C58">
            <v>539</v>
          </cell>
          <cell r="D58" t="str">
            <v>HC250001A</v>
          </cell>
          <cell r="E58" t="str">
            <v xml:space="preserve"> EXT ASSY RR FLR</v>
          </cell>
          <cell r="R58">
            <v>1</v>
          </cell>
          <cell r="AB58">
            <v>1</v>
          </cell>
          <cell r="AZ58" t="str">
            <v>B</v>
          </cell>
          <cell r="BA58" t="str">
            <v>신아금속</v>
          </cell>
          <cell r="BB58" t="str">
            <v>H50A12K</v>
          </cell>
          <cell r="BD58" t="str">
            <v>K591</v>
          </cell>
          <cell r="BE58" t="str">
            <v>VAN</v>
          </cell>
          <cell r="BI58">
            <v>0</v>
          </cell>
          <cell r="BJ58">
            <v>539</v>
          </cell>
          <cell r="BK58">
            <v>0</v>
          </cell>
          <cell r="BL58">
            <v>0</v>
          </cell>
          <cell r="BO58">
            <v>0</v>
          </cell>
        </row>
        <row r="59">
          <cell r="C59">
            <v>482</v>
          </cell>
          <cell r="D59" t="str">
            <v>HC756003A</v>
          </cell>
          <cell r="E59" t="str">
            <v xml:space="preserve"> EXT,RR FLOOR,RR</v>
          </cell>
          <cell r="F59" t="str">
            <v>-973A</v>
          </cell>
          <cell r="S59">
            <v>1</v>
          </cell>
          <cell r="T59">
            <v>1</v>
          </cell>
          <cell r="Y59">
            <v>1</v>
          </cell>
          <cell r="Z59">
            <v>1</v>
          </cell>
          <cell r="AA59">
            <v>1</v>
          </cell>
          <cell r="AU59">
            <v>1</v>
          </cell>
          <cell r="AV59">
            <v>1</v>
          </cell>
          <cell r="AZ59" t="str">
            <v>B</v>
          </cell>
          <cell r="BA59" t="str">
            <v>신아금속</v>
          </cell>
          <cell r="BB59" t="str">
            <v>H50A12K</v>
          </cell>
          <cell r="BC59" t="str">
            <v>HC756003</v>
          </cell>
          <cell r="BD59" t="str">
            <v>K591</v>
          </cell>
          <cell r="BE59" t="str">
            <v>HR'</v>
          </cell>
          <cell r="BI59">
            <v>0</v>
          </cell>
          <cell r="BJ59">
            <v>456</v>
          </cell>
          <cell r="BK59">
            <v>0</v>
          </cell>
          <cell r="BL59">
            <v>3</v>
          </cell>
          <cell r="BO59">
            <v>0</v>
          </cell>
        </row>
        <row r="60">
          <cell r="C60">
            <v>482</v>
          </cell>
          <cell r="D60" t="str">
            <v>HC756006</v>
          </cell>
          <cell r="E60" t="str">
            <v xml:space="preserve"> C/MBR,RR FLOOR(NO6 MOUNT)</v>
          </cell>
          <cell r="F60" t="str">
            <v>-973A</v>
          </cell>
          <cell r="S60">
            <v>1</v>
          </cell>
          <cell r="T60">
            <v>1</v>
          </cell>
          <cell r="Y60">
            <v>1</v>
          </cell>
          <cell r="Z60">
            <v>1</v>
          </cell>
          <cell r="AA60">
            <v>1</v>
          </cell>
          <cell r="AU60">
            <v>1</v>
          </cell>
          <cell r="AV60">
            <v>1</v>
          </cell>
          <cell r="AZ60" t="str">
            <v>B</v>
          </cell>
          <cell r="BA60" t="str">
            <v>신아금속</v>
          </cell>
          <cell r="BB60" t="str">
            <v>H50A12K</v>
          </cell>
          <cell r="BC60" t="str">
            <v>H</v>
          </cell>
          <cell r="BD60" t="str">
            <v>K591</v>
          </cell>
          <cell r="BE60" t="str">
            <v>HR'</v>
          </cell>
          <cell r="BI60">
            <v>0</v>
          </cell>
          <cell r="BJ60">
            <v>456</v>
          </cell>
          <cell r="BK60">
            <v>0</v>
          </cell>
          <cell r="BL60">
            <v>3</v>
          </cell>
          <cell r="BO60">
            <v>0</v>
          </cell>
        </row>
        <row r="61">
          <cell r="C61">
            <v>2584</v>
          </cell>
          <cell r="D61" t="str">
            <v>MB250019B</v>
          </cell>
          <cell r="E61" t="str">
            <v xml:space="preserve"> C/MBR ASS'Y,FRT SEAT LH</v>
          </cell>
          <cell r="G61">
            <v>1</v>
          </cell>
          <cell r="AZ61" t="str">
            <v>B</v>
          </cell>
          <cell r="BA61" t="str">
            <v>신아금속</v>
          </cell>
          <cell r="BB61" t="str">
            <v>H50A11K</v>
          </cell>
          <cell r="BD61" t="str">
            <v>K591</v>
          </cell>
          <cell r="BE61" t="str">
            <v>ALL</v>
          </cell>
          <cell r="BI61">
            <v>0</v>
          </cell>
          <cell r="BJ61">
            <v>0</v>
          </cell>
          <cell r="BK61">
            <v>0</v>
          </cell>
          <cell r="BL61">
            <v>0</v>
          </cell>
          <cell r="BO61">
            <v>0</v>
          </cell>
        </row>
        <row r="62">
          <cell r="C62">
            <v>2584</v>
          </cell>
          <cell r="D62" t="str">
            <v>MB250020B</v>
          </cell>
          <cell r="E62" t="str">
            <v xml:space="preserve"> C/MBR ASS'Y,FRT SEAT RH</v>
          </cell>
          <cell r="G62">
            <v>1</v>
          </cell>
          <cell r="AZ62" t="str">
            <v>B</v>
          </cell>
          <cell r="BA62" t="str">
            <v>신아금속</v>
          </cell>
          <cell r="BB62" t="str">
            <v>H50A11K</v>
          </cell>
          <cell r="BD62" t="str">
            <v>K591</v>
          </cell>
          <cell r="BE62" t="str">
            <v>ALL</v>
          </cell>
          <cell r="BI62">
            <v>0</v>
          </cell>
          <cell r="BJ62">
            <v>0</v>
          </cell>
          <cell r="BK62">
            <v>0</v>
          </cell>
          <cell r="BL62">
            <v>0</v>
          </cell>
          <cell r="BO62">
            <v>0</v>
          </cell>
        </row>
        <row r="63">
          <cell r="C63">
            <v>1384</v>
          </cell>
          <cell r="D63" t="str">
            <v>MB250029</v>
          </cell>
          <cell r="E63" t="str">
            <v xml:space="preserve"> REINF,FRT FLR</v>
          </cell>
          <cell r="H63">
            <v>2</v>
          </cell>
          <cell r="L63">
            <v>2</v>
          </cell>
          <cell r="M63">
            <v>2</v>
          </cell>
          <cell r="N63">
            <v>2</v>
          </cell>
          <cell r="P63">
            <v>2</v>
          </cell>
          <cell r="R63">
            <v>2</v>
          </cell>
          <cell r="U63">
            <v>2</v>
          </cell>
          <cell r="W63">
            <v>2</v>
          </cell>
          <cell r="AB63">
            <v>2</v>
          </cell>
          <cell r="AC63">
            <v>2</v>
          </cell>
          <cell r="AD63">
            <v>2</v>
          </cell>
          <cell r="AF63">
            <v>2</v>
          </cell>
          <cell r="AH63">
            <v>2</v>
          </cell>
          <cell r="AL63">
            <v>2</v>
          </cell>
          <cell r="AM63">
            <v>2</v>
          </cell>
          <cell r="AN63">
            <v>2</v>
          </cell>
          <cell r="AO63">
            <v>2</v>
          </cell>
          <cell r="AP63">
            <v>2</v>
          </cell>
          <cell r="AW63">
            <v>2</v>
          </cell>
          <cell r="AZ63" t="str">
            <v>B</v>
          </cell>
          <cell r="BA63" t="str">
            <v>신아금속</v>
          </cell>
          <cell r="BB63" t="str">
            <v>H50A11K</v>
          </cell>
          <cell r="BD63" t="str">
            <v>K591</v>
          </cell>
          <cell r="BE63" t="str">
            <v>S/B</v>
          </cell>
          <cell r="BI63">
            <v>98</v>
          </cell>
          <cell r="BJ63">
            <v>1078</v>
          </cell>
          <cell r="BK63">
            <v>56</v>
          </cell>
          <cell r="BL63">
            <v>4</v>
          </cell>
          <cell r="BO63">
            <v>0</v>
          </cell>
        </row>
        <row r="64">
          <cell r="C64">
            <v>139</v>
          </cell>
          <cell r="D64" t="str">
            <v>MB250066A</v>
          </cell>
          <cell r="E64" t="str">
            <v xml:space="preserve"> EXT RR FLOOR</v>
          </cell>
          <cell r="H64">
            <v>1</v>
          </cell>
          <cell r="L64">
            <v>1</v>
          </cell>
          <cell r="M64">
            <v>1</v>
          </cell>
          <cell r="N64">
            <v>1</v>
          </cell>
          <cell r="P64">
            <v>1</v>
          </cell>
          <cell r="U64">
            <v>1</v>
          </cell>
          <cell r="AC64">
            <v>1</v>
          </cell>
          <cell r="AD64">
            <v>1</v>
          </cell>
          <cell r="AF64">
            <v>1</v>
          </cell>
          <cell r="AL64">
            <v>1</v>
          </cell>
          <cell r="AM64">
            <v>1</v>
          </cell>
          <cell r="AO64">
            <v>1</v>
          </cell>
          <cell r="AZ64" t="str">
            <v>B</v>
          </cell>
          <cell r="BA64" t="str">
            <v>신아금속</v>
          </cell>
          <cell r="BB64" t="str">
            <v>H50A12K</v>
          </cell>
          <cell r="BD64" t="str">
            <v>K591</v>
          </cell>
          <cell r="BE64" t="str">
            <v>DSL S/B</v>
          </cell>
          <cell r="BI64">
            <v>49</v>
          </cell>
          <cell r="BJ64">
            <v>0</v>
          </cell>
          <cell r="BK64">
            <v>21</v>
          </cell>
          <cell r="BL64">
            <v>0</v>
          </cell>
          <cell r="BO64">
            <v>0</v>
          </cell>
        </row>
        <row r="65">
          <cell r="C65">
            <v>1776</v>
          </cell>
          <cell r="D65" t="str">
            <v>MB250080A</v>
          </cell>
          <cell r="E65" t="str">
            <v xml:space="preserve"> C/MBR,RR FLOOR</v>
          </cell>
          <cell r="F65" t="str">
            <v>-973A</v>
          </cell>
          <cell r="I65">
            <v>1</v>
          </cell>
          <cell r="J65">
            <v>1</v>
          </cell>
          <cell r="K65">
            <v>1</v>
          </cell>
          <cell r="O65">
            <v>1</v>
          </cell>
          <cell r="Q65">
            <v>1</v>
          </cell>
          <cell r="S65">
            <v>1</v>
          </cell>
          <cell r="T65">
            <v>1</v>
          </cell>
          <cell r="V65">
            <v>1</v>
          </cell>
          <cell r="Y65">
            <v>1</v>
          </cell>
          <cell r="Z65">
            <v>1</v>
          </cell>
          <cell r="AA65">
            <v>1</v>
          </cell>
          <cell r="AG65">
            <v>1</v>
          </cell>
          <cell r="AJ65">
            <v>1</v>
          </cell>
          <cell r="AK65">
            <v>1</v>
          </cell>
          <cell r="AQ65">
            <v>1</v>
          </cell>
          <cell r="AS65">
            <v>1</v>
          </cell>
          <cell r="AU65">
            <v>1</v>
          </cell>
          <cell r="AV65">
            <v>1</v>
          </cell>
          <cell r="AX65">
            <v>1</v>
          </cell>
          <cell r="AZ65" t="str">
            <v>B</v>
          </cell>
          <cell r="BA65" t="str">
            <v>신아금속</v>
          </cell>
          <cell r="BB65" t="str">
            <v>H50A12K</v>
          </cell>
          <cell r="BD65" t="str">
            <v>K591</v>
          </cell>
          <cell r="BI65">
            <v>888</v>
          </cell>
          <cell r="BJ65">
            <v>456</v>
          </cell>
          <cell r="BK65">
            <v>37</v>
          </cell>
          <cell r="BL65">
            <v>56</v>
          </cell>
          <cell r="BO65">
            <v>0</v>
          </cell>
        </row>
        <row r="66">
          <cell r="C66">
            <v>692</v>
          </cell>
          <cell r="D66" t="str">
            <v>MB250090A</v>
          </cell>
          <cell r="E66" t="str">
            <v xml:space="preserve"> C/MBR,RR FLOOR,RR</v>
          </cell>
          <cell r="H66">
            <v>1</v>
          </cell>
          <cell r="L66">
            <v>1</v>
          </cell>
          <cell r="M66">
            <v>1</v>
          </cell>
          <cell r="N66">
            <v>1</v>
          </cell>
          <cell r="P66">
            <v>1</v>
          </cell>
          <cell r="R66">
            <v>1</v>
          </cell>
          <cell r="U66">
            <v>1</v>
          </cell>
          <cell r="W66">
            <v>1</v>
          </cell>
          <cell r="AC66">
            <v>1</v>
          </cell>
          <cell r="AD66">
            <v>1</v>
          </cell>
          <cell r="AF66">
            <v>1</v>
          </cell>
          <cell r="AH66">
            <v>1</v>
          </cell>
          <cell r="AL66">
            <v>1</v>
          </cell>
          <cell r="AM66">
            <v>1</v>
          </cell>
          <cell r="AN66">
            <v>1</v>
          </cell>
          <cell r="AO66">
            <v>1</v>
          </cell>
          <cell r="AP66">
            <v>1</v>
          </cell>
          <cell r="AW66">
            <v>1</v>
          </cell>
          <cell r="AZ66" t="str">
            <v>B</v>
          </cell>
          <cell r="BA66" t="str">
            <v>신아금속</v>
          </cell>
          <cell r="BB66" t="str">
            <v>H50A12K</v>
          </cell>
          <cell r="BC66" t="str">
            <v>-HC000164L/B미적용</v>
          </cell>
          <cell r="BD66" t="str">
            <v>K591</v>
          </cell>
          <cell r="BE66" t="str">
            <v>S/B</v>
          </cell>
          <cell r="BI66">
            <v>49</v>
          </cell>
          <cell r="BJ66">
            <v>539</v>
          </cell>
          <cell r="BK66">
            <v>28</v>
          </cell>
          <cell r="BL66">
            <v>2</v>
          </cell>
          <cell r="BO66">
            <v>0</v>
          </cell>
        </row>
        <row r="67">
          <cell r="C67">
            <v>692</v>
          </cell>
          <cell r="D67" t="str">
            <v>MB250630A</v>
          </cell>
          <cell r="E67" t="str">
            <v xml:space="preserve"> PANEL,TOOL BOX LID</v>
          </cell>
          <cell r="H67">
            <v>1</v>
          </cell>
          <cell r="L67">
            <v>1</v>
          </cell>
          <cell r="M67">
            <v>1</v>
          </cell>
          <cell r="N67">
            <v>1</v>
          </cell>
          <cell r="P67">
            <v>1</v>
          </cell>
          <cell r="R67">
            <v>1</v>
          </cell>
          <cell r="U67">
            <v>1</v>
          </cell>
          <cell r="W67">
            <v>1</v>
          </cell>
          <cell r="AB67">
            <v>1</v>
          </cell>
          <cell r="AC67">
            <v>1</v>
          </cell>
          <cell r="AD67">
            <v>1</v>
          </cell>
          <cell r="AF67">
            <v>1</v>
          </cell>
          <cell r="AH67">
            <v>1</v>
          </cell>
          <cell r="AL67">
            <v>1</v>
          </cell>
          <cell r="AM67">
            <v>1</v>
          </cell>
          <cell r="AN67">
            <v>1</v>
          </cell>
          <cell r="AO67">
            <v>1</v>
          </cell>
          <cell r="AP67">
            <v>1</v>
          </cell>
          <cell r="AW67">
            <v>1</v>
          </cell>
          <cell r="AZ67" t="str">
            <v>B</v>
          </cell>
          <cell r="BA67" t="str">
            <v>신아금속</v>
          </cell>
          <cell r="BB67" t="str">
            <v>H50B38K</v>
          </cell>
          <cell r="BD67" t="str">
            <v>K591</v>
          </cell>
          <cell r="BE67" t="str">
            <v>S/B</v>
          </cell>
          <cell r="BI67">
            <v>49</v>
          </cell>
          <cell r="BJ67">
            <v>539</v>
          </cell>
          <cell r="BK67">
            <v>28</v>
          </cell>
          <cell r="BL67">
            <v>2</v>
          </cell>
          <cell r="BO67">
            <v>0</v>
          </cell>
        </row>
        <row r="68">
          <cell r="C68">
            <v>3784</v>
          </cell>
          <cell r="D68" t="str">
            <v>MB274990A</v>
          </cell>
          <cell r="E68" t="str">
            <v xml:space="preserve"> PANEL,TOOL BOX LID</v>
          </cell>
          <cell r="I68">
            <v>2</v>
          </cell>
          <cell r="J68">
            <v>2</v>
          </cell>
          <cell r="K68">
            <v>2</v>
          </cell>
          <cell r="O68">
            <v>2</v>
          </cell>
          <cell r="Q68">
            <v>2</v>
          </cell>
          <cell r="S68">
            <v>2</v>
          </cell>
          <cell r="T68">
            <v>2</v>
          </cell>
          <cell r="V68">
            <v>2</v>
          </cell>
          <cell r="X68">
            <v>2</v>
          </cell>
          <cell r="Y68">
            <v>2</v>
          </cell>
          <cell r="Z68">
            <v>2</v>
          </cell>
          <cell r="AA68">
            <v>2</v>
          </cell>
          <cell r="AE68">
            <v>2</v>
          </cell>
          <cell r="AG68">
            <v>2</v>
          </cell>
          <cell r="AI68">
            <v>2</v>
          </cell>
          <cell r="AJ68">
            <v>2</v>
          </cell>
          <cell r="AK68">
            <v>2</v>
          </cell>
          <cell r="AQ68">
            <v>2</v>
          </cell>
          <cell r="AR68">
            <v>2</v>
          </cell>
          <cell r="AS68">
            <v>2</v>
          </cell>
          <cell r="AT68">
            <v>2</v>
          </cell>
          <cell r="AU68">
            <v>2</v>
          </cell>
          <cell r="AV68">
            <v>2</v>
          </cell>
          <cell r="AX68">
            <v>2</v>
          </cell>
          <cell r="AY68">
            <v>2</v>
          </cell>
          <cell r="AZ68" t="str">
            <v>B</v>
          </cell>
          <cell r="BA68" t="str">
            <v>신아금속</v>
          </cell>
          <cell r="BB68" t="str">
            <v>H50B38K</v>
          </cell>
          <cell r="BD68" t="str">
            <v>K591</v>
          </cell>
          <cell r="BI68">
            <v>1776</v>
          </cell>
          <cell r="BJ68">
            <v>916</v>
          </cell>
          <cell r="BK68">
            <v>180</v>
          </cell>
          <cell r="BL68">
            <v>200</v>
          </cell>
          <cell r="BO68">
            <v>0</v>
          </cell>
        </row>
        <row r="69">
          <cell r="C69">
            <v>1410</v>
          </cell>
          <cell r="D69" t="str">
            <v>MB275004B</v>
          </cell>
          <cell r="E69" t="str">
            <v xml:space="preserve"> EXT,RR FLOOR,RR</v>
          </cell>
          <cell r="F69" t="str">
            <v>-972B</v>
          </cell>
          <cell r="I69">
            <v>1</v>
          </cell>
          <cell r="J69">
            <v>1</v>
          </cell>
          <cell r="K69">
            <v>1</v>
          </cell>
          <cell r="O69">
            <v>1</v>
          </cell>
          <cell r="Q69">
            <v>1</v>
          </cell>
          <cell r="V69">
            <v>1</v>
          </cell>
          <cell r="X69">
            <v>1</v>
          </cell>
          <cell r="AE69">
            <v>1</v>
          </cell>
          <cell r="AG69">
            <v>1</v>
          </cell>
          <cell r="AI69">
            <v>1</v>
          </cell>
          <cell r="AJ69">
            <v>1</v>
          </cell>
          <cell r="AK69">
            <v>1</v>
          </cell>
          <cell r="AQ69">
            <v>1</v>
          </cell>
          <cell r="AR69">
            <v>1</v>
          </cell>
          <cell r="AS69">
            <v>1</v>
          </cell>
          <cell r="AT69">
            <v>1</v>
          </cell>
          <cell r="AX69">
            <v>1</v>
          </cell>
          <cell r="AY69">
            <v>1</v>
          </cell>
          <cell r="AZ69" t="str">
            <v>B</v>
          </cell>
          <cell r="BA69" t="str">
            <v>신아금속</v>
          </cell>
          <cell r="BB69" t="str">
            <v>H50A12K</v>
          </cell>
          <cell r="BC69" t="str">
            <v>MB591525A</v>
          </cell>
          <cell r="BD69" t="str">
            <v>K591</v>
          </cell>
          <cell r="BE69" t="str">
            <v>2</v>
          </cell>
          <cell r="BI69">
            <v>888</v>
          </cell>
          <cell r="BJ69">
            <v>2</v>
          </cell>
          <cell r="BK69">
            <v>90</v>
          </cell>
          <cell r="BL69">
            <v>97</v>
          </cell>
          <cell r="BO69">
            <v>0</v>
          </cell>
        </row>
        <row r="70">
          <cell r="C70">
            <v>1892</v>
          </cell>
          <cell r="D70" t="str">
            <v>MB275042A</v>
          </cell>
          <cell r="E70" t="str">
            <v xml:space="preserve"> BOX ASS'Y TOOL</v>
          </cell>
          <cell r="I70">
            <v>1</v>
          </cell>
          <cell r="J70">
            <v>1</v>
          </cell>
          <cell r="K70">
            <v>1</v>
          </cell>
          <cell r="O70">
            <v>1</v>
          </cell>
          <cell r="Q70">
            <v>1</v>
          </cell>
          <cell r="S70">
            <v>1</v>
          </cell>
          <cell r="T70">
            <v>1</v>
          </cell>
          <cell r="V70">
            <v>1</v>
          </cell>
          <cell r="X70">
            <v>1</v>
          </cell>
          <cell r="Y70">
            <v>1</v>
          </cell>
          <cell r="Z70">
            <v>1</v>
          </cell>
          <cell r="AA70">
            <v>1</v>
          </cell>
          <cell r="AE70">
            <v>1</v>
          </cell>
          <cell r="AG70">
            <v>1</v>
          </cell>
          <cell r="AI70">
            <v>1</v>
          </cell>
          <cell r="AJ70">
            <v>1</v>
          </cell>
          <cell r="AK70">
            <v>1</v>
          </cell>
          <cell r="AQ70">
            <v>1</v>
          </cell>
          <cell r="AR70">
            <v>1</v>
          </cell>
          <cell r="AS70">
            <v>1</v>
          </cell>
          <cell r="AT70">
            <v>1</v>
          </cell>
          <cell r="AU70">
            <v>1</v>
          </cell>
          <cell r="AV70">
            <v>1</v>
          </cell>
          <cell r="AX70">
            <v>1</v>
          </cell>
          <cell r="AY70">
            <v>1</v>
          </cell>
          <cell r="AZ70" t="str">
            <v>B</v>
          </cell>
          <cell r="BA70" t="str">
            <v>신아금속</v>
          </cell>
          <cell r="BB70" t="str">
            <v>H50A11K</v>
          </cell>
          <cell r="BD70" t="str">
            <v>K591</v>
          </cell>
          <cell r="BI70">
            <v>888</v>
          </cell>
          <cell r="BJ70">
            <v>458</v>
          </cell>
          <cell r="BK70">
            <v>90</v>
          </cell>
          <cell r="BL70">
            <v>100</v>
          </cell>
          <cell r="BO70">
            <v>0</v>
          </cell>
        </row>
        <row r="71">
          <cell r="C71">
            <v>678</v>
          </cell>
          <cell r="D71" t="str">
            <v>MB275217A</v>
          </cell>
          <cell r="E71" t="str">
            <v xml:space="preserve"> C/MBR,RR FLOOR</v>
          </cell>
          <cell r="H71">
            <v>1</v>
          </cell>
          <cell r="L71">
            <v>1</v>
          </cell>
          <cell r="M71">
            <v>1</v>
          </cell>
          <cell r="N71">
            <v>1</v>
          </cell>
          <cell r="P71">
            <v>1</v>
          </cell>
          <cell r="R71">
            <v>1</v>
          </cell>
          <cell r="U71">
            <v>1</v>
          </cell>
          <cell r="AB71">
            <v>1</v>
          </cell>
          <cell r="AC71">
            <v>1</v>
          </cell>
          <cell r="AD71">
            <v>1</v>
          </cell>
          <cell r="AF71">
            <v>1</v>
          </cell>
          <cell r="AL71">
            <v>1</v>
          </cell>
          <cell r="AM71">
            <v>1</v>
          </cell>
          <cell r="AO71">
            <v>1</v>
          </cell>
          <cell r="AZ71" t="str">
            <v>B</v>
          </cell>
          <cell r="BA71" t="str">
            <v>신아금속</v>
          </cell>
          <cell r="BB71" t="str">
            <v>H50A12K</v>
          </cell>
          <cell r="BD71" t="str">
            <v>K591</v>
          </cell>
          <cell r="BE71" t="str">
            <v>DSL S/B</v>
          </cell>
          <cell r="BI71">
            <v>49</v>
          </cell>
          <cell r="BJ71">
            <v>539</v>
          </cell>
          <cell r="BK71">
            <v>21</v>
          </cell>
          <cell r="BL71">
            <v>0</v>
          </cell>
          <cell r="BO71">
            <v>0</v>
          </cell>
        </row>
        <row r="72">
          <cell r="C72">
            <v>692</v>
          </cell>
          <cell r="D72" t="str">
            <v>MB275876A</v>
          </cell>
          <cell r="E72" t="str">
            <v xml:space="preserve"> PILLAR,CTR,INR,LWR ASSY RH</v>
          </cell>
          <cell r="H72">
            <v>1</v>
          </cell>
          <cell r="L72">
            <v>1</v>
          </cell>
          <cell r="M72">
            <v>1</v>
          </cell>
          <cell r="N72">
            <v>1</v>
          </cell>
          <cell r="P72">
            <v>1</v>
          </cell>
          <cell r="R72">
            <v>1</v>
          </cell>
          <cell r="U72">
            <v>1</v>
          </cell>
          <cell r="W72">
            <v>1</v>
          </cell>
          <cell r="AB72">
            <v>1</v>
          </cell>
          <cell r="AC72">
            <v>1</v>
          </cell>
          <cell r="AD72">
            <v>1</v>
          </cell>
          <cell r="AF72">
            <v>1</v>
          </cell>
          <cell r="AH72">
            <v>1</v>
          </cell>
          <cell r="AL72">
            <v>1</v>
          </cell>
          <cell r="AM72">
            <v>1</v>
          </cell>
          <cell r="AN72">
            <v>1</v>
          </cell>
          <cell r="AO72">
            <v>1</v>
          </cell>
          <cell r="AP72">
            <v>1</v>
          </cell>
          <cell r="AW72">
            <v>1</v>
          </cell>
          <cell r="AZ72" t="str">
            <v>B</v>
          </cell>
          <cell r="BA72" t="str">
            <v>신아금속</v>
          </cell>
          <cell r="BB72" t="str">
            <v>H50A17K</v>
          </cell>
          <cell r="BD72" t="str">
            <v>K591</v>
          </cell>
          <cell r="BE72" t="str">
            <v>S/B</v>
          </cell>
          <cell r="BI72">
            <v>49</v>
          </cell>
          <cell r="BJ72">
            <v>539</v>
          </cell>
          <cell r="BK72">
            <v>28</v>
          </cell>
          <cell r="BL72">
            <v>2</v>
          </cell>
          <cell r="BO72">
            <v>0</v>
          </cell>
        </row>
        <row r="73">
          <cell r="C73">
            <v>830</v>
          </cell>
          <cell r="D73" t="str">
            <v>MB591409A</v>
          </cell>
          <cell r="E73" t="str">
            <v xml:space="preserve"> BRKT,PK/BRK,LVR</v>
          </cell>
          <cell r="O73">
            <v>1</v>
          </cell>
          <cell r="Q73">
            <v>1</v>
          </cell>
          <cell r="X73">
            <v>1</v>
          </cell>
          <cell r="Z73">
            <v>1</v>
          </cell>
          <cell r="AE73">
            <v>1</v>
          </cell>
          <cell r="AI73">
            <v>1</v>
          </cell>
          <cell r="AR73">
            <v>1</v>
          </cell>
          <cell r="AS73">
            <v>1</v>
          </cell>
          <cell r="AT73">
            <v>1</v>
          </cell>
          <cell r="AY73">
            <v>1</v>
          </cell>
          <cell r="AZ73" t="str">
            <v>B</v>
          </cell>
          <cell r="BA73" t="str">
            <v>신아금속</v>
          </cell>
          <cell r="BB73" t="str">
            <v>H50A11K01-1,2,5^7,9^14,62,63</v>
          </cell>
          <cell r="BC73" t="str">
            <v>K21은A/T만</v>
          </cell>
          <cell r="BD73" t="str">
            <v>K591</v>
          </cell>
          <cell r="BE73" t="str">
            <v>S/B</v>
          </cell>
          <cell r="BI73">
            <v>397</v>
          </cell>
          <cell r="BJ73">
            <v>2</v>
          </cell>
          <cell r="BK73">
            <v>53</v>
          </cell>
          <cell r="BL73">
            <v>73</v>
          </cell>
          <cell r="BO73">
            <v>0</v>
          </cell>
        </row>
        <row r="74">
          <cell r="C74">
            <v>692</v>
          </cell>
          <cell r="D74" t="str">
            <v>HQ505214</v>
          </cell>
          <cell r="E74" t="str">
            <v xml:space="preserve"> BRKT,PK/BRK,LVR</v>
          </cell>
          <cell r="H74">
            <v>1</v>
          </cell>
          <cell r="L74">
            <v>1</v>
          </cell>
          <cell r="M74">
            <v>1</v>
          </cell>
          <cell r="N74">
            <v>1</v>
          </cell>
          <cell r="P74">
            <v>1</v>
          </cell>
          <cell r="R74">
            <v>1</v>
          </cell>
          <cell r="U74">
            <v>1</v>
          </cell>
          <cell r="W74">
            <v>1</v>
          </cell>
          <cell r="AB74">
            <v>1</v>
          </cell>
          <cell r="AC74">
            <v>1</v>
          </cell>
          <cell r="AD74">
            <v>1</v>
          </cell>
          <cell r="AF74">
            <v>1</v>
          </cell>
          <cell r="AH74">
            <v>1</v>
          </cell>
          <cell r="AL74">
            <v>1</v>
          </cell>
          <cell r="AM74">
            <v>1</v>
          </cell>
          <cell r="AN74">
            <v>1</v>
          </cell>
          <cell r="AO74">
            <v>1</v>
          </cell>
          <cell r="AP74">
            <v>1</v>
          </cell>
          <cell r="AW74">
            <v>1</v>
          </cell>
          <cell r="AZ74" t="str">
            <v>B</v>
          </cell>
          <cell r="BA74" t="str">
            <v>신아금속</v>
          </cell>
          <cell r="BB74" t="str">
            <v>H50A11K01-1,2,5^7,9^14,62,63</v>
          </cell>
          <cell r="BC74" t="str">
            <v>K21은A/T만</v>
          </cell>
          <cell r="BD74" t="str">
            <v>K591</v>
          </cell>
          <cell r="BE74" t="str">
            <v>S/B</v>
          </cell>
          <cell r="BI74">
            <v>49</v>
          </cell>
          <cell r="BJ74">
            <v>539</v>
          </cell>
          <cell r="BK74">
            <v>28</v>
          </cell>
          <cell r="BL74">
            <v>2</v>
          </cell>
          <cell r="BO74">
            <v>0</v>
          </cell>
        </row>
        <row r="75">
          <cell r="C75">
            <v>1357</v>
          </cell>
          <cell r="D75" t="str">
            <v>MB591525B</v>
          </cell>
          <cell r="E75" t="str">
            <v xml:space="preserve"> EXT,RR FLR RR</v>
          </cell>
          <cell r="F75" t="str">
            <v>+RR HTR</v>
          </cell>
          <cell r="J75">
            <v>1</v>
          </cell>
          <cell r="K75">
            <v>1</v>
          </cell>
          <cell r="O75">
            <v>1</v>
          </cell>
          <cell r="Q75">
            <v>1</v>
          </cell>
          <cell r="X75">
            <v>1</v>
          </cell>
          <cell r="AE75">
            <v>1</v>
          </cell>
          <cell r="AI75">
            <v>1</v>
          </cell>
          <cell r="AJ75">
            <v>1</v>
          </cell>
          <cell r="AQ75">
            <v>1</v>
          </cell>
          <cell r="AR75">
            <v>1</v>
          </cell>
          <cell r="AS75">
            <v>1</v>
          </cell>
          <cell r="AT75">
            <v>1</v>
          </cell>
          <cell r="AX75">
            <v>1</v>
          </cell>
          <cell r="AZ75" t="str">
            <v>B</v>
          </cell>
          <cell r="BA75" t="str">
            <v>신아금속</v>
          </cell>
          <cell r="BB75" t="str">
            <v>H50A12K</v>
          </cell>
          <cell r="BC75" t="str">
            <v>MB591525A</v>
          </cell>
          <cell r="BD75" t="str">
            <v>K591</v>
          </cell>
          <cell r="BI75">
            <v>868</v>
          </cell>
          <cell r="BJ75">
            <v>2</v>
          </cell>
          <cell r="BK75">
            <v>89</v>
          </cell>
          <cell r="BL75">
            <v>65</v>
          </cell>
          <cell r="BO75">
            <v>0</v>
          </cell>
        </row>
        <row r="76">
          <cell r="C76">
            <v>14</v>
          </cell>
          <cell r="D76" t="str">
            <v>MB591711A</v>
          </cell>
          <cell r="E76" t="str">
            <v xml:space="preserve"> EXT,RR FLOOR</v>
          </cell>
          <cell r="W76">
            <v>1</v>
          </cell>
          <cell r="AH76">
            <v>1</v>
          </cell>
          <cell r="AN76">
            <v>1</v>
          </cell>
          <cell r="AP76">
            <v>1</v>
          </cell>
          <cell r="AW76">
            <v>1</v>
          </cell>
          <cell r="AZ76" t="str">
            <v>B</v>
          </cell>
          <cell r="BA76" t="str">
            <v>신아금속</v>
          </cell>
          <cell r="BB76" t="str">
            <v>H50A12K</v>
          </cell>
          <cell r="BD76" t="str">
            <v>K591</v>
          </cell>
          <cell r="BE76" t="str">
            <v>5,14</v>
          </cell>
          <cell r="BI76">
            <v>0</v>
          </cell>
          <cell r="BJ76">
            <v>0</v>
          </cell>
          <cell r="BK76">
            <v>7</v>
          </cell>
          <cell r="BL76">
            <v>2</v>
          </cell>
          <cell r="BO76">
            <v>0</v>
          </cell>
        </row>
        <row r="77">
          <cell r="C77">
            <v>1310</v>
          </cell>
          <cell r="D77" t="str">
            <v>XB591311</v>
          </cell>
          <cell r="E77" t="str">
            <v xml:space="preserve"> C/MBR,RR FLOOR(NO6 MOUNT)</v>
          </cell>
          <cell r="J77">
            <v>1</v>
          </cell>
          <cell r="K77">
            <v>1</v>
          </cell>
          <cell r="O77">
            <v>1</v>
          </cell>
          <cell r="Q77">
            <v>1</v>
          </cell>
          <cell r="X77">
            <v>1</v>
          </cell>
          <cell r="Z77">
            <v>1</v>
          </cell>
          <cell r="AE77">
            <v>1</v>
          </cell>
          <cell r="AI77">
            <v>1</v>
          </cell>
          <cell r="AK77">
            <v>1</v>
          </cell>
          <cell r="AQ77">
            <v>1</v>
          </cell>
          <cell r="AS77">
            <v>1</v>
          </cell>
          <cell r="AT77">
            <v>1</v>
          </cell>
          <cell r="AZ77" t="str">
            <v>B</v>
          </cell>
          <cell r="BA77" t="str">
            <v>신아금속</v>
          </cell>
          <cell r="BB77" t="str">
            <v>H50A12K</v>
          </cell>
          <cell r="BD77" t="str">
            <v>K591</v>
          </cell>
          <cell r="BI77">
            <v>868</v>
          </cell>
          <cell r="BJ77">
            <v>2</v>
          </cell>
          <cell r="BK77">
            <v>54</v>
          </cell>
          <cell r="BL77">
            <v>53</v>
          </cell>
          <cell r="BO77">
            <v>0</v>
          </cell>
        </row>
        <row r="78">
          <cell r="C78">
            <v>2584</v>
          </cell>
          <cell r="D78" t="str">
            <v>MB112558A</v>
          </cell>
          <cell r="E78" t="str">
            <v xml:space="preserve"> HINGE,B/DR UPR</v>
          </cell>
          <cell r="G78">
            <v>1</v>
          </cell>
          <cell r="AZ78" t="str">
            <v>B</v>
          </cell>
          <cell r="BA78" t="str">
            <v>고려공업</v>
          </cell>
          <cell r="BB78" t="str">
            <v>H50B33K</v>
          </cell>
          <cell r="BD78" t="str">
            <v>K572</v>
          </cell>
          <cell r="BE78" t="str">
            <v>ALL</v>
          </cell>
          <cell r="BI78">
            <v>0</v>
          </cell>
          <cell r="BJ78">
            <v>0</v>
          </cell>
          <cell r="BK78">
            <v>0</v>
          </cell>
          <cell r="BL78">
            <v>0</v>
          </cell>
        </row>
        <row r="79">
          <cell r="C79">
            <v>2584</v>
          </cell>
          <cell r="D79" t="str">
            <v>MB112559A</v>
          </cell>
          <cell r="E79" t="str">
            <v xml:space="preserve"> HINGE,B/DR LWR</v>
          </cell>
          <cell r="G79">
            <v>1</v>
          </cell>
          <cell r="AZ79" t="str">
            <v>B</v>
          </cell>
          <cell r="BA79" t="str">
            <v>고려공업</v>
          </cell>
          <cell r="BB79" t="str">
            <v>H50B33K</v>
          </cell>
          <cell r="BD79" t="str">
            <v>K572</v>
          </cell>
          <cell r="BE79" t="str">
            <v>ALL</v>
          </cell>
          <cell r="BI79">
            <v>0</v>
          </cell>
          <cell r="BJ79">
            <v>0</v>
          </cell>
          <cell r="BK79">
            <v>0</v>
          </cell>
          <cell r="BL79">
            <v>0</v>
          </cell>
        </row>
        <row r="80">
          <cell r="C80">
            <v>50</v>
          </cell>
          <cell r="D80" t="str">
            <v>HG040001</v>
          </cell>
          <cell r="E80" t="str">
            <v xml:space="preserve"> REG ASSY,F/DR WDO LH(MANUAL)</v>
          </cell>
          <cell r="F80" t="str">
            <v>-824A</v>
          </cell>
          <cell r="H80">
            <v>1</v>
          </cell>
          <cell r="I80">
            <v>1</v>
          </cell>
          <cell r="AB80">
            <v>1</v>
          </cell>
          <cell r="AC80">
            <v>1</v>
          </cell>
          <cell r="AF80">
            <v>1</v>
          </cell>
          <cell r="AG80">
            <v>1</v>
          </cell>
          <cell r="AZ80" t="str">
            <v>T</v>
          </cell>
          <cell r="BA80" t="str">
            <v>광진상공</v>
          </cell>
          <cell r="BB80" t="str">
            <v>H51E31K</v>
          </cell>
          <cell r="BD80" t="str">
            <v>K596</v>
          </cell>
          <cell r="BE80" t="str">
            <v>STD</v>
          </cell>
          <cell r="BI80" t="e">
            <v>#REF!</v>
          </cell>
          <cell r="BJ80" t="e">
            <v>#REF!</v>
          </cell>
          <cell r="BK80" t="e">
            <v>#REF!</v>
          </cell>
          <cell r="BL80" t="e">
            <v>#REF!</v>
          </cell>
        </row>
        <row r="81">
          <cell r="C81">
            <v>50</v>
          </cell>
          <cell r="D81" t="str">
            <v>HG040002</v>
          </cell>
          <cell r="E81" t="str">
            <v xml:space="preserve"> REG ASSY,F/DR WDO RH(MANUAL)</v>
          </cell>
          <cell r="F81" t="str">
            <v>-824A</v>
          </cell>
          <cell r="H81">
            <v>1</v>
          </cell>
          <cell r="I81">
            <v>1</v>
          </cell>
          <cell r="AB81">
            <v>1</v>
          </cell>
          <cell r="AC81">
            <v>1</v>
          </cell>
          <cell r="AF81">
            <v>1</v>
          </cell>
          <cell r="AG81">
            <v>1</v>
          </cell>
          <cell r="AZ81" t="str">
            <v>T</v>
          </cell>
          <cell r="BA81" t="str">
            <v>광진상공</v>
          </cell>
          <cell r="BB81" t="str">
            <v>H51E31K</v>
          </cell>
          <cell r="BD81" t="str">
            <v>K596</v>
          </cell>
          <cell r="BE81" t="str">
            <v>STD</v>
          </cell>
          <cell r="BI81" t="e">
            <v>#REF!</v>
          </cell>
          <cell r="BJ81" t="e">
            <v>#REF!</v>
          </cell>
          <cell r="BK81" t="e">
            <v>#REF!</v>
          </cell>
          <cell r="BL81" t="e">
            <v>#REF!</v>
          </cell>
        </row>
        <row r="82">
          <cell r="C82">
            <v>2534</v>
          </cell>
          <cell r="D82" t="str">
            <v>HG040003</v>
          </cell>
          <cell r="E82" t="str">
            <v xml:space="preserve"> REGULATOR,F/DR P/WDO LH</v>
          </cell>
          <cell r="F82" t="str">
            <v>+824A</v>
          </cell>
          <cell r="J82">
            <v>1</v>
          </cell>
          <cell r="K82">
            <v>1</v>
          </cell>
          <cell r="L82">
            <v>1</v>
          </cell>
          <cell r="M82">
            <v>1</v>
          </cell>
          <cell r="N82">
            <v>1</v>
          </cell>
          <cell r="O82">
            <v>1</v>
          </cell>
          <cell r="P82">
            <v>1</v>
          </cell>
          <cell r="Q82">
            <v>1</v>
          </cell>
          <cell r="R82">
            <v>1</v>
          </cell>
          <cell r="S82">
            <v>1</v>
          </cell>
          <cell r="T82">
            <v>1</v>
          </cell>
          <cell r="U82">
            <v>1</v>
          </cell>
          <cell r="V82">
            <v>1</v>
          </cell>
          <cell r="W82">
            <v>1</v>
          </cell>
          <cell r="X82">
            <v>1</v>
          </cell>
          <cell r="Y82">
            <v>1</v>
          </cell>
          <cell r="Z82">
            <v>1</v>
          </cell>
          <cell r="AA82">
            <v>1</v>
          </cell>
          <cell r="AB82">
            <v>1</v>
          </cell>
          <cell r="AD82">
            <v>1</v>
          </cell>
          <cell r="AE82">
            <v>1</v>
          </cell>
          <cell r="AH82">
            <v>1</v>
          </cell>
          <cell r="AI82">
            <v>1</v>
          </cell>
          <cell r="AJ82">
            <v>1</v>
          </cell>
          <cell r="AK82">
            <v>1</v>
          </cell>
          <cell r="AL82">
            <v>1</v>
          </cell>
          <cell r="AM82">
            <v>1</v>
          </cell>
          <cell r="AN82">
            <v>1</v>
          </cell>
          <cell r="AO82">
            <v>1</v>
          </cell>
          <cell r="AP82">
            <v>1</v>
          </cell>
          <cell r="AQ82">
            <v>1</v>
          </cell>
          <cell r="AR82">
            <v>1</v>
          </cell>
          <cell r="AS82">
            <v>1</v>
          </cell>
          <cell r="AT82">
            <v>1</v>
          </cell>
          <cell r="AU82">
            <v>1</v>
          </cell>
          <cell r="AV82">
            <v>1</v>
          </cell>
          <cell r="AW82">
            <v>1</v>
          </cell>
          <cell r="AX82">
            <v>1</v>
          </cell>
          <cell r="AY82">
            <v>1</v>
          </cell>
          <cell r="AZ82" t="str">
            <v>T</v>
          </cell>
          <cell r="BA82" t="str">
            <v>광진상공</v>
          </cell>
          <cell r="BB82" t="str">
            <v>H51K31K</v>
          </cell>
          <cell r="BD82" t="str">
            <v>K596</v>
          </cell>
          <cell r="BI82" t="e">
            <v>#REF!</v>
          </cell>
          <cell r="BJ82" t="e">
            <v>#REF!</v>
          </cell>
          <cell r="BK82" t="e">
            <v>#REF!</v>
          </cell>
          <cell r="BL82" t="e">
            <v>#REF!</v>
          </cell>
        </row>
        <row r="83">
          <cell r="C83">
            <v>2534</v>
          </cell>
          <cell r="D83" t="str">
            <v>HG040004</v>
          </cell>
          <cell r="E83" t="str">
            <v xml:space="preserve"> REGULATOR,F/DR P/WDO RH</v>
          </cell>
          <cell r="F83" t="str">
            <v>+824A</v>
          </cell>
          <cell r="J83">
            <v>1</v>
          </cell>
          <cell r="K83">
            <v>1</v>
          </cell>
          <cell r="L83">
            <v>1</v>
          </cell>
          <cell r="M83">
            <v>1</v>
          </cell>
          <cell r="N83">
            <v>1</v>
          </cell>
          <cell r="O83">
            <v>1</v>
          </cell>
          <cell r="P83">
            <v>1</v>
          </cell>
          <cell r="Q83">
            <v>1</v>
          </cell>
          <cell r="R83">
            <v>1</v>
          </cell>
          <cell r="S83">
            <v>1</v>
          </cell>
          <cell r="T83">
            <v>1</v>
          </cell>
          <cell r="U83">
            <v>1</v>
          </cell>
          <cell r="V83">
            <v>1</v>
          </cell>
          <cell r="W83">
            <v>1</v>
          </cell>
          <cell r="X83">
            <v>1</v>
          </cell>
          <cell r="Y83">
            <v>1</v>
          </cell>
          <cell r="Z83">
            <v>1</v>
          </cell>
          <cell r="AA83">
            <v>1</v>
          </cell>
          <cell r="AB83">
            <v>1</v>
          </cell>
          <cell r="AD83">
            <v>1</v>
          </cell>
          <cell r="AE83">
            <v>1</v>
          </cell>
          <cell r="AH83">
            <v>1</v>
          </cell>
          <cell r="AI83">
            <v>1</v>
          </cell>
          <cell r="AJ83">
            <v>1</v>
          </cell>
          <cell r="AK83">
            <v>1</v>
          </cell>
          <cell r="AL83">
            <v>1</v>
          </cell>
          <cell r="AM83">
            <v>1</v>
          </cell>
          <cell r="AN83">
            <v>1</v>
          </cell>
          <cell r="AO83">
            <v>1</v>
          </cell>
          <cell r="AP83">
            <v>1</v>
          </cell>
          <cell r="AQ83">
            <v>1</v>
          </cell>
          <cell r="AR83">
            <v>1</v>
          </cell>
          <cell r="AS83">
            <v>1</v>
          </cell>
          <cell r="AT83">
            <v>1</v>
          </cell>
          <cell r="AU83">
            <v>1</v>
          </cell>
          <cell r="AV83">
            <v>1</v>
          </cell>
          <cell r="AW83">
            <v>1</v>
          </cell>
          <cell r="AX83">
            <v>1</v>
          </cell>
          <cell r="AY83">
            <v>1</v>
          </cell>
          <cell r="AZ83" t="str">
            <v>T</v>
          </cell>
          <cell r="BA83" t="str">
            <v>광진상공</v>
          </cell>
          <cell r="BB83" t="str">
            <v>H51K31K</v>
          </cell>
          <cell r="BD83" t="str">
            <v>K596</v>
          </cell>
          <cell r="BI83" t="e">
            <v>#REF!</v>
          </cell>
          <cell r="BJ83" t="e">
            <v>#REF!</v>
          </cell>
          <cell r="BK83" t="e">
            <v>#REF!</v>
          </cell>
          <cell r="BL83" t="e">
            <v>#REF!</v>
          </cell>
        </row>
        <row r="84">
          <cell r="C84">
            <v>2584</v>
          </cell>
          <cell r="D84" t="str">
            <v>HG050005</v>
          </cell>
          <cell r="E84" t="str">
            <v xml:space="preserve"> HOLDER(A),F/DR WDO GLASS LH</v>
          </cell>
          <cell r="G84">
            <v>1</v>
          </cell>
          <cell r="AZ84" t="str">
            <v>T</v>
          </cell>
          <cell r="BA84" t="str">
            <v>광진상공</v>
          </cell>
          <cell r="BB84" t="str">
            <v>H52A31K</v>
          </cell>
          <cell r="BD84" t="str">
            <v>K596</v>
          </cell>
          <cell r="BE84" t="str">
            <v>ALL</v>
          </cell>
          <cell r="BI84" t="e">
            <v>#REF!</v>
          </cell>
          <cell r="BJ84" t="e">
            <v>#REF!</v>
          </cell>
          <cell r="BK84" t="e">
            <v>#REF!</v>
          </cell>
          <cell r="BL84" t="e">
            <v>#REF!</v>
          </cell>
        </row>
        <row r="85">
          <cell r="C85">
            <v>2544</v>
          </cell>
          <cell r="D85" t="str">
            <v>HG050006</v>
          </cell>
          <cell r="E85" t="str">
            <v xml:space="preserve"> HOLDER(A),F/DR WDO GLASS RH</v>
          </cell>
          <cell r="H85">
            <v>1</v>
          </cell>
          <cell r="I85">
            <v>1</v>
          </cell>
          <cell r="J85">
            <v>1</v>
          </cell>
          <cell r="K85">
            <v>1</v>
          </cell>
          <cell r="L85">
            <v>1</v>
          </cell>
          <cell r="M85">
            <v>1</v>
          </cell>
          <cell r="N85">
            <v>1</v>
          </cell>
          <cell r="O85">
            <v>1</v>
          </cell>
          <cell r="P85">
            <v>1</v>
          </cell>
          <cell r="Q85">
            <v>1</v>
          </cell>
          <cell r="R85">
            <v>1</v>
          </cell>
          <cell r="S85">
            <v>1</v>
          </cell>
          <cell r="T85">
            <v>1</v>
          </cell>
          <cell r="U85">
            <v>1</v>
          </cell>
          <cell r="V85">
            <v>1</v>
          </cell>
          <cell r="W85">
            <v>1</v>
          </cell>
          <cell r="X85">
            <v>1</v>
          </cell>
          <cell r="Y85">
            <v>1</v>
          </cell>
          <cell r="Z85">
            <v>1</v>
          </cell>
          <cell r="AA85">
            <v>1</v>
          </cell>
          <cell r="AB85">
            <v>1</v>
          </cell>
          <cell r="AE85">
            <v>1</v>
          </cell>
          <cell r="AF85">
            <v>1</v>
          </cell>
          <cell r="AG85">
            <v>1</v>
          </cell>
          <cell r="AH85">
            <v>1</v>
          </cell>
          <cell r="AI85">
            <v>1</v>
          </cell>
          <cell r="AJ85">
            <v>1</v>
          </cell>
          <cell r="AK85">
            <v>1</v>
          </cell>
          <cell r="AL85">
            <v>1</v>
          </cell>
          <cell r="AM85">
            <v>1</v>
          </cell>
          <cell r="AN85">
            <v>1</v>
          </cell>
          <cell r="AO85">
            <v>1</v>
          </cell>
          <cell r="AP85">
            <v>1</v>
          </cell>
          <cell r="AQ85">
            <v>1</v>
          </cell>
          <cell r="AR85">
            <v>1</v>
          </cell>
          <cell r="AS85">
            <v>1</v>
          </cell>
          <cell r="AU85">
            <v>1</v>
          </cell>
          <cell r="AV85">
            <v>1</v>
          </cell>
          <cell r="AW85">
            <v>1</v>
          </cell>
          <cell r="AX85">
            <v>1</v>
          </cell>
          <cell r="AY85">
            <v>1</v>
          </cell>
          <cell r="AZ85" t="str">
            <v>T</v>
          </cell>
          <cell r="BA85" t="str">
            <v>광진상공</v>
          </cell>
          <cell r="BB85" t="str">
            <v>H52A31K</v>
          </cell>
          <cell r="BD85" t="str">
            <v>K596</v>
          </cell>
          <cell r="BE85" t="str">
            <v>ALL</v>
          </cell>
          <cell r="BI85" t="e">
            <v>#REF!</v>
          </cell>
          <cell r="BJ85" t="e">
            <v>#REF!</v>
          </cell>
          <cell r="BK85" t="e">
            <v>#REF!</v>
          </cell>
          <cell r="BL85" t="e">
            <v>#REF!</v>
          </cell>
        </row>
        <row r="86">
          <cell r="C86">
            <v>5168</v>
          </cell>
          <cell r="D86" t="str">
            <v>HG050007</v>
          </cell>
          <cell r="E86" t="str">
            <v xml:space="preserve"> HOLDER(B),F/DR WDO GLASS</v>
          </cell>
          <cell r="G86">
            <v>2</v>
          </cell>
          <cell r="AZ86" t="str">
            <v>T</v>
          </cell>
          <cell r="BA86" t="str">
            <v>광진상공</v>
          </cell>
          <cell r="BB86" t="str">
            <v>H52A31K</v>
          </cell>
          <cell r="BD86" t="str">
            <v>K596</v>
          </cell>
          <cell r="BE86" t="str">
            <v>ALL</v>
          </cell>
          <cell r="BI86" t="e">
            <v>#REF!</v>
          </cell>
          <cell r="BJ86" t="e">
            <v>#REF!</v>
          </cell>
          <cell r="BK86" t="e">
            <v>#REF!</v>
          </cell>
          <cell r="BL86" t="e">
            <v>#REF!</v>
          </cell>
        </row>
        <row r="87">
          <cell r="C87">
            <v>128</v>
          </cell>
          <cell r="D87" t="str">
            <v>HG240001</v>
          </cell>
          <cell r="E87" t="str">
            <v xml:space="preserve"> REGULATOR ASSY,R/DR WDO LH</v>
          </cell>
          <cell r="I87">
            <v>1</v>
          </cell>
          <cell r="V87">
            <v>1</v>
          </cell>
          <cell r="Y87">
            <v>1</v>
          </cell>
          <cell r="AA87">
            <v>1</v>
          </cell>
          <cell r="AG87">
            <v>1</v>
          </cell>
          <cell r="AJ87">
            <v>1</v>
          </cell>
          <cell r="AK87">
            <v>1</v>
          </cell>
          <cell r="AQ87">
            <v>1</v>
          </cell>
          <cell r="AR87">
            <v>1</v>
          </cell>
          <cell r="AU87">
            <v>1</v>
          </cell>
          <cell r="AV87">
            <v>1</v>
          </cell>
          <cell r="AX87">
            <v>1</v>
          </cell>
          <cell r="AY87">
            <v>1</v>
          </cell>
          <cell r="AZ87" t="str">
            <v>T</v>
          </cell>
          <cell r="BA87" t="str">
            <v>광진상공</v>
          </cell>
          <cell r="BB87" t="str">
            <v>H51E32K</v>
          </cell>
          <cell r="BD87" t="str">
            <v>K596</v>
          </cell>
          <cell r="BE87" t="str">
            <v>2</v>
          </cell>
          <cell r="BI87" t="e">
            <v>#REF!</v>
          </cell>
          <cell r="BJ87" t="e">
            <v>#REF!</v>
          </cell>
          <cell r="BK87" t="e">
            <v>#REF!</v>
          </cell>
          <cell r="BL87" t="e">
            <v>#REF!</v>
          </cell>
        </row>
        <row r="88">
          <cell r="C88">
            <v>128</v>
          </cell>
          <cell r="D88" t="str">
            <v>HG240002</v>
          </cell>
          <cell r="E88" t="str">
            <v xml:space="preserve"> REGULATOR ASSY,R/DR WDO RH</v>
          </cell>
          <cell r="I88">
            <v>1</v>
          </cell>
          <cell r="V88">
            <v>1</v>
          </cell>
          <cell r="Y88">
            <v>1</v>
          </cell>
          <cell r="AA88">
            <v>1</v>
          </cell>
          <cell r="AG88">
            <v>1</v>
          </cell>
          <cell r="AJ88">
            <v>1</v>
          </cell>
          <cell r="AK88">
            <v>1</v>
          </cell>
          <cell r="AQ88">
            <v>1</v>
          </cell>
          <cell r="AR88">
            <v>1</v>
          </cell>
          <cell r="AU88">
            <v>1</v>
          </cell>
          <cell r="AV88">
            <v>1</v>
          </cell>
          <cell r="AX88">
            <v>1</v>
          </cell>
          <cell r="AY88">
            <v>1</v>
          </cell>
          <cell r="AZ88" t="str">
            <v>T</v>
          </cell>
          <cell r="BA88" t="str">
            <v>광진상공</v>
          </cell>
          <cell r="BB88" t="str">
            <v>H51E32K</v>
          </cell>
          <cell r="BD88" t="str">
            <v>K596</v>
          </cell>
          <cell r="BE88" t="str">
            <v>2</v>
          </cell>
          <cell r="BI88" t="e">
            <v>#REF!</v>
          </cell>
          <cell r="BJ88" t="e">
            <v>#REF!</v>
          </cell>
          <cell r="BK88" t="e">
            <v>#REF!</v>
          </cell>
          <cell r="BL88" t="e">
            <v>#REF!</v>
          </cell>
        </row>
        <row r="89">
          <cell r="C89">
            <v>1764</v>
          </cell>
          <cell r="D89" t="str">
            <v>HG240003</v>
          </cell>
          <cell r="E89" t="str">
            <v xml:space="preserve"> REGULATOR,RR/DR P/WDO LH</v>
          </cell>
          <cell r="J89">
            <v>1</v>
          </cell>
          <cell r="K89">
            <v>1</v>
          </cell>
          <cell r="O89">
            <v>1</v>
          </cell>
          <cell r="Q89">
            <v>1</v>
          </cell>
          <cell r="S89">
            <v>1</v>
          </cell>
          <cell r="T89">
            <v>1</v>
          </cell>
          <cell r="X89">
            <v>1</v>
          </cell>
          <cell r="Z89">
            <v>1</v>
          </cell>
          <cell r="AE89">
            <v>1</v>
          </cell>
          <cell r="AI89">
            <v>1</v>
          </cell>
          <cell r="AS89">
            <v>1</v>
          </cell>
          <cell r="AT89">
            <v>1</v>
          </cell>
          <cell r="AZ89" t="str">
            <v>T</v>
          </cell>
          <cell r="BA89" t="str">
            <v>광진상공</v>
          </cell>
          <cell r="BB89" t="str">
            <v>H51K32K</v>
          </cell>
          <cell r="BD89" t="str">
            <v>K596</v>
          </cell>
          <cell r="BI89" t="e">
            <v>#REF!</v>
          </cell>
          <cell r="BJ89" t="e">
            <v>#REF!</v>
          </cell>
          <cell r="BK89" t="e">
            <v>#REF!</v>
          </cell>
          <cell r="BL89" t="e">
            <v>#REF!</v>
          </cell>
        </row>
        <row r="90">
          <cell r="C90">
            <v>1764</v>
          </cell>
          <cell r="D90" t="str">
            <v>HG240004</v>
          </cell>
          <cell r="E90" t="str">
            <v xml:space="preserve"> REGULATOR,RR/DR P/WDO RH</v>
          </cell>
          <cell r="J90">
            <v>1</v>
          </cell>
          <cell r="K90">
            <v>1</v>
          </cell>
          <cell r="O90">
            <v>1</v>
          </cell>
          <cell r="Q90">
            <v>1</v>
          </cell>
          <cell r="S90">
            <v>1</v>
          </cell>
          <cell r="T90">
            <v>1</v>
          </cell>
          <cell r="X90">
            <v>1</v>
          </cell>
          <cell r="Z90">
            <v>1</v>
          </cell>
          <cell r="AE90">
            <v>1</v>
          </cell>
          <cell r="AI90">
            <v>1</v>
          </cell>
          <cell r="AS90">
            <v>1</v>
          </cell>
          <cell r="AT90">
            <v>1</v>
          </cell>
          <cell r="AZ90" t="str">
            <v>T</v>
          </cell>
          <cell r="BA90" t="str">
            <v>광진상공</v>
          </cell>
          <cell r="BB90" t="str">
            <v>H51K32K</v>
          </cell>
          <cell r="BD90" t="str">
            <v>K596</v>
          </cell>
          <cell r="BI90" t="e">
            <v>#REF!</v>
          </cell>
          <cell r="BJ90" t="e">
            <v>#REF!</v>
          </cell>
          <cell r="BK90" t="e">
            <v>#REF!</v>
          </cell>
          <cell r="BL90" t="e">
            <v>#REF!</v>
          </cell>
        </row>
        <row r="91">
          <cell r="C91">
            <v>3798</v>
          </cell>
          <cell r="D91" t="str">
            <v>HG250001</v>
          </cell>
          <cell r="E91" t="str">
            <v xml:space="preserve"> HOLDER,R/DR GLASS</v>
          </cell>
          <cell r="I91">
            <v>2</v>
          </cell>
          <cell r="J91">
            <v>2</v>
          </cell>
          <cell r="K91">
            <v>2</v>
          </cell>
          <cell r="O91">
            <v>2</v>
          </cell>
          <cell r="Q91">
            <v>2</v>
          </cell>
          <cell r="S91">
            <v>2</v>
          </cell>
          <cell r="T91">
            <v>2</v>
          </cell>
          <cell r="V91">
            <v>2</v>
          </cell>
          <cell r="X91">
            <v>2</v>
          </cell>
          <cell r="Y91">
            <v>2</v>
          </cell>
          <cell r="Z91">
            <v>2</v>
          </cell>
          <cell r="AA91">
            <v>2</v>
          </cell>
          <cell r="AE91">
            <v>2</v>
          </cell>
          <cell r="AG91">
            <v>2</v>
          </cell>
          <cell r="AI91">
            <v>2</v>
          </cell>
          <cell r="AJ91">
            <v>2</v>
          </cell>
          <cell r="AK91">
            <v>2</v>
          </cell>
          <cell r="AN91">
            <v>2</v>
          </cell>
          <cell r="AQ91">
            <v>2</v>
          </cell>
          <cell r="AR91">
            <v>2</v>
          </cell>
          <cell r="AS91">
            <v>2</v>
          </cell>
          <cell r="AT91">
            <v>2</v>
          </cell>
          <cell r="AU91">
            <v>2</v>
          </cell>
          <cell r="AV91">
            <v>2</v>
          </cell>
          <cell r="AX91">
            <v>2</v>
          </cell>
          <cell r="AY91">
            <v>2</v>
          </cell>
          <cell r="AZ91" t="str">
            <v>T</v>
          </cell>
          <cell r="BA91" t="str">
            <v>광진상공</v>
          </cell>
          <cell r="BB91" t="str">
            <v>H52A32K</v>
          </cell>
          <cell r="BD91" t="str">
            <v>K596</v>
          </cell>
          <cell r="BI91" t="e">
            <v>#REF!</v>
          </cell>
          <cell r="BJ91" t="e">
            <v>#REF!</v>
          </cell>
          <cell r="BK91" t="e">
            <v>#REF!</v>
          </cell>
          <cell r="BL91" t="e">
            <v>#REF!</v>
          </cell>
        </row>
        <row r="92">
          <cell r="C92">
            <v>2584</v>
          </cell>
          <cell r="D92" t="str">
            <v>HG300004</v>
          </cell>
          <cell r="E92" t="str">
            <v xml:space="preserve"> REINF,SPARE TIRE</v>
          </cell>
          <cell r="F92" t="str">
            <v>삭제예정ITEM</v>
          </cell>
          <cell r="G92">
            <v>1</v>
          </cell>
          <cell r="AZ92" t="str">
            <v>B</v>
          </cell>
          <cell r="BA92" t="str">
            <v>광진상공</v>
          </cell>
          <cell r="BB92" t="str">
            <v>H50B33K</v>
          </cell>
          <cell r="BD92" t="str">
            <v>K596</v>
          </cell>
          <cell r="BE92" t="str">
            <v>ALL</v>
          </cell>
          <cell r="BI92">
            <v>0</v>
          </cell>
          <cell r="BJ92">
            <v>0</v>
          </cell>
          <cell r="BK92">
            <v>0</v>
          </cell>
          <cell r="BL92">
            <v>0</v>
          </cell>
        </row>
        <row r="93">
          <cell r="C93">
            <v>2584</v>
          </cell>
          <cell r="D93" t="str">
            <v>HQ503101</v>
          </cell>
          <cell r="E93" t="str">
            <v xml:space="preserve"> COMP ASSY F/DR B/LI OTR LH</v>
          </cell>
          <cell r="G93">
            <v>1</v>
          </cell>
          <cell r="AZ93" t="str">
            <v>B</v>
          </cell>
          <cell r="BA93" t="str">
            <v>광진상공</v>
          </cell>
          <cell r="BB93" t="str">
            <v>H50B31K</v>
          </cell>
          <cell r="BC93" t="str">
            <v>MB227647B</v>
          </cell>
          <cell r="BD93" t="str">
            <v>K596</v>
          </cell>
          <cell r="BI93">
            <v>0</v>
          </cell>
          <cell r="BJ93">
            <v>0</v>
          </cell>
          <cell r="BK93">
            <v>0</v>
          </cell>
          <cell r="BL93">
            <v>0</v>
          </cell>
        </row>
        <row r="94">
          <cell r="C94">
            <v>2584</v>
          </cell>
          <cell r="D94" t="str">
            <v>HQ503102</v>
          </cell>
          <cell r="E94" t="str">
            <v xml:space="preserve"> COMP ASSY F/DR B/LI OTR LH</v>
          </cell>
          <cell r="G94">
            <v>1</v>
          </cell>
          <cell r="AZ94" t="str">
            <v>B</v>
          </cell>
          <cell r="BA94" t="str">
            <v>광진상공</v>
          </cell>
          <cell r="BB94" t="str">
            <v>H50B31K</v>
          </cell>
          <cell r="BC94" t="str">
            <v>MB227648B</v>
          </cell>
          <cell r="BD94" t="str">
            <v>K596</v>
          </cell>
          <cell r="BI94">
            <v>0</v>
          </cell>
          <cell r="BJ94">
            <v>0</v>
          </cell>
          <cell r="BK94">
            <v>0</v>
          </cell>
          <cell r="BL94">
            <v>0</v>
          </cell>
        </row>
        <row r="95">
          <cell r="C95">
            <v>2584</v>
          </cell>
          <cell r="D95" t="str">
            <v>MB021361A</v>
          </cell>
          <cell r="E95" t="str">
            <v xml:space="preserve"> HINGE ASS'Y,HOOD LH</v>
          </cell>
          <cell r="G95">
            <v>1</v>
          </cell>
          <cell r="AZ95" t="str">
            <v>B</v>
          </cell>
          <cell r="BA95" t="str">
            <v>광진상공</v>
          </cell>
          <cell r="BB95" t="str">
            <v>H50A18K</v>
          </cell>
          <cell r="BD95" t="str">
            <v>K596</v>
          </cell>
          <cell r="BE95" t="str">
            <v>ALL</v>
          </cell>
          <cell r="BI95">
            <v>0</v>
          </cell>
          <cell r="BJ95">
            <v>0</v>
          </cell>
          <cell r="BK95">
            <v>0</v>
          </cell>
          <cell r="BL95">
            <v>0</v>
          </cell>
        </row>
        <row r="96">
          <cell r="C96">
            <v>2584</v>
          </cell>
          <cell r="D96" t="str">
            <v>MB021362A</v>
          </cell>
          <cell r="E96" t="str">
            <v xml:space="preserve"> HINGE ASS'Y,HOOD RH</v>
          </cell>
          <cell r="G96">
            <v>1</v>
          </cell>
          <cell r="AZ96" t="str">
            <v>B</v>
          </cell>
          <cell r="BA96" t="str">
            <v>광진상공</v>
          </cell>
          <cell r="BB96" t="str">
            <v>H50A18K</v>
          </cell>
          <cell r="BD96" t="str">
            <v>K596</v>
          </cell>
          <cell r="BE96" t="str">
            <v>ALL</v>
          </cell>
          <cell r="BI96">
            <v>0</v>
          </cell>
          <cell r="BJ96">
            <v>0</v>
          </cell>
          <cell r="BK96">
            <v>0</v>
          </cell>
          <cell r="BL96">
            <v>0</v>
          </cell>
        </row>
        <row r="97">
          <cell r="C97">
            <v>2584</v>
          </cell>
          <cell r="D97" t="str">
            <v>MB023141A</v>
          </cell>
          <cell r="E97" t="str">
            <v xml:space="preserve"> DR ASS'Y,FUEL FILLER</v>
          </cell>
          <cell r="G97">
            <v>1</v>
          </cell>
          <cell r="AZ97" t="str">
            <v>T</v>
          </cell>
          <cell r="BA97" t="str">
            <v>광진상공</v>
          </cell>
          <cell r="BB97" t="str">
            <v>H50B37K</v>
          </cell>
          <cell r="BD97" t="str">
            <v>K596</v>
          </cell>
          <cell r="BE97" t="str">
            <v>ALL</v>
          </cell>
          <cell r="BI97" t="e">
            <v>#REF!</v>
          </cell>
          <cell r="BJ97" t="e">
            <v>#REF!</v>
          </cell>
          <cell r="BK97" t="e">
            <v>#REF!</v>
          </cell>
          <cell r="BL97" t="e">
            <v>#REF!</v>
          </cell>
        </row>
        <row r="98">
          <cell r="C98">
            <v>0</v>
          </cell>
          <cell r="D98" t="str">
            <v>MB227647B</v>
          </cell>
          <cell r="E98" t="str">
            <v xml:space="preserve"> REINF-F/DR B/LINE OTR LH</v>
          </cell>
          <cell r="AZ98" t="str">
            <v>B</v>
          </cell>
          <cell r="BA98" t="str">
            <v>광진상공</v>
          </cell>
        </row>
        <row r="99">
          <cell r="C99">
            <v>0</v>
          </cell>
          <cell r="D99" t="str">
            <v>MB227648B</v>
          </cell>
          <cell r="E99" t="str">
            <v xml:space="preserve"> REINF-F/DR B/LINE OTR RH</v>
          </cell>
          <cell r="AZ99" t="str">
            <v>B</v>
          </cell>
          <cell r="BA99" t="str">
            <v>광진상공</v>
          </cell>
        </row>
        <row r="100">
          <cell r="C100">
            <v>2584</v>
          </cell>
          <cell r="D100" t="str">
            <v>MB250515A</v>
          </cell>
          <cell r="E100" t="str">
            <v xml:space="preserve"> SUPPORT ASS'Y,STRG COL(LHD)</v>
          </cell>
          <cell r="G100">
            <v>1</v>
          </cell>
          <cell r="AZ100" t="str">
            <v>B</v>
          </cell>
          <cell r="BA100" t="str">
            <v>광진상공</v>
          </cell>
          <cell r="BB100" t="str">
            <v>H50A18K</v>
          </cell>
          <cell r="BD100" t="str">
            <v>K596</v>
          </cell>
          <cell r="BE100" t="str">
            <v>ALL</v>
          </cell>
          <cell r="BI100">
            <v>0</v>
          </cell>
          <cell r="BJ100">
            <v>0</v>
          </cell>
          <cell r="BK100">
            <v>0</v>
          </cell>
          <cell r="BL100">
            <v>0</v>
          </cell>
        </row>
        <row r="101">
          <cell r="C101">
            <v>2584</v>
          </cell>
          <cell r="D101" t="str">
            <v>MB250537A</v>
          </cell>
          <cell r="E101" t="str">
            <v xml:space="preserve"> REINF,HINGE LH</v>
          </cell>
          <cell r="G101">
            <v>1</v>
          </cell>
          <cell r="AZ101" t="str">
            <v>B</v>
          </cell>
          <cell r="BA101" t="str">
            <v>광진상공</v>
          </cell>
          <cell r="BB101" t="str">
            <v>H50A18K</v>
          </cell>
          <cell r="BD101" t="str">
            <v>K596</v>
          </cell>
          <cell r="BE101" t="str">
            <v>ALL</v>
          </cell>
          <cell r="BI101">
            <v>0</v>
          </cell>
          <cell r="BJ101">
            <v>0</v>
          </cell>
          <cell r="BK101">
            <v>0</v>
          </cell>
          <cell r="BL101">
            <v>0</v>
          </cell>
        </row>
        <row r="102">
          <cell r="C102">
            <v>2584</v>
          </cell>
          <cell r="D102" t="str">
            <v>MB250538A</v>
          </cell>
          <cell r="E102" t="str">
            <v xml:space="preserve"> REINF,HINGE RH</v>
          </cell>
          <cell r="G102">
            <v>1</v>
          </cell>
          <cell r="AZ102" t="str">
            <v>B</v>
          </cell>
          <cell r="BA102" t="str">
            <v>광진상공</v>
          </cell>
          <cell r="BB102" t="str">
            <v>H50A18K</v>
          </cell>
          <cell r="BD102" t="str">
            <v>K596</v>
          </cell>
          <cell r="BE102" t="str">
            <v>ALL</v>
          </cell>
          <cell r="BI102">
            <v>0</v>
          </cell>
          <cell r="BJ102">
            <v>0</v>
          </cell>
          <cell r="BK102">
            <v>0</v>
          </cell>
          <cell r="BL102">
            <v>0</v>
          </cell>
        </row>
        <row r="103">
          <cell r="C103">
            <v>2584</v>
          </cell>
          <cell r="D103" t="str">
            <v>MB250624A</v>
          </cell>
          <cell r="E103" t="str">
            <v xml:space="preserve"> BRKT ASS'Y,HOOD CATCH</v>
          </cell>
          <cell r="G103">
            <v>1</v>
          </cell>
          <cell r="AZ103" t="str">
            <v>B</v>
          </cell>
          <cell r="BA103" t="str">
            <v>광진상공</v>
          </cell>
          <cell r="BB103" t="str">
            <v>H50C39K</v>
          </cell>
          <cell r="BD103" t="str">
            <v>K596</v>
          </cell>
          <cell r="BE103" t="str">
            <v>ALL</v>
          </cell>
          <cell r="BI103">
            <v>0</v>
          </cell>
          <cell r="BJ103">
            <v>0</v>
          </cell>
          <cell r="BK103">
            <v>0</v>
          </cell>
          <cell r="BL103">
            <v>0</v>
          </cell>
        </row>
        <row r="104">
          <cell r="C104">
            <v>2584</v>
          </cell>
          <cell r="D104" t="str">
            <v>MB270013A</v>
          </cell>
          <cell r="E104" t="str">
            <v xml:space="preserve"> HOOK,HOOD</v>
          </cell>
          <cell r="G104">
            <v>1</v>
          </cell>
          <cell r="AZ104" t="str">
            <v>T</v>
          </cell>
          <cell r="BA104" t="str">
            <v>광진상공</v>
          </cell>
          <cell r="BB104" t="str">
            <v>H51A35K</v>
          </cell>
          <cell r="BD104" t="str">
            <v>K596</v>
          </cell>
          <cell r="BE104" t="str">
            <v>ALL</v>
          </cell>
          <cell r="BI104" t="e">
            <v>#REF!</v>
          </cell>
          <cell r="BJ104" t="e">
            <v>#REF!</v>
          </cell>
          <cell r="BK104" t="e">
            <v>#REF!</v>
          </cell>
          <cell r="BL104" t="e">
            <v>#REF!</v>
          </cell>
        </row>
        <row r="105">
          <cell r="C105">
            <v>2584</v>
          </cell>
          <cell r="D105" t="str">
            <v>MB270531A</v>
          </cell>
          <cell r="E105" t="str">
            <v xml:space="preserve"> REINF HOOD HINGE LH</v>
          </cell>
          <cell r="G105">
            <v>1</v>
          </cell>
          <cell r="AZ105" t="str">
            <v>B</v>
          </cell>
          <cell r="BA105" t="str">
            <v>광진상공</v>
          </cell>
          <cell r="BB105" t="str">
            <v>H50B35K</v>
          </cell>
          <cell r="BD105" t="str">
            <v>K596</v>
          </cell>
          <cell r="BE105" t="str">
            <v>ALL</v>
          </cell>
          <cell r="BI105">
            <v>0</v>
          </cell>
          <cell r="BJ105">
            <v>0</v>
          </cell>
          <cell r="BK105">
            <v>0</v>
          </cell>
          <cell r="BL105">
            <v>0</v>
          </cell>
        </row>
        <row r="106">
          <cell r="C106">
            <v>2584</v>
          </cell>
          <cell r="D106" t="str">
            <v>MB270532A</v>
          </cell>
          <cell r="E106" t="str">
            <v xml:space="preserve"> REINF HOOD HINGE RH</v>
          </cell>
          <cell r="G106">
            <v>1</v>
          </cell>
          <cell r="AZ106" t="str">
            <v>B</v>
          </cell>
          <cell r="BA106" t="str">
            <v>광진상공</v>
          </cell>
          <cell r="BB106" t="str">
            <v>H50B35K</v>
          </cell>
          <cell r="BD106" t="str">
            <v>K596</v>
          </cell>
          <cell r="BE106" t="str">
            <v>ALL</v>
          </cell>
          <cell r="BI106">
            <v>0</v>
          </cell>
          <cell r="BJ106">
            <v>0</v>
          </cell>
          <cell r="BK106">
            <v>0</v>
          </cell>
          <cell r="BL106">
            <v>0</v>
          </cell>
        </row>
        <row r="107">
          <cell r="C107">
            <v>2584</v>
          </cell>
          <cell r="D107" t="str">
            <v>MB274498A</v>
          </cell>
          <cell r="E107" t="str">
            <v xml:space="preserve"> LATCH,HOOD</v>
          </cell>
          <cell r="G107">
            <v>1</v>
          </cell>
          <cell r="AZ107" t="str">
            <v>T</v>
          </cell>
          <cell r="BA107" t="str">
            <v>광진상공</v>
          </cell>
          <cell r="BB107" t="str">
            <v>H51A35K</v>
          </cell>
          <cell r="BC107" t="str">
            <v>A1</v>
          </cell>
          <cell r="BD107" t="str">
            <v>K596</v>
          </cell>
          <cell r="BE107" t="str">
            <v>ALL</v>
          </cell>
          <cell r="BI107" t="e">
            <v>#REF!</v>
          </cell>
          <cell r="BJ107" t="e">
            <v>#REF!</v>
          </cell>
          <cell r="BK107" t="e">
            <v>#REF!</v>
          </cell>
          <cell r="BL107" t="e">
            <v>#REF!</v>
          </cell>
        </row>
        <row r="108">
          <cell r="C108">
            <v>2584</v>
          </cell>
          <cell r="D108" t="str">
            <v>MB274630</v>
          </cell>
          <cell r="E108" t="str">
            <v xml:space="preserve"> STAY,HOOD CATCH(A)</v>
          </cell>
          <cell r="G108">
            <v>1</v>
          </cell>
          <cell r="AZ108" t="str">
            <v>B</v>
          </cell>
          <cell r="BA108" t="str">
            <v>광진상공</v>
          </cell>
          <cell r="BB108" t="str">
            <v>H50C90K</v>
          </cell>
          <cell r="BD108" t="str">
            <v>K596</v>
          </cell>
          <cell r="BE108" t="str">
            <v>ALL</v>
          </cell>
          <cell r="BI108">
            <v>0</v>
          </cell>
          <cell r="BJ108">
            <v>0</v>
          </cell>
          <cell r="BK108">
            <v>0</v>
          </cell>
          <cell r="BL108">
            <v>0</v>
          </cell>
        </row>
        <row r="109">
          <cell r="C109">
            <v>2584</v>
          </cell>
          <cell r="D109" t="str">
            <v>MB274749</v>
          </cell>
          <cell r="E109" t="str">
            <v xml:space="preserve"> REINF LH</v>
          </cell>
          <cell r="G109">
            <v>1</v>
          </cell>
          <cell r="AZ109" t="str">
            <v>B</v>
          </cell>
          <cell r="BA109" t="str">
            <v>광진상공</v>
          </cell>
          <cell r="BB109" t="str">
            <v>H50A16K</v>
          </cell>
          <cell r="BD109" t="str">
            <v>K596</v>
          </cell>
          <cell r="BE109" t="str">
            <v>ALL</v>
          </cell>
          <cell r="BI109">
            <v>0</v>
          </cell>
          <cell r="BJ109">
            <v>0</v>
          </cell>
          <cell r="BK109">
            <v>0</v>
          </cell>
          <cell r="BL109">
            <v>0</v>
          </cell>
        </row>
        <row r="110">
          <cell r="C110">
            <v>2584</v>
          </cell>
          <cell r="D110" t="str">
            <v>MB274750</v>
          </cell>
          <cell r="E110" t="str">
            <v xml:space="preserve"> REINF RH</v>
          </cell>
          <cell r="F110" t="str">
            <v>MB274710A</v>
          </cell>
          <cell r="G110">
            <v>1</v>
          </cell>
          <cell r="AZ110" t="str">
            <v>B</v>
          </cell>
          <cell r="BA110" t="str">
            <v>광진상공</v>
          </cell>
          <cell r="BB110" t="str">
            <v>H50A16K</v>
          </cell>
          <cell r="BD110" t="str">
            <v>K596</v>
          </cell>
          <cell r="BE110" t="str">
            <v>ALL</v>
          </cell>
          <cell r="BI110">
            <v>0</v>
          </cell>
          <cell r="BJ110">
            <v>0</v>
          </cell>
          <cell r="BK110">
            <v>0</v>
          </cell>
          <cell r="BL110">
            <v>0</v>
          </cell>
        </row>
        <row r="111">
          <cell r="C111">
            <v>2584</v>
          </cell>
          <cell r="D111" t="str">
            <v>MB275737A</v>
          </cell>
          <cell r="E111" t="str">
            <v xml:space="preserve"> BRKT,FUEL FILLER NECK</v>
          </cell>
          <cell r="G111">
            <v>1</v>
          </cell>
          <cell r="AZ111" t="str">
            <v>B</v>
          </cell>
          <cell r="BA111" t="str">
            <v>광진상공</v>
          </cell>
          <cell r="BB111" t="str">
            <v>H50A17K</v>
          </cell>
          <cell r="BD111" t="str">
            <v>K596</v>
          </cell>
          <cell r="BE111" t="str">
            <v>ALL</v>
          </cell>
          <cell r="BI111">
            <v>0</v>
          </cell>
          <cell r="BJ111">
            <v>0</v>
          </cell>
          <cell r="BK111">
            <v>0</v>
          </cell>
          <cell r="BL111">
            <v>0</v>
          </cell>
        </row>
        <row r="112">
          <cell r="C112">
            <v>1892</v>
          </cell>
          <cell r="D112" t="str">
            <v>MB320013A</v>
          </cell>
          <cell r="E112" t="str">
            <v xml:space="preserve"> REINF,R/DR BELT LINE OTR  </v>
          </cell>
          <cell r="I112">
            <v>1</v>
          </cell>
          <cell r="J112">
            <v>1</v>
          </cell>
          <cell r="K112">
            <v>1</v>
          </cell>
          <cell r="O112">
            <v>1</v>
          </cell>
          <cell r="Q112">
            <v>1</v>
          </cell>
          <cell r="S112">
            <v>1</v>
          </cell>
          <cell r="T112">
            <v>1</v>
          </cell>
          <cell r="V112">
            <v>1</v>
          </cell>
          <cell r="X112">
            <v>1</v>
          </cell>
          <cell r="Y112">
            <v>1</v>
          </cell>
          <cell r="Z112">
            <v>1</v>
          </cell>
          <cell r="AA112">
            <v>1</v>
          </cell>
          <cell r="AE112">
            <v>1</v>
          </cell>
          <cell r="AG112">
            <v>1</v>
          </cell>
          <cell r="AI112">
            <v>1</v>
          </cell>
          <cell r="AJ112">
            <v>1</v>
          </cell>
          <cell r="AK112">
            <v>1</v>
          </cell>
          <cell r="AQ112">
            <v>1</v>
          </cell>
          <cell r="AR112">
            <v>1</v>
          </cell>
          <cell r="AS112">
            <v>1</v>
          </cell>
          <cell r="AT112">
            <v>1</v>
          </cell>
          <cell r="AU112">
            <v>1</v>
          </cell>
          <cell r="AV112">
            <v>1</v>
          </cell>
          <cell r="AX112">
            <v>1</v>
          </cell>
          <cell r="AY112">
            <v>1</v>
          </cell>
          <cell r="AZ112" t="str">
            <v>B</v>
          </cell>
          <cell r="BA112" t="str">
            <v>광진상공</v>
          </cell>
          <cell r="BB112" t="str">
            <v>H50B32K</v>
          </cell>
          <cell r="BD112" t="str">
            <v>K596</v>
          </cell>
          <cell r="BI112">
            <v>888</v>
          </cell>
          <cell r="BJ112">
            <v>458</v>
          </cell>
          <cell r="BK112">
            <v>90</v>
          </cell>
          <cell r="BL112">
            <v>100</v>
          </cell>
        </row>
        <row r="113">
          <cell r="C113">
            <v>1892</v>
          </cell>
          <cell r="D113" t="str">
            <v>MB320013A</v>
          </cell>
          <cell r="E113" t="str">
            <v xml:space="preserve"> REINF,R/DR BELT LINE OTR  </v>
          </cell>
          <cell r="I113">
            <v>1</v>
          </cell>
          <cell r="J113">
            <v>1</v>
          </cell>
          <cell r="K113">
            <v>1</v>
          </cell>
          <cell r="O113">
            <v>1</v>
          </cell>
          <cell r="Q113">
            <v>1</v>
          </cell>
          <cell r="S113">
            <v>1</v>
          </cell>
          <cell r="T113">
            <v>1</v>
          </cell>
          <cell r="V113">
            <v>1</v>
          </cell>
          <cell r="X113">
            <v>1</v>
          </cell>
          <cell r="Y113">
            <v>1</v>
          </cell>
          <cell r="Z113">
            <v>1</v>
          </cell>
          <cell r="AA113">
            <v>1</v>
          </cell>
          <cell r="AE113">
            <v>1</v>
          </cell>
          <cell r="AG113">
            <v>1</v>
          </cell>
          <cell r="AI113">
            <v>1</v>
          </cell>
          <cell r="AJ113">
            <v>1</v>
          </cell>
          <cell r="AK113">
            <v>1</v>
          </cell>
          <cell r="AQ113">
            <v>1</v>
          </cell>
          <cell r="AR113">
            <v>1</v>
          </cell>
          <cell r="AS113">
            <v>1</v>
          </cell>
          <cell r="AT113">
            <v>1</v>
          </cell>
          <cell r="AU113">
            <v>1</v>
          </cell>
          <cell r="AV113">
            <v>1</v>
          </cell>
          <cell r="AX113">
            <v>1</v>
          </cell>
          <cell r="AY113">
            <v>1</v>
          </cell>
          <cell r="AZ113" t="str">
            <v>B</v>
          </cell>
          <cell r="BA113" t="str">
            <v>광진상공</v>
          </cell>
          <cell r="BB113" t="str">
            <v>H50B32K</v>
          </cell>
          <cell r="BD113" t="str">
            <v>K596</v>
          </cell>
          <cell r="BI113">
            <v>888</v>
          </cell>
          <cell r="BJ113">
            <v>458</v>
          </cell>
          <cell r="BK113">
            <v>90</v>
          </cell>
          <cell r="BL113">
            <v>100</v>
          </cell>
        </row>
        <row r="114">
          <cell r="C114">
            <v>2584</v>
          </cell>
          <cell r="D114" t="str">
            <v>MB421980A</v>
          </cell>
          <cell r="E114" t="str">
            <v xml:space="preserve"> REINF,CORNER(A)</v>
          </cell>
          <cell r="G114">
            <v>1</v>
          </cell>
          <cell r="AZ114" t="str">
            <v>B</v>
          </cell>
          <cell r="BA114" t="str">
            <v>광진상공</v>
          </cell>
          <cell r="BB114" t="str">
            <v>H50B33K</v>
          </cell>
          <cell r="BD114" t="str">
            <v>K596</v>
          </cell>
          <cell r="BE114" t="str">
            <v>ALL</v>
          </cell>
          <cell r="BI114">
            <v>0</v>
          </cell>
          <cell r="BJ114">
            <v>0</v>
          </cell>
          <cell r="BK114">
            <v>0</v>
          </cell>
          <cell r="BL114">
            <v>0</v>
          </cell>
        </row>
        <row r="115">
          <cell r="C115">
            <v>2584</v>
          </cell>
          <cell r="D115" t="str">
            <v>MB421981A</v>
          </cell>
          <cell r="E115" t="str">
            <v xml:space="preserve"> REINF,CORNER(B)</v>
          </cell>
          <cell r="G115">
            <v>1</v>
          </cell>
          <cell r="AZ115" t="str">
            <v>B</v>
          </cell>
          <cell r="BA115" t="str">
            <v>광진상공</v>
          </cell>
          <cell r="BB115" t="str">
            <v>H50B33K</v>
          </cell>
          <cell r="BD115" t="str">
            <v>K596</v>
          </cell>
          <cell r="BE115" t="str">
            <v>ALL</v>
          </cell>
          <cell r="BI115">
            <v>0</v>
          </cell>
          <cell r="BJ115">
            <v>0</v>
          </cell>
          <cell r="BK115">
            <v>0</v>
          </cell>
          <cell r="BL115">
            <v>0</v>
          </cell>
        </row>
        <row r="116">
          <cell r="C116">
            <v>559</v>
          </cell>
          <cell r="D116" t="str">
            <v>XB250961A</v>
          </cell>
          <cell r="E116" t="str">
            <v xml:space="preserve"> COVER,RR VENT LH</v>
          </cell>
          <cell r="H116">
            <v>1</v>
          </cell>
          <cell r="I116">
            <v>1</v>
          </cell>
          <cell r="R116">
            <v>1</v>
          </cell>
          <cell r="AB116">
            <v>1</v>
          </cell>
          <cell r="AF116">
            <v>1</v>
          </cell>
          <cell r="AG116">
            <v>1</v>
          </cell>
          <cell r="AZ116" t="str">
            <v>B</v>
          </cell>
          <cell r="BA116" t="str">
            <v>광진상공</v>
          </cell>
          <cell r="BB116" t="str">
            <v>H50C90K</v>
          </cell>
          <cell r="BD116" t="str">
            <v>K596</v>
          </cell>
          <cell r="BE116" t="str">
            <v>STD</v>
          </cell>
          <cell r="BI116">
            <v>20</v>
          </cell>
          <cell r="BJ116">
            <v>539</v>
          </cell>
          <cell r="BK116">
            <v>0</v>
          </cell>
          <cell r="BL116">
            <v>0</v>
          </cell>
        </row>
        <row r="117">
          <cell r="C117">
            <v>559</v>
          </cell>
          <cell r="D117" t="str">
            <v>XB250962A</v>
          </cell>
          <cell r="E117" t="str">
            <v xml:space="preserve"> COVER,RR VENT RH</v>
          </cell>
          <cell r="H117">
            <v>1</v>
          </cell>
          <cell r="I117">
            <v>1</v>
          </cell>
          <cell r="R117">
            <v>1</v>
          </cell>
          <cell r="AB117">
            <v>1</v>
          </cell>
          <cell r="AF117">
            <v>1</v>
          </cell>
          <cell r="AG117">
            <v>1</v>
          </cell>
          <cell r="AZ117" t="str">
            <v>B</v>
          </cell>
          <cell r="BA117" t="str">
            <v>광진상공</v>
          </cell>
          <cell r="BB117" t="str">
            <v>H50C90K</v>
          </cell>
          <cell r="BD117" t="str">
            <v>K596</v>
          </cell>
          <cell r="BE117" t="str">
            <v>STD</v>
          </cell>
          <cell r="BI117">
            <v>20</v>
          </cell>
          <cell r="BJ117">
            <v>539</v>
          </cell>
          <cell r="BK117">
            <v>0</v>
          </cell>
          <cell r="BL117">
            <v>0</v>
          </cell>
        </row>
        <row r="118">
          <cell r="C118">
            <v>1408</v>
          </cell>
          <cell r="D118" t="str">
            <v>MB304694B</v>
          </cell>
          <cell r="E118" t="str">
            <v xml:space="preserve"> MEMBER ASSY,ENG SPUT.RR</v>
          </cell>
          <cell r="F118" t="str">
            <v>+431B</v>
          </cell>
          <cell r="K118">
            <v>1</v>
          </cell>
          <cell r="M118">
            <v>1</v>
          </cell>
          <cell r="N118">
            <v>1</v>
          </cell>
          <cell r="O118">
            <v>1</v>
          </cell>
          <cell r="P118">
            <v>1</v>
          </cell>
          <cell r="Q118">
            <v>1</v>
          </cell>
          <cell r="T118">
            <v>1</v>
          </cell>
          <cell r="W118">
            <v>1</v>
          </cell>
          <cell r="X118">
            <v>1</v>
          </cell>
          <cell r="AD118">
            <v>1</v>
          </cell>
          <cell r="AE118">
            <v>1</v>
          </cell>
          <cell r="AH118">
            <v>1</v>
          </cell>
          <cell r="AI118">
            <v>1</v>
          </cell>
          <cell r="AN118">
            <v>1</v>
          </cell>
          <cell r="AS118">
            <v>1</v>
          </cell>
          <cell r="AW118">
            <v>1</v>
          </cell>
          <cell r="AZ118" t="str">
            <v>T</v>
          </cell>
          <cell r="BA118" t="str">
            <v>금창</v>
          </cell>
        </row>
        <row r="119">
          <cell r="C119">
            <v>1334</v>
          </cell>
          <cell r="D119" t="str">
            <v>MB309653B</v>
          </cell>
          <cell r="E119" t="str">
            <v xml:space="preserve"> BRKT-ENG SUPT,RR</v>
          </cell>
          <cell r="F119" t="str">
            <v>+431B</v>
          </cell>
          <cell r="K119">
            <v>1</v>
          </cell>
          <cell r="M119">
            <v>1</v>
          </cell>
          <cell r="N119">
            <v>1</v>
          </cell>
          <cell r="O119">
            <v>1</v>
          </cell>
          <cell r="P119">
            <v>1</v>
          </cell>
          <cell r="Q119">
            <v>1</v>
          </cell>
          <cell r="T119">
            <v>1</v>
          </cell>
          <cell r="AD119">
            <v>1</v>
          </cell>
          <cell r="AO119">
            <v>1</v>
          </cell>
          <cell r="AS119">
            <v>1</v>
          </cell>
          <cell r="AZ119" t="str">
            <v>T</v>
          </cell>
          <cell r="BA119" t="str">
            <v>금창</v>
          </cell>
        </row>
        <row r="120">
          <cell r="C120">
            <v>5168</v>
          </cell>
          <cell r="D120" t="str">
            <v>HG000004</v>
          </cell>
          <cell r="E120" t="str">
            <v xml:space="preserve"> BAR ASSY RR/DR IMPACT LH</v>
          </cell>
          <cell r="G120">
            <v>2</v>
          </cell>
          <cell r="AZ120" t="str">
            <v>B</v>
          </cell>
          <cell r="BA120" t="str">
            <v>동양물산</v>
          </cell>
          <cell r="BD120" t="str">
            <v>M638</v>
          </cell>
          <cell r="BE120" t="str">
            <v>ALL</v>
          </cell>
          <cell r="BI120">
            <v>0</v>
          </cell>
          <cell r="BJ120">
            <v>0</v>
          </cell>
          <cell r="BK120">
            <v>0</v>
          </cell>
          <cell r="BL120">
            <v>0</v>
          </cell>
        </row>
        <row r="121">
          <cell r="C121">
            <v>1892</v>
          </cell>
          <cell r="D121" t="str">
            <v>HG200003</v>
          </cell>
          <cell r="E121" t="str">
            <v xml:space="preserve"> BAR ASSY RR/DR IMPACT RH</v>
          </cell>
          <cell r="I121">
            <v>1</v>
          </cell>
          <cell r="J121">
            <v>1</v>
          </cell>
          <cell r="K121">
            <v>1</v>
          </cell>
          <cell r="O121">
            <v>1</v>
          </cell>
          <cell r="Q121">
            <v>1</v>
          </cell>
          <cell r="S121">
            <v>1</v>
          </cell>
          <cell r="T121">
            <v>1</v>
          </cell>
          <cell r="V121">
            <v>1</v>
          </cell>
          <cell r="X121">
            <v>1</v>
          </cell>
          <cell r="Y121">
            <v>1</v>
          </cell>
          <cell r="Z121">
            <v>1</v>
          </cell>
          <cell r="AA121">
            <v>1</v>
          </cell>
          <cell r="AE121">
            <v>1</v>
          </cell>
          <cell r="AG121">
            <v>1</v>
          </cell>
          <cell r="AI121">
            <v>1</v>
          </cell>
          <cell r="AJ121">
            <v>1</v>
          </cell>
          <cell r="AK121">
            <v>1</v>
          </cell>
          <cell r="AQ121">
            <v>1</v>
          </cell>
          <cell r="AR121">
            <v>1</v>
          </cell>
          <cell r="AS121">
            <v>1</v>
          </cell>
          <cell r="AT121">
            <v>1</v>
          </cell>
          <cell r="AU121">
            <v>1</v>
          </cell>
          <cell r="AV121">
            <v>1</v>
          </cell>
          <cell r="AX121">
            <v>1</v>
          </cell>
          <cell r="AY121">
            <v>1</v>
          </cell>
          <cell r="AZ121" t="str">
            <v>B</v>
          </cell>
          <cell r="BA121" t="str">
            <v>동양물산</v>
          </cell>
          <cell r="BD121" t="str">
            <v>M638</v>
          </cell>
          <cell r="BI121">
            <v>888</v>
          </cell>
          <cell r="BJ121">
            <v>458</v>
          </cell>
          <cell r="BK121">
            <v>90</v>
          </cell>
          <cell r="BL121">
            <v>100</v>
          </cell>
        </row>
        <row r="122">
          <cell r="C122">
            <v>1892</v>
          </cell>
          <cell r="D122" t="str">
            <v>HG200004</v>
          </cell>
          <cell r="E122" t="str">
            <v xml:space="preserve"> BAR ASSY FR/DR IMPACT </v>
          </cell>
          <cell r="I122">
            <v>1</v>
          </cell>
          <cell r="J122">
            <v>1</v>
          </cell>
          <cell r="K122">
            <v>1</v>
          </cell>
          <cell r="O122">
            <v>1</v>
          </cell>
          <cell r="Q122">
            <v>1</v>
          </cell>
          <cell r="S122">
            <v>1</v>
          </cell>
          <cell r="T122">
            <v>1</v>
          </cell>
          <cell r="V122">
            <v>1</v>
          </cell>
          <cell r="X122">
            <v>1</v>
          </cell>
          <cell r="Y122">
            <v>1</v>
          </cell>
          <cell r="Z122">
            <v>1</v>
          </cell>
          <cell r="AA122">
            <v>1</v>
          </cell>
          <cell r="AE122">
            <v>1</v>
          </cell>
          <cell r="AG122">
            <v>1</v>
          </cell>
          <cell r="AI122">
            <v>1</v>
          </cell>
          <cell r="AJ122">
            <v>1</v>
          </cell>
          <cell r="AK122">
            <v>1</v>
          </cell>
          <cell r="AQ122">
            <v>1</v>
          </cell>
          <cell r="AR122">
            <v>1</v>
          </cell>
          <cell r="AS122">
            <v>1</v>
          </cell>
          <cell r="AT122">
            <v>1</v>
          </cell>
          <cell r="AU122">
            <v>1</v>
          </cell>
          <cell r="AV122">
            <v>1</v>
          </cell>
          <cell r="AX122">
            <v>1</v>
          </cell>
          <cell r="AY122">
            <v>1</v>
          </cell>
          <cell r="AZ122" t="str">
            <v>B</v>
          </cell>
          <cell r="BA122" t="str">
            <v>동양물산</v>
          </cell>
          <cell r="BD122" t="str">
            <v>M638</v>
          </cell>
          <cell r="BI122">
            <v>888</v>
          </cell>
          <cell r="BJ122">
            <v>458</v>
          </cell>
          <cell r="BK122">
            <v>90</v>
          </cell>
          <cell r="BL122">
            <v>100</v>
          </cell>
        </row>
        <row r="123">
          <cell r="C123">
            <v>2584</v>
          </cell>
          <cell r="D123" t="str">
            <v>HG030022</v>
          </cell>
          <cell r="E123" t="str">
            <v xml:space="preserve"> SASH FRT/DR WDO CTR LH </v>
          </cell>
          <cell r="G123">
            <v>1</v>
          </cell>
          <cell r="AZ123" t="str">
            <v>T</v>
          </cell>
          <cell r="BA123" t="str">
            <v>동원금속</v>
          </cell>
          <cell r="BB123" t="str">
            <v>H51B31K</v>
          </cell>
          <cell r="BC123" t="str">
            <v>MB365463A</v>
          </cell>
          <cell r="BD123" t="str">
            <v>L735</v>
          </cell>
          <cell r="BE123" t="str">
            <v>ALL</v>
          </cell>
          <cell r="BI123" t="e">
            <v>#REF!</v>
          </cell>
          <cell r="BJ123" t="e">
            <v>#REF!</v>
          </cell>
          <cell r="BK123" t="e">
            <v>#REF!</v>
          </cell>
          <cell r="BL123" t="e">
            <v>#REF!</v>
          </cell>
        </row>
        <row r="124">
          <cell r="C124">
            <v>2584</v>
          </cell>
          <cell r="D124" t="str">
            <v>HG030023</v>
          </cell>
          <cell r="E124" t="str">
            <v xml:space="preserve"> SASH FRT/DR WDO CTR RH </v>
          </cell>
          <cell r="G124">
            <v>1</v>
          </cell>
          <cell r="AZ124" t="str">
            <v>T</v>
          </cell>
          <cell r="BA124" t="str">
            <v>동원금속</v>
          </cell>
          <cell r="BB124" t="str">
            <v>H51B31K</v>
          </cell>
          <cell r="BC124" t="str">
            <v>MB365464A</v>
          </cell>
          <cell r="BD124" t="str">
            <v>L735</v>
          </cell>
          <cell r="BE124" t="str">
            <v>ALL</v>
          </cell>
          <cell r="BI124" t="e">
            <v>#REF!</v>
          </cell>
          <cell r="BJ124" t="e">
            <v>#REF!</v>
          </cell>
          <cell r="BK124" t="e">
            <v>#REF!</v>
          </cell>
          <cell r="BL124" t="e">
            <v>#REF!</v>
          </cell>
        </row>
        <row r="125">
          <cell r="C125">
            <v>1892</v>
          </cell>
          <cell r="D125" t="str">
            <v>HG220023</v>
          </cell>
          <cell r="E125" t="str">
            <v xml:space="preserve"> SASH,R/DR WDO CTR LH</v>
          </cell>
          <cell r="I125">
            <v>1</v>
          </cell>
          <cell r="J125">
            <v>1</v>
          </cell>
          <cell r="K125">
            <v>1</v>
          </cell>
          <cell r="O125">
            <v>1</v>
          </cell>
          <cell r="Q125">
            <v>1</v>
          </cell>
          <cell r="S125">
            <v>1</v>
          </cell>
          <cell r="T125">
            <v>1</v>
          </cell>
          <cell r="V125">
            <v>1</v>
          </cell>
          <cell r="X125">
            <v>1</v>
          </cell>
          <cell r="Y125">
            <v>1</v>
          </cell>
          <cell r="Z125">
            <v>1</v>
          </cell>
          <cell r="AA125">
            <v>1</v>
          </cell>
          <cell r="AE125">
            <v>1</v>
          </cell>
          <cell r="AG125">
            <v>1</v>
          </cell>
          <cell r="AI125">
            <v>1</v>
          </cell>
          <cell r="AJ125">
            <v>1</v>
          </cell>
          <cell r="AK125">
            <v>1</v>
          </cell>
          <cell r="AQ125">
            <v>1</v>
          </cell>
          <cell r="AR125">
            <v>1</v>
          </cell>
          <cell r="AS125">
            <v>1</v>
          </cell>
          <cell r="AT125">
            <v>1</v>
          </cell>
          <cell r="AU125">
            <v>1</v>
          </cell>
          <cell r="AV125">
            <v>1</v>
          </cell>
          <cell r="AX125">
            <v>1</v>
          </cell>
          <cell r="AY125">
            <v>1</v>
          </cell>
          <cell r="AZ125" t="str">
            <v>T</v>
          </cell>
          <cell r="BA125" t="str">
            <v>동원금속</v>
          </cell>
          <cell r="BB125" t="str">
            <v>H51B32K</v>
          </cell>
          <cell r="BC125" t="str">
            <v>MB320025</v>
          </cell>
          <cell r="BD125" t="str">
            <v>L735</v>
          </cell>
          <cell r="BI125" t="e">
            <v>#REF!</v>
          </cell>
          <cell r="BJ125" t="e">
            <v>#REF!</v>
          </cell>
          <cell r="BK125" t="e">
            <v>#REF!</v>
          </cell>
          <cell r="BL125" t="e">
            <v>#REF!</v>
          </cell>
        </row>
        <row r="126">
          <cell r="C126">
            <v>1892</v>
          </cell>
          <cell r="D126" t="str">
            <v>HG220024</v>
          </cell>
          <cell r="E126" t="str">
            <v xml:space="preserve"> SASH,R/DR WDO CTR RH</v>
          </cell>
          <cell r="I126">
            <v>1</v>
          </cell>
          <cell r="J126">
            <v>1</v>
          </cell>
          <cell r="K126">
            <v>1</v>
          </cell>
          <cell r="O126">
            <v>1</v>
          </cell>
          <cell r="Q126">
            <v>1</v>
          </cell>
          <cell r="S126">
            <v>1</v>
          </cell>
          <cell r="T126">
            <v>1</v>
          </cell>
          <cell r="V126">
            <v>1</v>
          </cell>
          <cell r="X126">
            <v>1</v>
          </cell>
          <cell r="Y126">
            <v>1</v>
          </cell>
          <cell r="Z126">
            <v>1</v>
          </cell>
          <cell r="AA126">
            <v>1</v>
          </cell>
          <cell r="AE126">
            <v>1</v>
          </cell>
          <cell r="AG126">
            <v>1</v>
          </cell>
          <cell r="AI126">
            <v>1</v>
          </cell>
          <cell r="AJ126">
            <v>1</v>
          </cell>
          <cell r="AK126">
            <v>1</v>
          </cell>
          <cell r="AQ126">
            <v>1</v>
          </cell>
          <cell r="AR126">
            <v>1</v>
          </cell>
          <cell r="AS126">
            <v>1</v>
          </cell>
          <cell r="AT126">
            <v>1</v>
          </cell>
          <cell r="AU126">
            <v>1</v>
          </cell>
          <cell r="AV126">
            <v>1</v>
          </cell>
          <cell r="AX126">
            <v>1</v>
          </cell>
          <cell r="AY126">
            <v>1</v>
          </cell>
          <cell r="AZ126" t="str">
            <v>T</v>
          </cell>
          <cell r="BA126" t="str">
            <v>동원금속</v>
          </cell>
          <cell r="BB126" t="str">
            <v>H51B32K</v>
          </cell>
          <cell r="BC126" t="str">
            <v>MB320026</v>
          </cell>
          <cell r="BD126" t="str">
            <v>L735</v>
          </cell>
          <cell r="BI126" t="e">
            <v>#REF!</v>
          </cell>
          <cell r="BJ126" t="e">
            <v>#REF!</v>
          </cell>
          <cell r="BK126" t="e">
            <v>#REF!</v>
          </cell>
          <cell r="BL126" t="e">
            <v>#REF!</v>
          </cell>
        </row>
        <row r="127">
          <cell r="C127">
            <v>2584</v>
          </cell>
          <cell r="D127" t="str">
            <v>MB227635A</v>
          </cell>
          <cell r="E127" t="str">
            <v xml:space="preserve"> SASH,F/DR WDO LH</v>
          </cell>
          <cell r="G127">
            <v>1</v>
          </cell>
          <cell r="AZ127" t="str">
            <v>B</v>
          </cell>
          <cell r="BA127" t="str">
            <v>동원금속</v>
          </cell>
          <cell r="BB127" t="str">
            <v>H50B31K</v>
          </cell>
          <cell r="BD127" t="str">
            <v>L735</v>
          </cell>
          <cell r="BE127" t="str">
            <v>ALL</v>
          </cell>
          <cell r="BI127">
            <v>0</v>
          </cell>
          <cell r="BJ127">
            <v>0</v>
          </cell>
          <cell r="BK127">
            <v>0</v>
          </cell>
          <cell r="BL127">
            <v>0</v>
          </cell>
        </row>
        <row r="128">
          <cell r="C128">
            <v>2584</v>
          </cell>
          <cell r="D128" t="str">
            <v>MB227636A</v>
          </cell>
          <cell r="E128" t="str">
            <v xml:space="preserve"> SASH,F/DR WDO RH</v>
          </cell>
          <cell r="G128">
            <v>1</v>
          </cell>
          <cell r="AZ128" t="str">
            <v>B</v>
          </cell>
          <cell r="BA128" t="str">
            <v>동원금속</v>
          </cell>
          <cell r="BB128" t="str">
            <v>H50B31K</v>
          </cell>
          <cell r="BD128" t="str">
            <v>L735</v>
          </cell>
          <cell r="BE128" t="str">
            <v>ALL</v>
          </cell>
          <cell r="BI128">
            <v>0</v>
          </cell>
          <cell r="BJ128">
            <v>0</v>
          </cell>
          <cell r="BK128">
            <v>0</v>
          </cell>
          <cell r="BL128">
            <v>0</v>
          </cell>
        </row>
        <row r="129">
          <cell r="C129">
            <v>2584</v>
          </cell>
          <cell r="D129" t="str">
            <v>MB250361</v>
          </cell>
          <cell r="E129" t="str">
            <v xml:space="preserve"> CHANNEL DRIP FR LH</v>
          </cell>
          <cell r="G129">
            <v>1</v>
          </cell>
          <cell r="AZ129" t="str">
            <v>B</v>
          </cell>
          <cell r="BA129" t="str">
            <v>동원금속</v>
          </cell>
          <cell r="BB129" t="str">
            <v>H50A16K</v>
          </cell>
          <cell r="BD129" t="str">
            <v>L735</v>
          </cell>
          <cell r="BE129" t="str">
            <v>ALL</v>
          </cell>
          <cell r="BI129">
            <v>0</v>
          </cell>
          <cell r="BJ129">
            <v>0</v>
          </cell>
          <cell r="BK129">
            <v>0</v>
          </cell>
          <cell r="BL129">
            <v>0</v>
          </cell>
        </row>
        <row r="130">
          <cell r="C130">
            <v>2584</v>
          </cell>
          <cell r="D130" t="str">
            <v>MB250362</v>
          </cell>
          <cell r="E130" t="str">
            <v xml:space="preserve"> CHANNEL DRIP FR RH</v>
          </cell>
          <cell r="G130">
            <v>1</v>
          </cell>
          <cell r="AZ130" t="str">
            <v>B</v>
          </cell>
          <cell r="BA130" t="str">
            <v>동원금속</v>
          </cell>
          <cell r="BB130" t="str">
            <v>H50A16K</v>
          </cell>
          <cell r="BD130" t="str">
            <v>L735</v>
          </cell>
          <cell r="BE130" t="str">
            <v>ALL</v>
          </cell>
          <cell r="BI130">
            <v>0</v>
          </cell>
          <cell r="BJ130">
            <v>0</v>
          </cell>
          <cell r="BK130">
            <v>0</v>
          </cell>
          <cell r="BL130">
            <v>0</v>
          </cell>
        </row>
        <row r="131">
          <cell r="C131">
            <v>2584</v>
          </cell>
          <cell r="D131" t="str">
            <v>MB250363</v>
          </cell>
          <cell r="E131" t="str">
            <v xml:space="preserve"> CHANNEL DRIP CTR LH</v>
          </cell>
          <cell r="G131">
            <v>1</v>
          </cell>
          <cell r="AZ131" t="str">
            <v>B</v>
          </cell>
          <cell r="BA131" t="str">
            <v>동원금속</v>
          </cell>
          <cell r="BB131" t="str">
            <v>H50A16K</v>
          </cell>
          <cell r="BD131" t="str">
            <v>L735</v>
          </cell>
          <cell r="BE131" t="str">
            <v>ALL</v>
          </cell>
          <cell r="BI131">
            <v>0</v>
          </cell>
          <cell r="BJ131">
            <v>0</v>
          </cell>
          <cell r="BK131">
            <v>0</v>
          </cell>
          <cell r="BL131">
            <v>0</v>
          </cell>
        </row>
        <row r="132">
          <cell r="C132">
            <v>2584</v>
          </cell>
          <cell r="D132" t="str">
            <v>MB250364</v>
          </cell>
          <cell r="E132" t="str">
            <v xml:space="preserve"> CHANNEL DRIP CTR RH</v>
          </cell>
          <cell r="G132">
            <v>1</v>
          </cell>
          <cell r="AZ132" t="str">
            <v>B</v>
          </cell>
          <cell r="BA132" t="str">
            <v>동원금속</v>
          </cell>
          <cell r="BB132" t="str">
            <v>H50A16K</v>
          </cell>
          <cell r="BD132" t="str">
            <v>L735</v>
          </cell>
          <cell r="BE132" t="str">
            <v>ALL</v>
          </cell>
          <cell r="BI132">
            <v>0</v>
          </cell>
          <cell r="BJ132">
            <v>0</v>
          </cell>
          <cell r="BK132">
            <v>0</v>
          </cell>
          <cell r="BL132">
            <v>0</v>
          </cell>
        </row>
        <row r="133">
          <cell r="C133">
            <v>1892</v>
          </cell>
          <cell r="D133" t="str">
            <v>MB275075</v>
          </cell>
          <cell r="E133" t="str">
            <v xml:space="preserve"> CHANNEL,DRIP SIDE LH</v>
          </cell>
          <cell r="I133">
            <v>1</v>
          </cell>
          <cell r="J133">
            <v>1</v>
          </cell>
          <cell r="K133">
            <v>1</v>
          </cell>
          <cell r="O133">
            <v>1</v>
          </cell>
          <cell r="Q133">
            <v>1</v>
          </cell>
          <cell r="S133">
            <v>1</v>
          </cell>
          <cell r="T133">
            <v>1</v>
          </cell>
          <cell r="V133">
            <v>1</v>
          </cell>
          <cell r="X133">
            <v>1</v>
          </cell>
          <cell r="Y133">
            <v>1</v>
          </cell>
          <cell r="Z133">
            <v>1</v>
          </cell>
          <cell r="AA133">
            <v>1</v>
          </cell>
          <cell r="AE133">
            <v>1</v>
          </cell>
          <cell r="AG133">
            <v>1</v>
          </cell>
          <cell r="AI133">
            <v>1</v>
          </cell>
          <cell r="AJ133">
            <v>1</v>
          </cell>
          <cell r="AK133">
            <v>1</v>
          </cell>
          <cell r="AQ133">
            <v>1</v>
          </cell>
          <cell r="AR133">
            <v>1</v>
          </cell>
          <cell r="AS133">
            <v>1</v>
          </cell>
          <cell r="AT133">
            <v>1</v>
          </cell>
          <cell r="AU133">
            <v>1</v>
          </cell>
          <cell r="AV133">
            <v>1</v>
          </cell>
          <cell r="AX133">
            <v>1</v>
          </cell>
          <cell r="AY133">
            <v>1</v>
          </cell>
          <cell r="AZ133" t="str">
            <v>B</v>
          </cell>
          <cell r="BA133" t="str">
            <v>동원금속</v>
          </cell>
          <cell r="BB133" t="str">
            <v>H50A17K</v>
          </cell>
          <cell r="BD133" t="str">
            <v>L735</v>
          </cell>
          <cell r="BI133">
            <v>888</v>
          </cell>
          <cell r="BJ133">
            <v>458</v>
          </cell>
          <cell r="BK133">
            <v>90</v>
          </cell>
          <cell r="BL133">
            <v>100</v>
          </cell>
        </row>
        <row r="134">
          <cell r="C134">
            <v>1892</v>
          </cell>
          <cell r="D134" t="str">
            <v>MB275076</v>
          </cell>
          <cell r="E134" t="str">
            <v xml:space="preserve"> CHANNEL,DRIP SIDE RH</v>
          </cell>
          <cell r="I134">
            <v>1</v>
          </cell>
          <cell r="J134">
            <v>1</v>
          </cell>
          <cell r="K134">
            <v>1</v>
          </cell>
          <cell r="O134">
            <v>1</v>
          </cell>
          <cell r="Q134">
            <v>1</v>
          </cell>
          <cell r="S134">
            <v>1</v>
          </cell>
          <cell r="T134">
            <v>1</v>
          </cell>
          <cell r="V134">
            <v>1</v>
          </cell>
          <cell r="X134">
            <v>1</v>
          </cell>
          <cell r="Y134">
            <v>1</v>
          </cell>
          <cell r="Z134">
            <v>1</v>
          </cell>
          <cell r="AA134">
            <v>1</v>
          </cell>
          <cell r="AE134">
            <v>1</v>
          </cell>
          <cell r="AG134">
            <v>1</v>
          </cell>
          <cell r="AI134">
            <v>1</v>
          </cell>
          <cell r="AJ134">
            <v>1</v>
          </cell>
          <cell r="AK134">
            <v>1</v>
          </cell>
          <cell r="AQ134">
            <v>1</v>
          </cell>
          <cell r="AR134">
            <v>1</v>
          </cell>
          <cell r="AS134">
            <v>1</v>
          </cell>
          <cell r="AT134">
            <v>1</v>
          </cell>
          <cell r="AU134">
            <v>1</v>
          </cell>
          <cell r="AV134">
            <v>1</v>
          </cell>
          <cell r="AX134">
            <v>1</v>
          </cell>
          <cell r="AY134">
            <v>1</v>
          </cell>
          <cell r="AZ134" t="str">
            <v>B</v>
          </cell>
          <cell r="BA134" t="str">
            <v>동원금속</v>
          </cell>
          <cell r="BB134" t="str">
            <v>H50A17K</v>
          </cell>
          <cell r="BD134" t="str">
            <v>L735</v>
          </cell>
          <cell r="BI134">
            <v>888</v>
          </cell>
          <cell r="BJ134">
            <v>458</v>
          </cell>
          <cell r="BK134">
            <v>90</v>
          </cell>
          <cell r="BL134">
            <v>100</v>
          </cell>
        </row>
        <row r="135">
          <cell r="C135">
            <v>692</v>
          </cell>
          <cell r="D135" t="str">
            <v>MB275273</v>
          </cell>
          <cell r="E135" t="str">
            <v xml:space="preserve"> CHANNEL,DRIP SIDE LH</v>
          </cell>
          <cell r="H135">
            <v>1</v>
          </cell>
          <cell r="L135">
            <v>1</v>
          </cell>
          <cell r="M135">
            <v>1</v>
          </cell>
          <cell r="N135">
            <v>1</v>
          </cell>
          <cell r="P135">
            <v>1</v>
          </cell>
          <cell r="R135">
            <v>1</v>
          </cell>
          <cell r="U135">
            <v>1</v>
          </cell>
          <cell r="W135">
            <v>1</v>
          </cell>
          <cell r="AB135">
            <v>1</v>
          </cell>
          <cell r="AC135">
            <v>1</v>
          </cell>
          <cell r="AD135">
            <v>1</v>
          </cell>
          <cell r="AF135">
            <v>1</v>
          </cell>
          <cell r="AH135">
            <v>1</v>
          </cell>
          <cell r="AL135">
            <v>1</v>
          </cell>
          <cell r="AM135">
            <v>1</v>
          </cell>
          <cell r="AN135">
            <v>1</v>
          </cell>
          <cell r="AO135">
            <v>1</v>
          </cell>
          <cell r="AP135">
            <v>1</v>
          </cell>
          <cell r="AW135">
            <v>1</v>
          </cell>
          <cell r="AZ135" t="str">
            <v>B</v>
          </cell>
          <cell r="BA135" t="str">
            <v>동원금속</v>
          </cell>
          <cell r="BB135" t="str">
            <v>H50A17K</v>
          </cell>
          <cell r="BD135" t="str">
            <v>L735</v>
          </cell>
          <cell r="BE135" t="str">
            <v>S/B</v>
          </cell>
          <cell r="BI135">
            <v>49</v>
          </cell>
          <cell r="BJ135">
            <v>539</v>
          </cell>
          <cell r="BK135">
            <v>28</v>
          </cell>
          <cell r="BL135">
            <v>2</v>
          </cell>
        </row>
        <row r="136">
          <cell r="C136">
            <v>692</v>
          </cell>
          <cell r="D136" t="str">
            <v>MB275274</v>
          </cell>
          <cell r="E136" t="str">
            <v xml:space="preserve"> CHANNEL,DRIP SIDE RH</v>
          </cell>
          <cell r="H136">
            <v>1</v>
          </cell>
          <cell r="L136">
            <v>1</v>
          </cell>
          <cell r="M136">
            <v>1</v>
          </cell>
          <cell r="N136">
            <v>1</v>
          </cell>
          <cell r="P136">
            <v>1</v>
          </cell>
          <cell r="R136">
            <v>1</v>
          </cell>
          <cell r="U136">
            <v>1</v>
          </cell>
          <cell r="W136">
            <v>1</v>
          </cell>
          <cell r="AB136">
            <v>1</v>
          </cell>
          <cell r="AC136">
            <v>1</v>
          </cell>
          <cell r="AD136">
            <v>1</v>
          </cell>
          <cell r="AF136">
            <v>1</v>
          </cell>
          <cell r="AH136">
            <v>1</v>
          </cell>
          <cell r="AL136">
            <v>1</v>
          </cell>
          <cell r="AM136">
            <v>1</v>
          </cell>
          <cell r="AN136">
            <v>1</v>
          </cell>
          <cell r="AO136">
            <v>1</v>
          </cell>
          <cell r="AP136">
            <v>1</v>
          </cell>
          <cell r="AW136">
            <v>1</v>
          </cell>
          <cell r="AZ136" t="str">
            <v>B</v>
          </cell>
          <cell r="BA136" t="str">
            <v>동원금속</v>
          </cell>
          <cell r="BB136" t="str">
            <v>H50A17K</v>
          </cell>
          <cell r="BD136" t="str">
            <v>L735</v>
          </cell>
          <cell r="BE136" t="str">
            <v>S/B</v>
          </cell>
          <cell r="BI136">
            <v>49</v>
          </cell>
          <cell r="BJ136">
            <v>539</v>
          </cell>
          <cell r="BK136">
            <v>28</v>
          </cell>
          <cell r="BL136">
            <v>2</v>
          </cell>
        </row>
        <row r="137">
          <cell r="C137">
            <v>1892</v>
          </cell>
          <cell r="D137" t="str">
            <v>MB275275</v>
          </cell>
          <cell r="E137" t="str">
            <v xml:space="preserve"> CHANNEL,DRIP,QTR LH</v>
          </cell>
          <cell r="I137">
            <v>1</v>
          </cell>
          <cell r="J137">
            <v>1</v>
          </cell>
          <cell r="K137">
            <v>1</v>
          </cell>
          <cell r="O137">
            <v>1</v>
          </cell>
          <cell r="Q137">
            <v>1</v>
          </cell>
          <cell r="S137">
            <v>1</v>
          </cell>
          <cell r="T137">
            <v>1</v>
          </cell>
          <cell r="V137">
            <v>1</v>
          </cell>
          <cell r="X137">
            <v>1</v>
          </cell>
          <cell r="Y137">
            <v>1</v>
          </cell>
          <cell r="Z137">
            <v>1</v>
          </cell>
          <cell r="AA137">
            <v>1</v>
          </cell>
          <cell r="AE137">
            <v>1</v>
          </cell>
          <cell r="AG137">
            <v>1</v>
          </cell>
          <cell r="AI137">
            <v>1</v>
          </cell>
          <cell r="AJ137">
            <v>1</v>
          </cell>
          <cell r="AK137">
            <v>1</v>
          </cell>
          <cell r="AQ137">
            <v>1</v>
          </cell>
          <cell r="AR137">
            <v>1</v>
          </cell>
          <cell r="AS137">
            <v>1</v>
          </cell>
          <cell r="AT137">
            <v>1</v>
          </cell>
          <cell r="AU137">
            <v>1</v>
          </cell>
          <cell r="AV137">
            <v>1</v>
          </cell>
          <cell r="AX137">
            <v>1</v>
          </cell>
          <cell r="AY137">
            <v>1</v>
          </cell>
          <cell r="AZ137" t="str">
            <v>B</v>
          </cell>
          <cell r="BA137" t="str">
            <v>동원금속</v>
          </cell>
          <cell r="BB137" t="str">
            <v>H50A17K</v>
          </cell>
          <cell r="BD137" t="str">
            <v>L735</v>
          </cell>
          <cell r="BI137">
            <v>888</v>
          </cell>
          <cell r="BJ137">
            <v>458</v>
          </cell>
          <cell r="BK137">
            <v>90</v>
          </cell>
          <cell r="BL137">
            <v>100</v>
          </cell>
        </row>
        <row r="138">
          <cell r="C138">
            <v>1892</v>
          </cell>
          <cell r="D138" t="str">
            <v>MB275276</v>
          </cell>
          <cell r="E138" t="str">
            <v xml:space="preserve"> CHANNEL,DRIP,QTR RH</v>
          </cell>
          <cell r="I138">
            <v>1</v>
          </cell>
          <cell r="J138">
            <v>1</v>
          </cell>
          <cell r="K138">
            <v>1</v>
          </cell>
          <cell r="O138">
            <v>1</v>
          </cell>
          <cell r="Q138">
            <v>1</v>
          </cell>
          <cell r="S138">
            <v>1</v>
          </cell>
          <cell r="T138">
            <v>1</v>
          </cell>
          <cell r="V138">
            <v>1</v>
          </cell>
          <cell r="X138">
            <v>1</v>
          </cell>
          <cell r="Y138">
            <v>1</v>
          </cell>
          <cell r="Z138">
            <v>1</v>
          </cell>
          <cell r="AA138">
            <v>1</v>
          </cell>
          <cell r="AE138">
            <v>1</v>
          </cell>
          <cell r="AG138">
            <v>1</v>
          </cell>
          <cell r="AI138">
            <v>1</v>
          </cell>
          <cell r="AJ138">
            <v>1</v>
          </cell>
          <cell r="AK138">
            <v>1</v>
          </cell>
          <cell r="AQ138">
            <v>1</v>
          </cell>
          <cell r="AR138">
            <v>1</v>
          </cell>
          <cell r="AS138">
            <v>1</v>
          </cell>
          <cell r="AT138">
            <v>1</v>
          </cell>
          <cell r="AU138">
            <v>1</v>
          </cell>
          <cell r="AV138">
            <v>1</v>
          </cell>
          <cell r="AX138">
            <v>1</v>
          </cell>
          <cell r="AY138">
            <v>1</v>
          </cell>
          <cell r="AZ138" t="str">
            <v>B</v>
          </cell>
          <cell r="BA138" t="str">
            <v>동원금속</v>
          </cell>
          <cell r="BB138" t="str">
            <v>H50A17K</v>
          </cell>
          <cell r="BD138" t="str">
            <v>L735</v>
          </cell>
          <cell r="BI138">
            <v>888</v>
          </cell>
          <cell r="BJ138">
            <v>458</v>
          </cell>
          <cell r="BK138">
            <v>90</v>
          </cell>
          <cell r="BL138">
            <v>100</v>
          </cell>
        </row>
        <row r="139">
          <cell r="C139">
            <v>2584</v>
          </cell>
          <cell r="D139" t="str">
            <v>MB275277</v>
          </cell>
          <cell r="E139" t="str">
            <v xml:space="preserve"> CHANNEL,DRIP CORNER LH</v>
          </cell>
          <cell r="G139">
            <v>1</v>
          </cell>
          <cell r="AZ139" t="str">
            <v>B</v>
          </cell>
          <cell r="BA139" t="str">
            <v>동원금속</v>
          </cell>
          <cell r="BB139" t="str">
            <v>H50A17K</v>
          </cell>
          <cell r="BD139" t="str">
            <v>L735</v>
          </cell>
          <cell r="BE139" t="str">
            <v>ALL</v>
          </cell>
          <cell r="BI139">
            <v>0</v>
          </cell>
          <cell r="BJ139">
            <v>0</v>
          </cell>
          <cell r="BK139">
            <v>0</v>
          </cell>
          <cell r="BL139">
            <v>0</v>
          </cell>
        </row>
        <row r="140">
          <cell r="C140">
            <v>2584</v>
          </cell>
          <cell r="D140" t="str">
            <v>MB275278</v>
          </cell>
          <cell r="E140" t="str">
            <v xml:space="preserve"> CHANNEL,DRIP CORNER RH</v>
          </cell>
          <cell r="G140">
            <v>1</v>
          </cell>
          <cell r="AZ140" t="str">
            <v>B</v>
          </cell>
          <cell r="BA140" t="str">
            <v>동원금속</v>
          </cell>
          <cell r="BB140" t="str">
            <v>H50A17K</v>
          </cell>
          <cell r="BD140" t="str">
            <v>L735</v>
          </cell>
          <cell r="BE140" t="str">
            <v>ALL</v>
          </cell>
          <cell r="BI140">
            <v>0</v>
          </cell>
          <cell r="BJ140">
            <v>0</v>
          </cell>
          <cell r="BK140">
            <v>0</v>
          </cell>
          <cell r="BL140">
            <v>0</v>
          </cell>
        </row>
        <row r="141">
          <cell r="C141" t="str">
            <v>☆</v>
          </cell>
          <cell r="D141" t="str">
            <v>MB275279</v>
          </cell>
          <cell r="E141" t="str">
            <v xml:space="preserve"> CHANNEL -DRIP.RR</v>
          </cell>
          <cell r="F141" t="str">
            <v>유상 사급</v>
          </cell>
          <cell r="AZ141" t="str">
            <v>B</v>
          </cell>
          <cell r="BA141" t="str">
            <v>동원금속</v>
          </cell>
        </row>
        <row r="142">
          <cell r="C142">
            <v>3784</v>
          </cell>
          <cell r="D142" t="str">
            <v>MB275311A</v>
          </cell>
          <cell r="E142" t="str">
            <v xml:space="preserve"> CONNECTOR,CHANNEL DRIP</v>
          </cell>
          <cell r="I142">
            <v>2</v>
          </cell>
          <cell r="J142">
            <v>2</v>
          </cell>
          <cell r="K142">
            <v>2</v>
          </cell>
          <cell r="O142">
            <v>2</v>
          </cell>
          <cell r="Q142">
            <v>2</v>
          </cell>
          <cell r="S142">
            <v>2</v>
          </cell>
          <cell r="T142">
            <v>2</v>
          </cell>
          <cell r="V142">
            <v>2</v>
          </cell>
          <cell r="X142">
            <v>2</v>
          </cell>
          <cell r="Y142">
            <v>2</v>
          </cell>
          <cell r="Z142">
            <v>2</v>
          </cell>
          <cell r="AA142">
            <v>2</v>
          </cell>
          <cell r="AE142">
            <v>2</v>
          </cell>
          <cell r="AG142">
            <v>2</v>
          </cell>
          <cell r="AI142">
            <v>2</v>
          </cell>
          <cell r="AJ142">
            <v>2</v>
          </cell>
          <cell r="AK142">
            <v>2</v>
          </cell>
          <cell r="AQ142">
            <v>2</v>
          </cell>
          <cell r="AR142">
            <v>2</v>
          </cell>
          <cell r="AS142">
            <v>2</v>
          </cell>
          <cell r="AT142">
            <v>2</v>
          </cell>
          <cell r="AU142">
            <v>2</v>
          </cell>
          <cell r="AV142">
            <v>2</v>
          </cell>
          <cell r="AX142">
            <v>2</v>
          </cell>
          <cell r="AY142">
            <v>2</v>
          </cell>
          <cell r="AZ142" t="str">
            <v>B</v>
          </cell>
          <cell r="BA142" t="str">
            <v>동원금속</v>
          </cell>
          <cell r="BB142" t="str">
            <v>H50A17K</v>
          </cell>
          <cell r="BD142" t="str">
            <v>L735</v>
          </cell>
          <cell r="BI142">
            <v>1776</v>
          </cell>
          <cell r="BJ142">
            <v>916</v>
          </cell>
          <cell r="BK142">
            <v>180</v>
          </cell>
          <cell r="BL142">
            <v>200</v>
          </cell>
        </row>
        <row r="143">
          <cell r="C143">
            <v>10336</v>
          </cell>
          <cell r="D143" t="str">
            <v>MB275311A</v>
          </cell>
          <cell r="E143" t="str">
            <v xml:space="preserve"> CONNECTOR,CHANNEL DRIP</v>
          </cell>
          <cell r="G143">
            <v>4</v>
          </cell>
          <cell r="AZ143" t="str">
            <v>B</v>
          </cell>
          <cell r="BA143" t="str">
            <v>동원금속</v>
          </cell>
          <cell r="BB143" t="str">
            <v>H50A16K</v>
          </cell>
          <cell r="BD143" t="str">
            <v>L735</v>
          </cell>
          <cell r="BE143" t="str">
            <v>ALL</v>
          </cell>
          <cell r="BI143">
            <v>0</v>
          </cell>
          <cell r="BJ143">
            <v>0</v>
          </cell>
          <cell r="BK143">
            <v>0</v>
          </cell>
          <cell r="BL143">
            <v>0</v>
          </cell>
        </row>
        <row r="144">
          <cell r="C144">
            <v>1892</v>
          </cell>
          <cell r="D144" t="str">
            <v>MB320017</v>
          </cell>
          <cell r="E144" t="str">
            <v xml:space="preserve"> SASH,R/DR WDO LH</v>
          </cell>
          <cell r="I144">
            <v>1</v>
          </cell>
          <cell r="J144">
            <v>1</v>
          </cell>
          <cell r="K144">
            <v>1</v>
          </cell>
          <cell r="O144">
            <v>1</v>
          </cell>
          <cell r="Q144">
            <v>1</v>
          </cell>
          <cell r="S144">
            <v>1</v>
          </cell>
          <cell r="T144">
            <v>1</v>
          </cell>
          <cell r="V144">
            <v>1</v>
          </cell>
          <cell r="X144">
            <v>1</v>
          </cell>
          <cell r="Y144">
            <v>1</v>
          </cell>
          <cell r="Z144">
            <v>1</v>
          </cell>
          <cell r="AA144">
            <v>1</v>
          </cell>
          <cell r="AE144">
            <v>1</v>
          </cell>
          <cell r="AG144">
            <v>1</v>
          </cell>
          <cell r="AI144">
            <v>1</v>
          </cell>
          <cell r="AJ144">
            <v>1</v>
          </cell>
          <cell r="AK144">
            <v>1</v>
          </cell>
          <cell r="AQ144">
            <v>1</v>
          </cell>
          <cell r="AR144">
            <v>1</v>
          </cell>
          <cell r="AS144">
            <v>1</v>
          </cell>
          <cell r="AT144">
            <v>1</v>
          </cell>
          <cell r="AU144">
            <v>1</v>
          </cell>
          <cell r="AV144">
            <v>1</v>
          </cell>
          <cell r="AX144">
            <v>1</v>
          </cell>
          <cell r="AY144">
            <v>1</v>
          </cell>
          <cell r="AZ144" t="str">
            <v>B</v>
          </cell>
          <cell r="BA144" t="str">
            <v>동원금속</v>
          </cell>
          <cell r="BB144" t="str">
            <v>H50B32K</v>
          </cell>
          <cell r="BD144" t="str">
            <v>L735</v>
          </cell>
          <cell r="BI144">
            <v>888</v>
          </cell>
          <cell r="BJ144">
            <v>458</v>
          </cell>
          <cell r="BK144">
            <v>90</v>
          </cell>
          <cell r="BL144">
            <v>100</v>
          </cell>
        </row>
        <row r="145">
          <cell r="C145">
            <v>1892</v>
          </cell>
          <cell r="D145" t="str">
            <v>MB320018</v>
          </cell>
          <cell r="E145" t="str">
            <v xml:space="preserve"> SASH R/DR WDO RH</v>
          </cell>
          <cell r="I145">
            <v>1</v>
          </cell>
          <cell r="J145">
            <v>1</v>
          </cell>
          <cell r="K145">
            <v>1</v>
          </cell>
          <cell r="O145">
            <v>1</v>
          </cell>
          <cell r="Q145">
            <v>1</v>
          </cell>
          <cell r="S145">
            <v>1</v>
          </cell>
          <cell r="T145">
            <v>1</v>
          </cell>
          <cell r="V145">
            <v>1</v>
          </cell>
          <cell r="X145">
            <v>1</v>
          </cell>
          <cell r="Y145">
            <v>1</v>
          </cell>
          <cell r="Z145">
            <v>1</v>
          </cell>
          <cell r="AA145">
            <v>1</v>
          </cell>
          <cell r="AE145">
            <v>1</v>
          </cell>
          <cell r="AG145">
            <v>1</v>
          </cell>
          <cell r="AI145">
            <v>1</v>
          </cell>
          <cell r="AJ145">
            <v>1</v>
          </cell>
          <cell r="AK145">
            <v>1</v>
          </cell>
          <cell r="AQ145">
            <v>1</v>
          </cell>
          <cell r="AR145">
            <v>1</v>
          </cell>
          <cell r="AS145">
            <v>1</v>
          </cell>
          <cell r="AT145">
            <v>1</v>
          </cell>
          <cell r="AU145">
            <v>1</v>
          </cell>
          <cell r="AV145">
            <v>1</v>
          </cell>
          <cell r="AX145">
            <v>1</v>
          </cell>
          <cell r="AY145">
            <v>1</v>
          </cell>
          <cell r="AZ145" t="str">
            <v>B</v>
          </cell>
          <cell r="BA145" t="str">
            <v>동원금속</v>
          </cell>
          <cell r="BB145" t="str">
            <v>H50B32K</v>
          </cell>
          <cell r="BD145" t="str">
            <v>L735</v>
          </cell>
          <cell r="BI145">
            <v>888</v>
          </cell>
          <cell r="BJ145">
            <v>458</v>
          </cell>
          <cell r="BK145">
            <v>90</v>
          </cell>
          <cell r="BL145">
            <v>100</v>
          </cell>
        </row>
        <row r="146">
          <cell r="C146">
            <v>1437</v>
          </cell>
          <cell r="D146" t="str">
            <v>HQ505446</v>
          </cell>
          <cell r="E146" t="str">
            <v xml:space="preserve"> BRKT-GLOW PLUG</v>
          </cell>
          <cell r="F146" t="str">
            <v>+271A</v>
          </cell>
          <cell r="K146">
            <v>1</v>
          </cell>
          <cell r="L146">
            <v>1</v>
          </cell>
          <cell r="M146">
            <v>1</v>
          </cell>
          <cell r="N146">
            <v>1</v>
          </cell>
          <cell r="O146">
            <v>1</v>
          </cell>
          <cell r="P146">
            <v>1</v>
          </cell>
          <cell r="Q146">
            <v>1</v>
          </cell>
          <cell r="T146">
            <v>1</v>
          </cell>
          <cell r="U146">
            <v>1</v>
          </cell>
          <cell r="V146">
            <v>1</v>
          </cell>
          <cell r="Y146">
            <v>1</v>
          </cell>
          <cell r="Z146">
            <v>1</v>
          </cell>
          <cell r="AA146">
            <v>1</v>
          </cell>
          <cell r="AB146">
            <v>1</v>
          </cell>
          <cell r="AC146">
            <v>1</v>
          </cell>
          <cell r="AD146">
            <v>1</v>
          </cell>
          <cell r="AJ146">
            <v>1</v>
          </cell>
          <cell r="AL146">
            <v>1</v>
          </cell>
          <cell r="AM146">
            <v>1</v>
          </cell>
          <cell r="AO146">
            <v>1</v>
          </cell>
          <cell r="AQ146">
            <v>1</v>
          </cell>
          <cell r="AS146">
            <v>1</v>
          </cell>
          <cell r="AV146">
            <v>1</v>
          </cell>
          <cell r="AZ146" t="str">
            <v>B</v>
          </cell>
          <cell r="BA146" t="str">
            <v>부전</v>
          </cell>
        </row>
        <row r="147">
          <cell r="C147">
            <v>1310</v>
          </cell>
          <cell r="D147" t="str">
            <v>9725531001</v>
          </cell>
          <cell r="E147" t="str">
            <v xml:space="preserve"> KNOB  ( L/B EXD ↑)</v>
          </cell>
          <cell r="F147" t="str">
            <v>+973A,R/H</v>
          </cell>
          <cell r="G147" t="str">
            <v xml:space="preserve"> </v>
          </cell>
          <cell r="H147" t="str">
            <v xml:space="preserve"> </v>
          </cell>
          <cell r="J147">
            <v>1</v>
          </cell>
          <cell r="K147">
            <v>1</v>
          </cell>
          <cell r="O147">
            <v>1</v>
          </cell>
          <cell r="Q147">
            <v>1</v>
          </cell>
          <cell r="X147">
            <v>1</v>
          </cell>
          <cell r="AE147">
            <v>1</v>
          </cell>
          <cell r="AF147" t="str">
            <v xml:space="preserve"> </v>
          </cell>
          <cell r="AI147">
            <v>1</v>
          </cell>
          <cell r="AK147">
            <v>1</v>
          </cell>
          <cell r="AQ147">
            <v>1</v>
          </cell>
          <cell r="AS147">
            <v>1</v>
          </cell>
          <cell r="AT147">
            <v>1</v>
          </cell>
          <cell r="AZ147" t="str">
            <v>T</v>
          </cell>
          <cell r="BA147" t="str">
            <v>부전(주)</v>
          </cell>
          <cell r="BB147" t="str">
            <v>H78A51K</v>
          </cell>
          <cell r="BD147" t="str">
            <v>K804</v>
          </cell>
          <cell r="BI147" t="e">
            <v>#REF!</v>
          </cell>
          <cell r="BJ147" t="e">
            <v>#REF!</v>
          </cell>
          <cell r="BK147" t="e">
            <v>#REF!</v>
          </cell>
          <cell r="BL147" t="e">
            <v>#REF!</v>
          </cell>
        </row>
        <row r="148">
          <cell r="C148">
            <v>1892</v>
          </cell>
          <cell r="D148" t="str">
            <v>HC000013</v>
          </cell>
          <cell r="E148" t="str">
            <v xml:space="preserve"> BRACKET,JACK</v>
          </cell>
          <cell r="I148">
            <v>1</v>
          </cell>
          <cell r="J148">
            <v>1</v>
          </cell>
          <cell r="K148">
            <v>1</v>
          </cell>
          <cell r="O148">
            <v>1</v>
          </cell>
          <cell r="Q148">
            <v>1</v>
          </cell>
          <cell r="S148">
            <v>1</v>
          </cell>
          <cell r="T148">
            <v>1</v>
          </cell>
          <cell r="V148">
            <v>1</v>
          </cell>
          <cell r="X148">
            <v>1</v>
          </cell>
          <cell r="Y148">
            <v>1</v>
          </cell>
          <cell r="Z148">
            <v>1</v>
          </cell>
          <cell r="AA148">
            <v>1</v>
          </cell>
          <cell r="AE148">
            <v>1</v>
          </cell>
          <cell r="AG148">
            <v>1</v>
          </cell>
          <cell r="AI148">
            <v>1</v>
          </cell>
          <cell r="AJ148">
            <v>1</v>
          </cell>
          <cell r="AK148">
            <v>1</v>
          </cell>
          <cell r="AQ148">
            <v>1</v>
          </cell>
          <cell r="AR148">
            <v>1</v>
          </cell>
          <cell r="AS148">
            <v>1</v>
          </cell>
          <cell r="AT148">
            <v>1</v>
          </cell>
          <cell r="AU148">
            <v>1</v>
          </cell>
          <cell r="AV148">
            <v>1</v>
          </cell>
          <cell r="AX148">
            <v>1</v>
          </cell>
          <cell r="AY148">
            <v>1</v>
          </cell>
          <cell r="AZ148" t="str">
            <v>B</v>
          </cell>
          <cell r="BA148" t="str">
            <v>부전(주)</v>
          </cell>
          <cell r="BB148" t="str">
            <v>H50A11K</v>
          </cell>
          <cell r="BD148" t="str">
            <v>K804</v>
          </cell>
          <cell r="BI148">
            <v>888</v>
          </cell>
          <cell r="BJ148">
            <v>458</v>
          </cell>
          <cell r="BK148">
            <v>90</v>
          </cell>
          <cell r="BL148">
            <v>100</v>
          </cell>
        </row>
        <row r="149">
          <cell r="C149" t="str">
            <v>☆</v>
          </cell>
          <cell r="D149" t="str">
            <v>HC000027</v>
          </cell>
          <cell r="E149" t="str">
            <v xml:space="preserve"> BRKT-FUSIBLE LINK BOX</v>
          </cell>
          <cell r="F149" t="str">
            <v>A/S용</v>
          </cell>
          <cell r="AZ149" t="str">
            <v>A</v>
          </cell>
          <cell r="BA149" t="str">
            <v>부전(주)</v>
          </cell>
        </row>
        <row r="150">
          <cell r="C150" t="str">
            <v>☆</v>
          </cell>
          <cell r="D150" t="str">
            <v>HC000029</v>
          </cell>
          <cell r="E150" t="str">
            <v xml:space="preserve"> BRKT-FUSIBLE LINK BOX</v>
          </cell>
          <cell r="F150" t="str">
            <v>A/S용</v>
          </cell>
          <cell r="AZ150" t="str">
            <v>A</v>
          </cell>
          <cell r="BA150" t="str">
            <v>부전(주)</v>
          </cell>
        </row>
        <row r="151">
          <cell r="C151">
            <v>692</v>
          </cell>
          <cell r="D151" t="str">
            <v>HC000031</v>
          </cell>
          <cell r="E151" t="str">
            <v xml:space="preserve"> BRKT,ASHTRAY LH</v>
          </cell>
          <cell r="H151">
            <v>1</v>
          </cell>
          <cell r="L151">
            <v>1</v>
          </cell>
          <cell r="M151">
            <v>1</v>
          </cell>
          <cell r="N151">
            <v>1</v>
          </cell>
          <cell r="P151">
            <v>1</v>
          </cell>
          <cell r="R151">
            <v>1</v>
          </cell>
          <cell r="U151">
            <v>1</v>
          </cell>
          <cell r="W151">
            <v>1</v>
          </cell>
          <cell r="AB151">
            <v>1</v>
          </cell>
          <cell r="AC151">
            <v>1</v>
          </cell>
          <cell r="AD151">
            <v>1</v>
          </cell>
          <cell r="AF151">
            <v>1</v>
          </cell>
          <cell r="AH151">
            <v>1</v>
          </cell>
          <cell r="AL151">
            <v>1</v>
          </cell>
          <cell r="AM151">
            <v>1</v>
          </cell>
          <cell r="AN151">
            <v>1</v>
          </cell>
          <cell r="AO151">
            <v>1</v>
          </cell>
          <cell r="AP151">
            <v>1</v>
          </cell>
          <cell r="AW151">
            <v>1</v>
          </cell>
          <cell r="AZ151" t="str">
            <v>B</v>
          </cell>
          <cell r="BA151" t="str">
            <v>부전(주)</v>
          </cell>
          <cell r="BB151" t="str">
            <v>H50A17K</v>
          </cell>
          <cell r="BD151" t="str">
            <v>K804</v>
          </cell>
          <cell r="BE151" t="str">
            <v>S/B</v>
          </cell>
          <cell r="BI151">
            <v>49</v>
          </cell>
          <cell r="BJ151">
            <v>539</v>
          </cell>
          <cell r="BK151">
            <v>28</v>
          </cell>
          <cell r="BL151">
            <v>2</v>
          </cell>
        </row>
        <row r="152">
          <cell r="C152">
            <v>692</v>
          </cell>
          <cell r="D152" t="str">
            <v>HC000032</v>
          </cell>
          <cell r="E152" t="str">
            <v xml:space="preserve"> BRKT ASHTARY RH</v>
          </cell>
          <cell r="H152">
            <v>1</v>
          </cell>
          <cell r="L152">
            <v>1</v>
          </cell>
          <cell r="M152">
            <v>1</v>
          </cell>
          <cell r="N152">
            <v>1</v>
          </cell>
          <cell r="P152">
            <v>1</v>
          </cell>
          <cell r="R152">
            <v>1</v>
          </cell>
          <cell r="U152">
            <v>1</v>
          </cell>
          <cell r="W152">
            <v>1</v>
          </cell>
          <cell r="AB152">
            <v>1</v>
          </cell>
          <cell r="AC152">
            <v>1</v>
          </cell>
          <cell r="AD152">
            <v>1</v>
          </cell>
          <cell r="AF152">
            <v>1</v>
          </cell>
          <cell r="AH152">
            <v>1</v>
          </cell>
          <cell r="AL152">
            <v>1</v>
          </cell>
          <cell r="AM152">
            <v>1</v>
          </cell>
          <cell r="AN152">
            <v>1</v>
          </cell>
          <cell r="AO152">
            <v>1</v>
          </cell>
          <cell r="AP152">
            <v>1</v>
          </cell>
          <cell r="AW152">
            <v>1</v>
          </cell>
          <cell r="AZ152" t="str">
            <v>B</v>
          </cell>
          <cell r="BA152" t="str">
            <v>부전(주)</v>
          </cell>
          <cell r="BB152" t="str">
            <v>H50A17K</v>
          </cell>
          <cell r="BD152" t="str">
            <v>K804</v>
          </cell>
          <cell r="BE152" t="str">
            <v>S/B</v>
          </cell>
          <cell r="BI152">
            <v>49</v>
          </cell>
          <cell r="BJ152">
            <v>539</v>
          </cell>
          <cell r="BK152">
            <v>28</v>
          </cell>
          <cell r="BL152">
            <v>2</v>
          </cell>
        </row>
        <row r="153">
          <cell r="C153">
            <v>692</v>
          </cell>
          <cell r="D153" t="str">
            <v>HC000056</v>
          </cell>
          <cell r="E153" t="str">
            <v xml:space="preserve"> GUSSET,CTR PILLAR LH</v>
          </cell>
          <cell r="H153">
            <v>1</v>
          </cell>
          <cell r="L153">
            <v>1</v>
          </cell>
          <cell r="M153">
            <v>1</v>
          </cell>
          <cell r="N153">
            <v>1</v>
          </cell>
          <cell r="P153">
            <v>1</v>
          </cell>
          <cell r="R153">
            <v>1</v>
          </cell>
          <cell r="U153">
            <v>1</v>
          </cell>
          <cell r="W153">
            <v>1</v>
          </cell>
          <cell r="AB153">
            <v>1</v>
          </cell>
          <cell r="AC153">
            <v>1</v>
          </cell>
          <cell r="AD153">
            <v>1</v>
          </cell>
          <cell r="AF153">
            <v>1</v>
          </cell>
          <cell r="AH153">
            <v>1</v>
          </cell>
          <cell r="AL153">
            <v>1</v>
          </cell>
          <cell r="AM153">
            <v>1</v>
          </cell>
          <cell r="AN153">
            <v>1</v>
          </cell>
          <cell r="AO153">
            <v>1</v>
          </cell>
          <cell r="AP153">
            <v>1</v>
          </cell>
          <cell r="AW153">
            <v>1</v>
          </cell>
          <cell r="AZ153" t="str">
            <v>B</v>
          </cell>
          <cell r="BA153" t="str">
            <v>부전(주)</v>
          </cell>
          <cell r="BB153" t="str">
            <v>H50A17K</v>
          </cell>
          <cell r="BD153" t="str">
            <v>K804</v>
          </cell>
          <cell r="BE153" t="str">
            <v>S/B</v>
          </cell>
          <cell r="BI153">
            <v>49</v>
          </cell>
          <cell r="BJ153">
            <v>539</v>
          </cell>
          <cell r="BK153">
            <v>28</v>
          </cell>
          <cell r="BL153">
            <v>2</v>
          </cell>
        </row>
        <row r="154">
          <cell r="C154">
            <v>692</v>
          </cell>
          <cell r="D154" t="str">
            <v>HC000057</v>
          </cell>
          <cell r="E154" t="str">
            <v xml:space="preserve"> GUSSET,CTR PILLAR RH</v>
          </cell>
          <cell r="H154">
            <v>1</v>
          </cell>
          <cell r="L154">
            <v>1</v>
          </cell>
          <cell r="M154">
            <v>1</v>
          </cell>
          <cell r="N154">
            <v>1</v>
          </cell>
          <cell r="P154">
            <v>1</v>
          </cell>
          <cell r="R154">
            <v>1</v>
          </cell>
          <cell r="U154">
            <v>1</v>
          </cell>
          <cell r="W154">
            <v>1</v>
          </cell>
          <cell r="AB154">
            <v>1</v>
          </cell>
          <cell r="AC154">
            <v>1</v>
          </cell>
          <cell r="AD154">
            <v>1</v>
          </cell>
          <cell r="AF154">
            <v>1</v>
          </cell>
          <cell r="AH154">
            <v>1</v>
          </cell>
          <cell r="AL154">
            <v>1</v>
          </cell>
          <cell r="AM154">
            <v>1</v>
          </cell>
          <cell r="AN154">
            <v>1</v>
          </cell>
          <cell r="AO154">
            <v>1</v>
          </cell>
          <cell r="AP154">
            <v>1</v>
          </cell>
          <cell r="AW154">
            <v>1</v>
          </cell>
          <cell r="AZ154" t="str">
            <v>B</v>
          </cell>
          <cell r="BA154" t="str">
            <v>부전(주)</v>
          </cell>
          <cell r="BB154" t="str">
            <v>H50A17K</v>
          </cell>
          <cell r="BD154" t="str">
            <v>K804</v>
          </cell>
          <cell r="BE154" t="str">
            <v>S/B</v>
          </cell>
          <cell r="BI154">
            <v>49</v>
          </cell>
          <cell r="BJ154">
            <v>539</v>
          </cell>
          <cell r="BK154">
            <v>28</v>
          </cell>
          <cell r="BL154">
            <v>2</v>
          </cell>
        </row>
        <row r="155">
          <cell r="C155">
            <v>2584</v>
          </cell>
          <cell r="D155" t="str">
            <v>HC000067</v>
          </cell>
          <cell r="E155" t="str">
            <v xml:space="preserve"> REINF, HINGE(A)</v>
          </cell>
          <cell r="G155">
            <v>1</v>
          </cell>
          <cell r="AZ155" t="str">
            <v>B</v>
          </cell>
          <cell r="BA155" t="str">
            <v>부전(주)</v>
          </cell>
          <cell r="BB155" t="str">
            <v>H50A17K</v>
          </cell>
          <cell r="BD155" t="str">
            <v>K804</v>
          </cell>
          <cell r="BE155" t="str">
            <v>ALL</v>
          </cell>
          <cell r="BI155">
            <v>0</v>
          </cell>
          <cell r="BJ155">
            <v>0</v>
          </cell>
          <cell r="BK155">
            <v>0</v>
          </cell>
          <cell r="BL155">
            <v>0</v>
          </cell>
        </row>
        <row r="156">
          <cell r="C156">
            <v>2584</v>
          </cell>
          <cell r="D156" t="str">
            <v>HC000068</v>
          </cell>
          <cell r="E156" t="str">
            <v xml:space="preserve"> REINF, HINGE(B)</v>
          </cell>
          <cell r="G156">
            <v>1</v>
          </cell>
          <cell r="AZ156" t="str">
            <v>B</v>
          </cell>
          <cell r="BA156" t="str">
            <v>부전(주)</v>
          </cell>
          <cell r="BB156" t="str">
            <v>H50A17K</v>
          </cell>
          <cell r="BD156" t="str">
            <v>K804</v>
          </cell>
          <cell r="BE156" t="str">
            <v>ALL</v>
          </cell>
          <cell r="BI156">
            <v>0</v>
          </cell>
          <cell r="BJ156">
            <v>0</v>
          </cell>
          <cell r="BK156">
            <v>0</v>
          </cell>
          <cell r="BL156">
            <v>0</v>
          </cell>
        </row>
        <row r="157">
          <cell r="C157" t="str">
            <v>☆</v>
          </cell>
          <cell r="D157" t="str">
            <v>HC000073</v>
          </cell>
          <cell r="E157" t="str">
            <v xml:space="preserve"> BRKT</v>
          </cell>
          <cell r="F157" t="str">
            <v>A/S용</v>
          </cell>
          <cell r="AZ157" t="str">
            <v>A</v>
          </cell>
          <cell r="BA157" t="str">
            <v>부전(주)</v>
          </cell>
        </row>
        <row r="158">
          <cell r="C158">
            <v>2584</v>
          </cell>
          <cell r="D158" t="str">
            <v>HC000074</v>
          </cell>
          <cell r="E158" t="str">
            <v xml:space="preserve"> BULKHEAD ASSY LH</v>
          </cell>
          <cell r="G158">
            <v>1</v>
          </cell>
          <cell r="AZ158" t="str">
            <v>B</v>
          </cell>
          <cell r="BA158" t="str">
            <v>부전(주)</v>
          </cell>
          <cell r="BB158" t="str">
            <v>H50A16K</v>
          </cell>
          <cell r="BD158" t="str">
            <v>K804</v>
          </cell>
          <cell r="BE158" t="str">
            <v>ALL</v>
          </cell>
          <cell r="BI158">
            <v>0</v>
          </cell>
          <cell r="BJ158">
            <v>0</v>
          </cell>
          <cell r="BK158">
            <v>0</v>
          </cell>
          <cell r="BL158">
            <v>0</v>
          </cell>
        </row>
        <row r="159">
          <cell r="C159">
            <v>2584</v>
          </cell>
          <cell r="D159" t="str">
            <v>HC000075</v>
          </cell>
          <cell r="E159" t="str">
            <v xml:space="preserve"> BULKHEAD ASSY RH</v>
          </cell>
          <cell r="G159">
            <v>1</v>
          </cell>
          <cell r="AZ159" t="str">
            <v>B</v>
          </cell>
          <cell r="BA159" t="str">
            <v>부전(주)</v>
          </cell>
          <cell r="BB159" t="str">
            <v>H50A16K</v>
          </cell>
          <cell r="BD159" t="str">
            <v>K804</v>
          </cell>
          <cell r="BE159" t="str">
            <v>ALL</v>
          </cell>
          <cell r="BI159">
            <v>0</v>
          </cell>
          <cell r="BJ159">
            <v>0</v>
          </cell>
          <cell r="BK159">
            <v>0</v>
          </cell>
          <cell r="BL159">
            <v>0</v>
          </cell>
        </row>
        <row r="160">
          <cell r="C160">
            <v>2584</v>
          </cell>
          <cell r="D160" t="str">
            <v>HC000109</v>
          </cell>
          <cell r="E160" t="str">
            <v xml:space="preserve"> BRKT-FOOT REST</v>
          </cell>
          <cell r="G160">
            <v>1</v>
          </cell>
          <cell r="AZ160" t="str">
            <v>B</v>
          </cell>
          <cell r="BA160" t="str">
            <v>부전(주)</v>
          </cell>
          <cell r="BB160" t="str">
            <v>H50A13K</v>
          </cell>
          <cell r="BD160" t="str">
            <v>K804</v>
          </cell>
          <cell r="BE160" t="str">
            <v>ALL</v>
          </cell>
          <cell r="BI160">
            <v>0</v>
          </cell>
          <cell r="BJ160">
            <v>0</v>
          </cell>
          <cell r="BK160">
            <v>0</v>
          </cell>
          <cell r="BL160">
            <v>0</v>
          </cell>
        </row>
        <row r="161">
          <cell r="C161">
            <v>2584</v>
          </cell>
          <cell r="D161" t="str">
            <v>HC000110</v>
          </cell>
          <cell r="E161" t="str">
            <v xml:space="preserve"> BRKT-FOOT REST</v>
          </cell>
          <cell r="G161">
            <v>1</v>
          </cell>
          <cell r="AZ161" t="str">
            <v>B</v>
          </cell>
          <cell r="BA161" t="str">
            <v>부전(주)</v>
          </cell>
          <cell r="BB161" t="str">
            <v>H50A11K</v>
          </cell>
          <cell r="BD161" t="str">
            <v>K804</v>
          </cell>
          <cell r="BE161" t="str">
            <v>ALL</v>
          </cell>
          <cell r="BI161">
            <v>0</v>
          </cell>
          <cell r="BJ161">
            <v>0</v>
          </cell>
          <cell r="BK161">
            <v>0</v>
          </cell>
          <cell r="BL161">
            <v>0</v>
          </cell>
        </row>
        <row r="162">
          <cell r="C162">
            <v>2584</v>
          </cell>
          <cell r="D162" t="str">
            <v>HC000115A</v>
          </cell>
          <cell r="E162" t="str">
            <v xml:space="preserve"> TRAY ASSY,BATTERY</v>
          </cell>
          <cell r="G162">
            <v>1</v>
          </cell>
          <cell r="AZ162" t="str">
            <v>B</v>
          </cell>
          <cell r="BA162" t="str">
            <v>부전(주)</v>
          </cell>
          <cell r="BB162" t="str">
            <v>H50A14K</v>
          </cell>
          <cell r="BD162" t="str">
            <v>K804</v>
          </cell>
          <cell r="BE162" t="str">
            <v>ALL</v>
          </cell>
          <cell r="BI162">
            <v>0</v>
          </cell>
          <cell r="BJ162">
            <v>0</v>
          </cell>
          <cell r="BK162">
            <v>0</v>
          </cell>
          <cell r="BL162">
            <v>0</v>
          </cell>
        </row>
        <row r="163">
          <cell r="C163">
            <v>1892</v>
          </cell>
          <cell r="D163" t="str">
            <v>HC000127</v>
          </cell>
          <cell r="E163" t="str">
            <v xml:space="preserve"> REINF ASSY,2ND SEAT LH</v>
          </cell>
          <cell r="I163">
            <v>1</v>
          </cell>
          <cell r="J163">
            <v>1</v>
          </cell>
          <cell r="K163">
            <v>1</v>
          </cell>
          <cell r="O163">
            <v>1</v>
          </cell>
          <cell r="Q163">
            <v>1</v>
          </cell>
          <cell r="S163">
            <v>1</v>
          </cell>
          <cell r="T163">
            <v>1</v>
          </cell>
          <cell r="V163">
            <v>1</v>
          </cell>
          <cell r="X163">
            <v>1</v>
          </cell>
          <cell r="Y163">
            <v>1</v>
          </cell>
          <cell r="Z163">
            <v>1</v>
          </cell>
          <cell r="AA163">
            <v>1</v>
          </cell>
          <cell r="AE163">
            <v>1</v>
          </cell>
          <cell r="AG163">
            <v>1</v>
          </cell>
          <cell r="AI163">
            <v>1</v>
          </cell>
          <cell r="AJ163">
            <v>1</v>
          </cell>
          <cell r="AK163">
            <v>1</v>
          </cell>
          <cell r="AQ163">
            <v>1</v>
          </cell>
          <cell r="AR163">
            <v>1</v>
          </cell>
          <cell r="AS163">
            <v>1</v>
          </cell>
          <cell r="AT163">
            <v>1</v>
          </cell>
          <cell r="AU163">
            <v>1</v>
          </cell>
          <cell r="AV163">
            <v>1</v>
          </cell>
          <cell r="AX163">
            <v>1</v>
          </cell>
          <cell r="AY163">
            <v>1</v>
          </cell>
          <cell r="AZ163" t="str">
            <v>B</v>
          </cell>
          <cell r="BA163" t="str">
            <v>부전(주)</v>
          </cell>
          <cell r="BB163" t="str">
            <v>H50A11K</v>
          </cell>
          <cell r="BC163" t="str">
            <v>A2</v>
          </cell>
          <cell r="BD163" t="str">
            <v>K804</v>
          </cell>
          <cell r="BI163">
            <v>888</v>
          </cell>
          <cell r="BJ163">
            <v>458</v>
          </cell>
          <cell r="BK163">
            <v>90</v>
          </cell>
          <cell r="BL163">
            <v>100</v>
          </cell>
        </row>
        <row r="164">
          <cell r="C164">
            <v>1892</v>
          </cell>
          <cell r="D164" t="str">
            <v>HC000128</v>
          </cell>
          <cell r="E164" t="str">
            <v xml:space="preserve"> REINF ASSY,2ND SEAT RH</v>
          </cell>
          <cell r="I164">
            <v>1</v>
          </cell>
          <cell r="J164">
            <v>1</v>
          </cell>
          <cell r="K164">
            <v>1</v>
          </cell>
          <cell r="O164">
            <v>1</v>
          </cell>
          <cell r="Q164">
            <v>1</v>
          </cell>
          <cell r="S164">
            <v>1</v>
          </cell>
          <cell r="T164">
            <v>1</v>
          </cell>
          <cell r="V164">
            <v>1</v>
          </cell>
          <cell r="X164">
            <v>1</v>
          </cell>
          <cell r="Y164">
            <v>1</v>
          </cell>
          <cell r="Z164">
            <v>1</v>
          </cell>
          <cell r="AA164">
            <v>1</v>
          </cell>
          <cell r="AE164">
            <v>1</v>
          </cell>
          <cell r="AG164">
            <v>1</v>
          </cell>
          <cell r="AI164">
            <v>1</v>
          </cell>
          <cell r="AJ164">
            <v>1</v>
          </cell>
          <cell r="AK164">
            <v>1</v>
          </cell>
          <cell r="AQ164">
            <v>1</v>
          </cell>
          <cell r="AR164">
            <v>1</v>
          </cell>
          <cell r="AS164">
            <v>1</v>
          </cell>
          <cell r="AT164">
            <v>1</v>
          </cell>
          <cell r="AU164">
            <v>1</v>
          </cell>
          <cell r="AV164">
            <v>1</v>
          </cell>
          <cell r="AX164">
            <v>1</v>
          </cell>
          <cell r="AY164">
            <v>1</v>
          </cell>
          <cell r="AZ164" t="str">
            <v>B</v>
          </cell>
          <cell r="BA164" t="str">
            <v>부전(주)</v>
          </cell>
          <cell r="BB164" t="str">
            <v>H50A11K</v>
          </cell>
          <cell r="BC164" t="str">
            <v>A2</v>
          </cell>
          <cell r="BD164" t="str">
            <v>K804</v>
          </cell>
          <cell r="BI164">
            <v>888</v>
          </cell>
          <cell r="BJ164">
            <v>458</v>
          </cell>
          <cell r="BK164">
            <v>90</v>
          </cell>
          <cell r="BL164">
            <v>100</v>
          </cell>
        </row>
        <row r="165">
          <cell r="C165">
            <v>1687</v>
          </cell>
          <cell r="D165" t="str">
            <v>HC000149</v>
          </cell>
          <cell r="E165" t="str">
            <v xml:space="preserve"> BRKT,STOPPER</v>
          </cell>
          <cell r="H165">
            <v>1</v>
          </cell>
          <cell r="I165">
            <v>1</v>
          </cell>
          <cell r="J165">
            <v>1</v>
          </cell>
          <cell r="K165">
            <v>1</v>
          </cell>
          <cell r="L165">
            <v>1</v>
          </cell>
          <cell r="M165">
            <v>1</v>
          </cell>
          <cell r="R165">
            <v>1</v>
          </cell>
          <cell r="S165">
            <v>1</v>
          </cell>
          <cell r="T165">
            <v>1</v>
          </cell>
          <cell r="U165">
            <v>1</v>
          </cell>
          <cell r="V165">
            <v>1</v>
          </cell>
          <cell r="Y165">
            <v>1</v>
          </cell>
          <cell r="AA165">
            <v>1</v>
          </cell>
          <cell r="AB165">
            <v>1</v>
          </cell>
          <cell r="AC165">
            <v>1</v>
          </cell>
          <cell r="AD165">
            <v>1</v>
          </cell>
          <cell r="AF165">
            <v>1</v>
          </cell>
          <cell r="AG165">
            <v>1</v>
          </cell>
          <cell r="AJ165">
            <v>1</v>
          </cell>
          <cell r="AK165">
            <v>1</v>
          </cell>
          <cell r="AL165">
            <v>1</v>
          </cell>
          <cell r="AM165">
            <v>1</v>
          </cell>
          <cell r="AQ165">
            <v>1</v>
          </cell>
          <cell r="AU165">
            <v>1</v>
          </cell>
          <cell r="AV165">
            <v>1</v>
          </cell>
          <cell r="AX165">
            <v>1</v>
          </cell>
          <cell r="AZ165" t="str">
            <v>B</v>
          </cell>
          <cell r="BA165" t="str">
            <v>부전(주)</v>
          </cell>
          <cell r="BB165" t="str">
            <v>H50A13K</v>
          </cell>
          <cell r="BC165" t="str">
            <v>MB322342</v>
          </cell>
          <cell r="BD165" t="str">
            <v>K804</v>
          </cell>
          <cell r="BI165">
            <v>515</v>
          </cell>
          <cell r="BJ165">
            <v>995</v>
          </cell>
          <cell r="BK165">
            <v>50</v>
          </cell>
          <cell r="BL165">
            <v>27</v>
          </cell>
        </row>
        <row r="166">
          <cell r="C166">
            <v>2454</v>
          </cell>
          <cell r="D166" t="str">
            <v>HC000150A</v>
          </cell>
          <cell r="E166" t="str">
            <v xml:space="preserve"> BRKT BRK HOSE</v>
          </cell>
          <cell r="F166" t="str">
            <v>-431B</v>
          </cell>
          <cell r="H166">
            <v>1</v>
          </cell>
          <cell r="I166">
            <v>1</v>
          </cell>
          <cell r="J166">
            <v>1</v>
          </cell>
          <cell r="K166">
            <v>1</v>
          </cell>
          <cell r="L166">
            <v>1</v>
          </cell>
          <cell r="M166">
            <v>1</v>
          </cell>
          <cell r="N166">
            <v>1</v>
          </cell>
          <cell r="O166">
            <v>1</v>
          </cell>
          <cell r="P166">
            <v>1</v>
          </cell>
          <cell r="Q166">
            <v>1</v>
          </cell>
          <cell r="R166">
            <v>1</v>
          </cell>
          <cell r="S166">
            <v>1</v>
          </cell>
          <cell r="T166">
            <v>1</v>
          </cell>
          <cell r="U166">
            <v>1</v>
          </cell>
          <cell r="V166">
            <v>1</v>
          </cell>
          <cell r="Y166">
            <v>1</v>
          </cell>
          <cell r="Z166">
            <v>1</v>
          </cell>
          <cell r="AA166">
            <v>1</v>
          </cell>
          <cell r="AB166">
            <v>1</v>
          </cell>
          <cell r="AC166">
            <v>1</v>
          </cell>
          <cell r="AD166">
            <v>1</v>
          </cell>
          <cell r="AF166">
            <v>1</v>
          </cell>
          <cell r="AG166">
            <v>1</v>
          </cell>
          <cell r="AJ166">
            <v>1</v>
          </cell>
          <cell r="AK166">
            <v>1</v>
          </cell>
          <cell r="AL166">
            <v>1</v>
          </cell>
          <cell r="AM166">
            <v>1</v>
          </cell>
          <cell r="AO166">
            <v>1</v>
          </cell>
          <cell r="AQ166">
            <v>1</v>
          </cell>
          <cell r="AS166">
            <v>1</v>
          </cell>
          <cell r="AU166">
            <v>1</v>
          </cell>
          <cell r="AV166">
            <v>1</v>
          </cell>
          <cell r="AX166">
            <v>1</v>
          </cell>
          <cell r="AZ166" t="str">
            <v>B</v>
          </cell>
          <cell r="BA166" t="str">
            <v>부전(주)</v>
          </cell>
          <cell r="BB166" t="str">
            <v>H50A13K01-1,4,14,15,61,63,65</v>
          </cell>
          <cell r="BC166" t="str">
            <v>MB134680</v>
          </cell>
          <cell r="BD166" t="str">
            <v>K804</v>
          </cell>
          <cell r="BI166">
            <v>937</v>
          </cell>
          <cell r="BJ166">
            <v>995</v>
          </cell>
          <cell r="BK166">
            <v>58</v>
          </cell>
          <cell r="BL166">
            <v>56</v>
          </cell>
        </row>
        <row r="167">
          <cell r="C167">
            <v>539</v>
          </cell>
          <cell r="D167" t="str">
            <v>HC250005</v>
          </cell>
          <cell r="E167" t="str">
            <v xml:space="preserve"> BRKR,GUARD BAR LH</v>
          </cell>
          <cell r="R167">
            <v>1</v>
          </cell>
          <cell r="AB167">
            <v>1</v>
          </cell>
          <cell r="AZ167" t="str">
            <v>B</v>
          </cell>
          <cell r="BA167" t="str">
            <v>부전(주)</v>
          </cell>
          <cell r="BB167" t="str">
            <v>H50A17K</v>
          </cell>
          <cell r="BC167" t="str">
            <v>V2</v>
          </cell>
          <cell r="BD167" t="str">
            <v>K804</v>
          </cell>
          <cell r="BE167" t="str">
            <v>VAN</v>
          </cell>
          <cell r="BI167">
            <v>0</v>
          </cell>
          <cell r="BJ167">
            <v>539</v>
          </cell>
          <cell r="BK167">
            <v>0</v>
          </cell>
          <cell r="BL167">
            <v>0</v>
          </cell>
        </row>
        <row r="168">
          <cell r="C168">
            <v>539</v>
          </cell>
          <cell r="D168" t="str">
            <v>HC250006</v>
          </cell>
          <cell r="E168" t="str">
            <v xml:space="preserve"> BRKR,GUARD BAR RH</v>
          </cell>
          <cell r="R168">
            <v>1</v>
          </cell>
          <cell r="AB168">
            <v>1</v>
          </cell>
          <cell r="AZ168" t="str">
            <v>B</v>
          </cell>
          <cell r="BA168" t="str">
            <v>부전(주)</v>
          </cell>
          <cell r="BB168" t="str">
            <v>H50A17K</v>
          </cell>
          <cell r="BC168" t="str">
            <v>V2</v>
          </cell>
          <cell r="BD168" t="str">
            <v>K804</v>
          </cell>
          <cell r="BE168" t="str">
            <v>VAN</v>
          </cell>
          <cell r="BI168">
            <v>0</v>
          </cell>
          <cell r="BJ168">
            <v>539</v>
          </cell>
          <cell r="BK168">
            <v>0</v>
          </cell>
          <cell r="BL168">
            <v>0</v>
          </cell>
        </row>
        <row r="169">
          <cell r="C169">
            <v>6168</v>
          </cell>
          <cell r="D169" t="str">
            <v>HC756001A</v>
          </cell>
          <cell r="E169" t="str">
            <v xml:space="preserve"> BRKT-LSTING WIRE(A)</v>
          </cell>
          <cell r="S169">
            <v>12</v>
          </cell>
          <cell r="T169">
            <v>12</v>
          </cell>
          <cell r="Y169">
            <v>12</v>
          </cell>
          <cell r="Z169">
            <v>12</v>
          </cell>
          <cell r="AA169">
            <v>12</v>
          </cell>
          <cell r="AU169">
            <v>12</v>
          </cell>
          <cell r="AV169">
            <v>12</v>
          </cell>
          <cell r="AX169">
            <v>12</v>
          </cell>
          <cell r="AY169">
            <v>12</v>
          </cell>
          <cell r="AZ169" t="str">
            <v>B</v>
          </cell>
          <cell r="BA169" t="str">
            <v>부전(주)</v>
          </cell>
          <cell r="BB169" t="str">
            <v>H50A17K</v>
          </cell>
          <cell r="BD169" t="str">
            <v>K804</v>
          </cell>
          <cell r="BE169" t="str">
            <v>HR'</v>
          </cell>
          <cell r="BI169">
            <v>0</v>
          </cell>
          <cell r="BJ169">
            <v>5472</v>
          </cell>
          <cell r="BK169">
            <v>0</v>
          </cell>
          <cell r="BL169">
            <v>420</v>
          </cell>
        </row>
        <row r="170">
          <cell r="C170">
            <v>1028</v>
          </cell>
          <cell r="D170" t="str">
            <v>HC756002</v>
          </cell>
          <cell r="E170" t="str">
            <v xml:space="preserve"> BRKT-LSTING WIRE(B)</v>
          </cell>
          <cell r="S170">
            <v>2</v>
          </cell>
          <cell r="T170">
            <v>2</v>
          </cell>
          <cell r="Y170">
            <v>2</v>
          </cell>
          <cell r="Z170">
            <v>2</v>
          </cell>
          <cell r="AA170">
            <v>2</v>
          </cell>
          <cell r="AU170">
            <v>2</v>
          </cell>
          <cell r="AV170">
            <v>2</v>
          </cell>
          <cell r="AX170">
            <v>2</v>
          </cell>
          <cell r="AY170">
            <v>2</v>
          </cell>
          <cell r="AZ170" t="str">
            <v>B</v>
          </cell>
          <cell r="BA170" t="str">
            <v>부전(주)</v>
          </cell>
          <cell r="BB170" t="str">
            <v>H50A17K</v>
          </cell>
          <cell r="BD170" t="str">
            <v>K804</v>
          </cell>
          <cell r="BE170" t="str">
            <v>HR'</v>
          </cell>
          <cell r="BI170">
            <v>0</v>
          </cell>
          <cell r="BJ170">
            <v>912</v>
          </cell>
          <cell r="BK170">
            <v>0</v>
          </cell>
          <cell r="BL170">
            <v>70</v>
          </cell>
        </row>
        <row r="171">
          <cell r="C171">
            <v>10336</v>
          </cell>
          <cell r="D171" t="str">
            <v>HG000011</v>
          </cell>
          <cell r="E171" t="str">
            <v xml:space="preserve"> REINF,F/DR ARMREST</v>
          </cell>
          <cell r="G171">
            <v>4</v>
          </cell>
          <cell r="AZ171" t="str">
            <v>B</v>
          </cell>
          <cell r="BA171" t="str">
            <v>부전(주)</v>
          </cell>
          <cell r="BB171" t="str">
            <v>H50B31K01-01^3</v>
          </cell>
          <cell r="BC171" t="str">
            <v>MB321375</v>
          </cell>
          <cell r="BD171" t="str">
            <v>K804</v>
          </cell>
          <cell r="BE171" t="str">
            <v>ALL</v>
          </cell>
          <cell r="BI171">
            <v>0</v>
          </cell>
          <cell r="BJ171">
            <v>0</v>
          </cell>
          <cell r="BK171">
            <v>0</v>
          </cell>
          <cell r="BL171">
            <v>0</v>
          </cell>
        </row>
        <row r="172">
          <cell r="C172">
            <v>2584</v>
          </cell>
          <cell r="D172" t="str">
            <v>HG300003</v>
          </cell>
          <cell r="E172" t="str">
            <v xml:space="preserve"> REINF,LATCH</v>
          </cell>
          <cell r="G172">
            <v>1</v>
          </cell>
          <cell r="AZ172" t="str">
            <v>B</v>
          </cell>
          <cell r="BA172" t="str">
            <v>부전(주)</v>
          </cell>
          <cell r="BB172" t="str">
            <v>H50B33K</v>
          </cell>
          <cell r="BD172" t="str">
            <v>K804</v>
          </cell>
          <cell r="BE172" t="str">
            <v>ALL</v>
          </cell>
          <cell r="BI172">
            <v>0</v>
          </cell>
          <cell r="BJ172">
            <v>0</v>
          </cell>
          <cell r="BK172">
            <v>0</v>
          </cell>
          <cell r="BL172">
            <v>0</v>
          </cell>
        </row>
        <row r="173">
          <cell r="C173">
            <v>2584</v>
          </cell>
          <cell r="D173" t="str">
            <v>HG300005</v>
          </cell>
          <cell r="E173" t="str">
            <v xml:space="preserve"> PLATE ASSY(A)</v>
          </cell>
          <cell r="F173" t="str">
            <v>삭제예정ITEM</v>
          </cell>
          <cell r="G173">
            <v>1</v>
          </cell>
          <cell r="AZ173" t="str">
            <v>B</v>
          </cell>
          <cell r="BA173" t="str">
            <v>부전(주)</v>
          </cell>
          <cell r="BB173" t="str">
            <v>H50B33K</v>
          </cell>
          <cell r="BD173" t="str">
            <v>K804</v>
          </cell>
          <cell r="BE173" t="str">
            <v>ALL</v>
          </cell>
          <cell r="BI173">
            <v>0</v>
          </cell>
          <cell r="BJ173">
            <v>0</v>
          </cell>
          <cell r="BK173">
            <v>0</v>
          </cell>
          <cell r="BL173">
            <v>0</v>
          </cell>
        </row>
        <row r="174">
          <cell r="C174">
            <v>2584</v>
          </cell>
          <cell r="D174" t="str">
            <v>HG300006</v>
          </cell>
          <cell r="E174" t="str">
            <v xml:space="preserve"> PLATE ASSY(B)</v>
          </cell>
          <cell r="F174" t="str">
            <v>삭제예정ITEM</v>
          </cell>
          <cell r="G174">
            <v>1</v>
          </cell>
          <cell r="AZ174" t="str">
            <v>B</v>
          </cell>
          <cell r="BA174" t="str">
            <v>부전(주)</v>
          </cell>
          <cell r="BB174" t="str">
            <v>H50B33K</v>
          </cell>
          <cell r="BD174" t="str">
            <v>K804</v>
          </cell>
          <cell r="BE174" t="str">
            <v>ALL</v>
          </cell>
          <cell r="BI174">
            <v>0</v>
          </cell>
          <cell r="BJ174">
            <v>0</v>
          </cell>
          <cell r="BK174">
            <v>0</v>
          </cell>
          <cell r="BL174">
            <v>0</v>
          </cell>
        </row>
        <row r="175">
          <cell r="C175">
            <v>2534</v>
          </cell>
          <cell r="D175" t="str">
            <v>HG320007</v>
          </cell>
          <cell r="E175" t="str">
            <v xml:space="preserve"> BRKT ACTUATOR</v>
          </cell>
          <cell r="F175" t="str">
            <v>+846A</v>
          </cell>
          <cell r="J175">
            <v>1</v>
          </cell>
          <cell r="K175">
            <v>1</v>
          </cell>
          <cell r="L175">
            <v>1</v>
          </cell>
          <cell r="M175">
            <v>1</v>
          </cell>
          <cell r="N175">
            <v>1</v>
          </cell>
          <cell r="O175">
            <v>1</v>
          </cell>
          <cell r="P175">
            <v>1</v>
          </cell>
          <cell r="Q175">
            <v>1</v>
          </cell>
          <cell r="R175">
            <v>1</v>
          </cell>
          <cell r="S175">
            <v>1</v>
          </cell>
          <cell r="T175">
            <v>1</v>
          </cell>
          <cell r="U175">
            <v>1</v>
          </cell>
          <cell r="V175">
            <v>1</v>
          </cell>
          <cell r="W175">
            <v>1</v>
          </cell>
          <cell r="X175">
            <v>1</v>
          </cell>
          <cell r="Y175">
            <v>1</v>
          </cell>
          <cell r="Z175">
            <v>1</v>
          </cell>
          <cell r="AA175">
            <v>1</v>
          </cell>
          <cell r="AB175">
            <v>1</v>
          </cell>
          <cell r="AD175">
            <v>1</v>
          </cell>
          <cell r="AE175">
            <v>1</v>
          </cell>
          <cell r="AH175">
            <v>1</v>
          </cell>
          <cell r="AI175">
            <v>1</v>
          </cell>
          <cell r="AJ175">
            <v>1</v>
          </cell>
          <cell r="AK175">
            <v>1</v>
          </cell>
          <cell r="AL175">
            <v>1</v>
          </cell>
          <cell r="AM175">
            <v>1</v>
          </cell>
          <cell r="AN175">
            <v>1</v>
          </cell>
          <cell r="AO175">
            <v>1</v>
          </cell>
          <cell r="AP175">
            <v>1</v>
          </cell>
          <cell r="AQ175">
            <v>1</v>
          </cell>
          <cell r="AR175">
            <v>1</v>
          </cell>
          <cell r="AS175">
            <v>1</v>
          </cell>
          <cell r="AT175">
            <v>1</v>
          </cell>
          <cell r="AU175">
            <v>1</v>
          </cell>
          <cell r="AV175">
            <v>1</v>
          </cell>
          <cell r="AW175">
            <v>1</v>
          </cell>
          <cell r="AX175">
            <v>1</v>
          </cell>
          <cell r="AY175">
            <v>1</v>
          </cell>
          <cell r="AZ175" t="str">
            <v>B</v>
          </cell>
          <cell r="BA175" t="str">
            <v>부전(주)</v>
          </cell>
          <cell r="BB175" t="str">
            <v>H50B33K</v>
          </cell>
          <cell r="BD175" t="str">
            <v>K804</v>
          </cell>
          <cell r="BI175">
            <v>917</v>
          </cell>
          <cell r="BJ175">
            <v>997</v>
          </cell>
          <cell r="BK175">
            <v>118</v>
          </cell>
          <cell r="BL175">
            <v>102</v>
          </cell>
        </row>
        <row r="176">
          <cell r="C176">
            <v>2584</v>
          </cell>
          <cell r="D176" t="str">
            <v>HG530001</v>
          </cell>
          <cell r="E176" t="str">
            <v xml:space="preserve"> BRKT-RELEASE CABLE</v>
          </cell>
          <cell r="I176">
            <v>1</v>
          </cell>
          <cell r="J176">
            <v>1</v>
          </cell>
          <cell r="K176">
            <v>1</v>
          </cell>
          <cell r="M176">
            <v>1</v>
          </cell>
          <cell r="N176">
            <v>1</v>
          </cell>
          <cell r="O176">
            <v>1</v>
          </cell>
          <cell r="P176">
            <v>1</v>
          </cell>
          <cell r="Q176">
            <v>1</v>
          </cell>
          <cell r="R176">
            <v>1</v>
          </cell>
          <cell r="S176">
            <v>1</v>
          </cell>
          <cell r="T176">
            <v>1</v>
          </cell>
          <cell r="W176">
            <v>1</v>
          </cell>
          <cell r="X176">
            <v>1</v>
          </cell>
          <cell r="AC176">
            <v>1</v>
          </cell>
          <cell r="AD176">
            <v>1</v>
          </cell>
          <cell r="AE176">
            <v>1</v>
          </cell>
          <cell r="AH176">
            <v>1</v>
          </cell>
          <cell r="AI176">
            <v>1</v>
          </cell>
          <cell r="AJ176">
            <v>1</v>
          </cell>
          <cell r="AK176">
            <v>1</v>
          </cell>
          <cell r="AL176">
            <v>1</v>
          </cell>
          <cell r="AM176">
            <v>1</v>
          </cell>
          <cell r="AN176">
            <v>1</v>
          </cell>
          <cell r="AO176">
            <v>1</v>
          </cell>
          <cell r="AQ176">
            <v>1</v>
          </cell>
          <cell r="AR176">
            <v>1</v>
          </cell>
          <cell r="AS176">
            <v>1</v>
          </cell>
          <cell r="AU176">
            <v>1</v>
          </cell>
          <cell r="AW176">
            <v>1</v>
          </cell>
          <cell r="AX176">
            <v>1</v>
          </cell>
          <cell r="AY176">
            <v>1</v>
          </cell>
          <cell r="AZ176" t="str">
            <v>T</v>
          </cell>
          <cell r="BA176" t="str">
            <v>부전(주)</v>
          </cell>
        </row>
        <row r="177">
          <cell r="C177">
            <v>10336</v>
          </cell>
          <cell r="D177" t="str">
            <v>HH080001</v>
          </cell>
          <cell r="E177" t="str">
            <v xml:space="preserve"> HOOK ASSY</v>
          </cell>
          <cell r="I177">
            <v>4</v>
          </cell>
          <cell r="J177">
            <v>4</v>
          </cell>
          <cell r="K177">
            <v>4</v>
          </cell>
          <cell r="M177">
            <v>4</v>
          </cell>
          <cell r="N177">
            <v>4</v>
          </cell>
          <cell r="O177">
            <v>4</v>
          </cell>
          <cell r="P177">
            <v>4</v>
          </cell>
          <cell r="Q177">
            <v>4</v>
          </cell>
          <cell r="R177">
            <v>4</v>
          </cell>
          <cell r="S177">
            <v>4</v>
          </cell>
          <cell r="T177">
            <v>4</v>
          </cell>
          <cell r="W177">
            <v>4</v>
          </cell>
          <cell r="X177">
            <v>4</v>
          </cell>
          <cell r="AC177">
            <v>4</v>
          </cell>
          <cell r="AD177">
            <v>4</v>
          </cell>
          <cell r="AE177">
            <v>4</v>
          </cell>
          <cell r="AH177">
            <v>4</v>
          </cell>
          <cell r="AI177">
            <v>4</v>
          </cell>
          <cell r="AJ177">
            <v>4</v>
          </cell>
          <cell r="AK177">
            <v>4</v>
          </cell>
          <cell r="AL177">
            <v>4</v>
          </cell>
          <cell r="AM177">
            <v>4</v>
          </cell>
          <cell r="AN177">
            <v>4</v>
          </cell>
          <cell r="AO177">
            <v>4</v>
          </cell>
          <cell r="AQ177">
            <v>4</v>
          </cell>
          <cell r="AR177">
            <v>4</v>
          </cell>
          <cell r="AS177">
            <v>4</v>
          </cell>
          <cell r="AU177">
            <v>4</v>
          </cell>
          <cell r="AW177">
            <v>4</v>
          </cell>
          <cell r="AX177">
            <v>4</v>
          </cell>
          <cell r="AY177">
            <v>4</v>
          </cell>
          <cell r="AZ177" t="str">
            <v>T</v>
          </cell>
          <cell r="BA177" t="str">
            <v>부전(주)</v>
          </cell>
        </row>
        <row r="178">
          <cell r="C178">
            <v>2584</v>
          </cell>
          <cell r="D178" t="str">
            <v>HQ503151</v>
          </cell>
          <cell r="E178" t="str">
            <v xml:space="preserve"> SUPT FRT DR STAT W/STRIP</v>
          </cell>
          <cell r="G178">
            <v>1</v>
          </cell>
          <cell r="AZ178" t="str">
            <v>B</v>
          </cell>
          <cell r="BA178" t="str">
            <v>부전(주)</v>
          </cell>
          <cell r="BB178" t="str">
            <v>H50B31K</v>
          </cell>
          <cell r="BD178" t="str">
            <v>K804</v>
          </cell>
          <cell r="BI178">
            <v>0</v>
          </cell>
          <cell r="BJ178">
            <v>0</v>
          </cell>
          <cell r="BK178">
            <v>0</v>
          </cell>
          <cell r="BL178">
            <v>0</v>
          </cell>
        </row>
        <row r="179">
          <cell r="C179">
            <v>2584</v>
          </cell>
          <cell r="D179" t="str">
            <v>HQ503152</v>
          </cell>
          <cell r="E179" t="str">
            <v xml:space="preserve"> SUPT FRT DR STAT W/STRIP</v>
          </cell>
          <cell r="G179">
            <v>1</v>
          </cell>
          <cell r="AZ179" t="str">
            <v>B</v>
          </cell>
          <cell r="BA179" t="str">
            <v>부전(주)</v>
          </cell>
          <cell r="BB179" t="str">
            <v>H50B31K</v>
          </cell>
          <cell r="BD179" t="str">
            <v>K804</v>
          </cell>
          <cell r="BI179">
            <v>0</v>
          </cell>
          <cell r="BJ179">
            <v>0</v>
          </cell>
          <cell r="BK179">
            <v>0</v>
          </cell>
          <cell r="BL179">
            <v>0</v>
          </cell>
        </row>
        <row r="180">
          <cell r="C180">
            <v>125</v>
          </cell>
          <cell r="D180" t="str">
            <v>HQ505429</v>
          </cell>
          <cell r="E180" t="str">
            <v xml:space="preserve"> BRKT RAD CONDENSER</v>
          </cell>
          <cell r="AI180">
            <v>1</v>
          </cell>
          <cell r="AK180">
            <v>1</v>
          </cell>
          <cell r="AN180">
            <v>1</v>
          </cell>
          <cell r="AP180">
            <v>1</v>
          </cell>
          <cell r="AR180">
            <v>1</v>
          </cell>
          <cell r="AT180">
            <v>1</v>
          </cell>
          <cell r="AW180">
            <v>1</v>
          </cell>
          <cell r="AX180">
            <v>1</v>
          </cell>
          <cell r="AY180">
            <v>1</v>
          </cell>
          <cell r="AZ180" t="str">
            <v>B</v>
          </cell>
          <cell r="BA180" t="str">
            <v>부전(주)</v>
          </cell>
          <cell r="BD180" t="str">
            <v>K804</v>
          </cell>
          <cell r="BI180">
            <v>0</v>
          </cell>
          <cell r="BJ180">
            <v>0</v>
          </cell>
          <cell r="BK180">
            <v>61</v>
          </cell>
          <cell r="BL180">
            <v>46</v>
          </cell>
        </row>
        <row r="181">
          <cell r="C181">
            <v>1</v>
          </cell>
          <cell r="D181" t="str">
            <v>HQ505436</v>
          </cell>
          <cell r="E181" t="str">
            <v xml:space="preserve"> BRKT-IGNITON COIL</v>
          </cell>
          <cell r="AK181">
            <v>1</v>
          </cell>
          <cell r="AX181">
            <v>1</v>
          </cell>
          <cell r="AZ181" t="str">
            <v>B</v>
          </cell>
          <cell r="BA181" t="str">
            <v>부전(주)</v>
          </cell>
        </row>
        <row r="182">
          <cell r="C182">
            <v>2584</v>
          </cell>
          <cell r="D182" t="str">
            <v>HQ505531</v>
          </cell>
          <cell r="E182" t="str">
            <v xml:space="preserve"> REINF UPR ASSY LH</v>
          </cell>
          <cell r="G182">
            <v>1</v>
          </cell>
          <cell r="AZ182" t="str">
            <v>B</v>
          </cell>
          <cell r="BA182" t="str">
            <v>부전(주)</v>
          </cell>
          <cell r="BD182" t="str">
            <v>K804</v>
          </cell>
          <cell r="BI182">
            <v>0</v>
          </cell>
          <cell r="BJ182">
            <v>0</v>
          </cell>
          <cell r="BK182">
            <v>0</v>
          </cell>
          <cell r="BL182">
            <v>0</v>
          </cell>
        </row>
        <row r="183">
          <cell r="C183">
            <v>2584</v>
          </cell>
          <cell r="D183" t="str">
            <v>HQ505541</v>
          </cell>
          <cell r="E183" t="str">
            <v xml:space="preserve"> REINF UPR ASSY RH</v>
          </cell>
          <cell r="G183">
            <v>1</v>
          </cell>
          <cell r="AZ183" t="str">
            <v>B</v>
          </cell>
          <cell r="BA183" t="str">
            <v>부전(주)</v>
          </cell>
          <cell r="BD183" t="str">
            <v>K804</v>
          </cell>
          <cell r="BI183">
            <v>0</v>
          </cell>
          <cell r="BJ183">
            <v>0</v>
          </cell>
          <cell r="BK183">
            <v>0</v>
          </cell>
          <cell r="BL183">
            <v>0</v>
          </cell>
        </row>
        <row r="184">
          <cell r="C184">
            <v>2584</v>
          </cell>
          <cell r="D184" t="str">
            <v>HQ505815A</v>
          </cell>
          <cell r="E184" t="str">
            <v xml:space="preserve"> BRKT,PEDAL SUPT(LHD)</v>
          </cell>
          <cell r="G184">
            <v>1</v>
          </cell>
          <cell r="AZ184" t="str">
            <v>B</v>
          </cell>
          <cell r="BA184" t="str">
            <v>부전(주)</v>
          </cell>
          <cell r="BB184" t="str">
            <v>H50A18K</v>
          </cell>
          <cell r="BC184" t="str">
            <v>MB275385A</v>
          </cell>
          <cell r="BD184" t="str">
            <v>K804</v>
          </cell>
          <cell r="BI184">
            <v>0</v>
          </cell>
          <cell r="BJ184">
            <v>0</v>
          </cell>
          <cell r="BK184">
            <v>0</v>
          </cell>
          <cell r="BL184">
            <v>0</v>
          </cell>
        </row>
        <row r="185">
          <cell r="C185">
            <v>674</v>
          </cell>
          <cell r="D185" t="str">
            <v>HQ505817</v>
          </cell>
          <cell r="E185" t="str">
            <v xml:space="preserve"> BRKT-SOL V/V MT'G</v>
          </cell>
          <cell r="H185">
            <v>1</v>
          </cell>
          <cell r="K185">
            <v>1</v>
          </cell>
          <cell r="L185">
            <v>1</v>
          </cell>
          <cell r="M185">
            <v>1</v>
          </cell>
          <cell r="T185">
            <v>1</v>
          </cell>
          <cell r="U185">
            <v>1</v>
          </cell>
          <cell r="V185">
            <v>1</v>
          </cell>
          <cell r="Y185">
            <v>1</v>
          </cell>
          <cell r="AA185">
            <v>1</v>
          </cell>
          <cell r="AB185">
            <v>1</v>
          </cell>
          <cell r="AC185">
            <v>1</v>
          </cell>
          <cell r="AD185">
            <v>1</v>
          </cell>
          <cell r="AF185">
            <v>1</v>
          </cell>
          <cell r="AG185">
            <v>1</v>
          </cell>
          <cell r="AJ185">
            <v>1</v>
          </cell>
          <cell r="AK185">
            <v>1</v>
          </cell>
          <cell r="AL185">
            <v>1</v>
          </cell>
          <cell r="AM185">
            <v>1</v>
          </cell>
          <cell r="AQ185">
            <v>1</v>
          </cell>
          <cell r="AU185">
            <v>1</v>
          </cell>
          <cell r="AV185">
            <v>1</v>
          </cell>
          <cell r="AX185">
            <v>1</v>
          </cell>
          <cell r="AZ185" t="str">
            <v>B</v>
          </cell>
          <cell r="BA185" t="str">
            <v>부전(주)</v>
          </cell>
        </row>
        <row r="186">
          <cell r="C186">
            <v>2584</v>
          </cell>
          <cell r="D186" t="str">
            <v>MB021143A</v>
          </cell>
          <cell r="E186" t="str">
            <v xml:space="preserve"> PLATE,ROD</v>
          </cell>
          <cell r="G186">
            <v>1</v>
          </cell>
          <cell r="AZ186" t="str">
            <v>T</v>
          </cell>
          <cell r="BA186" t="str">
            <v>부전(주)</v>
          </cell>
          <cell r="BB186" t="str">
            <v>H51A35K</v>
          </cell>
          <cell r="BD186" t="str">
            <v>K804</v>
          </cell>
          <cell r="BE186" t="str">
            <v>ALL</v>
          </cell>
          <cell r="BI186" t="e">
            <v>#REF!</v>
          </cell>
          <cell r="BJ186" t="e">
            <v>#REF!</v>
          </cell>
          <cell r="BK186" t="e">
            <v>#REF!</v>
          </cell>
          <cell r="BL186" t="e">
            <v>#REF!</v>
          </cell>
        </row>
        <row r="187">
          <cell r="C187">
            <v>3288</v>
          </cell>
          <cell r="D187" t="str">
            <v>MB109709</v>
          </cell>
          <cell r="E187" t="str">
            <v xml:space="preserve"> CLAMP A</v>
          </cell>
          <cell r="I187">
            <v>2</v>
          </cell>
          <cell r="J187">
            <v>2</v>
          </cell>
          <cell r="K187">
            <v>2</v>
          </cell>
          <cell r="R187">
            <v>2</v>
          </cell>
          <cell r="S187">
            <v>2</v>
          </cell>
          <cell r="T187">
            <v>2</v>
          </cell>
          <cell r="AC187">
            <v>2</v>
          </cell>
          <cell r="AJ187">
            <v>2</v>
          </cell>
          <cell r="AK187">
            <v>2</v>
          </cell>
          <cell r="AL187">
            <v>2</v>
          </cell>
          <cell r="AM187">
            <v>2</v>
          </cell>
          <cell r="AQ187">
            <v>2</v>
          </cell>
          <cell r="AU187">
            <v>2</v>
          </cell>
          <cell r="AX187">
            <v>2</v>
          </cell>
          <cell r="AZ187" t="str">
            <v>T</v>
          </cell>
          <cell r="BA187" t="str">
            <v>부전(주)</v>
          </cell>
        </row>
        <row r="188">
          <cell r="C188">
            <v>2584</v>
          </cell>
          <cell r="D188" t="str">
            <v>MB112617A</v>
          </cell>
          <cell r="E188" t="str">
            <v xml:space="preserve"> REINF,PULL HANDLE</v>
          </cell>
          <cell r="G188">
            <v>1</v>
          </cell>
          <cell r="AZ188" t="str">
            <v>B</v>
          </cell>
          <cell r="BA188" t="str">
            <v>부전(주)</v>
          </cell>
          <cell r="BB188" t="str">
            <v>H50B33K</v>
          </cell>
          <cell r="BD188" t="str">
            <v>K804</v>
          </cell>
          <cell r="BE188" t="str">
            <v>ALL</v>
          </cell>
          <cell r="BI188">
            <v>0</v>
          </cell>
          <cell r="BJ188">
            <v>0</v>
          </cell>
          <cell r="BK188">
            <v>0</v>
          </cell>
          <cell r="BL188">
            <v>0</v>
          </cell>
        </row>
        <row r="189">
          <cell r="C189">
            <v>2584</v>
          </cell>
          <cell r="D189" t="str">
            <v>MB112622</v>
          </cell>
          <cell r="E189" t="str">
            <v xml:space="preserve"> REINF,UPPER</v>
          </cell>
          <cell r="G189">
            <v>1</v>
          </cell>
          <cell r="AZ189" t="str">
            <v>B</v>
          </cell>
          <cell r="BA189" t="str">
            <v>부전(주)</v>
          </cell>
          <cell r="BB189" t="str">
            <v>H50B33K</v>
          </cell>
          <cell r="BD189" t="str">
            <v>K804</v>
          </cell>
          <cell r="BE189" t="str">
            <v>ALL</v>
          </cell>
          <cell r="BI189">
            <v>0</v>
          </cell>
          <cell r="BJ189">
            <v>0</v>
          </cell>
          <cell r="BK189">
            <v>0</v>
          </cell>
          <cell r="BL189">
            <v>0</v>
          </cell>
        </row>
        <row r="190">
          <cell r="C190">
            <v>2584</v>
          </cell>
          <cell r="D190" t="str">
            <v>MB112763</v>
          </cell>
          <cell r="E190" t="str">
            <v xml:space="preserve"> FEMALE-BACK DR BUMPER</v>
          </cell>
          <cell r="I190">
            <v>1</v>
          </cell>
          <cell r="J190">
            <v>1</v>
          </cell>
          <cell r="K190">
            <v>1</v>
          </cell>
          <cell r="M190">
            <v>1</v>
          </cell>
          <cell r="N190">
            <v>1</v>
          </cell>
          <cell r="O190">
            <v>1</v>
          </cell>
          <cell r="P190">
            <v>1</v>
          </cell>
          <cell r="Q190">
            <v>1</v>
          </cell>
          <cell r="R190">
            <v>1</v>
          </cell>
          <cell r="S190">
            <v>1</v>
          </cell>
          <cell r="T190">
            <v>1</v>
          </cell>
          <cell r="W190">
            <v>1</v>
          </cell>
          <cell r="X190">
            <v>1</v>
          </cell>
          <cell r="AC190">
            <v>1</v>
          </cell>
          <cell r="AD190">
            <v>1</v>
          </cell>
          <cell r="AE190">
            <v>1</v>
          </cell>
          <cell r="AH190">
            <v>1</v>
          </cell>
          <cell r="AI190">
            <v>1</v>
          </cell>
          <cell r="AJ190">
            <v>1</v>
          </cell>
          <cell r="AK190">
            <v>1</v>
          </cell>
          <cell r="AL190">
            <v>1</v>
          </cell>
          <cell r="AM190">
            <v>1</v>
          </cell>
          <cell r="AN190">
            <v>1</v>
          </cell>
          <cell r="AO190">
            <v>1</v>
          </cell>
          <cell r="AQ190">
            <v>1</v>
          </cell>
          <cell r="AR190">
            <v>1</v>
          </cell>
          <cell r="AS190">
            <v>1</v>
          </cell>
          <cell r="AU190">
            <v>1</v>
          </cell>
          <cell r="AW190">
            <v>1</v>
          </cell>
          <cell r="AX190">
            <v>1</v>
          </cell>
          <cell r="AY190">
            <v>1</v>
          </cell>
          <cell r="AZ190" t="str">
            <v xml:space="preserve"> T</v>
          </cell>
          <cell r="BA190" t="str">
            <v>부전(주)</v>
          </cell>
        </row>
        <row r="191">
          <cell r="C191">
            <v>1413</v>
          </cell>
          <cell r="D191" t="str">
            <v>MB115256A</v>
          </cell>
          <cell r="E191" t="str">
            <v xml:space="preserve"> NUT PLATE</v>
          </cell>
          <cell r="F191" t="str">
            <v>+431</v>
          </cell>
          <cell r="K191">
            <v>1</v>
          </cell>
          <cell r="M191">
            <v>1</v>
          </cell>
          <cell r="N191">
            <v>1</v>
          </cell>
          <cell r="O191">
            <v>1</v>
          </cell>
          <cell r="P191">
            <v>1</v>
          </cell>
          <cell r="Q191">
            <v>1</v>
          </cell>
          <cell r="T191">
            <v>1</v>
          </cell>
          <cell r="W191">
            <v>1</v>
          </cell>
          <cell r="X191">
            <v>1</v>
          </cell>
          <cell r="Z191">
            <v>1</v>
          </cell>
          <cell r="AD191">
            <v>1</v>
          </cell>
          <cell r="AE191">
            <v>1</v>
          </cell>
          <cell r="AH191">
            <v>1</v>
          </cell>
          <cell r="AI191">
            <v>1</v>
          </cell>
          <cell r="AO191">
            <v>1</v>
          </cell>
          <cell r="AP191">
            <v>1</v>
          </cell>
          <cell r="AS191">
            <v>1</v>
          </cell>
          <cell r="AT191">
            <v>1</v>
          </cell>
          <cell r="AW191">
            <v>1</v>
          </cell>
          <cell r="AZ191" t="str">
            <v>B</v>
          </cell>
          <cell r="BA191" t="str">
            <v>부전(주)</v>
          </cell>
          <cell r="BB191" t="str">
            <v>H50A11K01-6,7,10,11,14^17</v>
          </cell>
          <cell r="BC191" t="str">
            <v>D</v>
          </cell>
          <cell r="BD191" t="str">
            <v>K804</v>
          </cell>
          <cell r="BE191" t="str">
            <v>AT</v>
          </cell>
          <cell r="BI191">
            <v>684</v>
          </cell>
          <cell r="BJ191">
            <v>237</v>
          </cell>
          <cell r="BK191">
            <v>61</v>
          </cell>
          <cell r="BL191">
            <v>31</v>
          </cell>
        </row>
        <row r="192">
          <cell r="C192">
            <v>12435</v>
          </cell>
          <cell r="D192" t="str">
            <v>MB129884A</v>
          </cell>
          <cell r="E192" t="str">
            <v xml:space="preserve"> SUPPORT-CLIP</v>
          </cell>
          <cell r="F192" t="str">
            <v>-271A</v>
          </cell>
          <cell r="I192">
            <v>7</v>
          </cell>
          <cell r="J192">
            <v>7</v>
          </cell>
          <cell r="K192">
            <v>7</v>
          </cell>
          <cell r="M192">
            <v>2</v>
          </cell>
          <cell r="N192">
            <v>2</v>
          </cell>
          <cell r="O192">
            <v>2</v>
          </cell>
          <cell r="P192">
            <v>2</v>
          </cell>
          <cell r="Q192">
            <v>2</v>
          </cell>
          <cell r="R192">
            <v>6</v>
          </cell>
          <cell r="S192">
            <v>7</v>
          </cell>
          <cell r="T192">
            <v>7</v>
          </cell>
          <cell r="W192">
            <v>1</v>
          </cell>
          <cell r="X192">
            <v>1</v>
          </cell>
          <cell r="AC192">
            <v>6</v>
          </cell>
          <cell r="AD192">
            <v>2</v>
          </cell>
          <cell r="AE192">
            <v>1</v>
          </cell>
          <cell r="AH192">
            <v>1</v>
          </cell>
          <cell r="AI192">
            <v>1</v>
          </cell>
          <cell r="AJ192">
            <v>1</v>
          </cell>
          <cell r="AK192">
            <v>7</v>
          </cell>
          <cell r="AL192">
            <v>6</v>
          </cell>
          <cell r="AM192">
            <v>6</v>
          </cell>
          <cell r="AN192">
            <v>2</v>
          </cell>
          <cell r="AP192">
            <v>7</v>
          </cell>
          <cell r="AR192">
            <v>1</v>
          </cell>
          <cell r="AS192">
            <v>2</v>
          </cell>
          <cell r="AU192">
            <v>7</v>
          </cell>
          <cell r="AW192">
            <v>1</v>
          </cell>
          <cell r="AX192">
            <v>1</v>
          </cell>
          <cell r="AY192">
            <v>6</v>
          </cell>
          <cell r="AZ192" t="str">
            <v xml:space="preserve"> T</v>
          </cell>
          <cell r="BA192" t="str">
            <v>부전(주)</v>
          </cell>
        </row>
        <row r="193">
          <cell r="C193">
            <v>2584</v>
          </cell>
          <cell r="D193" t="str">
            <v>MB136775A</v>
          </cell>
          <cell r="E193" t="str">
            <v xml:space="preserve"> REINF,ASSIST STRAP</v>
          </cell>
          <cell r="G193">
            <v>1</v>
          </cell>
          <cell r="AZ193" t="str">
            <v>B</v>
          </cell>
          <cell r="BA193" t="str">
            <v>부전(주)</v>
          </cell>
          <cell r="BB193" t="str">
            <v>H50A16K</v>
          </cell>
          <cell r="BD193" t="str">
            <v>K804</v>
          </cell>
          <cell r="BE193" t="str">
            <v>ALL</v>
          </cell>
          <cell r="BI193">
            <v>0</v>
          </cell>
          <cell r="BJ193">
            <v>0</v>
          </cell>
          <cell r="BK193">
            <v>0</v>
          </cell>
          <cell r="BL193">
            <v>0</v>
          </cell>
        </row>
        <row r="194">
          <cell r="C194">
            <v>6646</v>
          </cell>
          <cell r="D194" t="str">
            <v>MB136775A</v>
          </cell>
          <cell r="E194" t="str">
            <v xml:space="preserve"> REINF,ASSIST STRAP</v>
          </cell>
          <cell r="H194">
            <v>2</v>
          </cell>
          <cell r="J194">
            <v>4</v>
          </cell>
          <cell r="K194">
            <v>4</v>
          </cell>
          <cell r="L194">
            <v>2</v>
          </cell>
          <cell r="M194">
            <v>2</v>
          </cell>
          <cell r="N194">
            <v>2</v>
          </cell>
          <cell r="O194">
            <v>4</v>
          </cell>
          <cell r="P194">
            <v>2</v>
          </cell>
          <cell r="Q194">
            <v>4</v>
          </cell>
          <cell r="S194">
            <v>2</v>
          </cell>
          <cell r="T194">
            <v>2</v>
          </cell>
          <cell r="U194">
            <v>2</v>
          </cell>
          <cell r="V194">
            <v>2</v>
          </cell>
          <cell r="W194">
            <v>2</v>
          </cell>
          <cell r="X194">
            <v>4</v>
          </cell>
          <cell r="Y194">
            <v>2</v>
          </cell>
          <cell r="Z194">
            <v>2</v>
          </cell>
          <cell r="AA194">
            <v>2</v>
          </cell>
          <cell r="AB194">
            <v>2</v>
          </cell>
          <cell r="AC194">
            <v>2</v>
          </cell>
          <cell r="AD194">
            <v>2</v>
          </cell>
          <cell r="AE194">
            <v>4</v>
          </cell>
          <cell r="AF194">
            <v>2</v>
          </cell>
          <cell r="AH194">
            <v>2</v>
          </cell>
          <cell r="AI194">
            <v>4</v>
          </cell>
          <cell r="AJ194">
            <v>2</v>
          </cell>
          <cell r="AK194">
            <v>4</v>
          </cell>
          <cell r="AL194">
            <v>2</v>
          </cell>
          <cell r="AM194">
            <v>2</v>
          </cell>
          <cell r="AN194">
            <v>2</v>
          </cell>
          <cell r="AO194">
            <v>2</v>
          </cell>
          <cell r="AP194">
            <v>2</v>
          </cell>
          <cell r="AQ194">
            <v>2</v>
          </cell>
          <cell r="AR194">
            <v>4</v>
          </cell>
          <cell r="AS194">
            <v>4</v>
          </cell>
          <cell r="AT194">
            <v>4</v>
          </cell>
          <cell r="AU194">
            <v>2</v>
          </cell>
          <cell r="AV194">
            <v>2</v>
          </cell>
          <cell r="AW194">
            <v>2</v>
          </cell>
          <cell r="AX194">
            <v>2</v>
          </cell>
          <cell r="AY194">
            <v>2</v>
          </cell>
          <cell r="AZ194" t="str">
            <v>B</v>
          </cell>
          <cell r="BA194" t="str">
            <v>부전(주)</v>
          </cell>
          <cell r="BB194" t="str">
            <v>H50A17K</v>
          </cell>
          <cell r="BD194" t="str">
            <v>K804</v>
          </cell>
          <cell r="BI194">
            <v>3570</v>
          </cell>
          <cell r="BJ194">
            <v>920</v>
          </cell>
          <cell r="BK194">
            <v>344</v>
          </cell>
          <cell r="BL194">
            <v>286</v>
          </cell>
        </row>
        <row r="195">
          <cell r="C195">
            <v>2584</v>
          </cell>
          <cell r="D195" t="str">
            <v>MB140467A</v>
          </cell>
          <cell r="E195" t="str">
            <v xml:space="preserve"> COVER PARKING BRAKE </v>
          </cell>
          <cell r="I195">
            <v>1</v>
          </cell>
          <cell r="J195">
            <v>1</v>
          </cell>
          <cell r="K195">
            <v>1</v>
          </cell>
          <cell r="M195">
            <v>1</v>
          </cell>
          <cell r="N195">
            <v>1</v>
          </cell>
          <cell r="O195">
            <v>1</v>
          </cell>
          <cell r="P195">
            <v>1</v>
          </cell>
          <cell r="Q195">
            <v>1</v>
          </cell>
          <cell r="R195">
            <v>1</v>
          </cell>
          <cell r="S195">
            <v>1</v>
          </cell>
          <cell r="T195">
            <v>1</v>
          </cell>
          <cell r="W195">
            <v>1</v>
          </cell>
          <cell r="X195">
            <v>1</v>
          </cell>
          <cell r="AC195">
            <v>1</v>
          </cell>
          <cell r="AD195">
            <v>1</v>
          </cell>
          <cell r="AE195">
            <v>1</v>
          </cell>
          <cell r="AH195">
            <v>1</v>
          </cell>
          <cell r="AI195">
            <v>1</v>
          </cell>
          <cell r="AJ195">
            <v>1</v>
          </cell>
          <cell r="AK195">
            <v>1</v>
          </cell>
          <cell r="AL195">
            <v>1</v>
          </cell>
          <cell r="AM195">
            <v>1</v>
          </cell>
          <cell r="AN195">
            <v>1</v>
          </cell>
          <cell r="AO195">
            <v>1</v>
          </cell>
          <cell r="AQ195">
            <v>1</v>
          </cell>
          <cell r="AR195">
            <v>1</v>
          </cell>
          <cell r="AS195">
            <v>1</v>
          </cell>
          <cell r="AU195">
            <v>1</v>
          </cell>
          <cell r="AW195">
            <v>1</v>
          </cell>
          <cell r="AX195">
            <v>1</v>
          </cell>
          <cell r="AY195">
            <v>1</v>
          </cell>
          <cell r="AZ195" t="str">
            <v>T</v>
          </cell>
          <cell r="BA195" t="str">
            <v>부전(주)</v>
          </cell>
        </row>
        <row r="196">
          <cell r="C196">
            <v>10336</v>
          </cell>
          <cell r="D196" t="str">
            <v>MB156717A</v>
          </cell>
          <cell r="E196" t="str">
            <v xml:space="preserve"> BRKT</v>
          </cell>
          <cell r="F196" t="str">
            <v>ABS(U/S)1추가</v>
          </cell>
          <cell r="G196">
            <v>4</v>
          </cell>
          <cell r="AZ196" t="str">
            <v>B</v>
          </cell>
          <cell r="BA196" t="str">
            <v>부전(주)</v>
          </cell>
          <cell r="BB196" t="str">
            <v>H50A14K</v>
          </cell>
          <cell r="BD196" t="str">
            <v>K804</v>
          </cell>
          <cell r="BE196" t="str">
            <v>ALL</v>
          </cell>
          <cell r="BI196">
            <v>0</v>
          </cell>
          <cell r="BJ196">
            <v>0</v>
          </cell>
          <cell r="BK196">
            <v>0</v>
          </cell>
          <cell r="BL196">
            <v>0</v>
          </cell>
        </row>
        <row r="197">
          <cell r="C197">
            <v>2584</v>
          </cell>
          <cell r="D197" t="str">
            <v>MB160680</v>
          </cell>
          <cell r="E197" t="str">
            <v xml:space="preserve"> BRKT-DUFFERENTLAL.MTG,LH</v>
          </cell>
          <cell r="I197">
            <v>1</v>
          </cell>
          <cell r="J197">
            <v>1</v>
          </cell>
          <cell r="K197">
            <v>1</v>
          </cell>
          <cell r="M197">
            <v>1</v>
          </cell>
          <cell r="N197">
            <v>1</v>
          </cell>
          <cell r="O197">
            <v>1</v>
          </cell>
          <cell r="P197">
            <v>1</v>
          </cell>
          <cell r="Q197">
            <v>1</v>
          </cell>
          <cell r="R197">
            <v>1</v>
          </cell>
          <cell r="S197">
            <v>1</v>
          </cell>
          <cell r="T197">
            <v>1</v>
          </cell>
          <cell r="W197">
            <v>1</v>
          </cell>
          <cell r="X197">
            <v>1</v>
          </cell>
          <cell r="AC197">
            <v>1</v>
          </cell>
          <cell r="AD197">
            <v>1</v>
          </cell>
          <cell r="AE197">
            <v>1</v>
          </cell>
          <cell r="AH197">
            <v>1</v>
          </cell>
          <cell r="AI197">
            <v>1</v>
          </cell>
          <cell r="AJ197">
            <v>1</v>
          </cell>
          <cell r="AK197">
            <v>1</v>
          </cell>
          <cell r="AL197">
            <v>1</v>
          </cell>
          <cell r="AM197">
            <v>1</v>
          </cell>
          <cell r="AN197">
            <v>1</v>
          </cell>
          <cell r="AO197">
            <v>1</v>
          </cell>
          <cell r="AQ197">
            <v>1</v>
          </cell>
          <cell r="AR197">
            <v>1</v>
          </cell>
          <cell r="AS197">
            <v>1</v>
          </cell>
          <cell r="AU197">
            <v>1</v>
          </cell>
          <cell r="AW197">
            <v>1</v>
          </cell>
          <cell r="AX197">
            <v>1</v>
          </cell>
          <cell r="AY197">
            <v>1</v>
          </cell>
          <cell r="AZ197" t="str">
            <v>T</v>
          </cell>
          <cell r="BA197" t="str">
            <v>부전(주)</v>
          </cell>
        </row>
        <row r="198">
          <cell r="C198">
            <v>3964</v>
          </cell>
          <cell r="D198" t="str">
            <v>MB176223</v>
          </cell>
          <cell r="E198" t="str">
            <v xml:space="preserve"> BRKT(C) (D=20)</v>
          </cell>
          <cell r="J198">
            <v>2</v>
          </cell>
          <cell r="K198">
            <v>2</v>
          </cell>
          <cell r="M198">
            <v>2</v>
          </cell>
          <cell r="N198">
            <v>2</v>
          </cell>
          <cell r="O198">
            <v>2</v>
          </cell>
          <cell r="P198">
            <v>2</v>
          </cell>
          <cell r="Q198">
            <v>2</v>
          </cell>
          <cell r="S198">
            <v>2</v>
          </cell>
          <cell r="T198">
            <v>2</v>
          </cell>
          <cell r="W198">
            <v>2</v>
          </cell>
          <cell r="X198">
            <v>2</v>
          </cell>
          <cell r="AD198">
            <v>2</v>
          </cell>
          <cell r="AE198">
            <v>2</v>
          </cell>
          <cell r="AH198">
            <v>2</v>
          </cell>
          <cell r="AI198">
            <v>2</v>
          </cell>
          <cell r="AJ198">
            <v>2</v>
          </cell>
          <cell r="AK198">
            <v>2</v>
          </cell>
          <cell r="AN198">
            <v>2</v>
          </cell>
          <cell r="AO198">
            <v>2</v>
          </cell>
          <cell r="AQ198">
            <v>2</v>
          </cell>
          <cell r="AR198">
            <v>2</v>
          </cell>
          <cell r="AS198">
            <v>2</v>
          </cell>
          <cell r="AU198">
            <v>2</v>
          </cell>
          <cell r="AW198">
            <v>2</v>
          </cell>
          <cell r="AX198">
            <v>2</v>
          </cell>
          <cell r="AY198">
            <v>2</v>
          </cell>
          <cell r="AZ198" t="str">
            <v>T</v>
          </cell>
          <cell r="BA198" t="str">
            <v>부전(주)</v>
          </cell>
        </row>
        <row r="199">
          <cell r="C199">
            <v>1345</v>
          </cell>
          <cell r="D199" t="str">
            <v>MB194849A</v>
          </cell>
          <cell r="E199" t="str">
            <v xml:space="preserve"> PLATE,WHEEL HOUSE</v>
          </cell>
          <cell r="F199" t="str">
            <v>(내수+972B)(수출 ALL)</v>
          </cell>
          <cell r="J199">
            <v>1</v>
          </cell>
          <cell r="K199">
            <v>1</v>
          </cell>
          <cell r="O199">
            <v>1</v>
          </cell>
          <cell r="Q199">
            <v>1</v>
          </cell>
          <cell r="X199">
            <v>1</v>
          </cell>
          <cell r="AE199">
            <v>1</v>
          </cell>
          <cell r="AI199">
            <v>1</v>
          </cell>
          <cell r="AJ199">
            <v>1</v>
          </cell>
          <cell r="AQ199">
            <v>1</v>
          </cell>
          <cell r="AS199">
            <v>1</v>
          </cell>
          <cell r="AT199">
            <v>1</v>
          </cell>
          <cell r="AZ199" t="str">
            <v>B</v>
          </cell>
          <cell r="BA199" t="str">
            <v>부전(주)</v>
          </cell>
          <cell r="BB199" t="str">
            <v>H50A17K</v>
          </cell>
          <cell r="BD199" t="str">
            <v>K804</v>
          </cell>
          <cell r="BI199">
            <v>868</v>
          </cell>
          <cell r="BJ199">
            <v>2</v>
          </cell>
          <cell r="BK199">
            <v>89</v>
          </cell>
          <cell r="BL199">
            <v>53</v>
          </cell>
        </row>
        <row r="200">
          <cell r="C200">
            <v>2459</v>
          </cell>
          <cell r="D200" t="str">
            <v>MB222438</v>
          </cell>
          <cell r="E200" t="str">
            <v xml:space="preserve"> BRKT</v>
          </cell>
          <cell r="H200">
            <v>1</v>
          </cell>
          <cell r="I200">
            <v>1</v>
          </cell>
          <cell r="J200">
            <v>1</v>
          </cell>
          <cell r="K200">
            <v>1</v>
          </cell>
          <cell r="L200">
            <v>1</v>
          </cell>
          <cell r="M200">
            <v>1</v>
          </cell>
          <cell r="N200">
            <v>1</v>
          </cell>
          <cell r="O200">
            <v>1</v>
          </cell>
          <cell r="P200">
            <v>1</v>
          </cell>
          <cell r="Q200">
            <v>1</v>
          </cell>
          <cell r="R200">
            <v>1</v>
          </cell>
          <cell r="S200">
            <v>1</v>
          </cell>
          <cell r="T200">
            <v>1</v>
          </cell>
          <cell r="U200">
            <v>1</v>
          </cell>
          <cell r="V200">
            <v>1</v>
          </cell>
          <cell r="W200">
            <v>1</v>
          </cell>
          <cell r="X200">
            <v>1</v>
          </cell>
          <cell r="Y200">
            <v>1</v>
          </cell>
          <cell r="Z200">
            <v>1</v>
          </cell>
          <cell r="AA200">
            <v>1</v>
          </cell>
          <cell r="AB200">
            <v>1</v>
          </cell>
          <cell r="AC200">
            <v>1</v>
          </cell>
          <cell r="AD200">
            <v>1</v>
          </cell>
          <cell r="AE200">
            <v>1</v>
          </cell>
          <cell r="AF200">
            <v>1</v>
          </cell>
          <cell r="AG200">
            <v>1</v>
          </cell>
          <cell r="AH200">
            <v>1</v>
          </cell>
          <cell r="AJ200">
            <v>1</v>
          </cell>
          <cell r="AL200">
            <v>1</v>
          </cell>
          <cell r="AM200">
            <v>1</v>
          </cell>
          <cell r="AO200">
            <v>1</v>
          </cell>
          <cell r="AQ200">
            <v>1</v>
          </cell>
          <cell r="AS200">
            <v>1</v>
          </cell>
          <cell r="AU200">
            <v>1</v>
          </cell>
          <cell r="AV200">
            <v>1</v>
          </cell>
          <cell r="AZ200" t="str">
            <v>B</v>
          </cell>
          <cell r="BA200" t="str">
            <v>부전(주)</v>
          </cell>
          <cell r="BB200" t="str">
            <v>H50A14K</v>
          </cell>
          <cell r="BD200" t="str">
            <v>K804</v>
          </cell>
          <cell r="BE200" t="str">
            <v>V6</v>
          </cell>
          <cell r="BI200">
            <v>937</v>
          </cell>
          <cell r="BJ200">
            <v>997</v>
          </cell>
          <cell r="BK200">
            <v>57</v>
          </cell>
          <cell r="BL200">
            <v>56</v>
          </cell>
        </row>
        <row r="201">
          <cell r="C201">
            <v>2584</v>
          </cell>
          <cell r="D201" t="str">
            <v>MB227637</v>
          </cell>
          <cell r="E201" t="str">
            <v xml:space="preserve"> REINF,F/DR WDO SASH LH</v>
          </cell>
          <cell r="G201">
            <v>1</v>
          </cell>
          <cell r="AZ201" t="str">
            <v>B</v>
          </cell>
          <cell r="BA201" t="str">
            <v>부전(주)</v>
          </cell>
          <cell r="BB201" t="str">
            <v>H50B31K</v>
          </cell>
          <cell r="BD201" t="str">
            <v>K804</v>
          </cell>
          <cell r="BE201" t="str">
            <v>ALL</v>
          </cell>
          <cell r="BI201">
            <v>0</v>
          </cell>
          <cell r="BJ201">
            <v>0</v>
          </cell>
          <cell r="BK201">
            <v>0</v>
          </cell>
          <cell r="BL201">
            <v>0</v>
          </cell>
        </row>
        <row r="202">
          <cell r="C202">
            <v>2584</v>
          </cell>
          <cell r="D202" t="str">
            <v>MB227638</v>
          </cell>
          <cell r="E202" t="str">
            <v xml:space="preserve"> REINF,F/DR WDO SASH RH</v>
          </cell>
          <cell r="G202">
            <v>1</v>
          </cell>
          <cell r="AZ202" t="str">
            <v>B</v>
          </cell>
          <cell r="BA202" t="str">
            <v>부전(주)</v>
          </cell>
          <cell r="BB202" t="str">
            <v>H50B31K</v>
          </cell>
          <cell r="BD202" t="str">
            <v>K804</v>
          </cell>
          <cell r="BE202" t="str">
            <v>ALL</v>
          </cell>
          <cell r="BI202">
            <v>0</v>
          </cell>
          <cell r="BJ202">
            <v>0</v>
          </cell>
          <cell r="BK202">
            <v>0</v>
          </cell>
          <cell r="BL202">
            <v>0</v>
          </cell>
        </row>
        <row r="203">
          <cell r="C203">
            <v>2584</v>
          </cell>
          <cell r="D203" t="str">
            <v>MB227669</v>
          </cell>
          <cell r="E203" t="str">
            <v xml:space="preserve"> REINF,RR LWR SASH LH</v>
          </cell>
          <cell r="G203">
            <v>1</v>
          </cell>
          <cell r="AZ203" t="str">
            <v>B</v>
          </cell>
          <cell r="BA203" t="str">
            <v>부전(주)</v>
          </cell>
          <cell r="BB203" t="str">
            <v>H50B31K</v>
          </cell>
          <cell r="BD203" t="str">
            <v>K804</v>
          </cell>
          <cell r="BE203" t="str">
            <v>ALL</v>
          </cell>
          <cell r="BI203">
            <v>0</v>
          </cell>
          <cell r="BJ203">
            <v>0</v>
          </cell>
          <cell r="BK203">
            <v>0</v>
          </cell>
          <cell r="BL203">
            <v>0</v>
          </cell>
        </row>
        <row r="204">
          <cell r="C204">
            <v>2584</v>
          </cell>
          <cell r="D204" t="str">
            <v>MB227670</v>
          </cell>
          <cell r="E204" t="str">
            <v xml:space="preserve"> REINF,RR LWR SASH RH</v>
          </cell>
          <cell r="G204">
            <v>1</v>
          </cell>
          <cell r="AZ204" t="str">
            <v>B</v>
          </cell>
          <cell r="BA204" t="str">
            <v>부전(주)</v>
          </cell>
          <cell r="BB204" t="str">
            <v>H50B31K</v>
          </cell>
          <cell r="BD204" t="str">
            <v>K804</v>
          </cell>
          <cell r="BE204" t="str">
            <v>ALL</v>
          </cell>
          <cell r="BI204">
            <v>0</v>
          </cell>
          <cell r="BJ204">
            <v>0</v>
          </cell>
          <cell r="BK204">
            <v>0</v>
          </cell>
          <cell r="BL204">
            <v>0</v>
          </cell>
        </row>
        <row r="205">
          <cell r="C205">
            <v>3774</v>
          </cell>
          <cell r="D205" t="str">
            <v>MB227785</v>
          </cell>
          <cell r="E205" t="str">
            <v xml:space="preserve"> BRKT,SASH VENT WDO UPPER</v>
          </cell>
          <cell r="I205">
            <v>2</v>
          </cell>
          <cell r="J205">
            <v>2</v>
          </cell>
          <cell r="K205">
            <v>2</v>
          </cell>
          <cell r="O205">
            <v>2</v>
          </cell>
          <cell r="Q205">
            <v>2</v>
          </cell>
          <cell r="S205">
            <v>2</v>
          </cell>
          <cell r="T205">
            <v>2</v>
          </cell>
          <cell r="V205">
            <v>2</v>
          </cell>
          <cell r="X205">
            <v>2</v>
          </cell>
          <cell r="Y205">
            <v>2</v>
          </cell>
          <cell r="Z205">
            <v>2</v>
          </cell>
          <cell r="AA205">
            <v>2</v>
          </cell>
          <cell r="AE205">
            <v>2</v>
          </cell>
          <cell r="AG205">
            <v>2</v>
          </cell>
          <cell r="AI205">
            <v>2</v>
          </cell>
          <cell r="AJ205">
            <v>2</v>
          </cell>
          <cell r="AK205">
            <v>2</v>
          </cell>
          <cell r="AN205">
            <v>2</v>
          </cell>
          <cell r="AQ205">
            <v>2</v>
          </cell>
          <cell r="AS205">
            <v>2</v>
          </cell>
          <cell r="AT205">
            <v>2</v>
          </cell>
          <cell r="AU205">
            <v>2</v>
          </cell>
          <cell r="AV205">
            <v>2</v>
          </cell>
          <cell r="AX205">
            <v>2</v>
          </cell>
          <cell r="AY205">
            <v>2</v>
          </cell>
          <cell r="AZ205" t="str">
            <v>B</v>
          </cell>
          <cell r="BA205" t="str">
            <v>부전(주)</v>
          </cell>
          <cell r="BB205" t="str">
            <v>H50B32K</v>
          </cell>
          <cell r="BD205" t="str">
            <v>K804</v>
          </cell>
          <cell r="BI205">
            <v>1776</v>
          </cell>
          <cell r="BJ205">
            <v>916</v>
          </cell>
          <cell r="BK205">
            <v>194</v>
          </cell>
          <cell r="BL205">
            <v>176</v>
          </cell>
        </row>
        <row r="206">
          <cell r="C206">
            <v>5168</v>
          </cell>
          <cell r="D206" t="str">
            <v>MB227785</v>
          </cell>
          <cell r="E206" t="str">
            <v xml:space="preserve"> BRKT,SASH VENT WDO UPPER</v>
          </cell>
          <cell r="G206">
            <v>2</v>
          </cell>
          <cell r="AZ206" t="str">
            <v>B</v>
          </cell>
          <cell r="BA206" t="str">
            <v>부전(주)</v>
          </cell>
          <cell r="BB206" t="str">
            <v>H50B31K</v>
          </cell>
          <cell r="BD206" t="str">
            <v>K804</v>
          </cell>
          <cell r="BE206" t="str">
            <v>ALL</v>
          </cell>
          <cell r="BI206">
            <v>0</v>
          </cell>
          <cell r="BJ206">
            <v>0</v>
          </cell>
          <cell r="BK206">
            <v>0</v>
          </cell>
          <cell r="BL206">
            <v>0</v>
          </cell>
        </row>
        <row r="207">
          <cell r="C207">
            <v>5168</v>
          </cell>
          <cell r="D207" t="str">
            <v>MB227786A</v>
          </cell>
          <cell r="E207" t="str">
            <v xml:space="preserve"> BRKT,SASH VENT WDO LOWER</v>
          </cell>
          <cell r="G207">
            <v>2</v>
          </cell>
          <cell r="AZ207" t="str">
            <v>B</v>
          </cell>
          <cell r="BA207" t="str">
            <v>부전(주)</v>
          </cell>
          <cell r="BB207" t="str">
            <v>H50B31K</v>
          </cell>
          <cell r="BD207" t="str">
            <v>K804</v>
          </cell>
          <cell r="BE207" t="str">
            <v>ALL</v>
          </cell>
          <cell r="BI207">
            <v>0</v>
          </cell>
          <cell r="BJ207">
            <v>0</v>
          </cell>
          <cell r="BK207">
            <v>0</v>
          </cell>
          <cell r="BL207">
            <v>0</v>
          </cell>
        </row>
        <row r="208">
          <cell r="C208">
            <v>1361</v>
          </cell>
          <cell r="D208" t="str">
            <v>MB238307A</v>
          </cell>
          <cell r="E208" t="str">
            <v xml:space="preserve"> BRKT</v>
          </cell>
          <cell r="K208">
            <v>1</v>
          </cell>
          <cell r="M208">
            <v>1</v>
          </cell>
          <cell r="N208">
            <v>1</v>
          </cell>
          <cell r="O208">
            <v>1</v>
          </cell>
          <cell r="P208">
            <v>1</v>
          </cell>
          <cell r="Q208">
            <v>1</v>
          </cell>
          <cell r="T208">
            <v>1</v>
          </cell>
          <cell r="Z208">
            <v>1</v>
          </cell>
          <cell r="AC208">
            <v>1</v>
          </cell>
          <cell r="AD208">
            <v>1</v>
          </cell>
          <cell r="AM208">
            <v>1</v>
          </cell>
          <cell r="AO208">
            <v>1</v>
          </cell>
          <cell r="AQ208">
            <v>1</v>
          </cell>
          <cell r="AV208">
            <v>1</v>
          </cell>
          <cell r="AZ208" t="str">
            <v>T</v>
          </cell>
          <cell r="BA208" t="str">
            <v>부전(주)</v>
          </cell>
          <cell r="BB208" t="str">
            <v>H50C25K</v>
          </cell>
          <cell r="BD208" t="str">
            <v>K804</v>
          </cell>
          <cell r="BE208" t="str">
            <v>TC</v>
          </cell>
          <cell r="BI208" t="e">
            <v>#REF!</v>
          </cell>
          <cell r="BJ208" t="e">
            <v>#REF!</v>
          </cell>
          <cell r="BK208" t="e">
            <v>#REF!</v>
          </cell>
          <cell r="BL208" t="e">
            <v>#REF!</v>
          </cell>
        </row>
        <row r="209">
          <cell r="C209">
            <v>2583</v>
          </cell>
          <cell r="D209" t="str">
            <v>MB238426</v>
          </cell>
          <cell r="E209" t="str">
            <v xml:space="preserve"> SUPPORT-BRAKE HOSE,LH</v>
          </cell>
          <cell r="I209">
            <v>1</v>
          </cell>
          <cell r="J209">
            <v>1</v>
          </cell>
          <cell r="K209">
            <v>1</v>
          </cell>
          <cell r="M209">
            <v>1</v>
          </cell>
          <cell r="N209">
            <v>1</v>
          </cell>
          <cell r="O209">
            <v>1</v>
          </cell>
          <cell r="P209">
            <v>1</v>
          </cell>
          <cell r="Q209">
            <v>1</v>
          </cell>
          <cell r="R209">
            <v>1</v>
          </cell>
          <cell r="S209">
            <v>1</v>
          </cell>
          <cell r="T209">
            <v>1</v>
          </cell>
          <cell r="W209">
            <v>1</v>
          </cell>
          <cell r="X209">
            <v>1</v>
          </cell>
          <cell r="AC209">
            <v>1</v>
          </cell>
          <cell r="AD209">
            <v>1</v>
          </cell>
          <cell r="AE209">
            <v>1</v>
          </cell>
          <cell r="AH209">
            <v>1</v>
          </cell>
          <cell r="AI209">
            <v>1</v>
          </cell>
          <cell r="AJ209">
            <v>1</v>
          </cell>
          <cell r="AL209">
            <v>1</v>
          </cell>
          <cell r="AM209">
            <v>1</v>
          </cell>
          <cell r="AN209">
            <v>1</v>
          </cell>
          <cell r="AO209">
            <v>1</v>
          </cell>
          <cell r="AQ209">
            <v>1</v>
          </cell>
          <cell r="AR209">
            <v>1</v>
          </cell>
          <cell r="AS209">
            <v>1</v>
          </cell>
          <cell r="AU209">
            <v>1</v>
          </cell>
          <cell r="AW209">
            <v>1</v>
          </cell>
          <cell r="AX209">
            <v>1</v>
          </cell>
          <cell r="AY209">
            <v>1</v>
          </cell>
          <cell r="AZ209" t="str">
            <v>T</v>
          </cell>
          <cell r="BA209" t="str">
            <v>부전(주)</v>
          </cell>
        </row>
        <row r="210">
          <cell r="C210">
            <v>2583</v>
          </cell>
          <cell r="D210" t="str">
            <v>MB238427</v>
          </cell>
          <cell r="E210" t="str">
            <v xml:space="preserve"> SUPPURT-BRAKE HOSE,RH</v>
          </cell>
          <cell r="I210">
            <v>1</v>
          </cell>
          <cell r="J210">
            <v>1</v>
          </cell>
          <cell r="K210">
            <v>1</v>
          </cell>
          <cell r="M210">
            <v>1</v>
          </cell>
          <cell r="N210">
            <v>1</v>
          </cell>
          <cell r="O210">
            <v>1</v>
          </cell>
          <cell r="P210">
            <v>1</v>
          </cell>
          <cell r="Q210">
            <v>1</v>
          </cell>
          <cell r="R210">
            <v>1</v>
          </cell>
          <cell r="S210">
            <v>1</v>
          </cell>
          <cell r="T210">
            <v>1</v>
          </cell>
          <cell r="W210">
            <v>1</v>
          </cell>
          <cell r="X210">
            <v>1</v>
          </cell>
          <cell r="AC210">
            <v>1</v>
          </cell>
          <cell r="AD210">
            <v>1</v>
          </cell>
          <cell r="AE210">
            <v>1</v>
          </cell>
          <cell r="AH210">
            <v>1</v>
          </cell>
          <cell r="AI210">
            <v>1</v>
          </cell>
          <cell r="AJ210">
            <v>1</v>
          </cell>
          <cell r="AL210">
            <v>1</v>
          </cell>
          <cell r="AM210">
            <v>1</v>
          </cell>
          <cell r="AN210">
            <v>1</v>
          </cell>
          <cell r="AO210">
            <v>1</v>
          </cell>
          <cell r="AQ210">
            <v>1</v>
          </cell>
          <cell r="AR210">
            <v>1</v>
          </cell>
          <cell r="AS210">
            <v>1</v>
          </cell>
          <cell r="AU210">
            <v>1</v>
          </cell>
          <cell r="AW210">
            <v>1</v>
          </cell>
          <cell r="AX210">
            <v>1</v>
          </cell>
          <cell r="AY210">
            <v>1</v>
          </cell>
          <cell r="AZ210" t="str">
            <v>T</v>
          </cell>
          <cell r="BA210" t="str">
            <v>부전(주)</v>
          </cell>
        </row>
        <row r="211">
          <cell r="C211" t="str">
            <v>☆</v>
          </cell>
          <cell r="D211" t="str">
            <v>MB239877A</v>
          </cell>
          <cell r="E211" t="str">
            <v xml:space="preserve"> BRKT - BLOWER</v>
          </cell>
          <cell r="F211" t="str">
            <v>유상 사급</v>
          </cell>
          <cell r="AZ211" t="str">
            <v>B</v>
          </cell>
          <cell r="BA211" t="str">
            <v>부전(주)</v>
          </cell>
        </row>
        <row r="212">
          <cell r="C212">
            <v>2584</v>
          </cell>
          <cell r="D212" t="str">
            <v>MB239886A</v>
          </cell>
          <cell r="E212" t="str">
            <v xml:space="preserve"> BRKT,BLOWER B RH</v>
          </cell>
          <cell r="G212">
            <v>1</v>
          </cell>
          <cell r="AZ212" t="str">
            <v>B</v>
          </cell>
          <cell r="BA212" t="str">
            <v>부전(주)</v>
          </cell>
          <cell r="BB212" t="str">
            <v>H50A18K</v>
          </cell>
          <cell r="BD212" t="str">
            <v>K804</v>
          </cell>
          <cell r="BE212" t="str">
            <v>ALL</v>
          </cell>
          <cell r="BI212">
            <v>0</v>
          </cell>
          <cell r="BJ212">
            <v>0</v>
          </cell>
          <cell r="BK212">
            <v>0</v>
          </cell>
          <cell r="BL212">
            <v>0</v>
          </cell>
        </row>
        <row r="213">
          <cell r="C213">
            <v>0</v>
          </cell>
          <cell r="D213" t="str">
            <v>MB242121A</v>
          </cell>
          <cell r="E213" t="str">
            <v xml:space="preserve"> SEAT,U.BOLT</v>
          </cell>
          <cell r="AZ213" t="str">
            <v>T</v>
          </cell>
          <cell r="BA213" t="str">
            <v>부전(주)</v>
          </cell>
        </row>
        <row r="214">
          <cell r="C214">
            <v>2584</v>
          </cell>
          <cell r="D214" t="str">
            <v>MB243479A</v>
          </cell>
          <cell r="E214" t="str">
            <v xml:space="preserve"> PLATE,STOPPER</v>
          </cell>
          <cell r="F214" t="str">
            <v>-431B</v>
          </cell>
          <cell r="H214">
            <v>1</v>
          </cell>
          <cell r="I214">
            <v>1</v>
          </cell>
          <cell r="J214">
            <v>1</v>
          </cell>
          <cell r="K214">
            <v>1</v>
          </cell>
          <cell r="L214">
            <v>1</v>
          </cell>
          <cell r="M214">
            <v>1</v>
          </cell>
          <cell r="N214">
            <v>1</v>
          </cell>
          <cell r="O214">
            <v>1</v>
          </cell>
          <cell r="P214">
            <v>1</v>
          </cell>
          <cell r="Q214">
            <v>1</v>
          </cell>
          <cell r="R214">
            <v>1</v>
          </cell>
          <cell r="S214">
            <v>1</v>
          </cell>
          <cell r="T214">
            <v>1</v>
          </cell>
          <cell r="U214">
            <v>1</v>
          </cell>
          <cell r="V214">
            <v>1</v>
          </cell>
          <cell r="X214">
            <v>1</v>
          </cell>
          <cell r="Y214">
            <v>1</v>
          </cell>
          <cell r="Z214">
            <v>1</v>
          </cell>
          <cell r="AA214">
            <v>1</v>
          </cell>
          <cell r="AB214">
            <v>1</v>
          </cell>
          <cell r="AC214">
            <v>1</v>
          </cell>
          <cell r="AD214">
            <v>1</v>
          </cell>
          <cell r="AE214">
            <v>1</v>
          </cell>
          <cell r="AF214">
            <v>1</v>
          </cell>
          <cell r="AG214">
            <v>1</v>
          </cell>
          <cell r="AH214">
            <v>1</v>
          </cell>
          <cell r="AI214">
            <v>1</v>
          </cell>
          <cell r="AJ214">
            <v>1</v>
          </cell>
          <cell r="AK214">
            <v>1</v>
          </cell>
          <cell r="AL214">
            <v>1</v>
          </cell>
          <cell r="AM214">
            <v>1</v>
          </cell>
          <cell r="AN214">
            <v>1</v>
          </cell>
          <cell r="AO214">
            <v>1</v>
          </cell>
          <cell r="AP214">
            <v>1</v>
          </cell>
          <cell r="AQ214">
            <v>1</v>
          </cell>
          <cell r="AR214">
            <v>1</v>
          </cell>
          <cell r="AS214">
            <v>1</v>
          </cell>
          <cell r="AT214">
            <v>1</v>
          </cell>
          <cell r="AU214">
            <v>1</v>
          </cell>
          <cell r="AV214">
            <v>1</v>
          </cell>
          <cell r="AW214">
            <v>1</v>
          </cell>
          <cell r="AX214">
            <v>1</v>
          </cell>
          <cell r="AY214">
            <v>1</v>
          </cell>
          <cell r="AZ214" t="str">
            <v>B</v>
          </cell>
          <cell r="BA214" t="str">
            <v>부전(주)</v>
          </cell>
          <cell r="BB214" t="str">
            <v>H50A13K</v>
          </cell>
          <cell r="BD214" t="str">
            <v>K804</v>
          </cell>
          <cell r="BE214" t="str">
            <v>ALL</v>
          </cell>
          <cell r="BI214">
            <v>937</v>
          </cell>
          <cell r="BJ214">
            <v>997</v>
          </cell>
          <cell r="BK214">
            <v>118</v>
          </cell>
          <cell r="BL214">
            <v>102</v>
          </cell>
        </row>
        <row r="215">
          <cell r="C215">
            <v>2584</v>
          </cell>
          <cell r="D215" t="str">
            <v>MB244416A</v>
          </cell>
          <cell r="E215" t="str">
            <v xml:space="preserve"> STRIKER</v>
          </cell>
          <cell r="I215">
            <v>1</v>
          </cell>
          <cell r="J215">
            <v>1</v>
          </cell>
          <cell r="K215">
            <v>1</v>
          </cell>
          <cell r="M215">
            <v>1</v>
          </cell>
          <cell r="N215">
            <v>1</v>
          </cell>
          <cell r="O215">
            <v>1</v>
          </cell>
          <cell r="P215">
            <v>1</v>
          </cell>
          <cell r="Q215">
            <v>1</v>
          </cell>
          <cell r="R215">
            <v>1</v>
          </cell>
          <cell r="S215">
            <v>1</v>
          </cell>
          <cell r="T215">
            <v>1</v>
          </cell>
          <cell r="W215">
            <v>1</v>
          </cell>
          <cell r="X215">
            <v>1</v>
          </cell>
          <cell r="AC215">
            <v>1</v>
          </cell>
          <cell r="AD215">
            <v>1</v>
          </cell>
          <cell r="AE215">
            <v>1</v>
          </cell>
          <cell r="AH215">
            <v>1</v>
          </cell>
          <cell r="AI215">
            <v>1</v>
          </cell>
          <cell r="AJ215">
            <v>1</v>
          </cell>
          <cell r="AK215">
            <v>1</v>
          </cell>
          <cell r="AL215">
            <v>1</v>
          </cell>
          <cell r="AM215">
            <v>1</v>
          </cell>
          <cell r="AN215">
            <v>1</v>
          </cell>
          <cell r="AO215">
            <v>1</v>
          </cell>
          <cell r="AQ215">
            <v>1</v>
          </cell>
          <cell r="AR215">
            <v>1</v>
          </cell>
          <cell r="AS215">
            <v>1</v>
          </cell>
          <cell r="AU215">
            <v>1</v>
          </cell>
          <cell r="AW215">
            <v>1</v>
          </cell>
          <cell r="AX215">
            <v>1</v>
          </cell>
          <cell r="AY215">
            <v>1</v>
          </cell>
          <cell r="AZ215" t="str">
            <v>T</v>
          </cell>
          <cell r="BA215" t="str">
            <v>부전(주)</v>
          </cell>
        </row>
        <row r="216">
          <cell r="C216">
            <v>1676</v>
          </cell>
          <cell r="D216" t="str">
            <v>MB247268A</v>
          </cell>
          <cell r="E216" t="str">
            <v xml:space="preserve"> BRKT</v>
          </cell>
          <cell r="I216">
            <v>1</v>
          </cell>
          <cell r="J216">
            <v>1</v>
          </cell>
          <cell r="K216">
            <v>1</v>
          </cell>
          <cell r="R216">
            <v>1</v>
          </cell>
          <cell r="S216">
            <v>1</v>
          </cell>
          <cell r="T216">
            <v>1</v>
          </cell>
          <cell r="AC216">
            <v>1</v>
          </cell>
          <cell r="AJ216">
            <v>1</v>
          </cell>
          <cell r="AK216">
            <v>1</v>
          </cell>
          <cell r="AL216">
            <v>1</v>
          </cell>
          <cell r="AM216">
            <v>1</v>
          </cell>
          <cell r="AQ216">
            <v>1</v>
          </cell>
          <cell r="AU216">
            <v>1</v>
          </cell>
          <cell r="AY216">
            <v>1</v>
          </cell>
          <cell r="AZ216" t="str">
            <v>T</v>
          </cell>
          <cell r="BA216" t="str">
            <v>부전(주)</v>
          </cell>
        </row>
        <row r="217">
          <cell r="C217">
            <v>2584</v>
          </cell>
          <cell r="D217" t="str">
            <v>MB250036A</v>
          </cell>
          <cell r="E217" t="str">
            <v xml:space="preserve"> PLATE,NUT</v>
          </cell>
          <cell r="G217">
            <v>1</v>
          </cell>
          <cell r="AZ217" t="str">
            <v>B</v>
          </cell>
          <cell r="BA217" t="str">
            <v>부전(주)</v>
          </cell>
          <cell r="BB217" t="str">
            <v>H50A11K</v>
          </cell>
          <cell r="BD217" t="str">
            <v>K804</v>
          </cell>
          <cell r="BE217" t="str">
            <v>ALL</v>
          </cell>
          <cell r="BI217">
            <v>0</v>
          </cell>
          <cell r="BJ217">
            <v>0</v>
          </cell>
          <cell r="BK217">
            <v>0</v>
          </cell>
          <cell r="BL217">
            <v>0</v>
          </cell>
        </row>
        <row r="218">
          <cell r="C218">
            <v>2714</v>
          </cell>
          <cell r="D218" t="str">
            <v>MB250045A</v>
          </cell>
          <cell r="E218" t="str">
            <v xml:space="preserve"> BRKT,H/PROTECTOR</v>
          </cell>
          <cell r="H218">
            <v>1</v>
          </cell>
          <cell r="I218">
            <v>1</v>
          </cell>
          <cell r="J218">
            <v>1</v>
          </cell>
          <cell r="K218">
            <v>1</v>
          </cell>
          <cell r="L218">
            <v>1</v>
          </cell>
          <cell r="M218">
            <v>1</v>
          </cell>
          <cell r="N218">
            <v>1</v>
          </cell>
          <cell r="O218">
            <v>1</v>
          </cell>
          <cell r="P218">
            <v>1</v>
          </cell>
          <cell r="Q218">
            <v>1</v>
          </cell>
          <cell r="R218">
            <v>1</v>
          </cell>
          <cell r="S218">
            <v>1</v>
          </cell>
          <cell r="T218">
            <v>1</v>
          </cell>
          <cell r="U218">
            <v>1</v>
          </cell>
          <cell r="V218">
            <v>1</v>
          </cell>
          <cell r="W218">
            <v>2</v>
          </cell>
          <cell r="X218">
            <v>2</v>
          </cell>
          <cell r="Y218">
            <v>1</v>
          </cell>
          <cell r="Z218">
            <v>1</v>
          </cell>
          <cell r="AA218">
            <v>1</v>
          </cell>
          <cell r="AB218">
            <v>1</v>
          </cell>
          <cell r="AC218">
            <v>1</v>
          </cell>
          <cell r="AD218">
            <v>1</v>
          </cell>
          <cell r="AE218">
            <v>2</v>
          </cell>
          <cell r="AF218">
            <v>1</v>
          </cell>
          <cell r="AG218">
            <v>1</v>
          </cell>
          <cell r="AH218">
            <v>2</v>
          </cell>
          <cell r="AI218">
            <v>2</v>
          </cell>
          <cell r="AJ218">
            <v>1</v>
          </cell>
          <cell r="AK218">
            <v>1</v>
          </cell>
          <cell r="AL218">
            <v>1</v>
          </cell>
          <cell r="AM218">
            <v>1</v>
          </cell>
          <cell r="AN218">
            <v>2</v>
          </cell>
          <cell r="AO218">
            <v>1</v>
          </cell>
          <cell r="AP218">
            <v>2</v>
          </cell>
          <cell r="AQ218">
            <v>1</v>
          </cell>
          <cell r="AR218">
            <v>2</v>
          </cell>
          <cell r="AS218">
            <v>1</v>
          </cell>
          <cell r="AT218">
            <v>2</v>
          </cell>
          <cell r="AU218">
            <v>1</v>
          </cell>
          <cell r="AV218">
            <v>1</v>
          </cell>
          <cell r="AW218">
            <v>2</v>
          </cell>
          <cell r="AX218">
            <v>1</v>
          </cell>
          <cell r="AY218">
            <v>2</v>
          </cell>
          <cell r="AZ218" t="str">
            <v>B</v>
          </cell>
          <cell r="BA218" t="str">
            <v>부전(주)</v>
          </cell>
          <cell r="BB218" t="str">
            <v>H50A11K</v>
          </cell>
          <cell r="BD218" t="str">
            <v>K804</v>
          </cell>
          <cell r="BI218">
            <v>937</v>
          </cell>
          <cell r="BJ218">
            <v>999</v>
          </cell>
          <cell r="BK218">
            <v>178</v>
          </cell>
          <cell r="BL218">
            <v>148</v>
          </cell>
        </row>
        <row r="219">
          <cell r="C219">
            <v>1344</v>
          </cell>
          <cell r="D219" t="str">
            <v>MB250074A</v>
          </cell>
          <cell r="E219" t="str">
            <v xml:space="preserve"> PLATE,NUT</v>
          </cell>
          <cell r="H219">
            <v>2</v>
          </cell>
          <cell r="L219">
            <v>2</v>
          </cell>
          <cell r="M219">
            <v>2</v>
          </cell>
          <cell r="N219">
            <v>2</v>
          </cell>
          <cell r="P219">
            <v>2</v>
          </cell>
          <cell r="R219">
            <v>2</v>
          </cell>
          <cell r="U219">
            <v>2</v>
          </cell>
          <cell r="W219">
            <v>2</v>
          </cell>
          <cell r="AB219">
            <v>2</v>
          </cell>
          <cell r="AC219">
            <v>1</v>
          </cell>
          <cell r="AD219">
            <v>1</v>
          </cell>
          <cell r="AF219">
            <v>2</v>
          </cell>
          <cell r="AH219">
            <v>2</v>
          </cell>
          <cell r="AL219">
            <v>2</v>
          </cell>
          <cell r="AM219">
            <v>2</v>
          </cell>
          <cell r="AN219">
            <v>2</v>
          </cell>
          <cell r="AO219">
            <v>2</v>
          </cell>
          <cell r="AP219">
            <v>2</v>
          </cell>
          <cell r="AW219">
            <v>2</v>
          </cell>
          <cell r="AZ219" t="str">
            <v>B</v>
          </cell>
          <cell r="BA219" t="str">
            <v>부전(주)</v>
          </cell>
          <cell r="BB219" t="str">
            <v>H50A12K</v>
          </cell>
          <cell r="BD219" t="str">
            <v>K804</v>
          </cell>
          <cell r="BE219" t="str">
            <v>S/B</v>
          </cell>
          <cell r="BI219">
            <v>98</v>
          </cell>
          <cell r="BJ219">
            <v>1078</v>
          </cell>
          <cell r="BK219">
            <v>56</v>
          </cell>
          <cell r="BL219">
            <v>4</v>
          </cell>
        </row>
        <row r="220">
          <cell r="C220">
            <v>10336</v>
          </cell>
          <cell r="D220" t="str">
            <v>MB250105A</v>
          </cell>
          <cell r="E220" t="str">
            <v xml:space="preserve"> PLATE,NUT</v>
          </cell>
          <cell r="G220">
            <v>4</v>
          </cell>
          <cell r="AZ220" t="str">
            <v>B</v>
          </cell>
          <cell r="BA220" t="str">
            <v>부전(주)</v>
          </cell>
          <cell r="BB220" t="str">
            <v>H50A12K</v>
          </cell>
          <cell r="BD220" t="str">
            <v>K804</v>
          </cell>
          <cell r="BE220" t="str">
            <v>ALL</v>
          </cell>
          <cell r="BI220">
            <v>0</v>
          </cell>
          <cell r="BJ220">
            <v>0</v>
          </cell>
          <cell r="BK220">
            <v>0</v>
          </cell>
          <cell r="BL220">
            <v>0</v>
          </cell>
        </row>
        <row r="221">
          <cell r="C221">
            <v>2584</v>
          </cell>
          <cell r="D221" t="str">
            <v>MB250107A</v>
          </cell>
          <cell r="E221" t="str">
            <v xml:space="preserve"> BRKT,H/PROTECTOR</v>
          </cell>
          <cell r="G221">
            <v>1</v>
          </cell>
          <cell r="AZ221" t="str">
            <v>B</v>
          </cell>
          <cell r="BA221" t="str">
            <v>부전(주)</v>
          </cell>
          <cell r="BB221" t="str">
            <v>H50A13K</v>
          </cell>
          <cell r="BD221" t="str">
            <v>K804</v>
          </cell>
          <cell r="BI221">
            <v>0</v>
          </cell>
          <cell r="BJ221">
            <v>0</v>
          </cell>
          <cell r="BK221">
            <v>0</v>
          </cell>
          <cell r="BL221">
            <v>0</v>
          </cell>
        </row>
        <row r="222">
          <cell r="C222">
            <v>130</v>
          </cell>
          <cell r="D222" t="str">
            <v>MB250109A</v>
          </cell>
          <cell r="E222" t="str">
            <v xml:space="preserve"> BRKT,H/PROTECTOR</v>
          </cell>
          <cell r="W222">
            <v>1</v>
          </cell>
          <cell r="X222">
            <v>1</v>
          </cell>
          <cell r="Z222">
            <v>1</v>
          </cell>
          <cell r="AE222">
            <v>1</v>
          </cell>
          <cell r="AH222">
            <v>1</v>
          </cell>
          <cell r="AI222">
            <v>1</v>
          </cell>
          <cell r="AN222">
            <v>1</v>
          </cell>
          <cell r="AP222">
            <v>1</v>
          </cell>
          <cell r="AR222">
            <v>1</v>
          </cell>
          <cell r="AT222">
            <v>1</v>
          </cell>
          <cell r="AW222">
            <v>1</v>
          </cell>
          <cell r="AY222">
            <v>1</v>
          </cell>
          <cell r="AZ222" t="str">
            <v>B</v>
          </cell>
          <cell r="BA222" t="str">
            <v>부전(주)</v>
          </cell>
          <cell r="BB222" t="str">
            <v>H50A12K</v>
          </cell>
          <cell r="BD222" t="str">
            <v>K804</v>
          </cell>
          <cell r="BE222" t="str">
            <v>V6,TCI</v>
          </cell>
          <cell r="BI222">
            <v>0</v>
          </cell>
          <cell r="BJ222">
            <v>2</v>
          </cell>
          <cell r="BK222">
            <v>60</v>
          </cell>
          <cell r="BL222">
            <v>46</v>
          </cell>
        </row>
        <row r="223">
          <cell r="C223">
            <v>2454</v>
          </cell>
          <cell r="D223" t="str">
            <v>MB250140A</v>
          </cell>
          <cell r="E223" t="str">
            <v xml:space="preserve"> REINF,F/FILTER</v>
          </cell>
          <cell r="H223">
            <v>1</v>
          </cell>
          <cell r="I223">
            <v>1</v>
          </cell>
          <cell r="J223">
            <v>1</v>
          </cell>
          <cell r="K223">
            <v>1</v>
          </cell>
          <cell r="L223">
            <v>1</v>
          </cell>
          <cell r="M223">
            <v>1</v>
          </cell>
          <cell r="N223">
            <v>1</v>
          </cell>
          <cell r="O223">
            <v>1</v>
          </cell>
          <cell r="P223">
            <v>1</v>
          </cell>
          <cell r="Q223">
            <v>1</v>
          </cell>
          <cell r="R223">
            <v>1</v>
          </cell>
          <cell r="S223">
            <v>1</v>
          </cell>
          <cell r="T223">
            <v>1</v>
          </cell>
          <cell r="U223">
            <v>1</v>
          </cell>
          <cell r="V223">
            <v>1</v>
          </cell>
          <cell r="Y223">
            <v>1</v>
          </cell>
          <cell r="Z223">
            <v>1</v>
          </cell>
          <cell r="AA223">
            <v>1</v>
          </cell>
          <cell r="AB223">
            <v>1</v>
          </cell>
          <cell r="AC223">
            <v>1</v>
          </cell>
          <cell r="AD223">
            <v>1</v>
          </cell>
          <cell r="AF223">
            <v>1</v>
          </cell>
          <cell r="AG223">
            <v>1</v>
          </cell>
          <cell r="AJ223">
            <v>1</v>
          </cell>
          <cell r="AK223">
            <v>1</v>
          </cell>
          <cell r="AL223">
            <v>1</v>
          </cell>
          <cell r="AM223">
            <v>1</v>
          </cell>
          <cell r="AO223">
            <v>1</v>
          </cell>
          <cell r="AQ223">
            <v>1</v>
          </cell>
          <cell r="AS223">
            <v>1</v>
          </cell>
          <cell r="AU223">
            <v>1</v>
          </cell>
          <cell r="AV223">
            <v>1</v>
          </cell>
          <cell r="AX223">
            <v>1</v>
          </cell>
          <cell r="AZ223" t="str">
            <v>B</v>
          </cell>
          <cell r="BA223" t="str">
            <v>부전(주)</v>
          </cell>
          <cell r="BB223" t="str">
            <v>H50A13K</v>
          </cell>
          <cell r="BD223" t="str">
            <v>K804</v>
          </cell>
          <cell r="BI223">
            <v>937</v>
          </cell>
          <cell r="BJ223">
            <v>995</v>
          </cell>
          <cell r="BK223">
            <v>58</v>
          </cell>
          <cell r="BL223">
            <v>56</v>
          </cell>
        </row>
        <row r="224">
          <cell r="C224">
            <v>2584</v>
          </cell>
          <cell r="D224" t="str">
            <v>MB250142A</v>
          </cell>
          <cell r="E224" t="str">
            <v xml:space="preserve"> BRKT ACCEL PEDAL</v>
          </cell>
          <cell r="G224">
            <v>1</v>
          </cell>
          <cell r="AZ224" t="str">
            <v>B</v>
          </cell>
          <cell r="BA224" t="str">
            <v>부전(주)</v>
          </cell>
          <cell r="BB224" t="str">
            <v>H50A13K</v>
          </cell>
          <cell r="BD224" t="str">
            <v>K804</v>
          </cell>
          <cell r="BE224" t="str">
            <v>ALL</v>
          </cell>
          <cell r="BI224">
            <v>0</v>
          </cell>
          <cell r="BJ224">
            <v>0</v>
          </cell>
          <cell r="BK224">
            <v>0</v>
          </cell>
          <cell r="BL224">
            <v>0</v>
          </cell>
        </row>
        <row r="225">
          <cell r="C225">
            <v>5168</v>
          </cell>
          <cell r="D225" t="str">
            <v>MB250146</v>
          </cell>
          <cell r="E225" t="str">
            <v xml:space="preserve"> BRKT,MUD GUARD</v>
          </cell>
          <cell r="F225" t="str">
            <v>R/H,D/C:3</v>
          </cell>
          <cell r="G225">
            <v>2</v>
          </cell>
          <cell r="AZ225" t="str">
            <v>B</v>
          </cell>
          <cell r="BA225" t="str">
            <v>부전(주)</v>
          </cell>
          <cell r="BB225" t="str">
            <v>H50A13K</v>
          </cell>
          <cell r="BC225" t="str">
            <v>LINE ALL 3EA사용</v>
          </cell>
          <cell r="BD225" t="str">
            <v>K804</v>
          </cell>
          <cell r="BI225">
            <v>0</v>
          </cell>
          <cell r="BJ225">
            <v>0</v>
          </cell>
          <cell r="BK225">
            <v>0</v>
          </cell>
          <cell r="BL225">
            <v>0</v>
          </cell>
        </row>
        <row r="226">
          <cell r="C226">
            <v>2584</v>
          </cell>
          <cell r="D226" t="str">
            <v>MB250150A</v>
          </cell>
          <cell r="E226" t="str">
            <v xml:space="preserve"> REINF, HINGE(C)</v>
          </cell>
          <cell r="G226">
            <v>1</v>
          </cell>
          <cell r="AZ226" t="str">
            <v>B</v>
          </cell>
          <cell r="BA226" t="str">
            <v>부전(주)</v>
          </cell>
          <cell r="BB226" t="str">
            <v>H50A17K</v>
          </cell>
          <cell r="BD226" t="str">
            <v>K804</v>
          </cell>
          <cell r="BE226" t="str">
            <v>ALL</v>
          </cell>
          <cell r="BI226">
            <v>0</v>
          </cell>
          <cell r="BJ226">
            <v>0</v>
          </cell>
          <cell r="BK226">
            <v>0</v>
          </cell>
          <cell r="BL226">
            <v>0</v>
          </cell>
        </row>
        <row r="227">
          <cell r="C227">
            <v>2584</v>
          </cell>
          <cell r="D227" t="str">
            <v>MB250151</v>
          </cell>
          <cell r="E227" t="str">
            <v xml:space="preserve"> REINF,B/DR CHECK(A)</v>
          </cell>
          <cell r="G227">
            <v>1</v>
          </cell>
          <cell r="AZ227" t="str">
            <v>B</v>
          </cell>
          <cell r="BA227" t="str">
            <v>부전(주)</v>
          </cell>
          <cell r="BB227" t="str">
            <v>H50A17K</v>
          </cell>
          <cell r="BD227" t="str">
            <v>K804</v>
          </cell>
          <cell r="BE227" t="str">
            <v>ALL</v>
          </cell>
          <cell r="BI227">
            <v>0</v>
          </cell>
          <cell r="BJ227">
            <v>0</v>
          </cell>
          <cell r="BK227">
            <v>0</v>
          </cell>
          <cell r="BL227">
            <v>0</v>
          </cell>
        </row>
        <row r="228">
          <cell r="C228">
            <v>1208</v>
          </cell>
          <cell r="D228" t="str">
            <v>MB250205A</v>
          </cell>
          <cell r="E228" t="str">
            <v xml:space="preserve"> BRKT,AIR CLEANER</v>
          </cell>
          <cell r="R228">
            <v>2</v>
          </cell>
          <cell r="W228">
            <v>1</v>
          </cell>
          <cell r="X228">
            <v>1</v>
          </cell>
          <cell r="AB228">
            <v>2</v>
          </cell>
          <cell r="AE228">
            <v>1</v>
          </cell>
          <cell r="AH228">
            <v>1</v>
          </cell>
          <cell r="AI228">
            <v>1</v>
          </cell>
          <cell r="AN228">
            <v>1</v>
          </cell>
          <cell r="AP228">
            <v>1</v>
          </cell>
          <cell r="AR228">
            <v>1</v>
          </cell>
          <cell r="AT228">
            <v>1</v>
          </cell>
          <cell r="AW228">
            <v>1</v>
          </cell>
          <cell r="AY228">
            <v>1</v>
          </cell>
          <cell r="AZ228" t="str">
            <v>B</v>
          </cell>
          <cell r="BA228" t="str">
            <v>부전(주)</v>
          </cell>
          <cell r="BB228" t="str">
            <v>H50A14K</v>
          </cell>
          <cell r="BD228" t="str">
            <v>K804</v>
          </cell>
          <cell r="BE228" t="str">
            <v>5,6,14,19</v>
          </cell>
          <cell r="BI228">
            <v>0</v>
          </cell>
          <cell r="BJ228">
            <v>1080</v>
          </cell>
          <cell r="BK228">
            <v>60</v>
          </cell>
          <cell r="BL228">
            <v>46</v>
          </cell>
        </row>
        <row r="229">
          <cell r="C229">
            <v>2454</v>
          </cell>
          <cell r="D229" t="str">
            <v>MB250207A</v>
          </cell>
          <cell r="E229" t="str">
            <v xml:space="preserve"> BRKT,OIL COOLER HOSE</v>
          </cell>
          <cell r="H229">
            <v>1</v>
          </cell>
          <cell r="I229">
            <v>1</v>
          </cell>
          <cell r="J229">
            <v>1</v>
          </cell>
          <cell r="K229">
            <v>1</v>
          </cell>
          <cell r="L229">
            <v>1</v>
          </cell>
          <cell r="M229">
            <v>1</v>
          </cell>
          <cell r="N229">
            <v>1</v>
          </cell>
          <cell r="O229">
            <v>1</v>
          </cell>
          <cell r="P229">
            <v>1</v>
          </cell>
          <cell r="Q229">
            <v>1</v>
          </cell>
          <cell r="R229">
            <v>1</v>
          </cell>
          <cell r="S229">
            <v>1</v>
          </cell>
          <cell r="T229">
            <v>1</v>
          </cell>
          <cell r="U229">
            <v>1</v>
          </cell>
          <cell r="V229">
            <v>1</v>
          </cell>
          <cell r="Y229">
            <v>1</v>
          </cell>
          <cell r="Z229">
            <v>1</v>
          </cell>
          <cell r="AA229">
            <v>1</v>
          </cell>
          <cell r="AB229">
            <v>1</v>
          </cell>
          <cell r="AC229">
            <v>1</v>
          </cell>
          <cell r="AD229">
            <v>1</v>
          </cell>
          <cell r="AF229">
            <v>1</v>
          </cell>
          <cell r="AG229">
            <v>1</v>
          </cell>
          <cell r="AJ229">
            <v>1</v>
          </cell>
          <cell r="AK229">
            <v>1</v>
          </cell>
          <cell r="AL229">
            <v>1</v>
          </cell>
          <cell r="AM229">
            <v>1</v>
          </cell>
          <cell r="AO229">
            <v>1</v>
          </cell>
          <cell r="AQ229">
            <v>1</v>
          </cell>
          <cell r="AS229">
            <v>1</v>
          </cell>
          <cell r="AU229">
            <v>1</v>
          </cell>
          <cell r="AV229">
            <v>1</v>
          </cell>
          <cell r="AZ229" t="str">
            <v>B</v>
          </cell>
          <cell r="BA229" t="str">
            <v>부전(주)</v>
          </cell>
          <cell r="BB229" t="str">
            <v>H50A14K</v>
          </cell>
          <cell r="BD229" t="str">
            <v>K804</v>
          </cell>
          <cell r="BI229">
            <v>937</v>
          </cell>
          <cell r="BJ229">
            <v>995</v>
          </cell>
          <cell r="BK229">
            <v>58</v>
          </cell>
          <cell r="BL229">
            <v>56</v>
          </cell>
        </row>
        <row r="230">
          <cell r="C230">
            <v>2454</v>
          </cell>
          <cell r="D230" t="str">
            <v>MB250211A</v>
          </cell>
          <cell r="E230" t="str">
            <v xml:space="preserve"> BRKT,HEAT PROTECTOR</v>
          </cell>
          <cell r="H230">
            <v>1</v>
          </cell>
          <cell r="I230">
            <v>1</v>
          </cell>
          <cell r="J230">
            <v>1</v>
          </cell>
          <cell r="K230">
            <v>1</v>
          </cell>
          <cell r="L230">
            <v>1</v>
          </cell>
          <cell r="M230">
            <v>1</v>
          </cell>
          <cell r="N230">
            <v>1</v>
          </cell>
          <cell r="O230">
            <v>1</v>
          </cell>
          <cell r="P230">
            <v>1</v>
          </cell>
          <cell r="Q230">
            <v>1</v>
          </cell>
          <cell r="R230">
            <v>1</v>
          </cell>
          <cell r="S230">
            <v>1</v>
          </cell>
          <cell r="T230">
            <v>1</v>
          </cell>
          <cell r="U230">
            <v>1</v>
          </cell>
          <cell r="V230">
            <v>1</v>
          </cell>
          <cell r="Y230">
            <v>1</v>
          </cell>
          <cell r="Z230">
            <v>1</v>
          </cell>
          <cell r="AA230">
            <v>1</v>
          </cell>
          <cell r="AB230">
            <v>1</v>
          </cell>
          <cell r="AC230">
            <v>1</v>
          </cell>
          <cell r="AD230">
            <v>1</v>
          </cell>
          <cell r="AF230">
            <v>1</v>
          </cell>
          <cell r="AG230">
            <v>1</v>
          </cell>
          <cell r="AJ230">
            <v>1</v>
          </cell>
          <cell r="AK230">
            <v>1</v>
          </cell>
          <cell r="AL230">
            <v>1</v>
          </cell>
          <cell r="AM230">
            <v>1</v>
          </cell>
          <cell r="AO230">
            <v>1</v>
          </cell>
          <cell r="AQ230">
            <v>1</v>
          </cell>
          <cell r="AS230">
            <v>1</v>
          </cell>
          <cell r="AU230">
            <v>1</v>
          </cell>
          <cell r="AV230">
            <v>1</v>
          </cell>
          <cell r="AZ230" t="str">
            <v>B</v>
          </cell>
          <cell r="BA230" t="str">
            <v>부전(주)</v>
          </cell>
          <cell r="BB230" t="str">
            <v>H50A14K</v>
          </cell>
          <cell r="BD230" t="str">
            <v>K804</v>
          </cell>
          <cell r="BI230">
            <v>937</v>
          </cell>
          <cell r="BJ230">
            <v>995</v>
          </cell>
          <cell r="BK230">
            <v>58</v>
          </cell>
          <cell r="BL230">
            <v>56</v>
          </cell>
        </row>
        <row r="231">
          <cell r="C231">
            <v>2584</v>
          </cell>
          <cell r="D231" t="str">
            <v>MB250235</v>
          </cell>
          <cell r="E231" t="str">
            <v xml:space="preserve"> BRKT,RADIATOR GRILLE</v>
          </cell>
          <cell r="G231">
            <v>1</v>
          </cell>
          <cell r="AZ231" t="str">
            <v>B</v>
          </cell>
          <cell r="BA231" t="str">
            <v>부전(주)</v>
          </cell>
          <cell r="BB231" t="str">
            <v>H50A15K</v>
          </cell>
          <cell r="BD231" t="str">
            <v>K804</v>
          </cell>
          <cell r="BE231" t="str">
            <v>ALL</v>
          </cell>
          <cell r="BI231">
            <v>0</v>
          </cell>
          <cell r="BJ231">
            <v>0</v>
          </cell>
          <cell r="BK231">
            <v>0</v>
          </cell>
          <cell r="BL231">
            <v>0</v>
          </cell>
        </row>
        <row r="232">
          <cell r="C232">
            <v>2584</v>
          </cell>
          <cell r="D232" t="str">
            <v>MB250261</v>
          </cell>
          <cell r="E232" t="str">
            <v xml:space="preserve"> REINF,BODY MT'G NO1(B) LH</v>
          </cell>
          <cell r="G232">
            <v>1</v>
          </cell>
          <cell r="AZ232" t="str">
            <v>B</v>
          </cell>
          <cell r="BA232" t="str">
            <v>부전(주)</v>
          </cell>
          <cell r="BB232" t="str">
            <v>H50A15K</v>
          </cell>
          <cell r="BD232" t="str">
            <v>K804</v>
          </cell>
          <cell r="BE232" t="str">
            <v>ALL</v>
          </cell>
          <cell r="BI232">
            <v>0</v>
          </cell>
          <cell r="BJ232">
            <v>0</v>
          </cell>
          <cell r="BK232">
            <v>0</v>
          </cell>
          <cell r="BL232">
            <v>0</v>
          </cell>
        </row>
        <row r="233">
          <cell r="C233">
            <v>2584</v>
          </cell>
          <cell r="D233" t="str">
            <v>MB250262</v>
          </cell>
          <cell r="E233" t="str">
            <v xml:space="preserve"> REINF,BODY MT'G NO1(B) RH</v>
          </cell>
          <cell r="G233">
            <v>1</v>
          </cell>
          <cell r="AZ233" t="str">
            <v>B</v>
          </cell>
          <cell r="BA233" t="str">
            <v>부전(주)</v>
          </cell>
          <cell r="BB233" t="str">
            <v>H50A15K</v>
          </cell>
          <cell r="BD233" t="str">
            <v>K804</v>
          </cell>
          <cell r="BE233" t="str">
            <v>ALL</v>
          </cell>
          <cell r="BI233">
            <v>0</v>
          </cell>
          <cell r="BJ233">
            <v>0</v>
          </cell>
          <cell r="BK233">
            <v>0</v>
          </cell>
          <cell r="BL233">
            <v>0</v>
          </cell>
        </row>
        <row r="234">
          <cell r="C234">
            <v>2584</v>
          </cell>
          <cell r="D234" t="str">
            <v>MB250293</v>
          </cell>
          <cell r="E234" t="str">
            <v xml:space="preserve"> REINF,LWR LH</v>
          </cell>
          <cell r="G234">
            <v>1</v>
          </cell>
          <cell r="AZ234" t="str">
            <v>B</v>
          </cell>
          <cell r="BA234" t="str">
            <v>부전(주)</v>
          </cell>
          <cell r="BB234" t="str">
            <v>H50A15K</v>
          </cell>
          <cell r="BD234" t="str">
            <v>K804</v>
          </cell>
          <cell r="BE234" t="str">
            <v>ALL</v>
          </cell>
          <cell r="BI234">
            <v>0</v>
          </cell>
          <cell r="BJ234">
            <v>0</v>
          </cell>
          <cell r="BK234">
            <v>0</v>
          </cell>
          <cell r="BL234">
            <v>0</v>
          </cell>
        </row>
        <row r="235">
          <cell r="C235">
            <v>2584</v>
          </cell>
          <cell r="D235" t="str">
            <v>MB250294</v>
          </cell>
          <cell r="E235" t="str">
            <v xml:space="preserve"> REINF,LWR RH</v>
          </cell>
          <cell r="G235">
            <v>1</v>
          </cell>
          <cell r="AZ235" t="str">
            <v>B</v>
          </cell>
          <cell r="BA235" t="str">
            <v>부전(주)</v>
          </cell>
          <cell r="BB235" t="str">
            <v>H50A15K</v>
          </cell>
          <cell r="BD235" t="str">
            <v>K804</v>
          </cell>
          <cell r="BE235" t="str">
            <v>ALL</v>
          </cell>
          <cell r="BI235">
            <v>0</v>
          </cell>
          <cell r="BJ235">
            <v>0</v>
          </cell>
          <cell r="BK235">
            <v>0</v>
          </cell>
          <cell r="BL235">
            <v>0</v>
          </cell>
        </row>
        <row r="236">
          <cell r="C236">
            <v>10336</v>
          </cell>
          <cell r="D236" t="str">
            <v>MB250299</v>
          </cell>
          <cell r="E236" t="str">
            <v xml:space="preserve"> BRKT,H/LP BEZEL</v>
          </cell>
          <cell r="G236">
            <v>4</v>
          </cell>
          <cell r="AZ236" t="str">
            <v>B</v>
          </cell>
          <cell r="BA236" t="str">
            <v>부전(주)</v>
          </cell>
          <cell r="BB236" t="str">
            <v>H50A15K</v>
          </cell>
          <cell r="BD236" t="str">
            <v>K804</v>
          </cell>
          <cell r="BE236" t="str">
            <v>ALL</v>
          </cell>
          <cell r="BI236">
            <v>0</v>
          </cell>
          <cell r="BJ236">
            <v>0</v>
          </cell>
          <cell r="BK236">
            <v>0</v>
          </cell>
          <cell r="BL236">
            <v>0</v>
          </cell>
        </row>
        <row r="237">
          <cell r="C237" t="str">
            <v>☆</v>
          </cell>
          <cell r="D237" t="str">
            <v>MB250381A</v>
          </cell>
          <cell r="E237" t="str">
            <v xml:space="preserve"> BRKT - INSTRUMENT PNL</v>
          </cell>
          <cell r="F237" t="str">
            <v>유상 사급</v>
          </cell>
          <cell r="AZ237" t="str">
            <v>B</v>
          </cell>
          <cell r="BA237" t="str">
            <v>부전(주)</v>
          </cell>
        </row>
        <row r="238">
          <cell r="C238">
            <v>5168</v>
          </cell>
          <cell r="D238" t="str">
            <v>MB250435</v>
          </cell>
          <cell r="E238" t="str">
            <v xml:space="preserve"> REINF,NO4 BODY MT'G</v>
          </cell>
          <cell r="G238">
            <v>2</v>
          </cell>
          <cell r="AZ238" t="str">
            <v>B</v>
          </cell>
          <cell r="BA238" t="str">
            <v>부전(주)</v>
          </cell>
          <cell r="BB238" t="str">
            <v>H50A17K</v>
          </cell>
          <cell r="BD238" t="str">
            <v>K804</v>
          </cell>
          <cell r="BE238" t="str">
            <v>ALL</v>
          </cell>
          <cell r="BI238">
            <v>0</v>
          </cell>
          <cell r="BJ238">
            <v>0</v>
          </cell>
          <cell r="BK238">
            <v>0</v>
          </cell>
          <cell r="BL238">
            <v>0</v>
          </cell>
        </row>
        <row r="239">
          <cell r="C239">
            <v>692</v>
          </cell>
          <cell r="D239" t="str">
            <v>MB250479A</v>
          </cell>
          <cell r="E239" t="str">
            <v xml:space="preserve"> BRKT,JACK</v>
          </cell>
          <cell r="H239">
            <v>1</v>
          </cell>
          <cell r="L239">
            <v>1</v>
          </cell>
          <cell r="M239">
            <v>1</v>
          </cell>
          <cell r="N239">
            <v>1</v>
          </cell>
          <cell r="P239">
            <v>1</v>
          </cell>
          <cell r="R239">
            <v>1</v>
          </cell>
          <cell r="U239">
            <v>1</v>
          </cell>
          <cell r="W239">
            <v>1</v>
          </cell>
          <cell r="AB239">
            <v>1</v>
          </cell>
          <cell r="AC239">
            <v>1</v>
          </cell>
          <cell r="AD239">
            <v>1</v>
          </cell>
          <cell r="AF239">
            <v>1</v>
          </cell>
          <cell r="AH239">
            <v>1</v>
          </cell>
          <cell r="AL239">
            <v>1</v>
          </cell>
          <cell r="AM239">
            <v>1</v>
          </cell>
          <cell r="AN239">
            <v>1</v>
          </cell>
          <cell r="AO239">
            <v>1</v>
          </cell>
          <cell r="AP239">
            <v>1</v>
          </cell>
          <cell r="AW239">
            <v>1</v>
          </cell>
          <cell r="AZ239" t="str">
            <v>B</v>
          </cell>
          <cell r="BA239" t="str">
            <v>부전(주)</v>
          </cell>
          <cell r="BB239" t="str">
            <v>H50A17K</v>
          </cell>
          <cell r="BD239" t="str">
            <v>K804</v>
          </cell>
          <cell r="BE239" t="str">
            <v>S/B</v>
          </cell>
          <cell r="BI239">
            <v>49</v>
          </cell>
          <cell r="BJ239">
            <v>539</v>
          </cell>
          <cell r="BK239">
            <v>28</v>
          </cell>
          <cell r="BL239">
            <v>2</v>
          </cell>
        </row>
        <row r="240">
          <cell r="C240">
            <v>2584</v>
          </cell>
          <cell r="D240" t="str">
            <v>MB250493A</v>
          </cell>
          <cell r="E240" t="str">
            <v xml:space="preserve"> BRKT,EVAP</v>
          </cell>
          <cell r="G240">
            <v>1</v>
          </cell>
          <cell r="AZ240" t="str">
            <v>B</v>
          </cell>
          <cell r="BA240" t="str">
            <v>부전(주)</v>
          </cell>
          <cell r="BB240" t="str">
            <v>H50A18K</v>
          </cell>
          <cell r="BD240" t="str">
            <v>K804</v>
          </cell>
          <cell r="BE240" t="str">
            <v>ALL</v>
          </cell>
          <cell r="BI240">
            <v>0</v>
          </cell>
          <cell r="BJ240">
            <v>0</v>
          </cell>
          <cell r="BK240">
            <v>0</v>
          </cell>
          <cell r="BL240">
            <v>0</v>
          </cell>
        </row>
        <row r="241">
          <cell r="C241">
            <v>2584</v>
          </cell>
          <cell r="D241" t="str">
            <v>MB250508A</v>
          </cell>
          <cell r="E241" t="str">
            <v xml:space="preserve"> BRKT,I/PNL,CTR</v>
          </cell>
          <cell r="G241">
            <v>1</v>
          </cell>
          <cell r="AZ241" t="str">
            <v>B</v>
          </cell>
          <cell r="BA241" t="str">
            <v>부전(주)</v>
          </cell>
          <cell r="BB241" t="str">
            <v>H50A18K</v>
          </cell>
          <cell r="BD241" t="str">
            <v>K804</v>
          </cell>
          <cell r="BE241" t="str">
            <v>ALL</v>
          </cell>
          <cell r="BI241">
            <v>0</v>
          </cell>
          <cell r="BJ241">
            <v>0</v>
          </cell>
          <cell r="BK241">
            <v>0</v>
          </cell>
          <cell r="BL241">
            <v>0</v>
          </cell>
        </row>
        <row r="242">
          <cell r="C242">
            <v>2584</v>
          </cell>
          <cell r="D242" t="str">
            <v>MB250523A</v>
          </cell>
          <cell r="E242" t="str">
            <v xml:space="preserve"> EXTENTION,COWL TOP LH</v>
          </cell>
          <cell r="G242">
            <v>1</v>
          </cell>
          <cell r="AZ242" t="str">
            <v>B</v>
          </cell>
          <cell r="BA242" t="str">
            <v>부전(주)</v>
          </cell>
          <cell r="BB242" t="str">
            <v>H50A18K</v>
          </cell>
          <cell r="BD242" t="str">
            <v>K804</v>
          </cell>
          <cell r="BE242" t="str">
            <v>ALL</v>
          </cell>
          <cell r="BI242">
            <v>0</v>
          </cell>
          <cell r="BJ242">
            <v>0</v>
          </cell>
          <cell r="BK242">
            <v>0</v>
          </cell>
          <cell r="BL242">
            <v>0</v>
          </cell>
        </row>
        <row r="243">
          <cell r="C243">
            <v>2584</v>
          </cell>
          <cell r="D243" t="str">
            <v>MB250524A</v>
          </cell>
          <cell r="E243" t="str">
            <v xml:space="preserve"> EXTENTION,COWL TOP RH</v>
          </cell>
          <cell r="G243">
            <v>1</v>
          </cell>
          <cell r="AZ243" t="str">
            <v>B</v>
          </cell>
          <cell r="BA243" t="str">
            <v>부전(주)</v>
          </cell>
          <cell r="BB243" t="str">
            <v>H50A18K</v>
          </cell>
          <cell r="BD243" t="str">
            <v>K804</v>
          </cell>
          <cell r="BE243" t="str">
            <v>ALL</v>
          </cell>
          <cell r="BI243">
            <v>0</v>
          </cell>
          <cell r="BJ243">
            <v>0</v>
          </cell>
          <cell r="BK243">
            <v>0</v>
          </cell>
          <cell r="BL243">
            <v>0</v>
          </cell>
        </row>
        <row r="244">
          <cell r="C244">
            <v>2584</v>
          </cell>
          <cell r="D244" t="str">
            <v>MB250533A</v>
          </cell>
          <cell r="E244" t="str">
            <v xml:space="preserve"> BRKT,I/PNL LH</v>
          </cell>
          <cell r="G244">
            <v>1</v>
          </cell>
          <cell r="AZ244" t="str">
            <v>B</v>
          </cell>
          <cell r="BA244" t="str">
            <v>부전(주)</v>
          </cell>
          <cell r="BB244" t="str">
            <v>H50A18K</v>
          </cell>
          <cell r="BD244" t="str">
            <v>K804</v>
          </cell>
          <cell r="BE244" t="str">
            <v>ALL</v>
          </cell>
          <cell r="BI244">
            <v>0</v>
          </cell>
          <cell r="BJ244">
            <v>0</v>
          </cell>
          <cell r="BK244">
            <v>0</v>
          </cell>
          <cell r="BL244">
            <v>0</v>
          </cell>
        </row>
        <row r="245">
          <cell r="C245">
            <v>2584</v>
          </cell>
          <cell r="D245" t="str">
            <v>MB250534A</v>
          </cell>
          <cell r="E245" t="str">
            <v xml:space="preserve"> BRKT,I/PNL RH</v>
          </cell>
          <cell r="G245">
            <v>1</v>
          </cell>
          <cell r="AZ245" t="str">
            <v>B</v>
          </cell>
          <cell r="BA245" t="str">
            <v>부전(주)</v>
          </cell>
          <cell r="BB245" t="str">
            <v>H50A18K</v>
          </cell>
          <cell r="BD245" t="str">
            <v>K804</v>
          </cell>
          <cell r="BE245" t="str">
            <v>ALL</v>
          </cell>
          <cell r="BI245">
            <v>0</v>
          </cell>
          <cell r="BJ245">
            <v>0</v>
          </cell>
          <cell r="BK245">
            <v>0</v>
          </cell>
          <cell r="BL245">
            <v>0</v>
          </cell>
        </row>
        <row r="246">
          <cell r="C246">
            <v>692</v>
          </cell>
          <cell r="D246" t="str">
            <v>MB250637</v>
          </cell>
          <cell r="E246" t="str">
            <v xml:space="preserve"> STRIKER TOOL BOX DOOR</v>
          </cell>
          <cell r="H246">
            <v>1</v>
          </cell>
          <cell r="L246">
            <v>1</v>
          </cell>
          <cell r="M246">
            <v>1</v>
          </cell>
          <cell r="N246">
            <v>1</v>
          </cell>
          <cell r="P246">
            <v>1</v>
          </cell>
          <cell r="R246">
            <v>1</v>
          </cell>
          <cell r="U246">
            <v>1</v>
          </cell>
          <cell r="W246">
            <v>1</v>
          </cell>
          <cell r="AB246">
            <v>1</v>
          </cell>
          <cell r="AC246">
            <v>1</v>
          </cell>
          <cell r="AD246">
            <v>1</v>
          </cell>
          <cell r="AF246">
            <v>1</v>
          </cell>
          <cell r="AH246">
            <v>1</v>
          </cell>
          <cell r="AL246">
            <v>1</v>
          </cell>
          <cell r="AM246">
            <v>1</v>
          </cell>
          <cell r="AN246">
            <v>1</v>
          </cell>
          <cell r="AO246">
            <v>1</v>
          </cell>
          <cell r="AP246">
            <v>1</v>
          </cell>
          <cell r="AW246">
            <v>1</v>
          </cell>
          <cell r="AZ246" t="str">
            <v>B</v>
          </cell>
          <cell r="BA246" t="str">
            <v>부전(주)</v>
          </cell>
          <cell r="BB246" t="str">
            <v>H50B38K</v>
          </cell>
          <cell r="BD246" t="str">
            <v>K804</v>
          </cell>
          <cell r="BE246" t="str">
            <v>S/B</v>
          </cell>
          <cell r="BI246">
            <v>49</v>
          </cell>
          <cell r="BJ246">
            <v>539</v>
          </cell>
          <cell r="BK246">
            <v>28</v>
          </cell>
          <cell r="BL246">
            <v>2</v>
          </cell>
        </row>
        <row r="247">
          <cell r="C247">
            <v>2584</v>
          </cell>
          <cell r="D247" t="str">
            <v>MB250647</v>
          </cell>
          <cell r="E247" t="str">
            <v xml:space="preserve"> BRKT,SIDE LH</v>
          </cell>
          <cell r="G247">
            <v>1</v>
          </cell>
          <cell r="AZ247" t="str">
            <v>B</v>
          </cell>
          <cell r="BA247" t="str">
            <v>부전(주)</v>
          </cell>
          <cell r="BB247" t="str">
            <v>H50A15K</v>
          </cell>
          <cell r="BD247" t="str">
            <v>K804</v>
          </cell>
          <cell r="BE247" t="str">
            <v>ALL</v>
          </cell>
          <cell r="BI247">
            <v>0</v>
          </cell>
          <cell r="BJ247">
            <v>0</v>
          </cell>
          <cell r="BK247">
            <v>0</v>
          </cell>
          <cell r="BL247">
            <v>0</v>
          </cell>
        </row>
        <row r="248">
          <cell r="C248">
            <v>2584</v>
          </cell>
          <cell r="D248" t="str">
            <v>MB250648</v>
          </cell>
          <cell r="E248" t="str">
            <v xml:space="preserve"> BRKT,SIDE RH</v>
          </cell>
          <cell r="G248">
            <v>1</v>
          </cell>
          <cell r="AZ248" t="str">
            <v>B</v>
          </cell>
          <cell r="BA248" t="str">
            <v>부전(주)</v>
          </cell>
          <cell r="BB248" t="str">
            <v>H50A15K</v>
          </cell>
          <cell r="BD248" t="str">
            <v>K804</v>
          </cell>
          <cell r="BE248" t="str">
            <v>ALL</v>
          </cell>
          <cell r="BI248">
            <v>0</v>
          </cell>
          <cell r="BJ248">
            <v>0</v>
          </cell>
          <cell r="BK248">
            <v>0</v>
          </cell>
          <cell r="BL248">
            <v>0</v>
          </cell>
        </row>
        <row r="249">
          <cell r="C249">
            <v>692</v>
          </cell>
          <cell r="D249" t="str">
            <v>MB250667A</v>
          </cell>
          <cell r="E249" t="str">
            <v xml:space="preserve"> PATCH,CTR,PILLAR LH</v>
          </cell>
          <cell r="H249">
            <v>1</v>
          </cell>
          <cell r="L249">
            <v>1</v>
          </cell>
          <cell r="M249">
            <v>1</v>
          </cell>
          <cell r="N249">
            <v>1</v>
          </cell>
          <cell r="P249">
            <v>1</v>
          </cell>
          <cell r="R249">
            <v>1</v>
          </cell>
          <cell r="U249">
            <v>1</v>
          </cell>
          <cell r="W249">
            <v>1</v>
          </cell>
          <cell r="AB249">
            <v>1</v>
          </cell>
          <cell r="AC249">
            <v>1</v>
          </cell>
          <cell r="AD249">
            <v>1</v>
          </cell>
          <cell r="AF249">
            <v>1</v>
          </cell>
          <cell r="AH249">
            <v>1</v>
          </cell>
          <cell r="AL249">
            <v>1</v>
          </cell>
          <cell r="AM249">
            <v>1</v>
          </cell>
          <cell r="AN249">
            <v>1</v>
          </cell>
          <cell r="AO249">
            <v>1</v>
          </cell>
          <cell r="AP249">
            <v>1</v>
          </cell>
          <cell r="AW249">
            <v>1</v>
          </cell>
          <cell r="AZ249" t="str">
            <v>B</v>
          </cell>
          <cell r="BA249" t="str">
            <v>부전(주)</v>
          </cell>
          <cell r="BB249" t="str">
            <v>H50A17K</v>
          </cell>
          <cell r="BD249" t="str">
            <v>K804</v>
          </cell>
          <cell r="BE249" t="str">
            <v>S/B</v>
          </cell>
          <cell r="BI249">
            <v>49</v>
          </cell>
          <cell r="BJ249">
            <v>539</v>
          </cell>
          <cell r="BK249">
            <v>28</v>
          </cell>
          <cell r="BL249">
            <v>2</v>
          </cell>
        </row>
        <row r="250">
          <cell r="C250">
            <v>692</v>
          </cell>
          <cell r="D250" t="str">
            <v>MB250668A</v>
          </cell>
          <cell r="E250" t="str">
            <v xml:space="preserve"> PATCH,CTR PILLAR RH</v>
          </cell>
          <cell r="H250">
            <v>1</v>
          </cell>
          <cell r="L250">
            <v>1</v>
          </cell>
          <cell r="M250">
            <v>1</v>
          </cell>
          <cell r="N250">
            <v>1</v>
          </cell>
          <cell r="P250">
            <v>1</v>
          </cell>
          <cell r="R250">
            <v>1</v>
          </cell>
          <cell r="U250">
            <v>1</v>
          </cell>
          <cell r="W250">
            <v>1</v>
          </cell>
          <cell r="AB250">
            <v>1</v>
          </cell>
          <cell r="AC250">
            <v>1</v>
          </cell>
          <cell r="AD250">
            <v>1</v>
          </cell>
          <cell r="AF250">
            <v>1</v>
          </cell>
          <cell r="AH250">
            <v>1</v>
          </cell>
          <cell r="AL250">
            <v>1</v>
          </cell>
          <cell r="AM250">
            <v>1</v>
          </cell>
          <cell r="AN250">
            <v>1</v>
          </cell>
          <cell r="AO250">
            <v>1</v>
          </cell>
          <cell r="AP250">
            <v>1</v>
          </cell>
          <cell r="AW250">
            <v>1</v>
          </cell>
          <cell r="AZ250" t="str">
            <v>B</v>
          </cell>
          <cell r="BA250" t="str">
            <v>부전(주)</v>
          </cell>
          <cell r="BB250" t="str">
            <v>H50A17K</v>
          </cell>
          <cell r="BD250" t="str">
            <v>K804</v>
          </cell>
          <cell r="BE250" t="str">
            <v>S/B</v>
          </cell>
          <cell r="BI250">
            <v>49</v>
          </cell>
          <cell r="BJ250">
            <v>539</v>
          </cell>
          <cell r="BK250">
            <v>28</v>
          </cell>
          <cell r="BL250">
            <v>2</v>
          </cell>
        </row>
        <row r="251">
          <cell r="C251">
            <v>2584</v>
          </cell>
          <cell r="D251" t="str">
            <v>MB250696</v>
          </cell>
          <cell r="E251" t="str">
            <v xml:space="preserve"> BRKT,RAD SUPT RH</v>
          </cell>
          <cell r="G251">
            <v>1</v>
          </cell>
          <cell r="AZ251" t="str">
            <v>B</v>
          </cell>
          <cell r="BA251" t="str">
            <v>부전(주)</v>
          </cell>
          <cell r="BB251" t="str">
            <v>H50A15K</v>
          </cell>
          <cell r="BD251" t="str">
            <v>K804</v>
          </cell>
          <cell r="BE251" t="str">
            <v>ALL</v>
          </cell>
          <cell r="BI251">
            <v>0</v>
          </cell>
          <cell r="BJ251">
            <v>0</v>
          </cell>
          <cell r="BK251">
            <v>0</v>
          </cell>
          <cell r="BL251">
            <v>0</v>
          </cell>
        </row>
        <row r="252">
          <cell r="C252">
            <v>5384</v>
          </cell>
          <cell r="D252" t="str">
            <v>MB250782A</v>
          </cell>
          <cell r="E252" t="str">
            <v xml:space="preserve"> BRKT,ASSIST BOW</v>
          </cell>
          <cell r="H252">
            <v>2</v>
          </cell>
          <cell r="I252">
            <v>2</v>
          </cell>
          <cell r="J252">
            <v>2</v>
          </cell>
          <cell r="K252">
            <v>2</v>
          </cell>
          <cell r="L252">
            <v>2</v>
          </cell>
          <cell r="M252">
            <v>2</v>
          </cell>
          <cell r="N252">
            <v>2</v>
          </cell>
          <cell r="O252">
            <v>2</v>
          </cell>
          <cell r="P252">
            <v>2</v>
          </cell>
          <cell r="Q252">
            <v>2</v>
          </cell>
          <cell r="R252">
            <v>2</v>
          </cell>
          <cell r="S252">
            <v>2</v>
          </cell>
          <cell r="T252">
            <v>2</v>
          </cell>
          <cell r="U252">
            <v>2</v>
          </cell>
          <cell r="V252">
            <v>2</v>
          </cell>
          <cell r="W252">
            <v>2</v>
          </cell>
          <cell r="X252">
            <v>5</v>
          </cell>
          <cell r="Y252">
            <v>2</v>
          </cell>
          <cell r="Z252">
            <v>2</v>
          </cell>
          <cell r="AA252">
            <v>2</v>
          </cell>
          <cell r="AB252">
            <v>2</v>
          </cell>
          <cell r="AC252">
            <v>2</v>
          </cell>
          <cell r="AD252">
            <v>2</v>
          </cell>
          <cell r="AE252">
            <v>5</v>
          </cell>
          <cell r="AF252">
            <v>2</v>
          </cell>
          <cell r="AG252">
            <v>2</v>
          </cell>
          <cell r="AH252">
            <v>2</v>
          </cell>
          <cell r="AI252">
            <v>5</v>
          </cell>
          <cell r="AJ252">
            <v>2</v>
          </cell>
          <cell r="AK252">
            <v>2</v>
          </cell>
          <cell r="AL252">
            <v>2</v>
          </cell>
          <cell r="AM252">
            <v>2</v>
          </cell>
          <cell r="AN252">
            <v>2</v>
          </cell>
          <cell r="AO252">
            <v>2</v>
          </cell>
          <cell r="AP252">
            <v>2</v>
          </cell>
          <cell r="AQ252">
            <v>2</v>
          </cell>
          <cell r="AR252">
            <v>2</v>
          </cell>
          <cell r="AS252">
            <v>2</v>
          </cell>
          <cell r="AT252">
            <v>2</v>
          </cell>
          <cell r="AU252">
            <v>2</v>
          </cell>
          <cell r="AV252">
            <v>2</v>
          </cell>
          <cell r="AW252">
            <v>2</v>
          </cell>
          <cell r="AX252">
            <v>2</v>
          </cell>
          <cell r="AY252">
            <v>2</v>
          </cell>
          <cell r="AZ252" t="str">
            <v>B</v>
          </cell>
          <cell r="BA252" t="str">
            <v>부전(주)</v>
          </cell>
          <cell r="BB252" t="str">
            <v>H50A13K</v>
          </cell>
          <cell r="BD252" t="str">
            <v>K804</v>
          </cell>
          <cell r="BI252">
            <v>1874</v>
          </cell>
          <cell r="BJ252">
            <v>2000</v>
          </cell>
          <cell r="BK252">
            <v>395</v>
          </cell>
          <cell r="BL252">
            <v>204</v>
          </cell>
        </row>
        <row r="253">
          <cell r="C253">
            <v>7752</v>
          </cell>
          <cell r="D253" t="str">
            <v>MB250782A</v>
          </cell>
          <cell r="E253" t="str">
            <v xml:space="preserve"> BRKT,ASSIST BOW</v>
          </cell>
          <cell r="G253">
            <v>3</v>
          </cell>
          <cell r="AZ253" t="str">
            <v>B</v>
          </cell>
          <cell r="BA253" t="str">
            <v>부전(주)</v>
          </cell>
          <cell r="BB253" t="str">
            <v>H50A18K</v>
          </cell>
          <cell r="BD253" t="str">
            <v>K804</v>
          </cell>
          <cell r="BE253" t="str">
            <v>ALL</v>
          </cell>
          <cell r="BI253">
            <v>0</v>
          </cell>
          <cell r="BJ253">
            <v>0</v>
          </cell>
          <cell r="BK253">
            <v>0</v>
          </cell>
          <cell r="BL253">
            <v>0</v>
          </cell>
        </row>
        <row r="254">
          <cell r="C254">
            <v>1384</v>
          </cell>
          <cell r="D254" t="str">
            <v>MB250881A</v>
          </cell>
          <cell r="E254" t="str">
            <v xml:space="preserve"> REINF,R/SEAT BELT,LWR</v>
          </cell>
          <cell r="H254">
            <v>2</v>
          </cell>
          <cell r="L254">
            <v>2</v>
          </cell>
          <cell r="M254">
            <v>2</v>
          </cell>
          <cell r="N254">
            <v>2</v>
          </cell>
          <cell r="P254">
            <v>2</v>
          </cell>
          <cell r="R254">
            <v>2</v>
          </cell>
          <cell r="U254">
            <v>2</v>
          </cell>
          <cell r="W254">
            <v>2</v>
          </cell>
          <cell r="AB254">
            <v>2</v>
          </cell>
          <cell r="AC254">
            <v>2</v>
          </cell>
          <cell r="AD254">
            <v>2</v>
          </cell>
          <cell r="AF254">
            <v>2</v>
          </cell>
          <cell r="AH254">
            <v>2</v>
          </cell>
          <cell r="AL254">
            <v>2</v>
          </cell>
          <cell r="AM254">
            <v>2</v>
          </cell>
          <cell r="AN254">
            <v>2</v>
          </cell>
          <cell r="AO254">
            <v>2</v>
          </cell>
          <cell r="AP254">
            <v>2</v>
          </cell>
          <cell r="AW254">
            <v>2</v>
          </cell>
          <cell r="AZ254" t="str">
            <v>B</v>
          </cell>
          <cell r="BA254" t="str">
            <v>부전(주)</v>
          </cell>
          <cell r="BB254" t="str">
            <v>H50A17K</v>
          </cell>
          <cell r="BD254" t="str">
            <v>K804</v>
          </cell>
          <cell r="BE254" t="str">
            <v>S/B</v>
          </cell>
          <cell r="BI254">
            <v>98</v>
          </cell>
          <cell r="BJ254">
            <v>1078</v>
          </cell>
          <cell r="BK254">
            <v>56</v>
          </cell>
          <cell r="BL254">
            <v>4</v>
          </cell>
        </row>
        <row r="255">
          <cell r="C255">
            <v>692</v>
          </cell>
          <cell r="D255" t="str">
            <v>MB250887A</v>
          </cell>
          <cell r="E255" t="str">
            <v xml:space="preserve"> COVER,SIDE,RR LH</v>
          </cell>
          <cell r="H255">
            <v>1</v>
          </cell>
          <cell r="L255">
            <v>1</v>
          </cell>
          <cell r="M255">
            <v>1</v>
          </cell>
          <cell r="N255">
            <v>1</v>
          </cell>
          <cell r="P255">
            <v>1</v>
          </cell>
          <cell r="R255">
            <v>1</v>
          </cell>
          <cell r="U255">
            <v>1</v>
          </cell>
          <cell r="W255">
            <v>1</v>
          </cell>
          <cell r="AB255">
            <v>1</v>
          </cell>
          <cell r="AC255">
            <v>1</v>
          </cell>
          <cell r="AD255">
            <v>1</v>
          </cell>
          <cell r="AF255">
            <v>1</v>
          </cell>
          <cell r="AH255">
            <v>1</v>
          </cell>
          <cell r="AL255">
            <v>1</v>
          </cell>
          <cell r="AM255">
            <v>1</v>
          </cell>
          <cell r="AN255">
            <v>1</v>
          </cell>
          <cell r="AO255">
            <v>1</v>
          </cell>
          <cell r="AP255">
            <v>1</v>
          </cell>
          <cell r="AW255">
            <v>1</v>
          </cell>
          <cell r="AZ255" t="str">
            <v>B</v>
          </cell>
          <cell r="BA255" t="str">
            <v>부전(주)</v>
          </cell>
          <cell r="BB255" t="str">
            <v>H50A17K</v>
          </cell>
          <cell r="BD255" t="str">
            <v>K804</v>
          </cell>
          <cell r="BE255" t="str">
            <v>S/B</v>
          </cell>
          <cell r="BI255">
            <v>49</v>
          </cell>
          <cell r="BJ255">
            <v>539</v>
          </cell>
          <cell r="BK255">
            <v>28</v>
          </cell>
          <cell r="BL255">
            <v>2</v>
          </cell>
        </row>
        <row r="256">
          <cell r="C256">
            <v>692</v>
          </cell>
          <cell r="D256" t="str">
            <v>MB250891</v>
          </cell>
          <cell r="E256" t="str">
            <v xml:space="preserve"> COVER,RR END,CORNER LH</v>
          </cell>
          <cell r="H256">
            <v>1</v>
          </cell>
          <cell r="L256">
            <v>1</v>
          </cell>
          <cell r="M256">
            <v>1</v>
          </cell>
          <cell r="N256">
            <v>1</v>
          </cell>
          <cell r="P256">
            <v>1</v>
          </cell>
          <cell r="R256">
            <v>1</v>
          </cell>
          <cell r="U256">
            <v>1</v>
          </cell>
          <cell r="W256">
            <v>1</v>
          </cell>
          <cell r="AB256">
            <v>1</v>
          </cell>
          <cell r="AC256">
            <v>1</v>
          </cell>
          <cell r="AD256">
            <v>1</v>
          </cell>
          <cell r="AF256">
            <v>1</v>
          </cell>
          <cell r="AH256">
            <v>1</v>
          </cell>
          <cell r="AL256">
            <v>1</v>
          </cell>
          <cell r="AM256">
            <v>1</v>
          </cell>
          <cell r="AN256">
            <v>1</v>
          </cell>
          <cell r="AO256">
            <v>1</v>
          </cell>
          <cell r="AP256">
            <v>1</v>
          </cell>
          <cell r="AW256">
            <v>1</v>
          </cell>
          <cell r="AZ256" t="str">
            <v>B</v>
          </cell>
          <cell r="BA256" t="str">
            <v>부전(주)</v>
          </cell>
          <cell r="BB256" t="str">
            <v>H50A17K</v>
          </cell>
          <cell r="BD256" t="str">
            <v>K804</v>
          </cell>
          <cell r="BE256" t="str">
            <v>S/B</v>
          </cell>
          <cell r="BI256">
            <v>49</v>
          </cell>
          <cell r="BJ256">
            <v>539</v>
          </cell>
          <cell r="BK256">
            <v>28</v>
          </cell>
          <cell r="BL256">
            <v>2</v>
          </cell>
        </row>
        <row r="257">
          <cell r="C257">
            <v>692</v>
          </cell>
          <cell r="D257" t="str">
            <v>MB250892</v>
          </cell>
          <cell r="E257" t="str">
            <v xml:space="preserve"> COVER,RR END,CORNER RH</v>
          </cell>
          <cell r="H257">
            <v>1</v>
          </cell>
          <cell r="L257">
            <v>1</v>
          </cell>
          <cell r="M257">
            <v>1</v>
          </cell>
          <cell r="N257">
            <v>1</v>
          </cell>
          <cell r="P257">
            <v>1</v>
          </cell>
          <cell r="R257">
            <v>1</v>
          </cell>
          <cell r="U257">
            <v>1</v>
          </cell>
          <cell r="W257">
            <v>1</v>
          </cell>
          <cell r="AB257">
            <v>1</v>
          </cell>
          <cell r="AC257">
            <v>1</v>
          </cell>
          <cell r="AD257">
            <v>1</v>
          </cell>
          <cell r="AF257">
            <v>1</v>
          </cell>
          <cell r="AH257">
            <v>1</v>
          </cell>
          <cell r="AL257">
            <v>1</v>
          </cell>
          <cell r="AM257">
            <v>1</v>
          </cell>
          <cell r="AN257">
            <v>1</v>
          </cell>
          <cell r="AO257">
            <v>1</v>
          </cell>
          <cell r="AP257">
            <v>1</v>
          </cell>
          <cell r="AW257">
            <v>1</v>
          </cell>
          <cell r="AZ257" t="str">
            <v>B</v>
          </cell>
          <cell r="BA257" t="str">
            <v>부전(주)</v>
          </cell>
          <cell r="BB257" t="str">
            <v>H50A17K</v>
          </cell>
          <cell r="BD257" t="str">
            <v>K804</v>
          </cell>
          <cell r="BE257" t="str">
            <v>S/B</v>
          </cell>
          <cell r="BI257">
            <v>49</v>
          </cell>
          <cell r="BJ257">
            <v>539</v>
          </cell>
          <cell r="BK257">
            <v>28</v>
          </cell>
          <cell r="BL257">
            <v>2</v>
          </cell>
        </row>
        <row r="258">
          <cell r="C258">
            <v>2076</v>
          </cell>
          <cell r="D258" t="str">
            <v>MB250898A</v>
          </cell>
          <cell r="E258" t="str">
            <v xml:space="preserve"> BRKT,RR WASHER TANK</v>
          </cell>
          <cell r="H258">
            <v>3</v>
          </cell>
          <cell r="L258">
            <v>3</v>
          </cell>
          <cell r="M258">
            <v>3</v>
          </cell>
          <cell r="N258">
            <v>3</v>
          </cell>
          <cell r="P258">
            <v>3</v>
          </cell>
          <cell r="R258">
            <v>3</v>
          </cell>
          <cell r="U258">
            <v>3</v>
          </cell>
          <cell r="W258">
            <v>3</v>
          </cell>
          <cell r="AB258">
            <v>3</v>
          </cell>
          <cell r="AC258">
            <v>3</v>
          </cell>
          <cell r="AD258">
            <v>3</v>
          </cell>
          <cell r="AF258">
            <v>3</v>
          </cell>
          <cell r="AH258">
            <v>3</v>
          </cell>
          <cell r="AL258">
            <v>3</v>
          </cell>
          <cell r="AM258">
            <v>3</v>
          </cell>
          <cell r="AN258">
            <v>3</v>
          </cell>
          <cell r="AO258">
            <v>3</v>
          </cell>
          <cell r="AP258">
            <v>3</v>
          </cell>
          <cell r="AW258">
            <v>3</v>
          </cell>
          <cell r="AZ258" t="str">
            <v>B</v>
          </cell>
          <cell r="BA258" t="str">
            <v>부전(주)</v>
          </cell>
          <cell r="BB258" t="str">
            <v>H50A17K</v>
          </cell>
          <cell r="BD258" t="str">
            <v>K804</v>
          </cell>
          <cell r="BE258" t="str">
            <v>S/B</v>
          </cell>
          <cell r="BI258">
            <v>147</v>
          </cell>
          <cell r="BJ258">
            <v>1617</v>
          </cell>
          <cell r="BK258">
            <v>84</v>
          </cell>
          <cell r="BL258">
            <v>6</v>
          </cell>
        </row>
        <row r="259">
          <cell r="C259">
            <v>2584</v>
          </cell>
          <cell r="D259" t="str">
            <v>MB250929</v>
          </cell>
          <cell r="E259" t="str">
            <v xml:space="preserve"> REINF,B/DR HINGE</v>
          </cell>
          <cell r="G259">
            <v>1</v>
          </cell>
          <cell r="AZ259" t="str">
            <v>B</v>
          </cell>
          <cell r="BA259" t="str">
            <v>부전(주)</v>
          </cell>
          <cell r="BB259" t="str">
            <v>H50A17K</v>
          </cell>
          <cell r="BD259" t="str">
            <v>K804</v>
          </cell>
          <cell r="BE259" t="str">
            <v>ALL</v>
          </cell>
          <cell r="BI259">
            <v>0</v>
          </cell>
          <cell r="BJ259">
            <v>0</v>
          </cell>
          <cell r="BK259">
            <v>0</v>
          </cell>
          <cell r="BL259">
            <v>0</v>
          </cell>
        </row>
        <row r="260">
          <cell r="C260">
            <v>1118</v>
          </cell>
          <cell r="D260" t="str">
            <v>MB250931</v>
          </cell>
          <cell r="E260" t="str">
            <v xml:space="preserve"> COVER,RR END INR</v>
          </cell>
          <cell r="H260">
            <v>2</v>
          </cell>
          <cell r="I260">
            <v>2</v>
          </cell>
          <cell r="R260">
            <v>2</v>
          </cell>
          <cell r="AB260">
            <v>2</v>
          </cell>
          <cell r="AF260">
            <v>2</v>
          </cell>
          <cell r="AG260">
            <v>2</v>
          </cell>
          <cell r="AZ260" t="str">
            <v>T</v>
          </cell>
          <cell r="BA260" t="str">
            <v>부전(주)</v>
          </cell>
          <cell r="BB260" t="str">
            <v>H50C39K</v>
          </cell>
          <cell r="BD260" t="str">
            <v>K804</v>
          </cell>
          <cell r="BE260" t="str">
            <v>STD</v>
          </cell>
          <cell r="BI260" t="e">
            <v>#REF!</v>
          </cell>
          <cell r="BJ260" t="e">
            <v>#REF!</v>
          </cell>
          <cell r="BK260" t="e">
            <v>#REF!</v>
          </cell>
          <cell r="BL260" t="e">
            <v>#REF!</v>
          </cell>
        </row>
        <row r="261">
          <cell r="C261">
            <v>2584</v>
          </cell>
          <cell r="D261" t="str">
            <v>MB250932</v>
          </cell>
          <cell r="E261" t="str">
            <v xml:space="preserve"> REINF,B/DR CHECK</v>
          </cell>
          <cell r="G261">
            <v>1</v>
          </cell>
          <cell r="AZ261" t="str">
            <v>B</v>
          </cell>
          <cell r="BA261" t="str">
            <v>부전(주)</v>
          </cell>
          <cell r="BB261" t="str">
            <v>H50A17K</v>
          </cell>
          <cell r="BD261" t="str">
            <v>K804</v>
          </cell>
          <cell r="BE261" t="str">
            <v>ALL</v>
          </cell>
          <cell r="BI261">
            <v>0</v>
          </cell>
          <cell r="BJ261">
            <v>0</v>
          </cell>
          <cell r="BK261">
            <v>0</v>
          </cell>
          <cell r="BL261">
            <v>0</v>
          </cell>
        </row>
        <row r="262">
          <cell r="C262">
            <v>2584</v>
          </cell>
          <cell r="D262" t="str">
            <v>MB250933</v>
          </cell>
          <cell r="E262" t="str">
            <v xml:space="preserve"> REINF,B/DR HINGE,LWR</v>
          </cell>
          <cell r="G262">
            <v>1</v>
          </cell>
          <cell r="AZ262" t="str">
            <v>B</v>
          </cell>
          <cell r="BA262" t="str">
            <v>부전(주)</v>
          </cell>
          <cell r="BB262" t="str">
            <v>H50A17K</v>
          </cell>
          <cell r="BD262" t="str">
            <v>K804</v>
          </cell>
          <cell r="BE262" t="str">
            <v>ALL</v>
          </cell>
          <cell r="BI262">
            <v>0</v>
          </cell>
          <cell r="BJ262">
            <v>0</v>
          </cell>
          <cell r="BK262">
            <v>0</v>
          </cell>
          <cell r="BL262">
            <v>0</v>
          </cell>
        </row>
        <row r="263">
          <cell r="C263">
            <v>1384</v>
          </cell>
          <cell r="D263" t="str">
            <v>MB250935A</v>
          </cell>
          <cell r="E263" t="str">
            <v xml:space="preserve"> BRKT,RR S/BELT,LWR</v>
          </cell>
          <cell r="H263">
            <v>2</v>
          </cell>
          <cell r="L263">
            <v>2</v>
          </cell>
          <cell r="M263">
            <v>2</v>
          </cell>
          <cell r="N263">
            <v>2</v>
          </cell>
          <cell r="P263">
            <v>2</v>
          </cell>
          <cell r="R263">
            <v>2</v>
          </cell>
          <cell r="U263">
            <v>2</v>
          </cell>
          <cell r="W263">
            <v>2</v>
          </cell>
          <cell r="AB263">
            <v>2</v>
          </cell>
          <cell r="AC263">
            <v>2</v>
          </cell>
          <cell r="AD263">
            <v>2</v>
          </cell>
          <cell r="AF263">
            <v>2</v>
          </cell>
          <cell r="AH263">
            <v>2</v>
          </cell>
          <cell r="AL263">
            <v>2</v>
          </cell>
          <cell r="AM263">
            <v>2</v>
          </cell>
          <cell r="AN263">
            <v>2</v>
          </cell>
          <cell r="AO263">
            <v>2</v>
          </cell>
          <cell r="AP263">
            <v>2</v>
          </cell>
          <cell r="AW263">
            <v>2</v>
          </cell>
          <cell r="AZ263" t="str">
            <v>B</v>
          </cell>
          <cell r="BA263" t="str">
            <v>부전(주)</v>
          </cell>
          <cell r="BB263" t="str">
            <v>H50A17K</v>
          </cell>
          <cell r="BD263" t="str">
            <v>K804</v>
          </cell>
          <cell r="BE263" t="str">
            <v>S/B</v>
          </cell>
          <cell r="BI263">
            <v>98</v>
          </cell>
          <cell r="BJ263">
            <v>1078</v>
          </cell>
          <cell r="BK263">
            <v>56</v>
          </cell>
          <cell r="BL263">
            <v>4</v>
          </cell>
        </row>
        <row r="264">
          <cell r="C264">
            <v>2454</v>
          </cell>
          <cell r="D264" t="str">
            <v>MB250941A</v>
          </cell>
          <cell r="E264" t="str">
            <v xml:space="preserve"> BRKT(A)</v>
          </cell>
          <cell r="H264">
            <v>1</v>
          </cell>
          <cell r="I264">
            <v>1</v>
          </cell>
          <cell r="J264">
            <v>1</v>
          </cell>
          <cell r="K264">
            <v>1</v>
          </cell>
          <cell r="L264">
            <v>1</v>
          </cell>
          <cell r="M264">
            <v>1</v>
          </cell>
          <cell r="N264">
            <v>1</v>
          </cell>
          <cell r="O264">
            <v>1</v>
          </cell>
          <cell r="P264">
            <v>1</v>
          </cell>
          <cell r="Q264">
            <v>1</v>
          </cell>
          <cell r="R264">
            <v>1</v>
          </cell>
          <cell r="S264">
            <v>1</v>
          </cell>
          <cell r="T264">
            <v>1</v>
          </cell>
          <cell r="U264">
            <v>1</v>
          </cell>
          <cell r="V264">
            <v>1</v>
          </cell>
          <cell r="Y264">
            <v>1</v>
          </cell>
          <cell r="Z264">
            <v>1</v>
          </cell>
          <cell r="AA264">
            <v>1</v>
          </cell>
          <cell r="AB264">
            <v>1</v>
          </cell>
          <cell r="AC264">
            <v>1</v>
          </cell>
          <cell r="AD264">
            <v>1</v>
          </cell>
          <cell r="AF264">
            <v>1</v>
          </cell>
          <cell r="AG264">
            <v>1</v>
          </cell>
          <cell r="AJ264">
            <v>1</v>
          </cell>
          <cell r="AK264">
            <v>1</v>
          </cell>
          <cell r="AL264">
            <v>1</v>
          </cell>
          <cell r="AM264">
            <v>1</v>
          </cell>
          <cell r="AO264">
            <v>1</v>
          </cell>
          <cell r="AQ264">
            <v>1</v>
          </cell>
          <cell r="AS264">
            <v>1</v>
          </cell>
          <cell r="AU264">
            <v>1</v>
          </cell>
          <cell r="AV264">
            <v>1</v>
          </cell>
          <cell r="AX264">
            <v>1</v>
          </cell>
          <cell r="AZ264" t="str">
            <v>B</v>
          </cell>
          <cell r="BA264" t="str">
            <v>부전(주)</v>
          </cell>
          <cell r="BB264" t="str">
            <v>H50A13K</v>
          </cell>
          <cell r="BD264" t="str">
            <v>K804</v>
          </cell>
          <cell r="BI264">
            <v>937</v>
          </cell>
          <cell r="BJ264">
            <v>995</v>
          </cell>
          <cell r="BK264">
            <v>58</v>
          </cell>
          <cell r="BL264">
            <v>56</v>
          </cell>
        </row>
        <row r="265">
          <cell r="C265">
            <v>7752</v>
          </cell>
          <cell r="D265" t="str">
            <v>MB250941A</v>
          </cell>
          <cell r="E265" t="str">
            <v xml:space="preserve"> BRKT(A)</v>
          </cell>
          <cell r="G265">
            <v>3</v>
          </cell>
          <cell r="AZ265" t="str">
            <v>B</v>
          </cell>
          <cell r="BA265" t="str">
            <v>부전(주)</v>
          </cell>
          <cell r="BB265" t="str">
            <v>H50A17K</v>
          </cell>
          <cell r="BD265" t="str">
            <v>K804</v>
          </cell>
          <cell r="BE265" t="str">
            <v>ALL</v>
          </cell>
          <cell r="BI265">
            <v>0</v>
          </cell>
          <cell r="BJ265">
            <v>0</v>
          </cell>
          <cell r="BK265">
            <v>0</v>
          </cell>
          <cell r="BL265">
            <v>0</v>
          </cell>
        </row>
        <row r="266">
          <cell r="C266">
            <v>2584</v>
          </cell>
          <cell r="D266" t="str">
            <v>MB250993</v>
          </cell>
          <cell r="E266" t="str">
            <v xml:space="preserve"> PANEL WATER GUIDE,SIDE</v>
          </cell>
          <cell r="G266">
            <v>1</v>
          </cell>
          <cell r="AZ266" t="str">
            <v>B</v>
          </cell>
          <cell r="BA266" t="str">
            <v>부전(주)</v>
          </cell>
          <cell r="BB266" t="str">
            <v>H50A18K</v>
          </cell>
          <cell r="BD266" t="str">
            <v>K804</v>
          </cell>
          <cell r="BE266" t="str">
            <v>ALL</v>
          </cell>
          <cell r="BI266">
            <v>0</v>
          </cell>
          <cell r="BJ266">
            <v>0</v>
          </cell>
          <cell r="BK266">
            <v>0</v>
          </cell>
          <cell r="BL266">
            <v>0</v>
          </cell>
        </row>
        <row r="267">
          <cell r="C267">
            <v>2584</v>
          </cell>
          <cell r="D267" t="str">
            <v>MB250995A</v>
          </cell>
          <cell r="E267" t="str">
            <v xml:space="preserve"> BRKT,BLOWER A RH</v>
          </cell>
          <cell r="G267">
            <v>1</v>
          </cell>
          <cell r="AZ267" t="str">
            <v>B</v>
          </cell>
          <cell r="BA267" t="str">
            <v>부전(주)</v>
          </cell>
          <cell r="BB267" t="str">
            <v>H50A18K</v>
          </cell>
          <cell r="BD267" t="str">
            <v>K804</v>
          </cell>
          <cell r="BE267" t="str">
            <v>ALL</v>
          </cell>
          <cell r="BI267">
            <v>0</v>
          </cell>
          <cell r="BJ267">
            <v>0</v>
          </cell>
          <cell r="BK267">
            <v>0</v>
          </cell>
          <cell r="BL267">
            <v>0</v>
          </cell>
        </row>
        <row r="268">
          <cell r="C268">
            <v>559</v>
          </cell>
          <cell r="D268" t="str">
            <v>MB259087A</v>
          </cell>
          <cell r="E268" t="str">
            <v xml:space="preserve"> BRKT</v>
          </cell>
          <cell r="H268">
            <v>1</v>
          </cell>
          <cell r="I268">
            <v>1</v>
          </cell>
          <cell r="R268">
            <v>1</v>
          </cell>
          <cell r="AB268">
            <v>1</v>
          </cell>
          <cell r="AF268">
            <v>1</v>
          </cell>
          <cell r="AG268">
            <v>1</v>
          </cell>
          <cell r="AZ268" t="str">
            <v>T</v>
          </cell>
          <cell r="BA268" t="str">
            <v>부전(주)</v>
          </cell>
          <cell r="BB268" t="str">
            <v>H61D11K</v>
          </cell>
          <cell r="BD268" t="str">
            <v>K804</v>
          </cell>
          <cell r="BE268" t="str">
            <v>STD</v>
          </cell>
          <cell r="BI268" t="e">
            <v>#REF!</v>
          </cell>
          <cell r="BJ268" t="e">
            <v>#REF!</v>
          </cell>
          <cell r="BK268" t="e">
            <v>#REF!</v>
          </cell>
          <cell r="BL268" t="e">
            <v>#REF!</v>
          </cell>
        </row>
        <row r="269">
          <cell r="C269">
            <v>1693</v>
          </cell>
          <cell r="D269" t="str">
            <v>MB260659</v>
          </cell>
          <cell r="E269" t="str">
            <v xml:space="preserve"> STOPPER</v>
          </cell>
          <cell r="F269" t="str">
            <v>-431B</v>
          </cell>
          <cell r="I269">
            <v>1</v>
          </cell>
          <cell r="J269">
            <v>1</v>
          </cell>
          <cell r="K269">
            <v>1</v>
          </cell>
          <cell r="M269">
            <v>1</v>
          </cell>
          <cell r="R269">
            <v>1</v>
          </cell>
          <cell r="S269">
            <v>1</v>
          </cell>
          <cell r="T269">
            <v>1</v>
          </cell>
          <cell r="X269">
            <v>1</v>
          </cell>
          <cell r="Y269">
            <v>1</v>
          </cell>
          <cell r="AC269">
            <v>1</v>
          </cell>
          <cell r="AD269">
            <v>1</v>
          </cell>
          <cell r="AJ269">
            <v>1</v>
          </cell>
          <cell r="AK269">
            <v>1</v>
          </cell>
          <cell r="AL269">
            <v>1</v>
          </cell>
          <cell r="AM269">
            <v>1</v>
          </cell>
          <cell r="AQ269">
            <v>1</v>
          </cell>
          <cell r="AU269">
            <v>1</v>
          </cell>
          <cell r="AX269">
            <v>1</v>
          </cell>
          <cell r="AZ269" t="str">
            <v>T</v>
          </cell>
          <cell r="BA269" t="str">
            <v>부전(주)</v>
          </cell>
        </row>
        <row r="270">
          <cell r="C270">
            <v>5168</v>
          </cell>
          <cell r="D270" t="str">
            <v>MB270055</v>
          </cell>
          <cell r="E270" t="str">
            <v xml:space="preserve"> BRKT-HHOD BUMPER</v>
          </cell>
          <cell r="I270">
            <v>2</v>
          </cell>
          <cell r="J270">
            <v>2</v>
          </cell>
          <cell r="K270">
            <v>2</v>
          </cell>
          <cell r="M270">
            <v>2</v>
          </cell>
          <cell r="N270">
            <v>2</v>
          </cell>
          <cell r="O270">
            <v>2</v>
          </cell>
          <cell r="P270">
            <v>2</v>
          </cell>
          <cell r="Q270">
            <v>2</v>
          </cell>
          <cell r="R270">
            <v>2</v>
          </cell>
          <cell r="S270">
            <v>2</v>
          </cell>
          <cell r="T270">
            <v>2</v>
          </cell>
          <cell r="W270">
            <v>2</v>
          </cell>
          <cell r="X270">
            <v>2</v>
          </cell>
          <cell r="AC270">
            <v>2</v>
          </cell>
          <cell r="AD270">
            <v>2</v>
          </cell>
          <cell r="AE270">
            <v>2</v>
          </cell>
          <cell r="AH270">
            <v>2</v>
          </cell>
          <cell r="AI270">
            <v>2</v>
          </cell>
          <cell r="AJ270">
            <v>2</v>
          </cell>
          <cell r="AK270">
            <v>2</v>
          </cell>
          <cell r="AL270">
            <v>2</v>
          </cell>
          <cell r="AM270">
            <v>2</v>
          </cell>
          <cell r="AN270">
            <v>2</v>
          </cell>
          <cell r="AO270">
            <v>2</v>
          </cell>
          <cell r="AQ270">
            <v>2</v>
          </cell>
          <cell r="AR270">
            <v>2</v>
          </cell>
          <cell r="AS270">
            <v>2</v>
          </cell>
          <cell r="AU270">
            <v>2</v>
          </cell>
          <cell r="AW270">
            <v>2</v>
          </cell>
          <cell r="AX270">
            <v>2</v>
          </cell>
          <cell r="AY270">
            <v>2</v>
          </cell>
          <cell r="AZ270" t="str">
            <v>T</v>
          </cell>
          <cell r="BA270" t="str">
            <v>부전(주)</v>
          </cell>
        </row>
        <row r="271">
          <cell r="C271">
            <v>692</v>
          </cell>
          <cell r="D271" t="str">
            <v>MB274052</v>
          </cell>
          <cell r="E271" t="str">
            <v xml:space="preserve"> COVER,SIDE,RR,RH</v>
          </cell>
          <cell r="H271">
            <v>1</v>
          </cell>
          <cell r="L271">
            <v>1</v>
          </cell>
          <cell r="M271">
            <v>1</v>
          </cell>
          <cell r="N271">
            <v>1</v>
          </cell>
          <cell r="P271">
            <v>1</v>
          </cell>
          <cell r="R271">
            <v>1</v>
          </cell>
          <cell r="U271">
            <v>1</v>
          </cell>
          <cell r="W271">
            <v>1</v>
          </cell>
          <cell r="AB271">
            <v>1</v>
          </cell>
          <cell r="AC271">
            <v>1</v>
          </cell>
          <cell r="AD271">
            <v>1</v>
          </cell>
          <cell r="AF271">
            <v>1</v>
          </cell>
          <cell r="AH271">
            <v>1</v>
          </cell>
          <cell r="AL271">
            <v>1</v>
          </cell>
          <cell r="AM271">
            <v>1</v>
          </cell>
          <cell r="AN271">
            <v>1</v>
          </cell>
          <cell r="AO271">
            <v>1</v>
          </cell>
          <cell r="AP271">
            <v>1</v>
          </cell>
          <cell r="AW271">
            <v>1</v>
          </cell>
          <cell r="AZ271" t="str">
            <v>B</v>
          </cell>
          <cell r="BA271" t="str">
            <v>부전(주)</v>
          </cell>
          <cell r="BB271" t="str">
            <v>H50A17K</v>
          </cell>
          <cell r="BD271" t="str">
            <v>K804</v>
          </cell>
          <cell r="BE271" t="str">
            <v>S/B</v>
          </cell>
          <cell r="BI271">
            <v>49</v>
          </cell>
          <cell r="BJ271">
            <v>539</v>
          </cell>
          <cell r="BK271">
            <v>28</v>
          </cell>
          <cell r="BL271">
            <v>2</v>
          </cell>
        </row>
        <row r="272">
          <cell r="C272">
            <v>2584</v>
          </cell>
          <cell r="D272" t="str">
            <v>MB274077</v>
          </cell>
          <cell r="E272" t="str">
            <v xml:space="preserve"> BRKT,RAD SUPT LH</v>
          </cell>
          <cell r="G272">
            <v>1</v>
          </cell>
          <cell r="AZ272" t="str">
            <v>B</v>
          </cell>
          <cell r="BA272" t="str">
            <v>부전(주)</v>
          </cell>
          <cell r="BB272" t="str">
            <v>H50A15K</v>
          </cell>
          <cell r="BD272" t="str">
            <v>K804</v>
          </cell>
          <cell r="BE272" t="str">
            <v>ALL</v>
          </cell>
          <cell r="BI272">
            <v>0</v>
          </cell>
          <cell r="BJ272">
            <v>0</v>
          </cell>
          <cell r="BK272">
            <v>0</v>
          </cell>
          <cell r="BL272">
            <v>0</v>
          </cell>
        </row>
        <row r="273">
          <cell r="C273">
            <v>2584</v>
          </cell>
          <cell r="D273" t="str">
            <v>MB274079</v>
          </cell>
          <cell r="E273" t="str">
            <v xml:space="preserve"> REINF,H/LP SUPT LH</v>
          </cell>
          <cell r="G273">
            <v>1</v>
          </cell>
          <cell r="AZ273" t="str">
            <v>B</v>
          </cell>
          <cell r="BA273" t="str">
            <v>부전(주)</v>
          </cell>
          <cell r="BB273" t="str">
            <v>H50A15K</v>
          </cell>
          <cell r="BD273" t="str">
            <v>K804</v>
          </cell>
          <cell r="BE273" t="str">
            <v>ALL</v>
          </cell>
          <cell r="BI273">
            <v>0</v>
          </cell>
          <cell r="BJ273">
            <v>0</v>
          </cell>
          <cell r="BK273">
            <v>0</v>
          </cell>
          <cell r="BL273">
            <v>0</v>
          </cell>
        </row>
        <row r="274">
          <cell r="C274">
            <v>2584</v>
          </cell>
          <cell r="D274" t="str">
            <v>MB274083A</v>
          </cell>
          <cell r="E274" t="str">
            <v xml:space="preserve"> PLATE LH</v>
          </cell>
          <cell r="G274">
            <v>1</v>
          </cell>
          <cell r="AZ274" t="str">
            <v>B</v>
          </cell>
          <cell r="BA274" t="str">
            <v>부전(주)</v>
          </cell>
          <cell r="BB274" t="str">
            <v>H50A13K</v>
          </cell>
          <cell r="BD274" t="str">
            <v>K804</v>
          </cell>
          <cell r="BE274" t="str">
            <v>ALL</v>
          </cell>
          <cell r="BI274">
            <v>0</v>
          </cell>
          <cell r="BJ274">
            <v>0</v>
          </cell>
          <cell r="BK274">
            <v>0</v>
          </cell>
          <cell r="BL274">
            <v>0</v>
          </cell>
        </row>
        <row r="275">
          <cell r="C275">
            <v>2584</v>
          </cell>
          <cell r="D275" t="str">
            <v>MB274086</v>
          </cell>
          <cell r="E275" t="str">
            <v xml:space="preserve"> PLATE,W/GUIDE RH</v>
          </cell>
          <cell r="G275">
            <v>1</v>
          </cell>
          <cell r="AZ275" t="str">
            <v>B</v>
          </cell>
          <cell r="BA275" t="str">
            <v>부전(주)</v>
          </cell>
          <cell r="BB275" t="str">
            <v>H50A18K</v>
          </cell>
          <cell r="BD275" t="str">
            <v>K804</v>
          </cell>
          <cell r="BE275" t="str">
            <v>ALL</v>
          </cell>
          <cell r="BI275">
            <v>0</v>
          </cell>
          <cell r="BJ275">
            <v>0</v>
          </cell>
          <cell r="BK275">
            <v>0</v>
          </cell>
          <cell r="BL275">
            <v>0</v>
          </cell>
        </row>
        <row r="276">
          <cell r="C276">
            <v>2584</v>
          </cell>
          <cell r="D276" t="str">
            <v>MB274138</v>
          </cell>
          <cell r="E276" t="str">
            <v xml:space="preserve"> BAFFLE PLATE</v>
          </cell>
          <cell r="F276" t="str">
            <v>-651A</v>
          </cell>
          <cell r="G276">
            <v>1</v>
          </cell>
          <cell r="AZ276" t="str">
            <v>B</v>
          </cell>
          <cell r="BA276" t="str">
            <v>부전(주)</v>
          </cell>
          <cell r="BB276" t="str">
            <v>H50A14K</v>
          </cell>
          <cell r="BD276" t="str">
            <v>K804</v>
          </cell>
          <cell r="BE276" t="str">
            <v>ALL</v>
          </cell>
          <cell r="BI276">
            <v>0</v>
          </cell>
          <cell r="BJ276">
            <v>0</v>
          </cell>
          <cell r="BK276">
            <v>0</v>
          </cell>
          <cell r="BL276">
            <v>0</v>
          </cell>
        </row>
        <row r="277">
          <cell r="C277">
            <v>2453</v>
          </cell>
          <cell r="D277" t="str">
            <v>MB274143A</v>
          </cell>
          <cell r="E277" t="str">
            <v xml:space="preserve"> BRKT,CYCLONE A/C(A)</v>
          </cell>
          <cell r="H277">
            <v>1</v>
          </cell>
          <cell r="I277">
            <v>1</v>
          </cell>
          <cell r="J277">
            <v>1</v>
          </cell>
          <cell r="K277">
            <v>1</v>
          </cell>
          <cell r="L277">
            <v>1</v>
          </cell>
          <cell r="M277">
            <v>1</v>
          </cell>
          <cell r="N277">
            <v>1</v>
          </cell>
          <cell r="O277">
            <v>1</v>
          </cell>
          <cell r="P277">
            <v>1</v>
          </cell>
          <cell r="Q277">
            <v>1</v>
          </cell>
          <cell r="R277">
            <v>1</v>
          </cell>
          <cell r="S277">
            <v>1</v>
          </cell>
          <cell r="T277">
            <v>1</v>
          </cell>
          <cell r="U277">
            <v>1</v>
          </cell>
          <cell r="V277">
            <v>1</v>
          </cell>
          <cell r="Y277">
            <v>1</v>
          </cell>
          <cell r="Z277">
            <v>1</v>
          </cell>
          <cell r="AA277">
            <v>1</v>
          </cell>
          <cell r="AB277">
            <v>1</v>
          </cell>
          <cell r="AC277">
            <v>1</v>
          </cell>
          <cell r="AD277">
            <v>1</v>
          </cell>
          <cell r="AF277">
            <v>1</v>
          </cell>
          <cell r="AG277">
            <v>1</v>
          </cell>
          <cell r="AJ277">
            <v>1</v>
          </cell>
          <cell r="AL277">
            <v>1</v>
          </cell>
          <cell r="AM277">
            <v>1</v>
          </cell>
          <cell r="AO277">
            <v>1</v>
          </cell>
          <cell r="AQ277">
            <v>1</v>
          </cell>
          <cell r="AS277">
            <v>1</v>
          </cell>
          <cell r="AU277">
            <v>1</v>
          </cell>
          <cell r="AV277">
            <v>1</v>
          </cell>
          <cell r="AZ277" t="str">
            <v>B</v>
          </cell>
          <cell r="BA277" t="str">
            <v>부전(주)</v>
          </cell>
          <cell r="BB277" t="str">
            <v>H50A14K</v>
          </cell>
          <cell r="BD277" t="str">
            <v>K804</v>
          </cell>
          <cell r="BI277">
            <v>937</v>
          </cell>
          <cell r="BJ277">
            <v>995</v>
          </cell>
          <cell r="BK277">
            <v>57</v>
          </cell>
          <cell r="BL277">
            <v>56</v>
          </cell>
        </row>
        <row r="278">
          <cell r="C278">
            <v>2453</v>
          </cell>
          <cell r="D278" t="str">
            <v>MB274144A</v>
          </cell>
          <cell r="E278" t="str">
            <v xml:space="preserve"> BRKT,CYCLONE A/C(B)</v>
          </cell>
          <cell r="H278">
            <v>1</v>
          </cell>
          <cell r="I278">
            <v>1</v>
          </cell>
          <cell r="J278">
            <v>1</v>
          </cell>
          <cell r="K278">
            <v>1</v>
          </cell>
          <cell r="L278">
            <v>1</v>
          </cell>
          <cell r="M278">
            <v>1</v>
          </cell>
          <cell r="N278">
            <v>1</v>
          </cell>
          <cell r="O278">
            <v>1</v>
          </cell>
          <cell r="P278">
            <v>1</v>
          </cell>
          <cell r="Q278">
            <v>1</v>
          </cell>
          <cell r="R278">
            <v>1</v>
          </cell>
          <cell r="S278">
            <v>1</v>
          </cell>
          <cell r="T278">
            <v>1</v>
          </cell>
          <cell r="U278">
            <v>1</v>
          </cell>
          <cell r="V278">
            <v>1</v>
          </cell>
          <cell r="Y278">
            <v>1</v>
          </cell>
          <cell r="Z278">
            <v>1</v>
          </cell>
          <cell r="AA278">
            <v>1</v>
          </cell>
          <cell r="AB278">
            <v>1</v>
          </cell>
          <cell r="AC278">
            <v>1</v>
          </cell>
          <cell r="AD278">
            <v>1</v>
          </cell>
          <cell r="AF278">
            <v>1</v>
          </cell>
          <cell r="AG278">
            <v>1</v>
          </cell>
          <cell r="AJ278">
            <v>1</v>
          </cell>
          <cell r="AL278">
            <v>1</v>
          </cell>
          <cell r="AM278">
            <v>1</v>
          </cell>
          <cell r="AO278">
            <v>1</v>
          </cell>
          <cell r="AQ278">
            <v>1</v>
          </cell>
          <cell r="AS278">
            <v>1</v>
          </cell>
          <cell r="AU278">
            <v>1</v>
          </cell>
          <cell r="AV278">
            <v>1</v>
          </cell>
          <cell r="AZ278" t="str">
            <v>B</v>
          </cell>
          <cell r="BA278" t="str">
            <v>부전(주)</v>
          </cell>
          <cell r="BB278" t="str">
            <v>H50A14K</v>
          </cell>
          <cell r="BD278" t="str">
            <v>K804</v>
          </cell>
          <cell r="BI278">
            <v>937</v>
          </cell>
          <cell r="BJ278">
            <v>995</v>
          </cell>
          <cell r="BK278">
            <v>57</v>
          </cell>
          <cell r="BL278">
            <v>56</v>
          </cell>
        </row>
        <row r="279">
          <cell r="C279">
            <v>2584</v>
          </cell>
          <cell r="D279" t="str">
            <v>MB274185</v>
          </cell>
          <cell r="E279" t="str">
            <v xml:space="preserve"> PIPE-H/LORK CABLE PROT</v>
          </cell>
          <cell r="I279">
            <v>1</v>
          </cell>
          <cell r="J279">
            <v>1</v>
          </cell>
          <cell r="K279">
            <v>1</v>
          </cell>
          <cell r="M279">
            <v>1</v>
          </cell>
          <cell r="N279">
            <v>1</v>
          </cell>
          <cell r="O279">
            <v>1</v>
          </cell>
          <cell r="P279">
            <v>1</v>
          </cell>
          <cell r="Q279">
            <v>1</v>
          </cell>
          <cell r="R279">
            <v>1</v>
          </cell>
          <cell r="S279">
            <v>1</v>
          </cell>
          <cell r="T279">
            <v>1</v>
          </cell>
          <cell r="W279">
            <v>1</v>
          </cell>
          <cell r="X279">
            <v>1</v>
          </cell>
          <cell r="AC279">
            <v>1</v>
          </cell>
          <cell r="AD279">
            <v>1</v>
          </cell>
          <cell r="AE279">
            <v>1</v>
          </cell>
          <cell r="AH279">
            <v>1</v>
          </cell>
          <cell r="AI279">
            <v>1</v>
          </cell>
          <cell r="AJ279">
            <v>1</v>
          </cell>
          <cell r="AK279">
            <v>1</v>
          </cell>
          <cell r="AL279">
            <v>1</v>
          </cell>
          <cell r="AM279">
            <v>1</v>
          </cell>
          <cell r="AN279">
            <v>1</v>
          </cell>
          <cell r="AO279">
            <v>1</v>
          </cell>
          <cell r="AQ279">
            <v>1</v>
          </cell>
          <cell r="AR279">
            <v>1</v>
          </cell>
          <cell r="AS279">
            <v>1</v>
          </cell>
          <cell r="AU279">
            <v>1</v>
          </cell>
          <cell r="AW279">
            <v>1</v>
          </cell>
          <cell r="AX279">
            <v>1</v>
          </cell>
          <cell r="AY279">
            <v>1</v>
          </cell>
          <cell r="AZ279" t="str">
            <v>T</v>
          </cell>
          <cell r="BA279" t="str">
            <v>부전(주)</v>
          </cell>
        </row>
        <row r="280">
          <cell r="C280">
            <v>2584</v>
          </cell>
          <cell r="D280" t="str">
            <v>MB274535</v>
          </cell>
          <cell r="E280" t="str">
            <v xml:space="preserve"> REINF,DECK OTR LH</v>
          </cell>
          <cell r="G280">
            <v>1</v>
          </cell>
          <cell r="AZ280" t="str">
            <v>B</v>
          </cell>
          <cell r="BA280" t="str">
            <v>부전(주)</v>
          </cell>
          <cell r="BB280" t="str">
            <v>H50A18K</v>
          </cell>
          <cell r="BD280" t="str">
            <v>K804</v>
          </cell>
          <cell r="BE280" t="str">
            <v>ALL</v>
          </cell>
          <cell r="BI280">
            <v>0</v>
          </cell>
          <cell r="BJ280">
            <v>0</v>
          </cell>
          <cell r="BK280">
            <v>0</v>
          </cell>
          <cell r="BL280">
            <v>0</v>
          </cell>
        </row>
        <row r="281">
          <cell r="C281">
            <v>2584</v>
          </cell>
          <cell r="D281" t="str">
            <v>MB274536</v>
          </cell>
          <cell r="E281" t="str">
            <v xml:space="preserve"> REINF,DECK OTR RH</v>
          </cell>
          <cell r="G281">
            <v>1</v>
          </cell>
          <cell r="AZ281" t="str">
            <v>B</v>
          </cell>
          <cell r="BA281" t="str">
            <v>부전(주)</v>
          </cell>
          <cell r="BB281" t="str">
            <v>H50A18K</v>
          </cell>
          <cell r="BD281" t="str">
            <v>K804</v>
          </cell>
          <cell r="BE281" t="str">
            <v>ALL</v>
          </cell>
          <cell r="BI281">
            <v>0</v>
          </cell>
          <cell r="BJ281">
            <v>0</v>
          </cell>
          <cell r="BK281">
            <v>0</v>
          </cell>
          <cell r="BL281">
            <v>0</v>
          </cell>
        </row>
        <row r="282">
          <cell r="C282">
            <v>1413</v>
          </cell>
          <cell r="D282" t="str">
            <v>MB274554A</v>
          </cell>
          <cell r="E282" t="str">
            <v xml:space="preserve"> COVER,SHIFT LEVER HOLE(A/T)</v>
          </cell>
          <cell r="F282" t="str">
            <v>+431</v>
          </cell>
          <cell r="K282">
            <v>1</v>
          </cell>
          <cell r="M282">
            <v>1</v>
          </cell>
          <cell r="N282">
            <v>1</v>
          </cell>
          <cell r="O282">
            <v>1</v>
          </cell>
          <cell r="P282">
            <v>1</v>
          </cell>
          <cell r="Q282">
            <v>1</v>
          </cell>
          <cell r="T282">
            <v>1</v>
          </cell>
          <cell r="W282">
            <v>1</v>
          </cell>
          <cell r="X282">
            <v>1</v>
          </cell>
          <cell r="Z282">
            <v>1</v>
          </cell>
          <cell r="AD282">
            <v>1</v>
          </cell>
          <cell r="AE282">
            <v>1</v>
          </cell>
          <cell r="AH282">
            <v>1</v>
          </cell>
          <cell r="AI282">
            <v>1</v>
          </cell>
          <cell r="AO282">
            <v>1</v>
          </cell>
          <cell r="AP282">
            <v>1</v>
          </cell>
          <cell r="AS282">
            <v>1</v>
          </cell>
          <cell r="AT282">
            <v>1</v>
          </cell>
          <cell r="AW282">
            <v>1</v>
          </cell>
          <cell r="AZ282" t="str">
            <v>B</v>
          </cell>
          <cell r="BA282" t="str">
            <v>부전(주)</v>
          </cell>
          <cell r="BB282" t="str">
            <v>H50A11K01-6,7,10,11,14^17</v>
          </cell>
          <cell r="BC282" t="str">
            <v>D</v>
          </cell>
          <cell r="BD282" t="str">
            <v>K804</v>
          </cell>
          <cell r="BE282" t="str">
            <v>AT</v>
          </cell>
          <cell r="BI282">
            <v>684</v>
          </cell>
          <cell r="BJ282">
            <v>237</v>
          </cell>
          <cell r="BK282">
            <v>61</v>
          </cell>
          <cell r="BL282">
            <v>31</v>
          </cell>
        </row>
        <row r="283">
          <cell r="C283">
            <v>2584</v>
          </cell>
          <cell r="D283" t="str">
            <v>MB274579A</v>
          </cell>
          <cell r="E283" t="str">
            <v xml:space="preserve"> REINF CHECK</v>
          </cell>
          <cell r="G283">
            <v>1</v>
          </cell>
          <cell r="AZ283" t="str">
            <v>B</v>
          </cell>
          <cell r="BA283" t="str">
            <v>부전(주)</v>
          </cell>
          <cell r="BB283" t="str">
            <v>H50B33K</v>
          </cell>
          <cell r="BD283" t="str">
            <v>K804</v>
          </cell>
          <cell r="BE283" t="str">
            <v>ALL</v>
          </cell>
          <cell r="BI283">
            <v>0</v>
          </cell>
          <cell r="BJ283">
            <v>0</v>
          </cell>
          <cell r="BK283">
            <v>0</v>
          </cell>
          <cell r="BL283">
            <v>0</v>
          </cell>
        </row>
        <row r="284">
          <cell r="C284">
            <v>692</v>
          </cell>
          <cell r="D284" t="str">
            <v>MB274631</v>
          </cell>
          <cell r="E284" t="str">
            <v xml:space="preserve"> REINF,FR PILLAR LH</v>
          </cell>
          <cell r="H284">
            <v>1</v>
          </cell>
          <cell r="L284">
            <v>1</v>
          </cell>
          <cell r="M284">
            <v>1</v>
          </cell>
          <cell r="N284">
            <v>1</v>
          </cell>
          <cell r="P284">
            <v>1</v>
          </cell>
          <cell r="R284">
            <v>1</v>
          </cell>
          <cell r="U284">
            <v>1</v>
          </cell>
          <cell r="W284">
            <v>1</v>
          </cell>
          <cell r="AB284">
            <v>1</v>
          </cell>
          <cell r="AC284">
            <v>1</v>
          </cell>
          <cell r="AD284">
            <v>1</v>
          </cell>
          <cell r="AF284">
            <v>1</v>
          </cell>
          <cell r="AH284">
            <v>1</v>
          </cell>
          <cell r="AL284">
            <v>1</v>
          </cell>
          <cell r="AM284">
            <v>1</v>
          </cell>
          <cell r="AN284">
            <v>1</v>
          </cell>
          <cell r="AO284">
            <v>1</v>
          </cell>
          <cell r="AP284">
            <v>1</v>
          </cell>
          <cell r="AW284">
            <v>1</v>
          </cell>
          <cell r="AZ284" t="str">
            <v>B</v>
          </cell>
          <cell r="BA284" t="str">
            <v>부전(주)</v>
          </cell>
          <cell r="BB284" t="str">
            <v>H50A16K</v>
          </cell>
          <cell r="BD284" t="str">
            <v>K804</v>
          </cell>
          <cell r="BE284" t="str">
            <v>S/B</v>
          </cell>
          <cell r="BI284">
            <v>49</v>
          </cell>
          <cell r="BJ284">
            <v>539</v>
          </cell>
          <cell r="BK284">
            <v>28</v>
          </cell>
          <cell r="BL284">
            <v>2</v>
          </cell>
        </row>
        <row r="285">
          <cell r="C285">
            <v>692</v>
          </cell>
          <cell r="D285" t="str">
            <v>MB274632</v>
          </cell>
          <cell r="E285" t="str">
            <v xml:space="preserve"> REINF,FR PILLAR RH</v>
          </cell>
          <cell r="H285">
            <v>1</v>
          </cell>
          <cell r="L285">
            <v>1</v>
          </cell>
          <cell r="M285">
            <v>1</v>
          </cell>
          <cell r="N285">
            <v>1</v>
          </cell>
          <cell r="P285">
            <v>1</v>
          </cell>
          <cell r="R285">
            <v>1</v>
          </cell>
          <cell r="U285">
            <v>1</v>
          </cell>
          <cell r="W285">
            <v>1</v>
          </cell>
          <cell r="AB285">
            <v>1</v>
          </cell>
          <cell r="AC285">
            <v>1</v>
          </cell>
          <cell r="AD285">
            <v>1</v>
          </cell>
          <cell r="AF285">
            <v>1</v>
          </cell>
          <cell r="AH285">
            <v>1</v>
          </cell>
          <cell r="AL285">
            <v>1</v>
          </cell>
          <cell r="AM285">
            <v>1</v>
          </cell>
          <cell r="AN285">
            <v>1</v>
          </cell>
          <cell r="AO285">
            <v>1</v>
          </cell>
          <cell r="AP285">
            <v>1</v>
          </cell>
          <cell r="AW285">
            <v>1</v>
          </cell>
          <cell r="AZ285" t="str">
            <v>B</v>
          </cell>
          <cell r="BA285" t="str">
            <v>부전(주)</v>
          </cell>
          <cell r="BB285" t="str">
            <v>H50A16K</v>
          </cell>
          <cell r="BD285" t="str">
            <v>K804</v>
          </cell>
          <cell r="BE285" t="str">
            <v>S/B</v>
          </cell>
          <cell r="BI285">
            <v>49</v>
          </cell>
          <cell r="BJ285">
            <v>539</v>
          </cell>
          <cell r="BK285">
            <v>28</v>
          </cell>
          <cell r="BL285">
            <v>2</v>
          </cell>
        </row>
        <row r="286">
          <cell r="C286">
            <v>692</v>
          </cell>
          <cell r="D286" t="str">
            <v>MB274633</v>
          </cell>
          <cell r="E286" t="str">
            <v xml:space="preserve"> REINF,RR W/HSE</v>
          </cell>
          <cell r="H286">
            <v>1</v>
          </cell>
          <cell r="L286">
            <v>1</v>
          </cell>
          <cell r="M286">
            <v>1</v>
          </cell>
          <cell r="N286">
            <v>1</v>
          </cell>
          <cell r="P286">
            <v>1</v>
          </cell>
          <cell r="R286">
            <v>1</v>
          </cell>
          <cell r="U286">
            <v>1</v>
          </cell>
          <cell r="W286">
            <v>1</v>
          </cell>
          <cell r="AB286">
            <v>1</v>
          </cell>
          <cell r="AC286">
            <v>1</v>
          </cell>
          <cell r="AD286">
            <v>1</v>
          </cell>
          <cell r="AF286">
            <v>1</v>
          </cell>
          <cell r="AH286">
            <v>1</v>
          </cell>
          <cell r="AL286">
            <v>1</v>
          </cell>
          <cell r="AM286">
            <v>1</v>
          </cell>
          <cell r="AN286">
            <v>1</v>
          </cell>
          <cell r="AO286">
            <v>1</v>
          </cell>
          <cell r="AP286">
            <v>1</v>
          </cell>
          <cell r="AW286">
            <v>1</v>
          </cell>
          <cell r="AZ286" t="str">
            <v>B</v>
          </cell>
          <cell r="BA286" t="str">
            <v>부전(주)</v>
          </cell>
          <cell r="BB286" t="str">
            <v>H50A17K</v>
          </cell>
          <cell r="BD286" t="str">
            <v>K804</v>
          </cell>
          <cell r="BE286" t="str">
            <v>S/B</v>
          </cell>
          <cell r="BI286">
            <v>49</v>
          </cell>
          <cell r="BJ286">
            <v>539</v>
          </cell>
          <cell r="BK286">
            <v>28</v>
          </cell>
          <cell r="BL286">
            <v>2</v>
          </cell>
        </row>
        <row r="287">
          <cell r="C287">
            <v>692</v>
          </cell>
          <cell r="D287" t="str">
            <v>MB274634</v>
          </cell>
          <cell r="E287" t="str">
            <v xml:space="preserve"> REINF,RR W/HSE</v>
          </cell>
          <cell r="H287">
            <v>1</v>
          </cell>
          <cell r="L287">
            <v>1</v>
          </cell>
          <cell r="M287">
            <v>1</v>
          </cell>
          <cell r="N287">
            <v>1</v>
          </cell>
          <cell r="P287">
            <v>1</v>
          </cell>
          <cell r="R287">
            <v>1</v>
          </cell>
          <cell r="U287">
            <v>1</v>
          </cell>
          <cell r="W287">
            <v>1</v>
          </cell>
          <cell r="AB287">
            <v>1</v>
          </cell>
          <cell r="AC287">
            <v>1</v>
          </cell>
          <cell r="AD287">
            <v>1</v>
          </cell>
          <cell r="AF287">
            <v>1</v>
          </cell>
          <cell r="AH287">
            <v>1</v>
          </cell>
          <cell r="AL287">
            <v>1</v>
          </cell>
          <cell r="AM287">
            <v>1</v>
          </cell>
          <cell r="AN287">
            <v>1</v>
          </cell>
          <cell r="AO287">
            <v>1</v>
          </cell>
          <cell r="AP287">
            <v>1</v>
          </cell>
          <cell r="AW287">
            <v>1</v>
          </cell>
          <cell r="AZ287" t="str">
            <v>B</v>
          </cell>
          <cell r="BA287" t="str">
            <v>부전(주)</v>
          </cell>
          <cell r="BB287" t="str">
            <v>H50A17K</v>
          </cell>
          <cell r="BD287" t="str">
            <v>K804</v>
          </cell>
          <cell r="BE287" t="str">
            <v>S/B</v>
          </cell>
          <cell r="BI287">
            <v>49</v>
          </cell>
          <cell r="BJ287">
            <v>539</v>
          </cell>
          <cell r="BK287">
            <v>28</v>
          </cell>
          <cell r="BL287">
            <v>2</v>
          </cell>
        </row>
        <row r="288">
          <cell r="C288">
            <v>2337</v>
          </cell>
          <cell r="D288" t="str">
            <v>MB274661A</v>
          </cell>
          <cell r="E288" t="str">
            <v xml:space="preserve"> REINF,FENDER SHIELD RR LH</v>
          </cell>
          <cell r="F288" t="str">
            <v>-561A</v>
          </cell>
          <cell r="H288">
            <v>1</v>
          </cell>
          <cell r="I288">
            <v>1</v>
          </cell>
          <cell r="J288">
            <v>1</v>
          </cell>
          <cell r="K288">
            <v>1</v>
          </cell>
          <cell r="L288">
            <v>1</v>
          </cell>
          <cell r="M288">
            <v>1</v>
          </cell>
          <cell r="N288">
            <v>1</v>
          </cell>
          <cell r="O288">
            <v>1</v>
          </cell>
          <cell r="P288">
            <v>1</v>
          </cell>
          <cell r="Q288">
            <v>1</v>
          </cell>
          <cell r="R288">
            <v>1</v>
          </cell>
          <cell r="S288">
            <v>1</v>
          </cell>
          <cell r="T288">
            <v>1</v>
          </cell>
          <cell r="U288">
            <v>1</v>
          </cell>
          <cell r="V288">
            <v>1</v>
          </cell>
          <cell r="W288">
            <v>1</v>
          </cell>
          <cell r="X288">
            <v>1</v>
          </cell>
          <cell r="Y288">
            <v>1</v>
          </cell>
          <cell r="Z288">
            <v>1</v>
          </cell>
          <cell r="AA288">
            <v>1</v>
          </cell>
          <cell r="AB288">
            <v>1</v>
          </cell>
          <cell r="AC288">
            <v>1</v>
          </cell>
          <cell r="AD288">
            <v>1</v>
          </cell>
          <cell r="AZ288" t="str">
            <v>B</v>
          </cell>
          <cell r="BA288" t="str">
            <v>부전(주)</v>
          </cell>
          <cell r="BB288" t="str">
            <v>H50A14K</v>
          </cell>
          <cell r="BD288" t="str">
            <v>K804</v>
          </cell>
          <cell r="BE288" t="str">
            <v>ALL</v>
          </cell>
          <cell r="BI288">
            <v>937</v>
          </cell>
          <cell r="BJ288">
            <v>997</v>
          </cell>
          <cell r="BK288">
            <v>0</v>
          </cell>
          <cell r="BL288">
            <v>0</v>
          </cell>
        </row>
        <row r="289">
          <cell r="C289">
            <v>2337</v>
          </cell>
          <cell r="D289" t="str">
            <v>MB274662A</v>
          </cell>
          <cell r="E289" t="str">
            <v xml:space="preserve"> REINF,FENDER SHIELD,RR RH</v>
          </cell>
          <cell r="F289" t="str">
            <v>-561A</v>
          </cell>
          <cell r="H289">
            <v>1</v>
          </cell>
          <cell r="I289">
            <v>1</v>
          </cell>
          <cell r="J289">
            <v>1</v>
          </cell>
          <cell r="K289">
            <v>1</v>
          </cell>
          <cell r="L289">
            <v>1</v>
          </cell>
          <cell r="M289">
            <v>1</v>
          </cell>
          <cell r="N289">
            <v>1</v>
          </cell>
          <cell r="O289">
            <v>1</v>
          </cell>
          <cell r="P289">
            <v>1</v>
          </cell>
          <cell r="Q289">
            <v>1</v>
          </cell>
          <cell r="R289">
            <v>1</v>
          </cell>
          <cell r="S289">
            <v>1</v>
          </cell>
          <cell r="T289">
            <v>1</v>
          </cell>
          <cell r="U289">
            <v>1</v>
          </cell>
          <cell r="V289">
            <v>1</v>
          </cell>
          <cell r="W289">
            <v>1</v>
          </cell>
          <cell r="X289">
            <v>1</v>
          </cell>
          <cell r="Y289">
            <v>1</v>
          </cell>
          <cell r="Z289">
            <v>1</v>
          </cell>
          <cell r="AA289">
            <v>1</v>
          </cell>
          <cell r="AB289">
            <v>1</v>
          </cell>
          <cell r="AC289">
            <v>1</v>
          </cell>
          <cell r="AD289">
            <v>1</v>
          </cell>
          <cell r="AZ289" t="str">
            <v>B</v>
          </cell>
          <cell r="BA289" t="str">
            <v>부전(주)</v>
          </cell>
          <cell r="BB289" t="str">
            <v>H50A14K</v>
          </cell>
          <cell r="BD289" t="str">
            <v>K804</v>
          </cell>
          <cell r="BE289" t="str">
            <v>ALL</v>
          </cell>
          <cell r="BI289">
            <v>937</v>
          </cell>
          <cell r="BJ289">
            <v>997</v>
          </cell>
          <cell r="BK289">
            <v>0</v>
          </cell>
          <cell r="BL289">
            <v>0</v>
          </cell>
        </row>
        <row r="290">
          <cell r="C290">
            <v>2584</v>
          </cell>
          <cell r="D290" t="str">
            <v>MB274713</v>
          </cell>
          <cell r="E290" t="str">
            <v xml:space="preserve"> REINF,BODY MT'G NO1(D) LH</v>
          </cell>
          <cell r="G290">
            <v>1</v>
          </cell>
          <cell r="AZ290" t="str">
            <v>B</v>
          </cell>
          <cell r="BA290" t="str">
            <v>부전(주)</v>
          </cell>
          <cell r="BB290" t="str">
            <v>H50A15K</v>
          </cell>
          <cell r="BD290" t="str">
            <v>K804</v>
          </cell>
          <cell r="BE290" t="str">
            <v>ALL</v>
          </cell>
          <cell r="BI290">
            <v>0</v>
          </cell>
          <cell r="BJ290">
            <v>0</v>
          </cell>
          <cell r="BK290">
            <v>0</v>
          </cell>
          <cell r="BL290">
            <v>0</v>
          </cell>
        </row>
        <row r="291">
          <cell r="C291">
            <v>2584</v>
          </cell>
          <cell r="D291" t="str">
            <v>MB274714</v>
          </cell>
          <cell r="E291" t="str">
            <v xml:space="preserve"> REINF,BODY MT'G NO1(D) RH</v>
          </cell>
          <cell r="G291">
            <v>1</v>
          </cell>
          <cell r="AZ291" t="str">
            <v>B</v>
          </cell>
          <cell r="BA291" t="str">
            <v>부전(주)</v>
          </cell>
          <cell r="BB291" t="str">
            <v>H50A15K</v>
          </cell>
          <cell r="BD291" t="str">
            <v>K804</v>
          </cell>
          <cell r="BE291" t="str">
            <v>ALL</v>
          </cell>
          <cell r="BI291">
            <v>0</v>
          </cell>
          <cell r="BJ291">
            <v>0</v>
          </cell>
          <cell r="BK291">
            <v>0</v>
          </cell>
          <cell r="BL291">
            <v>0</v>
          </cell>
        </row>
        <row r="292">
          <cell r="C292">
            <v>2584</v>
          </cell>
          <cell r="D292" t="str">
            <v>MB274715A</v>
          </cell>
          <cell r="E292" t="str">
            <v xml:space="preserve"> BULK HEAD,BODY MT'G NO1(A) LH</v>
          </cell>
          <cell r="G292">
            <v>1</v>
          </cell>
          <cell r="AZ292" t="str">
            <v>B</v>
          </cell>
          <cell r="BA292" t="str">
            <v>부전(주)</v>
          </cell>
          <cell r="BB292" t="str">
            <v>H50A15K</v>
          </cell>
          <cell r="BD292" t="str">
            <v>K804</v>
          </cell>
          <cell r="BE292" t="str">
            <v>ALL</v>
          </cell>
          <cell r="BI292">
            <v>0</v>
          </cell>
          <cell r="BJ292">
            <v>0</v>
          </cell>
          <cell r="BK292">
            <v>0</v>
          </cell>
          <cell r="BL292">
            <v>0</v>
          </cell>
        </row>
        <row r="293">
          <cell r="C293">
            <v>2584</v>
          </cell>
          <cell r="D293" t="str">
            <v>MB274716A</v>
          </cell>
          <cell r="E293" t="str">
            <v xml:space="preserve"> BULK HEAD,BODY MT'G NO1(A) RH</v>
          </cell>
          <cell r="G293">
            <v>1</v>
          </cell>
          <cell r="AZ293" t="str">
            <v>B</v>
          </cell>
          <cell r="BA293" t="str">
            <v>부전(주)</v>
          </cell>
          <cell r="BB293" t="str">
            <v>H50A15K</v>
          </cell>
          <cell r="BD293" t="str">
            <v>K804</v>
          </cell>
          <cell r="BE293" t="str">
            <v>ALL</v>
          </cell>
          <cell r="BI293">
            <v>0</v>
          </cell>
          <cell r="BJ293">
            <v>0</v>
          </cell>
          <cell r="BK293">
            <v>0</v>
          </cell>
          <cell r="BL293">
            <v>0</v>
          </cell>
        </row>
        <row r="294">
          <cell r="C294">
            <v>2584</v>
          </cell>
          <cell r="D294" t="str">
            <v>MB274717</v>
          </cell>
          <cell r="E294" t="str">
            <v xml:space="preserve"> BULK HEAD,BODY MT'G NO1(B) LH</v>
          </cell>
          <cell r="G294">
            <v>1</v>
          </cell>
          <cell r="AZ294" t="str">
            <v>B</v>
          </cell>
          <cell r="BA294" t="str">
            <v>부전(주)</v>
          </cell>
          <cell r="BB294" t="str">
            <v>H50A15K</v>
          </cell>
          <cell r="BD294" t="str">
            <v>K804</v>
          </cell>
          <cell r="BE294" t="str">
            <v>ALL</v>
          </cell>
          <cell r="BI294">
            <v>0</v>
          </cell>
          <cell r="BJ294">
            <v>0</v>
          </cell>
          <cell r="BK294">
            <v>0</v>
          </cell>
          <cell r="BL294">
            <v>0</v>
          </cell>
        </row>
        <row r="295">
          <cell r="C295">
            <v>2584</v>
          </cell>
          <cell r="D295" t="str">
            <v>MB274718</v>
          </cell>
          <cell r="E295" t="str">
            <v xml:space="preserve"> BULK HEAD,BODY MT'G NO1(B) RH</v>
          </cell>
          <cell r="G295">
            <v>1</v>
          </cell>
          <cell r="AZ295" t="str">
            <v>B</v>
          </cell>
          <cell r="BA295" t="str">
            <v>부전(주)</v>
          </cell>
          <cell r="BB295" t="str">
            <v>H50A15K</v>
          </cell>
          <cell r="BD295" t="str">
            <v>K804</v>
          </cell>
          <cell r="BE295" t="str">
            <v>ALL</v>
          </cell>
          <cell r="BI295">
            <v>0</v>
          </cell>
          <cell r="BJ295">
            <v>0</v>
          </cell>
          <cell r="BK295">
            <v>0</v>
          </cell>
          <cell r="BL295">
            <v>0</v>
          </cell>
        </row>
        <row r="296">
          <cell r="C296">
            <v>2584</v>
          </cell>
          <cell r="D296" t="str">
            <v>MB274751</v>
          </cell>
          <cell r="E296" t="str">
            <v xml:space="preserve"> REINF,COWL TOP INR LH</v>
          </cell>
          <cell r="G296">
            <v>1</v>
          </cell>
          <cell r="AZ296" t="str">
            <v>B</v>
          </cell>
          <cell r="BA296" t="str">
            <v>부전(주)</v>
          </cell>
          <cell r="BB296" t="str">
            <v>H50A18K</v>
          </cell>
          <cell r="BD296" t="str">
            <v>K804</v>
          </cell>
          <cell r="BE296" t="str">
            <v>ALL</v>
          </cell>
          <cell r="BI296">
            <v>0</v>
          </cell>
          <cell r="BJ296">
            <v>0</v>
          </cell>
          <cell r="BK296">
            <v>0</v>
          </cell>
          <cell r="BL296">
            <v>0</v>
          </cell>
        </row>
        <row r="297">
          <cell r="C297">
            <v>2584</v>
          </cell>
          <cell r="D297" t="str">
            <v>MB274752</v>
          </cell>
          <cell r="E297" t="str">
            <v xml:space="preserve"> REINF,COWL TOP INR RH</v>
          </cell>
          <cell r="G297">
            <v>1</v>
          </cell>
          <cell r="AZ297" t="str">
            <v>B</v>
          </cell>
          <cell r="BA297" t="str">
            <v>부전(주)</v>
          </cell>
          <cell r="BB297" t="str">
            <v>H50A18K</v>
          </cell>
          <cell r="BD297" t="str">
            <v>K804</v>
          </cell>
          <cell r="BE297" t="str">
            <v>ALL</v>
          </cell>
          <cell r="BI297">
            <v>0</v>
          </cell>
          <cell r="BJ297">
            <v>0</v>
          </cell>
          <cell r="BK297">
            <v>0</v>
          </cell>
          <cell r="BL297">
            <v>0</v>
          </cell>
        </row>
        <row r="298">
          <cell r="C298">
            <v>2584</v>
          </cell>
          <cell r="D298" t="str">
            <v>MB274753A</v>
          </cell>
          <cell r="E298" t="str">
            <v xml:space="preserve"> BRKT,FENDER LH</v>
          </cell>
          <cell r="G298">
            <v>1</v>
          </cell>
          <cell r="AZ298" t="str">
            <v>B</v>
          </cell>
          <cell r="BA298" t="str">
            <v>부전(주)</v>
          </cell>
          <cell r="BB298" t="str">
            <v>H50A16K</v>
          </cell>
          <cell r="BD298" t="str">
            <v>K804</v>
          </cell>
          <cell r="BE298" t="str">
            <v>ALL</v>
          </cell>
          <cell r="BI298">
            <v>0</v>
          </cell>
          <cell r="BJ298">
            <v>0</v>
          </cell>
          <cell r="BK298">
            <v>0</v>
          </cell>
          <cell r="BL298">
            <v>0</v>
          </cell>
        </row>
        <row r="299">
          <cell r="C299">
            <v>2584</v>
          </cell>
          <cell r="D299" t="str">
            <v>MB274754A</v>
          </cell>
          <cell r="E299" t="str">
            <v xml:space="preserve"> BRKT,FENDER RH</v>
          </cell>
          <cell r="G299">
            <v>1</v>
          </cell>
          <cell r="AZ299" t="str">
            <v>B</v>
          </cell>
          <cell r="BA299" t="str">
            <v>부전(주)</v>
          </cell>
          <cell r="BB299" t="str">
            <v>H50A16K</v>
          </cell>
          <cell r="BD299" t="str">
            <v>K804</v>
          </cell>
          <cell r="BE299" t="str">
            <v>ALL</v>
          </cell>
          <cell r="BI299">
            <v>0</v>
          </cell>
          <cell r="BJ299">
            <v>0</v>
          </cell>
          <cell r="BK299">
            <v>0</v>
          </cell>
          <cell r="BL299">
            <v>0</v>
          </cell>
        </row>
        <row r="300">
          <cell r="C300">
            <v>3552</v>
          </cell>
          <cell r="D300" t="str">
            <v>MB274775A</v>
          </cell>
          <cell r="E300" t="str">
            <v xml:space="preserve"> COVER,RR FLR EXTENTION</v>
          </cell>
          <cell r="I300">
            <v>2</v>
          </cell>
          <cell r="J300">
            <v>2</v>
          </cell>
          <cell r="K300">
            <v>2</v>
          </cell>
          <cell r="O300">
            <v>2</v>
          </cell>
          <cell r="Q300">
            <v>2</v>
          </cell>
          <cell r="S300">
            <v>2</v>
          </cell>
          <cell r="T300">
            <v>2</v>
          </cell>
          <cell r="V300">
            <v>2</v>
          </cell>
          <cell r="Y300">
            <v>2</v>
          </cell>
          <cell r="Z300">
            <v>2</v>
          </cell>
          <cell r="AA300">
            <v>2</v>
          </cell>
          <cell r="AG300">
            <v>2</v>
          </cell>
          <cell r="AJ300">
            <v>2</v>
          </cell>
          <cell r="AK300">
            <v>2</v>
          </cell>
          <cell r="AQ300">
            <v>2</v>
          </cell>
          <cell r="AS300">
            <v>2</v>
          </cell>
          <cell r="AU300">
            <v>2</v>
          </cell>
          <cell r="AV300">
            <v>2</v>
          </cell>
          <cell r="AX300">
            <v>2</v>
          </cell>
          <cell r="AZ300" t="str">
            <v>T</v>
          </cell>
          <cell r="BA300" t="str">
            <v>부전(주)</v>
          </cell>
          <cell r="BB300" t="str">
            <v>H50C90K</v>
          </cell>
          <cell r="BD300" t="str">
            <v>K804</v>
          </cell>
          <cell r="BI300" t="e">
            <v>#REF!</v>
          </cell>
          <cell r="BJ300" t="e">
            <v>#REF!</v>
          </cell>
          <cell r="BK300" t="e">
            <v>#REF!</v>
          </cell>
          <cell r="BL300" t="e">
            <v>#REF!</v>
          </cell>
        </row>
        <row r="301">
          <cell r="C301">
            <v>1899</v>
          </cell>
          <cell r="D301" t="str">
            <v>MB274985A</v>
          </cell>
          <cell r="E301" t="str">
            <v xml:space="preserve"> PLATE,TOOL BOX</v>
          </cell>
          <cell r="I301">
            <v>1</v>
          </cell>
          <cell r="J301">
            <v>1</v>
          </cell>
          <cell r="K301">
            <v>1</v>
          </cell>
          <cell r="O301">
            <v>1</v>
          </cell>
          <cell r="Q301">
            <v>1</v>
          </cell>
          <cell r="S301">
            <v>1</v>
          </cell>
          <cell r="T301">
            <v>1</v>
          </cell>
          <cell r="V301">
            <v>1</v>
          </cell>
          <cell r="X301">
            <v>1</v>
          </cell>
          <cell r="Y301">
            <v>1</v>
          </cell>
          <cell r="Z301">
            <v>1</v>
          </cell>
          <cell r="AA301">
            <v>1</v>
          </cell>
          <cell r="AE301">
            <v>1</v>
          </cell>
          <cell r="AG301">
            <v>1</v>
          </cell>
          <cell r="AI301">
            <v>1</v>
          </cell>
          <cell r="AJ301">
            <v>1</v>
          </cell>
          <cell r="AK301">
            <v>1</v>
          </cell>
          <cell r="AN301">
            <v>1</v>
          </cell>
          <cell r="AQ301">
            <v>1</v>
          </cell>
          <cell r="AR301">
            <v>1</v>
          </cell>
          <cell r="AS301">
            <v>1</v>
          </cell>
          <cell r="AT301">
            <v>1</v>
          </cell>
          <cell r="AU301">
            <v>1</v>
          </cell>
          <cell r="AV301">
            <v>1</v>
          </cell>
          <cell r="AX301">
            <v>1</v>
          </cell>
          <cell r="AY301">
            <v>1</v>
          </cell>
          <cell r="AZ301" t="str">
            <v>B</v>
          </cell>
          <cell r="BA301" t="str">
            <v>부전(주)</v>
          </cell>
          <cell r="BB301" t="str">
            <v>H50A11K</v>
          </cell>
          <cell r="BD301" t="str">
            <v>K804</v>
          </cell>
          <cell r="BI301">
            <v>888</v>
          </cell>
          <cell r="BJ301">
            <v>458</v>
          </cell>
          <cell r="BK301">
            <v>97</v>
          </cell>
          <cell r="BL301">
            <v>100</v>
          </cell>
        </row>
        <row r="302">
          <cell r="C302">
            <v>514</v>
          </cell>
          <cell r="D302" t="str">
            <v>MB275024</v>
          </cell>
          <cell r="E302" t="str">
            <v xml:space="preserve"> BRKT-ROOF BOW RH</v>
          </cell>
          <cell r="S302">
            <v>1</v>
          </cell>
          <cell r="T302">
            <v>1</v>
          </cell>
          <cell r="Y302">
            <v>1</v>
          </cell>
          <cell r="Z302">
            <v>1</v>
          </cell>
          <cell r="AA302">
            <v>1</v>
          </cell>
          <cell r="AU302">
            <v>1</v>
          </cell>
          <cell r="AV302">
            <v>1</v>
          </cell>
          <cell r="AX302">
            <v>1</v>
          </cell>
          <cell r="AY302">
            <v>1</v>
          </cell>
          <cell r="AZ302" t="str">
            <v>B</v>
          </cell>
          <cell r="BA302" t="str">
            <v>부전(주)</v>
          </cell>
          <cell r="BB302" t="str">
            <v>H50A17K</v>
          </cell>
          <cell r="BC302" t="str">
            <v>H2</v>
          </cell>
          <cell r="BD302" t="str">
            <v>K804</v>
          </cell>
          <cell r="BE302" t="str">
            <v>HR'</v>
          </cell>
          <cell r="BI302">
            <v>0</v>
          </cell>
          <cell r="BJ302">
            <v>456</v>
          </cell>
          <cell r="BK302">
            <v>0</v>
          </cell>
          <cell r="BL302">
            <v>35</v>
          </cell>
        </row>
        <row r="303">
          <cell r="C303">
            <v>514</v>
          </cell>
          <cell r="D303" t="str">
            <v>MB275027</v>
          </cell>
          <cell r="E303" t="str">
            <v xml:space="preserve"> BRKT-ROOF BOW LH</v>
          </cell>
          <cell r="S303">
            <v>1</v>
          </cell>
          <cell r="T303">
            <v>1</v>
          </cell>
          <cell r="Y303">
            <v>1</v>
          </cell>
          <cell r="Z303">
            <v>1</v>
          </cell>
          <cell r="AA303">
            <v>1</v>
          </cell>
          <cell r="AU303">
            <v>1</v>
          </cell>
          <cell r="AV303">
            <v>1</v>
          </cell>
          <cell r="AX303">
            <v>1</v>
          </cell>
          <cell r="AY303">
            <v>1</v>
          </cell>
          <cell r="AZ303" t="str">
            <v>B</v>
          </cell>
          <cell r="BA303" t="str">
            <v>부전(주)</v>
          </cell>
          <cell r="BB303" t="str">
            <v>H50A17K</v>
          </cell>
          <cell r="BC303" t="str">
            <v>H2</v>
          </cell>
          <cell r="BD303" t="str">
            <v>K804</v>
          </cell>
          <cell r="BE303" t="str">
            <v>HR'</v>
          </cell>
          <cell r="BI303">
            <v>0</v>
          </cell>
          <cell r="BJ303">
            <v>456</v>
          </cell>
          <cell r="BK303">
            <v>0</v>
          </cell>
          <cell r="BL303">
            <v>35</v>
          </cell>
        </row>
        <row r="304">
          <cell r="C304">
            <v>2453</v>
          </cell>
          <cell r="D304" t="str">
            <v>MB275044B</v>
          </cell>
          <cell r="E304" t="str">
            <v xml:space="preserve"> BRKT,AIR CLEANER</v>
          </cell>
          <cell r="H304">
            <v>1</v>
          </cell>
          <cell r="I304">
            <v>1</v>
          </cell>
          <cell r="J304">
            <v>1</v>
          </cell>
          <cell r="K304">
            <v>1</v>
          </cell>
          <cell r="L304">
            <v>1</v>
          </cell>
          <cell r="M304">
            <v>1</v>
          </cell>
          <cell r="N304">
            <v>1</v>
          </cell>
          <cell r="O304">
            <v>1</v>
          </cell>
          <cell r="P304">
            <v>1</v>
          </cell>
          <cell r="Q304">
            <v>1</v>
          </cell>
          <cell r="R304">
            <v>1</v>
          </cell>
          <cell r="S304">
            <v>1</v>
          </cell>
          <cell r="T304">
            <v>1</v>
          </cell>
          <cell r="U304">
            <v>1</v>
          </cell>
          <cell r="V304">
            <v>1</v>
          </cell>
          <cell r="Y304">
            <v>1</v>
          </cell>
          <cell r="Z304">
            <v>1</v>
          </cell>
          <cell r="AA304">
            <v>1</v>
          </cell>
          <cell r="AB304">
            <v>1</v>
          </cell>
          <cell r="AC304">
            <v>1</v>
          </cell>
          <cell r="AD304">
            <v>1</v>
          </cell>
          <cell r="AF304">
            <v>1</v>
          </cell>
          <cell r="AG304">
            <v>1</v>
          </cell>
          <cell r="AJ304">
            <v>1</v>
          </cell>
          <cell r="AL304">
            <v>1</v>
          </cell>
          <cell r="AM304">
            <v>1</v>
          </cell>
          <cell r="AO304">
            <v>1</v>
          </cell>
          <cell r="AQ304">
            <v>1</v>
          </cell>
          <cell r="AS304">
            <v>1</v>
          </cell>
          <cell r="AU304">
            <v>1</v>
          </cell>
          <cell r="AV304">
            <v>1</v>
          </cell>
          <cell r="AZ304" t="str">
            <v>B</v>
          </cell>
          <cell r="BA304" t="str">
            <v>부전(주)</v>
          </cell>
          <cell r="BB304" t="str">
            <v>H50A14K</v>
          </cell>
          <cell r="BD304" t="str">
            <v>K804</v>
          </cell>
          <cell r="BI304">
            <v>937</v>
          </cell>
          <cell r="BJ304">
            <v>995</v>
          </cell>
          <cell r="BK304">
            <v>57</v>
          </cell>
          <cell r="BL304">
            <v>56</v>
          </cell>
        </row>
        <row r="305">
          <cell r="C305">
            <v>907</v>
          </cell>
          <cell r="D305" t="str">
            <v>MB275048B</v>
          </cell>
          <cell r="E305" t="str">
            <v xml:space="preserve"> BRKT,BRAKE HOSE</v>
          </cell>
          <cell r="F305" t="str">
            <v>GSL,TCI</v>
          </cell>
          <cell r="N305">
            <v>1</v>
          </cell>
          <cell r="O305">
            <v>1</v>
          </cell>
          <cell r="P305">
            <v>1</v>
          </cell>
          <cell r="Q305">
            <v>1</v>
          </cell>
          <cell r="W305">
            <v>1</v>
          </cell>
          <cell r="X305">
            <v>1</v>
          </cell>
          <cell r="Z305">
            <v>1</v>
          </cell>
          <cell r="AD305">
            <v>1</v>
          </cell>
          <cell r="AE305">
            <v>1</v>
          </cell>
          <cell r="AH305">
            <v>1</v>
          </cell>
          <cell r="AI305">
            <v>1</v>
          </cell>
          <cell r="AN305">
            <v>1</v>
          </cell>
          <cell r="AO305">
            <v>1</v>
          </cell>
          <cell r="AP305">
            <v>1</v>
          </cell>
          <cell r="AR305">
            <v>1</v>
          </cell>
          <cell r="AS305">
            <v>1</v>
          </cell>
          <cell r="AT305">
            <v>1</v>
          </cell>
          <cell r="AW305">
            <v>1</v>
          </cell>
          <cell r="AY305">
            <v>1</v>
          </cell>
          <cell r="AZ305" t="str">
            <v>B</v>
          </cell>
          <cell r="BA305" t="str">
            <v>부전(주)</v>
          </cell>
          <cell r="BB305" t="str">
            <v>H50A14K</v>
          </cell>
          <cell r="BD305" t="str">
            <v>K804</v>
          </cell>
          <cell r="BE305" t="str">
            <v>V6,TCI</v>
          </cell>
          <cell r="BI305">
            <v>422</v>
          </cell>
          <cell r="BJ305">
            <v>2</v>
          </cell>
          <cell r="BK305">
            <v>68</v>
          </cell>
          <cell r="BL305">
            <v>75</v>
          </cell>
        </row>
        <row r="306">
          <cell r="C306">
            <v>1892</v>
          </cell>
          <cell r="D306" t="str">
            <v>MB275095A</v>
          </cell>
          <cell r="E306" t="str">
            <v xml:space="preserve"> REINF,2ND SEAT BELT,LWR</v>
          </cell>
          <cell r="I306">
            <v>1</v>
          </cell>
          <cell r="J306">
            <v>1</v>
          </cell>
          <cell r="K306">
            <v>1</v>
          </cell>
          <cell r="O306">
            <v>1</v>
          </cell>
          <cell r="Q306">
            <v>1</v>
          </cell>
          <cell r="S306">
            <v>1</v>
          </cell>
          <cell r="T306">
            <v>1</v>
          </cell>
          <cell r="V306">
            <v>1</v>
          </cell>
          <cell r="X306">
            <v>1</v>
          </cell>
          <cell r="Y306">
            <v>1</v>
          </cell>
          <cell r="Z306">
            <v>1</v>
          </cell>
          <cell r="AA306">
            <v>1</v>
          </cell>
          <cell r="AE306">
            <v>1</v>
          </cell>
          <cell r="AG306">
            <v>1</v>
          </cell>
          <cell r="AI306">
            <v>1</v>
          </cell>
          <cell r="AJ306">
            <v>1</v>
          </cell>
          <cell r="AK306">
            <v>1</v>
          </cell>
          <cell r="AQ306">
            <v>1</v>
          </cell>
          <cell r="AR306">
            <v>1</v>
          </cell>
          <cell r="AS306">
            <v>1</v>
          </cell>
          <cell r="AT306">
            <v>1</v>
          </cell>
          <cell r="AU306">
            <v>1</v>
          </cell>
          <cell r="AV306">
            <v>1</v>
          </cell>
          <cell r="AX306">
            <v>1</v>
          </cell>
          <cell r="AY306">
            <v>1</v>
          </cell>
          <cell r="AZ306" t="str">
            <v>B</v>
          </cell>
          <cell r="BA306" t="str">
            <v>부전(주)</v>
          </cell>
          <cell r="BB306" t="str">
            <v>H50A17K</v>
          </cell>
          <cell r="BD306" t="str">
            <v>K804</v>
          </cell>
          <cell r="BI306">
            <v>888</v>
          </cell>
          <cell r="BJ306">
            <v>458</v>
          </cell>
          <cell r="BK306">
            <v>90</v>
          </cell>
          <cell r="BL306">
            <v>100</v>
          </cell>
        </row>
        <row r="307">
          <cell r="C307">
            <v>1892</v>
          </cell>
          <cell r="D307" t="str">
            <v>MB275095A</v>
          </cell>
          <cell r="E307" t="str">
            <v xml:space="preserve"> REINF,2ND SEAT BELT,LWR</v>
          </cell>
          <cell r="I307">
            <v>1</v>
          </cell>
          <cell r="J307">
            <v>1</v>
          </cell>
          <cell r="K307">
            <v>1</v>
          </cell>
          <cell r="O307">
            <v>1</v>
          </cell>
          <cell r="Q307">
            <v>1</v>
          </cell>
          <cell r="S307">
            <v>1</v>
          </cell>
          <cell r="T307">
            <v>1</v>
          </cell>
          <cell r="V307">
            <v>1</v>
          </cell>
          <cell r="X307">
            <v>1</v>
          </cell>
          <cell r="Y307">
            <v>1</v>
          </cell>
          <cell r="Z307">
            <v>1</v>
          </cell>
          <cell r="AA307">
            <v>1</v>
          </cell>
          <cell r="AE307">
            <v>1</v>
          </cell>
          <cell r="AG307">
            <v>1</v>
          </cell>
          <cell r="AI307">
            <v>1</v>
          </cell>
          <cell r="AJ307">
            <v>1</v>
          </cell>
          <cell r="AK307">
            <v>1</v>
          </cell>
          <cell r="AQ307">
            <v>1</v>
          </cell>
          <cell r="AR307">
            <v>1</v>
          </cell>
          <cell r="AS307">
            <v>1</v>
          </cell>
          <cell r="AT307">
            <v>1</v>
          </cell>
          <cell r="AU307">
            <v>1</v>
          </cell>
          <cell r="AV307">
            <v>1</v>
          </cell>
          <cell r="AX307">
            <v>1</v>
          </cell>
          <cell r="AY307">
            <v>1</v>
          </cell>
          <cell r="AZ307" t="str">
            <v>B</v>
          </cell>
          <cell r="BA307" t="str">
            <v>부전(주)</v>
          </cell>
          <cell r="BB307" t="str">
            <v>H50A17K</v>
          </cell>
          <cell r="BD307" t="str">
            <v>K804</v>
          </cell>
          <cell r="BI307">
            <v>888</v>
          </cell>
          <cell r="BJ307">
            <v>458</v>
          </cell>
          <cell r="BK307">
            <v>90</v>
          </cell>
          <cell r="BL307">
            <v>100</v>
          </cell>
        </row>
        <row r="308">
          <cell r="C308">
            <v>2056</v>
          </cell>
          <cell r="D308" t="str">
            <v>MB275104</v>
          </cell>
          <cell r="E308" t="str">
            <v xml:space="preserve"> REINF 3RD SEAT RR</v>
          </cell>
          <cell r="S308">
            <v>4</v>
          </cell>
          <cell r="T308">
            <v>4</v>
          </cell>
          <cell r="Y308">
            <v>4</v>
          </cell>
          <cell r="Z308">
            <v>4</v>
          </cell>
          <cell r="AA308">
            <v>4</v>
          </cell>
          <cell r="AU308">
            <v>4</v>
          </cell>
          <cell r="AV308">
            <v>4</v>
          </cell>
          <cell r="AX308">
            <v>4</v>
          </cell>
          <cell r="AY308">
            <v>4</v>
          </cell>
          <cell r="AZ308" t="str">
            <v>B</v>
          </cell>
          <cell r="BA308" t="str">
            <v>부전(주)</v>
          </cell>
          <cell r="BB308" t="str">
            <v>H50A17K</v>
          </cell>
          <cell r="BC308" t="str">
            <v>H</v>
          </cell>
          <cell r="BD308" t="str">
            <v>K804</v>
          </cell>
          <cell r="BE308" t="str">
            <v>HR'</v>
          </cell>
          <cell r="BI308">
            <v>0</v>
          </cell>
          <cell r="BJ308">
            <v>1824</v>
          </cell>
          <cell r="BK308">
            <v>0</v>
          </cell>
          <cell r="BL308">
            <v>140</v>
          </cell>
        </row>
        <row r="309">
          <cell r="C309">
            <v>1892</v>
          </cell>
          <cell r="D309" t="str">
            <v>MB275123A</v>
          </cell>
          <cell r="E309" t="str">
            <v xml:space="preserve"> COVER,RR END,CORNER LH</v>
          </cell>
          <cell r="I309">
            <v>1</v>
          </cell>
          <cell r="J309">
            <v>1</v>
          </cell>
          <cell r="K309">
            <v>1</v>
          </cell>
          <cell r="O309">
            <v>1</v>
          </cell>
          <cell r="Q309">
            <v>1</v>
          </cell>
          <cell r="S309">
            <v>1</v>
          </cell>
          <cell r="T309">
            <v>1</v>
          </cell>
          <cell r="V309">
            <v>1</v>
          </cell>
          <cell r="X309">
            <v>1</v>
          </cell>
          <cell r="Y309">
            <v>1</v>
          </cell>
          <cell r="Z309">
            <v>1</v>
          </cell>
          <cell r="AA309">
            <v>1</v>
          </cell>
          <cell r="AE309">
            <v>1</v>
          </cell>
          <cell r="AG309">
            <v>1</v>
          </cell>
          <cell r="AI309">
            <v>1</v>
          </cell>
          <cell r="AJ309">
            <v>1</v>
          </cell>
          <cell r="AK309">
            <v>1</v>
          </cell>
          <cell r="AQ309">
            <v>1</v>
          </cell>
          <cell r="AR309">
            <v>1</v>
          </cell>
          <cell r="AS309">
            <v>1</v>
          </cell>
          <cell r="AT309">
            <v>1</v>
          </cell>
          <cell r="AU309">
            <v>1</v>
          </cell>
          <cell r="AV309">
            <v>1</v>
          </cell>
          <cell r="AX309">
            <v>1</v>
          </cell>
          <cell r="AY309">
            <v>1</v>
          </cell>
          <cell r="AZ309" t="str">
            <v>B</v>
          </cell>
          <cell r="BA309" t="str">
            <v>부전(주)</v>
          </cell>
          <cell r="BB309" t="str">
            <v>H50A17K</v>
          </cell>
          <cell r="BD309" t="str">
            <v>K804</v>
          </cell>
          <cell r="BI309">
            <v>888</v>
          </cell>
          <cell r="BJ309">
            <v>458</v>
          </cell>
          <cell r="BK309">
            <v>90</v>
          </cell>
          <cell r="BL309">
            <v>100</v>
          </cell>
        </row>
        <row r="310">
          <cell r="C310">
            <v>1892</v>
          </cell>
          <cell r="D310" t="str">
            <v>MB275124A</v>
          </cell>
          <cell r="E310" t="str">
            <v xml:space="preserve"> COVER,RR END,CORNER RH</v>
          </cell>
          <cell r="I310">
            <v>1</v>
          </cell>
          <cell r="J310">
            <v>1</v>
          </cell>
          <cell r="K310">
            <v>1</v>
          </cell>
          <cell r="O310">
            <v>1</v>
          </cell>
          <cell r="Q310">
            <v>1</v>
          </cell>
          <cell r="S310">
            <v>1</v>
          </cell>
          <cell r="T310">
            <v>1</v>
          </cell>
          <cell r="V310">
            <v>1</v>
          </cell>
          <cell r="X310">
            <v>1</v>
          </cell>
          <cell r="Y310">
            <v>1</v>
          </cell>
          <cell r="Z310">
            <v>1</v>
          </cell>
          <cell r="AA310">
            <v>1</v>
          </cell>
          <cell r="AE310">
            <v>1</v>
          </cell>
          <cell r="AG310">
            <v>1</v>
          </cell>
          <cell r="AI310">
            <v>1</v>
          </cell>
          <cell r="AJ310">
            <v>1</v>
          </cell>
          <cell r="AK310">
            <v>1</v>
          </cell>
          <cell r="AQ310">
            <v>1</v>
          </cell>
          <cell r="AR310">
            <v>1</v>
          </cell>
          <cell r="AS310">
            <v>1</v>
          </cell>
          <cell r="AT310">
            <v>1</v>
          </cell>
          <cell r="AU310">
            <v>1</v>
          </cell>
          <cell r="AV310">
            <v>1</v>
          </cell>
          <cell r="AX310">
            <v>1</v>
          </cell>
          <cell r="AY310">
            <v>1</v>
          </cell>
          <cell r="AZ310" t="str">
            <v>B</v>
          </cell>
          <cell r="BA310" t="str">
            <v>부전(주)</v>
          </cell>
          <cell r="BB310" t="str">
            <v>H50A17K</v>
          </cell>
          <cell r="BD310" t="str">
            <v>K804</v>
          </cell>
          <cell r="BI310">
            <v>888</v>
          </cell>
          <cell r="BJ310">
            <v>458</v>
          </cell>
          <cell r="BK310">
            <v>90</v>
          </cell>
          <cell r="BL310">
            <v>100</v>
          </cell>
        </row>
        <row r="311">
          <cell r="C311">
            <v>1892</v>
          </cell>
          <cell r="D311" t="str">
            <v>MB275149A</v>
          </cell>
          <cell r="E311" t="str">
            <v xml:space="preserve"> REINF,QTR PANEL INR LH</v>
          </cell>
          <cell r="I311">
            <v>1</v>
          </cell>
          <cell r="J311">
            <v>1</v>
          </cell>
          <cell r="K311">
            <v>1</v>
          </cell>
          <cell r="O311">
            <v>1</v>
          </cell>
          <cell r="Q311">
            <v>1</v>
          </cell>
          <cell r="S311">
            <v>1</v>
          </cell>
          <cell r="T311">
            <v>1</v>
          </cell>
          <cell r="V311">
            <v>1</v>
          </cell>
          <cell r="X311">
            <v>1</v>
          </cell>
          <cell r="Y311">
            <v>1</v>
          </cell>
          <cell r="Z311">
            <v>1</v>
          </cell>
          <cell r="AA311">
            <v>1</v>
          </cell>
          <cell r="AE311">
            <v>1</v>
          </cell>
          <cell r="AG311">
            <v>1</v>
          </cell>
          <cell r="AI311">
            <v>1</v>
          </cell>
          <cell r="AJ311">
            <v>1</v>
          </cell>
          <cell r="AK311">
            <v>1</v>
          </cell>
          <cell r="AQ311">
            <v>1</v>
          </cell>
          <cell r="AR311">
            <v>1</v>
          </cell>
          <cell r="AS311">
            <v>1</v>
          </cell>
          <cell r="AT311">
            <v>1</v>
          </cell>
          <cell r="AU311">
            <v>1</v>
          </cell>
          <cell r="AV311">
            <v>1</v>
          </cell>
          <cell r="AX311">
            <v>1</v>
          </cell>
          <cell r="AY311">
            <v>1</v>
          </cell>
          <cell r="AZ311" t="str">
            <v>B</v>
          </cell>
          <cell r="BA311" t="str">
            <v>부전(주)</v>
          </cell>
          <cell r="BB311" t="str">
            <v>H50A17K</v>
          </cell>
          <cell r="BD311" t="str">
            <v>K804</v>
          </cell>
          <cell r="BI311">
            <v>888</v>
          </cell>
          <cell r="BJ311">
            <v>458</v>
          </cell>
          <cell r="BK311">
            <v>90</v>
          </cell>
          <cell r="BL311">
            <v>100</v>
          </cell>
        </row>
        <row r="312">
          <cell r="C312">
            <v>1892</v>
          </cell>
          <cell r="D312" t="str">
            <v>MB275150A</v>
          </cell>
          <cell r="E312" t="str">
            <v xml:space="preserve"> REINF,QTR PANEL INR RH</v>
          </cell>
          <cell r="I312">
            <v>1</v>
          </cell>
          <cell r="J312">
            <v>1</v>
          </cell>
          <cell r="K312">
            <v>1</v>
          </cell>
          <cell r="O312">
            <v>1</v>
          </cell>
          <cell r="Q312">
            <v>1</v>
          </cell>
          <cell r="S312">
            <v>1</v>
          </cell>
          <cell r="T312">
            <v>1</v>
          </cell>
          <cell r="V312">
            <v>1</v>
          </cell>
          <cell r="X312">
            <v>1</v>
          </cell>
          <cell r="Y312">
            <v>1</v>
          </cell>
          <cell r="Z312">
            <v>1</v>
          </cell>
          <cell r="AA312">
            <v>1</v>
          </cell>
          <cell r="AE312">
            <v>1</v>
          </cell>
          <cell r="AG312">
            <v>1</v>
          </cell>
          <cell r="AI312">
            <v>1</v>
          </cell>
          <cell r="AJ312">
            <v>1</v>
          </cell>
          <cell r="AK312">
            <v>1</v>
          </cell>
          <cell r="AQ312">
            <v>1</v>
          </cell>
          <cell r="AR312">
            <v>1</v>
          </cell>
          <cell r="AS312">
            <v>1</v>
          </cell>
          <cell r="AT312">
            <v>1</v>
          </cell>
          <cell r="AU312">
            <v>1</v>
          </cell>
          <cell r="AV312">
            <v>1</v>
          </cell>
          <cell r="AX312">
            <v>1</v>
          </cell>
          <cell r="AY312">
            <v>1</v>
          </cell>
          <cell r="AZ312" t="str">
            <v>B</v>
          </cell>
          <cell r="BA312" t="str">
            <v>부전(주)</v>
          </cell>
          <cell r="BB312" t="str">
            <v>H50A17K</v>
          </cell>
          <cell r="BD312" t="str">
            <v>K804</v>
          </cell>
          <cell r="BI312">
            <v>888</v>
          </cell>
          <cell r="BJ312">
            <v>458</v>
          </cell>
          <cell r="BK312">
            <v>90</v>
          </cell>
          <cell r="BL312">
            <v>100</v>
          </cell>
        </row>
        <row r="313">
          <cell r="C313">
            <v>1390</v>
          </cell>
          <cell r="D313" t="str">
            <v>MB275173A</v>
          </cell>
          <cell r="E313" t="str">
            <v xml:space="preserve"> REINF, 3RD SEAT BELT(CTR)</v>
          </cell>
          <cell r="J313">
            <v>1</v>
          </cell>
          <cell r="K313">
            <v>1</v>
          </cell>
          <cell r="O313">
            <v>1</v>
          </cell>
          <cell r="Q313">
            <v>1</v>
          </cell>
          <cell r="X313">
            <v>1</v>
          </cell>
          <cell r="AE313">
            <v>1</v>
          </cell>
          <cell r="AI313">
            <v>1</v>
          </cell>
          <cell r="AJ313">
            <v>1</v>
          </cell>
          <cell r="AK313">
            <v>1</v>
          </cell>
          <cell r="AQ313">
            <v>1</v>
          </cell>
          <cell r="AR313">
            <v>1</v>
          </cell>
          <cell r="AS313">
            <v>1</v>
          </cell>
          <cell r="AT313">
            <v>1</v>
          </cell>
          <cell r="AX313">
            <v>1</v>
          </cell>
          <cell r="AY313">
            <v>1</v>
          </cell>
          <cell r="AZ313" t="str">
            <v>B</v>
          </cell>
          <cell r="BA313" t="str">
            <v>부전(주)</v>
          </cell>
          <cell r="BB313" t="str">
            <v>H50A12K</v>
          </cell>
          <cell r="BD313" t="str">
            <v>K804</v>
          </cell>
          <cell r="BI313">
            <v>868</v>
          </cell>
          <cell r="BJ313">
            <v>2</v>
          </cell>
          <cell r="BK313">
            <v>90</v>
          </cell>
          <cell r="BL313">
            <v>97</v>
          </cell>
        </row>
        <row r="314">
          <cell r="C314">
            <v>5168</v>
          </cell>
          <cell r="D314" t="str">
            <v>MB275201</v>
          </cell>
          <cell r="E314" t="str">
            <v xml:space="preserve"> REINF,P/WDO HOLE</v>
          </cell>
          <cell r="G314">
            <v>2</v>
          </cell>
          <cell r="AZ314" t="str">
            <v>B</v>
          </cell>
          <cell r="BA314" t="str">
            <v>부전(주)</v>
          </cell>
          <cell r="BB314" t="str">
            <v>H50A16K</v>
          </cell>
          <cell r="BD314" t="str">
            <v>K804</v>
          </cell>
          <cell r="BE314" t="str">
            <v>ALL</v>
          </cell>
          <cell r="BI314">
            <v>0</v>
          </cell>
          <cell r="BJ314">
            <v>0</v>
          </cell>
          <cell r="BK314">
            <v>0</v>
          </cell>
          <cell r="BL314">
            <v>0</v>
          </cell>
        </row>
        <row r="315">
          <cell r="C315">
            <v>1892</v>
          </cell>
          <cell r="D315" t="str">
            <v>MB275203</v>
          </cell>
          <cell r="E315" t="str">
            <v xml:space="preserve"> REINF,2ND SEAT BELT,LWR</v>
          </cell>
          <cell r="I315">
            <v>1</v>
          </cell>
          <cell r="J315">
            <v>1</v>
          </cell>
          <cell r="K315">
            <v>1</v>
          </cell>
          <cell r="O315">
            <v>1</v>
          </cell>
          <cell r="Q315">
            <v>1</v>
          </cell>
          <cell r="S315">
            <v>1</v>
          </cell>
          <cell r="T315">
            <v>1</v>
          </cell>
          <cell r="V315">
            <v>1</v>
          </cell>
          <cell r="X315">
            <v>1</v>
          </cell>
          <cell r="Y315">
            <v>1</v>
          </cell>
          <cell r="Z315">
            <v>1</v>
          </cell>
          <cell r="AA315">
            <v>1</v>
          </cell>
          <cell r="AE315">
            <v>1</v>
          </cell>
          <cell r="AG315">
            <v>1</v>
          </cell>
          <cell r="AI315">
            <v>1</v>
          </cell>
          <cell r="AJ315">
            <v>1</v>
          </cell>
          <cell r="AK315">
            <v>1</v>
          </cell>
          <cell r="AQ315">
            <v>1</v>
          </cell>
          <cell r="AR315">
            <v>1</v>
          </cell>
          <cell r="AS315">
            <v>1</v>
          </cell>
          <cell r="AT315">
            <v>1</v>
          </cell>
          <cell r="AU315">
            <v>1</v>
          </cell>
          <cell r="AV315">
            <v>1</v>
          </cell>
          <cell r="AX315">
            <v>1</v>
          </cell>
          <cell r="AY315">
            <v>1</v>
          </cell>
          <cell r="AZ315" t="str">
            <v>B</v>
          </cell>
          <cell r="BA315" t="str">
            <v>부전(주)</v>
          </cell>
          <cell r="BB315" t="str">
            <v>H50A17K</v>
          </cell>
          <cell r="BD315" t="str">
            <v>K804</v>
          </cell>
          <cell r="BI315">
            <v>888</v>
          </cell>
          <cell r="BJ315">
            <v>458</v>
          </cell>
          <cell r="BK315">
            <v>90</v>
          </cell>
          <cell r="BL315">
            <v>100</v>
          </cell>
        </row>
        <row r="316">
          <cell r="C316">
            <v>1892</v>
          </cell>
          <cell r="D316" t="str">
            <v>MB275203</v>
          </cell>
          <cell r="E316" t="str">
            <v xml:space="preserve"> REINF,2ND SEAT BELT,LWR</v>
          </cell>
          <cell r="I316">
            <v>1</v>
          </cell>
          <cell r="J316">
            <v>1</v>
          </cell>
          <cell r="K316">
            <v>1</v>
          </cell>
          <cell r="O316">
            <v>1</v>
          </cell>
          <cell r="Q316">
            <v>1</v>
          </cell>
          <cell r="S316">
            <v>1</v>
          </cell>
          <cell r="T316">
            <v>1</v>
          </cell>
          <cell r="V316">
            <v>1</v>
          </cell>
          <cell r="X316">
            <v>1</v>
          </cell>
          <cell r="Y316">
            <v>1</v>
          </cell>
          <cell r="Z316">
            <v>1</v>
          </cell>
          <cell r="AA316">
            <v>1</v>
          </cell>
          <cell r="AE316">
            <v>1</v>
          </cell>
          <cell r="AG316">
            <v>1</v>
          </cell>
          <cell r="AI316">
            <v>1</v>
          </cell>
          <cell r="AJ316">
            <v>1</v>
          </cell>
          <cell r="AK316">
            <v>1</v>
          </cell>
          <cell r="AQ316">
            <v>1</v>
          </cell>
          <cell r="AR316">
            <v>1</v>
          </cell>
          <cell r="AS316">
            <v>1</v>
          </cell>
          <cell r="AT316">
            <v>1</v>
          </cell>
          <cell r="AU316">
            <v>1</v>
          </cell>
          <cell r="AV316">
            <v>1</v>
          </cell>
          <cell r="AX316">
            <v>1</v>
          </cell>
          <cell r="AY316">
            <v>1</v>
          </cell>
          <cell r="AZ316" t="str">
            <v>B</v>
          </cell>
          <cell r="BA316" t="str">
            <v>부전(주)</v>
          </cell>
          <cell r="BB316" t="str">
            <v>H50A17K</v>
          </cell>
          <cell r="BD316" t="str">
            <v>K804</v>
          </cell>
          <cell r="BI316">
            <v>888</v>
          </cell>
          <cell r="BJ316">
            <v>458</v>
          </cell>
          <cell r="BK316">
            <v>90</v>
          </cell>
          <cell r="BL316">
            <v>100</v>
          </cell>
        </row>
        <row r="317">
          <cell r="C317">
            <v>514</v>
          </cell>
          <cell r="D317" t="str">
            <v>MB275225</v>
          </cell>
          <cell r="E317" t="str">
            <v xml:space="preserve"> BRKT-ROOF BOW LH</v>
          </cell>
          <cell r="S317">
            <v>1</v>
          </cell>
          <cell r="T317">
            <v>1</v>
          </cell>
          <cell r="Y317">
            <v>1</v>
          </cell>
          <cell r="Z317">
            <v>1</v>
          </cell>
          <cell r="AA317">
            <v>1</v>
          </cell>
          <cell r="AU317">
            <v>1</v>
          </cell>
          <cell r="AV317">
            <v>1</v>
          </cell>
          <cell r="AX317">
            <v>1</v>
          </cell>
          <cell r="AY317">
            <v>1</v>
          </cell>
          <cell r="AZ317" t="str">
            <v>B</v>
          </cell>
          <cell r="BA317" t="str">
            <v>부전(주)</v>
          </cell>
          <cell r="BB317" t="str">
            <v>H50A17K</v>
          </cell>
          <cell r="BC317" t="str">
            <v>H</v>
          </cell>
          <cell r="BD317" t="str">
            <v>K804</v>
          </cell>
          <cell r="BE317" t="str">
            <v>HR'</v>
          </cell>
          <cell r="BI317">
            <v>0</v>
          </cell>
          <cell r="BJ317">
            <v>456</v>
          </cell>
          <cell r="BK317">
            <v>0</v>
          </cell>
          <cell r="BL317">
            <v>35</v>
          </cell>
        </row>
        <row r="318">
          <cell r="C318">
            <v>514</v>
          </cell>
          <cell r="D318" t="str">
            <v>MB275226</v>
          </cell>
          <cell r="E318" t="str">
            <v xml:space="preserve"> BRKT-ROOF BOW RH</v>
          </cell>
          <cell r="S318">
            <v>1</v>
          </cell>
          <cell r="T318">
            <v>1</v>
          </cell>
          <cell r="Y318">
            <v>1</v>
          </cell>
          <cell r="Z318">
            <v>1</v>
          </cell>
          <cell r="AA318">
            <v>1</v>
          </cell>
          <cell r="AU318">
            <v>1</v>
          </cell>
          <cell r="AV318">
            <v>1</v>
          </cell>
          <cell r="AX318">
            <v>1</v>
          </cell>
          <cell r="AY318">
            <v>1</v>
          </cell>
          <cell r="AZ318" t="str">
            <v>B</v>
          </cell>
          <cell r="BA318" t="str">
            <v>부전(주)</v>
          </cell>
          <cell r="BB318" t="str">
            <v>H50A17K</v>
          </cell>
          <cell r="BC318" t="str">
            <v>H2</v>
          </cell>
          <cell r="BD318" t="str">
            <v>K804</v>
          </cell>
          <cell r="BE318" t="str">
            <v>HR'</v>
          </cell>
          <cell r="BI318">
            <v>0</v>
          </cell>
          <cell r="BJ318">
            <v>456</v>
          </cell>
          <cell r="BK318">
            <v>0</v>
          </cell>
          <cell r="BL318">
            <v>35</v>
          </cell>
        </row>
        <row r="319">
          <cell r="C319">
            <v>1378</v>
          </cell>
          <cell r="D319" t="str">
            <v>MB275281A</v>
          </cell>
          <cell r="E319" t="str">
            <v xml:space="preserve"> BRKT,3RD SEAT LH</v>
          </cell>
          <cell r="I319">
            <v>1</v>
          </cell>
          <cell r="J319">
            <v>1</v>
          </cell>
          <cell r="K319">
            <v>1</v>
          </cell>
          <cell r="O319">
            <v>1</v>
          </cell>
          <cell r="Q319">
            <v>1</v>
          </cell>
          <cell r="V319">
            <v>1</v>
          </cell>
          <cell r="X319">
            <v>1</v>
          </cell>
          <cell r="AE319">
            <v>1</v>
          </cell>
          <cell r="AG319">
            <v>1</v>
          </cell>
          <cell r="AI319">
            <v>1</v>
          </cell>
          <cell r="AJ319">
            <v>1</v>
          </cell>
          <cell r="AK319">
            <v>1</v>
          </cell>
          <cell r="AQ319">
            <v>1</v>
          </cell>
          <cell r="AR319">
            <v>1</v>
          </cell>
          <cell r="AS319">
            <v>1</v>
          </cell>
          <cell r="AT319">
            <v>1</v>
          </cell>
          <cell r="AZ319" t="str">
            <v>B</v>
          </cell>
          <cell r="BA319" t="str">
            <v>부전(주)</v>
          </cell>
          <cell r="BB319" t="str">
            <v>H50A17K</v>
          </cell>
          <cell r="BD319" t="str">
            <v>K804</v>
          </cell>
          <cell r="BI319">
            <v>888</v>
          </cell>
          <cell r="BJ319">
            <v>2</v>
          </cell>
          <cell r="BK319">
            <v>90</v>
          </cell>
          <cell r="BL319">
            <v>65</v>
          </cell>
        </row>
        <row r="320">
          <cell r="C320">
            <v>1378</v>
          </cell>
          <cell r="D320" t="str">
            <v>MB275282A</v>
          </cell>
          <cell r="E320" t="str">
            <v xml:space="preserve"> BRKT,3RD SEAT RH</v>
          </cell>
          <cell r="I320">
            <v>1</v>
          </cell>
          <cell r="J320">
            <v>1</v>
          </cell>
          <cell r="K320">
            <v>1</v>
          </cell>
          <cell r="O320">
            <v>1</v>
          </cell>
          <cell r="Q320">
            <v>1</v>
          </cell>
          <cell r="V320">
            <v>1</v>
          </cell>
          <cell r="X320">
            <v>1</v>
          </cell>
          <cell r="AE320">
            <v>1</v>
          </cell>
          <cell r="AG320">
            <v>1</v>
          </cell>
          <cell r="AI320">
            <v>1</v>
          </cell>
          <cell r="AJ320">
            <v>1</v>
          </cell>
          <cell r="AK320">
            <v>1</v>
          </cell>
          <cell r="AQ320">
            <v>1</v>
          </cell>
          <cell r="AR320">
            <v>1</v>
          </cell>
          <cell r="AS320">
            <v>1</v>
          </cell>
          <cell r="AT320">
            <v>1</v>
          </cell>
          <cell r="AZ320" t="str">
            <v>B</v>
          </cell>
          <cell r="BA320" t="str">
            <v>부전(주)</v>
          </cell>
          <cell r="BB320" t="str">
            <v>H50A17K</v>
          </cell>
          <cell r="BD320" t="str">
            <v>K804</v>
          </cell>
          <cell r="BI320">
            <v>888</v>
          </cell>
          <cell r="BJ320">
            <v>2</v>
          </cell>
          <cell r="BK320">
            <v>90</v>
          </cell>
          <cell r="BL320">
            <v>65</v>
          </cell>
        </row>
        <row r="321">
          <cell r="C321">
            <v>2584</v>
          </cell>
          <cell r="D321" t="str">
            <v>MB275297</v>
          </cell>
          <cell r="E321" t="str">
            <v xml:space="preserve"> PLATE</v>
          </cell>
          <cell r="G321">
            <v>1</v>
          </cell>
          <cell r="AZ321" t="str">
            <v>B</v>
          </cell>
          <cell r="BA321" t="str">
            <v>부전(주)</v>
          </cell>
          <cell r="BB321" t="str">
            <v>H50A17K</v>
          </cell>
          <cell r="BC321" t="str">
            <v>LINE L/B 2EA사용</v>
          </cell>
          <cell r="BD321" t="str">
            <v>K804</v>
          </cell>
          <cell r="BE321" t="str">
            <v>ALL</v>
          </cell>
          <cell r="BI321">
            <v>0</v>
          </cell>
          <cell r="BJ321">
            <v>0</v>
          </cell>
          <cell r="BK321">
            <v>0</v>
          </cell>
          <cell r="BL321">
            <v>0</v>
          </cell>
        </row>
        <row r="322">
          <cell r="C322">
            <v>5168</v>
          </cell>
          <cell r="D322" t="str">
            <v>MB275303A</v>
          </cell>
          <cell r="E322" t="str">
            <v xml:space="preserve"> REINF ASS'Y,STRIKER</v>
          </cell>
          <cell r="G322">
            <v>2</v>
          </cell>
          <cell r="AZ322" t="str">
            <v>B</v>
          </cell>
          <cell r="BA322" t="str">
            <v>부전(주)</v>
          </cell>
          <cell r="BB322" t="str">
            <v>H50A17K</v>
          </cell>
          <cell r="BD322" t="str">
            <v>K804</v>
          </cell>
          <cell r="BE322" t="str">
            <v>ALL</v>
          </cell>
          <cell r="BI322">
            <v>0</v>
          </cell>
          <cell r="BJ322">
            <v>0</v>
          </cell>
          <cell r="BK322">
            <v>0</v>
          </cell>
          <cell r="BL322">
            <v>0</v>
          </cell>
        </row>
        <row r="323">
          <cell r="C323">
            <v>2584</v>
          </cell>
          <cell r="D323" t="str">
            <v>MB275314A</v>
          </cell>
          <cell r="E323" t="str">
            <v xml:space="preserve"> BRKT,RADIATOR GRILLE</v>
          </cell>
          <cell r="G323">
            <v>1</v>
          </cell>
          <cell r="AZ323" t="str">
            <v>T</v>
          </cell>
          <cell r="BA323" t="str">
            <v>부전(주)</v>
          </cell>
          <cell r="BB323" t="str">
            <v>H50C39K</v>
          </cell>
          <cell r="BD323" t="str">
            <v>K804</v>
          </cell>
          <cell r="BE323" t="str">
            <v>ALL</v>
          </cell>
          <cell r="BI323" t="e">
            <v>#REF!</v>
          </cell>
          <cell r="BJ323" t="e">
            <v>#REF!</v>
          </cell>
          <cell r="BK323" t="e">
            <v>#REF!</v>
          </cell>
          <cell r="BL323" t="e">
            <v>#REF!</v>
          </cell>
        </row>
        <row r="324">
          <cell r="C324">
            <v>2584</v>
          </cell>
          <cell r="D324" t="str">
            <v>MB275328</v>
          </cell>
          <cell r="E324" t="str">
            <v xml:space="preserve"> REINF,H/LP SUPT RH</v>
          </cell>
          <cell r="G324">
            <v>1</v>
          </cell>
          <cell r="AZ324" t="str">
            <v>B</v>
          </cell>
          <cell r="BA324" t="str">
            <v>부전(주)</v>
          </cell>
          <cell r="BB324" t="str">
            <v>H50A15K</v>
          </cell>
          <cell r="BD324" t="str">
            <v>K804</v>
          </cell>
          <cell r="BE324" t="str">
            <v>ALL</v>
          </cell>
          <cell r="BI324">
            <v>0</v>
          </cell>
          <cell r="BJ324">
            <v>0</v>
          </cell>
          <cell r="BK324">
            <v>0</v>
          </cell>
          <cell r="BL324">
            <v>0</v>
          </cell>
        </row>
        <row r="325">
          <cell r="C325">
            <v>2583</v>
          </cell>
          <cell r="D325" t="str">
            <v>MB275335A</v>
          </cell>
          <cell r="E325" t="str">
            <v xml:space="preserve"> SUPPORT,OIL COOLER </v>
          </cell>
          <cell r="H325">
            <v>1</v>
          </cell>
          <cell r="I325">
            <v>1</v>
          </cell>
          <cell r="J325">
            <v>1</v>
          </cell>
          <cell r="K325">
            <v>1</v>
          </cell>
          <cell r="L325">
            <v>1</v>
          </cell>
          <cell r="M325">
            <v>1</v>
          </cell>
          <cell r="N325">
            <v>1</v>
          </cell>
          <cell r="O325">
            <v>1</v>
          </cell>
          <cell r="P325">
            <v>1</v>
          </cell>
          <cell r="Q325">
            <v>1</v>
          </cell>
          <cell r="R325">
            <v>1</v>
          </cell>
          <cell r="S325">
            <v>1</v>
          </cell>
          <cell r="T325">
            <v>1</v>
          </cell>
          <cell r="U325">
            <v>1</v>
          </cell>
          <cell r="V325">
            <v>1</v>
          </cell>
          <cell r="W325">
            <v>1</v>
          </cell>
          <cell r="X325">
            <v>1</v>
          </cell>
          <cell r="Y325">
            <v>1</v>
          </cell>
          <cell r="Z325">
            <v>1</v>
          </cell>
          <cell r="AA325">
            <v>1</v>
          </cell>
          <cell r="AB325">
            <v>1</v>
          </cell>
          <cell r="AC325">
            <v>1</v>
          </cell>
          <cell r="AD325">
            <v>1</v>
          </cell>
          <cell r="AE325">
            <v>1</v>
          </cell>
          <cell r="AF325">
            <v>1</v>
          </cell>
          <cell r="AG325">
            <v>1</v>
          </cell>
          <cell r="AH325">
            <v>1</v>
          </cell>
          <cell r="AI325">
            <v>1</v>
          </cell>
          <cell r="AJ325">
            <v>1</v>
          </cell>
          <cell r="AL325">
            <v>1</v>
          </cell>
          <cell r="AM325">
            <v>1</v>
          </cell>
          <cell r="AN325">
            <v>1</v>
          </cell>
          <cell r="AO325">
            <v>1</v>
          </cell>
          <cell r="AP325">
            <v>1</v>
          </cell>
          <cell r="AQ325">
            <v>1</v>
          </cell>
          <cell r="AR325">
            <v>1</v>
          </cell>
          <cell r="AS325">
            <v>1</v>
          </cell>
          <cell r="AT325">
            <v>1</v>
          </cell>
          <cell r="AU325">
            <v>1</v>
          </cell>
          <cell r="AV325">
            <v>1</v>
          </cell>
          <cell r="AW325">
            <v>1</v>
          </cell>
          <cell r="AY325">
            <v>1</v>
          </cell>
          <cell r="AZ325" t="str">
            <v>B</v>
          </cell>
          <cell r="BA325" t="str">
            <v>부전(주)</v>
          </cell>
          <cell r="BB325" t="str">
            <v>H50A15K</v>
          </cell>
          <cell r="BD325" t="str">
            <v>K804</v>
          </cell>
          <cell r="BE325" t="str">
            <v>ALL</v>
          </cell>
          <cell r="BI325">
            <v>937</v>
          </cell>
          <cell r="BJ325">
            <v>997</v>
          </cell>
          <cell r="BK325">
            <v>117</v>
          </cell>
          <cell r="BL325">
            <v>102</v>
          </cell>
        </row>
        <row r="326">
          <cell r="C326" t="str">
            <v>☆</v>
          </cell>
          <cell r="D326" t="str">
            <v>MB275406</v>
          </cell>
          <cell r="E326" t="str">
            <v xml:space="preserve"> PLATE - TRIM</v>
          </cell>
          <cell r="F326" t="str">
            <v>유상 사급</v>
          </cell>
          <cell r="AZ326" t="str">
            <v>B</v>
          </cell>
          <cell r="BA326" t="str">
            <v>부전(주)</v>
          </cell>
        </row>
        <row r="327">
          <cell r="C327">
            <v>2584</v>
          </cell>
          <cell r="D327" t="str">
            <v>MB275425</v>
          </cell>
          <cell r="E327" t="str">
            <v xml:space="preserve"> BULKHEAD UPR LH</v>
          </cell>
          <cell r="G327">
            <v>1</v>
          </cell>
          <cell r="AZ327" t="str">
            <v>B</v>
          </cell>
          <cell r="BA327" t="str">
            <v>부전(주)</v>
          </cell>
          <cell r="BB327" t="str">
            <v>H50A16K</v>
          </cell>
          <cell r="BD327" t="str">
            <v>K804</v>
          </cell>
          <cell r="BE327" t="str">
            <v>ALL</v>
          </cell>
          <cell r="BI327">
            <v>0</v>
          </cell>
          <cell r="BJ327">
            <v>0</v>
          </cell>
          <cell r="BK327">
            <v>0</v>
          </cell>
          <cell r="BL327">
            <v>0</v>
          </cell>
        </row>
        <row r="328">
          <cell r="C328">
            <v>2584</v>
          </cell>
          <cell r="D328" t="str">
            <v>MB275426</v>
          </cell>
          <cell r="E328" t="str">
            <v xml:space="preserve"> BULKHEAD UPR RH</v>
          </cell>
          <cell r="F328" t="str">
            <v>MB274710A</v>
          </cell>
          <cell r="G328">
            <v>1</v>
          </cell>
          <cell r="AZ328" t="str">
            <v>B</v>
          </cell>
          <cell r="BA328" t="str">
            <v>부전(주)</v>
          </cell>
          <cell r="BB328" t="str">
            <v>H50A16K</v>
          </cell>
          <cell r="BD328" t="str">
            <v>K804</v>
          </cell>
          <cell r="BE328" t="str">
            <v>ALL</v>
          </cell>
          <cell r="BI328">
            <v>0</v>
          </cell>
          <cell r="BJ328">
            <v>0</v>
          </cell>
          <cell r="BK328">
            <v>0</v>
          </cell>
          <cell r="BL328">
            <v>0</v>
          </cell>
        </row>
        <row r="329">
          <cell r="C329">
            <v>1378</v>
          </cell>
          <cell r="D329" t="str">
            <v>MB275559A</v>
          </cell>
          <cell r="E329" t="str">
            <v xml:space="preserve"> BRKT,ROOF BOW(B) LH</v>
          </cell>
          <cell r="I329">
            <v>1</v>
          </cell>
          <cell r="J329">
            <v>1</v>
          </cell>
          <cell r="K329">
            <v>1</v>
          </cell>
          <cell r="O329">
            <v>1</v>
          </cell>
          <cell r="Q329">
            <v>1</v>
          </cell>
          <cell r="V329">
            <v>1</v>
          </cell>
          <cell r="X329">
            <v>1</v>
          </cell>
          <cell r="AE329">
            <v>1</v>
          </cell>
          <cell r="AG329">
            <v>1</v>
          </cell>
          <cell r="AI329">
            <v>1</v>
          </cell>
          <cell r="AJ329">
            <v>1</v>
          </cell>
          <cell r="AK329">
            <v>1</v>
          </cell>
          <cell r="AQ329">
            <v>1</v>
          </cell>
          <cell r="AR329">
            <v>1</v>
          </cell>
          <cell r="AS329">
            <v>1</v>
          </cell>
          <cell r="AT329">
            <v>1</v>
          </cell>
          <cell r="AZ329" t="str">
            <v>B</v>
          </cell>
          <cell r="BA329" t="str">
            <v>부전(주)</v>
          </cell>
          <cell r="BB329" t="str">
            <v>H50A17K</v>
          </cell>
          <cell r="BD329" t="str">
            <v>K804</v>
          </cell>
          <cell r="BI329">
            <v>888</v>
          </cell>
          <cell r="BJ329">
            <v>2</v>
          </cell>
          <cell r="BK329">
            <v>90</v>
          </cell>
          <cell r="BL329">
            <v>65</v>
          </cell>
        </row>
        <row r="330">
          <cell r="C330">
            <v>1378</v>
          </cell>
          <cell r="D330" t="str">
            <v>MB275560A</v>
          </cell>
          <cell r="E330" t="str">
            <v xml:space="preserve"> BRKT,ROOF BOW(B) RH</v>
          </cell>
          <cell r="I330">
            <v>1</v>
          </cell>
          <cell r="J330">
            <v>1</v>
          </cell>
          <cell r="K330">
            <v>1</v>
          </cell>
          <cell r="O330">
            <v>1</v>
          </cell>
          <cell r="Q330">
            <v>1</v>
          </cell>
          <cell r="V330">
            <v>1</v>
          </cell>
          <cell r="X330">
            <v>1</v>
          </cell>
          <cell r="AE330">
            <v>1</v>
          </cell>
          <cell r="AG330">
            <v>1</v>
          </cell>
          <cell r="AI330">
            <v>1</v>
          </cell>
          <cell r="AJ330">
            <v>1</v>
          </cell>
          <cell r="AK330">
            <v>1</v>
          </cell>
          <cell r="AQ330">
            <v>1</v>
          </cell>
          <cell r="AR330">
            <v>1</v>
          </cell>
          <cell r="AS330">
            <v>1</v>
          </cell>
          <cell r="AT330">
            <v>1</v>
          </cell>
          <cell r="AZ330" t="str">
            <v>B</v>
          </cell>
          <cell r="BA330" t="str">
            <v>부전(주)</v>
          </cell>
          <cell r="BB330" t="str">
            <v>H50A17K</v>
          </cell>
          <cell r="BD330" t="str">
            <v>K804</v>
          </cell>
          <cell r="BI330">
            <v>888</v>
          </cell>
          <cell r="BJ330">
            <v>2</v>
          </cell>
          <cell r="BK330">
            <v>90</v>
          </cell>
          <cell r="BL330">
            <v>65</v>
          </cell>
        </row>
        <row r="331">
          <cell r="C331">
            <v>1378</v>
          </cell>
          <cell r="D331" t="str">
            <v>MB275563A</v>
          </cell>
          <cell r="E331" t="str">
            <v xml:space="preserve"> BRKT,ROOF BOW(A) LH</v>
          </cell>
          <cell r="I331">
            <v>1</v>
          </cell>
          <cell r="J331">
            <v>1</v>
          </cell>
          <cell r="K331">
            <v>1</v>
          </cell>
          <cell r="O331">
            <v>1</v>
          </cell>
          <cell r="Q331">
            <v>1</v>
          </cell>
          <cell r="V331">
            <v>1</v>
          </cell>
          <cell r="X331">
            <v>1</v>
          </cell>
          <cell r="AE331">
            <v>1</v>
          </cell>
          <cell r="AG331">
            <v>1</v>
          </cell>
          <cell r="AI331">
            <v>1</v>
          </cell>
          <cell r="AJ331">
            <v>1</v>
          </cell>
          <cell r="AK331">
            <v>1</v>
          </cell>
          <cell r="AQ331">
            <v>1</v>
          </cell>
          <cell r="AR331">
            <v>1</v>
          </cell>
          <cell r="AS331">
            <v>1</v>
          </cell>
          <cell r="AT331">
            <v>1</v>
          </cell>
          <cell r="AZ331" t="str">
            <v>B</v>
          </cell>
          <cell r="BA331" t="str">
            <v>부전(주)</v>
          </cell>
          <cell r="BB331" t="str">
            <v>H50A17K</v>
          </cell>
          <cell r="BD331" t="str">
            <v>K804</v>
          </cell>
          <cell r="BI331">
            <v>888</v>
          </cell>
          <cell r="BJ331">
            <v>2</v>
          </cell>
          <cell r="BK331">
            <v>90</v>
          </cell>
          <cell r="BL331">
            <v>65</v>
          </cell>
        </row>
        <row r="332">
          <cell r="C332">
            <v>1378</v>
          </cell>
          <cell r="D332" t="str">
            <v>MB275564A</v>
          </cell>
          <cell r="E332" t="str">
            <v xml:space="preserve"> BRKT,ROOF BOW(A) RH</v>
          </cell>
          <cell r="I332">
            <v>1</v>
          </cell>
          <cell r="J332">
            <v>1</v>
          </cell>
          <cell r="K332">
            <v>1</v>
          </cell>
          <cell r="O332">
            <v>1</v>
          </cell>
          <cell r="Q332">
            <v>1</v>
          </cell>
          <cell r="V332">
            <v>1</v>
          </cell>
          <cell r="X332">
            <v>1</v>
          </cell>
          <cell r="AE332">
            <v>1</v>
          </cell>
          <cell r="AG332">
            <v>1</v>
          </cell>
          <cell r="AI332">
            <v>1</v>
          </cell>
          <cell r="AJ332">
            <v>1</v>
          </cell>
          <cell r="AK332">
            <v>1</v>
          </cell>
          <cell r="AQ332">
            <v>1</v>
          </cell>
          <cell r="AR332">
            <v>1</v>
          </cell>
          <cell r="AS332">
            <v>1</v>
          </cell>
          <cell r="AT332">
            <v>1</v>
          </cell>
          <cell r="AZ332" t="str">
            <v>B</v>
          </cell>
          <cell r="BA332" t="str">
            <v>부전(주)</v>
          </cell>
          <cell r="BB332" t="str">
            <v>H50A17K</v>
          </cell>
          <cell r="BD332" t="str">
            <v>K804</v>
          </cell>
          <cell r="BI332">
            <v>888</v>
          </cell>
          <cell r="BJ332">
            <v>2</v>
          </cell>
          <cell r="BK332">
            <v>90</v>
          </cell>
          <cell r="BL332">
            <v>65</v>
          </cell>
        </row>
        <row r="333">
          <cell r="C333">
            <v>1413</v>
          </cell>
          <cell r="D333" t="str">
            <v>MB275570</v>
          </cell>
          <cell r="E333" t="str">
            <v xml:space="preserve"> BRKT,OIL PIPE</v>
          </cell>
          <cell r="F333" t="str">
            <v>+431</v>
          </cell>
          <cell r="K333">
            <v>1</v>
          </cell>
          <cell r="M333">
            <v>1</v>
          </cell>
          <cell r="N333">
            <v>1</v>
          </cell>
          <cell r="O333">
            <v>1</v>
          </cell>
          <cell r="P333">
            <v>1</v>
          </cell>
          <cell r="Q333">
            <v>1</v>
          </cell>
          <cell r="T333">
            <v>1</v>
          </cell>
          <cell r="W333">
            <v>1</v>
          </cell>
          <cell r="X333">
            <v>1</v>
          </cell>
          <cell r="Z333">
            <v>1</v>
          </cell>
          <cell r="AD333">
            <v>1</v>
          </cell>
          <cell r="AE333">
            <v>1</v>
          </cell>
          <cell r="AH333">
            <v>1</v>
          </cell>
          <cell r="AI333">
            <v>1</v>
          </cell>
          <cell r="AO333">
            <v>1</v>
          </cell>
          <cell r="AP333">
            <v>1</v>
          </cell>
          <cell r="AS333">
            <v>1</v>
          </cell>
          <cell r="AT333">
            <v>1</v>
          </cell>
          <cell r="AW333">
            <v>1</v>
          </cell>
          <cell r="AZ333" t="str">
            <v>B</v>
          </cell>
          <cell r="BA333" t="str">
            <v>부전(주)</v>
          </cell>
          <cell r="BB333" t="str">
            <v>H50A15K01-5,6,9,10</v>
          </cell>
          <cell r="BC333" t="str">
            <v>D</v>
          </cell>
          <cell r="BD333" t="str">
            <v>K804</v>
          </cell>
          <cell r="BE333" t="str">
            <v>AT</v>
          </cell>
          <cell r="BI333">
            <v>684</v>
          </cell>
          <cell r="BJ333">
            <v>237</v>
          </cell>
          <cell r="BK333">
            <v>61</v>
          </cell>
          <cell r="BL333">
            <v>31</v>
          </cell>
        </row>
        <row r="334">
          <cell r="C334">
            <v>1413</v>
          </cell>
          <cell r="D334" t="str">
            <v>MB275572</v>
          </cell>
          <cell r="E334" t="str">
            <v xml:space="preserve"> BRKT,OIL COOLER</v>
          </cell>
          <cell r="F334" t="str">
            <v>+431</v>
          </cell>
          <cell r="K334">
            <v>1</v>
          </cell>
          <cell r="M334">
            <v>1</v>
          </cell>
          <cell r="N334">
            <v>1</v>
          </cell>
          <cell r="O334">
            <v>1</v>
          </cell>
          <cell r="P334">
            <v>1</v>
          </cell>
          <cell r="Q334">
            <v>1</v>
          </cell>
          <cell r="T334">
            <v>1</v>
          </cell>
          <cell r="W334">
            <v>1</v>
          </cell>
          <cell r="X334">
            <v>1</v>
          </cell>
          <cell r="Z334">
            <v>1</v>
          </cell>
          <cell r="AD334">
            <v>1</v>
          </cell>
          <cell r="AE334">
            <v>1</v>
          </cell>
          <cell r="AH334">
            <v>1</v>
          </cell>
          <cell r="AI334">
            <v>1</v>
          </cell>
          <cell r="AO334">
            <v>1</v>
          </cell>
          <cell r="AP334">
            <v>1</v>
          </cell>
          <cell r="AS334">
            <v>1</v>
          </cell>
          <cell r="AT334">
            <v>1</v>
          </cell>
          <cell r="AW334">
            <v>1</v>
          </cell>
          <cell r="AZ334" t="str">
            <v>B</v>
          </cell>
          <cell r="BA334" t="str">
            <v>부전(주)</v>
          </cell>
          <cell r="BB334" t="str">
            <v>H50A15K01-5,6,9,10</v>
          </cell>
          <cell r="BC334" t="str">
            <v>D</v>
          </cell>
          <cell r="BD334" t="str">
            <v>K804</v>
          </cell>
          <cell r="BE334" t="str">
            <v>AT</v>
          </cell>
          <cell r="BI334">
            <v>684</v>
          </cell>
          <cell r="BJ334">
            <v>237</v>
          </cell>
          <cell r="BK334">
            <v>61</v>
          </cell>
          <cell r="BL334">
            <v>31</v>
          </cell>
        </row>
        <row r="335">
          <cell r="C335">
            <v>10336</v>
          </cell>
          <cell r="D335" t="str">
            <v>MB275723A</v>
          </cell>
          <cell r="E335" t="str">
            <v xml:space="preserve"> REINF,SIDE STEP LH</v>
          </cell>
          <cell r="G335">
            <v>4</v>
          </cell>
          <cell r="AZ335" t="str">
            <v>B</v>
          </cell>
          <cell r="BA335" t="str">
            <v>부전(주)</v>
          </cell>
          <cell r="BB335" t="str">
            <v>H50A11K</v>
          </cell>
          <cell r="BD335" t="str">
            <v>K804</v>
          </cell>
          <cell r="BE335" t="str">
            <v>ALL</v>
          </cell>
          <cell r="BI335">
            <v>0</v>
          </cell>
          <cell r="BJ335">
            <v>0</v>
          </cell>
          <cell r="BK335">
            <v>0</v>
          </cell>
          <cell r="BL335">
            <v>0</v>
          </cell>
        </row>
        <row r="336">
          <cell r="C336">
            <v>10336</v>
          </cell>
          <cell r="D336" t="str">
            <v>MB275724A</v>
          </cell>
          <cell r="E336" t="str">
            <v xml:space="preserve"> REINF,SIDE STEP RH</v>
          </cell>
          <cell r="G336">
            <v>4</v>
          </cell>
          <cell r="AZ336" t="str">
            <v>B</v>
          </cell>
          <cell r="BA336" t="str">
            <v>부전(주)</v>
          </cell>
          <cell r="BB336" t="str">
            <v>H50A11K</v>
          </cell>
          <cell r="BD336" t="str">
            <v>K804</v>
          </cell>
          <cell r="BE336" t="str">
            <v>ALL</v>
          </cell>
          <cell r="BI336">
            <v>0</v>
          </cell>
          <cell r="BJ336">
            <v>0</v>
          </cell>
          <cell r="BK336">
            <v>0</v>
          </cell>
          <cell r="BL336">
            <v>0</v>
          </cell>
        </row>
        <row r="337">
          <cell r="C337">
            <v>1413</v>
          </cell>
          <cell r="D337" t="str">
            <v>MB275763</v>
          </cell>
          <cell r="E337" t="str">
            <v xml:space="preserve"> BRKT RUBBER LH</v>
          </cell>
          <cell r="F337" t="str">
            <v>+431</v>
          </cell>
          <cell r="K337">
            <v>1</v>
          </cell>
          <cell r="M337">
            <v>1</v>
          </cell>
          <cell r="N337">
            <v>1</v>
          </cell>
          <cell r="O337">
            <v>1</v>
          </cell>
          <cell r="P337">
            <v>1</v>
          </cell>
          <cell r="Q337">
            <v>1</v>
          </cell>
          <cell r="T337">
            <v>1</v>
          </cell>
          <cell r="W337">
            <v>1</v>
          </cell>
          <cell r="X337">
            <v>1</v>
          </cell>
          <cell r="AD337">
            <v>1</v>
          </cell>
          <cell r="AE337">
            <v>1</v>
          </cell>
          <cell r="AH337">
            <v>1</v>
          </cell>
          <cell r="AI337">
            <v>1</v>
          </cell>
          <cell r="AO337">
            <v>1</v>
          </cell>
          <cell r="AP337">
            <v>1</v>
          </cell>
          <cell r="AS337">
            <v>1</v>
          </cell>
          <cell r="AT337">
            <v>1</v>
          </cell>
          <cell r="AW337">
            <v>1</v>
          </cell>
          <cell r="AZ337" t="str">
            <v>B</v>
          </cell>
          <cell r="BA337" t="str">
            <v>부전(주)</v>
          </cell>
          <cell r="BB337" t="str">
            <v>H50A11K01-6,7,10,11,14^17</v>
          </cell>
          <cell r="BC337" t="str">
            <v>D</v>
          </cell>
          <cell r="BD337" t="str">
            <v>K804</v>
          </cell>
          <cell r="BE337" t="str">
            <v>AT</v>
          </cell>
          <cell r="BI337">
            <v>684</v>
          </cell>
          <cell r="BJ337">
            <v>237</v>
          </cell>
          <cell r="BK337">
            <v>61</v>
          </cell>
          <cell r="BL337">
            <v>31</v>
          </cell>
        </row>
        <row r="338">
          <cell r="C338">
            <v>1413</v>
          </cell>
          <cell r="D338" t="str">
            <v>MB275799</v>
          </cell>
          <cell r="E338" t="str">
            <v xml:space="preserve"> BRKT RUBBER RH</v>
          </cell>
          <cell r="F338" t="str">
            <v>+431</v>
          </cell>
          <cell r="K338">
            <v>1</v>
          </cell>
          <cell r="M338">
            <v>1</v>
          </cell>
          <cell r="N338">
            <v>1</v>
          </cell>
          <cell r="O338">
            <v>1</v>
          </cell>
          <cell r="P338">
            <v>1</v>
          </cell>
          <cell r="Q338">
            <v>1</v>
          </cell>
          <cell r="T338">
            <v>1</v>
          </cell>
          <cell r="W338">
            <v>1</v>
          </cell>
          <cell r="X338">
            <v>1</v>
          </cell>
          <cell r="AD338">
            <v>1</v>
          </cell>
          <cell r="AE338">
            <v>1</v>
          </cell>
          <cell r="AH338">
            <v>1</v>
          </cell>
          <cell r="AI338">
            <v>1</v>
          </cell>
          <cell r="AO338">
            <v>1</v>
          </cell>
          <cell r="AP338">
            <v>1</v>
          </cell>
          <cell r="AS338">
            <v>1</v>
          </cell>
          <cell r="AT338">
            <v>1</v>
          </cell>
          <cell r="AW338">
            <v>1</v>
          </cell>
          <cell r="AZ338" t="str">
            <v>B</v>
          </cell>
          <cell r="BA338" t="str">
            <v>부전(주)</v>
          </cell>
          <cell r="BB338" t="str">
            <v>H50A11K01-6,7,10,11,14^17</v>
          </cell>
          <cell r="BC338" t="str">
            <v>D</v>
          </cell>
          <cell r="BD338" t="str">
            <v>K804</v>
          </cell>
          <cell r="BE338" t="str">
            <v>AT</v>
          </cell>
          <cell r="BI338">
            <v>684</v>
          </cell>
          <cell r="BJ338">
            <v>237</v>
          </cell>
          <cell r="BK338">
            <v>61</v>
          </cell>
          <cell r="BL338">
            <v>31</v>
          </cell>
        </row>
        <row r="339">
          <cell r="C339">
            <v>5168</v>
          </cell>
          <cell r="D339" t="str">
            <v>MB275800A</v>
          </cell>
          <cell r="E339" t="str">
            <v xml:space="preserve"> BRKT,FENDER</v>
          </cell>
          <cell r="G339">
            <v>2</v>
          </cell>
          <cell r="AZ339" t="str">
            <v>B</v>
          </cell>
          <cell r="BA339" t="str">
            <v>부전(주)</v>
          </cell>
          <cell r="BB339" t="str">
            <v>H50A16K</v>
          </cell>
          <cell r="BD339" t="str">
            <v>K804</v>
          </cell>
          <cell r="BE339" t="str">
            <v>ALL</v>
          </cell>
          <cell r="BI339">
            <v>0</v>
          </cell>
          <cell r="BJ339">
            <v>0</v>
          </cell>
          <cell r="BK339">
            <v>0</v>
          </cell>
          <cell r="BL339">
            <v>0</v>
          </cell>
        </row>
        <row r="340">
          <cell r="C340">
            <v>2584</v>
          </cell>
          <cell r="D340" t="str">
            <v>MB275856A</v>
          </cell>
          <cell r="E340" t="str">
            <v xml:space="preserve"> PLATE RH</v>
          </cell>
          <cell r="G340">
            <v>1</v>
          </cell>
          <cell r="AZ340" t="str">
            <v>B</v>
          </cell>
          <cell r="BA340" t="str">
            <v>부전(주)</v>
          </cell>
          <cell r="BB340" t="str">
            <v>H50A13K</v>
          </cell>
          <cell r="BD340" t="str">
            <v>K804</v>
          </cell>
          <cell r="BE340" t="str">
            <v>ALL</v>
          </cell>
          <cell r="BI340">
            <v>0</v>
          </cell>
          <cell r="BJ340">
            <v>0</v>
          </cell>
          <cell r="BK340">
            <v>0</v>
          </cell>
          <cell r="BL340">
            <v>0</v>
          </cell>
        </row>
        <row r="341">
          <cell r="C341">
            <v>125</v>
          </cell>
          <cell r="D341" t="str">
            <v>MB275904A</v>
          </cell>
          <cell r="E341" t="str">
            <v xml:space="preserve"> BRKT,TANK RESERVOIR</v>
          </cell>
          <cell r="AI341">
            <v>1</v>
          </cell>
          <cell r="AK341">
            <v>1</v>
          </cell>
          <cell r="AN341">
            <v>1</v>
          </cell>
          <cell r="AP341">
            <v>1</v>
          </cell>
          <cell r="AR341">
            <v>1</v>
          </cell>
          <cell r="AW341">
            <v>1</v>
          </cell>
          <cell r="AX341">
            <v>1</v>
          </cell>
          <cell r="AY341">
            <v>1</v>
          </cell>
          <cell r="AZ341" t="str">
            <v>B</v>
          </cell>
          <cell r="BA341" t="str">
            <v>부전(주)</v>
          </cell>
          <cell r="BB341" t="str">
            <v>H50A14K</v>
          </cell>
          <cell r="BD341" t="str">
            <v>K804</v>
          </cell>
          <cell r="BE341" t="str">
            <v>V6</v>
          </cell>
          <cell r="BI341">
            <v>0</v>
          </cell>
          <cell r="BJ341">
            <v>0</v>
          </cell>
          <cell r="BK341">
            <v>61</v>
          </cell>
          <cell r="BL341">
            <v>46</v>
          </cell>
        </row>
        <row r="342">
          <cell r="C342">
            <v>124</v>
          </cell>
          <cell r="D342" t="str">
            <v>MB275908</v>
          </cell>
          <cell r="E342" t="str">
            <v xml:space="preserve"> BRKT - PRS A/C</v>
          </cell>
          <cell r="AI342">
            <v>1</v>
          </cell>
          <cell r="AN342">
            <v>1</v>
          </cell>
          <cell r="AP342">
            <v>1</v>
          </cell>
          <cell r="AR342">
            <v>1</v>
          </cell>
          <cell r="AT342">
            <v>1</v>
          </cell>
          <cell r="AW342">
            <v>1</v>
          </cell>
          <cell r="AY342">
            <v>1</v>
          </cell>
          <cell r="AZ342" t="str">
            <v>B</v>
          </cell>
          <cell r="BA342" t="str">
            <v>부전(주)</v>
          </cell>
        </row>
        <row r="343">
          <cell r="C343">
            <v>130</v>
          </cell>
          <cell r="D343" t="str">
            <v>MB275916A</v>
          </cell>
          <cell r="E343" t="str">
            <v xml:space="preserve"> BRKT,OIL COOLER HOSE</v>
          </cell>
          <cell r="W343">
            <v>1</v>
          </cell>
          <cell r="X343">
            <v>1</v>
          </cell>
          <cell r="AE343">
            <v>1</v>
          </cell>
          <cell r="AH343">
            <v>1</v>
          </cell>
          <cell r="AI343">
            <v>1</v>
          </cell>
          <cell r="AN343">
            <v>1</v>
          </cell>
          <cell r="AP343">
            <v>1</v>
          </cell>
          <cell r="AR343">
            <v>1</v>
          </cell>
          <cell r="AT343">
            <v>1</v>
          </cell>
          <cell r="AW343">
            <v>1</v>
          </cell>
          <cell r="AY343">
            <v>1</v>
          </cell>
          <cell r="AZ343" t="str">
            <v>B</v>
          </cell>
          <cell r="BA343" t="str">
            <v>부전(주)</v>
          </cell>
          <cell r="BB343" t="str">
            <v>H50A14K</v>
          </cell>
          <cell r="BD343" t="str">
            <v>K804</v>
          </cell>
          <cell r="BE343" t="str">
            <v>V6</v>
          </cell>
          <cell r="BI343">
            <v>0</v>
          </cell>
          <cell r="BJ343">
            <v>2</v>
          </cell>
          <cell r="BK343">
            <v>60</v>
          </cell>
          <cell r="BL343">
            <v>46</v>
          </cell>
        </row>
        <row r="344">
          <cell r="C344">
            <v>3554</v>
          </cell>
          <cell r="D344" t="str">
            <v>MB287795</v>
          </cell>
          <cell r="E344" t="str">
            <v xml:space="preserve"> PLATE,NUT</v>
          </cell>
          <cell r="J344">
            <v>2</v>
          </cell>
          <cell r="K344">
            <v>2</v>
          </cell>
          <cell r="O344">
            <v>2</v>
          </cell>
          <cell r="Q344">
            <v>2</v>
          </cell>
          <cell r="S344">
            <v>2</v>
          </cell>
          <cell r="T344">
            <v>2</v>
          </cell>
          <cell r="X344">
            <v>2</v>
          </cell>
          <cell r="Y344">
            <v>2</v>
          </cell>
          <cell r="Z344">
            <v>2</v>
          </cell>
          <cell r="AA344">
            <v>2</v>
          </cell>
          <cell r="AE344">
            <v>2</v>
          </cell>
          <cell r="AI344">
            <v>2</v>
          </cell>
          <cell r="AK344">
            <v>2</v>
          </cell>
          <cell r="AR344">
            <v>2</v>
          </cell>
          <cell r="AS344">
            <v>2</v>
          </cell>
          <cell r="AT344">
            <v>2</v>
          </cell>
          <cell r="AZ344" t="str">
            <v>B</v>
          </cell>
          <cell r="BA344" t="str">
            <v>부전(주)</v>
          </cell>
          <cell r="BB344" t="str">
            <v>H50A17K</v>
          </cell>
          <cell r="BD344" t="str">
            <v>K804</v>
          </cell>
          <cell r="BI344">
            <v>1736</v>
          </cell>
          <cell r="BJ344">
            <v>916</v>
          </cell>
          <cell r="BK344">
            <v>108</v>
          </cell>
          <cell r="BL344">
            <v>82</v>
          </cell>
        </row>
        <row r="345">
          <cell r="C345">
            <v>3784</v>
          </cell>
          <cell r="D345" t="str">
            <v>MB320016B</v>
          </cell>
          <cell r="E345" t="str">
            <v xml:space="preserve"> SUPT,R/DR STAT W/STRIP</v>
          </cell>
          <cell r="I345">
            <v>2</v>
          </cell>
          <cell r="J345">
            <v>2</v>
          </cell>
          <cell r="K345">
            <v>2</v>
          </cell>
          <cell r="O345">
            <v>2</v>
          </cell>
          <cell r="Q345">
            <v>2</v>
          </cell>
          <cell r="S345">
            <v>2</v>
          </cell>
          <cell r="T345">
            <v>2</v>
          </cell>
          <cell r="V345">
            <v>2</v>
          </cell>
          <cell r="X345">
            <v>2</v>
          </cell>
          <cell r="Y345">
            <v>2</v>
          </cell>
          <cell r="Z345">
            <v>2</v>
          </cell>
          <cell r="AA345">
            <v>2</v>
          </cell>
          <cell r="AE345">
            <v>2</v>
          </cell>
          <cell r="AG345">
            <v>2</v>
          </cell>
          <cell r="AI345">
            <v>2</v>
          </cell>
          <cell r="AJ345">
            <v>2</v>
          </cell>
          <cell r="AK345">
            <v>2</v>
          </cell>
          <cell r="AQ345">
            <v>2</v>
          </cell>
          <cell r="AR345">
            <v>2</v>
          </cell>
          <cell r="AS345">
            <v>2</v>
          </cell>
          <cell r="AT345">
            <v>2</v>
          </cell>
          <cell r="AU345">
            <v>2</v>
          </cell>
          <cell r="AV345">
            <v>2</v>
          </cell>
          <cell r="AX345">
            <v>2</v>
          </cell>
          <cell r="AY345">
            <v>2</v>
          </cell>
          <cell r="AZ345" t="str">
            <v>B</v>
          </cell>
          <cell r="BA345" t="str">
            <v>부전(주)</v>
          </cell>
          <cell r="BB345" t="str">
            <v>H50B32K</v>
          </cell>
          <cell r="BD345" t="str">
            <v>K804</v>
          </cell>
          <cell r="BI345">
            <v>1776</v>
          </cell>
          <cell r="BJ345">
            <v>916</v>
          </cell>
          <cell r="BK345">
            <v>180</v>
          </cell>
          <cell r="BL345">
            <v>200</v>
          </cell>
        </row>
        <row r="346">
          <cell r="C346">
            <v>1892</v>
          </cell>
          <cell r="D346" t="str">
            <v>MB320019</v>
          </cell>
          <cell r="E346" t="str">
            <v xml:space="preserve"> BRKT,SASH LH</v>
          </cell>
          <cell r="I346">
            <v>1</v>
          </cell>
          <cell r="J346">
            <v>1</v>
          </cell>
          <cell r="K346">
            <v>1</v>
          </cell>
          <cell r="O346">
            <v>1</v>
          </cell>
          <cell r="Q346">
            <v>1</v>
          </cell>
          <cell r="S346">
            <v>1</v>
          </cell>
          <cell r="T346">
            <v>1</v>
          </cell>
          <cell r="V346">
            <v>1</v>
          </cell>
          <cell r="X346">
            <v>1</v>
          </cell>
          <cell r="Y346">
            <v>1</v>
          </cell>
          <cell r="Z346">
            <v>1</v>
          </cell>
          <cell r="AA346">
            <v>1</v>
          </cell>
          <cell r="AE346">
            <v>1</v>
          </cell>
          <cell r="AG346">
            <v>1</v>
          </cell>
          <cell r="AI346">
            <v>1</v>
          </cell>
          <cell r="AJ346">
            <v>1</v>
          </cell>
          <cell r="AK346">
            <v>1</v>
          </cell>
          <cell r="AQ346">
            <v>1</v>
          </cell>
          <cell r="AR346">
            <v>1</v>
          </cell>
          <cell r="AS346">
            <v>1</v>
          </cell>
          <cell r="AT346">
            <v>1</v>
          </cell>
          <cell r="AU346">
            <v>1</v>
          </cell>
          <cell r="AV346">
            <v>1</v>
          </cell>
          <cell r="AX346">
            <v>1</v>
          </cell>
          <cell r="AY346">
            <v>1</v>
          </cell>
          <cell r="AZ346" t="str">
            <v>B</v>
          </cell>
          <cell r="BA346" t="str">
            <v>부전(주)</v>
          </cell>
          <cell r="BB346" t="str">
            <v>H50B32K</v>
          </cell>
          <cell r="BD346" t="str">
            <v>K804</v>
          </cell>
          <cell r="BI346">
            <v>888</v>
          </cell>
          <cell r="BJ346">
            <v>458</v>
          </cell>
          <cell r="BK346">
            <v>90</v>
          </cell>
          <cell r="BL346">
            <v>100</v>
          </cell>
        </row>
        <row r="347">
          <cell r="C347">
            <v>1892</v>
          </cell>
          <cell r="D347" t="str">
            <v>MB320020</v>
          </cell>
          <cell r="E347" t="str">
            <v xml:space="preserve"> BRKT SASH RH</v>
          </cell>
          <cell r="I347">
            <v>1</v>
          </cell>
          <cell r="J347">
            <v>1</v>
          </cell>
          <cell r="K347">
            <v>1</v>
          </cell>
          <cell r="O347">
            <v>1</v>
          </cell>
          <cell r="Q347">
            <v>1</v>
          </cell>
          <cell r="S347">
            <v>1</v>
          </cell>
          <cell r="T347">
            <v>1</v>
          </cell>
          <cell r="V347">
            <v>1</v>
          </cell>
          <cell r="X347">
            <v>1</v>
          </cell>
          <cell r="Y347">
            <v>1</v>
          </cell>
          <cell r="Z347">
            <v>1</v>
          </cell>
          <cell r="AA347">
            <v>1</v>
          </cell>
          <cell r="AE347">
            <v>1</v>
          </cell>
          <cell r="AG347">
            <v>1</v>
          </cell>
          <cell r="AI347">
            <v>1</v>
          </cell>
          <cell r="AJ347">
            <v>1</v>
          </cell>
          <cell r="AK347">
            <v>1</v>
          </cell>
          <cell r="AQ347">
            <v>1</v>
          </cell>
          <cell r="AR347">
            <v>1</v>
          </cell>
          <cell r="AS347">
            <v>1</v>
          </cell>
          <cell r="AT347">
            <v>1</v>
          </cell>
          <cell r="AU347">
            <v>1</v>
          </cell>
          <cell r="AV347">
            <v>1</v>
          </cell>
          <cell r="AX347">
            <v>1</v>
          </cell>
          <cell r="AY347">
            <v>1</v>
          </cell>
          <cell r="AZ347" t="str">
            <v>B</v>
          </cell>
          <cell r="BA347" t="str">
            <v>부전(주)</v>
          </cell>
          <cell r="BB347" t="str">
            <v>H50B32K</v>
          </cell>
          <cell r="BD347" t="str">
            <v>K804</v>
          </cell>
          <cell r="BI347">
            <v>888</v>
          </cell>
          <cell r="BJ347">
            <v>458</v>
          </cell>
          <cell r="BK347">
            <v>90</v>
          </cell>
          <cell r="BL347">
            <v>100</v>
          </cell>
        </row>
        <row r="348">
          <cell r="C348">
            <v>2534</v>
          </cell>
          <cell r="D348" t="str">
            <v>MB320345</v>
          </cell>
          <cell r="E348" t="str">
            <v xml:space="preserve"> REINF,FRT DR REGULATOR LH</v>
          </cell>
          <cell r="J348">
            <v>1</v>
          </cell>
          <cell r="K348">
            <v>1</v>
          </cell>
          <cell r="L348">
            <v>1</v>
          </cell>
          <cell r="M348">
            <v>1</v>
          </cell>
          <cell r="N348">
            <v>1</v>
          </cell>
          <cell r="O348">
            <v>1</v>
          </cell>
          <cell r="P348">
            <v>1</v>
          </cell>
          <cell r="Q348">
            <v>1</v>
          </cell>
          <cell r="R348">
            <v>1</v>
          </cell>
          <cell r="S348">
            <v>1</v>
          </cell>
          <cell r="T348">
            <v>1</v>
          </cell>
          <cell r="U348">
            <v>1</v>
          </cell>
          <cell r="V348">
            <v>1</v>
          </cell>
          <cell r="W348">
            <v>1</v>
          </cell>
          <cell r="X348">
            <v>1</v>
          </cell>
          <cell r="Y348">
            <v>1</v>
          </cell>
          <cell r="Z348">
            <v>1</v>
          </cell>
          <cell r="AA348">
            <v>1</v>
          </cell>
          <cell r="AB348">
            <v>1</v>
          </cell>
          <cell r="AD348">
            <v>1</v>
          </cell>
          <cell r="AE348">
            <v>1</v>
          </cell>
          <cell r="AH348">
            <v>1</v>
          </cell>
          <cell r="AI348">
            <v>1</v>
          </cell>
          <cell r="AJ348">
            <v>1</v>
          </cell>
          <cell r="AK348">
            <v>1</v>
          </cell>
          <cell r="AL348">
            <v>1</v>
          </cell>
          <cell r="AM348">
            <v>1</v>
          </cell>
          <cell r="AN348">
            <v>1</v>
          </cell>
          <cell r="AO348">
            <v>1</v>
          </cell>
          <cell r="AP348">
            <v>1</v>
          </cell>
          <cell r="AQ348">
            <v>1</v>
          </cell>
          <cell r="AR348">
            <v>1</v>
          </cell>
          <cell r="AS348">
            <v>1</v>
          </cell>
          <cell r="AT348">
            <v>1</v>
          </cell>
          <cell r="AU348">
            <v>1</v>
          </cell>
          <cell r="AV348">
            <v>1</v>
          </cell>
          <cell r="AW348">
            <v>1</v>
          </cell>
          <cell r="AX348">
            <v>1</v>
          </cell>
          <cell r="AY348">
            <v>1</v>
          </cell>
          <cell r="AZ348" t="str">
            <v>B</v>
          </cell>
          <cell r="BA348" t="str">
            <v>부전(주)</v>
          </cell>
          <cell r="BB348" t="str">
            <v>H50B31K</v>
          </cell>
          <cell r="BD348" t="str">
            <v>K804</v>
          </cell>
          <cell r="BI348">
            <v>917</v>
          </cell>
          <cell r="BJ348">
            <v>997</v>
          </cell>
          <cell r="BK348">
            <v>118</v>
          </cell>
          <cell r="BL348">
            <v>102</v>
          </cell>
        </row>
        <row r="349">
          <cell r="C349">
            <v>2534</v>
          </cell>
          <cell r="D349" t="str">
            <v>MB320346</v>
          </cell>
          <cell r="E349" t="str">
            <v xml:space="preserve"> REINF,FRT DR REGULATOR RH</v>
          </cell>
          <cell r="J349">
            <v>1</v>
          </cell>
          <cell r="K349">
            <v>1</v>
          </cell>
          <cell r="L349">
            <v>1</v>
          </cell>
          <cell r="M349">
            <v>1</v>
          </cell>
          <cell r="N349">
            <v>1</v>
          </cell>
          <cell r="O349">
            <v>1</v>
          </cell>
          <cell r="P349">
            <v>1</v>
          </cell>
          <cell r="Q349">
            <v>1</v>
          </cell>
          <cell r="R349">
            <v>1</v>
          </cell>
          <cell r="S349">
            <v>1</v>
          </cell>
          <cell r="T349">
            <v>1</v>
          </cell>
          <cell r="U349">
            <v>1</v>
          </cell>
          <cell r="V349">
            <v>1</v>
          </cell>
          <cell r="W349">
            <v>1</v>
          </cell>
          <cell r="X349">
            <v>1</v>
          </cell>
          <cell r="Y349">
            <v>1</v>
          </cell>
          <cell r="Z349">
            <v>1</v>
          </cell>
          <cell r="AA349">
            <v>1</v>
          </cell>
          <cell r="AB349">
            <v>1</v>
          </cell>
          <cell r="AD349">
            <v>1</v>
          </cell>
          <cell r="AE349">
            <v>1</v>
          </cell>
          <cell r="AH349">
            <v>1</v>
          </cell>
          <cell r="AI349">
            <v>1</v>
          </cell>
          <cell r="AJ349">
            <v>1</v>
          </cell>
          <cell r="AK349">
            <v>1</v>
          </cell>
          <cell r="AL349">
            <v>1</v>
          </cell>
          <cell r="AM349">
            <v>1</v>
          </cell>
          <cell r="AN349">
            <v>1</v>
          </cell>
          <cell r="AO349">
            <v>1</v>
          </cell>
          <cell r="AP349">
            <v>1</v>
          </cell>
          <cell r="AQ349">
            <v>1</v>
          </cell>
          <cell r="AR349">
            <v>1</v>
          </cell>
          <cell r="AS349">
            <v>1</v>
          </cell>
          <cell r="AT349">
            <v>1</v>
          </cell>
          <cell r="AU349">
            <v>1</v>
          </cell>
          <cell r="AV349">
            <v>1</v>
          </cell>
          <cell r="AW349">
            <v>1</v>
          </cell>
          <cell r="AX349">
            <v>1</v>
          </cell>
          <cell r="AY349">
            <v>1</v>
          </cell>
          <cell r="AZ349" t="str">
            <v>B</v>
          </cell>
          <cell r="BA349" t="str">
            <v>부전(주)</v>
          </cell>
          <cell r="BB349" t="str">
            <v>H50B31K</v>
          </cell>
          <cell r="BD349" t="str">
            <v>K804</v>
          </cell>
          <cell r="BI349">
            <v>917</v>
          </cell>
          <cell r="BJ349">
            <v>997</v>
          </cell>
          <cell r="BK349">
            <v>118</v>
          </cell>
          <cell r="BL349">
            <v>102</v>
          </cell>
        </row>
        <row r="350">
          <cell r="C350">
            <v>3784</v>
          </cell>
          <cell r="D350" t="str">
            <v>MB321099A</v>
          </cell>
          <cell r="E350" t="str">
            <v xml:space="preserve"> ASSY BRKT R/DR WDO CTR SASH</v>
          </cell>
          <cell r="I350">
            <v>2</v>
          </cell>
          <cell r="J350">
            <v>2</v>
          </cell>
          <cell r="K350">
            <v>2</v>
          </cell>
          <cell r="O350">
            <v>2</v>
          </cell>
          <cell r="Q350">
            <v>2</v>
          </cell>
          <cell r="S350">
            <v>2</v>
          </cell>
          <cell r="T350">
            <v>2</v>
          </cell>
          <cell r="V350">
            <v>2</v>
          </cell>
          <cell r="X350">
            <v>2</v>
          </cell>
          <cell r="Y350">
            <v>2</v>
          </cell>
          <cell r="Z350">
            <v>2</v>
          </cell>
          <cell r="AA350">
            <v>2</v>
          </cell>
          <cell r="AE350">
            <v>2</v>
          </cell>
          <cell r="AG350">
            <v>2</v>
          </cell>
          <cell r="AI350">
            <v>2</v>
          </cell>
          <cell r="AJ350">
            <v>2</v>
          </cell>
          <cell r="AK350">
            <v>2</v>
          </cell>
          <cell r="AQ350">
            <v>2</v>
          </cell>
          <cell r="AR350">
            <v>2</v>
          </cell>
          <cell r="AS350">
            <v>2</v>
          </cell>
          <cell r="AT350">
            <v>2</v>
          </cell>
          <cell r="AU350">
            <v>2</v>
          </cell>
          <cell r="AV350">
            <v>2</v>
          </cell>
          <cell r="AX350">
            <v>2</v>
          </cell>
          <cell r="AY350">
            <v>2</v>
          </cell>
          <cell r="AZ350" t="str">
            <v>B</v>
          </cell>
          <cell r="BA350" t="str">
            <v>부전(주)</v>
          </cell>
          <cell r="BB350" t="str">
            <v>H50B32K</v>
          </cell>
          <cell r="BD350" t="str">
            <v>K804</v>
          </cell>
          <cell r="BI350">
            <v>1776</v>
          </cell>
          <cell r="BJ350">
            <v>916</v>
          </cell>
          <cell r="BK350">
            <v>180</v>
          </cell>
          <cell r="BL350">
            <v>200</v>
          </cell>
        </row>
        <row r="351">
          <cell r="C351">
            <v>957</v>
          </cell>
          <cell r="D351" t="str">
            <v>MB322342</v>
          </cell>
          <cell r="E351" t="str">
            <v xml:space="preserve"> BRKT,STOPPER</v>
          </cell>
          <cell r="F351" t="str">
            <v>실제V6 ALL</v>
          </cell>
          <cell r="N351">
            <v>1</v>
          </cell>
          <cell r="O351">
            <v>1</v>
          </cell>
          <cell r="P351">
            <v>1</v>
          </cell>
          <cell r="Q351">
            <v>1</v>
          </cell>
          <cell r="W351">
            <v>1</v>
          </cell>
          <cell r="X351">
            <v>1</v>
          </cell>
          <cell r="Z351">
            <v>1</v>
          </cell>
          <cell r="AE351">
            <v>1</v>
          </cell>
          <cell r="AH351">
            <v>1</v>
          </cell>
          <cell r="AI351">
            <v>1</v>
          </cell>
          <cell r="AJ351">
            <v>1</v>
          </cell>
          <cell r="AN351">
            <v>1</v>
          </cell>
          <cell r="AO351">
            <v>1</v>
          </cell>
          <cell r="AP351">
            <v>1</v>
          </cell>
          <cell r="AQ351">
            <v>1</v>
          </cell>
          <cell r="AR351">
            <v>1</v>
          </cell>
          <cell r="AS351">
            <v>1</v>
          </cell>
          <cell r="AT351">
            <v>1</v>
          </cell>
          <cell r="AW351">
            <v>1</v>
          </cell>
          <cell r="AY351">
            <v>1</v>
          </cell>
          <cell r="AZ351" t="str">
            <v>B</v>
          </cell>
          <cell r="BA351" t="str">
            <v>부전(주)</v>
          </cell>
          <cell r="BB351" t="str">
            <v>H50A13K</v>
          </cell>
          <cell r="BC351" t="str">
            <v>HC000149</v>
          </cell>
          <cell r="BD351" t="str">
            <v>K804</v>
          </cell>
          <cell r="BE351" t="str">
            <v>V6,TCI</v>
          </cell>
          <cell r="BI351">
            <v>422</v>
          </cell>
          <cell r="BJ351">
            <v>2</v>
          </cell>
          <cell r="BK351">
            <v>104</v>
          </cell>
          <cell r="BL351">
            <v>99</v>
          </cell>
        </row>
        <row r="352">
          <cell r="C352">
            <v>131</v>
          </cell>
          <cell r="D352" t="str">
            <v>MB485941</v>
          </cell>
          <cell r="E352" t="str">
            <v xml:space="preserve"> PLATE GUIDE AIR</v>
          </cell>
          <cell r="F352" t="str">
            <v>-431B</v>
          </cell>
          <cell r="W352">
            <v>1</v>
          </cell>
          <cell r="X352">
            <v>1</v>
          </cell>
          <cell r="AE352">
            <v>1</v>
          </cell>
          <cell r="AH352">
            <v>1</v>
          </cell>
          <cell r="AI352">
            <v>1</v>
          </cell>
          <cell r="AK352">
            <v>1</v>
          </cell>
          <cell r="AN352">
            <v>1</v>
          </cell>
          <cell r="AP352">
            <v>1</v>
          </cell>
          <cell r="AR352">
            <v>1</v>
          </cell>
          <cell r="AT352">
            <v>1</v>
          </cell>
          <cell r="AW352">
            <v>1</v>
          </cell>
          <cell r="AX352">
            <v>1</v>
          </cell>
          <cell r="AY352">
            <v>1</v>
          </cell>
          <cell r="AZ352" t="str">
            <v>T</v>
          </cell>
          <cell r="BA352" t="str">
            <v>부전(주)</v>
          </cell>
          <cell r="BB352" t="str">
            <v>H65J90K</v>
          </cell>
          <cell r="BD352" t="str">
            <v>K804</v>
          </cell>
          <cell r="BE352" t="str">
            <v>V6</v>
          </cell>
          <cell r="BI352" t="e">
            <v>#REF!</v>
          </cell>
          <cell r="BJ352" t="e">
            <v>#REF!</v>
          </cell>
          <cell r="BK352" t="e">
            <v>#REF!</v>
          </cell>
          <cell r="BL352" t="e">
            <v>#REF!</v>
          </cell>
        </row>
        <row r="353">
          <cell r="C353">
            <v>2485</v>
          </cell>
          <cell r="D353" t="str">
            <v>MB501386A</v>
          </cell>
          <cell r="E353" t="str">
            <v xml:space="preserve"> BRKT ASSY-OIL PUMP</v>
          </cell>
          <cell r="F353" t="str">
            <v>+561B</v>
          </cell>
          <cell r="I353">
            <v>1</v>
          </cell>
          <cell r="J353">
            <v>1</v>
          </cell>
          <cell r="K353">
            <v>1</v>
          </cell>
          <cell r="M353">
            <v>1</v>
          </cell>
          <cell r="N353">
            <v>1</v>
          </cell>
          <cell r="O353">
            <v>1</v>
          </cell>
          <cell r="P353">
            <v>1</v>
          </cell>
          <cell r="Q353">
            <v>1</v>
          </cell>
          <cell r="R353">
            <v>1</v>
          </cell>
          <cell r="S353">
            <v>1</v>
          </cell>
          <cell r="T353">
            <v>1</v>
          </cell>
          <cell r="AC353">
            <v>1</v>
          </cell>
          <cell r="AD353">
            <v>1</v>
          </cell>
          <cell r="AJ353">
            <v>1</v>
          </cell>
          <cell r="AL353">
            <v>1</v>
          </cell>
          <cell r="AM353">
            <v>1</v>
          </cell>
          <cell r="AO353">
            <v>1</v>
          </cell>
          <cell r="AQ353">
            <v>1</v>
          </cell>
          <cell r="AS353">
            <v>1</v>
          </cell>
          <cell r="AU353">
            <v>1</v>
          </cell>
          <cell r="AY353">
            <v>1</v>
          </cell>
          <cell r="AZ353" t="str">
            <v xml:space="preserve">T </v>
          </cell>
          <cell r="BA353" t="str">
            <v>부전(주)</v>
          </cell>
        </row>
        <row r="354">
          <cell r="C354">
            <v>2584</v>
          </cell>
          <cell r="D354" t="str">
            <v>MB521104A</v>
          </cell>
          <cell r="E354" t="str">
            <v xml:space="preserve"> BRKT,BACKBONE</v>
          </cell>
          <cell r="G354">
            <v>1</v>
          </cell>
          <cell r="AZ354" t="str">
            <v>T</v>
          </cell>
          <cell r="BA354" t="str">
            <v>부전(주)</v>
          </cell>
          <cell r="BB354" t="str">
            <v>H61A90K</v>
          </cell>
          <cell r="BD354" t="str">
            <v>K804</v>
          </cell>
          <cell r="BI354" t="e">
            <v>#REF!</v>
          </cell>
          <cell r="BJ354" t="e">
            <v>#REF!</v>
          </cell>
          <cell r="BK354" t="e">
            <v>#REF!</v>
          </cell>
          <cell r="BL354" t="e">
            <v>#REF!</v>
          </cell>
        </row>
        <row r="355">
          <cell r="C355">
            <v>2584</v>
          </cell>
          <cell r="D355" t="str">
            <v>MB537118A</v>
          </cell>
          <cell r="E355" t="str">
            <v xml:space="preserve"> LWR REINF</v>
          </cell>
          <cell r="G355">
            <v>1</v>
          </cell>
          <cell r="AZ355" t="str">
            <v>B</v>
          </cell>
          <cell r="BA355" t="str">
            <v>부전(주)</v>
          </cell>
          <cell r="BB355" t="str">
            <v>H50B33K</v>
          </cell>
          <cell r="BD355" t="str">
            <v>K804</v>
          </cell>
          <cell r="BE355" t="str">
            <v>ALL</v>
          </cell>
          <cell r="BI355">
            <v>0</v>
          </cell>
          <cell r="BJ355">
            <v>0</v>
          </cell>
          <cell r="BK355">
            <v>0</v>
          </cell>
          <cell r="BL355">
            <v>0</v>
          </cell>
        </row>
        <row r="356">
          <cell r="C356">
            <v>0</v>
          </cell>
          <cell r="D356" t="str">
            <v>MB553485A</v>
          </cell>
          <cell r="E356" t="str">
            <v xml:space="preserve"> BRKT-P/S OIL PUMP</v>
          </cell>
          <cell r="AZ356" t="str">
            <v>T</v>
          </cell>
          <cell r="BA356" t="str">
            <v>부전(주)</v>
          </cell>
        </row>
        <row r="357">
          <cell r="C357">
            <v>2584</v>
          </cell>
          <cell r="D357" t="str">
            <v>MB573757A</v>
          </cell>
          <cell r="E357" t="str">
            <v xml:space="preserve"> BRKT </v>
          </cell>
          <cell r="I357">
            <v>1</v>
          </cell>
          <cell r="J357">
            <v>1</v>
          </cell>
          <cell r="K357">
            <v>1</v>
          </cell>
          <cell r="M357">
            <v>1</v>
          </cell>
          <cell r="N357">
            <v>1</v>
          </cell>
          <cell r="O357">
            <v>1</v>
          </cell>
          <cell r="P357">
            <v>1</v>
          </cell>
          <cell r="Q357">
            <v>1</v>
          </cell>
          <cell r="R357">
            <v>1</v>
          </cell>
          <cell r="S357">
            <v>1</v>
          </cell>
          <cell r="T357">
            <v>1</v>
          </cell>
          <cell r="W357">
            <v>1</v>
          </cell>
          <cell r="X357">
            <v>1</v>
          </cell>
          <cell r="AC357">
            <v>1</v>
          </cell>
          <cell r="AD357">
            <v>1</v>
          </cell>
          <cell r="AE357">
            <v>1</v>
          </cell>
          <cell r="AH357">
            <v>1</v>
          </cell>
          <cell r="AI357">
            <v>1</v>
          </cell>
          <cell r="AJ357">
            <v>1</v>
          </cell>
          <cell r="AK357">
            <v>1</v>
          </cell>
          <cell r="AL357">
            <v>1</v>
          </cell>
          <cell r="AM357">
            <v>1</v>
          </cell>
          <cell r="AN357">
            <v>1</v>
          </cell>
          <cell r="AO357">
            <v>1</v>
          </cell>
          <cell r="AQ357">
            <v>1</v>
          </cell>
          <cell r="AR357">
            <v>1</v>
          </cell>
          <cell r="AS357">
            <v>1</v>
          </cell>
          <cell r="AU357">
            <v>1</v>
          </cell>
          <cell r="AW357">
            <v>1</v>
          </cell>
          <cell r="AX357">
            <v>1</v>
          </cell>
          <cell r="AY357">
            <v>1</v>
          </cell>
          <cell r="AZ357" t="str">
            <v>T</v>
          </cell>
          <cell r="BA357" t="str">
            <v>부전(주)</v>
          </cell>
        </row>
        <row r="358">
          <cell r="C358">
            <v>1868</v>
          </cell>
          <cell r="D358" t="str">
            <v>MB573782A</v>
          </cell>
          <cell r="E358" t="str">
            <v xml:space="preserve"> CLAMP</v>
          </cell>
          <cell r="M358">
            <v>2</v>
          </cell>
          <cell r="N358">
            <v>2</v>
          </cell>
          <cell r="O358">
            <v>2</v>
          </cell>
          <cell r="P358">
            <v>2</v>
          </cell>
          <cell r="Q358">
            <v>2</v>
          </cell>
          <cell r="W358">
            <v>2</v>
          </cell>
          <cell r="AD358">
            <v>2</v>
          </cell>
          <cell r="AH358">
            <v>2</v>
          </cell>
          <cell r="AI358">
            <v>2</v>
          </cell>
          <cell r="AN358">
            <v>2</v>
          </cell>
          <cell r="AO358">
            <v>2</v>
          </cell>
          <cell r="AR358">
            <v>2</v>
          </cell>
          <cell r="AS358">
            <v>2</v>
          </cell>
          <cell r="AW358">
            <v>2</v>
          </cell>
          <cell r="AY358">
            <v>2</v>
          </cell>
          <cell r="AZ358" t="str">
            <v>T</v>
          </cell>
          <cell r="BA358" t="str">
            <v>부전(주)</v>
          </cell>
        </row>
        <row r="359">
          <cell r="C359">
            <v>2584</v>
          </cell>
          <cell r="D359" t="str">
            <v>MB591203A</v>
          </cell>
          <cell r="E359" t="str">
            <v xml:space="preserve"> REINF,SEAT BELT,RR</v>
          </cell>
          <cell r="G359">
            <v>1</v>
          </cell>
          <cell r="AZ359" t="str">
            <v>B</v>
          </cell>
          <cell r="BA359" t="str">
            <v>부전(주)</v>
          </cell>
          <cell r="BB359" t="str">
            <v>H50A12K</v>
          </cell>
          <cell r="BD359" t="str">
            <v>K804</v>
          </cell>
          <cell r="BE359" t="str">
            <v>ALL</v>
          </cell>
          <cell r="BI359">
            <v>0</v>
          </cell>
          <cell r="BJ359">
            <v>0</v>
          </cell>
          <cell r="BK359">
            <v>0</v>
          </cell>
          <cell r="BL359">
            <v>0</v>
          </cell>
        </row>
        <row r="360">
          <cell r="C360">
            <v>131</v>
          </cell>
          <cell r="D360" t="str">
            <v>MB591282A</v>
          </cell>
          <cell r="E360" t="str">
            <v xml:space="preserve"> BRKT,SOLENOID VALVE</v>
          </cell>
          <cell r="W360">
            <v>1</v>
          </cell>
          <cell r="X360">
            <v>1</v>
          </cell>
          <cell r="AE360">
            <v>1</v>
          </cell>
          <cell r="AH360">
            <v>1</v>
          </cell>
          <cell r="AI360">
            <v>1</v>
          </cell>
          <cell r="AK360">
            <v>1</v>
          </cell>
          <cell r="AN360">
            <v>1</v>
          </cell>
          <cell r="AP360">
            <v>1</v>
          </cell>
          <cell r="AR360">
            <v>1</v>
          </cell>
          <cell r="AT360">
            <v>1</v>
          </cell>
          <cell r="AW360">
            <v>1</v>
          </cell>
          <cell r="AX360">
            <v>1</v>
          </cell>
          <cell r="AY360">
            <v>1</v>
          </cell>
          <cell r="AZ360" t="str">
            <v>B</v>
          </cell>
          <cell r="BA360" t="str">
            <v>부전(주)</v>
          </cell>
          <cell r="BB360" t="str">
            <v>H50A14K</v>
          </cell>
          <cell r="BD360" t="str">
            <v>K804</v>
          </cell>
          <cell r="BE360" t="str">
            <v>V6</v>
          </cell>
          <cell r="BI360">
            <v>0</v>
          </cell>
          <cell r="BJ360">
            <v>2</v>
          </cell>
          <cell r="BK360">
            <v>61</v>
          </cell>
          <cell r="BL360">
            <v>46</v>
          </cell>
        </row>
        <row r="361">
          <cell r="C361">
            <v>2584</v>
          </cell>
          <cell r="D361" t="str">
            <v>MB591309</v>
          </cell>
          <cell r="E361" t="str">
            <v xml:space="preserve"> COVER,RR FLOOR</v>
          </cell>
          <cell r="G361">
            <v>1</v>
          </cell>
          <cell r="AZ361" t="str">
            <v>T</v>
          </cell>
          <cell r="BA361" t="str">
            <v>부전(주)</v>
          </cell>
          <cell r="BB361" t="str">
            <v>H50C90K</v>
          </cell>
          <cell r="BD361" t="str">
            <v>K804</v>
          </cell>
          <cell r="BE361" t="str">
            <v>ALL</v>
          </cell>
          <cell r="BI361" t="e">
            <v>#REF!</v>
          </cell>
          <cell r="BJ361" t="e">
            <v>#REF!</v>
          </cell>
          <cell r="BK361" t="e">
            <v>#REF!</v>
          </cell>
          <cell r="BL361" t="e">
            <v>#REF!</v>
          </cell>
        </row>
        <row r="362">
          <cell r="C362">
            <v>1892</v>
          </cell>
          <cell r="D362" t="str">
            <v>MB591435</v>
          </cell>
          <cell r="E362" t="str">
            <v xml:space="preserve"> REINF,2ND SEAT RH</v>
          </cell>
          <cell r="I362">
            <v>1</v>
          </cell>
          <cell r="J362">
            <v>1</v>
          </cell>
          <cell r="K362">
            <v>1</v>
          </cell>
          <cell r="O362">
            <v>1</v>
          </cell>
          <cell r="Q362">
            <v>1</v>
          </cell>
          <cell r="S362">
            <v>1</v>
          </cell>
          <cell r="T362">
            <v>1</v>
          </cell>
          <cell r="V362">
            <v>1</v>
          </cell>
          <cell r="X362">
            <v>1</v>
          </cell>
          <cell r="Y362">
            <v>1</v>
          </cell>
          <cell r="Z362">
            <v>1</v>
          </cell>
          <cell r="AA362">
            <v>1</v>
          </cell>
          <cell r="AE362">
            <v>1</v>
          </cell>
          <cell r="AG362">
            <v>1</v>
          </cell>
          <cell r="AI362">
            <v>1</v>
          </cell>
          <cell r="AJ362">
            <v>1</v>
          </cell>
          <cell r="AK362">
            <v>1</v>
          </cell>
          <cell r="AQ362">
            <v>1</v>
          </cell>
          <cell r="AR362">
            <v>1</v>
          </cell>
          <cell r="AS362">
            <v>1</v>
          </cell>
          <cell r="AT362">
            <v>1</v>
          </cell>
          <cell r="AU362">
            <v>1</v>
          </cell>
          <cell r="AV362">
            <v>1</v>
          </cell>
          <cell r="AX362">
            <v>1</v>
          </cell>
          <cell r="AY362">
            <v>1</v>
          </cell>
          <cell r="AZ362" t="str">
            <v>B</v>
          </cell>
          <cell r="BA362" t="str">
            <v>부전(주)</v>
          </cell>
          <cell r="BB362" t="str">
            <v>H50A12K</v>
          </cell>
          <cell r="BD362" t="str">
            <v>K804</v>
          </cell>
          <cell r="BI362">
            <v>888</v>
          </cell>
          <cell r="BJ362">
            <v>458</v>
          </cell>
          <cell r="BK362">
            <v>90</v>
          </cell>
          <cell r="BL362">
            <v>100</v>
          </cell>
        </row>
        <row r="363">
          <cell r="C363">
            <v>1892</v>
          </cell>
          <cell r="D363" t="str">
            <v>MB591463</v>
          </cell>
          <cell r="E363" t="str">
            <v xml:space="preserve"> REINF,2ND SEAT BELT,UPR LH</v>
          </cell>
          <cell r="I363">
            <v>1</v>
          </cell>
          <cell r="J363">
            <v>1</v>
          </cell>
          <cell r="K363">
            <v>1</v>
          </cell>
          <cell r="O363">
            <v>1</v>
          </cell>
          <cell r="Q363">
            <v>1</v>
          </cell>
          <cell r="S363">
            <v>1</v>
          </cell>
          <cell r="T363">
            <v>1</v>
          </cell>
          <cell r="V363">
            <v>1</v>
          </cell>
          <cell r="X363">
            <v>1</v>
          </cell>
          <cell r="Y363">
            <v>1</v>
          </cell>
          <cell r="Z363">
            <v>1</v>
          </cell>
          <cell r="AA363">
            <v>1</v>
          </cell>
          <cell r="AE363">
            <v>1</v>
          </cell>
          <cell r="AG363">
            <v>1</v>
          </cell>
          <cell r="AI363">
            <v>1</v>
          </cell>
          <cell r="AJ363">
            <v>1</v>
          </cell>
          <cell r="AK363">
            <v>1</v>
          </cell>
          <cell r="AQ363">
            <v>1</v>
          </cell>
          <cell r="AR363">
            <v>1</v>
          </cell>
          <cell r="AS363">
            <v>1</v>
          </cell>
          <cell r="AT363">
            <v>1</v>
          </cell>
          <cell r="AU363">
            <v>1</v>
          </cell>
          <cell r="AV363">
            <v>1</v>
          </cell>
          <cell r="AX363">
            <v>1</v>
          </cell>
          <cell r="AY363">
            <v>1</v>
          </cell>
          <cell r="AZ363" t="str">
            <v>B</v>
          </cell>
          <cell r="BA363" t="str">
            <v>부전(주)</v>
          </cell>
          <cell r="BB363" t="str">
            <v>H50A17K</v>
          </cell>
          <cell r="BD363" t="str">
            <v>K804</v>
          </cell>
          <cell r="BI363">
            <v>888</v>
          </cell>
          <cell r="BJ363">
            <v>458</v>
          </cell>
          <cell r="BK363">
            <v>90</v>
          </cell>
          <cell r="BL363">
            <v>100</v>
          </cell>
        </row>
        <row r="364">
          <cell r="C364">
            <v>1892</v>
          </cell>
          <cell r="D364" t="str">
            <v>MB591464</v>
          </cell>
          <cell r="E364" t="str">
            <v xml:space="preserve"> REINF,2ND SEAT BELT,UPR RH</v>
          </cell>
          <cell r="I364">
            <v>1</v>
          </cell>
          <cell r="J364">
            <v>1</v>
          </cell>
          <cell r="K364">
            <v>1</v>
          </cell>
          <cell r="O364">
            <v>1</v>
          </cell>
          <cell r="Q364">
            <v>1</v>
          </cell>
          <cell r="S364">
            <v>1</v>
          </cell>
          <cell r="T364">
            <v>1</v>
          </cell>
          <cell r="V364">
            <v>1</v>
          </cell>
          <cell r="X364">
            <v>1</v>
          </cell>
          <cell r="Y364">
            <v>1</v>
          </cell>
          <cell r="Z364">
            <v>1</v>
          </cell>
          <cell r="AA364">
            <v>1</v>
          </cell>
          <cell r="AE364">
            <v>1</v>
          </cell>
          <cell r="AG364">
            <v>1</v>
          </cell>
          <cell r="AI364">
            <v>1</v>
          </cell>
          <cell r="AJ364">
            <v>1</v>
          </cell>
          <cell r="AK364">
            <v>1</v>
          </cell>
          <cell r="AQ364">
            <v>1</v>
          </cell>
          <cell r="AR364">
            <v>1</v>
          </cell>
          <cell r="AS364">
            <v>1</v>
          </cell>
          <cell r="AT364">
            <v>1</v>
          </cell>
          <cell r="AU364">
            <v>1</v>
          </cell>
          <cell r="AV364">
            <v>1</v>
          </cell>
          <cell r="AX364">
            <v>1</v>
          </cell>
          <cell r="AY364">
            <v>1</v>
          </cell>
          <cell r="AZ364" t="str">
            <v>B</v>
          </cell>
          <cell r="BA364" t="str">
            <v>부전(주)</v>
          </cell>
          <cell r="BB364" t="str">
            <v>H50A17K</v>
          </cell>
          <cell r="BD364" t="str">
            <v>K804</v>
          </cell>
          <cell r="BI364">
            <v>888</v>
          </cell>
          <cell r="BJ364">
            <v>458</v>
          </cell>
          <cell r="BK364">
            <v>90</v>
          </cell>
          <cell r="BL364">
            <v>100</v>
          </cell>
        </row>
        <row r="365">
          <cell r="C365">
            <v>5168</v>
          </cell>
          <cell r="D365" t="str">
            <v>MB591511</v>
          </cell>
          <cell r="E365" t="str">
            <v xml:space="preserve"> PLATE,F/DR SASH</v>
          </cell>
          <cell r="G365">
            <v>2</v>
          </cell>
          <cell r="AZ365" t="str">
            <v>B</v>
          </cell>
          <cell r="BA365" t="str">
            <v>부전(주)</v>
          </cell>
          <cell r="BB365" t="str">
            <v>H50B31K</v>
          </cell>
          <cell r="BD365" t="str">
            <v>K804</v>
          </cell>
          <cell r="BE365" t="str">
            <v>ALL</v>
          </cell>
          <cell r="BI365">
            <v>0</v>
          </cell>
          <cell r="BJ365">
            <v>0</v>
          </cell>
          <cell r="BK365">
            <v>0</v>
          </cell>
          <cell r="BL365">
            <v>0</v>
          </cell>
        </row>
        <row r="366">
          <cell r="C366">
            <v>1892</v>
          </cell>
          <cell r="D366" t="str">
            <v>MB591603</v>
          </cell>
          <cell r="E366" t="str">
            <v xml:space="preserve"> REINF,FRT PILLAR INR LH</v>
          </cell>
          <cell r="I366">
            <v>1</v>
          </cell>
          <cell r="J366">
            <v>1</v>
          </cell>
          <cell r="K366">
            <v>1</v>
          </cell>
          <cell r="O366">
            <v>1</v>
          </cell>
          <cell r="Q366">
            <v>1</v>
          </cell>
          <cell r="S366">
            <v>1</v>
          </cell>
          <cell r="T366">
            <v>1</v>
          </cell>
          <cell r="V366">
            <v>1</v>
          </cell>
          <cell r="X366">
            <v>1</v>
          </cell>
          <cell r="Y366">
            <v>1</v>
          </cell>
          <cell r="Z366">
            <v>1</v>
          </cell>
          <cell r="AA366">
            <v>1</v>
          </cell>
          <cell r="AE366">
            <v>1</v>
          </cell>
          <cell r="AG366">
            <v>1</v>
          </cell>
          <cell r="AI366">
            <v>1</v>
          </cell>
          <cell r="AJ366">
            <v>1</v>
          </cell>
          <cell r="AK366">
            <v>1</v>
          </cell>
          <cell r="AQ366">
            <v>1</v>
          </cell>
          <cell r="AR366">
            <v>1</v>
          </cell>
          <cell r="AS366">
            <v>1</v>
          </cell>
          <cell r="AT366">
            <v>1</v>
          </cell>
          <cell r="AU366">
            <v>1</v>
          </cell>
          <cell r="AV366">
            <v>1</v>
          </cell>
          <cell r="AX366">
            <v>1</v>
          </cell>
          <cell r="AY366">
            <v>1</v>
          </cell>
          <cell r="AZ366" t="str">
            <v>B</v>
          </cell>
          <cell r="BA366" t="str">
            <v>부전(주)</v>
          </cell>
          <cell r="BB366" t="str">
            <v>H50A16K</v>
          </cell>
          <cell r="BD366" t="str">
            <v>K804</v>
          </cell>
          <cell r="BI366">
            <v>888</v>
          </cell>
          <cell r="BJ366">
            <v>458</v>
          </cell>
          <cell r="BK366">
            <v>90</v>
          </cell>
          <cell r="BL366">
            <v>100</v>
          </cell>
        </row>
        <row r="367">
          <cell r="C367">
            <v>1892</v>
          </cell>
          <cell r="D367" t="str">
            <v>MB591604</v>
          </cell>
          <cell r="E367" t="str">
            <v xml:space="preserve"> REINF,FRT PILLAR INR RH</v>
          </cell>
          <cell r="I367">
            <v>1</v>
          </cell>
          <cell r="J367">
            <v>1</v>
          </cell>
          <cell r="K367">
            <v>1</v>
          </cell>
          <cell r="O367">
            <v>1</v>
          </cell>
          <cell r="Q367">
            <v>1</v>
          </cell>
          <cell r="S367">
            <v>1</v>
          </cell>
          <cell r="T367">
            <v>1</v>
          </cell>
          <cell r="V367">
            <v>1</v>
          </cell>
          <cell r="X367">
            <v>1</v>
          </cell>
          <cell r="Y367">
            <v>1</v>
          </cell>
          <cell r="Z367">
            <v>1</v>
          </cell>
          <cell r="AA367">
            <v>1</v>
          </cell>
          <cell r="AE367">
            <v>1</v>
          </cell>
          <cell r="AG367">
            <v>1</v>
          </cell>
          <cell r="AI367">
            <v>1</v>
          </cell>
          <cell r="AJ367">
            <v>1</v>
          </cell>
          <cell r="AK367">
            <v>1</v>
          </cell>
          <cell r="AQ367">
            <v>1</v>
          </cell>
          <cell r="AR367">
            <v>1</v>
          </cell>
          <cell r="AS367">
            <v>1</v>
          </cell>
          <cell r="AT367">
            <v>1</v>
          </cell>
          <cell r="AU367">
            <v>1</v>
          </cell>
          <cell r="AV367">
            <v>1</v>
          </cell>
          <cell r="AX367">
            <v>1</v>
          </cell>
          <cell r="AY367">
            <v>1</v>
          </cell>
          <cell r="AZ367" t="str">
            <v>B</v>
          </cell>
          <cell r="BA367" t="str">
            <v>부전(주)</v>
          </cell>
          <cell r="BB367" t="str">
            <v>H50A16K</v>
          </cell>
          <cell r="BD367" t="str">
            <v>K804</v>
          </cell>
          <cell r="BI367">
            <v>888</v>
          </cell>
          <cell r="BJ367">
            <v>458</v>
          </cell>
          <cell r="BK367">
            <v>90</v>
          </cell>
          <cell r="BL367">
            <v>100</v>
          </cell>
        </row>
        <row r="368">
          <cell r="C368">
            <v>1892</v>
          </cell>
          <cell r="D368" t="str">
            <v>MB591605A</v>
          </cell>
          <cell r="E368" t="str">
            <v xml:space="preserve"> REINF ASS'Y,F/SEATBELT,UPR LH</v>
          </cell>
          <cell r="I368">
            <v>1</v>
          </cell>
          <cell r="J368">
            <v>1</v>
          </cell>
          <cell r="K368">
            <v>1</v>
          </cell>
          <cell r="O368">
            <v>1</v>
          </cell>
          <cell r="Q368">
            <v>1</v>
          </cell>
          <cell r="S368">
            <v>1</v>
          </cell>
          <cell r="T368">
            <v>1</v>
          </cell>
          <cell r="V368">
            <v>1</v>
          </cell>
          <cell r="X368">
            <v>1</v>
          </cell>
          <cell r="Y368">
            <v>1</v>
          </cell>
          <cell r="Z368">
            <v>1</v>
          </cell>
          <cell r="AA368">
            <v>1</v>
          </cell>
          <cell r="AE368">
            <v>1</v>
          </cell>
          <cell r="AG368">
            <v>1</v>
          </cell>
          <cell r="AI368">
            <v>1</v>
          </cell>
          <cell r="AJ368">
            <v>1</v>
          </cell>
          <cell r="AK368">
            <v>1</v>
          </cell>
          <cell r="AQ368">
            <v>1</v>
          </cell>
          <cell r="AR368">
            <v>1</v>
          </cell>
          <cell r="AS368">
            <v>1</v>
          </cell>
          <cell r="AT368">
            <v>1</v>
          </cell>
          <cell r="AU368">
            <v>1</v>
          </cell>
          <cell r="AV368">
            <v>1</v>
          </cell>
          <cell r="AX368">
            <v>1</v>
          </cell>
          <cell r="AY368">
            <v>1</v>
          </cell>
          <cell r="AZ368" t="str">
            <v>B</v>
          </cell>
          <cell r="BA368" t="str">
            <v>부전(주)</v>
          </cell>
          <cell r="BB368" t="str">
            <v>H50A17K</v>
          </cell>
          <cell r="BD368" t="str">
            <v>K804</v>
          </cell>
          <cell r="BI368">
            <v>888</v>
          </cell>
          <cell r="BJ368">
            <v>458</v>
          </cell>
          <cell r="BK368">
            <v>90</v>
          </cell>
          <cell r="BL368">
            <v>100</v>
          </cell>
        </row>
        <row r="369">
          <cell r="C369">
            <v>1892</v>
          </cell>
          <cell r="D369" t="str">
            <v>MB591606A</v>
          </cell>
          <cell r="E369" t="str">
            <v xml:space="preserve"> REINF ASS'Y,F/SEATBELT,UPR RH</v>
          </cell>
          <cell r="I369">
            <v>1</v>
          </cell>
          <cell r="J369">
            <v>1</v>
          </cell>
          <cell r="K369">
            <v>1</v>
          </cell>
          <cell r="O369">
            <v>1</v>
          </cell>
          <cell r="Q369">
            <v>1</v>
          </cell>
          <cell r="S369">
            <v>1</v>
          </cell>
          <cell r="T369">
            <v>1</v>
          </cell>
          <cell r="V369">
            <v>1</v>
          </cell>
          <cell r="X369">
            <v>1</v>
          </cell>
          <cell r="Y369">
            <v>1</v>
          </cell>
          <cell r="Z369">
            <v>1</v>
          </cell>
          <cell r="AA369">
            <v>1</v>
          </cell>
          <cell r="AE369">
            <v>1</v>
          </cell>
          <cell r="AG369">
            <v>1</v>
          </cell>
          <cell r="AI369">
            <v>1</v>
          </cell>
          <cell r="AJ369">
            <v>1</v>
          </cell>
          <cell r="AK369">
            <v>1</v>
          </cell>
          <cell r="AQ369">
            <v>1</v>
          </cell>
          <cell r="AR369">
            <v>1</v>
          </cell>
          <cell r="AS369">
            <v>1</v>
          </cell>
          <cell r="AT369">
            <v>1</v>
          </cell>
          <cell r="AU369">
            <v>1</v>
          </cell>
          <cell r="AV369">
            <v>1</v>
          </cell>
          <cell r="AX369">
            <v>1</v>
          </cell>
          <cell r="AY369">
            <v>1</v>
          </cell>
          <cell r="AZ369" t="str">
            <v>B</v>
          </cell>
          <cell r="BA369" t="str">
            <v>부전(주)</v>
          </cell>
          <cell r="BB369" t="str">
            <v>H50A17K</v>
          </cell>
          <cell r="BD369" t="str">
            <v>K804</v>
          </cell>
          <cell r="BI369">
            <v>888</v>
          </cell>
          <cell r="BJ369">
            <v>458</v>
          </cell>
          <cell r="BK369">
            <v>90</v>
          </cell>
          <cell r="BL369">
            <v>100</v>
          </cell>
        </row>
        <row r="370">
          <cell r="C370">
            <v>1892</v>
          </cell>
          <cell r="D370" t="str">
            <v>MB591627</v>
          </cell>
          <cell r="E370" t="str">
            <v xml:space="preserve"> REINF ASSY R/DR HINGE UPR LH</v>
          </cell>
          <cell r="I370">
            <v>1</v>
          </cell>
          <cell r="J370">
            <v>1</v>
          </cell>
          <cell r="K370">
            <v>1</v>
          </cell>
          <cell r="O370">
            <v>1</v>
          </cell>
          <cell r="Q370">
            <v>1</v>
          </cell>
          <cell r="S370">
            <v>1</v>
          </cell>
          <cell r="T370">
            <v>1</v>
          </cell>
          <cell r="V370">
            <v>1</v>
          </cell>
          <cell r="X370">
            <v>1</v>
          </cell>
          <cell r="Y370">
            <v>1</v>
          </cell>
          <cell r="Z370">
            <v>1</v>
          </cell>
          <cell r="AA370">
            <v>1</v>
          </cell>
          <cell r="AE370">
            <v>1</v>
          </cell>
          <cell r="AG370">
            <v>1</v>
          </cell>
          <cell r="AI370">
            <v>1</v>
          </cell>
          <cell r="AJ370">
            <v>1</v>
          </cell>
          <cell r="AK370">
            <v>1</v>
          </cell>
          <cell r="AQ370">
            <v>1</v>
          </cell>
          <cell r="AR370">
            <v>1</v>
          </cell>
          <cell r="AS370">
            <v>1</v>
          </cell>
          <cell r="AT370">
            <v>1</v>
          </cell>
          <cell r="AU370">
            <v>1</v>
          </cell>
          <cell r="AV370">
            <v>1</v>
          </cell>
          <cell r="AX370">
            <v>1</v>
          </cell>
          <cell r="AY370">
            <v>1</v>
          </cell>
          <cell r="AZ370" t="str">
            <v>B</v>
          </cell>
          <cell r="BA370" t="str">
            <v>부전(주)</v>
          </cell>
          <cell r="BB370" t="str">
            <v>H50A17K</v>
          </cell>
          <cell r="BD370" t="str">
            <v>K804</v>
          </cell>
          <cell r="BI370">
            <v>888</v>
          </cell>
          <cell r="BJ370">
            <v>458</v>
          </cell>
          <cell r="BK370">
            <v>90</v>
          </cell>
          <cell r="BL370">
            <v>100</v>
          </cell>
        </row>
        <row r="371">
          <cell r="C371">
            <v>1892</v>
          </cell>
          <cell r="D371" t="str">
            <v>MB591628</v>
          </cell>
          <cell r="E371" t="str">
            <v xml:space="preserve"> REINF ASSY R/DR HINGE UPR RH</v>
          </cell>
          <cell r="I371">
            <v>1</v>
          </cell>
          <cell r="J371">
            <v>1</v>
          </cell>
          <cell r="K371">
            <v>1</v>
          </cell>
          <cell r="O371">
            <v>1</v>
          </cell>
          <cell r="Q371">
            <v>1</v>
          </cell>
          <cell r="S371">
            <v>1</v>
          </cell>
          <cell r="T371">
            <v>1</v>
          </cell>
          <cell r="V371">
            <v>1</v>
          </cell>
          <cell r="X371">
            <v>1</v>
          </cell>
          <cell r="Y371">
            <v>1</v>
          </cell>
          <cell r="Z371">
            <v>1</v>
          </cell>
          <cell r="AA371">
            <v>1</v>
          </cell>
          <cell r="AE371">
            <v>1</v>
          </cell>
          <cell r="AG371">
            <v>1</v>
          </cell>
          <cell r="AI371">
            <v>1</v>
          </cell>
          <cell r="AJ371">
            <v>1</v>
          </cell>
          <cell r="AK371">
            <v>1</v>
          </cell>
          <cell r="AQ371">
            <v>1</v>
          </cell>
          <cell r="AR371">
            <v>1</v>
          </cell>
          <cell r="AS371">
            <v>1</v>
          </cell>
          <cell r="AT371">
            <v>1</v>
          </cell>
          <cell r="AU371">
            <v>1</v>
          </cell>
          <cell r="AV371">
            <v>1</v>
          </cell>
          <cell r="AX371">
            <v>1</v>
          </cell>
          <cell r="AY371">
            <v>1</v>
          </cell>
          <cell r="AZ371" t="str">
            <v>B</v>
          </cell>
          <cell r="BA371" t="str">
            <v>부전(주)</v>
          </cell>
          <cell r="BB371" t="str">
            <v>H50A17K</v>
          </cell>
          <cell r="BD371" t="str">
            <v>K804</v>
          </cell>
          <cell r="BI371">
            <v>888</v>
          </cell>
          <cell r="BJ371">
            <v>458</v>
          </cell>
          <cell r="BK371">
            <v>90</v>
          </cell>
          <cell r="BL371">
            <v>100</v>
          </cell>
        </row>
        <row r="372">
          <cell r="C372">
            <v>798</v>
          </cell>
          <cell r="D372" t="str">
            <v>MB591663</v>
          </cell>
          <cell r="E372" t="str">
            <v xml:space="preserve"> REINF,QTR PANEL INR LH</v>
          </cell>
          <cell r="F372" t="str">
            <v>실물V6 LWB</v>
          </cell>
          <cell r="O372">
            <v>1</v>
          </cell>
          <cell r="Q372">
            <v>1</v>
          </cell>
          <cell r="X372">
            <v>1</v>
          </cell>
          <cell r="Z372">
            <v>1</v>
          </cell>
          <cell r="AE372">
            <v>1</v>
          </cell>
          <cell r="AI372">
            <v>1</v>
          </cell>
          <cell r="AR372">
            <v>1</v>
          </cell>
          <cell r="AS372">
            <v>1</v>
          </cell>
          <cell r="AT372">
            <v>1</v>
          </cell>
          <cell r="AZ372" t="str">
            <v>B</v>
          </cell>
          <cell r="BA372" t="str">
            <v>부전(주)</v>
          </cell>
          <cell r="BB372" t="str">
            <v>H50A17K</v>
          </cell>
          <cell r="BD372" t="str">
            <v>K804</v>
          </cell>
          <cell r="BE372" t="str">
            <v>6</v>
          </cell>
          <cell r="BI372">
            <v>397</v>
          </cell>
          <cell r="BJ372">
            <v>2</v>
          </cell>
          <cell r="BK372">
            <v>53</v>
          </cell>
          <cell r="BL372">
            <v>41</v>
          </cell>
        </row>
        <row r="373">
          <cell r="C373">
            <v>798</v>
          </cell>
          <cell r="D373" t="str">
            <v>MB591664</v>
          </cell>
          <cell r="E373" t="str">
            <v xml:space="preserve"> REINF,QTR PANEL INR RH</v>
          </cell>
          <cell r="F373" t="str">
            <v>실물V6 LWB</v>
          </cell>
          <cell r="O373">
            <v>1</v>
          </cell>
          <cell r="Q373">
            <v>1</v>
          </cell>
          <cell r="X373">
            <v>1</v>
          </cell>
          <cell r="Z373">
            <v>1</v>
          </cell>
          <cell r="AE373">
            <v>1</v>
          </cell>
          <cell r="AI373">
            <v>1</v>
          </cell>
          <cell r="AR373">
            <v>1</v>
          </cell>
          <cell r="AS373">
            <v>1</v>
          </cell>
          <cell r="AT373">
            <v>1</v>
          </cell>
          <cell r="AZ373" t="str">
            <v>B</v>
          </cell>
          <cell r="BA373" t="str">
            <v>부전(주)</v>
          </cell>
          <cell r="BB373" t="str">
            <v>H50A17K</v>
          </cell>
          <cell r="BD373" t="str">
            <v>K804</v>
          </cell>
          <cell r="BE373" t="str">
            <v>6</v>
          </cell>
          <cell r="BI373">
            <v>397</v>
          </cell>
          <cell r="BJ373">
            <v>2</v>
          </cell>
          <cell r="BK373">
            <v>53</v>
          </cell>
          <cell r="BL373">
            <v>41</v>
          </cell>
        </row>
        <row r="374">
          <cell r="C374">
            <v>830</v>
          </cell>
          <cell r="D374" t="str">
            <v>MB591677</v>
          </cell>
          <cell r="E374" t="str">
            <v xml:space="preserve"> BRKT,SEPARATOR TANK</v>
          </cell>
          <cell r="O374">
            <v>1</v>
          </cell>
          <cell r="Q374">
            <v>1</v>
          </cell>
          <cell r="X374">
            <v>1</v>
          </cell>
          <cell r="Z374">
            <v>1</v>
          </cell>
          <cell r="AE374">
            <v>1</v>
          </cell>
          <cell r="AI374">
            <v>1</v>
          </cell>
          <cell r="AR374">
            <v>1</v>
          </cell>
          <cell r="AS374">
            <v>1</v>
          </cell>
          <cell r="AT374">
            <v>1</v>
          </cell>
          <cell r="AY374">
            <v>1</v>
          </cell>
          <cell r="AZ374" t="str">
            <v>B</v>
          </cell>
          <cell r="BA374" t="str">
            <v>부전(주)</v>
          </cell>
          <cell r="BB374" t="str">
            <v>H50A12K</v>
          </cell>
          <cell r="BD374" t="str">
            <v>K804</v>
          </cell>
          <cell r="BE374" t="str">
            <v>6,16,18</v>
          </cell>
          <cell r="BI374">
            <v>397</v>
          </cell>
          <cell r="BJ374">
            <v>2</v>
          </cell>
          <cell r="BK374">
            <v>53</v>
          </cell>
          <cell r="BL374">
            <v>73</v>
          </cell>
        </row>
        <row r="375">
          <cell r="C375">
            <v>200</v>
          </cell>
          <cell r="D375" t="str">
            <v>MB591737</v>
          </cell>
          <cell r="E375" t="str">
            <v xml:space="preserve"> COVER,RR FLR EXTENTION(B)</v>
          </cell>
          <cell r="X375">
            <v>2</v>
          </cell>
          <cell r="AE375">
            <v>2</v>
          </cell>
          <cell r="AI375">
            <v>2</v>
          </cell>
          <cell r="AR375">
            <v>2</v>
          </cell>
          <cell r="AT375">
            <v>2</v>
          </cell>
          <cell r="AY375">
            <v>1</v>
          </cell>
          <cell r="AZ375" t="str">
            <v>T</v>
          </cell>
          <cell r="BA375" t="str">
            <v>부전(주)</v>
          </cell>
          <cell r="BB375" t="str">
            <v>H50C90K</v>
          </cell>
          <cell r="BD375" t="str">
            <v>K804</v>
          </cell>
          <cell r="BE375" t="str">
            <v>6</v>
          </cell>
          <cell r="BI375" t="e">
            <v>#REF!</v>
          </cell>
          <cell r="BJ375" t="e">
            <v>#REF!</v>
          </cell>
          <cell r="BK375" t="e">
            <v>#REF!</v>
          </cell>
          <cell r="BL375" t="e">
            <v>#REF!</v>
          </cell>
        </row>
        <row r="376">
          <cell r="C376">
            <v>28</v>
          </cell>
          <cell r="D376" t="str">
            <v>MB591739</v>
          </cell>
          <cell r="E376" t="str">
            <v xml:space="preserve"> COVER,RR FLR EXTENTION(A)</v>
          </cell>
          <cell r="W376">
            <v>2</v>
          </cell>
          <cell r="AH376">
            <v>2</v>
          </cell>
          <cell r="AN376">
            <v>2</v>
          </cell>
          <cell r="AP376">
            <v>2</v>
          </cell>
          <cell r="AW376">
            <v>2</v>
          </cell>
          <cell r="AZ376" t="str">
            <v>T</v>
          </cell>
          <cell r="BA376" t="str">
            <v>부전(주)</v>
          </cell>
          <cell r="BB376" t="str">
            <v>H50C90K</v>
          </cell>
          <cell r="BD376" t="str">
            <v>K804</v>
          </cell>
          <cell r="BE376" t="str">
            <v>5,14</v>
          </cell>
          <cell r="BI376" t="e">
            <v>#REF!</v>
          </cell>
          <cell r="BJ376" t="e">
            <v>#REF!</v>
          </cell>
          <cell r="BK376" t="e">
            <v>#REF!</v>
          </cell>
          <cell r="BL376" t="e">
            <v>#REF!</v>
          </cell>
        </row>
        <row r="377">
          <cell r="C377">
            <v>2584</v>
          </cell>
          <cell r="D377" t="str">
            <v>MB628787A</v>
          </cell>
          <cell r="E377" t="str">
            <v xml:space="preserve"> BRKT,HEATER LH</v>
          </cell>
          <cell r="G377">
            <v>1</v>
          </cell>
          <cell r="AZ377" t="str">
            <v>B</v>
          </cell>
          <cell r="BA377" t="str">
            <v>부전(주)</v>
          </cell>
          <cell r="BB377" t="str">
            <v>H50A18K</v>
          </cell>
          <cell r="BD377" t="str">
            <v>K804</v>
          </cell>
          <cell r="BE377" t="str">
            <v>ALL</v>
          </cell>
          <cell r="BI377">
            <v>0</v>
          </cell>
          <cell r="BJ377">
            <v>0</v>
          </cell>
          <cell r="BK377">
            <v>0</v>
          </cell>
          <cell r="BL377">
            <v>0</v>
          </cell>
        </row>
        <row r="378">
          <cell r="C378">
            <v>2584</v>
          </cell>
          <cell r="D378" t="str">
            <v>MB628788A</v>
          </cell>
          <cell r="E378" t="str">
            <v xml:space="preserve"> BRKT,HEATER RH</v>
          </cell>
          <cell r="G378">
            <v>1</v>
          </cell>
          <cell r="AZ378" t="str">
            <v>B</v>
          </cell>
          <cell r="BA378" t="str">
            <v>부전(주)</v>
          </cell>
          <cell r="BB378" t="str">
            <v>H50A18K</v>
          </cell>
          <cell r="BD378" t="str">
            <v>K804</v>
          </cell>
          <cell r="BE378" t="str">
            <v>ALL</v>
          </cell>
          <cell r="BI378">
            <v>0</v>
          </cell>
          <cell r="BJ378">
            <v>0</v>
          </cell>
          <cell r="BK378">
            <v>0</v>
          </cell>
          <cell r="BL378">
            <v>0</v>
          </cell>
        </row>
        <row r="379">
          <cell r="C379">
            <v>0</v>
          </cell>
          <cell r="D379" t="str">
            <v>MB643765</v>
          </cell>
          <cell r="E379" t="str">
            <v xml:space="preserve"> BRKT</v>
          </cell>
          <cell r="AZ379" t="str">
            <v>T</v>
          </cell>
          <cell r="BA379" t="str">
            <v>부전(주)</v>
          </cell>
        </row>
        <row r="380">
          <cell r="C380">
            <v>14120</v>
          </cell>
          <cell r="D380" t="str">
            <v>MT384360A</v>
          </cell>
          <cell r="E380" t="str">
            <v xml:space="preserve"> PLUG FLOOR</v>
          </cell>
          <cell r="H380">
            <v>4</v>
          </cell>
          <cell r="I380">
            <v>6</v>
          </cell>
          <cell r="J380">
            <v>6</v>
          </cell>
          <cell r="K380">
            <v>6</v>
          </cell>
          <cell r="L380">
            <v>4</v>
          </cell>
          <cell r="M380">
            <v>4</v>
          </cell>
          <cell r="N380">
            <v>4</v>
          </cell>
          <cell r="O380">
            <v>6</v>
          </cell>
          <cell r="P380">
            <v>4</v>
          </cell>
          <cell r="Q380">
            <v>6</v>
          </cell>
          <cell r="R380">
            <v>4</v>
          </cell>
          <cell r="S380">
            <v>6</v>
          </cell>
          <cell r="T380">
            <v>6</v>
          </cell>
          <cell r="U380">
            <v>4</v>
          </cell>
          <cell r="V380">
            <v>6</v>
          </cell>
          <cell r="W380">
            <v>4</v>
          </cell>
          <cell r="X380">
            <v>6</v>
          </cell>
          <cell r="Y380">
            <v>6</v>
          </cell>
          <cell r="Z380">
            <v>6</v>
          </cell>
          <cell r="AA380">
            <v>6</v>
          </cell>
          <cell r="AB380">
            <v>4</v>
          </cell>
          <cell r="AC380">
            <v>4</v>
          </cell>
          <cell r="AD380">
            <v>4</v>
          </cell>
          <cell r="AE380">
            <v>6</v>
          </cell>
          <cell r="AF380">
            <v>4</v>
          </cell>
          <cell r="AG380">
            <v>6</v>
          </cell>
          <cell r="AH380">
            <v>4</v>
          </cell>
          <cell r="AI380">
            <v>6</v>
          </cell>
          <cell r="AJ380">
            <v>6</v>
          </cell>
          <cell r="AK380">
            <v>6</v>
          </cell>
          <cell r="AL380">
            <v>4</v>
          </cell>
          <cell r="AM380">
            <v>4</v>
          </cell>
          <cell r="AN380">
            <v>4</v>
          </cell>
          <cell r="AO380">
            <v>4</v>
          </cell>
          <cell r="AP380">
            <v>4</v>
          </cell>
          <cell r="AQ380">
            <v>6</v>
          </cell>
          <cell r="AR380">
            <v>6</v>
          </cell>
          <cell r="AS380">
            <v>6</v>
          </cell>
          <cell r="AT380">
            <v>6</v>
          </cell>
          <cell r="AU380">
            <v>6</v>
          </cell>
          <cell r="AV380">
            <v>6</v>
          </cell>
          <cell r="AW380">
            <v>4</v>
          </cell>
          <cell r="AX380">
            <v>6</v>
          </cell>
          <cell r="AY380">
            <v>6</v>
          </cell>
          <cell r="AZ380" t="str">
            <v>T</v>
          </cell>
          <cell r="BA380" t="str">
            <v>부전(주)</v>
          </cell>
          <cell r="BB380" t="str">
            <v>H53A90K</v>
          </cell>
          <cell r="BD380" t="str">
            <v>K804</v>
          </cell>
          <cell r="BI380" t="e">
            <v>#REF!</v>
          </cell>
          <cell r="BJ380" t="e">
            <v>#REF!</v>
          </cell>
          <cell r="BK380" t="e">
            <v>#REF!</v>
          </cell>
          <cell r="BL380" t="e">
            <v>#REF!</v>
          </cell>
        </row>
        <row r="381">
          <cell r="C381">
            <v>130</v>
          </cell>
          <cell r="D381" t="str">
            <v>XB275902A</v>
          </cell>
          <cell r="E381" t="str">
            <v xml:space="preserve"> BRKT,CLUTCH HOSE</v>
          </cell>
          <cell r="F381" t="str">
            <v>-431B</v>
          </cell>
          <cell r="X381">
            <v>1</v>
          </cell>
          <cell r="AE381">
            <v>1</v>
          </cell>
          <cell r="AH381">
            <v>1</v>
          </cell>
          <cell r="AI381">
            <v>1</v>
          </cell>
          <cell r="AN381">
            <v>1</v>
          </cell>
          <cell r="AP381">
            <v>1</v>
          </cell>
          <cell r="AR381">
            <v>1</v>
          </cell>
          <cell r="AT381">
            <v>1</v>
          </cell>
          <cell r="AW381">
            <v>1</v>
          </cell>
          <cell r="AY381">
            <v>1</v>
          </cell>
          <cell r="AZ381" t="str">
            <v>B</v>
          </cell>
          <cell r="BA381" t="str">
            <v>부전(주)</v>
          </cell>
          <cell r="BB381" t="str">
            <v>H50A13K</v>
          </cell>
          <cell r="BC381" t="str">
            <v>MB591486A</v>
          </cell>
          <cell r="BD381" t="str">
            <v>K804</v>
          </cell>
          <cell r="BE381" t="str">
            <v>5,6</v>
          </cell>
          <cell r="BI381">
            <v>0</v>
          </cell>
          <cell r="BJ381">
            <v>2</v>
          </cell>
          <cell r="BK381">
            <v>60</v>
          </cell>
          <cell r="BL381">
            <v>46</v>
          </cell>
        </row>
        <row r="382">
          <cell r="C382">
            <v>2337</v>
          </cell>
          <cell r="D382" t="str">
            <v>XB591236</v>
          </cell>
          <cell r="E382" t="str">
            <v xml:space="preserve"> REINF,DUCT</v>
          </cell>
          <cell r="F382" t="str">
            <v>-651A</v>
          </cell>
          <cell r="H382">
            <v>1</v>
          </cell>
          <cell r="I382">
            <v>1</v>
          </cell>
          <cell r="J382">
            <v>1</v>
          </cell>
          <cell r="K382">
            <v>1</v>
          </cell>
          <cell r="L382">
            <v>1</v>
          </cell>
          <cell r="M382">
            <v>1</v>
          </cell>
          <cell r="N382">
            <v>1</v>
          </cell>
          <cell r="O382">
            <v>1</v>
          </cell>
          <cell r="P382">
            <v>1</v>
          </cell>
          <cell r="Q382">
            <v>1</v>
          </cell>
          <cell r="R382">
            <v>1</v>
          </cell>
          <cell r="S382">
            <v>1</v>
          </cell>
          <cell r="T382">
            <v>1</v>
          </cell>
          <cell r="U382">
            <v>1</v>
          </cell>
          <cell r="V382">
            <v>1</v>
          </cell>
          <cell r="W382">
            <v>1</v>
          </cell>
          <cell r="X382">
            <v>1</v>
          </cell>
          <cell r="Y382">
            <v>1</v>
          </cell>
          <cell r="Z382">
            <v>1</v>
          </cell>
          <cell r="AA382">
            <v>1</v>
          </cell>
          <cell r="AB382">
            <v>1</v>
          </cell>
          <cell r="AC382">
            <v>1</v>
          </cell>
          <cell r="AD382">
            <v>1</v>
          </cell>
          <cell r="AE382">
            <v>1</v>
          </cell>
          <cell r="AH382">
            <v>1</v>
          </cell>
          <cell r="AZ382" t="str">
            <v>B</v>
          </cell>
          <cell r="BA382" t="str">
            <v>부전(주)</v>
          </cell>
          <cell r="BB382" t="str">
            <v>H50A14K</v>
          </cell>
          <cell r="BD382" t="str">
            <v>K804</v>
          </cell>
          <cell r="BE382" t="str">
            <v>ALL</v>
          </cell>
          <cell r="BI382">
            <v>937</v>
          </cell>
          <cell r="BJ382">
            <v>997</v>
          </cell>
          <cell r="BK382">
            <v>0</v>
          </cell>
          <cell r="BL382">
            <v>0</v>
          </cell>
        </row>
        <row r="383">
          <cell r="C383">
            <v>2714</v>
          </cell>
          <cell r="D383" t="str">
            <v>XB591239A</v>
          </cell>
          <cell r="E383" t="str">
            <v xml:space="preserve"> REINF,CONDENSER</v>
          </cell>
          <cell r="F383" t="str">
            <v>D/C</v>
          </cell>
          <cell r="J383">
            <v>2</v>
          </cell>
          <cell r="K383">
            <v>2</v>
          </cell>
          <cell r="O383">
            <v>2</v>
          </cell>
          <cell r="Q383">
            <v>2</v>
          </cell>
          <cell r="X383">
            <v>2</v>
          </cell>
          <cell r="AE383">
            <v>2</v>
          </cell>
          <cell r="AI383">
            <v>2</v>
          </cell>
          <cell r="AJ383">
            <v>2</v>
          </cell>
          <cell r="AQ383">
            <v>2</v>
          </cell>
          <cell r="AR383">
            <v>2</v>
          </cell>
          <cell r="AS383">
            <v>2</v>
          </cell>
          <cell r="AT383">
            <v>2</v>
          </cell>
          <cell r="AZ383" t="str">
            <v>B</v>
          </cell>
          <cell r="BA383" t="str">
            <v>부전(주)</v>
          </cell>
          <cell r="BB383" t="str">
            <v>H50A15K</v>
          </cell>
          <cell r="BD383" t="str">
            <v>K804</v>
          </cell>
          <cell r="BI383">
            <v>1736</v>
          </cell>
          <cell r="BJ383">
            <v>4</v>
          </cell>
          <cell r="BK383">
            <v>178</v>
          </cell>
          <cell r="BL383">
            <v>130</v>
          </cell>
        </row>
        <row r="384">
          <cell r="C384">
            <v>72</v>
          </cell>
          <cell r="D384" t="str">
            <v>XB591486A</v>
          </cell>
          <cell r="E384" t="str">
            <v xml:space="preserve"> BRKT,HOSE</v>
          </cell>
          <cell r="W384">
            <v>1</v>
          </cell>
          <cell r="X384">
            <v>1</v>
          </cell>
          <cell r="AE384">
            <v>1</v>
          </cell>
          <cell r="AH384">
            <v>1</v>
          </cell>
          <cell r="AI384">
            <v>1</v>
          </cell>
          <cell r="AZ384" t="str">
            <v>B</v>
          </cell>
          <cell r="BA384" t="str">
            <v>부전(주)</v>
          </cell>
          <cell r="BB384" t="str">
            <v>H50A13K</v>
          </cell>
          <cell r="BD384" t="str">
            <v>K804</v>
          </cell>
          <cell r="BE384" t="str">
            <v>V6</v>
          </cell>
          <cell r="BI384">
            <v>0</v>
          </cell>
          <cell r="BJ384">
            <v>2</v>
          </cell>
          <cell r="BK384">
            <v>53</v>
          </cell>
          <cell r="BL384">
            <v>0</v>
          </cell>
        </row>
        <row r="385">
          <cell r="C385">
            <v>3951</v>
          </cell>
          <cell r="D385" t="str">
            <v>XB609082A</v>
          </cell>
          <cell r="E385" t="str">
            <v xml:space="preserve"> BRKT</v>
          </cell>
          <cell r="F385" t="str">
            <v>(유상사급)+972B</v>
          </cell>
          <cell r="J385">
            <v>3</v>
          </cell>
          <cell r="K385">
            <v>3</v>
          </cell>
          <cell r="O385">
            <v>3</v>
          </cell>
          <cell r="Q385">
            <v>3</v>
          </cell>
          <cell r="V385">
            <v>3</v>
          </cell>
          <cell r="X385">
            <v>3</v>
          </cell>
          <cell r="Z385">
            <v>3</v>
          </cell>
          <cell r="AE385">
            <v>3</v>
          </cell>
          <cell r="AI385">
            <v>3</v>
          </cell>
          <cell r="AK385">
            <v>3</v>
          </cell>
          <cell r="AN385">
            <v>3</v>
          </cell>
          <cell r="AQ385">
            <v>3</v>
          </cell>
          <cell r="AS385">
            <v>3</v>
          </cell>
          <cell r="AT385">
            <v>3</v>
          </cell>
          <cell r="AZ385" t="str">
            <v>B</v>
          </cell>
          <cell r="BA385" t="str">
            <v>부전(주)</v>
          </cell>
          <cell r="BB385" t="str">
            <v>H50A11K</v>
          </cell>
          <cell r="BD385" t="str">
            <v>K804</v>
          </cell>
          <cell r="BI385">
            <v>2604</v>
          </cell>
          <cell r="BJ385">
            <v>6</v>
          </cell>
          <cell r="BK385">
            <v>183</v>
          </cell>
          <cell r="BL385">
            <v>159</v>
          </cell>
        </row>
        <row r="386">
          <cell r="C386">
            <v>1354</v>
          </cell>
          <cell r="D386" t="str">
            <v>HC000064</v>
          </cell>
          <cell r="E386" t="str">
            <v xml:space="preserve"> BRKT,ROOM LAMP EXT</v>
          </cell>
          <cell r="J386">
            <v>1</v>
          </cell>
          <cell r="K386">
            <v>1</v>
          </cell>
          <cell r="O386">
            <v>1</v>
          </cell>
          <cell r="Q386">
            <v>1</v>
          </cell>
          <cell r="V386">
            <v>1</v>
          </cell>
          <cell r="X386">
            <v>1</v>
          </cell>
          <cell r="AE386">
            <v>1</v>
          </cell>
          <cell r="AI386">
            <v>1</v>
          </cell>
          <cell r="AK386">
            <v>1</v>
          </cell>
          <cell r="AQ386">
            <v>1</v>
          </cell>
          <cell r="AR386">
            <v>1</v>
          </cell>
          <cell r="AS386">
            <v>1</v>
          </cell>
          <cell r="AT386">
            <v>1</v>
          </cell>
          <cell r="AY386">
            <v>1</v>
          </cell>
          <cell r="AZ386" t="str">
            <v>T</v>
          </cell>
          <cell r="BA386" t="str">
            <v>삼아</v>
          </cell>
          <cell r="BB386" t="str">
            <v>H50C90K</v>
          </cell>
          <cell r="BD386" t="str">
            <v>D981</v>
          </cell>
          <cell r="BE386" t="str">
            <v>KICK UPJOB#1</v>
          </cell>
          <cell r="BI386" t="e">
            <v>#REF!</v>
          </cell>
          <cell r="BJ386" t="e">
            <v>#REF!</v>
          </cell>
          <cell r="BK386" t="e">
            <v>#REF!</v>
          </cell>
          <cell r="BL386" t="e">
            <v>#REF!</v>
          </cell>
        </row>
        <row r="387">
          <cell r="C387">
            <v>2454</v>
          </cell>
          <cell r="D387" t="str">
            <v>HC000098</v>
          </cell>
          <cell r="E387" t="str">
            <v xml:space="preserve"> EXTENTION,FENDER SHIELD LH</v>
          </cell>
          <cell r="H387">
            <v>1</v>
          </cell>
          <cell r="I387">
            <v>1</v>
          </cell>
          <cell r="J387">
            <v>1</v>
          </cell>
          <cell r="K387">
            <v>1</v>
          </cell>
          <cell r="L387">
            <v>1</v>
          </cell>
          <cell r="M387">
            <v>1</v>
          </cell>
          <cell r="N387">
            <v>1</v>
          </cell>
          <cell r="O387">
            <v>1</v>
          </cell>
          <cell r="P387">
            <v>1</v>
          </cell>
          <cell r="Q387">
            <v>1</v>
          </cell>
          <cell r="R387">
            <v>1</v>
          </cell>
          <cell r="S387">
            <v>1</v>
          </cell>
          <cell r="T387">
            <v>1</v>
          </cell>
          <cell r="U387">
            <v>1</v>
          </cell>
          <cell r="V387">
            <v>1</v>
          </cell>
          <cell r="Y387">
            <v>1</v>
          </cell>
          <cell r="Z387">
            <v>1</v>
          </cell>
          <cell r="AA387">
            <v>1</v>
          </cell>
          <cell r="AB387">
            <v>1</v>
          </cell>
          <cell r="AC387">
            <v>1</v>
          </cell>
          <cell r="AD387">
            <v>1</v>
          </cell>
          <cell r="AF387">
            <v>1</v>
          </cell>
          <cell r="AG387">
            <v>1</v>
          </cell>
          <cell r="AJ387">
            <v>1</v>
          </cell>
          <cell r="AK387">
            <v>1</v>
          </cell>
          <cell r="AL387">
            <v>1</v>
          </cell>
          <cell r="AM387">
            <v>1</v>
          </cell>
          <cell r="AO387">
            <v>1</v>
          </cell>
          <cell r="AQ387">
            <v>1</v>
          </cell>
          <cell r="AS387">
            <v>1</v>
          </cell>
          <cell r="AU387">
            <v>1</v>
          </cell>
          <cell r="AV387">
            <v>1</v>
          </cell>
          <cell r="AX387">
            <v>1</v>
          </cell>
          <cell r="AZ387" t="str">
            <v>B</v>
          </cell>
          <cell r="BA387" t="str">
            <v>삼아</v>
          </cell>
          <cell r="BB387" t="str">
            <v>H50A14K</v>
          </cell>
          <cell r="BD387" t="str">
            <v>D981</v>
          </cell>
          <cell r="BI387">
            <v>937</v>
          </cell>
          <cell r="BJ387">
            <v>995</v>
          </cell>
          <cell r="BK387">
            <v>58</v>
          </cell>
          <cell r="BL387">
            <v>56</v>
          </cell>
        </row>
        <row r="388">
          <cell r="C388">
            <v>130</v>
          </cell>
          <cell r="D388" t="str">
            <v>HC000099</v>
          </cell>
          <cell r="E388" t="str">
            <v xml:space="preserve"> EXTENTION,FENDER SHIELD LH</v>
          </cell>
          <cell r="W388">
            <v>1</v>
          </cell>
          <cell r="X388">
            <v>1</v>
          </cell>
          <cell r="AE388">
            <v>1</v>
          </cell>
          <cell r="AH388">
            <v>1</v>
          </cell>
          <cell r="AI388">
            <v>1</v>
          </cell>
          <cell r="AN388">
            <v>1</v>
          </cell>
          <cell r="AP388">
            <v>1</v>
          </cell>
          <cell r="AR388">
            <v>1</v>
          </cell>
          <cell r="AT388">
            <v>1</v>
          </cell>
          <cell r="AW388">
            <v>1</v>
          </cell>
          <cell r="AY388">
            <v>1</v>
          </cell>
          <cell r="AZ388" t="str">
            <v>B</v>
          </cell>
          <cell r="BA388" t="str">
            <v>삼아</v>
          </cell>
          <cell r="BB388" t="str">
            <v>H50A14K</v>
          </cell>
          <cell r="BD388" t="str">
            <v>D981</v>
          </cell>
          <cell r="BE388" t="str">
            <v>V6</v>
          </cell>
          <cell r="BI388">
            <v>0</v>
          </cell>
          <cell r="BJ388">
            <v>2</v>
          </cell>
          <cell r="BK388">
            <v>60</v>
          </cell>
          <cell r="BL388">
            <v>46</v>
          </cell>
        </row>
        <row r="389">
          <cell r="C389">
            <v>2454</v>
          </cell>
          <cell r="D389" t="str">
            <v>HC000100A</v>
          </cell>
          <cell r="E389" t="str">
            <v xml:space="preserve"> REINF,FENDER SHIELD RH</v>
          </cell>
          <cell r="I389">
            <v>1</v>
          </cell>
          <cell r="J389">
            <v>1</v>
          </cell>
          <cell r="K389">
            <v>1</v>
          </cell>
          <cell r="M389">
            <v>1</v>
          </cell>
          <cell r="N389">
            <v>1</v>
          </cell>
          <cell r="O389">
            <v>1</v>
          </cell>
          <cell r="P389">
            <v>1</v>
          </cell>
          <cell r="Q389">
            <v>1</v>
          </cell>
          <cell r="R389">
            <v>1</v>
          </cell>
          <cell r="S389">
            <v>1</v>
          </cell>
          <cell r="T389">
            <v>1</v>
          </cell>
          <cell r="AC389">
            <v>1</v>
          </cell>
          <cell r="AD389">
            <v>1</v>
          </cell>
          <cell r="AJ389">
            <v>1</v>
          </cell>
          <cell r="AK389">
            <v>1</v>
          </cell>
          <cell r="AL389">
            <v>1</v>
          </cell>
          <cell r="AM389">
            <v>1</v>
          </cell>
          <cell r="AO389">
            <v>1</v>
          </cell>
          <cell r="AQ389">
            <v>1</v>
          </cell>
          <cell r="AS389">
            <v>1</v>
          </cell>
          <cell r="AU389">
            <v>1</v>
          </cell>
          <cell r="AX389">
            <v>1</v>
          </cell>
          <cell r="AZ389" t="str">
            <v>B</v>
          </cell>
          <cell r="BA389" t="str">
            <v>삼아</v>
          </cell>
        </row>
        <row r="390">
          <cell r="C390">
            <v>1334</v>
          </cell>
          <cell r="D390" t="str">
            <v>HQ505321</v>
          </cell>
          <cell r="E390" t="str">
            <v xml:space="preserve"> REINF DASH PNL</v>
          </cell>
          <cell r="F390" t="str">
            <v>+431</v>
          </cell>
          <cell r="K390">
            <v>1</v>
          </cell>
          <cell r="M390">
            <v>1</v>
          </cell>
          <cell r="N390">
            <v>1</v>
          </cell>
          <cell r="O390">
            <v>1</v>
          </cell>
          <cell r="P390">
            <v>1</v>
          </cell>
          <cell r="Q390">
            <v>1</v>
          </cell>
          <cell r="T390">
            <v>1</v>
          </cell>
          <cell r="Z390">
            <v>1</v>
          </cell>
          <cell r="AD390">
            <v>1</v>
          </cell>
          <cell r="AO390">
            <v>1</v>
          </cell>
          <cell r="AS390">
            <v>1</v>
          </cell>
          <cell r="AZ390" t="str">
            <v>B</v>
          </cell>
          <cell r="BA390" t="str">
            <v>삼아</v>
          </cell>
          <cell r="BB390" t="str">
            <v>H50A13K01-12,13,16,17,20,21,24,25,27,29</v>
          </cell>
          <cell r="BD390" t="str">
            <v>D981</v>
          </cell>
          <cell r="BI390">
            <v>684</v>
          </cell>
          <cell r="BJ390">
            <v>235</v>
          </cell>
          <cell r="BK390">
            <v>8</v>
          </cell>
          <cell r="BL390">
            <v>29</v>
          </cell>
        </row>
        <row r="391">
          <cell r="C391">
            <v>2454</v>
          </cell>
          <cell r="D391" t="str">
            <v>HQ505323</v>
          </cell>
          <cell r="E391" t="str">
            <v xml:space="preserve"> REINF DASH PNL</v>
          </cell>
          <cell r="F391" t="str">
            <v>-431</v>
          </cell>
          <cell r="H391">
            <v>1</v>
          </cell>
          <cell r="I391">
            <v>1</v>
          </cell>
          <cell r="J391">
            <v>1</v>
          </cell>
          <cell r="K391">
            <v>1</v>
          </cell>
          <cell r="L391">
            <v>1</v>
          </cell>
          <cell r="M391">
            <v>1</v>
          </cell>
          <cell r="N391">
            <v>1</v>
          </cell>
          <cell r="O391">
            <v>1</v>
          </cell>
          <cell r="P391">
            <v>1</v>
          </cell>
          <cell r="Q391">
            <v>1</v>
          </cell>
          <cell r="R391">
            <v>1</v>
          </cell>
          <cell r="S391">
            <v>1</v>
          </cell>
          <cell r="T391">
            <v>1</v>
          </cell>
          <cell r="U391">
            <v>1</v>
          </cell>
          <cell r="V391">
            <v>1</v>
          </cell>
          <cell r="Y391">
            <v>1</v>
          </cell>
          <cell r="Z391">
            <v>1</v>
          </cell>
          <cell r="AA391">
            <v>1</v>
          </cell>
          <cell r="AB391">
            <v>1</v>
          </cell>
          <cell r="AC391">
            <v>1</v>
          </cell>
          <cell r="AD391">
            <v>1</v>
          </cell>
          <cell r="AF391">
            <v>1</v>
          </cell>
          <cell r="AG391">
            <v>1</v>
          </cell>
          <cell r="AJ391">
            <v>1</v>
          </cell>
          <cell r="AK391">
            <v>1</v>
          </cell>
          <cell r="AL391">
            <v>1</v>
          </cell>
          <cell r="AM391">
            <v>1</v>
          </cell>
          <cell r="AO391">
            <v>1</v>
          </cell>
          <cell r="AQ391">
            <v>1</v>
          </cell>
          <cell r="AS391">
            <v>1</v>
          </cell>
          <cell r="AU391">
            <v>1</v>
          </cell>
          <cell r="AV391">
            <v>1</v>
          </cell>
          <cell r="AX391">
            <v>1</v>
          </cell>
          <cell r="AZ391" t="str">
            <v>B</v>
          </cell>
          <cell r="BA391" t="str">
            <v>삼아</v>
          </cell>
          <cell r="BB391" t="str">
            <v>H50A13K01-1,4,7,14,15,18,19,22,23,26,28,61,63^65</v>
          </cell>
          <cell r="BD391" t="str">
            <v>D981</v>
          </cell>
          <cell r="BI391">
            <v>937</v>
          </cell>
          <cell r="BJ391">
            <v>995</v>
          </cell>
          <cell r="BK391">
            <v>58</v>
          </cell>
          <cell r="BL391">
            <v>56</v>
          </cell>
        </row>
        <row r="392">
          <cell r="C392">
            <v>79</v>
          </cell>
          <cell r="D392" t="str">
            <v>HQ505325</v>
          </cell>
          <cell r="E392" t="str">
            <v xml:space="preserve"> REINF DASH PNL</v>
          </cell>
          <cell r="F392" t="str">
            <v>+431</v>
          </cell>
          <cell r="W392">
            <v>1</v>
          </cell>
          <cell r="X392">
            <v>1</v>
          </cell>
          <cell r="AE392">
            <v>1</v>
          </cell>
          <cell r="AH392">
            <v>1</v>
          </cell>
          <cell r="AI392">
            <v>1</v>
          </cell>
          <cell r="AP392">
            <v>1</v>
          </cell>
          <cell r="AT392">
            <v>1</v>
          </cell>
          <cell r="AW392">
            <v>1</v>
          </cell>
          <cell r="AZ392" t="str">
            <v>B</v>
          </cell>
          <cell r="BA392" t="str">
            <v>삼아</v>
          </cell>
          <cell r="BB392" t="str">
            <v>H50A13K01-9^11</v>
          </cell>
          <cell r="BD392" t="str">
            <v>D981</v>
          </cell>
          <cell r="BI392">
            <v>0</v>
          </cell>
          <cell r="BJ392">
            <v>2</v>
          </cell>
          <cell r="BK392">
            <v>53</v>
          </cell>
          <cell r="BL392">
            <v>2</v>
          </cell>
        </row>
        <row r="393">
          <cell r="C393">
            <v>130</v>
          </cell>
          <cell r="D393" t="str">
            <v>HQ505327</v>
          </cell>
          <cell r="E393" t="str">
            <v xml:space="preserve"> REINF DASH PNL</v>
          </cell>
          <cell r="F393" t="str">
            <v>-431</v>
          </cell>
          <cell r="X393">
            <v>1</v>
          </cell>
          <cell r="AE393">
            <v>1</v>
          </cell>
          <cell r="AH393">
            <v>1</v>
          </cell>
          <cell r="AI393">
            <v>1</v>
          </cell>
          <cell r="AN393">
            <v>1</v>
          </cell>
          <cell r="AP393">
            <v>1</v>
          </cell>
          <cell r="AR393">
            <v>1</v>
          </cell>
          <cell r="AT393">
            <v>1</v>
          </cell>
          <cell r="AW393">
            <v>1</v>
          </cell>
          <cell r="AY393">
            <v>1</v>
          </cell>
          <cell r="AZ393" t="str">
            <v>B</v>
          </cell>
          <cell r="BA393" t="str">
            <v>삼아</v>
          </cell>
          <cell r="BB393" t="str">
            <v>H50A13K01-3,5,6</v>
          </cell>
          <cell r="BD393" t="str">
            <v>D981</v>
          </cell>
          <cell r="BI393">
            <v>0</v>
          </cell>
          <cell r="BJ393">
            <v>2</v>
          </cell>
          <cell r="BK393">
            <v>60</v>
          </cell>
          <cell r="BL393">
            <v>46</v>
          </cell>
        </row>
        <row r="394">
          <cell r="C394">
            <v>1125</v>
          </cell>
          <cell r="D394" t="str">
            <v>HQ505441</v>
          </cell>
          <cell r="E394" t="str">
            <v xml:space="preserve"> EXTENTION,FENDER SHIELD RH</v>
          </cell>
          <cell r="F394" t="str">
            <v>+581A,ABS</v>
          </cell>
          <cell r="K394">
            <v>1</v>
          </cell>
          <cell r="M394">
            <v>1</v>
          </cell>
          <cell r="N394">
            <v>1</v>
          </cell>
          <cell r="O394">
            <v>1</v>
          </cell>
          <cell r="P394">
            <v>1</v>
          </cell>
          <cell r="Q394">
            <v>1</v>
          </cell>
          <cell r="W394">
            <v>1</v>
          </cell>
          <cell r="X394">
            <v>1</v>
          </cell>
          <cell r="AD394">
            <v>1</v>
          </cell>
          <cell r="AE394">
            <v>1</v>
          </cell>
          <cell r="AH394">
            <v>1</v>
          </cell>
          <cell r="AO394">
            <v>1</v>
          </cell>
          <cell r="AP394">
            <v>1</v>
          </cell>
          <cell r="AQ394">
            <v>1</v>
          </cell>
          <cell r="AR394">
            <v>1</v>
          </cell>
          <cell r="AS394">
            <v>1</v>
          </cell>
          <cell r="AT394">
            <v>1</v>
          </cell>
          <cell r="AW394">
            <v>1</v>
          </cell>
          <cell r="AZ394" t="str">
            <v>B</v>
          </cell>
          <cell r="BA394" t="str">
            <v>삼아</v>
          </cell>
          <cell r="BB394" t="str">
            <v>H50A14K</v>
          </cell>
          <cell r="BC394" t="str">
            <v>MB250194A</v>
          </cell>
          <cell r="BD394" t="str">
            <v>D981</v>
          </cell>
          <cell r="BI394">
            <v>684</v>
          </cell>
          <cell r="BJ394">
            <v>2</v>
          </cell>
          <cell r="BK394">
            <v>8</v>
          </cell>
          <cell r="BL394">
            <v>67</v>
          </cell>
        </row>
        <row r="395">
          <cell r="C395">
            <v>0</v>
          </cell>
          <cell r="D395" t="str">
            <v>HQ621002</v>
          </cell>
          <cell r="E395" t="str">
            <v xml:space="preserve"> BRKT-ABS ECU UNIT TRIM</v>
          </cell>
          <cell r="AZ395" t="str">
            <v>B</v>
          </cell>
          <cell r="BA395" t="str">
            <v>삼아</v>
          </cell>
        </row>
        <row r="396">
          <cell r="C396">
            <v>2584</v>
          </cell>
          <cell r="D396" t="str">
            <v>MB246042</v>
          </cell>
          <cell r="E396" t="str">
            <v xml:space="preserve"> DUCT,AIR INTAKE,SIDE</v>
          </cell>
          <cell r="G396">
            <v>1</v>
          </cell>
          <cell r="AZ396" t="str">
            <v>B</v>
          </cell>
          <cell r="BA396" t="str">
            <v>삼아</v>
          </cell>
          <cell r="BB396" t="str">
            <v>H50A18K</v>
          </cell>
          <cell r="BD396" t="str">
            <v>D981</v>
          </cell>
          <cell r="BE396" t="str">
            <v>ALL</v>
          </cell>
          <cell r="BI396">
            <v>0</v>
          </cell>
          <cell r="BJ396">
            <v>0</v>
          </cell>
          <cell r="BK396">
            <v>0</v>
          </cell>
          <cell r="BL396">
            <v>0</v>
          </cell>
        </row>
        <row r="397">
          <cell r="C397">
            <v>2584</v>
          </cell>
          <cell r="D397" t="str">
            <v>MB250194A</v>
          </cell>
          <cell r="E397" t="str">
            <v xml:space="preserve"> EXTENTION,FENDER SHIELD RH</v>
          </cell>
          <cell r="F397" t="str">
            <v>-581A</v>
          </cell>
          <cell r="G397">
            <v>1</v>
          </cell>
          <cell r="AZ397" t="str">
            <v>B</v>
          </cell>
          <cell r="BA397" t="str">
            <v>삼아</v>
          </cell>
          <cell r="BB397" t="str">
            <v>H50A14K</v>
          </cell>
          <cell r="BD397" t="str">
            <v>D981</v>
          </cell>
          <cell r="BE397" t="str">
            <v>ALL</v>
          </cell>
          <cell r="BI397">
            <v>0</v>
          </cell>
          <cell r="BJ397">
            <v>0</v>
          </cell>
          <cell r="BK397">
            <v>0</v>
          </cell>
          <cell r="BL397">
            <v>0</v>
          </cell>
        </row>
        <row r="398">
          <cell r="C398">
            <v>2584</v>
          </cell>
          <cell r="D398" t="str">
            <v>MB250351A</v>
          </cell>
          <cell r="E398" t="str">
            <v xml:space="preserve"> REINF,HINGE,LWR LH</v>
          </cell>
          <cell r="G398">
            <v>1</v>
          </cell>
          <cell r="AZ398" t="str">
            <v>B</v>
          </cell>
          <cell r="BA398" t="str">
            <v>삼아</v>
          </cell>
          <cell r="BB398" t="str">
            <v>H50A16K</v>
          </cell>
          <cell r="BD398" t="str">
            <v>D981</v>
          </cell>
          <cell r="BE398" t="str">
            <v>ALL</v>
          </cell>
          <cell r="BI398">
            <v>0</v>
          </cell>
          <cell r="BJ398">
            <v>0</v>
          </cell>
          <cell r="BK398">
            <v>0</v>
          </cell>
          <cell r="BL398">
            <v>0</v>
          </cell>
        </row>
        <row r="399">
          <cell r="C399">
            <v>2584</v>
          </cell>
          <cell r="D399" t="str">
            <v>MB250352A</v>
          </cell>
          <cell r="E399" t="str">
            <v xml:space="preserve"> REINF,HINGE,LWR RH</v>
          </cell>
          <cell r="G399">
            <v>1</v>
          </cell>
          <cell r="AZ399" t="str">
            <v>B</v>
          </cell>
          <cell r="BA399" t="str">
            <v>삼아</v>
          </cell>
          <cell r="BB399" t="str">
            <v>H50A16K</v>
          </cell>
          <cell r="BD399" t="str">
            <v>D981</v>
          </cell>
          <cell r="BE399" t="str">
            <v>ALL</v>
          </cell>
          <cell r="BI399">
            <v>0</v>
          </cell>
          <cell r="BJ399">
            <v>0</v>
          </cell>
          <cell r="BK399">
            <v>0</v>
          </cell>
          <cell r="BL399">
            <v>0</v>
          </cell>
        </row>
        <row r="400">
          <cell r="C400">
            <v>5168</v>
          </cell>
          <cell r="D400" t="str">
            <v>MB250355</v>
          </cell>
          <cell r="E400" t="str">
            <v xml:space="preserve"> REINF,FR DOOR STOPPER</v>
          </cell>
          <cell r="G400">
            <v>2</v>
          </cell>
          <cell r="AZ400" t="str">
            <v>B</v>
          </cell>
          <cell r="BA400" t="str">
            <v>삼아</v>
          </cell>
          <cell r="BB400" t="str">
            <v>H50A16K</v>
          </cell>
          <cell r="BD400" t="str">
            <v>D981</v>
          </cell>
          <cell r="BE400" t="str">
            <v>ALL</v>
          </cell>
          <cell r="BI400">
            <v>0</v>
          </cell>
          <cell r="BJ400">
            <v>0</v>
          </cell>
          <cell r="BK400">
            <v>0</v>
          </cell>
          <cell r="BL400">
            <v>0</v>
          </cell>
        </row>
        <row r="401">
          <cell r="C401">
            <v>589</v>
          </cell>
          <cell r="D401" t="str">
            <v>MB250379A</v>
          </cell>
          <cell r="E401" t="str">
            <v xml:space="preserve"> RAIL,SIDE ROOF,INR(LHD) LH</v>
          </cell>
          <cell r="H401">
            <v>1</v>
          </cell>
          <cell r="I401">
            <v>1</v>
          </cell>
          <cell r="R401">
            <v>1</v>
          </cell>
          <cell r="AB401">
            <v>1</v>
          </cell>
          <cell r="AC401">
            <v>1</v>
          </cell>
          <cell r="AF401">
            <v>1</v>
          </cell>
          <cell r="AG401">
            <v>1</v>
          </cell>
          <cell r="AZ401" t="str">
            <v>B</v>
          </cell>
          <cell r="BA401" t="str">
            <v>삼아</v>
          </cell>
          <cell r="BB401" t="str">
            <v>H50A16K</v>
          </cell>
          <cell r="BC401" t="str">
            <v>LINE H/ROOF미적용</v>
          </cell>
          <cell r="BD401" t="str">
            <v>D981</v>
          </cell>
          <cell r="BE401" t="str">
            <v>STD,H/R</v>
          </cell>
          <cell r="BI401">
            <v>20</v>
          </cell>
          <cell r="BJ401">
            <v>539</v>
          </cell>
          <cell r="BK401">
            <v>0</v>
          </cell>
          <cell r="BL401">
            <v>0</v>
          </cell>
        </row>
        <row r="402">
          <cell r="C402">
            <v>589</v>
          </cell>
          <cell r="D402" t="str">
            <v>MB250380A</v>
          </cell>
          <cell r="E402" t="str">
            <v xml:space="preserve"> RAIL,SIDE ROOF,INR RH</v>
          </cell>
          <cell r="H402">
            <v>1</v>
          </cell>
          <cell r="I402">
            <v>1</v>
          </cell>
          <cell r="R402">
            <v>1</v>
          </cell>
          <cell r="AB402">
            <v>1</v>
          </cell>
          <cell r="AC402">
            <v>1</v>
          </cell>
          <cell r="AF402">
            <v>1</v>
          </cell>
          <cell r="AG402">
            <v>1</v>
          </cell>
          <cell r="AZ402" t="str">
            <v>B</v>
          </cell>
          <cell r="BA402" t="str">
            <v>삼아</v>
          </cell>
          <cell r="BB402" t="str">
            <v>H50A16K</v>
          </cell>
          <cell r="BC402" t="str">
            <v xml:space="preserve"> 〃(KICK UP JOB#1)</v>
          </cell>
          <cell r="BD402" t="str">
            <v>D981</v>
          </cell>
          <cell r="BE402" t="str">
            <v>STD,H/R</v>
          </cell>
          <cell r="BI402">
            <v>20</v>
          </cell>
          <cell r="BJ402">
            <v>539</v>
          </cell>
          <cell r="BK402">
            <v>0</v>
          </cell>
          <cell r="BL402">
            <v>0</v>
          </cell>
        </row>
        <row r="403">
          <cell r="C403">
            <v>2584</v>
          </cell>
          <cell r="D403" t="str">
            <v>MB250491A</v>
          </cell>
          <cell r="E403" t="str">
            <v xml:space="preserve"> PANEL ASS'Y,WATER GUIDE,CTR</v>
          </cell>
          <cell r="G403">
            <v>1</v>
          </cell>
          <cell r="AZ403" t="str">
            <v>B</v>
          </cell>
          <cell r="BA403" t="str">
            <v>삼아</v>
          </cell>
          <cell r="BB403" t="str">
            <v>H50A18K</v>
          </cell>
          <cell r="BD403" t="str">
            <v>D981</v>
          </cell>
          <cell r="BE403" t="str">
            <v>ALL</v>
          </cell>
          <cell r="BI403">
            <v>0</v>
          </cell>
          <cell r="BJ403">
            <v>0</v>
          </cell>
          <cell r="BK403">
            <v>0</v>
          </cell>
          <cell r="BL403">
            <v>0</v>
          </cell>
        </row>
        <row r="404">
          <cell r="C404">
            <v>2454</v>
          </cell>
          <cell r="D404" t="str">
            <v>MB250601A</v>
          </cell>
          <cell r="E404" t="str">
            <v xml:space="preserve"> PANEL,H/PROT</v>
          </cell>
          <cell r="H404">
            <v>1</v>
          </cell>
          <cell r="I404">
            <v>1</v>
          </cell>
          <cell r="J404">
            <v>1</v>
          </cell>
          <cell r="K404">
            <v>1</v>
          </cell>
          <cell r="L404">
            <v>1</v>
          </cell>
          <cell r="M404">
            <v>1</v>
          </cell>
          <cell r="N404">
            <v>1</v>
          </cell>
          <cell r="O404">
            <v>1</v>
          </cell>
          <cell r="P404">
            <v>1</v>
          </cell>
          <cell r="Q404">
            <v>1</v>
          </cell>
          <cell r="R404">
            <v>1</v>
          </cell>
          <cell r="S404">
            <v>1</v>
          </cell>
          <cell r="T404">
            <v>1</v>
          </cell>
          <cell r="U404">
            <v>1</v>
          </cell>
          <cell r="V404">
            <v>1</v>
          </cell>
          <cell r="Y404">
            <v>1</v>
          </cell>
          <cell r="Z404">
            <v>1</v>
          </cell>
          <cell r="AA404">
            <v>1</v>
          </cell>
          <cell r="AB404">
            <v>1</v>
          </cell>
          <cell r="AC404">
            <v>1</v>
          </cell>
          <cell r="AD404">
            <v>1</v>
          </cell>
          <cell r="AF404">
            <v>1</v>
          </cell>
          <cell r="AG404">
            <v>1</v>
          </cell>
          <cell r="AJ404">
            <v>1</v>
          </cell>
          <cell r="AK404">
            <v>1</v>
          </cell>
          <cell r="AL404">
            <v>1</v>
          </cell>
          <cell r="AM404">
            <v>1</v>
          </cell>
          <cell r="AO404">
            <v>1</v>
          </cell>
          <cell r="AQ404">
            <v>1</v>
          </cell>
          <cell r="AS404">
            <v>1</v>
          </cell>
          <cell r="AU404">
            <v>1</v>
          </cell>
          <cell r="AV404">
            <v>1</v>
          </cell>
          <cell r="AX404">
            <v>1</v>
          </cell>
          <cell r="AZ404" t="str">
            <v>T</v>
          </cell>
          <cell r="BA404" t="str">
            <v>삼아</v>
          </cell>
          <cell r="BB404" t="str">
            <v>H50C25K</v>
          </cell>
          <cell r="BD404" t="str">
            <v>D981</v>
          </cell>
          <cell r="BI404" t="e">
            <v>#REF!</v>
          </cell>
          <cell r="BJ404" t="e">
            <v>#REF!</v>
          </cell>
          <cell r="BK404" t="e">
            <v>#REF!</v>
          </cell>
          <cell r="BL404" t="e">
            <v>#REF!</v>
          </cell>
        </row>
        <row r="405">
          <cell r="C405">
            <v>2584</v>
          </cell>
          <cell r="D405" t="str">
            <v>MB250699</v>
          </cell>
          <cell r="E405" t="str">
            <v xml:space="preserve"> REINF,BODY MT'G NO1(C) LH</v>
          </cell>
          <cell r="G405">
            <v>1</v>
          </cell>
          <cell r="AZ405" t="str">
            <v>B</v>
          </cell>
          <cell r="BA405" t="str">
            <v>삼아</v>
          </cell>
          <cell r="BB405" t="str">
            <v>H50A15K</v>
          </cell>
          <cell r="BC405" t="str">
            <v>A2</v>
          </cell>
          <cell r="BD405" t="str">
            <v>D981</v>
          </cell>
          <cell r="BE405" t="str">
            <v>ALL</v>
          </cell>
          <cell r="BI405">
            <v>0</v>
          </cell>
          <cell r="BJ405">
            <v>0</v>
          </cell>
          <cell r="BK405">
            <v>0</v>
          </cell>
          <cell r="BL405">
            <v>0</v>
          </cell>
        </row>
        <row r="406">
          <cell r="C406">
            <v>2584</v>
          </cell>
          <cell r="D406" t="str">
            <v>MB250700</v>
          </cell>
          <cell r="E406" t="str">
            <v xml:space="preserve"> REINF,BODY MT'G NO1(C) RH</v>
          </cell>
          <cell r="G406">
            <v>1</v>
          </cell>
          <cell r="AZ406" t="str">
            <v>B</v>
          </cell>
          <cell r="BA406" t="str">
            <v>삼아</v>
          </cell>
          <cell r="BB406" t="str">
            <v>H50A15K</v>
          </cell>
          <cell r="BC406" t="str">
            <v>A2</v>
          </cell>
          <cell r="BD406" t="str">
            <v>D981</v>
          </cell>
          <cell r="BE406" t="str">
            <v>ALL</v>
          </cell>
          <cell r="BI406">
            <v>0</v>
          </cell>
          <cell r="BJ406">
            <v>0</v>
          </cell>
          <cell r="BK406">
            <v>0</v>
          </cell>
          <cell r="BL406">
            <v>0</v>
          </cell>
        </row>
        <row r="407">
          <cell r="C407">
            <v>692</v>
          </cell>
          <cell r="D407" t="str">
            <v>MB250925</v>
          </cell>
          <cell r="E407" t="str">
            <v xml:space="preserve"> PLATE,TRIM LH</v>
          </cell>
          <cell r="H407">
            <v>1</v>
          </cell>
          <cell r="L407">
            <v>1</v>
          </cell>
          <cell r="M407">
            <v>1</v>
          </cell>
          <cell r="N407">
            <v>1</v>
          </cell>
          <cell r="P407">
            <v>1</v>
          </cell>
          <cell r="R407">
            <v>1</v>
          </cell>
          <cell r="U407">
            <v>1</v>
          </cell>
          <cell r="W407">
            <v>1</v>
          </cell>
          <cell r="AB407">
            <v>1</v>
          </cell>
          <cell r="AC407">
            <v>1</v>
          </cell>
          <cell r="AD407">
            <v>1</v>
          </cell>
          <cell r="AF407">
            <v>1</v>
          </cell>
          <cell r="AH407">
            <v>1</v>
          </cell>
          <cell r="AL407">
            <v>1</v>
          </cell>
          <cell r="AM407">
            <v>1</v>
          </cell>
          <cell r="AN407">
            <v>1</v>
          </cell>
          <cell r="AO407">
            <v>1</v>
          </cell>
          <cell r="AP407">
            <v>1</v>
          </cell>
          <cell r="AW407">
            <v>1</v>
          </cell>
          <cell r="AZ407" t="str">
            <v>B</v>
          </cell>
          <cell r="BA407" t="str">
            <v>삼아</v>
          </cell>
          <cell r="BB407" t="str">
            <v>H50A17K</v>
          </cell>
          <cell r="BD407" t="str">
            <v>D981</v>
          </cell>
          <cell r="BE407" t="str">
            <v>S/B</v>
          </cell>
          <cell r="BI407">
            <v>49</v>
          </cell>
          <cell r="BJ407">
            <v>539</v>
          </cell>
          <cell r="BK407">
            <v>28</v>
          </cell>
          <cell r="BL407">
            <v>2</v>
          </cell>
        </row>
        <row r="408">
          <cell r="C408">
            <v>692</v>
          </cell>
          <cell r="D408" t="str">
            <v>MB250926</v>
          </cell>
          <cell r="E408" t="str">
            <v xml:space="preserve"> PLATE,TRIM RH</v>
          </cell>
          <cell r="H408">
            <v>1</v>
          </cell>
          <cell r="L408">
            <v>1</v>
          </cell>
          <cell r="M408">
            <v>1</v>
          </cell>
          <cell r="N408">
            <v>1</v>
          </cell>
          <cell r="P408">
            <v>1</v>
          </cell>
          <cell r="R408">
            <v>1</v>
          </cell>
          <cell r="U408">
            <v>1</v>
          </cell>
          <cell r="W408">
            <v>1</v>
          </cell>
          <cell r="AB408">
            <v>1</v>
          </cell>
          <cell r="AC408">
            <v>1</v>
          </cell>
          <cell r="AD408">
            <v>1</v>
          </cell>
          <cell r="AF408">
            <v>1</v>
          </cell>
          <cell r="AH408">
            <v>1</v>
          </cell>
          <cell r="AL408">
            <v>1</v>
          </cell>
          <cell r="AM408">
            <v>1</v>
          </cell>
          <cell r="AN408">
            <v>1</v>
          </cell>
          <cell r="AO408">
            <v>1</v>
          </cell>
          <cell r="AP408">
            <v>1</v>
          </cell>
          <cell r="AW408">
            <v>1</v>
          </cell>
          <cell r="AZ408" t="str">
            <v>B</v>
          </cell>
          <cell r="BA408" t="str">
            <v>삼아</v>
          </cell>
          <cell r="BB408" t="str">
            <v>H50A17K</v>
          </cell>
          <cell r="BD408" t="str">
            <v>D981</v>
          </cell>
          <cell r="BE408" t="str">
            <v>S/B</v>
          </cell>
          <cell r="BI408">
            <v>49</v>
          </cell>
          <cell r="BJ408">
            <v>539</v>
          </cell>
          <cell r="BK408">
            <v>28</v>
          </cell>
          <cell r="BL408">
            <v>2</v>
          </cell>
        </row>
        <row r="409">
          <cell r="C409">
            <v>692</v>
          </cell>
          <cell r="D409" t="str">
            <v>MB250965A</v>
          </cell>
          <cell r="E409" t="str">
            <v xml:space="preserve"> REINF,F/SEAT BELT,UPR LH</v>
          </cell>
          <cell r="H409">
            <v>1</v>
          </cell>
          <cell r="L409">
            <v>1</v>
          </cell>
          <cell r="M409">
            <v>1</v>
          </cell>
          <cell r="N409">
            <v>1</v>
          </cell>
          <cell r="P409">
            <v>1</v>
          </cell>
          <cell r="R409">
            <v>1</v>
          </cell>
          <cell r="U409">
            <v>1</v>
          </cell>
          <cell r="W409">
            <v>1</v>
          </cell>
          <cell r="AB409">
            <v>1</v>
          </cell>
          <cell r="AC409">
            <v>1</v>
          </cell>
          <cell r="AD409">
            <v>1</v>
          </cell>
          <cell r="AF409">
            <v>1</v>
          </cell>
          <cell r="AH409">
            <v>1</v>
          </cell>
          <cell r="AL409">
            <v>1</v>
          </cell>
          <cell r="AM409">
            <v>1</v>
          </cell>
          <cell r="AN409">
            <v>1</v>
          </cell>
          <cell r="AO409">
            <v>1</v>
          </cell>
          <cell r="AP409">
            <v>1</v>
          </cell>
          <cell r="AW409">
            <v>1</v>
          </cell>
          <cell r="AZ409" t="str">
            <v>B</v>
          </cell>
          <cell r="BA409" t="str">
            <v>삼아</v>
          </cell>
          <cell r="BB409" t="str">
            <v>H50A17K</v>
          </cell>
          <cell r="BC409" t="str">
            <v>C2</v>
          </cell>
          <cell r="BD409" t="str">
            <v>D981</v>
          </cell>
          <cell r="BE409" t="str">
            <v>S/B</v>
          </cell>
          <cell r="BI409">
            <v>49</v>
          </cell>
          <cell r="BJ409">
            <v>539</v>
          </cell>
          <cell r="BK409">
            <v>28</v>
          </cell>
          <cell r="BL409">
            <v>2</v>
          </cell>
        </row>
        <row r="410">
          <cell r="C410">
            <v>692</v>
          </cell>
          <cell r="D410" t="str">
            <v>MB250966A</v>
          </cell>
          <cell r="E410" t="str">
            <v xml:space="preserve"> REINF,F/SEAT BELT,UPR RH</v>
          </cell>
          <cell r="H410">
            <v>1</v>
          </cell>
          <cell r="L410">
            <v>1</v>
          </cell>
          <cell r="M410">
            <v>1</v>
          </cell>
          <cell r="N410">
            <v>1</v>
          </cell>
          <cell r="P410">
            <v>1</v>
          </cell>
          <cell r="R410">
            <v>1</v>
          </cell>
          <cell r="U410">
            <v>1</v>
          </cell>
          <cell r="W410">
            <v>1</v>
          </cell>
          <cell r="AB410">
            <v>1</v>
          </cell>
          <cell r="AC410">
            <v>1</v>
          </cell>
          <cell r="AD410">
            <v>1</v>
          </cell>
          <cell r="AF410">
            <v>1</v>
          </cell>
          <cell r="AH410">
            <v>1</v>
          </cell>
          <cell r="AL410">
            <v>1</v>
          </cell>
          <cell r="AM410">
            <v>1</v>
          </cell>
          <cell r="AN410">
            <v>1</v>
          </cell>
          <cell r="AO410">
            <v>1</v>
          </cell>
          <cell r="AP410">
            <v>1</v>
          </cell>
          <cell r="AW410">
            <v>1</v>
          </cell>
          <cell r="AZ410" t="str">
            <v>B</v>
          </cell>
          <cell r="BA410" t="str">
            <v>삼아</v>
          </cell>
          <cell r="BB410" t="str">
            <v>H50A17K</v>
          </cell>
          <cell r="BC410" t="str">
            <v>C2</v>
          </cell>
          <cell r="BD410" t="str">
            <v>D981</v>
          </cell>
          <cell r="BE410" t="str">
            <v>S/B</v>
          </cell>
          <cell r="BI410">
            <v>49</v>
          </cell>
          <cell r="BJ410">
            <v>539</v>
          </cell>
          <cell r="BK410">
            <v>28</v>
          </cell>
          <cell r="BL410">
            <v>2</v>
          </cell>
        </row>
        <row r="411">
          <cell r="C411">
            <v>2584</v>
          </cell>
          <cell r="D411" t="str">
            <v>MB270530</v>
          </cell>
          <cell r="E411" t="str">
            <v xml:space="preserve"> REINF,HOOD LOCK</v>
          </cell>
          <cell r="G411">
            <v>1</v>
          </cell>
          <cell r="AZ411" t="str">
            <v>B</v>
          </cell>
          <cell r="BA411" t="str">
            <v>삼아</v>
          </cell>
          <cell r="BB411" t="str">
            <v>H50B35K</v>
          </cell>
          <cell r="BD411" t="str">
            <v>D981</v>
          </cell>
          <cell r="BE411" t="str">
            <v>ALL</v>
          </cell>
          <cell r="BI411">
            <v>0</v>
          </cell>
          <cell r="BJ411">
            <v>0</v>
          </cell>
          <cell r="BK411">
            <v>0</v>
          </cell>
          <cell r="BL411">
            <v>0</v>
          </cell>
        </row>
        <row r="412">
          <cell r="C412">
            <v>2584</v>
          </cell>
          <cell r="D412" t="str">
            <v>MB274075</v>
          </cell>
          <cell r="E412" t="str">
            <v xml:space="preserve"> REINF,FENDER SHIELD LH</v>
          </cell>
          <cell r="G412">
            <v>1</v>
          </cell>
          <cell r="AZ412" t="str">
            <v>B</v>
          </cell>
          <cell r="BA412" t="str">
            <v>삼아</v>
          </cell>
          <cell r="BB412" t="str">
            <v>H50A14K</v>
          </cell>
          <cell r="BD412" t="str">
            <v>D981</v>
          </cell>
          <cell r="BE412" t="str">
            <v>ALL</v>
          </cell>
          <cell r="BI412">
            <v>0</v>
          </cell>
          <cell r="BJ412">
            <v>0</v>
          </cell>
          <cell r="BK412">
            <v>0</v>
          </cell>
          <cell r="BL412">
            <v>0</v>
          </cell>
        </row>
        <row r="413">
          <cell r="C413">
            <v>2584</v>
          </cell>
          <cell r="D413" t="str">
            <v>MB274075A</v>
          </cell>
          <cell r="E413" t="str">
            <v xml:space="preserve"> REINF,FENDER SHIELD LH</v>
          </cell>
          <cell r="G413">
            <v>1</v>
          </cell>
          <cell r="AZ413" t="str">
            <v>B</v>
          </cell>
          <cell r="BA413" t="str">
            <v>삼아</v>
          </cell>
          <cell r="BB413" t="str">
            <v>H50A14K</v>
          </cell>
          <cell r="BD413" t="str">
            <v>D981</v>
          </cell>
          <cell r="BE413" t="str">
            <v>ALL</v>
          </cell>
          <cell r="BI413">
            <v>0</v>
          </cell>
          <cell r="BJ413">
            <v>0</v>
          </cell>
          <cell r="BK413">
            <v>0</v>
          </cell>
          <cell r="BL413">
            <v>0</v>
          </cell>
        </row>
        <row r="414">
          <cell r="C414">
            <v>130</v>
          </cell>
          <cell r="D414" t="str">
            <v>MB274076</v>
          </cell>
          <cell r="E414" t="str">
            <v xml:space="preserve"> REINF,FENDER SHIELD RH</v>
          </cell>
          <cell r="W414">
            <v>1</v>
          </cell>
          <cell r="X414">
            <v>1</v>
          </cell>
          <cell r="AE414">
            <v>1</v>
          </cell>
          <cell r="AH414">
            <v>1</v>
          </cell>
          <cell r="AI414">
            <v>1</v>
          </cell>
          <cell r="AN414">
            <v>1</v>
          </cell>
          <cell r="AP414">
            <v>1</v>
          </cell>
          <cell r="AR414">
            <v>1</v>
          </cell>
          <cell r="AT414">
            <v>1</v>
          </cell>
          <cell r="AW414">
            <v>1</v>
          </cell>
          <cell r="AY414">
            <v>1</v>
          </cell>
          <cell r="AZ414" t="str">
            <v>B</v>
          </cell>
          <cell r="BA414" t="str">
            <v>삼아</v>
          </cell>
          <cell r="BB414" t="str">
            <v>H50A14K</v>
          </cell>
          <cell r="BD414" t="str">
            <v>D981</v>
          </cell>
          <cell r="BE414" t="str">
            <v>V6</v>
          </cell>
          <cell r="BI414">
            <v>0</v>
          </cell>
          <cell r="BJ414">
            <v>2</v>
          </cell>
          <cell r="BK414">
            <v>60</v>
          </cell>
          <cell r="BL414">
            <v>46</v>
          </cell>
        </row>
        <row r="415">
          <cell r="C415">
            <v>130</v>
          </cell>
          <cell r="D415" t="str">
            <v>MB274076A</v>
          </cell>
          <cell r="E415" t="str">
            <v xml:space="preserve"> REINF,FENDER SHIELD RH</v>
          </cell>
          <cell r="W415">
            <v>1</v>
          </cell>
          <cell r="X415">
            <v>1</v>
          </cell>
          <cell r="AE415">
            <v>1</v>
          </cell>
          <cell r="AH415">
            <v>1</v>
          </cell>
          <cell r="AI415">
            <v>1</v>
          </cell>
          <cell r="AN415">
            <v>1</v>
          </cell>
          <cell r="AP415">
            <v>1</v>
          </cell>
          <cell r="AR415">
            <v>1</v>
          </cell>
          <cell r="AT415">
            <v>1</v>
          </cell>
          <cell r="AW415">
            <v>1</v>
          </cell>
          <cell r="AY415">
            <v>1</v>
          </cell>
          <cell r="AZ415" t="str">
            <v>B</v>
          </cell>
          <cell r="BA415" t="str">
            <v>삼아</v>
          </cell>
          <cell r="BB415" t="str">
            <v>H50A14K</v>
          </cell>
          <cell r="BD415" t="str">
            <v>D981</v>
          </cell>
          <cell r="BE415" t="str">
            <v>V6</v>
          </cell>
          <cell r="BI415">
            <v>0</v>
          </cell>
          <cell r="BJ415">
            <v>2</v>
          </cell>
          <cell r="BK415">
            <v>60</v>
          </cell>
          <cell r="BL415">
            <v>46</v>
          </cell>
        </row>
        <row r="416">
          <cell r="C416">
            <v>1398</v>
          </cell>
          <cell r="D416" t="str">
            <v>MB274087</v>
          </cell>
          <cell r="E416" t="str">
            <v xml:space="preserve"> PANEL,H/PROT</v>
          </cell>
          <cell r="K416">
            <v>1</v>
          </cell>
          <cell r="M416">
            <v>1</v>
          </cell>
          <cell r="N416">
            <v>1</v>
          </cell>
          <cell r="O416">
            <v>1</v>
          </cell>
          <cell r="P416">
            <v>1</v>
          </cell>
          <cell r="Q416">
            <v>1</v>
          </cell>
          <cell r="T416">
            <v>1</v>
          </cell>
          <cell r="Z416">
            <v>1</v>
          </cell>
          <cell r="AC416">
            <v>1</v>
          </cell>
          <cell r="AD416">
            <v>1</v>
          </cell>
          <cell r="AM416">
            <v>1</v>
          </cell>
          <cell r="AO416">
            <v>1</v>
          </cell>
          <cell r="AQ416">
            <v>1</v>
          </cell>
          <cell r="AS416">
            <v>1</v>
          </cell>
          <cell r="AU416">
            <v>1</v>
          </cell>
          <cell r="AX416">
            <v>1</v>
          </cell>
          <cell r="AZ416" t="str">
            <v>T</v>
          </cell>
          <cell r="BA416" t="str">
            <v>삼아</v>
          </cell>
          <cell r="BB416" t="str">
            <v>H50C25K</v>
          </cell>
          <cell r="BD416" t="str">
            <v>D981</v>
          </cell>
          <cell r="BE416" t="str">
            <v>TC</v>
          </cell>
          <cell r="BI416" t="e">
            <v>#REF!</v>
          </cell>
          <cell r="BJ416" t="e">
            <v>#REF!</v>
          </cell>
          <cell r="BK416" t="e">
            <v>#REF!</v>
          </cell>
          <cell r="BL416" t="e">
            <v>#REF!</v>
          </cell>
        </row>
        <row r="417">
          <cell r="C417">
            <v>1371</v>
          </cell>
          <cell r="D417" t="str">
            <v>MB274561A</v>
          </cell>
          <cell r="E417" t="str">
            <v xml:space="preserve"> PNL ASSY,H/PROT DASH UPR </v>
          </cell>
          <cell r="K417">
            <v>1</v>
          </cell>
          <cell r="M417">
            <v>1</v>
          </cell>
          <cell r="N417">
            <v>1</v>
          </cell>
          <cell r="O417">
            <v>1</v>
          </cell>
          <cell r="P417">
            <v>1</v>
          </cell>
          <cell r="Q417">
            <v>1</v>
          </cell>
          <cell r="T417">
            <v>1</v>
          </cell>
          <cell r="Z417">
            <v>1</v>
          </cell>
          <cell r="AC417">
            <v>1</v>
          </cell>
          <cell r="AD417">
            <v>1</v>
          </cell>
          <cell r="AM417">
            <v>1</v>
          </cell>
          <cell r="AO417">
            <v>1</v>
          </cell>
          <cell r="AS417">
            <v>1</v>
          </cell>
          <cell r="AV417">
            <v>1</v>
          </cell>
          <cell r="AZ417" t="str">
            <v>T</v>
          </cell>
          <cell r="BA417" t="str">
            <v>삼아</v>
          </cell>
          <cell r="BB417" t="str">
            <v>H50C25K</v>
          </cell>
          <cell r="BC417" t="str">
            <v>B2'</v>
          </cell>
          <cell r="BD417" t="str">
            <v>D981</v>
          </cell>
          <cell r="BE417" t="str">
            <v>TC</v>
          </cell>
          <cell r="BI417" t="e">
            <v>#REF!</v>
          </cell>
          <cell r="BJ417" t="e">
            <v>#REF!</v>
          </cell>
          <cell r="BK417" t="e">
            <v>#REF!</v>
          </cell>
          <cell r="BL417" t="e">
            <v>#REF!</v>
          </cell>
        </row>
        <row r="418">
          <cell r="C418">
            <v>2584</v>
          </cell>
          <cell r="D418" t="str">
            <v>MB274635A</v>
          </cell>
          <cell r="E418" t="str">
            <v xml:space="preserve"> REINF,FRONT DECK LH</v>
          </cell>
          <cell r="G418">
            <v>1</v>
          </cell>
          <cell r="AZ418" t="str">
            <v>B</v>
          </cell>
          <cell r="BA418" t="str">
            <v>삼아</v>
          </cell>
          <cell r="BB418" t="str">
            <v>H50A18K</v>
          </cell>
          <cell r="BD418" t="str">
            <v>D981</v>
          </cell>
          <cell r="BE418" t="str">
            <v>ALL</v>
          </cell>
          <cell r="BI418">
            <v>0</v>
          </cell>
          <cell r="BJ418">
            <v>0</v>
          </cell>
          <cell r="BK418">
            <v>0</v>
          </cell>
          <cell r="BL418">
            <v>0</v>
          </cell>
        </row>
        <row r="419">
          <cell r="C419">
            <v>2584</v>
          </cell>
          <cell r="D419" t="str">
            <v>MB274636A</v>
          </cell>
          <cell r="E419" t="str">
            <v xml:space="preserve"> REINF,FRONT DECK RH</v>
          </cell>
          <cell r="G419">
            <v>1</v>
          </cell>
          <cell r="AZ419" t="str">
            <v>B</v>
          </cell>
          <cell r="BA419" t="str">
            <v>삼아</v>
          </cell>
          <cell r="BB419" t="str">
            <v>H50A18K</v>
          </cell>
          <cell r="BD419" t="str">
            <v>D981</v>
          </cell>
          <cell r="BE419" t="str">
            <v>ALL</v>
          </cell>
          <cell r="BI419">
            <v>0</v>
          </cell>
          <cell r="BJ419">
            <v>0</v>
          </cell>
          <cell r="BK419">
            <v>0</v>
          </cell>
          <cell r="BL419">
            <v>0</v>
          </cell>
        </row>
        <row r="420">
          <cell r="C420">
            <v>1892</v>
          </cell>
          <cell r="D420" t="str">
            <v>MB274699</v>
          </cell>
          <cell r="E420" t="str">
            <v xml:space="preserve"> REINF,QTR PANEL OTR LH</v>
          </cell>
          <cell r="I420">
            <v>1</v>
          </cell>
          <cell r="J420">
            <v>1</v>
          </cell>
          <cell r="K420">
            <v>1</v>
          </cell>
          <cell r="O420">
            <v>1</v>
          </cell>
          <cell r="Q420">
            <v>1</v>
          </cell>
          <cell r="S420">
            <v>1</v>
          </cell>
          <cell r="T420">
            <v>1</v>
          </cell>
          <cell r="V420">
            <v>1</v>
          </cell>
          <cell r="X420">
            <v>1</v>
          </cell>
          <cell r="Y420">
            <v>1</v>
          </cell>
          <cell r="Z420">
            <v>1</v>
          </cell>
          <cell r="AA420">
            <v>1</v>
          </cell>
          <cell r="AE420">
            <v>1</v>
          </cell>
          <cell r="AG420">
            <v>1</v>
          </cell>
          <cell r="AI420">
            <v>1</v>
          </cell>
          <cell r="AJ420">
            <v>1</v>
          </cell>
          <cell r="AK420">
            <v>1</v>
          </cell>
          <cell r="AQ420">
            <v>1</v>
          </cell>
          <cell r="AR420">
            <v>1</v>
          </cell>
          <cell r="AS420">
            <v>1</v>
          </cell>
          <cell r="AT420">
            <v>1</v>
          </cell>
          <cell r="AU420">
            <v>1</v>
          </cell>
          <cell r="AV420">
            <v>1</v>
          </cell>
          <cell r="AX420">
            <v>1</v>
          </cell>
          <cell r="AY420">
            <v>1</v>
          </cell>
          <cell r="AZ420" t="str">
            <v>B</v>
          </cell>
          <cell r="BA420" t="str">
            <v>삼아</v>
          </cell>
          <cell r="BB420" t="str">
            <v>H50A17K</v>
          </cell>
          <cell r="BD420" t="str">
            <v>D981</v>
          </cell>
          <cell r="BI420">
            <v>888</v>
          </cell>
          <cell r="BJ420">
            <v>458</v>
          </cell>
          <cell r="BK420">
            <v>90</v>
          </cell>
          <cell r="BL420">
            <v>100</v>
          </cell>
        </row>
        <row r="421">
          <cell r="C421">
            <v>1892</v>
          </cell>
          <cell r="D421" t="str">
            <v>MB274700</v>
          </cell>
          <cell r="E421" t="str">
            <v xml:space="preserve"> REINF,QTR PANEL OTR LH</v>
          </cell>
          <cell r="I421">
            <v>1</v>
          </cell>
          <cell r="J421">
            <v>1</v>
          </cell>
          <cell r="K421">
            <v>1</v>
          </cell>
          <cell r="O421">
            <v>1</v>
          </cell>
          <cell r="Q421">
            <v>1</v>
          </cell>
          <cell r="S421">
            <v>1</v>
          </cell>
          <cell r="T421">
            <v>1</v>
          </cell>
          <cell r="V421">
            <v>1</v>
          </cell>
          <cell r="X421">
            <v>1</v>
          </cell>
          <cell r="Y421">
            <v>1</v>
          </cell>
          <cell r="Z421">
            <v>1</v>
          </cell>
          <cell r="AA421">
            <v>1</v>
          </cell>
          <cell r="AE421">
            <v>1</v>
          </cell>
          <cell r="AG421">
            <v>1</v>
          </cell>
          <cell r="AI421">
            <v>1</v>
          </cell>
          <cell r="AJ421">
            <v>1</v>
          </cell>
          <cell r="AK421">
            <v>1</v>
          </cell>
          <cell r="AQ421">
            <v>1</v>
          </cell>
          <cell r="AR421">
            <v>1</v>
          </cell>
          <cell r="AS421">
            <v>1</v>
          </cell>
          <cell r="AT421">
            <v>1</v>
          </cell>
          <cell r="AU421">
            <v>1</v>
          </cell>
          <cell r="AV421">
            <v>1</v>
          </cell>
          <cell r="AX421">
            <v>1</v>
          </cell>
          <cell r="AY421">
            <v>1</v>
          </cell>
          <cell r="AZ421" t="str">
            <v>B</v>
          </cell>
          <cell r="BA421" t="str">
            <v>삼아</v>
          </cell>
          <cell r="BB421" t="str">
            <v>H50A17K</v>
          </cell>
          <cell r="BD421" t="str">
            <v>D981</v>
          </cell>
          <cell r="BI421">
            <v>888</v>
          </cell>
          <cell r="BJ421">
            <v>458</v>
          </cell>
          <cell r="BK421">
            <v>90</v>
          </cell>
          <cell r="BL421">
            <v>100</v>
          </cell>
        </row>
        <row r="422">
          <cell r="C422">
            <v>1892</v>
          </cell>
          <cell r="D422" t="str">
            <v>MB275125</v>
          </cell>
          <cell r="E422" t="str">
            <v xml:space="preserve"> REINF,SIDE SILL LH</v>
          </cell>
          <cell r="I422">
            <v>1</v>
          </cell>
          <cell r="J422">
            <v>1</v>
          </cell>
          <cell r="K422">
            <v>1</v>
          </cell>
          <cell r="O422">
            <v>1</v>
          </cell>
          <cell r="Q422">
            <v>1</v>
          </cell>
          <cell r="S422">
            <v>1</v>
          </cell>
          <cell r="T422">
            <v>1</v>
          </cell>
          <cell r="V422">
            <v>1</v>
          </cell>
          <cell r="X422">
            <v>1</v>
          </cell>
          <cell r="Y422">
            <v>1</v>
          </cell>
          <cell r="Z422">
            <v>1</v>
          </cell>
          <cell r="AA422">
            <v>1</v>
          </cell>
          <cell r="AE422">
            <v>1</v>
          </cell>
          <cell r="AG422">
            <v>1</v>
          </cell>
          <cell r="AI422">
            <v>1</v>
          </cell>
          <cell r="AJ422">
            <v>1</v>
          </cell>
          <cell r="AK422">
            <v>1</v>
          </cell>
          <cell r="AQ422">
            <v>1</v>
          </cell>
          <cell r="AR422">
            <v>1</v>
          </cell>
          <cell r="AS422">
            <v>1</v>
          </cell>
          <cell r="AT422">
            <v>1</v>
          </cell>
          <cell r="AU422">
            <v>1</v>
          </cell>
          <cell r="AV422">
            <v>1</v>
          </cell>
          <cell r="AX422">
            <v>1</v>
          </cell>
          <cell r="AY422">
            <v>1</v>
          </cell>
          <cell r="AZ422" t="str">
            <v>B</v>
          </cell>
          <cell r="BA422" t="str">
            <v>삼아</v>
          </cell>
          <cell r="BB422" t="str">
            <v>H50A17K</v>
          </cell>
          <cell r="BD422" t="str">
            <v>D981</v>
          </cell>
          <cell r="BI422">
            <v>888</v>
          </cell>
          <cell r="BJ422">
            <v>458</v>
          </cell>
          <cell r="BK422">
            <v>90</v>
          </cell>
          <cell r="BL422">
            <v>100</v>
          </cell>
        </row>
        <row r="423">
          <cell r="C423">
            <v>1892</v>
          </cell>
          <cell r="D423" t="str">
            <v>MB275126</v>
          </cell>
          <cell r="E423" t="str">
            <v xml:space="preserve"> REINF,SIDE SILL RH</v>
          </cell>
          <cell r="I423">
            <v>1</v>
          </cell>
          <cell r="J423">
            <v>1</v>
          </cell>
          <cell r="K423">
            <v>1</v>
          </cell>
          <cell r="O423">
            <v>1</v>
          </cell>
          <cell r="Q423">
            <v>1</v>
          </cell>
          <cell r="S423">
            <v>1</v>
          </cell>
          <cell r="T423">
            <v>1</v>
          </cell>
          <cell r="V423">
            <v>1</v>
          </cell>
          <cell r="X423">
            <v>1</v>
          </cell>
          <cell r="Y423">
            <v>1</v>
          </cell>
          <cell r="Z423">
            <v>1</v>
          </cell>
          <cell r="AA423">
            <v>1</v>
          </cell>
          <cell r="AE423">
            <v>1</v>
          </cell>
          <cell r="AG423">
            <v>1</v>
          </cell>
          <cell r="AI423">
            <v>1</v>
          </cell>
          <cell r="AJ423">
            <v>1</v>
          </cell>
          <cell r="AK423">
            <v>1</v>
          </cell>
          <cell r="AQ423">
            <v>1</v>
          </cell>
          <cell r="AR423">
            <v>1</v>
          </cell>
          <cell r="AS423">
            <v>1</v>
          </cell>
          <cell r="AT423">
            <v>1</v>
          </cell>
          <cell r="AU423">
            <v>1</v>
          </cell>
          <cell r="AV423">
            <v>1</v>
          </cell>
          <cell r="AX423">
            <v>1</v>
          </cell>
          <cell r="AY423">
            <v>1</v>
          </cell>
          <cell r="AZ423" t="str">
            <v>B</v>
          </cell>
          <cell r="BA423" t="str">
            <v>삼아</v>
          </cell>
          <cell r="BB423" t="str">
            <v>H50A17K</v>
          </cell>
          <cell r="BD423" t="str">
            <v>D981</v>
          </cell>
          <cell r="BI423">
            <v>888</v>
          </cell>
          <cell r="BJ423">
            <v>458</v>
          </cell>
          <cell r="BK423">
            <v>90</v>
          </cell>
          <cell r="BL423">
            <v>100</v>
          </cell>
        </row>
        <row r="424">
          <cell r="C424">
            <v>247</v>
          </cell>
          <cell r="D424" t="str">
            <v>MB275849A</v>
          </cell>
          <cell r="E424" t="str">
            <v xml:space="preserve"> REINF-FENDER SHIELD RR LH</v>
          </cell>
          <cell r="F424" t="str">
            <v>수출ALL</v>
          </cell>
          <cell r="AE424">
            <v>1</v>
          </cell>
          <cell r="AF424">
            <v>1</v>
          </cell>
          <cell r="AG424">
            <v>1</v>
          </cell>
          <cell r="AH424">
            <v>1</v>
          </cell>
          <cell r="AI424">
            <v>1</v>
          </cell>
          <cell r="AJ424">
            <v>1</v>
          </cell>
          <cell r="AK424">
            <v>1</v>
          </cell>
          <cell r="AL424">
            <v>1</v>
          </cell>
          <cell r="AM424">
            <v>1</v>
          </cell>
          <cell r="AN424">
            <v>1</v>
          </cell>
          <cell r="AO424">
            <v>1</v>
          </cell>
          <cell r="AP424">
            <v>1</v>
          </cell>
          <cell r="AQ424">
            <v>1</v>
          </cell>
          <cell r="AR424">
            <v>1</v>
          </cell>
          <cell r="AS424">
            <v>1</v>
          </cell>
          <cell r="AT424">
            <v>1</v>
          </cell>
          <cell r="AU424">
            <v>1</v>
          </cell>
          <cell r="AV424">
            <v>1</v>
          </cell>
          <cell r="AW424">
            <v>1</v>
          </cell>
          <cell r="AX424">
            <v>1</v>
          </cell>
          <cell r="AY424">
            <v>1</v>
          </cell>
          <cell r="AZ424" t="str">
            <v>B</v>
          </cell>
          <cell r="BA424" t="str">
            <v>삼아</v>
          </cell>
          <cell r="BB424" t="str">
            <v>H50A14K01-62,63,64</v>
          </cell>
          <cell r="BD424" t="str">
            <v>D981</v>
          </cell>
          <cell r="BE424" t="str">
            <v>CHAINA</v>
          </cell>
          <cell r="BI424">
            <v>0</v>
          </cell>
          <cell r="BJ424">
            <v>0</v>
          </cell>
          <cell r="BK424">
            <v>118</v>
          </cell>
          <cell r="BL424">
            <v>102</v>
          </cell>
        </row>
        <row r="425">
          <cell r="C425">
            <v>247</v>
          </cell>
          <cell r="D425" t="str">
            <v>MB275850A</v>
          </cell>
          <cell r="E425" t="str">
            <v xml:space="preserve"> REINF-FENDER SHIELD RR RH</v>
          </cell>
          <cell r="F425" t="str">
            <v>수출ALL</v>
          </cell>
          <cell r="AE425">
            <v>1</v>
          </cell>
          <cell r="AF425">
            <v>1</v>
          </cell>
          <cell r="AG425">
            <v>1</v>
          </cell>
          <cell r="AH425">
            <v>1</v>
          </cell>
          <cell r="AI425">
            <v>1</v>
          </cell>
          <cell r="AJ425">
            <v>1</v>
          </cell>
          <cell r="AK425">
            <v>1</v>
          </cell>
          <cell r="AL425">
            <v>1</v>
          </cell>
          <cell r="AM425">
            <v>1</v>
          </cell>
          <cell r="AN425">
            <v>1</v>
          </cell>
          <cell r="AO425">
            <v>1</v>
          </cell>
          <cell r="AP425">
            <v>1</v>
          </cell>
          <cell r="AQ425">
            <v>1</v>
          </cell>
          <cell r="AR425">
            <v>1</v>
          </cell>
          <cell r="AS425">
            <v>1</v>
          </cell>
          <cell r="AT425">
            <v>1</v>
          </cell>
          <cell r="AU425">
            <v>1</v>
          </cell>
          <cell r="AV425">
            <v>1</v>
          </cell>
          <cell r="AW425">
            <v>1</v>
          </cell>
          <cell r="AX425">
            <v>1</v>
          </cell>
          <cell r="AY425">
            <v>1</v>
          </cell>
          <cell r="AZ425" t="str">
            <v>B</v>
          </cell>
          <cell r="BA425" t="str">
            <v>삼아</v>
          </cell>
          <cell r="BB425" t="str">
            <v>H50A14K01-62,63,64</v>
          </cell>
          <cell r="BD425" t="str">
            <v>D981</v>
          </cell>
          <cell r="BE425" t="str">
            <v>CHAINA</v>
          </cell>
          <cell r="BI425">
            <v>0</v>
          </cell>
          <cell r="BJ425">
            <v>0</v>
          </cell>
          <cell r="BK425">
            <v>118</v>
          </cell>
          <cell r="BL425">
            <v>102</v>
          </cell>
        </row>
        <row r="426">
          <cell r="C426">
            <v>851</v>
          </cell>
          <cell r="D426" t="str">
            <v>MB275941</v>
          </cell>
          <cell r="E426" t="str">
            <v xml:space="preserve"> PANEL,HEAT  PROTECTOR RR</v>
          </cell>
          <cell r="N426">
            <v>1</v>
          </cell>
          <cell r="O426">
            <v>1</v>
          </cell>
          <cell r="P426">
            <v>1</v>
          </cell>
          <cell r="Q426">
            <v>1</v>
          </cell>
          <cell r="W426">
            <v>1</v>
          </cell>
          <cell r="X426">
            <v>1</v>
          </cell>
          <cell r="AE426">
            <v>1</v>
          </cell>
          <cell r="AH426">
            <v>1</v>
          </cell>
          <cell r="AI426">
            <v>1</v>
          </cell>
          <cell r="AN426">
            <v>1</v>
          </cell>
          <cell r="AP426">
            <v>1</v>
          </cell>
          <cell r="AR426">
            <v>1</v>
          </cell>
          <cell r="AT426">
            <v>1</v>
          </cell>
          <cell r="AW426">
            <v>1</v>
          </cell>
          <cell r="AY426">
            <v>1</v>
          </cell>
          <cell r="AZ426" t="str">
            <v>T</v>
          </cell>
          <cell r="BA426" t="str">
            <v>삼아</v>
          </cell>
          <cell r="BB426" t="str">
            <v>H50C25K01-3,4</v>
          </cell>
          <cell r="BD426" t="str">
            <v>D981</v>
          </cell>
          <cell r="BE426" t="str">
            <v>V6,TCI</v>
          </cell>
          <cell r="BI426" t="e">
            <v>#REF!</v>
          </cell>
          <cell r="BJ426" t="e">
            <v>#REF!</v>
          </cell>
          <cell r="BK426" t="e">
            <v>#REF!</v>
          </cell>
          <cell r="BL426" t="e">
            <v>#REF!</v>
          </cell>
        </row>
        <row r="427">
          <cell r="C427">
            <v>130</v>
          </cell>
          <cell r="D427" t="str">
            <v>MB591316</v>
          </cell>
          <cell r="E427" t="str">
            <v xml:space="preserve"> PANEL,H/PROT</v>
          </cell>
          <cell r="W427">
            <v>1</v>
          </cell>
          <cell r="X427">
            <v>1</v>
          </cell>
          <cell r="AE427">
            <v>1</v>
          </cell>
          <cell r="AH427">
            <v>1</v>
          </cell>
          <cell r="AI427">
            <v>1</v>
          </cell>
          <cell r="AN427">
            <v>1</v>
          </cell>
          <cell r="AP427">
            <v>1</v>
          </cell>
          <cell r="AR427">
            <v>1</v>
          </cell>
          <cell r="AT427">
            <v>1</v>
          </cell>
          <cell r="AW427">
            <v>1</v>
          </cell>
          <cell r="AY427">
            <v>1</v>
          </cell>
          <cell r="AZ427" t="str">
            <v>T</v>
          </cell>
          <cell r="BA427" t="str">
            <v>삼아</v>
          </cell>
          <cell r="BB427" t="str">
            <v>H50C25K</v>
          </cell>
          <cell r="BD427" t="str">
            <v>D981</v>
          </cell>
          <cell r="BE427" t="str">
            <v>V6</v>
          </cell>
          <cell r="BI427" t="e">
            <v>#REF!</v>
          </cell>
          <cell r="BJ427" t="e">
            <v>#REF!</v>
          </cell>
          <cell r="BK427" t="e">
            <v>#REF!</v>
          </cell>
          <cell r="BL427" t="e">
            <v>#REF!</v>
          </cell>
        </row>
        <row r="428">
          <cell r="C428">
            <v>130</v>
          </cell>
          <cell r="D428" t="str">
            <v>MB591397</v>
          </cell>
          <cell r="E428" t="str">
            <v xml:space="preserve"> PANEL,H/PROT</v>
          </cell>
          <cell r="W428">
            <v>1</v>
          </cell>
          <cell r="X428">
            <v>1</v>
          </cell>
          <cell r="AE428">
            <v>1</v>
          </cell>
          <cell r="AH428">
            <v>1</v>
          </cell>
          <cell r="AI428">
            <v>1</v>
          </cell>
          <cell r="AN428">
            <v>1</v>
          </cell>
          <cell r="AP428">
            <v>1</v>
          </cell>
          <cell r="AR428">
            <v>1</v>
          </cell>
          <cell r="AT428">
            <v>1</v>
          </cell>
          <cell r="AW428">
            <v>1</v>
          </cell>
          <cell r="AY428">
            <v>1</v>
          </cell>
          <cell r="AZ428" t="str">
            <v>T</v>
          </cell>
          <cell r="BA428" t="str">
            <v>삼아</v>
          </cell>
          <cell r="BB428" t="str">
            <v>H50C25K</v>
          </cell>
          <cell r="BD428" t="str">
            <v>D981</v>
          </cell>
          <cell r="BE428" t="str">
            <v>V6</v>
          </cell>
          <cell r="BI428" t="e">
            <v>#REF!</v>
          </cell>
          <cell r="BJ428" t="e">
            <v>#REF!</v>
          </cell>
          <cell r="BK428" t="e">
            <v>#REF!</v>
          </cell>
          <cell r="BL428" t="e">
            <v>#REF!</v>
          </cell>
        </row>
        <row r="429">
          <cell r="C429">
            <v>2584</v>
          </cell>
          <cell r="D429" t="str">
            <v>MB591449</v>
          </cell>
          <cell r="E429" t="str">
            <v xml:space="preserve"> PATCH,CORNER LH</v>
          </cell>
          <cell r="G429">
            <v>1</v>
          </cell>
          <cell r="AZ429" t="str">
            <v>B</v>
          </cell>
          <cell r="BA429" t="str">
            <v>삼아</v>
          </cell>
          <cell r="BB429" t="str">
            <v>H50A17K</v>
          </cell>
          <cell r="BD429" t="str">
            <v>D981</v>
          </cell>
          <cell r="BE429" t="str">
            <v>ALL</v>
          </cell>
          <cell r="BI429">
            <v>0</v>
          </cell>
          <cell r="BJ429">
            <v>0</v>
          </cell>
          <cell r="BK429">
            <v>0</v>
          </cell>
          <cell r="BL429">
            <v>0</v>
          </cell>
        </row>
        <row r="430">
          <cell r="C430">
            <v>2584</v>
          </cell>
          <cell r="D430" t="str">
            <v>MB591450</v>
          </cell>
          <cell r="E430" t="str">
            <v xml:space="preserve"> PATCH,CORNER RH </v>
          </cell>
          <cell r="G430">
            <v>1</v>
          </cell>
          <cell r="AZ430" t="str">
            <v>B</v>
          </cell>
          <cell r="BA430" t="str">
            <v>삼아</v>
          </cell>
          <cell r="BB430" t="str">
            <v>H50A17K</v>
          </cell>
          <cell r="BD430" t="str">
            <v>D981</v>
          </cell>
          <cell r="BE430" t="str">
            <v>ALL</v>
          </cell>
          <cell r="BI430">
            <v>0</v>
          </cell>
          <cell r="BJ430">
            <v>0</v>
          </cell>
          <cell r="BK430">
            <v>0</v>
          </cell>
          <cell r="BL430">
            <v>0</v>
          </cell>
        </row>
        <row r="431">
          <cell r="C431">
            <v>1995</v>
          </cell>
          <cell r="D431" t="str">
            <v>MB591465A</v>
          </cell>
          <cell r="E431" t="str">
            <v xml:space="preserve"> RAIL,SIDE ROOF,INR LH</v>
          </cell>
          <cell r="J431">
            <v>1</v>
          </cell>
          <cell r="K431">
            <v>1</v>
          </cell>
          <cell r="L431">
            <v>1</v>
          </cell>
          <cell r="M431">
            <v>1</v>
          </cell>
          <cell r="N431">
            <v>1</v>
          </cell>
          <cell r="O431">
            <v>1</v>
          </cell>
          <cell r="P431">
            <v>1</v>
          </cell>
          <cell r="Q431">
            <v>1</v>
          </cell>
          <cell r="S431">
            <v>1</v>
          </cell>
          <cell r="T431">
            <v>1</v>
          </cell>
          <cell r="U431">
            <v>1</v>
          </cell>
          <cell r="V431">
            <v>1</v>
          </cell>
          <cell r="W431">
            <v>1</v>
          </cell>
          <cell r="X431">
            <v>1</v>
          </cell>
          <cell r="Y431">
            <v>1</v>
          </cell>
          <cell r="Z431">
            <v>1</v>
          </cell>
          <cell r="AA431">
            <v>1</v>
          </cell>
          <cell r="AD431">
            <v>1</v>
          </cell>
          <cell r="AE431">
            <v>1</v>
          </cell>
          <cell r="AH431">
            <v>1</v>
          </cell>
          <cell r="AI431">
            <v>1</v>
          </cell>
          <cell r="AJ431">
            <v>1</v>
          </cell>
          <cell r="AK431">
            <v>1</v>
          </cell>
          <cell r="AL431">
            <v>1</v>
          </cell>
          <cell r="AM431">
            <v>1</v>
          </cell>
          <cell r="AN431">
            <v>1</v>
          </cell>
          <cell r="AO431">
            <v>1</v>
          </cell>
          <cell r="AP431">
            <v>1</v>
          </cell>
          <cell r="AQ431">
            <v>1</v>
          </cell>
          <cell r="AR431">
            <v>1</v>
          </cell>
          <cell r="AS431">
            <v>1</v>
          </cell>
          <cell r="AT431">
            <v>1</v>
          </cell>
          <cell r="AU431">
            <v>1</v>
          </cell>
          <cell r="AV431">
            <v>1</v>
          </cell>
          <cell r="AW431">
            <v>1</v>
          </cell>
          <cell r="AX431">
            <v>1</v>
          </cell>
          <cell r="AY431">
            <v>1</v>
          </cell>
          <cell r="AZ431" t="str">
            <v>B</v>
          </cell>
          <cell r="BA431" t="str">
            <v>삼아</v>
          </cell>
          <cell r="BB431" t="str">
            <v>H50A16K</v>
          </cell>
          <cell r="BC431" t="str">
            <v>LINE H/R추가사용</v>
          </cell>
          <cell r="BD431" t="str">
            <v>D981</v>
          </cell>
          <cell r="BI431">
            <v>917</v>
          </cell>
          <cell r="BJ431">
            <v>458</v>
          </cell>
          <cell r="BK431">
            <v>118</v>
          </cell>
          <cell r="BL431">
            <v>102</v>
          </cell>
        </row>
        <row r="432">
          <cell r="C432">
            <v>1995</v>
          </cell>
          <cell r="D432" t="str">
            <v>MB591466A</v>
          </cell>
          <cell r="E432" t="str">
            <v xml:space="preserve"> RAIL,SIDE ROOF,INR RH</v>
          </cell>
          <cell r="J432">
            <v>1</v>
          </cell>
          <cell r="K432">
            <v>1</v>
          </cell>
          <cell r="L432">
            <v>1</v>
          </cell>
          <cell r="M432">
            <v>1</v>
          </cell>
          <cell r="N432">
            <v>1</v>
          </cell>
          <cell r="O432">
            <v>1</v>
          </cell>
          <cell r="P432">
            <v>1</v>
          </cell>
          <cell r="Q432">
            <v>1</v>
          </cell>
          <cell r="S432">
            <v>1</v>
          </cell>
          <cell r="T432">
            <v>1</v>
          </cell>
          <cell r="U432">
            <v>1</v>
          </cell>
          <cell r="V432">
            <v>1</v>
          </cell>
          <cell r="W432">
            <v>1</v>
          </cell>
          <cell r="X432">
            <v>1</v>
          </cell>
          <cell r="Y432">
            <v>1</v>
          </cell>
          <cell r="Z432">
            <v>1</v>
          </cell>
          <cell r="AA432">
            <v>1</v>
          </cell>
          <cell r="AD432">
            <v>1</v>
          </cell>
          <cell r="AE432">
            <v>1</v>
          </cell>
          <cell r="AH432">
            <v>1</v>
          </cell>
          <cell r="AI432">
            <v>1</v>
          </cell>
          <cell r="AJ432">
            <v>1</v>
          </cell>
          <cell r="AK432">
            <v>1</v>
          </cell>
          <cell r="AL432">
            <v>1</v>
          </cell>
          <cell r="AM432">
            <v>1</v>
          </cell>
          <cell r="AN432">
            <v>1</v>
          </cell>
          <cell r="AO432">
            <v>1</v>
          </cell>
          <cell r="AP432">
            <v>1</v>
          </cell>
          <cell r="AQ432">
            <v>1</v>
          </cell>
          <cell r="AR432">
            <v>1</v>
          </cell>
          <cell r="AS432">
            <v>1</v>
          </cell>
          <cell r="AT432">
            <v>1</v>
          </cell>
          <cell r="AU432">
            <v>1</v>
          </cell>
          <cell r="AV432">
            <v>1</v>
          </cell>
          <cell r="AW432">
            <v>1</v>
          </cell>
          <cell r="AX432">
            <v>1</v>
          </cell>
          <cell r="AY432">
            <v>1</v>
          </cell>
          <cell r="AZ432" t="str">
            <v>B</v>
          </cell>
          <cell r="BA432" t="str">
            <v>삼아</v>
          </cell>
          <cell r="BB432" t="str">
            <v>H50A16K</v>
          </cell>
          <cell r="BC432" t="str">
            <v>〃 K/UP JOB#1</v>
          </cell>
          <cell r="BD432" t="str">
            <v>D981</v>
          </cell>
          <cell r="BI432">
            <v>917</v>
          </cell>
          <cell r="BJ432">
            <v>458</v>
          </cell>
          <cell r="BK432">
            <v>118</v>
          </cell>
          <cell r="BL432">
            <v>102</v>
          </cell>
        </row>
        <row r="433">
          <cell r="C433">
            <v>767</v>
          </cell>
          <cell r="D433" t="str">
            <v>MB591552</v>
          </cell>
          <cell r="E433" t="str">
            <v xml:space="preserve"> EXTN-HOOD OTR</v>
          </cell>
          <cell r="N433">
            <v>1</v>
          </cell>
          <cell r="O433">
            <v>1</v>
          </cell>
          <cell r="P433">
            <v>1</v>
          </cell>
          <cell r="Q433">
            <v>1</v>
          </cell>
          <cell r="Z433">
            <v>1</v>
          </cell>
          <cell r="AO433">
            <v>1</v>
          </cell>
          <cell r="AS433">
            <v>1</v>
          </cell>
          <cell r="AZ433" t="str">
            <v>B</v>
          </cell>
          <cell r="BA433" t="str">
            <v>삼아</v>
          </cell>
          <cell r="BB433" t="str">
            <v>H50B35K</v>
          </cell>
          <cell r="BC433" t="str">
            <v>IC1</v>
          </cell>
          <cell r="BD433" t="str">
            <v>D981</v>
          </cell>
          <cell r="BE433" t="str">
            <v>TCI</v>
          </cell>
          <cell r="BI433">
            <v>422</v>
          </cell>
          <cell r="BJ433">
            <v>0</v>
          </cell>
          <cell r="BK433">
            <v>8</v>
          </cell>
          <cell r="BL433">
            <v>29</v>
          </cell>
        </row>
        <row r="434">
          <cell r="C434">
            <v>2454</v>
          </cell>
          <cell r="D434" t="str">
            <v>MB591583A</v>
          </cell>
          <cell r="E434" t="str">
            <v xml:space="preserve"> PANEL,H/PROT</v>
          </cell>
          <cell r="H434">
            <v>1</v>
          </cell>
          <cell r="I434">
            <v>1</v>
          </cell>
          <cell r="J434">
            <v>1</v>
          </cell>
          <cell r="K434">
            <v>1</v>
          </cell>
          <cell r="L434">
            <v>1</v>
          </cell>
          <cell r="M434">
            <v>1</v>
          </cell>
          <cell r="N434">
            <v>1</v>
          </cell>
          <cell r="O434">
            <v>1</v>
          </cell>
          <cell r="P434">
            <v>1</v>
          </cell>
          <cell r="Q434">
            <v>1</v>
          </cell>
          <cell r="R434">
            <v>1</v>
          </cell>
          <cell r="S434">
            <v>1</v>
          </cell>
          <cell r="T434">
            <v>1</v>
          </cell>
          <cell r="U434">
            <v>1</v>
          </cell>
          <cell r="V434">
            <v>1</v>
          </cell>
          <cell r="Y434">
            <v>1</v>
          </cell>
          <cell r="Z434">
            <v>1</v>
          </cell>
          <cell r="AA434">
            <v>1</v>
          </cell>
          <cell r="AB434">
            <v>1</v>
          </cell>
          <cell r="AC434">
            <v>1</v>
          </cell>
          <cell r="AD434">
            <v>1</v>
          </cell>
          <cell r="AF434">
            <v>1</v>
          </cell>
          <cell r="AG434">
            <v>1</v>
          </cell>
          <cell r="AJ434">
            <v>1</v>
          </cell>
          <cell r="AK434">
            <v>1</v>
          </cell>
          <cell r="AL434">
            <v>1</v>
          </cell>
          <cell r="AM434">
            <v>1</v>
          </cell>
          <cell r="AO434">
            <v>1</v>
          </cell>
          <cell r="AQ434">
            <v>1</v>
          </cell>
          <cell r="AS434">
            <v>1</v>
          </cell>
          <cell r="AU434">
            <v>1</v>
          </cell>
          <cell r="AV434">
            <v>1</v>
          </cell>
          <cell r="AX434">
            <v>1</v>
          </cell>
          <cell r="AZ434" t="str">
            <v>T</v>
          </cell>
          <cell r="BA434" t="str">
            <v>삼아</v>
          </cell>
          <cell r="BB434" t="str">
            <v>H50C25K</v>
          </cell>
          <cell r="BD434" t="str">
            <v>D981</v>
          </cell>
          <cell r="BI434" t="e">
            <v>#REF!</v>
          </cell>
          <cell r="BJ434" t="e">
            <v>#REF!</v>
          </cell>
          <cell r="BK434" t="e">
            <v>#REF!</v>
          </cell>
          <cell r="BL434" t="e">
            <v>#REF!</v>
          </cell>
        </row>
        <row r="435">
          <cell r="C435">
            <v>2454</v>
          </cell>
          <cell r="D435" t="str">
            <v>MB591584</v>
          </cell>
          <cell r="E435" t="str">
            <v xml:space="preserve"> PANEL,H/PROT,DASH</v>
          </cell>
          <cell r="H435">
            <v>1</v>
          </cell>
          <cell r="I435">
            <v>1</v>
          </cell>
          <cell r="J435">
            <v>1</v>
          </cell>
          <cell r="K435">
            <v>1</v>
          </cell>
          <cell r="L435">
            <v>1</v>
          </cell>
          <cell r="M435">
            <v>1</v>
          </cell>
          <cell r="N435">
            <v>1</v>
          </cell>
          <cell r="O435">
            <v>1</v>
          </cell>
          <cell r="P435">
            <v>1</v>
          </cell>
          <cell r="Q435">
            <v>1</v>
          </cell>
          <cell r="R435">
            <v>1</v>
          </cell>
          <cell r="S435">
            <v>1</v>
          </cell>
          <cell r="T435">
            <v>1</v>
          </cell>
          <cell r="U435">
            <v>1</v>
          </cell>
          <cell r="V435">
            <v>1</v>
          </cell>
          <cell r="Y435">
            <v>1</v>
          </cell>
          <cell r="Z435">
            <v>1</v>
          </cell>
          <cell r="AA435">
            <v>1</v>
          </cell>
          <cell r="AB435">
            <v>1</v>
          </cell>
          <cell r="AC435">
            <v>1</v>
          </cell>
          <cell r="AD435">
            <v>1</v>
          </cell>
          <cell r="AF435">
            <v>1</v>
          </cell>
          <cell r="AG435">
            <v>1</v>
          </cell>
          <cell r="AJ435">
            <v>1</v>
          </cell>
          <cell r="AK435">
            <v>1</v>
          </cell>
          <cell r="AL435">
            <v>1</v>
          </cell>
          <cell r="AM435">
            <v>1</v>
          </cell>
          <cell r="AO435">
            <v>1</v>
          </cell>
          <cell r="AQ435">
            <v>1</v>
          </cell>
          <cell r="AS435">
            <v>1</v>
          </cell>
          <cell r="AU435">
            <v>1</v>
          </cell>
          <cell r="AV435">
            <v>1</v>
          </cell>
          <cell r="AX435">
            <v>1</v>
          </cell>
          <cell r="AZ435" t="str">
            <v>T</v>
          </cell>
          <cell r="BA435" t="str">
            <v>삼아</v>
          </cell>
          <cell r="BB435" t="str">
            <v>H50C25K</v>
          </cell>
          <cell r="BD435" t="str">
            <v>D981</v>
          </cell>
          <cell r="BI435" t="e">
            <v>#REF!</v>
          </cell>
          <cell r="BJ435" t="e">
            <v>#REF!</v>
          </cell>
          <cell r="BK435" t="e">
            <v>#REF!</v>
          </cell>
          <cell r="BL435" t="e">
            <v>#REF!</v>
          </cell>
        </row>
        <row r="436">
          <cell r="C436">
            <v>1892</v>
          </cell>
          <cell r="D436" t="str">
            <v>MB591623</v>
          </cell>
          <cell r="E436" t="str">
            <v xml:space="preserve"> REINF,FRT PILLAR(A) LH</v>
          </cell>
          <cell r="I436">
            <v>1</v>
          </cell>
          <cell r="J436">
            <v>1</v>
          </cell>
          <cell r="K436">
            <v>1</v>
          </cell>
          <cell r="O436">
            <v>1</v>
          </cell>
          <cell r="Q436">
            <v>1</v>
          </cell>
          <cell r="S436">
            <v>1</v>
          </cell>
          <cell r="T436">
            <v>1</v>
          </cell>
          <cell r="V436">
            <v>1</v>
          </cell>
          <cell r="X436">
            <v>1</v>
          </cell>
          <cell r="Y436">
            <v>1</v>
          </cell>
          <cell r="Z436">
            <v>1</v>
          </cell>
          <cell r="AA436">
            <v>1</v>
          </cell>
          <cell r="AE436">
            <v>1</v>
          </cell>
          <cell r="AG436">
            <v>1</v>
          </cell>
          <cell r="AI436">
            <v>1</v>
          </cell>
          <cell r="AJ436">
            <v>1</v>
          </cell>
          <cell r="AK436">
            <v>1</v>
          </cell>
          <cell r="AQ436">
            <v>1</v>
          </cell>
          <cell r="AR436">
            <v>1</v>
          </cell>
          <cell r="AS436">
            <v>1</v>
          </cell>
          <cell r="AT436">
            <v>1</v>
          </cell>
          <cell r="AU436">
            <v>1</v>
          </cell>
          <cell r="AV436">
            <v>1</v>
          </cell>
          <cell r="AX436">
            <v>1</v>
          </cell>
          <cell r="AY436">
            <v>1</v>
          </cell>
          <cell r="AZ436" t="str">
            <v>B</v>
          </cell>
          <cell r="BA436" t="str">
            <v>삼아</v>
          </cell>
          <cell r="BB436" t="str">
            <v>H50A16K</v>
          </cell>
          <cell r="BD436" t="str">
            <v>D981</v>
          </cell>
          <cell r="BI436">
            <v>888</v>
          </cell>
          <cell r="BJ436">
            <v>458</v>
          </cell>
          <cell r="BK436">
            <v>90</v>
          </cell>
          <cell r="BL436">
            <v>100</v>
          </cell>
        </row>
        <row r="437">
          <cell r="C437">
            <v>1892</v>
          </cell>
          <cell r="D437" t="str">
            <v>MB591624</v>
          </cell>
          <cell r="E437" t="str">
            <v xml:space="preserve"> REINF,FRT PILLAR(A) RH</v>
          </cell>
          <cell r="I437">
            <v>1</v>
          </cell>
          <cell r="J437">
            <v>1</v>
          </cell>
          <cell r="K437">
            <v>1</v>
          </cell>
          <cell r="O437">
            <v>1</v>
          </cell>
          <cell r="Q437">
            <v>1</v>
          </cell>
          <cell r="S437">
            <v>1</v>
          </cell>
          <cell r="T437">
            <v>1</v>
          </cell>
          <cell r="V437">
            <v>1</v>
          </cell>
          <cell r="X437">
            <v>1</v>
          </cell>
          <cell r="Y437">
            <v>1</v>
          </cell>
          <cell r="Z437">
            <v>1</v>
          </cell>
          <cell r="AA437">
            <v>1</v>
          </cell>
          <cell r="AE437">
            <v>1</v>
          </cell>
          <cell r="AG437">
            <v>1</v>
          </cell>
          <cell r="AI437">
            <v>1</v>
          </cell>
          <cell r="AJ437">
            <v>1</v>
          </cell>
          <cell r="AK437">
            <v>1</v>
          </cell>
          <cell r="AQ437">
            <v>1</v>
          </cell>
          <cell r="AR437">
            <v>1</v>
          </cell>
          <cell r="AS437">
            <v>1</v>
          </cell>
          <cell r="AT437">
            <v>1</v>
          </cell>
          <cell r="AU437">
            <v>1</v>
          </cell>
          <cell r="AV437">
            <v>1</v>
          </cell>
          <cell r="AX437">
            <v>1</v>
          </cell>
          <cell r="AY437">
            <v>1</v>
          </cell>
          <cell r="AZ437" t="str">
            <v>B</v>
          </cell>
          <cell r="BA437" t="str">
            <v>삼아</v>
          </cell>
          <cell r="BB437" t="str">
            <v>H50A16K</v>
          </cell>
          <cell r="BD437" t="str">
            <v>D981</v>
          </cell>
          <cell r="BI437">
            <v>888</v>
          </cell>
          <cell r="BJ437">
            <v>458</v>
          </cell>
          <cell r="BK437">
            <v>90</v>
          </cell>
          <cell r="BL437">
            <v>100</v>
          </cell>
        </row>
        <row r="438">
          <cell r="C438">
            <v>130</v>
          </cell>
          <cell r="D438" t="str">
            <v>XB275940A</v>
          </cell>
          <cell r="E438" t="str">
            <v xml:space="preserve"> PANEL,H/PROT</v>
          </cell>
          <cell r="W438">
            <v>1</v>
          </cell>
          <cell r="X438">
            <v>1</v>
          </cell>
          <cell r="AE438">
            <v>1</v>
          </cell>
          <cell r="AH438">
            <v>1</v>
          </cell>
          <cell r="AI438">
            <v>1</v>
          </cell>
          <cell r="AN438">
            <v>1</v>
          </cell>
          <cell r="AP438">
            <v>1</v>
          </cell>
          <cell r="AR438">
            <v>1</v>
          </cell>
          <cell r="AT438">
            <v>1</v>
          </cell>
          <cell r="AW438">
            <v>1</v>
          </cell>
          <cell r="AY438">
            <v>1</v>
          </cell>
          <cell r="AZ438" t="str">
            <v>T</v>
          </cell>
          <cell r="BA438" t="str">
            <v>삼아</v>
          </cell>
          <cell r="BB438" t="str">
            <v>H50C25K</v>
          </cell>
          <cell r="BD438" t="str">
            <v>D981</v>
          </cell>
          <cell r="BE438" t="str">
            <v>V6</v>
          </cell>
          <cell r="BI438" t="e">
            <v>#REF!</v>
          </cell>
          <cell r="BJ438" t="e">
            <v>#REF!</v>
          </cell>
          <cell r="BK438" t="e">
            <v>#REF!</v>
          </cell>
          <cell r="BL438" t="e">
            <v>#REF!</v>
          </cell>
        </row>
        <row r="439">
          <cell r="C439">
            <v>2584</v>
          </cell>
          <cell r="D439" t="str">
            <v>HG300040</v>
          </cell>
          <cell r="E439" t="str">
            <v xml:space="preserve"> REINF ASSY- SPARE TIRE</v>
          </cell>
          <cell r="F439" t="str">
            <v>신규ITEM</v>
          </cell>
          <cell r="G439">
            <v>1</v>
          </cell>
          <cell r="AZ439" t="str">
            <v>B</v>
          </cell>
          <cell r="BA439" t="str">
            <v>삼아(주)</v>
          </cell>
        </row>
        <row r="440">
          <cell r="C440">
            <v>2584</v>
          </cell>
          <cell r="D440" t="str">
            <v>MB140836</v>
          </cell>
          <cell r="E440" t="str">
            <v xml:space="preserve"> CLIP</v>
          </cell>
          <cell r="G440">
            <v>1</v>
          </cell>
          <cell r="AZ440" t="str">
            <v>B</v>
          </cell>
          <cell r="BA440" t="str">
            <v>삼영공업</v>
          </cell>
          <cell r="BD440" t="str">
            <v>K546</v>
          </cell>
          <cell r="BI440">
            <v>0</v>
          </cell>
          <cell r="BJ440">
            <v>0</v>
          </cell>
          <cell r="BK440">
            <v>0</v>
          </cell>
          <cell r="BL440">
            <v>0</v>
          </cell>
        </row>
        <row r="441">
          <cell r="C441">
            <v>2584</v>
          </cell>
          <cell r="D441" t="str">
            <v>HQ503111</v>
          </cell>
          <cell r="E441" t="str">
            <v xml:space="preserve"> REINF ASSY F/DR HINGE LH</v>
          </cell>
          <cell r="G441">
            <v>1</v>
          </cell>
          <cell r="AZ441" t="str">
            <v>B</v>
          </cell>
          <cell r="BA441" t="str">
            <v>성철사</v>
          </cell>
          <cell r="BB441" t="str">
            <v>H50B31K</v>
          </cell>
          <cell r="BC441" t="str">
            <v>MB227643A</v>
          </cell>
          <cell r="BD441" t="str">
            <v>L922</v>
          </cell>
          <cell r="BI441">
            <v>0</v>
          </cell>
          <cell r="BJ441">
            <v>0</v>
          </cell>
          <cell r="BK441">
            <v>0</v>
          </cell>
          <cell r="BL441">
            <v>0</v>
          </cell>
        </row>
        <row r="442">
          <cell r="C442">
            <v>2584</v>
          </cell>
          <cell r="D442" t="str">
            <v>HQ503112</v>
          </cell>
          <cell r="E442" t="str">
            <v xml:space="preserve"> REINF ASSY F/DR HINGE RH</v>
          </cell>
          <cell r="G442">
            <v>1</v>
          </cell>
          <cell r="AZ442" t="str">
            <v>B</v>
          </cell>
          <cell r="BA442" t="str">
            <v>성철사</v>
          </cell>
          <cell r="BB442" t="str">
            <v>H50B31K</v>
          </cell>
          <cell r="BC442" t="str">
            <v>MB227644A</v>
          </cell>
          <cell r="BD442" t="str">
            <v>L922</v>
          </cell>
          <cell r="BI442">
            <v>0</v>
          </cell>
          <cell r="BJ442">
            <v>0</v>
          </cell>
          <cell r="BK442">
            <v>0</v>
          </cell>
          <cell r="BL442">
            <v>0</v>
          </cell>
        </row>
        <row r="443">
          <cell r="C443">
            <v>1892</v>
          </cell>
          <cell r="D443" t="str">
            <v>HQ503203</v>
          </cell>
          <cell r="E443" t="str">
            <v xml:space="preserve"> REINF ASSY R/DR HINGE LH</v>
          </cell>
          <cell r="I443">
            <v>1</v>
          </cell>
          <cell r="J443">
            <v>1</v>
          </cell>
          <cell r="K443">
            <v>1</v>
          </cell>
          <cell r="O443">
            <v>1</v>
          </cell>
          <cell r="Q443">
            <v>1</v>
          </cell>
          <cell r="S443">
            <v>1</v>
          </cell>
          <cell r="T443">
            <v>1</v>
          </cell>
          <cell r="V443">
            <v>1</v>
          </cell>
          <cell r="X443">
            <v>1</v>
          </cell>
          <cell r="Y443">
            <v>1</v>
          </cell>
          <cell r="Z443">
            <v>1</v>
          </cell>
          <cell r="AA443">
            <v>1</v>
          </cell>
          <cell r="AE443">
            <v>1</v>
          </cell>
          <cell r="AG443">
            <v>1</v>
          </cell>
          <cell r="AI443">
            <v>1</v>
          </cell>
          <cell r="AJ443">
            <v>1</v>
          </cell>
          <cell r="AK443">
            <v>1</v>
          </cell>
          <cell r="AQ443">
            <v>1</v>
          </cell>
          <cell r="AR443">
            <v>1</v>
          </cell>
          <cell r="AS443">
            <v>1</v>
          </cell>
          <cell r="AT443">
            <v>1</v>
          </cell>
          <cell r="AU443">
            <v>1</v>
          </cell>
          <cell r="AV443">
            <v>1</v>
          </cell>
          <cell r="AX443">
            <v>1</v>
          </cell>
          <cell r="AY443">
            <v>1</v>
          </cell>
          <cell r="AZ443" t="str">
            <v>B</v>
          </cell>
          <cell r="BA443" t="str">
            <v>성철사</v>
          </cell>
          <cell r="BB443" t="str">
            <v>H50B32K</v>
          </cell>
          <cell r="BC443" t="str">
            <v>MB320009A</v>
          </cell>
          <cell r="BD443" t="str">
            <v>L922</v>
          </cell>
          <cell r="BI443">
            <v>888</v>
          </cell>
          <cell r="BJ443">
            <v>458</v>
          </cell>
          <cell r="BK443">
            <v>90</v>
          </cell>
          <cell r="BL443">
            <v>100</v>
          </cell>
        </row>
        <row r="444">
          <cell r="C444">
            <v>1892</v>
          </cell>
          <cell r="D444" t="str">
            <v>HQ503204</v>
          </cell>
          <cell r="E444" t="str">
            <v xml:space="preserve"> REINF ASSY R/DR HINGE RH</v>
          </cell>
          <cell r="I444">
            <v>1</v>
          </cell>
          <cell r="J444">
            <v>1</v>
          </cell>
          <cell r="K444">
            <v>1</v>
          </cell>
          <cell r="O444">
            <v>1</v>
          </cell>
          <cell r="Q444">
            <v>1</v>
          </cell>
          <cell r="S444">
            <v>1</v>
          </cell>
          <cell r="T444">
            <v>1</v>
          </cell>
          <cell r="V444">
            <v>1</v>
          </cell>
          <cell r="X444">
            <v>1</v>
          </cell>
          <cell r="Y444">
            <v>1</v>
          </cell>
          <cell r="Z444">
            <v>1</v>
          </cell>
          <cell r="AA444">
            <v>1</v>
          </cell>
          <cell r="AE444">
            <v>1</v>
          </cell>
          <cell r="AG444">
            <v>1</v>
          </cell>
          <cell r="AI444">
            <v>1</v>
          </cell>
          <cell r="AJ444">
            <v>1</v>
          </cell>
          <cell r="AK444">
            <v>1</v>
          </cell>
          <cell r="AQ444">
            <v>1</v>
          </cell>
          <cell r="AR444">
            <v>1</v>
          </cell>
          <cell r="AS444">
            <v>1</v>
          </cell>
          <cell r="AT444">
            <v>1</v>
          </cell>
          <cell r="AU444">
            <v>1</v>
          </cell>
          <cell r="AV444">
            <v>1</v>
          </cell>
          <cell r="AX444">
            <v>1</v>
          </cell>
          <cell r="AY444">
            <v>1</v>
          </cell>
          <cell r="AZ444" t="str">
            <v>B</v>
          </cell>
          <cell r="BA444" t="str">
            <v>성철사</v>
          </cell>
          <cell r="BB444" t="str">
            <v>H50B32K</v>
          </cell>
          <cell r="BC444" t="str">
            <v>MB320010A</v>
          </cell>
          <cell r="BD444" t="str">
            <v>L922</v>
          </cell>
          <cell r="BI444">
            <v>888</v>
          </cell>
          <cell r="BJ444">
            <v>458</v>
          </cell>
          <cell r="BK444">
            <v>90</v>
          </cell>
          <cell r="BL444">
            <v>100</v>
          </cell>
        </row>
        <row r="445">
          <cell r="C445">
            <v>1892</v>
          </cell>
          <cell r="D445" t="str">
            <v>HQ505737</v>
          </cell>
          <cell r="E445" t="str">
            <v xml:space="preserve"> PANEL,RR W/HSE,FR LH</v>
          </cell>
          <cell r="I445">
            <v>1</v>
          </cell>
          <cell r="J445">
            <v>1</v>
          </cell>
          <cell r="K445">
            <v>1</v>
          </cell>
          <cell r="O445">
            <v>1</v>
          </cell>
          <cell r="Q445">
            <v>1</v>
          </cell>
          <cell r="S445">
            <v>1</v>
          </cell>
          <cell r="T445">
            <v>1</v>
          </cell>
          <cell r="V445">
            <v>1</v>
          </cell>
          <cell r="X445">
            <v>1</v>
          </cell>
          <cell r="Y445">
            <v>1</v>
          </cell>
          <cell r="Z445">
            <v>1</v>
          </cell>
          <cell r="AA445">
            <v>1</v>
          </cell>
          <cell r="AE445">
            <v>1</v>
          </cell>
          <cell r="AG445">
            <v>1</v>
          </cell>
          <cell r="AI445">
            <v>1</v>
          </cell>
          <cell r="AJ445">
            <v>1</v>
          </cell>
          <cell r="AK445">
            <v>1</v>
          </cell>
          <cell r="AQ445">
            <v>1</v>
          </cell>
          <cell r="AR445">
            <v>1</v>
          </cell>
          <cell r="AS445">
            <v>1</v>
          </cell>
          <cell r="AT445">
            <v>1</v>
          </cell>
          <cell r="AU445">
            <v>1</v>
          </cell>
          <cell r="AV445">
            <v>1</v>
          </cell>
          <cell r="AX445">
            <v>1</v>
          </cell>
          <cell r="AY445">
            <v>1</v>
          </cell>
          <cell r="AZ445" t="str">
            <v>B</v>
          </cell>
          <cell r="BA445" t="str">
            <v>성철사</v>
          </cell>
          <cell r="BB445" t="str">
            <v>H50A17K</v>
          </cell>
          <cell r="BC445" t="str">
            <v>MB591393A</v>
          </cell>
          <cell r="BD445" t="str">
            <v>L922</v>
          </cell>
          <cell r="BI445">
            <v>888</v>
          </cell>
          <cell r="BJ445">
            <v>458</v>
          </cell>
          <cell r="BK445">
            <v>90</v>
          </cell>
          <cell r="BL445">
            <v>100</v>
          </cell>
        </row>
        <row r="446">
          <cell r="C446">
            <v>1892</v>
          </cell>
          <cell r="D446" t="str">
            <v>HQ505738</v>
          </cell>
          <cell r="E446" t="str">
            <v xml:space="preserve"> PANEL,RR W/HSE,FR RH</v>
          </cell>
          <cell r="I446">
            <v>1</v>
          </cell>
          <cell r="J446">
            <v>1</v>
          </cell>
          <cell r="K446">
            <v>1</v>
          </cell>
          <cell r="O446">
            <v>1</v>
          </cell>
          <cell r="Q446">
            <v>1</v>
          </cell>
          <cell r="S446">
            <v>1</v>
          </cell>
          <cell r="T446">
            <v>1</v>
          </cell>
          <cell r="V446">
            <v>1</v>
          </cell>
          <cell r="X446">
            <v>1</v>
          </cell>
          <cell r="Y446">
            <v>1</v>
          </cell>
          <cell r="Z446">
            <v>1</v>
          </cell>
          <cell r="AA446">
            <v>1</v>
          </cell>
          <cell r="AE446">
            <v>1</v>
          </cell>
          <cell r="AG446">
            <v>1</v>
          </cell>
          <cell r="AI446">
            <v>1</v>
          </cell>
          <cell r="AJ446">
            <v>1</v>
          </cell>
          <cell r="AK446">
            <v>1</v>
          </cell>
          <cell r="AQ446">
            <v>1</v>
          </cell>
          <cell r="AR446">
            <v>1</v>
          </cell>
          <cell r="AS446">
            <v>1</v>
          </cell>
          <cell r="AT446">
            <v>1</v>
          </cell>
          <cell r="AU446">
            <v>1</v>
          </cell>
          <cell r="AV446">
            <v>1</v>
          </cell>
          <cell r="AX446">
            <v>1</v>
          </cell>
          <cell r="AY446">
            <v>1</v>
          </cell>
          <cell r="AZ446" t="str">
            <v>B</v>
          </cell>
          <cell r="BA446" t="str">
            <v>성철사</v>
          </cell>
          <cell r="BB446" t="str">
            <v>H50A17K</v>
          </cell>
          <cell r="BC446" t="str">
            <v>MB591394A</v>
          </cell>
          <cell r="BD446" t="str">
            <v>L922</v>
          </cell>
          <cell r="BI446">
            <v>888</v>
          </cell>
          <cell r="BJ446">
            <v>458</v>
          </cell>
          <cell r="BK446">
            <v>90</v>
          </cell>
          <cell r="BL446">
            <v>100</v>
          </cell>
        </row>
        <row r="447">
          <cell r="C447">
            <v>590</v>
          </cell>
          <cell r="D447" t="str">
            <v>HC000019A</v>
          </cell>
          <cell r="E447" t="str">
            <v xml:space="preserve"> BOW,ROOF</v>
          </cell>
          <cell r="H447">
            <v>1</v>
          </cell>
          <cell r="R447">
            <v>1</v>
          </cell>
          <cell r="AB447">
            <v>1</v>
          </cell>
          <cell r="AC447">
            <v>1</v>
          </cell>
          <cell r="AF447">
            <v>1</v>
          </cell>
          <cell r="AH447">
            <v>1</v>
          </cell>
          <cell r="AM447">
            <v>1</v>
          </cell>
          <cell r="AN447">
            <v>1</v>
          </cell>
          <cell r="AW447">
            <v>1</v>
          </cell>
          <cell r="AZ447" t="str">
            <v>B</v>
          </cell>
          <cell r="BA447" t="str">
            <v>세명공업</v>
          </cell>
          <cell r="BB447" t="str">
            <v>H50A20K</v>
          </cell>
          <cell r="BD447" t="str">
            <v>L828</v>
          </cell>
          <cell r="BE447" t="str">
            <v>S/B</v>
          </cell>
          <cell r="BI447">
            <v>0</v>
          </cell>
          <cell r="BJ447">
            <v>539</v>
          </cell>
          <cell r="BK447">
            <v>14</v>
          </cell>
          <cell r="BL447">
            <v>2</v>
          </cell>
        </row>
        <row r="448">
          <cell r="C448">
            <v>2572</v>
          </cell>
          <cell r="D448" t="str">
            <v>HC000134</v>
          </cell>
          <cell r="E448" t="str">
            <v xml:space="preserve"> RAIL,FRT ROOF,INR</v>
          </cell>
          <cell r="H448">
            <v>1</v>
          </cell>
          <cell r="I448">
            <v>1</v>
          </cell>
          <cell r="J448">
            <v>1</v>
          </cell>
          <cell r="K448">
            <v>1</v>
          </cell>
          <cell r="L448">
            <v>1</v>
          </cell>
          <cell r="M448">
            <v>1</v>
          </cell>
          <cell r="N448">
            <v>1</v>
          </cell>
          <cell r="O448">
            <v>1</v>
          </cell>
          <cell r="P448">
            <v>1</v>
          </cell>
          <cell r="Q448">
            <v>1</v>
          </cell>
          <cell r="R448">
            <v>1</v>
          </cell>
          <cell r="S448">
            <v>1</v>
          </cell>
          <cell r="T448">
            <v>1</v>
          </cell>
          <cell r="U448">
            <v>1</v>
          </cell>
          <cell r="V448">
            <v>1</v>
          </cell>
          <cell r="W448">
            <v>1</v>
          </cell>
          <cell r="X448">
            <v>1</v>
          </cell>
          <cell r="Y448">
            <v>1</v>
          </cell>
          <cell r="Z448">
            <v>1</v>
          </cell>
          <cell r="AA448">
            <v>1</v>
          </cell>
          <cell r="AB448">
            <v>1</v>
          </cell>
          <cell r="AC448">
            <v>1</v>
          </cell>
          <cell r="AD448">
            <v>1</v>
          </cell>
          <cell r="AE448">
            <v>1</v>
          </cell>
          <cell r="AF448">
            <v>1</v>
          </cell>
          <cell r="AG448">
            <v>1</v>
          </cell>
          <cell r="AH448">
            <v>1</v>
          </cell>
          <cell r="AI448">
            <v>1</v>
          </cell>
          <cell r="AJ448">
            <v>1</v>
          </cell>
          <cell r="AK448">
            <v>1</v>
          </cell>
          <cell r="AL448">
            <v>1</v>
          </cell>
          <cell r="AM448">
            <v>1</v>
          </cell>
          <cell r="AN448">
            <v>1</v>
          </cell>
          <cell r="AP448">
            <v>1</v>
          </cell>
          <cell r="AQ448">
            <v>1</v>
          </cell>
          <cell r="AR448">
            <v>1</v>
          </cell>
          <cell r="AS448">
            <v>1</v>
          </cell>
          <cell r="AT448">
            <v>1</v>
          </cell>
          <cell r="AU448">
            <v>1</v>
          </cell>
          <cell r="AV448">
            <v>1</v>
          </cell>
          <cell r="AW448">
            <v>1</v>
          </cell>
          <cell r="AX448">
            <v>1</v>
          </cell>
          <cell r="AY448">
            <v>1</v>
          </cell>
          <cell r="AZ448" t="str">
            <v>B</v>
          </cell>
          <cell r="BA448" t="str">
            <v>세명공업</v>
          </cell>
          <cell r="BB448" t="str">
            <v>H50A20K</v>
          </cell>
          <cell r="BD448" t="str">
            <v>L828</v>
          </cell>
          <cell r="BE448" t="str">
            <v>ALL</v>
          </cell>
          <cell r="BI448">
            <v>937</v>
          </cell>
          <cell r="BJ448">
            <v>997</v>
          </cell>
          <cell r="BK448">
            <v>110</v>
          </cell>
          <cell r="BL448">
            <v>102</v>
          </cell>
        </row>
        <row r="449">
          <cell r="C449">
            <v>90</v>
          </cell>
          <cell r="D449" t="str">
            <v>HC000163</v>
          </cell>
          <cell r="E449" t="str">
            <v xml:space="preserve"> BOW ASSY-ROOF</v>
          </cell>
          <cell r="F449" t="str">
            <v>SWB-STD</v>
          </cell>
          <cell r="L449">
            <v>1</v>
          </cell>
          <cell r="M449">
            <v>1</v>
          </cell>
          <cell r="N449">
            <v>1</v>
          </cell>
          <cell r="P449">
            <v>1</v>
          </cell>
          <cell r="U449">
            <v>1</v>
          </cell>
          <cell r="W449">
            <v>1</v>
          </cell>
          <cell r="AD449">
            <v>1</v>
          </cell>
          <cell r="AL449">
            <v>1</v>
          </cell>
          <cell r="AP449">
            <v>1</v>
          </cell>
          <cell r="AZ449" t="str">
            <v>B</v>
          </cell>
          <cell r="BA449" t="str">
            <v>세명공업</v>
          </cell>
          <cell r="BB449" t="str">
            <v>H50A20K</v>
          </cell>
          <cell r="BD449" t="str">
            <v>L828</v>
          </cell>
          <cell r="BE449" t="str">
            <v>S/B</v>
          </cell>
          <cell r="BI449">
            <v>49</v>
          </cell>
          <cell r="BJ449">
            <v>0</v>
          </cell>
          <cell r="BK449">
            <v>6</v>
          </cell>
          <cell r="BL449">
            <v>0</v>
          </cell>
        </row>
        <row r="450">
          <cell r="C450">
            <v>692</v>
          </cell>
          <cell r="D450" t="str">
            <v>HQ505661</v>
          </cell>
          <cell r="E450" t="str">
            <v xml:space="preserve"> EXTENTION,SIDE SILL OTR</v>
          </cell>
          <cell r="H450">
            <v>1</v>
          </cell>
          <cell r="L450">
            <v>1</v>
          </cell>
          <cell r="M450">
            <v>1</v>
          </cell>
          <cell r="N450">
            <v>1</v>
          </cell>
          <cell r="P450">
            <v>1</v>
          </cell>
          <cell r="R450">
            <v>1</v>
          </cell>
          <cell r="U450">
            <v>1</v>
          </cell>
          <cell r="W450">
            <v>1</v>
          </cell>
          <cell r="AB450">
            <v>1</v>
          </cell>
          <cell r="AC450">
            <v>1</v>
          </cell>
          <cell r="AD450">
            <v>1</v>
          </cell>
          <cell r="AF450">
            <v>1</v>
          </cell>
          <cell r="AH450">
            <v>1</v>
          </cell>
          <cell r="AL450">
            <v>1</v>
          </cell>
          <cell r="AM450">
            <v>1</v>
          </cell>
          <cell r="AN450">
            <v>1</v>
          </cell>
          <cell r="AO450">
            <v>1</v>
          </cell>
          <cell r="AP450">
            <v>1</v>
          </cell>
          <cell r="AW450">
            <v>1</v>
          </cell>
          <cell r="AZ450" t="str">
            <v>B</v>
          </cell>
          <cell r="BA450" t="str">
            <v>세명공업</v>
          </cell>
          <cell r="BB450" t="str">
            <v>H50A16K</v>
          </cell>
          <cell r="BC450" t="str">
            <v>MB250365A</v>
          </cell>
          <cell r="BD450" t="str">
            <v>L828</v>
          </cell>
          <cell r="BI450">
            <v>49</v>
          </cell>
          <cell r="BJ450">
            <v>539</v>
          </cell>
          <cell r="BK450">
            <v>28</v>
          </cell>
          <cell r="BL450">
            <v>2</v>
          </cell>
        </row>
        <row r="451">
          <cell r="C451">
            <v>692</v>
          </cell>
          <cell r="D451" t="str">
            <v>HQ505662</v>
          </cell>
          <cell r="E451" t="str">
            <v xml:space="preserve"> EXTENTION,SIDE SILL OTR</v>
          </cell>
          <cell r="H451">
            <v>1</v>
          </cell>
          <cell r="L451">
            <v>1</v>
          </cell>
          <cell r="M451">
            <v>1</v>
          </cell>
          <cell r="N451">
            <v>1</v>
          </cell>
          <cell r="P451">
            <v>1</v>
          </cell>
          <cell r="R451">
            <v>1</v>
          </cell>
          <cell r="U451">
            <v>1</v>
          </cell>
          <cell r="W451">
            <v>1</v>
          </cell>
          <cell r="AB451">
            <v>1</v>
          </cell>
          <cell r="AC451">
            <v>1</v>
          </cell>
          <cell r="AD451">
            <v>1</v>
          </cell>
          <cell r="AH451">
            <v>1</v>
          </cell>
          <cell r="AL451">
            <v>1</v>
          </cell>
          <cell r="AM451">
            <v>1</v>
          </cell>
          <cell r="AN451">
            <v>1</v>
          </cell>
          <cell r="AO451">
            <v>1</v>
          </cell>
          <cell r="AP451">
            <v>1</v>
          </cell>
          <cell r="AW451">
            <v>1</v>
          </cell>
          <cell r="AZ451" t="str">
            <v>B</v>
          </cell>
          <cell r="BA451" t="str">
            <v>세명공업</v>
          </cell>
          <cell r="BB451" t="str">
            <v>H50A16K</v>
          </cell>
          <cell r="BC451" t="str">
            <v>MB250366A</v>
          </cell>
          <cell r="BD451" t="str">
            <v>L828</v>
          </cell>
          <cell r="BI451">
            <v>49</v>
          </cell>
          <cell r="BJ451">
            <v>539</v>
          </cell>
          <cell r="BK451">
            <v>28</v>
          </cell>
          <cell r="BL451">
            <v>2</v>
          </cell>
        </row>
        <row r="452">
          <cell r="C452">
            <v>1052</v>
          </cell>
          <cell r="D452" t="str">
            <v>HQ505723</v>
          </cell>
          <cell r="E452" t="str">
            <v xml:space="preserve"> SILL SIDE OTR RR LH</v>
          </cell>
          <cell r="F452" t="str">
            <v>+661B</v>
          </cell>
          <cell r="K452">
            <v>1</v>
          </cell>
          <cell r="O452">
            <v>1</v>
          </cell>
          <cell r="Q452">
            <v>1</v>
          </cell>
          <cell r="X452">
            <v>1</v>
          </cell>
          <cell r="AE452">
            <v>1</v>
          </cell>
          <cell r="AI452">
            <v>1</v>
          </cell>
          <cell r="AS452">
            <v>1</v>
          </cell>
          <cell r="AT452">
            <v>1</v>
          </cell>
          <cell r="AZ452" t="str">
            <v>B</v>
          </cell>
          <cell r="BA452" t="str">
            <v>세명공업</v>
          </cell>
          <cell r="BB452" t="str">
            <v>H50A17K</v>
          </cell>
          <cell r="BC452" t="str">
            <v>MB591611A</v>
          </cell>
          <cell r="BD452" t="str">
            <v>L828</v>
          </cell>
          <cell r="BI452">
            <v>635</v>
          </cell>
          <cell r="BJ452">
            <v>2</v>
          </cell>
          <cell r="BK452">
            <v>53</v>
          </cell>
          <cell r="BL452">
            <v>29</v>
          </cell>
        </row>
        <row r="453">
          <cell r="C453">
            <v>1052</v>
          </cell>
          <cell r="D453" t="str">
            <v>HQ505724</v>
          </cell>
          <cell r="E453" t="str">
            <v xml:space="preserve"> SILL SIDE OTR RR RH</v>
          </cell>
          <cell r="F453" t="str">
            <v>+661B</v>
          </cell>
          <cell r="K453">
            <v>1</v>
          </cell>
          <cell r="O453">
            <v>1</v>
          </cell>
          <cell r="Q453">
            <v>1</v>
          </cell>
          <cell r="X453">
            <v>1</v>
          </cell>
          <cell r="AE453">
            <v>1</v>
          </cell>
          <cell r="AI453">
            <v>1</v>
          </cell>
          <cell r="AS453">
            <v>1</v>
          </cell>
          <cell r="AT453">
            <v>1</v>
          </cell>
          <cell r="AZ453" t="str">
            <v>B</v>
          </cell>
          <cell r="BA453" t="str">
            <v>세명공업</v>
          </cell>
          <cell r="BB453" t="str">
            <v>H50A17K</v>
          </cell>
          <cell r="BC453" t="str">
            <v>MB591612A</v>
          </cell>
          <cell r="BD453" t="str">
            <v>L828</v>
          </cell>
          <cell r="BI453">
            <v>635</v>
          </cell>
          <cell r="BJ453">
            <v>2</v>
          </cell>
          <cell r="BK453">
            <v>53</v>
          </cell>
          <cell r="BL453">
            <v>29</v>
          </cell>
        </row>
        <row r="454">
          <cell r="C454">
            <v>692</v>
          </cell>
          <cell r="D454" t="str">
            <v>MB250987A</v>
          </cell>
          <cell r="E454" t="str">
            <v xml:space="preserve"> RAIL,SIDE,UPR LH</v>
          </cell>
          <cell r="H454">
            <v>1</v>
          </cell>
          <cell r="L454">
            <v>1</v>
          </cell>
          <cell r="M454">
            <v>1</v>
          </cell>
          <cell r="N454">
            <v>1</v>
          </cell>
          <cell r="P454">
            <v>1</v>
          </cell>
          <cell r="R454">
            <v>1</v>
          </cell>
          <cell r="U454">
            <v>1</v>
          </cell>
          <cell r="W454">
            <v>1</v>
          </cell>
          <cell r="AB454">
            <v>1</v>
          </cell>
          <cell r="AC454">
            <v>1</v>
          </cell>
          <cell r="AD454">
            <v>1</v>
          </cell>
          <cell r="AF454">
            <v>1</v>
          </cell>
          <cell r="AH454">
            <v>1</v>
          </cell>
          <cell r="AL454">
            <v>1</v>
          </cell>
          <cell r="AM454">
            <v>1</v>
          </cell>
          <cell r="AN454">
            <v>1</v>
          </cell>
          <cell r="AO454">
            <v>1</v>
          </cell>
          <cell r="AP454">
            <v>1</v>
          </cell>
          <cell r="AW454">
            <v>1</v>
          </cell>
          <cell r="AZ454" t="str">
            <v>B</v>
          </cell>
          <cell r="BA454" t="str">
            <v>세명공업</v>
          </cell>
          <cell r="BB454" t="str">
            <v>H50A17K</v>
          </cell>
          <cell r="BD454" t="str">
            <v>L828</v>
          </cell>
          <cell r="BE454" t="str">
            <v>S/B</v>
          </cell>
          <cell r="BI454">
            <v>49</v>
          </cell>
          <cell r="BJ454">
            <v>539</v>
          </cell>
          <cell r="BK454">
            <v>28</v>
          </cell>
          <cell r="BL454">
            <v>2</v>
          </cell>
        </row>
        <row r="455">
          <cell r="C455">
            <v>692</v>
          </cell>
          <cell r="D455" t="str">
            <v>MB250988A</v>
          </cell>
          <cell r="E455" t="str">
            <v xml:space="preserve"> RAIL,SIDE,UPR RH</v>
          </cell>
          <cell r="H455">
            <v>1</v>
          </cell>
          <cell r="L455">
            <v>1</v>
          </cell>
          <cell r="M455">
            <v>1</v>
          </cell>
          <cell r="N455">
            <v>1</v>
          </cell>
          <cell r="P455">
            <v>1</v>
          </cell>
          <cell r="R455">
            <v>1</v>
          </cell>
          <cell r="U455">
            <v>1</v>
          </cell>
          <cell r="W455">
            <v>1</v>
          </cell>
          <cell r="AB455">
            <v>1</v>
          </cell>
          <cell r="AC455">
            <v>1</v>
          </cell>
          <cell r="AD455">
            <v>1</v>
          </cell>
          <cell r="AF455">
            <v>1</v>
          </cell>
          <cell r="AH455">
            <v>1</v>
          </cell>
          <cell r="AL455">
            <v>1</v>
          </cell>
          <cell r="AM455">
            <v>1</v>
          </cell>
          <cell r="AN455">
            <v>1</v>
          </cell>
          <cell r="AO455">
            <v>1</v>
          </cell>
          <cell r="AP455">
            <v>1</v>
          </cell>
          <cell r="AW455">
            <v>1</v>
          </cell>
          <cell r="AZ455" t="str">
            <v>B</v>
          </cell>
          <cell r="BA455" t="str">
            <v>세명공업</v>
          </cell>
          <cell r="BB455" t="str">
            <v>H50A17K</v>
          </cell>
          <cell r="BD455" t="str">
            <v>L828</v>
          </cell>
          <cell r="BE455" t="str">
            <v>S/B</v>
          </cell>
          <cell r="BI455">
            <v>49</v>
          </cell>
          <cell r="BJ455">
            <v>539</v>
          </cell>
          <cell r="BK455">
            <v>28</v>
          </cell>
          <cell r="BL455">
            <v>2</v>
          </cell>
        </row>
        <row r="456">
          <cell r="C456">
            <v>1358</v>
          </cell>
          <cell r="D456" t="str">
            <v>MB591503A</v>
          </cell>
          <cell r="E456" t="str">
            <v xml:space="preserve"> BOW ROOF ASSY-FRT</v>
          </cell>
          <cell r="J456">
            <v>1</v>
          </cell>
          <cell r="K456">
            <v>1</v>
          </cell>
          <cell r="O456">
            <v>1</v>
          </cell>
          <cell r="Q456">
            <v>1</v>
          </cell>
          <cell r="V456">
            <v>1</v>
          </cell>
          <cell r="X456">
            <v>1</v>
          </cell>
          <cell r="AE456">
            <v>1</v>
          </cell>
          <cell r="AI456">
            <v>1</v>
          </cell>
          <cell r="AJ456">
            <v>1</v>
          </cell>
          <cell r="AK456">
            <v>1</v>
          </cell>
          <cell r="AQ456">
            <v>1</v>
          </cell>
          <cell r="AR456">
            <v>1</v>
          </cell>
          <cell r="AS456">
            <v>1</v>
          </cell>
          <cell r="AT456">
            <v>1</v>
          </cell>
          <cell r="AZ456" t="str">
            <v>T</v>
          </cell>
          <cell r="BA456" t="str">
            <v>세명공업</v>
          </cell>
          <cell r="BB456" t="str">
            <v>H50C90K</v>
          </cell>
          <cell r="BD456" t="str">
            <v>L828</v>
          </cell>
          <cell r="BI456" t="e">
            <v>#REF!</v>
          </cell>
          <cell r="BJ456" t="e">
            <v>#REF!</v>
          </cell>
          <cell r="BK456" t="e">
            <v>#REF!</v>
          </cell>
          <cell r="BL456" t="e">
            <v>#REF!</v>
          </cell>
        </row>
        <row r="457">
          <cell r="C457">
            <v>1358</v>
          </cell>
          <cell r="D457" t="str">
            <v>MB591504A</v>
          </cell>
          <cell r="E457" t="str">
            <v xml:space="preserve"> BOW ROOF ASSY-RR</v>
          </cell>
          <cell r="J457">
            <v>1</v>
          </cell>
          <cell r="K457">
            <v>1</v>
          </cell>
          <cell r="O457">
            <v>1</v>
          </cell>
          <cell r="Q457">
            <v>1</v>
          </cell>
          <cell r="V457">
            <v>1</v>
          </cell>
          <cell r="X457">
            <v>1</v>
          </cell>
          <cell r="AE457">
            <v>1</v>
          </cell>
          <cell r="AI457">
            <v>1</v>
          </cell>
          <cell r="AJ457">
            <v>1</v>
          </cell>
          <cell r="AK457">
            <v>1</v>
          </cell>
          <cell r="AQ457">
            <v>1</v>
          </cell>
          <cell r="AR457">
            <v>1</v>
          </cell>
          <cell r="AS457">
            <v>1</v>
          </cell>
          <cell r="AT457">
            <v>1</v>
          </cell>
          <cell r="AZ457" t="str">
            <v>T</v>
          </cell>
          <cell r="BA457" t="str">
            <v>세명공업</v>
          </cell>
          <cell r="BB457" t="str">
            <v>H50C90K</v>
          </cell>
          <cell r="BD457" t="str">
            <v>L828</v>
          </cell>
          <cell r="BI457" t="e">
            <v>#REF!</v>
          </cell>
          <cell r="BJ457" t="e">
            <v>#REF!</v>
          </cell>
          <cell r="BK457" t="e">
            <v>#REF!</v>
          </cell>
          <cell r="BL457" t="e">
            <v>#REF!</v>
          </cell>
        </row>
        <row r="458">
          <cell r="C458">
            <v>940</v>
          </cell>
          <cell r="D458" t="str">
            <v>MB591611A</v>
          </cell>
          <cell r="E458" t="str">
            <v xml:space="preserve"> SILL,SIDE,OTR RR LH</v>
          </cell>
          <cell r="F458" t="str">
            <v>-661B</v>
          </cell>
          <cell r="I458">
            <v>1</v>
          </cell>
          <cell r="J458">
            <v>1</v>
          </cell>
          <cell r="S458">
            <v>1</v>
          </cell>
          <cell r="T458">
            <v>1</v>
          </cell>
          <cell r="V458">
            <v>1</v>
          </cell>
          <cell r="Y458">
            <v>1</v>
          </cell>
          <cell r="Z458">
            <v>1</v>
          </cell>
          <cell r="AA458">
            <v>1</v>
          </cell>
          <cell r="AE458">
            <v>1</v>
          </cell>
          <cell r="AG458">
            <v>1</v>
          </cell>
          <cell r="AI458">
            <v>1</v>
          </cell>
          <cell r="AJ458">
            <v>1</v>
          </cell>
          <cell r="AK458">
            <v>1</v>
          </cell>
          <cell r="AQ458">
            <v>1</v>
          </cell>
          <cell r="AR458">
            <v>1</v>
          </cell>
          <cell r="AS458">
            <v>1</v>
          </cell>
          <cell r="AU458">
            <v>1</v>
          </cell>
          <cell r="AV458">
            <v>1</v>
          </cell>
          <cell r="AX458">
            <v>1</v>
          </cell>
          <cell r="AY458">
            <v>1</v>
          </cell>
          <cell r="AZ458" t="str">
            <v>B</v>
          </cell>
          <cell r="BA458" t="str">
            <v>세명공업</v>
          </cell>
          <cell r="BB458" t="str">
            <v>H50A17K</v>
          </cell>
          <cell r="BD458" t="str">
            <v>L828</v>
          </cell>
          <cell r="BI458">
            <v>253</v>
          </cell>
          <cell r="BJ458">
            <v>456</v>
          </cell>
          <cell r="BK458">
            <v>90</v>
          </cell>
          <cell r="BL458">
            <v>100</v>
          </cell>
        </row>
        <row r="459">
          <cell r="C459">
            <v>940</v>
          </cell>
          <cell r="D459" t="str">
            <v>MB591612A</v>
          </cell>
          <cell r="E459" t="str">
            <v xml:space="preserve"> SIDE SILL,OTR,RR RH</v>
          </cell>
          <cell r="F459" t="str">
            <v>-661B</v>
          </cell>
          <cell r="I459">
            <v>1</v>
          </cell>
          <cell r="J459">
            <v>1</v>
          </cell>
          <cell r="S459">
            <v>1</v>
          </cell>
          <cell r="T459">
            <v>1</v>
          </cell>
          <cell r="V459">
            <v>1</v>
          </cell>
          <cell r="Y459">
            <v>1</v>
          </cell>
          <cell r="Z459">
            <v>1</v>
          </cell>
          <cell r="AA459">
            <v>1</v>
          </cell>
          <cell r="AE459">
            <v>1</v>
          </cell>
          <cell r="AG459">
            <v>1</v>
          </cell>
          <cell r="AI459">
            <v>1</v>
          </cell>
          <cell r="AJ459">
            <v>1</v>
          </cell>
          <cell r="AK459">
            <v>1</v>
          </cell>
          <cell r="AQ459">
            <v>1</v>
          </cell>
          <cell r="AR459">
            <v>1</v>
          </cell>
          <cell r="AS459">
            <v>1</v>
          </cell>
          <cell r="AU459">
            <v>1</v>
          </cell>
          <cell r="AV459">
            <v>1</v>
          </cell>
          <cell r="AX459">
            <v>1</v>
          </cell>
          <cell r="AY459">
            <v>1</v>
          </cell>
          <cell r="AZ459" t="str">
            <v>B</v>
          </cell>
          <cell r="BA459" t="str">
            <v>세명공업</v>
          </cell>
          <cell r="BB459" t="str">
            <v>H50A17K</v>
          </cell>
          <cell r="BD459" t="str">
            <v>L828</v>
          </cell>
          <cell r="BI459">
            <v>253</v>
          </cell>
          <cell r="BJ459">
            <v>456</v>
          </cell>
          <cell r="BK459">
            <v>90</v>
          </cell>
          <cell r="BL459">
            <v>100</v>
          </cell>
        </row>
        <row r="460">
          <cell r="C460">
            <v>0</v>
          </cell>
          <cell r="D460" t="str">
            <v>HC000061B</v>
          </cell>
          <cell r="E460" t="str">
            <v xml:space="preserve"> PILLAR ASSY-FR INR LWR,LH</v>
          </cell>
          <cell r="AZ460" t="str">
            <v>B</v>
          </cell>
          <cell r="BA460" t="str">
            <v>세명금속</v>
          </cell>
        </row>
        <row r="461">
          <cell r="C461">
            <v>2584</v>
          </cell>
          <cell r="D461" t="str">
            <v>HC000093</v>
          </cell>
          <cell r="E461" t="str">
            <v xml:space="preserve"> PANEL ,COWL TOP,INR,LHD</v>
          </cell>
          <cell r="G461">
            <v>1</v>
          </cell>
          <cell r="AZ461" t="str">
            <v>B</v>
          </cell>
          <cell r="BA461" t="str">
            <v>세명금속</v>
          </cell>
          <cell r="BB461" t="str">
            <v>H50A18K</v>
          </cell>
          <cell r="BD461" t="str">
            <v>F716</v>
          </cell>
          <cell r="BE461" t="str">
            <v>ALL</v>
          </cell>
          <cell r="BI461">
            <v>0</v>
          </cell>
          <cell r="BJ461">
            <v>0</v>
          </cell>
          <cell r="BK461">
            <v>0</v>
          </cell>
          <cell r="BL461">
            <v>0</v>
          </cell>
        </row>
        <row r="462">
          <cell r="C462">
            <v>0</v>
          </cell>
          <cell r="D462" t="str">
            <v>HC000094B</v>
          </cell>
          <cell r="E462" t="str">
            <v xml:space="preserve"> SHIELD ASSY-FR,FENDER,LH</v>
          </cell>
          <cell r="AZ462" t="str">
            <v>B</v>
          </cell>
          <cell r="BA462" t="str">
            <v>세명금속</v>
          </cell>
        </row>
        <row r="463">
          <cell r="C463">
            <v>0</v>
          </cell>
          <cell r="D463" t="str">
            <v>HC000095B</v>
          </cell>
          <cell r="E463" t="str">
            <v xml:space="preserve"> SHIELD ASSY-FR,FENDER,RH</v>
          </cell>
          <cell r="AZ463" t="str">
            <v>B</v>
          </cell>
          <cell r="BA463" t="str">
            <v>세명금속</v>
          </cell>
        </row>
        <row r="464">
          <cell r="C464">
            <v>0</v>
          </cell>
          <cell r="D464" t="str">
            <v>HC000144B</v>
          </cell>
          <cell r="E464" t="str">
            <v xml:space="preserve"> PILLAR ASSY-FR INR LWR,RH</v>
          </cell>
          <cell r="AZ464" t="str">
            <v>B</v>
          </cell>
          <cell r="BA464" t="str">
            <v>세명금속</v>
          </cell>
        </row>
        <row r="465">
          <cell r="C465">
            <v>2584</v>
          </cell>
          <cell r="D465" t="str">
            <v>HC000147</v>
          </cell>
          <cell r="E465" t="str">
            <v xml:space="preserve"> BRKT,P/ANT RH</v>
          </cell>
          <cell r="G465">
            <v>1</v>
          </cell>
          <cell r="AZ465" t="str">
            <v>B</v>
          </cell>
          <cell r="BA465" t="str">
            <v>세명금속</v>
          </cell>
          <cell r="BD465" t="str">
            <v>F716</v>
          </cell>
          <cell r="BE465" t="str">
            <v>ALL</v>
          </cell>
          <cell r="BI465">
            <v>0</v>
          </cell>
          <cell r="BJ465">
            <v>0</v>
          </cell>
          <cell r="BK465">
            <v>0</v>
          </cell>
          <cell r="BL465">
            <v>0</v>
          </cell>
        </row>
        <row r="466">
          <cell r="C466">
            <v>514</v>
          </cell>
          <cell r="D466" t="str">
            <v>HC756013</v>
          </cell>
          <cell r="E466" t="str">
            <v xml:space="preserve"> PNL RR W/HSE LH</v>
          </cell>
          <cell r="F466" t="str">
            <v>HC756011</v>
          </cell>
          <cell r="S466">
            <v>1</v>
          </cell>
          <cell r="T466">
            <v>1</v>
          </cell>
          <cell r="Y466">
            <v>1</v>
          </cell>
          <cell r="Z466">
            <v>1</v>
          </cell>
          <cell r="AA466">
            <v>1</v>
          </cell>
          <cell r="AU466">
            <v>1</v>
          </cell>
          <cell r="AV466">
            <v>1</v>
          </cell>
          <cell r="AX466">
            <v>1</v>
          </cell>
          <cell r="AY466">
            <v>1</v>
          </cell>
          <cell r="AZ466" t="str">
            <v>B</v>
          </cell>
          <cell r="BA466" t="str">
            <v>세명금속</v>
          </cell>
          <cell r="BB466" t="str">
            <v>H50A17K</v>
          </cell>
          <cell r="BC466" t="str">
            <v>H</v>
          </cell>
          <cell r="BD466" t="str">
            <v>F716</v>
          </cell>
          <cell r="BE466" t="str">
            <v>HR'</v>
          </cell>
          <cell r="BI466">
            <v>0</v>
          </cell>
          <cell r="BJ466">
            <v>456</v>
          </cell>
          <cell r="BK466">
            <v>0</v>
          </cell>
          <cell r="BL466">
            <v>35</v>
          </cell>
        </row>
        <row r="467">
          <cell r="C467">
            <v>514</v>
          </cell>
          <cell r="D467" t="str">
            <v>HC756014</v>
          </cell>
          <cell r="E467" t="str">
            <v xml:space="preserve"> PNL RR W/HSE RH</v>
          </cell>
          <cell r="F467" t="str">
            <v>HC756012</v>
          </cell>
          <cell r="S467">
            <v>1</v>
          </cell>
          <cell r="T467">
            <v>1</v>
          </cell>
          <cell r="Y467">
            <v>1</v>
          </cell>
          <cell r="Z467">
            <v>1</v>
          </cell>
          <cell r="AA467">
            <v>1</v>
          </cell>
          <cell r="AU467">
            <v>1</v>
          </cell>
          <cell r="AV467">
            <v>1</v>
          </cell>
          <cell r="AX467">
            <v>1</v>
          </cell>
          <cell r="AY467">
            <v>1</v>
          </cell>
          <cell r="AZ467" t="str">
            <v>B</v>
          </cell>
          <cell r="BA467" t="str">
            <v>세명금속</v>
          </cell>
          <cell r="BB467" t="str">
            <v>H50A17K</v>
          </cell>
          <cell r="BC467" t="str">
            <v>H</v>
          </cell>
          <cell r="BD467" t="str">
            <v>F716</v>
          </cell>
          <cell r="BE467" t="str">
            <v>HR'</v>
          </cell>
          <cell r="BI467">
            <v>0</v>
          </cell>
          <cell r="BJ467">
            <v>456</v>
          </cell>
          <cell r="BK467">
            <v>0</v>
          </cell>
          <cell r="BL467">
            <v>35</v>
          </cell>
        </row>
        <row r="468">
          <cell r="C468">
            <v>514</v>
          </cell>
          <cell r="D468" t="str">
            <v>HC756015</v>
          </cell>
          <cell r="E468" t="str">
            <v xml:space="preserve"> BRKT 3RD S/BELT MT'G LH</v>
          </cell>
          <cell r="F468" t="str">
            <v>3</v>
          </cell>
          <cell r="S468">
            <v>1</v>
          </cell>
          <cell r="T468">
            <v>1</v>
          </cell>
          <cell r="Y468">
            <v>1</v>
          </cell>
          <cell r="Z468">
            <v>1</v>
          </cell>
          <cell r="AA468">
            <v>1</v>
          </cell>
          <cell r="AU468">
            <v>1</v>
          </cell>
          <cell r="AV468">
            <v>1</v>
          </cell>
          <cell r="AX468">
            <v>1</v>
          </cell>
          <cell r="AY468">
            <v>1</v>
          </cell>
          <cell r="AZ468" t="str">
            <v>B</v>
          </cell>
          <cell r="BA468" t="str">
            <v>세명금속</v>
          </cell>
          <cell r="BB468" t="str">
            <v>H50A17K</v>
          </cell>
          <cell r="BC468" t="str">
            <v>H</v>
          </cell>
          <cell r="BD468" t="str">
            <v>F716</v>
          </cell>
          <cell r="BE468" t="str">
            <v>HR'</v>
          </cell>
          <cell r="BI468">
            <v>0</v>
          </cell>
          <cell r="BJ468">
            <v>456</v>
          </cell>
          <cell r="BK468">
            <v>0</v>
          </cell>
          <cell r="BL468">
            <v>35</v>
          </cell>
        </row>
        <row r="469">
          <cell r="C469">
            <v>514</v>
          </cell>
          <cell r="D469" t="str">
            <v>HC756016</v>
          </cell>
          <cell r="E469" t="str">
            <v xml:space="preserve"> BRKT 3RD S/BELT MT'G RH</v>
          </cell>
          <cell r="F469" t="str">
            <v>3</v>
          </cell>
          <cell r="S469">
            <v>1</v>
          </cell>
          <cell r="T469">
            <v>1</v>
          </cell>
          <cell r="Y469">
            <v>1</v>
          </cell>
          <cell r="Z469">
            <v>1</v>
          </cell>
          <cell r="AA469">
            <v>1</v>
          </cell>
          <cell r="AU469">
            <v>1</v>
          </cell>
          <cell r="AV469">
            <v>1</v>
          </cell>
          <cell r="AX469">
            <v>1</v>
          </cell>
          <cell r="AY469">
            <v>1</v>
          </cell>
          <cell r="AZ469" t="str">
            <v>B</v>
          </cell>
          <cell r="BA469" t="str">
            <v>세명금속</v>
          </cell>
          <cell r="BB469" t="str">
            <v>H50A17K</v>
          </cell>
          <cell r="BC469" t="str">
            <v>H</v>
          </cell>
          <cell r="BD469" t="str">
            <v>F716</v>
          </cell>
          <cell r="BE469" t="str">
            <v>HR'</v>
          </cell>
          <cell r="BI469">
            <v>0</v>
          </cell>
          <cell r="BJ469">
            <v>456</v>
          </cell>
          <cell r="BK469">
            <v>0</v>
          </cell>
          <cell r="BL469">
            <v>35</v>
          </cell>
        </row>
        <row r="470">
          <cell r="C470">
            <v>1028</v>
          </cell>
          <cell r="D470" t="str">
            <v>HC756019</v>
          </cell>
          <cell r="E470" t="str">
            <v xml:space="preserve"> REINF 3RD SEAT MT'G</v>
          </cell>
          <cell r="F470" t="str">
            <v>3</v>
          </cell>
          <cell r="S470">
            <v>2</v>
          </cell>
          <cell r="T470">
            <v>2</v>
          </cell>
          <cell r="Y470">
            <v>2</v>
          </cell>
          <cell r="Z470">
            <v>2</v>
          </cell>
          <cell r="AA470">
            <v>2</v>
          </cell>
          <cell r="AU470">
            <v>2</v>
          </cell>
          <cell r="AV470">
            <v>2</v>
          </cell>
          <cell r="AX470">
            <v>2</v>
          </cell>
          <cell r="AY470">
            <v>2</v>
          </cell>
          <cell r="AZ470" t="str">
            <v>B</v>
          </cell>
          <cell r="BA470" t="str">
            <v>세명금속</v>
          </cell>
          <cell r="BB470" t="str">
            <v>H50A17K</v>
          </cell>
          <cell r="BC470" t="str">
            <v>H</v>
          </cell>
          <cell r="BD470" t="str">
            <v>F716</v>
          </cell>
          <cell r="BE470" t="str">
            <v>HR'</v>
          </cell>
          <cell r="BI470">
            <v>0</v>
          </cell>
          <cell r="BJ470">
            <v>912</v>
          </cell>
          <cell r="BK470">
            <v>0</v>
          </cell>
          <cell r="BL470">
            <v>70</v>
          </cell>
        </row>
        <row r="471">
          <cell r="C471">
            <v>1028</v>
          </cell>
          <cell r="D471" t="str">
            <v>HC756021</v>
          </cell>
          <cell r="E471" t="str">
            <v xml:space="preserve"> REINF 3RD S/BELT MT'G</v>
          </cell>
          <cell r="F471" t="str">
            <v>3</v>
          </cell>
          <cell r="S471">
            <v>2</v>
          </cell>
          <cell r="T471">
            <v>2</v>
          </cell>
          <cell r="Y471">
            <v>2</v>
          </cell>
          <cell r="Z471">
            <v>2</v>
          </cell>
          <cell r="AA471">
            <v>2</v>
          </cell>
          <cell r="AU471">
            <v>2</v>
          </cell>
          <cell r="AV471">
            <v>2</v>
          </cell>
          <cell r="AX471">
            <v>2</v>
          </cell>
          <cell r="AY471">
            <v>2</v>
          </cell>
          <cell r="AZ471" t="str">
            <v>B</v>
          </cell>
          <cell r="BA471" t="str">
            <v>세명금속</v>
          </cell>
          <cell r="BB471" t="str">
            <v>H50A17K</v>
          </cell>
          <cell r="BC471" t="str">
            <v>H</v>
          </cell>
          <cell r="BD471" t="str">
            <v>F716</v>
          </cell>
          <cell r="BE471" t="str">
            <v>HR'</v>
          </cell>
          <cell r="BI471">
            <v>0</v>
          </cell>
          <cell r="BJ471">
            <v>912</v>
          </cell>
          <cell r="BK471">
            <v>0</v>
          </cell>
          <cell r="BL471">
            <v>70</v>
          </cell>
        </row>
        <row r="472">
          <cell r="C472">
            <v>131</v>
          </cell>
          <cell r="D472" t="str">
            <v>HQ505410B</v>
          </cell>
          <cell r="E472" t="str">
            <v xml:space="preserve"> SHIELD ASSY FR FENDER LH</v>
          </cell>
          <cell r="F472" t="str">
            <v>3.0유,무연</v>
          </cell>
          <cell r="W472">
            <v>1</v>
          </cell>
          <cell r="X472">
            <v>1</v>
          </cell>
          <cell r="AE472">
            <v>1</v>
          </cell>
          <cell r="AH472">
            <v>1</v>
          </cell>
          <cell r="AI472">
            <v>1</v>
          </cell>
          <cell r="AK472">
            <v>1</v>
          </cell>
          <cell r="AN472">
            <v>1</v>
          </cell>
          <cell r="AP472">
            <v>1</v>
          </cell>
          <cell r="AR472">
            <v>1</v>
          </cell>
          <cell r="AT472">
            <v>1</v>
          </cell>
          <cell r="AW472">
            <v>1</v>
          </cell>
          <cell r="AX472">
            <v>1</v>
          </cell>
          <cell r="AY472">
            <v>1</v>
          </cell>
          <cell r="AZ472" t="str">
            <v>B</v>
          </cell>
          <cell r="BA472" t="str">
            <v>세명금속</v>
          </cell>
          <cell r="BB472" t="str">
            <v>H50A14K01-4,5,8,9,14,17</v>
          </cell>
          <cell r="BC472" t="str">
            <v>HQ505450A</v>
          </cell>
          <cell r="BD472" t="str">
            <v>F716</v>
          </cell>
          <cell r="BI472">
            <v>0</v>
          </cell>
          <cell r="BJ472">
            <v>2</v>
          </cell>
          <cell r="BK472">
            <v>61</v>
          </cell>
          <cell r="BL472">
            <v>46</v>
          </cell>
        </row>
        <row r="473">
          <cell r="C473">
            <v>6</v>
          </cell>
          <cell r="D473" t="str">
            <v>HQ505420A</v>
          </cell>
          <cell r="E473" t="str">
            <v xml:space="preserve"> SHIELD ASSY FR FENDER RH</v>
          </cell>
          <cell r="F473" t="str">
            <v>3.0유,무연</v>
          </cell>
          <cell r="W473">
            <v>1</v>
          </cell>
          <cell r="X473">
            <v>1</v>
          </cell>
          <cell r="AE473">
            <v>1</v>
          </cell>
          <cell r="AH473">
            <v>1</v>
          </cell>
          <cell r="AZ473" t="str">
            <v>B</v>
          </cell>
          <cell r="BA473" t="str">
            <v>세명금속</v>
          </cell>
          <cell r="BB473" t="str">
            <v>H50A14K</v>
          </cell>
          <cell r="BC473" t="str">
            <v>HC000131A</v>
          </cell>
          <cell r="BD473" t="str">
            <v>F716</v>
          </cell>
          <cell r="BI473">
            <v>0</v>
          </cell>
          <cell r="BJ473">
            <v>2</v>
          </cell>
          <cell r="BK473">
            <v>0</v>
          </cell>
          <cell r="BL473">
            <v>0</v>
          </cell>
        </row>
        <row r="474">
          <cell r="C474">
            <v>2453</v>
          </cell>
          <cell r="D474" t="str">
            <v>HQ505430A</v>
          </cell>
          <cell r="E474" t="str">
            <v xml:space="preserve"> SHIELD ASSY FR FENDER LH</v>
          </cell>
          <cell r="F474" t="str">
            <v>-581A</v>
          </cell>
          <cell r="H474">
            <v>1</v>
          </cell>
          <cell r="I474">
            <v>1</v>
          </cell>
          <cell r="J474">
            <v>1</v>
          </cell>
          <cell r="K474">
            <v>1</v>
          </cell>
          <cell r="L474">
            <v>1</v>
          </cell>
          <cell r="M474">
            <v>1</v>
          </cell>
          <cell r="N474">
            <v>1</v>
          </cell>
          <cell r="O474">
            <v>1</v>
          </cell>
          <cell r="P474">
            <v>1</v>
          </cell>
          <cell r="Q474">
            <v>1</v>
          </cell>
          <cell r="R474">
            <v>1</v>
          </cell>
          <cell r="S474">
            <v>1</v>
          </cell>
          <cell r="T474">
            <v>1</v>
          </cell>
          <cell r="U474">
            <v>1</v>
          </cell>
          <cell r="V474">
            <v>1</v>
          </cell>
          <cell r="Y474">
            <v>1</v>
          </cell>
          <cell r="Z474">
            <v>1</v>
          </cell>
          <cell r="AA474">
            <v>1</v>
          </cell>
          <cell r="AB474">
            <v>1</v>
          </cell>
          <cell r="AC474">
            <v>1</v>
          </cell>
          <cell r="AD474">
            <v>1</v>
          </cell>
          <cell r="AF474">
            <v>1</v>
          </cell>
          <cell r="AG474">
            <v>1</v>
          </cell>
          <cell r="AJ474">
            <v>1</v>
          </cell>
          <cell r="AL474">
            <v>1</v>
          </cell>
          <cell r="AM474">
            <v>1</v>
          </cell>
          <cell r="AO474">
            <v>1</v>
          </cell>
          <cell r="AQ474">
            <v>1</v>
          </cell>
          <cell r="AS474">
            <v>1</v>
          </cell>
          <cell r="AU474">
            <v>1</v>
          </cell>
          <cell r="AV474">
            <v>1</v>
          </cell>
          <cell r="AZ474" t="str">
            <v>B</v>
          </cell>
          <cell r="BA474" t="str">
            <v>세명금속</v>
          </cell>
          <cell r="BD474" t="str">
            <v>F716</v>
          </cell>
          <cell r="BI474">
            <v>937</v>
          </cell>
          <cell r="BJ474">
            <v>995</v>
          </cell>
          <cell r="BK474">
            <v>57</v>
          </cell>
          <cell r="BL474">
            <v>56</v>
          </cell>
        </row>
        <row r="475">
          <cell r="C475">
            <v>1265</v>
          </cell>
          <cell r="D475" t="str">
            <v>HQ505433</v>
          </cell>
          <cell r="E475" t="str">
            <v xml:space="preserve"> REINF SHIELD FENDER LH</v>
          </cell>
          <cell r="F475" t="str">
            <v>+651A</v>
          </cell>
          <cell r="R475">
            <v>1</v>
          </cell>
          <cell r="S475">
            <v>1</v>
          </cell>
          <cell r="T475">
            <v>1</v>
          </cell>
          <cell r="Y475">
            <v>1</v>
          </cell>
          <cell r="Z475">
            <v>1</v>
          </cell>
          <cell r="AE475">
            <v>1</v>
          </cell>
          <cell r="AF475">
            <v>1</v>
          </cell>
          <cell r="AG475">
            <v>1</v>
          </cell>
          <cell r="AH475">
            <v>1</v>
          </cell>
          <cell r="AI475">
            <v>1</v>
          </cell>
          <cell r="AJ475">
            <v>1</v>
          </cell>
          <cell r="AK475">
            <v>1</v>
          </cell>
          <cell r="AL475">
            <v>1</v>
          </cell>
          <cell r="AM475">
            <v>1</v>
          </cell>
          <cell r="AN475">
            <v>1</v>
          </cell>
          <cell r="AO475">
            <v>1</v>
          </cell>
          <cell r="AP475">
            <v>1</v>
          </cell>
          <cell r="AQ475">
            <v>1</v>
          </cell>
          <cell r="AR475">
            <v>1</v>
          </cell>
          <cell r="AS475">
            <v>1</v>
          </cell>
          <cell r="AT475">
            <v>1</v>
          </cell>
          <cell r="AU475">
            <v>1</v>
          </cell>
          <cell r="AV475">
            <v>1</v>
          </cell>
          <cell r="AW475">
            <v>1</v>
          </cell>
          <cell r="AX475">
            <v>1</v>
          </cell>
          <cell r="AY475">
            <v>1</v>
          </cell>
          <cell r="AZ475" t="str">
            <v>B</v>
          </cell>
          <cell r="BA475" t="str">
            <v>세명금속</v>
          </cell>
          <cell r="BB475" t="str">
            <v>H50A14K01-10^20</v>
          </cell>
          <cell r="BD475" t="str">
            <v>F716</v>
          </cell>
          <cell r="BI475">
            <v>0</v>
          </cell>
          <cell r="BJ475">
            <v>995</v>
          </cell>
          <cell r="BK475">
            <v>118</v>
          </cell>
          <cell r="BL475">
            <v>102</v>
          </cell>
        </row>
        <row r="476">
          <cell r="C476">
            <v>122</v>
          </cell>
          <cell r="D476" t="str">
            <v>HQ505434</v>
          </cell>
          <cell r="E476" t="str">
            <v xml:space="preserve"> BRKT RESISTO</v>
          </cell>
          <cell r="F476" t="str">
            <v>+271A</v>
          </cell>
          <cell r="AF476">
            <v>1</v>
          </cell>
          <cell r="AG476">
            <v>1</v>
          </cell>
          <cell r="AJ476">
            <v>1</v>
          </cell>
          <cell r="AL476">
            <v>1</v>
          </cell>
          <cell r="AM476">
            <v>1</v>
          </cell>
          <cell r="AO476">
            <v>1</v>
          </cell>
          <cell r="AQ476">
            <v>1</v>
          </cell>
          <cell r="AS476">
            <v>1</v>
          </cell>
          <cell r="AU476">
            <v>1</v>
          </cell>
          <cell r="AV476">
            <v>1</v>
          </cell>
          <cell r="AZ476" t="str">
            <v>B</v>
          </cell>
          <cell r="BA476" t="str">
            <v>세명금속</v>
          </cell>
        </row>
        <row r="477">
          <cell r="C477">
            <v>1265</v>
          </cell>
          <cell r="D477" t="str">
            <v>HQ505443</v>
          </cell>
          <cell r="E477" t="str">
            <v xml:space="preserve"> REINF SHIELD FENDER LH</v>
          </cell>
          <cell r="F477" t="str">
            <v>+651A</v>
          </cell>
          <cell r="R477">
            <v>1</v>
          </cell>
          <cell r="S477">
            <v>1</v>
          </cell>
          <cell r="T477">
            <v>1</v>
          </cell>
          <cell r="Y477">
            <v>1</v>
          </cell>
          <cell r="Z477">
            <v>1</v>
          </cell>
          <cell r="AE477">
            <v>1</v>
          </cell>
          <cell r="AF477">
            <v>1</v>
          </cell>
          <cell r="AG477">
            <v>1</v>
          </cell>
          <cell r="AH477">
            <v>1</v>
          </cell>
          <cell r="AI477">
            <v>1</v>
          </cell>
          <cell r="AJ477">
            <v>1</v>
          </cell>
          <cell r="AK477">
            <v>1</v>
          </cell>
          <cell r="AL477">
            <v>1</v>
          </cell>
          <cell r="AM477">
            <v>1</v>
          </cell>
          <cell r="AN477">
            <v>1</v>
          </cell>
          <cell r="AO477">
            <v>1</v>
          </cell>
          <cell r="AP477">
            <v>1</v>
          </cell>
          <cell r="AQ477">
            <v>1</v>
          </cell>
          <cell r="AR477">
            <v>1</v>
          </cell>
          <cell r="AS477">
            <v>1</v>
          </cell>
          <cell r="AT477">
            <v>1</v>
          </cell>
          <cell r="AU477">
            <v>1</v>
          </cell>
          <cell r="AV477">
            <v>1</v>
          </cell>
          <cell r="AW477">
            <v>1</v>
          </cell>
          <cell r="AX477">
            <v>1</v>
          </cell>
          <cell r="AY477">
            <v>1</v>
          </cell>
          <cell r="AZ477" t="str">
            <v>B</v>
          </cell>
          <cell r="BA477" t="str">
            <v>세명금속</v>
          </cell>
          <cell r="BB477" t="str">
            <v>H50A14K02-05^09</v>
          </cell>
          <cell r="BD477" t="str">
            <v>F716</v>
          </cell>
          <cell r="BI477">
            <v>0</v>
          </cell>
          <cell r="BJ477">
            <v>995</v>
          </cell>
          <cell r="BK477">
            <v>118</v>
          </cell>
          <cell r="BL477">
            <v>102</v>
          </cell>
        </row>
        <row r="478">
          <cell r="C478">
            <v>1288</v>
          </cell>
          <cell r="D478" t="str">
            <v>HQ505450A</v>
          </cell>
          <cell r="E478" t="str">
            <v xml:space="preserve"> SHIELD ASSY FR FENDER LH</v>
          </cell>
          <cell r="F478" t="str">
            <v>+581A,DSL(ABS)</v>
          </cell>
          <cell r="K478">
            <v>1</v>
          </cell>
          <cell r="M478">
            <v>1</v>
          </cell>
          <cell r="N478">
            <v>1</v>
          </cell>
          <cell r="O478">
            <v>1</v>
          </cell>
          <cell r="P478">
            <v>1</v>
          </cell>
          <cell r="Q478">
            <v>1</v>
          </cell>
          <cell r="T478">
            <v>1</v>
          </cell>
          <cell r="AD478">
            <v>1</v>
          </cell>
          <cell r="AZ478" t="str">
            <v>B</v>
          </cell>
          <cell r="BA478" t="str">
            <v>세명금속</v>
          </cell>
          <cell r="BB478" t="str">
            <v>H50A14K01-4,5,8,9,14,17</v>
          </cell>
          <cell r="BC478" t="str">
            <v>HC000094B</v>
          </cell>
          <cell r="BD478" t="str">
            <v>F716</v>
          </cell>
          <cell r="BI478">
            <v>684</v>
          </cell>
          <cell r="BJ478">
            <v>235</v>
          </cell>
          <cell r="BK478">
            <v>0</v>
          </cell>
          <cell r="BL478">
            <v>0</v>
          </cell>
        </row>
        <row r="479">
          <cell r="C479">
            <v>2454</v>
          </cell>
          <cell r="D479" t="str">
            <v>HQ505460A</v>
          </cell>
          <cell r="E479" t="str">
            <v xml:space="preserve"> SHIELD ASSY FR FENDER RH</v>
          </cell>
          <cell r="F479" t="str">
            <v>DSL ALL</v>
          </cell>
          <cell r="H479">
            <v>1</v>
          </cell>
          <cell r="I479">
            <v>1</v>
          </cell>
          <cell r="J479">
            <v>1</v>
          </cell>
          <cell r="K479">
            <v>1</v>
          </cell>
          <cell r="L479">
            <v>1</v>
          </cell>
          <cell r="M479">
            <v>1</v>
          </cell>
          <cell r="N479">
            <v>1</v>
          </cell>
          <cell r="O479">
            <v>1</v>
          </cell>
          <cell r="P479">
            <v>1</v>
          </cell>
          <cell r="Q479">
            <v>1</v>
          </cell>
          <cell r="R479">
            <v>1</v>
          </cell>
          <cell r="S479">
            <v>1</v>
          </cell>
          <cell r="T479">
            <v>1</v>
          </cell>
          <cell r="U479">
            <v>1</v>
          </cell>
          <cell r="V479">
            <v>1</v>
          </cell>
          <cell r="Y479">
            <v>1</v>
          </cell>
          <cell r="Z479">
            <v>1</v>
          </cell>
          <cell r="AA479">
            <v>1</v>
          </cell>
          <cell r="AB479">
            <v>1</v>
          </cell>
          <cell r="AC479">
            <v>1</v>
          </cell>
          <cell r="AD479">
            <v>1</v>
          </cell>
          <cell r="AF479">
            <v>1</v>
          </cell>
          <cell r="AG479">
            <v>1</v>
          </cell>
          <cell r="AJ479">
            <v>1</v>
          </cell>
          <cell r="AK479">
            <v>1</v>
          </cell>
          <cell r="AL479">
            <v>1</v>
          </cell>
          <cell r="AM479">
            <v>1</v>
          </cell>
          <cell r="AO479">
            <v>1</v>
          </cell>
          <cell r="AQ479">
            <v>1</v>
          </cell>
          <cell r="AS479">
            <v>1</v>
          </cell>
          <cell r="AU479">
            <v>1</v>
          </cell>
          <cell r="AV479">
            <v>1</v>
          </cell>
          <cell r="AX479">
            <v>1</v>
          </cell>
          <cell r="AZ479" t="str">
            <v>B</v>
          </cell>
          <cell r="BA479" t="str">
            <v>세명금속</v>
          </cell>
          <cell r="BB479" t="str">
            <v>H50A14K32-1,6,7</v>
          </cell>
          <cell r="BC479" t="str">
            <v>HC000095A</v>
          </cell>
          <cell r="BD479" t="str">
            <v>F716</v>
          </cell>
          <cell r="BI479">
            <v>937</v>
          </cell>
          <cell r="BJ479">
            <v>995</v>
          </cell>
          <cell r="BK479">
            <v>58</v>
          </cell>
          <cell r="BL479">
            <v>56</v>
          </cell>
        </row>
        <row r="480">
          <cell r="C480">
            <v>124</v>
          </cell>
          <cell r="D480" t="str">
            <v>HQ505480</v>
          </cell>
          <cell r="E480" t="str">
            <v xml:space="preserve"> SHIELD ASSY FR FENDE</v>
          </cell>
          <cell r="AI480">
            <v>1</v>
          </cell>
          <cell r="AN480">
            <v>1</v>
          </cell>
          <cell r="AP480">
            <v>1</v>
          </cell>
          <cell r="AR480">
            <v>1</v>
          </cell>
          <cell r="AT480">
            <v>1</v>
          </cell>
          <cell r="AW480">
            <v>1</v>
          </cell>
          <cell r="AY480">
            <v>1</v>
          </cell>
          <cell r="AZ480" t="str">
            <v>B</v>
          </cell>
          <cell r="BA480" t="str">
            <v>세명금속</v>
          </cell>
        </row>
        <row r="481">
          <cell r="C481">
            <v>1155</v>
          </cell>
          <cell r="D481" t="str">
            <v>HQ505651</v>
          </cell>
          <cell r="E481" t="str">
            <v xml:space="preserve"> SILL SIDE OTR LH</v>
          </cell>
          <cell r="F481" t="str">
            <v>+661B</v>
          </cell>
          <cell r="K481">
            <v>1</v>
          </cell>
          <cell r="M481">
            <v>1</v>
          </cell>
          <cell r="N481">
            <v>1</v>
          </cell>
          <cell r="O481">
            <v>1</v>
          </cell>
          <cell r="P481">
            <v>1</v>
          </cell>
          <cell r="Q481">
            <v>1</v>
          </cell>
          <cell r="W481">
            <v>1</v>
          </cell>
          <cell r="X481">
            <v>1</v>
          </cell>
          <cell r="AD481">
            <v>1</v>
          </cell>
          <cell r="AE481">
            <v>1</v>
          </cell>
          <cell r="AH481">
            <v>1</v>
          </cell>
          <cell r="AI481">
            <v>1</v>
          </cell>
          <cell r="AO481">
            <v>1</v>
          </cell>
          <cell r="AP481">
            <v>1</v>
          </cell>
          <cell r="AS481">
            <v>1</v>
          </cell>
          <cell r="AT481">
            <v>1</v>
          </cell>
          <cell r="AW481">
            <v>1</v>
          </cell>
          <cell r="AZ481" t="str">
            <v>B</v>
          </cell>
          <cell r="BA481" t="str">
            <v>세명금속</v>
          </cell>
          <cell r="BB481" t="str">
            <v>H50A16K</v>
          </cell>
          <cell r="BC481" t="str">
            <v>MB275751A</v>
          </cell>
          <cell r="BD481" t="str">
            <v>F716</v>
          </cell>
          <cell r="BI481">
            <v>684</v>
          </cell>
          <cell r="BJ481">
            <v>2</v>
          </cell>
          <cell r="BK481">
            <v>61</v>
          </cell>
          <cell r="BL481">
            <v>31</v>
          </cell>
        </row>
        <row r="482">
          <cell r="C482">
            <v>1155</v>
          </cell>
          <cell r="D482" t="str">
            <v>HQ505652</v>
          </cell>
          <cell r="E482" t="str">
            <v xml:space="preserve"> SILL SIDE OTR RH</v>
          </cell>
          <cell r="F482" t="str">
            <v>+661B</v>
          </cell>
          <cell r="K482">
            <v>1</v>
          </cell>
          <cell r="M482">
            <v>1</v>
          </cell>
          <cell r="N482">
            <v>1</v>
          </cell>
          <cell r="O482">
            <v>1</v>
          </cell>
          <cell r="P482">
            <v>1</v>
          </cell>
          <cell r="Q482">
            <v>1</v>
          </cell>
          <cell r="W482">
            <v>1</v>
          </cell>
          <cell r="X482">
            <v>1</v>
          </cell>
          <cell r="AD482">
            <v>1</v>
          </cell>
          <cell r="AE482">
            <v>1</v>
          </cell>
          <cell r="AH482">
            <v>1</v>
          </cell>
          <cell r="AI482">
            <v>1</v>
          </cell>
          <cell r="AO482">
            <v>1</v>
          </cell>
          <cell r="AP482">
            <v>1</v>
          </cell>
          <cell r="AS482">
            <v>1</v>
          </cell>
          <cell r="AT482">
            <v>1</v>
          </cell>
          <cell r="AW482">
            <v>1</v>
          </cell>
          <cell r="AZ482" t="str">
            <v>B</v>
          </cell>
          <cell r="BA482" t="str">
            <v>세명금속</v>
          </cell>
          <cell r="BB482" t="str">
            <v>H50A16K</v>
          </cell>
          <cell r="BC482" t="str">
            <v>MB275752A</v>
          </cell>
          <cell r="BD482" t="str">
            <v>F716</v>
          </cell>
          <cell r="BI482">
            <v>684</v>
          </cell>
          <cell r="BJ482">
            <v>2</v>
          </cell>
          <cell r="BK482">
            <v>61</v>
          </cell>
          <cell r="BL482">
            <v>31</v>
          </cell>
        </row>
        <row r="483">
          <cell r="C483">
            <v>2584</v>
          </cell>
          <cell r="D483" t="str">
            <v>MB250481A</v>
          </cell>
          <cell r="E483" t="str">
            <v xml:space="preserve"> PANEL ,COWL TOP,OTR</v>
          </cell>
          <cell r="G483">
            <v>1</v>
          </cell>
          <cell r="AZ483" t="str">
            <v>B</v>
          </cell>
          <cell r="BA483" t="str">
            <v>세명금속</v>
          </cell>
          <cell r="BB483" t="str">
            <v>H50A18K</v>
          </cell>
          <cell r="BD483" t="str">
            <v>F716</v>
          </cell>
          <cell r="BE483" t="str">
            <v>ALL</v>
          </cell>
          <cell r="BI483">
            <v>0</v>
          </cell>
          <cell r="BJ483">
            <v>0</v>
          </cell>
          <cell r="BK483">
            <v>0</v>
          </cell>
          <cell r="BL483">
            <v>0</v>
          </cell>
        </row>
        <row r="484">
          <cell r="C484">
            <v>692</v>
          </cell>
          <cell r="D484" t="str">
            <v>MB250919A</v>
          </cell>
          <cell r="E484" t="str">
            <v xml:space="preserve"> PANEL,RR W/HSE,INR UPR LH</v>
          </cell>
          <cell r="H484">
            <v>1</v>
          </cell>
          <cell r="L484">
            <v>1</v>
          </cell>
          <cell r="M484">
            <v>1</v>
          </cell>
          <cell r="N484">
            <v>1</v>
          </cell>
          <cell r="P484">
            <v>1</v>
          </cell>
          <cell r="R484">
            <v>1</v>
          </cell>
          <cell r="U484">
            <v>1</v>
          </cell>
          <cell r="W484">
            <v>1</v>
          </cell>
          <cell r="AB484">
            <v>1</v>
          </cell>
          <cell r="AC484">
            <v>1</v>
          </cell>
          <cell r="AD484">
            <v>1</v>
          </cell>
          <cell r="AF484">
            <v>1</v>
          </cell>
          <cell r="AH484">
            <v>1</v>
          </cell>
          <cell r="AL484">
            <v>1</v>
          </cell>
          <cell r="AM484">
            <v>1</v>
          </cell>
          <cell r="AN484">
            <v>1</v>
          </cell>
          <cell r="AO484">
            <v>1</v>
          </cell>
          <cell r="AP484">
            <v>1</v>
          </cell>
          <cell r="AW484">
            <v>1</v>
          </cell>
          <cell r="AZ484" t="str">
            <v>B</v>
          </cell>
          <cell r="BA484" t="str">
            <v>세명금속</v>
          </cell>
          <cell r="BB484" t="str">
            <v>H50A17K</v>
          </cell>
          <cell r="BD484" t="str">
            <v>F716</v>
          </cell>
          <cell r="BE484" t="str">
            <v>S/B</v>
          </cell>
          <cell r="BI484">
            <v>49</v>
          </cell>
          <cell r="BJ484">
            <v>539</v>
          </cell>
          <cell r="BK484">
            <v>28</v>
          </cell>
          <cell r="BL484">
            <v>2</v>
          </cell>
        </row>
        <row r="485">
          <cell r="C485">
            <v>692</v>
          </cell>
          <cell r="D485" t="str">
            <v>MB250920A</v>
          </cell>
          <cell r="E485" t="str">
            <v xml:space="preserve"> PANEL,RR W/HAE,INR UPR RH</v>
          </cell>
          <cell r="H485">
            <v>1</v>
          </cell>
          <cell r="L485">
            <v>1</v>
          </cell>
          <cell r="M485">
            <v>1</v>
          </cell>
          <cell r="N485">
            <v>1</v>
          </cell>
          <cell r="P485">
            <v>1</v>
          </cell>
          <cell r="R485">
            <v>1</v>
          </cell>
          <cell r="U485">
            <v>1</v>
          </cell>
          <cell r="W485">
            <v>1</v>
          </cell>
          <cell r="AB485">
            <v>1</v>
          </cell>
          <cell r="AC485">
            <v>1</v>
          </cell>
          <cell r="AD485">
            <v>1</v>
          </cell>
          <cell r="AF485">
            <v>1</v>
          </cell>
          <cell r="AH485">
            <v>1</v>
          </cell>
          <cell r="AL485">
            <v>1</v>
          </cell>
          <cell r="AM485">
            <v>1</v>
          </cell>
          <cell r="AN485">
            <v>1</v>
          </cell>
          <cell r="AO485">
            <v>1</v>
          </cell>
          <cell r="AP485">
            <v>1</v>
          </cell>
          <cell r="AW485">
            <v>1</v>
          </cell>
          <cell r="AZ485" t="str">
            <v>B</v>
          </cell>
          <cell r="BA485" t="str">
            <v>세명금속</v>
          </cell>
          <cell r="BB485" t="str">
            <v>H50A17K</v>
          </cell>
          <cell r="BD485" t="str">
            <v>F716</v>
          </cell>
          <cell r="BE485" t="str">
            <v>S/B</v>
          </cell>
          <cell r="BI485">
            <v>49</v>
          </cell>
          <cell r="BJ485">
            <v>539</v>
          </cell>
          <cell r="BK485">
            <v>28</v>
          </cell>
          <cell r="BL485">
            <v>2</v>
          </cell>
        </row>
        <row r="486">
          <cell r="C486">
            <v>1378</v>
          </cell>
          <cell r="D486" t="str">
            <v>MB275089A</v>
          </cell>
          <cell r="E486" t="str">
            <v xml:space="preserve"> PANEL,RR W/HSE,INR  LH</v>
          </cell>
          <cell r="I486">
            <v>1</v>
          </cell>
          <cell r="J486">
            <v>1</v>
          </cell>
          <cell r="K486">
            <v>1</v>
          </cell>
          <cell r="O486">
            <v>1</v>
          </cell>
          <cell r="Q486">
            <v>1</v>
          </cell>
          <cell r="V486">
            <v>1</v>
          </cell>
          <cell r="X486">
            <v>1</v>
          </cell>
          <cell r="AE486">
            <v>1</v>
          </cell>
          <cell r="AG486">
            <v>1</v>
          </cell>
          <cell r="AI486">
            <v>1</v>
          </cell>
          <cell r="AJ486">
            <v>1</v>
          </cell>
          <cell r="AK486">
            <v>1</v>
          </cell>
          <cell r="AQ486">
            <v>1</v>
          </cell>
          <cell r="AR486">
            <v>1</v>
          </cell>
          <cell r="AS486">
            <v>1</v>
          </cell>
          <cell r="AT486">
            <v>1</v>
          </cell>
          <cell r="AZ486" t="str">
            <v>B</v>
          </cell>
          <cell r="BA486" t="str">
            <v>세명금속</v>
          </cell>
          <cell r="BB486" t="str">
            <v>H50A17K</v>
          </cell>
          <cell r="BD486" t="str">
            <v>F716</v>
          </cell>
          <cell r="BI486">
            <v>888</v>
          </cell>
          <cell r="BJ486">
            <v>2</v>
          </cell>
          <cell r="BK486">
            <v>90</v>
          </cell>
          <cell r="BL486">
            <v>65</v>
          </cell>
        </row>
        <row r="487">
          <cell r="C487">
            <v>1378</v>
          </cell>
          <cell r="D487" t="str">
            <v>MB275090A</v>
          </cell>
          <cell r="E487" t="str">
            <v xml:space="preserve"> PANEL,RR W/HAE,INR  RH</v>
          </cell>
          <cell r="I487">
            <v>1</v>
          </cell>
          <cell r="J487">
            <v>1</v>
          </cell>
          <cell r="K487">
            <v>1</v>
          </cell>
          <cell r="O487">
            <v>1</v>
          </cell>
          <cell r="Q487">
            <v>1</v>
          </cell>
          <cell r="V487">
            <v>1</v>
          </cell>
          <cell r="X487">
            <v>1</v>
          </cell>
          <cell r="AE487">
            <v>1</v>
          </cell>
          <cell r="AG487">
            <v>1</v>
          </cell>
          <cell r="AI487">
            <v>1</v>
          </cell>
          <cell r="AJ487">
            <v>1</v>
          </cell>
          <cell r="AK487">
            <v>1</v>
          </cell>
          <cell r="AQ487">
            <v>1</v>
          </cell>
          <cell r="AR487">
            <v>1</v>
          </cell>
          <cell r="AS487">
            <v>1</v>
          </cell>
          <cell r="AT487">
            <v>1</v>
          </cell>
          <cell r="AZ487" t="str">
            <v>B</v>
          </cell>
          <cell r="BA487" t="str">
            <v>세명금속</v>
          </cell>
          <cell r="BB487" t="str">
            <v>H50A17K</v>
          </cell>
          <cell r="BD487" t="str">
            <v>F716</v>
          </cell>
          <cell r="BI487">
            <v>888</v>
          </cell>
          <cell r="BJ487">
            <v>2</v>
          </cell>
          <cell r="BK487">
            <v>90</v>
          </cell>
          <cell r="BL487">
            <v>65</v>
          </cell>
        </row>
        <row r="488">
          <cell r="C488">
            <v>2087</v>
          </cell>
          <cell r="D488" t="str">
            <v>MB275751A</v>
          </cell>
          <cell r="E488" t="str">
            <v xml:space="preserve"> SIDE SILL OTR LH</v>
          </cell>
          <cell r="F488" t="str">
            <v>-661B</v>
          </cell>
          <cell r="H488">
            <v>1</v>
          </cell>
          <cell r="I488">
            <v>1</v>
          </cell>
          <cell r="J488">
            <v>1</v>
          </cell>
          <cell r="K488">
            <v>1</v>
          </cell>
          <cell r="L488">
            <v>1</v>
          </cell>
          <cell r="M488">
            <v>1</v>
          </cell>
          <cell r="N488">
            <v>1</v>
          </cell>
          <cell r="O488">
            <v>1</v>
          </cell>
          <cell r="R488">
            <v>1</v>
          </cell>
          <cell r="S488">
            <v>1</v>
          </cell>
          <cell r="T488">
            <v>1</v>
          </cell>
          <cell r="U488">
            <v>1</v>
          </cell>
          <cell r="V488">
            <v>1</v>
          </cell>
          <cell r="Y488">
            <v>1</v>
          </cell>
          <cell r="Z488">
            <v>1</v>
          </cell>
          <cell r="AA488">
            <v>1</v>
          </cell>
          <cell r="AB488">
            <v>1</v>
          </cell>
          <cell r="AC488">
            <v>1</v>
          </cell>
          <cell r="AD488">
            <v>1</v>
          </cell>
          <cell r="AE488">
            <v>1</v>
          </cell>
          <cell r="AF488">
            <v>1</v>
          </cell>
          <cell r="AG488">
            <v>1</v>
          </cell>
          <cell r="AH488">
            <v>1</v>
          </cell>
          <cell r="AI488">
            <v>1</v>
          </cell>
          <cell r="AJ488">
            <v>1</v>
          </cell>
          <cell r="AK488">
            <v>1</v>
          </cell>
          <cell r="AL488">
            <v>1</v>
          </cell>
          <cell r="AM488">
            <v>1</v>
          </cell>
          <cell r="AN488">
            <v>1</v>
          </cell>
          <cell r="AO488">
            <v>1</v>
          </cell>
          <cell r="AQ488">
            <v>1</v>
          </cell>
          <cell r="AR488">
            <v>1</v>
          </cell>
          <cell r="AS488">
            <v>1</v>
          </cell>
          <cell r="AU488">
            <v>1</v>
          </cell>
          <cell r="AV488">
            <v>1</v>
          </cell>
          <cell r="AW488">
            <v>1</v>
          </cell>
          <cell r="AX488">
            <v>1</v>
          </cell>
          <cell r="AY488">
            <v>1</v>
          </cell>
          <cell r="AZ488" t="str">
            <v>B</v>
          </cell>
          <cell r="BA488" t="str">
            <v>세명금속</v>
          </cell>
          <cell r="BB488" t="str">
            <v>H50A16K</v>
          </cell>
          <cell r="BD488" t="str">
            <v>F716</v>
          </cell>
          <cell r="BE488" t="str">
            <v>ALL</v>
          </cell>
          <cell r="BI488">
            <v>671</v>
          </cell>
          <cell r="BJ488">
            <v>995</v>
          </cell>
          <cell r="BK488">
            <v>118</v>
          </cell>
          <cell r="BL488">
            <v>102</v>
          </cell>
        </row>
        <row r="489">
          <cell r="C489">
            <v>2087</v>
          </cell>
          <cell r="D489" t="str">
            <v>MB275752A</v>
          </cell>
          <cell r="E489" t="str">
            <v xml:space="preserve"> SILL,SIDE,OTR RH</v>
          </cell>
          <cell r="F489" t="str">
            <v>-661B</v>
          </cell>
          <cell r="H489">
            <v>1</v>
          </cell>
          <cell r="I489">
            <v>1</v>
          </cell>
          <cell r="J489">
            <v>1</v>
          </cell>
          <cell r="K489">
            <v>1</v>
          </cell>
          <cell r="L489">
            <v>1</v>
          </cell>
          <cell r="M489">
            <v>1</v>
          </cell>
          <cell r="N489">
            <v>1</v>
          </cell>
          <cell r="O489">
            <v>1</v>
          </cell>
          <cell r="R489">
            <v>1</v>
          </cell>
          <cell r="S489">
            <v>1</v>
          </cell>
          <cell r="T489">
            <v>1</v>
          </cell>
          <cell r="U489">
            <v>1</v>
          </cell>
          <cell r="V489">
            <v>1</v>
          </cell>
          <cell r="Y489">
            <v>1</v>
          </cell>
          <cell r="Z489">
            <v>1</v>
          </cell>
          <cell r="AA489">
            <v>1</v>
          </cell>
          <cell r="AB489">
            <v>1</v>
          </cell>
          <cell r="AC489">
            <v>1</v>
          </cell>
          <cell r="AD489">
            <v>1</v>
          </cell>
          <cell r="AE489">
            <v>1</v>
          </cell>
          <cell r="AF489">
            <v>1</v>
          </cell>
          <cell r="AG489">
            <v>1</v>
          </cell>
          <cell r="AH489">
            <v>1</v>
          </cell>
          <cell r="AI489">
            <v>1</v>
          </cell>
          <cell r="AJ489">
            <v>1</v>
          </cell>
          <cell r="AK489">
            <v>1</v>
          </cell>
          <cell r="AL489">
            <v>1</v>
          </cell>
          <cell r="AM489">
            <v>1</v>
          </cell>
          <cell r="AN489">
            <v>1</v>
          </cell>
          <cell r="AO489">
            <v>1</v>
          </cell>
          <cell r="AQ489">
            <v>1</v>
          </cell>
          <cell r="AR489">
            <v>1</v>
          </cell>
          <cell r="AS489">
            <v>1</v>
          </cell>
          <cell r="AU489">
            <v>1</v>
          </cell>
          <cell r="AV489">
            <v>1</v>
          </cell>
          <cell r="AW489">
            <v>1</v>
          </cell>
          <cell r="AX489">
            <v>1</v>
          </cell>
          <cell r="AY489">
            <v>1</v>
          </cell>
          <cell r="AZ489" t="str">
            <v>B</v>
          </cell>
          <cell r="BA489" t="str">
            <v>세명금속</v>
          </cell>
          <cell r="BB489" t="str">
            <v>H50A16K</v>
          </cell>
          <cell r="BD489" t="str">
            <v>F716</v>
          </cell>
          <cell r="BE489" t="str">
            <v>ALL</v>
          </cell>
          <cell r="BI489">
            <v>671</v>
          </cell>
          <cell r="BJ489">
            <v>995</v>
          </cell>
          <cell r="BK489">
            <v>118</v>
          </cell>
          <cell r="BL489">
            <v>102</v>
          </cell>
        </row>
        <row r="490">
          <cell r="C490">
            <v>1892</v>
          </cell>
          <cell r="D490" t="str">
            <v>MB591377A</v>
          </cell>
          <cell r="E490" t="str">
            <v xml:space="preserve"> PANEL,CENTER PILLAR INR LH</v>
          </cell>
          <cell r="I490">
            <v>1</v>
          </cell>
          <cell r="J490">
            <v>1</v>
          </cell>
          <cell r="K490">
            <v>1</v>
          </cell>
          <cell r="O490">
            <v>1</v>
          </cell>
          <cell r="Q490">
            <v>1</v>
          </cell>
          <cell r="S490">
            <v>1</v>
          </cell>
          <cell r="T490">
            <v>1</v>
          </cell>
          <cell r="V490">
            <v>1</v>
          </cell>
          <cell r="X490">
            <v>1</v>
          </cell>
          <cell r="Y490">
            <v>1</v>
          </cell>
          <cell r="Z490">
            <v>1</v>
          </cell>
          <cell r="AA490">
            <v>1</v>
          </cell>
          <cell r="AE490">
            <v>1</v>
          </cell>
          <cell r="AG490">
            <v>1</v>
          </cell>
          <cell r="AI490">
            <v>1</v>
          </cell>
          <cell r="AJ490">
            <v>1</v>
          </cell>
          <cell r="AK490">
            <v>1</v>
          </cell>
          <cell r="AQ490">
            <v>1</v>
          </cell>
          <cell r="AR490">
            <v>1</v>
          </cell>
          <cell r="AS490">
            <v>1</v>
          </cell>
          <cell r="AT490">
            <v>1</v>
          </cell>
          <cell r="AU490">
            <v>1</v>
          </cell>
          <cell r="AV490">
            <v>1</v>
          </cell>
          <cell r="AX490">
            <v>1</v>
          </cell>
          <cell r="AY490">
            <v>1</v>
          </cell>
          <cell r="AZ490" t="str">
            <v>B</v>
          </cell>
          <cell r="BA490" t="str">
            <v>세명금속</v>
          </cell>
          <cell r="BB490" t="str">
            <v>H50A17K</v>
          </cell>
          <cell r="BD490" t="str">
            <v>F716</v>
          </cell>
          <cell r="BI490">
            <v>888</v>
          </cell>
          <cell r="BJ490">
            <v>458</v>
          </cell>
          <cell r="BK490">
            <v>90</v>
          </cell>
          <cell r="BL490">
            <v>100</v>
          </cell>
        </row>
        <row r="491">
          <cell r="C491">
            <v>1892</v>
          </cell>
          <cell r="D491" t="str">
            <v>MB591378A</v>
          </cell>
          <cell r="E491" t="str">
            <v xml:space="preserve"> PANEL,CENTER PILLAR INR RH</v>
          </cell>
          <cell r="I491">
            <v>1</v>
          </cell>
          <cell r="J491">
            <v>1</v>
          </cell>
          <cell r="K491">
            <v>1</v>
          </cell>
          <cell r="O491">
            <v>1</v>
          </cell>
          <cell r="Q491">
            <v>1</v>
          </cell>
          <cell r="S491">
            <v>1</v>
          </cell>
          <cell r="T491">
            <v>1</v>
          </cell>
          <cell r="V491">
            <v>1</v>
          </cell>
          <cell r="X491">
            <v>1</v>
          </cell>
          <cell r="Y491">
            <v>1</v>
          </cell>
          <cell r="Z491">
            <v>1</v>
          </cell>
          <cell r="AA491">
            <v>1</v>
          </cell>
          <cell r="AE491">
            <v>1</v>
          </cell>
          <cell r="AG491">
            <v>1</v>
          </cell>
          <cell r="AI491">
            <v>1</v>
          </cell>
          <cell r="AJ491">
            <v>1</v>
          </cell>
          <cell r="AK491">
            <v>1</v>
          </cell>
          <cell r="AQ491">
            <v>1</v>
          </cell>
          <cell r="AR491">
            <v>1</v>
          </cell>
          <cell r="AS491">
            <v>1</v>
          </cell>
          <cell r="AT491">
            <v>1</v>
          </cell>
          <cell r="AU491">
            <v>1</v>
          </cell>
          <cell r="AV491">
            <v>1</v>
          </cell>
          <cell r="AX491">
            <v>1</v>
          </cell>
          <cell r="AY491">
            <v>1</v>
          </cell>
          <cell r="AZ491" t="str">
            <v>B</v>
          </cell>
          <cell r="BA491" t="str">
            <v>세명금속</v>
          </cell>
          <cell r="BB491" t="str">
            <v>H50A17K</v>
          </cell>
          <cell r="BD491" t="str">
            <v>F716</v>
          </cell>
          <cell r="BI491">
            <v>888</v>
          </cell>
          <cell r="BJ491">
            <v>458</v>
          </cell>
          <cell r="BK491">
            <v>90</v>
          </cell>
          <cell r="BL491">
            <v>100</v>
          </cell>
        </row>
        <row r="492">
          <cell r="C492">
            <v>767</v>
          </cell>
          <cell r="D492" t="str">
            <v>MB591541</v>
          </cell>
          <cell r="E492" t="str">
            <v xml:space="preserve"> BRKT(A)</v>
          </cell>
          <cell r="N492">
            <v>1</v>
          </cell>
          <cell r="O492">
            <v>1</v>
          </cell>
          <cell r="P492">
            <v>1</v>
          </cell>
          <cell r="Q492">
            <v>1</v>
          </cell>
          <cell r="Z492">
            <v>1</v>
          </cell>
          <cell r="AO492">
            <v>1</v>
          </cell>
          <cell r="AS492">
            <v>1</v>
          </cell>
          <cell r="AZ492" t="str">
            <v>B</v>
          </cell>
          <cell r="BA492" t="str">
            <v>세명금속</v>
          </cell>
          <cell r="BB492" t="str">
            <v>H50A18K</v>
          </cell>
          <cell r="BD492" t="str">
            <v>F716</v>
          </cell>
          <cell r="BE492" t="str">
            <v>TCI</v>
          </cell>
          <cell r="BI492">
            <v>422</v>
          </cell>
          <cell r="BJ492">
            <v>0</v>
          </cell>
          <cell r="BK492">
            <v>8</v>
          </cell>
          <cell r="BL492">
            <v>29</v>
          </cell>
        </row>
        <row r="493">
          <cell r="C493">
            <v>767</v>
          </cell>
          <cell r="D493" t="str">
            <v>MB591542</v>
          </cell>
          <cell r="E493" t="str">
            <v xml:space="preserve"> BRKT(B)</v>
          </cell>
          <cell r="N493">
            <v>1</v>
          </cell>
          <cell r="O493">
            <v>1</v>
          </cell>
          <cell r="P493">
            <v>1</v>
          </cell>
          <cell r="Q493">
            <v>1</v>
          </cell>
          <cell r="Z493">
            <v>1</v>
          </cell>
          <cell r="AO493">
            <v>1</v>
          </cell>
          <cell r="AS493">
            <v>1</v>
          </cell>
          <cell r="AZ493" t="str">
            <v>B</v>
          </cell>
          <cell r="BA493" t="str">
            <v>세명금속</v>
          </cell>
          <cell r="BB493" t="str">
            <v>H50A18K</v>
          </cell>
          <cell r="BD493" t="str">
            <v>F716</v>
          </cell>
          <cell r="BE493" t="str">
            <v>TCI</v>
          </cell>
          <cell r="BI493">
            <v>422</v>
          </cell>
          <cell r="BJ493">
            <v>0</v>
          </cell>
          <cell r="BK493">
            <v>8</v>
          </cell>
          <cell r="BL493">
            <v>29</v>
          </cell>
        </row>
        <row r="494">
          <cell r="C494">
            <v>1892</v>
          </cell>
          <cell r="D494" t="str">
            <v>MB591589A</v>
          </cell>
          <cell r="E494" t="str">
            <v xml:space="preserve"> REINF,R/DR HINGE LH</v>
          </cell>
          <cell r="I494">
            <v>1</v>
          </cell>
          <cell r="J494">
            <v>1</v>
          </cell>
          <cell r="K494">
            <v>1</v>
          </cell>
          <cell r="O494">
            <v>1</v>
          </cell>
          <cell r="Q494">
            <v>1</v>
          </cell>
          <cell r="S494">
            <v>1</v>
          </cell>
          <cell r="T494">
            <v>1</v>
          </cell>
          <cell r="V494">
            <v>1</v>
          </cell>
          <cell r="X494">
            <v>1</v>
          </cell>
          <cell r="Y494">
            <v>1</v>
          </cell>
          <cell r="Z494">
            <v>1</v>
          </cell>
          <cell r="AA494">
            <v>1</v>
          </cell>
          <cell r="AE494">
            <v>1</v>
          </cell>
          <cell r="AG494">
            <v>1</v>
          </cell>
          <cell r="AI494">
            <v>1</v>
          </cell>
          <cell r="AJ494">
            <v>1</v>
          </cell>
          <cell r="AK494">
            <v>1</v>
          </cell>
          <cell r="AQ494">
            <v>1</v>
          </cell>
          <cell r="AR494">
            <v>1</v>
          </cell>
          <cell r="AS494">
            <v>1</v>
          </cell>
          <cell r="AT494">
            <v>1</v>
          </cell>
          <cell r="AU494">
            <v>1</v>
          </cell>
          <cell r="AV494">
            <v>1</v>
          </cell>
          <cell r="AX494">
            <v>1</v>
          </cell>
          <cell r="AY494">
            <v>1</v>
          </cell>
          <cell r="AZ494" t="str">
            <v>B</v>
          </cell>
          <cell r="BA494" t="str">
            <v>세명금속</v>
          </cell>
          <cell r="BB494" t="str">
            <v>H50A17K</v>
          </cell>
          <cell r="BD494" t="str">
            <v>F716</v>
          </cell>
          <cell r="BI494">
            <v>888</v>
          </cell>
          <cell r="BJ494">
            <v>458</v>
          </cell>
          <cell r="BK494">
            <v>90</v>
          </cell>
          <cell r="BL494">
            <v>100</v>
          </cell>
        </row>
        <row r="495">
          <cell r="C495">
            <v>1892</v>
          </cell>
          <cell r="D495" t="str">
            <v>MB591590A</v>
          </cell>
          <cell r="E495" t="str">
            <v xml:space="preserve"> REINF,R/DR HINGE RH</v>
          </cell>
          <cell r="I495">
            <v>1</v>
          </cell>
          <cell r="J495">
            <v>1</v>
          </cell>
          <cell r="K495">
            <v>1</v>
          </cell>
          <cell r="O495">
            <v>1</v>
          </cell>
          <cell r="Q495">
            <v>1</v>
          </cell>
          <cell r="S495">
            <v>1</v>
          </cell>
          <cell r="T495">
            <v>1</v>
          </cell>
          <cell r="V495">
            <v>1</v>
          </cell>
          <cell r="X495">
            <v>1</v>
          </cell>
          <cell r="Y495">
            <v>1</v>
          </cell>
          <cell r="Z495">
            <v>1</v>
          </cell>
          <cell r="AA495">
            <v>1</v>
          </cell>
          <cell r="AE495">
            <v>1</v>
          </cell>
          <cell r="AG495">
            <v>1</v>
          </cell>
          <cell r="AI495">
            <v>1</v>
          </cell>
          <cell r="AJ495">
            <v>1</v>
          </cell>
          <cell r="AK495">
            <v>1</v>
          </cell>
          <cell r="AQ495">
            <v>1</v>
          </cell>
          <cell r="AR495">
            <v>1</v>
          </cell>
          <cell r="AS495">
            <v>1</v>
          </cell>
          <cell r="AT495">
            <v>1</v>
          </cell>
          <cell r="AU495">
            <v>1</v>
          </cell>
          <cell r="AV495">
            <v>1</v>
          </cell>
          <cell r="AX495">
            <v>1</v>
          </cell>
          <cell r="AY495">
            <v>1</v>
          </cell>
          <cell r="AZ495" t="str">
            <v>B</v>
          </cell>
          <cell r="BA495" t="str">
            <v>세명금속</v>
          </cell>
          <cell r="BB495" t="str">
            <v>H50A17K</v>
          </cell>
          <cell r="BD495" t="str">
            <v>F716</v>
          </cell>
          <cell r="BI495">
            <v>888</v>
          </cell>
          <cell r="BJ495">
            <v>458</v>
          </cell>
          <cell r="BK495">
            <v>90</v>
          </cell>
          <cell r="BL495">
            <v>100</v>
          </cell>
        </row>
        <row r="496">
          <cell r="C496">
            <v>247</v>
          </cell>
          <cell r="D496" t="str">
            <v>HC000183</v>
          </cell>
          <cell r="E496" t="str">
            <v xml:space="preserve"> PNL-RAD SUPT LH</v>
          </cell>
          <cell r="F496" t="str">
            <v>수출용 +972A</v>
          </cell>
          <cell r="AE496">
            <v>1</v>
          </cell>
          <cell r="AH496">
            <v>1</v>
          </cell>
          <cell r="AI496">
            <v>1</v>
          </cell>
          <cell r="AJ496">
            <v>1</v>
          </cell>
          <cell r="AK496">
            <v>1</v>
          </cell>
          <cell r="AL496">
            <v>1</v>
          </cell>
          <cell r="AM496">
            <v>1</v>
          </cell>
          <cell r="AN496">
            <v>1</v>
          </cell>
          <cell r="AO496">
            <v>1</v>
          </cell>
          <cell r="AQ496">
            <v>1</v>
          </cell>
          <cell r="AR496">
            <v>1</v>
          </cell>
          <cell r="AS496">
            <v>1</v>
          </cell>
          <cell r="AU496">
            <v>1</v>
          </cell>
          <cell r="AW496">
            <v>1</v>
          </cell>
          <cell r="AX496">
            <v>1</v>
          </cell>
          <cell r="AY496">
            <v>1</v>
          </cell>
          <cell r="AZ496" t="str">
            <v>B</v>
          </cell>
          <cell r="BA496" t="str">
            <v>세원(주)</v>
          </cell>
          <cell r="BB496" t="str">
            <v>H50A15K01-11,12</v>
          </cell>
          <cell r="BD496" t="str">
            <v>N432</v>
          </cell>
          <cell r="BE496" t="str">
            <v>CHAINA</v>
          </cell>
          <cell r="BI496">
            <v>0</v>
          </cell>
          <cell r="BJ496">
            <v>0</v>
          </cell>
          <cell r="BK496">
            <v>118</v>
          </cell>
          <cell r="BL496">
            <v>102</v>
          </cell>
        </row>
        <row r="497">
          <cell r="C497">
            <v>247</v>
          </cell>
          <cell r="D497" t="str">
            <v>HC000184</v>
          </cell>
          <cell r="E497" t="str">
            <v xml:space="preserve"> PNL-RAD SUPT RH</v>
          </cell>
          <cell r="F497" t="str">
            <v>수출용 +972A</v>
          </cell>
          <cell r="AE497">
            <v>1</v>
          </cell>
          <cell r="AH497">
            <v>1</v>
          </cell>
          <cell r="AI497">
            <v>1</v>
          </cell>
          <cell r="AJ497">
            <v>1</v>
          </cell>
          <cell r="AK497">
            <v>1</v>
          </cell>
          <cell r="AL497">
            <v>1</v>
          </cell>
          <cell r="AM497">
            <v>1</v>
          </cell>
          <cell r="AN497">
            <v>1</v>
          </cell>
          <cell r="AO497">
            <v>1</v>
          </cell>
          <cell r="AQ497">
            <v>1</v>
          </cell>
          <cell r="AR497">
            <v>1</v>
          </cell>
          <cell r="AS497">
            <v>1</v>
          </cell>
          <cell r="AU497">
            <v>1</v>
          </cell>
          <cell r="AW497">
            <v>1</v>
          </cell>
          <cell r="AX497">
            <v>1</v>
          </cell>
          <cell r="AY497">
            <v>1</v>
          </cell>
          <cell r="AZ497" t="str">
            <v>B</v>
          </cell>
          <cell r="BA497" t="str">
            <v>세원(주)</v>
          </cell>
          <cell r="BB497" t="str">
            <v>H50A15K01-11,12</v>
          </cell>
          <cell r="BD497" t="str">
            <v>N432</v>
          </cell>
          <cell r="BE497" t="str">
            <v>CHAINA</v>
          </cell>
          <cell r="BI497">
            <v>0</v>
          </cell>
          <cell r="BJ497">
            <v>0</v>
          </cell>
          <cell r="BK497">
            <v>118</v>
          </cell>
          <cell r="BL497">
            <v>102</v>
          </cell>
        </row>
        <row r="498">
          <cell r="C498">
            <v>2584</v>
          </cell>
          <cell r="D498" t="str">
            <v>HQ505511</v>
          </cell>
          <cell r="E498" t="str">
            <v xml:space="preserve"> PNL HEAD LAMP SUPT LH</v>
          </cell>
          <cell r="G498">
            <v>1</v>
          </cell>
          <cell r="AZ498" t="str">
            <v>B</v>
          </cell>
          <cell r="BA498" t="str">
            <v>세원(주)</v>
          </cell>
          <cell r="BB498" t="str">
            <v>H50A15K</v>
          </cell>
          <cell r="BC498" t="str">
            <v>MB250251A</v>
          </cell>
          <cell r="BD498" t="str">
            <v>N432</v>
          </cell>
          <cell r="BI498">
            <v>0</v>
          </cell>
          <cell r="BJ498">
            <v>0</v>
          </cell>
          <cell r="BK498">
            <v>0</v>
          </cell>
          <cell r="BL498">
            <v>0</v>
          </cell>
        </row>
        <row r="499">
          <cell r="C499">
            <v>2584</v>
          </cell>
          <cell r="D499" t="str">
            <v>HQ505521</v>
          </cell>
          <cell r="E499" t="str">
            <v xml:space="preserve"> PNL HEAD LAMP SUPT RH</v>
          </cell>
          <cell r="G499">
            <v>1</v>
          </cell>
          <cell r="AZ499" t="str">
            <v>B</v>
          </cell>
          <cell r="BA499" t="str">
            <v>세원(주)</v>
          </cell>
          <cell r="BB499" t="str">
            <v>H50A15K</v>
          </cell>
          <cell r="BC499" t="str">
            <v>MB250252A</v>
          </cell>
          <cell r="BD499" t="str">
            <v>N432</v>
          </cell>
          <cell r="BI499">
            <v>0</v>
          </cell>
          <cell r="BJ499">
            <v>0</v>
          </cell>
          <cell r="BK499">
            <v>0</v>
          </cell>
          <cell r="BL499">
            <v>0</v>
          </cell>
        </row>
        <row r="500">
          <cell r="C500">
            <v>1817</v>
          </cell>
          <cell r="D500" t="str">
            <v>HQ505525</v>
          </cell>
          <cell r="E500" t="str">
            <v xml:space="preserve"> PNL BRIDGE</v>
          </cell>
          <cell r="H500">
            <v>1</v>
          </cell>
          <cell r="I500">
            <v>1</v>
          </cell>
          <cell r="J500">
            <v>1</v>
          </cell>
          <cell r="K500">
            <v>1</v>
          </cell>
          <cell r="L500">
            <v>1</v>
          </cell>
          <cell r="M500">
            <v>1</v>
          </cell>
          <cell r="R500">
            <v>1</v>
          </cell>
          <cell r="S500">
            <v>1</v>
          </cell>
          <cell r="T500">
            <v>1</v>
          </cell>
          <cell r="U500">
            <v>1</v>
          </cell>
          <cell r="V500">
            <v>1</v>
          </cell>
          <cell r="W500">
            <v>1</v>
          </cell>
          <cell r="X500">
            <v>1</v>
          </cell>
          <cell r="Y500">
            <v>1</v>
          </cell>
          <cell r="AA500">
            <v>1</v>
          </cell>
          <cell r="AB500">
            <v>1</v>
          </cell>
          <cell r="AC500">
            <v>1</v>
          </cell>
          <cell r="AD500">
            <v>1</v>
          </cell>
          <cell r="AE500">
            <v>1</v>
          </cell>
          <cell r="AF500">
            <v>1</v>
          </cell>
          <cell r="AG500">
            <v>1</v>
          </cell>
          <cell r="AH500">
            <v>1</v>
          </cell>
          <cell r="AI500">
            <v>1</v>
          </cell>
          <cell r="AJ500">
            <v>1</v>
          </cell>
          <cell r="AK500">
            <v>1</v>
          </cell>
          <cell r="AL500">
            <v>1</v>
          </cell>
          <cell r="AM500">
            <v>1</v>
          </cell>
          <cell r="AN500">
            <v>1</v>
          </cell>
          <cell r="AP500">
            <v>1</v>
          </cell>
          <cell r="AQ500">
            <v>1</v>
          </cell>
          <cell r="AR500">
            <v>1</v>
          </cell>
          <cell r="AT500">
            <v>1</v>
          </cell>
          <cell r="AU500">
            <v>1</v>
          </cell>
          <cell r="AV500">
            <v>1</v>
          </cell>
          <cell r="AW500">
            <v>1</v>
          </cell>
          <cell r="AX500">
            <v>1</v>
          </cell>
          <cell r="AY500">
            <v>1</v>
          </cell>
          <cell r="AZ500" t="str">
            <v>B</v>
          </cell>
          <cell r="BA500" t="str">
            <v>세원(주)</v>
          </cell>
          <cell r="BB500" t="str">
            <v>H50A15K</v>
          </cell>
          <cell r="BC500" t="str">
            <v>MB250241B</v>
          </cell>
          <cell r="BD500" t="str">
            <v>N432</v>
          </cell>
          <cell r="BI500">
            <v>515</v>
          </cell>
          <cell r="BJ500">
            <v>997</v>
          </cell>
          <cell r="BK500">
            <v>110</v>
          </cell>
          <cell r="BL500">
            <v>73</v>
          </cell>
        </row>
        <row r="501">
          <cell r="C501">
            <v>767</v>
          </cell>
          <cell r="D501" t="str">
            <v>HQ505527</v>
          </cell>
          <cell r="E501" t="str">
            <v xml:space="preserve"> PNL BRIDGE</v>
          </cell>
          <cell r="N501">
            <v>1</v>
          </cell>
          <cell r="O501">
            <v>1</v>
          </cell>
          <cell r="P501">
            <v>1</v>
          </cell>
          <cell r="Q501">
            <v>1</v>
          </cell>
          <cell r="Z501">
            <v>1</v>
          </cell>
          <cell r="AO501">
            <v>1</v>
          </cell>
          <cell r="AS501">
            <v>1</v>
          </cell>
          <cell r="AZ501" t="str">
            <v>B</v>
          </cell>
          <cell r="BA501" t="str">
            <v>세원(주)</v>
          </cell>
          <cell r="BB501" t="str">
            <v>H50A15K</v>
          </cell>
          <cell r="BC501" t="str">
            <v>MB591499A</v>
          </cell>
          <cell r="BD501" t="str">
            <v>N432</v>
          </cell>
          <cell r="BI501">
            <v>422</v>
          </cell>
          <cell r="BJ501">
            <v>0</v>
          </cell>
          <cell r="BK501">
            <v>8</v>
          </cell>
          <cell r="BL501">
            <v>29</v>
          </cell>
        </row>
        <row r="502">
          <cell r="C502">
            <v>692</v>
          </cell>
          <cell r="D502" t="str">
            <v>HQ505743</v>
          </cell>
          <cell r="E502" t="str">
            <v xml:space="preserve"> PANEL,RR W/HSE,OTR FR LH</v>
          </cell>
          <cell r="H502">
            <v>1</v>
          </cell>
          <cell r="L502">
            <v>1</v>
          </cell>
          <cell r="M502">
            <v>1</v>
          </cell>
          <cell r="N502">
            <v>1</v>
          </cell>
          <cell r="P502">
            <v>1</v>
          </cell>
          <cell r="R502">
            <v>1</v>
          </cell>
          <cell r="U502">
            <v>1</v>
          </cell>
          <cell r="W502">
            <v>1</v>
          </cell>
          <cell r="AB502">
            <v>1</v>
          </cell>
          <cell r="AC502">
            <v>1</v>
          </cell>
          <cell r="AD502">
            <v>1</v>
          </cell>
          <cell r="AF502">
            <v>1</v>
          </cell>
          <cell r="AH502">
            <v>1</v>
          </cell>
          <cell r="AL502">
            <v>1</v>
          </cell>
          <cell r="AM502">
            <v>1</v>
          </cell>
          <cell r="AN502">
            <v>1</v>
          </cell>
          <cell r="AO502">
            <v>1</v>
          </cell>
          <cell r="AP502">
            <v>1</v>
          </cell>
          <cell r="AW502">
            <v>1</v>
          </cell>
          <cell r="AZ502" t="str">
            <v>B</v>
          </cell>
          <cell r="BA502" t="str">
            <v>세원(주)</v>
          </cell>
          <cell r="BB502" t="str">
            <v>H50A17K</v>
          </cell>
          <cell r="BC502" t="str">
            <v>MB591366A</v>
          </cell>
          <cell r="BD502" t="str">
            <v>N432</v>
          </cell>
          <cell r="BI502">
            <v>49</v>
          </cell>
          <cell r="BJ502">
            <v>539</v>
          </cell>
          <cell r="BK502">
            <v>28</v>
          </cell>
          <cell r="BL502">
            <v>2</v>
          </cell>
        </row>
        <row r="503">
          <cell r="C503">
            <v>662</v>
          </cell>
          <cell r="D503" t="str">
            <v>HQ505744</v>
          </cell>
          <cell r="E503" t="str">
            <v xml:space="preserve"> PANEL,RR W/HSE,OTR FR RH</v>
          </cell>
          <cell r="L503">
            <v>1</v>
          </cell>
          <cell r="M503">
            <v>1</v>
          </cell>
          <cell r="N503">
            <v>1</v>
          </cell>
          <cell r="P503">
            <v>1</v>
          </cell>
          <cell r="R503">
            <v>1</v>
          </cell>
          <cell r="U503">
            <v>1</v>
          </cell>
          <cell r="W503">
            <v>1</v>
          </cell>
          <cell r="AB503">
            <v>1</v>
          </cell>
          <cell r="AD503">
            <v>1</v>
          </cell>
          <cell r="AH503">
            <v>1</v>
          </cell>
          <cell r="AL503">
            <v>1</v>
          </cell>
          <cell r="AM503">
            <v>1</v>
          </cell>
          <cell r="AN503">
            <v>1</v>
          </cell>
          <cell r="AO503">
            <v>1</v>
          </cell>
          <cell r="AP503">
            <v>1</v>
          </cell>
          <cell r="AW503">
            <v>1</v>
          </cell>
          <cell r="AZ503" t="str">
            <v>B</v>
          </cell>
          <cell r="BA503" t="str">
            <v>세원(주)</v>
          </cell>
          <cell r="BB503" t="str">
            <v>H50A17K</v>
          </cell>
          <cell r="BC503" t="str">
            <v>MB591367A</v>
          </cell>
          <cell r="BD503" t="str">
            <v>N432</v>
          </cell>
          <cell r="BI503">
            <v>49</v>
          </cell>
          <cell r="BJ503">
            <v>539</v>
          </cell>
          <cell r="BK503">
            <v>28</v>
          </cell>
          <cell r="BL503">
            <v>2</v>
          </cell>
        </row>
        <row r="504">
          <cell r="C504">
            <v>692</v>
          </cell>
          <cell r="D504" t="str">
            <v>HQ505745</v>
          </cell>
          <cell r="E504" t="str">
            <v xml:space="preserve"> PANEL,RR W/HSE,OTR CTR LH</v>
          </cell>
          <cell r="H504">
            <v>1</v>
          </cell>
          <cell r="L504">
            <v>1</v>
          </cell>
          <cell r="M504">
            <v>1</v>
          </cell>
          <cell r="N504">
            <v>1</v>
          </cell>
          <cell r="P504">
            <v>1</v>
          </cell>
          <cell r="R504">
            <v>1</v>
          </cell>
          <cell r="U504">
            <v>1</v>
          </cell>
          <cell r="W504">
            <v>1</v>
          </cell>
          <cell r="AB504">
            <v>1</v>
          </cell>
          <cell r="AC504">
            <v>1</v>
          </cell>
          <cell r="AD504">
            <v>1</v>
          </cell>
          <cell r="AF504">
            <v>1</v>
          </cell>
          <cell r="AH504">
            <v>1</v>
          </cell>
          <cell r="AL504">
            <v>1</v>
          </cell>
          <cell r="AM504">
            <v>1</v>
          </cell>
          <cell r="AN504">
            <v>1</v>
          </cell>
          <cell r="AO504">
            <v>1</v>
          </cell>
          <cell r="AP504">
            <v>1</v>
          </cell>
          <cell r="AW504">
            <v>1</v>
          </cell>
          <cell r="AZ504" t="str">
            <v>B</v>
          </cell>
          <cell r="BA504" t="str">
            <v>세원(주)</v>
          </cell>
          <cell r="BB504" t="str">
            <v>H50A17K</v>
          </cell>
          <cell r="BC504" t="str">
            <v>MB591407A</v>
          </cell>
          <cell r="BD504" t="str">
            <v>N432</v>
          </cell>
          <cell r="BI504">
            <v>49</v>
          </cell>
          <cell r="BJ504">
            <v>539</v>
          </cell>
          <cell r="BK504">
            <v>28</v>
          </cell>
          <cell r="BL504">
            <v>2</v>
          </cell>
        </row>
        <row r="505">
          <cell r="C505">
            <v>655</v>
          </cell>
          <cell r="D505" t="str">
            <v>HQ505746</v>
          </cell>
          <cell r="E505" t="str">
            <v xml:space="preserve"> PANEL,RR W/HSE,OTR FR RH</v>
          </cell>
          <cell r="H505">
            <v>1</v>
          </cell>
          <cell r="L505">
            <v>1</v>
          </cell>
          <cell r="M505">
            <v>1</v>
          </cell>
          <cell r="N505">
            <v>1</v>
          </cell>
          <cell r="P505">
            <v>1</v>
          </cell>
          <cell r="R505">
            <v>1</v>
          </cell>
          <cell r="U505">
            <v>1</v>
          </cell>
          <cell r="W505">
            <v>1</v>
          </cell>
          <cell r="AB505">
            <v>1</v>
          </cell>
          <cell r="AD505">
            <v>1</v>
          </cell>
          <cell r="AH505">
            <v>1</v>
          </cell>
          <cell r="AL505">
            <v>1</v>
          </cell>
          <cell r="AM505">
            <v>1</v>
          </cell>
          <cell r="AO505">
            <v>1</v>
          </cell>
          <cell r="AP505">
            <v>1</v>
          </cell>
          <cell r="AW505">
            <v>1</v>
          </cell>
          <cell r="AZ505" t="str">
            <v>B</v>
          </cell>
          <cell r="BA505" t="str">
            <v>세원(주)</v>
          </cell>
          <cell r="BB505" t="str">
            <v>H50A17K</v>
          </cell>
          <cell r="BC505" t="str">
            <v>MB591408A</v>
          </cell>
          <cell r="BD505" t="str">
            <v>N432</v>
          </cell>
          <cell r="BI505">
            <v>49</v>
          </cell>
          <cell r="BJ505">
            <v>539</v>
          </cell>
          <cell r="BK505">
            <v>21</v>
          </cell>
          <cell r="BL505">
            <v>2</v>
          </cell>
        </row>
        <row r="506">
          <cell r="C506">
            <v>2411</v>
          </cell>
          <cell r="D506" t="str">
            <v>MB250263B</v>
          </cell>
          <cell r="E506" t="str">
            <v xml:space="preserve"> PANEL,RAD SUPT LH</v>
          </cell>
          <cell r="H506">
            <v>1</v>
          </cell>
          <cell r="I506">
            <v>1</v>
          </cell>
          <cell r="J506">
            <v>1</v>
          </cell>
          <cell r="K506">
            <v>1</v>
          </cell>
          <cell r="L506">
            <v>1</v>
          </cell>
          <cell r="M506">
            <v>1</v>
          </cell>
          <cell r="N506">
            <v>1</v>
          </cell>
          <cell r="O506">
            <v>1</v>
          </cell>
          <cell r="P506">
            <v>1</v>
          </cell>
          <cell r="Q506">
            <v>1</v>
          </cell>
          <cell r="R506">
            <v>1</v>
          </cell>
          <cell r="S506">
            <v>1</v>
          </cell>
          <cell r="T506">
            <v>1</v>
          </cell>
          <cell r="U506">
            <v>1</v>
          </cell>
          <cell r="V506">
            <v>1</v>
          </cell>
          <cell r="W506">
            <v>1</v>
          </cell>
          <cell r="X506">
            <v>1</v>
          </cell>
          <cell r="Y506">
            <v>1</v>
          </cell>
          <cell r="Z506">
            <v>1</v>
          </cell>
          <cell r="AA506">
            <v>1</v>
          </cell>
          <cell r="AB506">
            <v>1</v>
          </cell>
          <cell r="AC506">
            <v>1</v>
          </cell>
          <cell r="AD506">
            <v>1</v>
          </cell>
          <cell r="AF506">
            <v>1</v>
          </cell>
          <cell r="AG506">
            <v>1</v>
          </cell>
          <cell r="AH506">
            <v>1</v>
          </cell>
          <cell r="AL506">
            <v>1</v>
          </cell>
          <cell r="AM506">
            <v>1</v>
          </cell>
          <cell r="AN506">
            <v>1</v>
          </cell>
          <cell r="AO506">
            <v>1</v>
          </cell>
          <cell r="AP506">
            <v>1</v>
          </cell>
          <cell r="AU506">
            <v>1</v>
          </cell>
          <cell r="AV506">
            <v>1</v>
          </cell>
          <cell r="AW506">
            <v>1</v>
          </cell>
          <cell r="AY506">
            <v>1</v>
          </cell>
          <cell r="AZ506" t="str">
            <v>B</v>
          </cell>
          <cell r="BA506" t="str">
            <v>세원(주)</v>
          </cell>
          <cell r="BB506" t="str">
            <v>H50A15K</v>
          </cell>
          <cell r="BC506" t="str">
            <v>MB250263A</v>
          </cell>
          <cell r="BD506" t="str">
            <v>N432</v>
          </cell>
          <cell r="BE506" t="str">
            <v>ALL</v>
          </cell>
          <cell r="BI506">
            <v>937</v>
          </cell>
          <cell r="BJ506">
            <v>997</v>
          </cell>
          <cell r="BK506">
            <v>28</v>
          </cell>
          <cell r="BL506">
            <v>37</v>
          </cell>
        </row>
        <row r="507">
          <cell r="C507">
            <v>2411</v>
          </cell>
          <cell r="D507" t="str">
            <v>MB250264B</v>
          </cell>
          <cell r="E507" t="str">
            <v xml:space="preserve"> PANEL,RAD SUPT RH</v>
          </cell>
          <cell r="H507">
            <v>1</v>
          </cell>
          <cell r="I507">
            <v>1</v>
          </cell>
          <cell r="J507">
            <v>1</v>
          </cell>
          <cell r="K507">
            <v>1</v>
          </cell>
          <cell r="L507">
            <v>1</v>
          </cell>
          <cell r="M507">
            <v>1</v>
          </cell>
          <cell r="N507">
            <v>1</v>
          </cell>
          <cell r="O507">
            <v>1</v>
          </cell>
          <cell r="P507">
            <v>1</v>
          </cell>
          <cell r="Q507">
            <v>1</v>
          </cell>
          <cell r="R507">
            <v>1</v>
          </cell>
          <cell r="S507">
            <v>1</v>
          </cell>
          <cell r="T507">
            <v>1</v>
          </cell>
          <cell r="U507">
            <v>1</v>
          </cell>
          <cell r="V507">
            <v>1</v>
          </cell>
          <cell r="W507">
            <v>1</v>
          </cell>
          <cell r="X507">
            <v>1</v>
          </cell>
          <cell r="Y507">
            <v>1</v>
          </cell>
          <cell r="Z507">
            <v>1</v>
          </cell>
          <cell r="AA507">
            <v>1</v>
          </cell>
          <cell r="AB507">
            <v>1</v>
          </cell>
          <cell r="AC507">
            <v>1</v>
          </cell>
          <cell r="AD507">
            <v>1</v>
          </cell>
          <cell r="AF507">
            <v>1</v>
          </cell>
          <cell r="AG507">
            <v>1</v>
          </cell>
          <cell r="AH507">
            <v>1</v>
          </cell>
          <cell r="AL507">
            <v>1</v>
          </cell>
          <cell r="AM507">
            <v>1</v>
          </cell>
          <cell r="AN507">
            <v>1</v>
          </cell>
          <cell r="AO507">
            <v>1</v>
          </cell>
          <cell r="AP507">
            <v>1</v>
          </cell>
          <cell r="AU507">
            <v>1</v>
          </cell>
          <cell r="AV507">
            <v>1</v>
          </cell>
          <cell r="AW507">
            <v>1</v>
          </cell>
          <cell r="AY507">
            <v>1</v>
          </cell>
          <cell r="AZ507" t="str">
            <v>B</v>
          </cell>
          <cell r="BA507" t="str">
            <v>세원(주)</v>
          </cell>
          <cell r="BB507" t="str">
            <v>H50A15K</v>
          </cell>
          <cell r="BC507" t="str">
            <v>MB250264A</v>
          </cell>
          <cell r="BD507" t="str">
            <v>N432</v>
          </cell>
          <cell r="BE507" t="str">
            <v>ALL</v>
          </cell>
          <cell r="BI507">
            <v>937</v>
          </cell>
          <cell r="BJ507">
            <v>997</v>
          </cell>
          <cell r="BK507">
            <v>28</v>
          </cell>
          <cell r="BL507">
            <v>37</v>
          </cell>
        </row>
        <row r="508">
          <cell r="C508">
            <v>2584</v>
          </cell>
          <cell r="D508" t="str">
            <v>MB250286B</v>
          </cell>
          <cell r="E508" t="str">
            <v xml:space="preserve"> PANEL,SUPT</v>
          </cell>
          <cell r="F508" t="str">
            <v>-972B(-D/C)</v>
          </cell>
          <cell r="G508">
            <v>1</v>
          </cell>
          <cell r="AZ508" t="str">
            <v>B</v>
          </cell>
          <cell r="BA508" t="str">
            <v>세원(주)</v>
          </cell>
          <cell r="BB508" t="str">
            <v>H50A15K</v>
          </cell>
          <cell r="BC508" t="str">
            <v>MB591767A</v>
          </cell>
          <cell r="BD508" t="str">
            <v>N432</v>
          </cell>
          <cell r="BE508" t="str">
            <v>ALL</v>
          </cell>
          <cell r="BI508">
            <v>0</v>
          </cell>
          <cell r="BJ508">
            <v>0</v>
          </cell>
          <cell r="BK508">
            <v>0</v>
          </cell>
          <cell r="BL508">
            <v>0</v>
          </cell>
        </row>
        <row r="509">
          <cell r="C509">
            <v>692</v>
          </cell>
          <cell r="D509" t="str">
            <v>MB250477</v>
          </cell>
          <cell r="E509" t="str">
            <v xml:space="preserve"> PANEL,TOOL BOX,SIDE</v>
          </cell>
          <cell r="H509">
            <v>1</v>
          </cell>
          <cell r="L509">
            <v>1</v>
          </cell>
          <cell r="M509">
            <v>1</v>
          </cell>
          <cell r="N509">
            <v>1</v>
          </cell>
          <cell r="P509">
            <v>1</v>
          </cell>
          <cell r="R509">
            <v>1</v>
          </cell>
          <cell r="U509">
            <v>1</v>
          </cell>
          <cell r="W509">
            <v>1</v>
          </cell>
          <cell r="AB509">
            <v>1</v>
          </cell>
          <cell r="AC509">
            <v>1</v>
          </cell>
          <cell r="AD509">
            <v>1</v>
          </cell>
          <cell r="AF509">
            <v>1</v>
          </cell>
          <cell r="AH509">
            <v>1</v>
          </cell>
          <cell r="AL509">
            <v>1</v>
          </cell>
          <cell r="AM509">
            <v>1</v>
          </cell>
          <cell r="AN509">
            <v>1</v>
          </cell>
          <cell r="AO509">
            <v>1</v>
          </cell>
          <cell r="AP509">
            <v>1</v>
          </cell>
          <cell r="AW509">
            <v>1</v>
          </cell>
          <cell r="AZ509" t="str">
            <v>B</v>
          </cell>
          <cell r="BA509" t="str">
            <v>세원(주)</v>
          </cell>
          <cell r="BB509" t="str">
            <v>H50A17K</v>
          </cell>
          <cell r="BD509" t="str">
            <v>N432</v>
          </cell>
          <cell r="BE509" t="str">
            <v>S/B</v>
          </cell>
          <cell r="BI509">
            <v>49</v>
          </cell>
          <cell r="BJ509">
            <v>539</v>
          </cell>
          <cell r="BK509">
            <v>28</v>
          </cell>
          <cell r="BL509">
            <v>2</v>
          </cell>
        </row>
        <row r="510">
          <cell r="C510">
            <v>692</v>
          </cell>
          <cell r="D510" t="str">
            <v>MB250478</v>
          </cell>
          <cell r="E510" t="str">
            <v xml:space="preserve"> PANEL,TOOL BOX,BOTTOM</v>
          </cell>
          <cell r="H510">
            <v>1</v>
          </cell>
          <cell r="L510">
            <v>1</v>
          </cell>
          <cell r="M510">
            <v>1</v>
          </cell>
          <cell r="N510">
            <v>1</v>
          </cell>
          <cell r="P510">
            <v>1</v>
          </cell>
          <cell r="R510">
            <v>1</v>
          </cell>
          <cell r="U510">
            <v>1</v>
          </cell>
          <cell r="W510">
            <v>1</v>
          </cell>
          <cell r="AB510">
            <v>1</v>
          </cell>
          <cell r="AC510">
            <v>1</v>
          </cell>
          <cell r="AD510">
            <v>1</v>
          </cell>
          <cell r="AF510">
            <v>1</v>
          </cell>
          <cell r="AH510">
            <v>1</v>
          </cell>
          <cell r="AL510">
            <v>1</v>
          </cell>
          <cell r="AM510">
            <v>1</v>
          </cell>
          <cell r="AN510">
            <v>1</v>
          </cell>
          <cell r="AO510">
            <v>1</v>
          </cell>
          <cell r="AP510">
            <v>1</v>
          </cell>
          <cell r="AW510">
            <v>1</v>
          </cell>
          <cell r="AZ510" t="str">
            <v>B</v>
          </cell>
          <cell r="BA510" t="str">
            <v>세원(주)</v>
          </cell>
          <cell r="BB510" t="str">
            <v>H50A17K</v>
          </cell>
          <cell r="BD510" t="str">
            <v>N432</v>
          </cell>
          <cell r="BE510" t="str">
            <v>S/B</v>
          </cell>
          <cell r="BI510">
            <v>49</v>
          </cell>
          <cell r="BJ510">
            <v>539</v>
          </cell>
          <cell r="BK510">
            <v>28</v>
          </cell>
          <cell r="BL510">
            <v>2</v>
          </cell>
        </row>
        <row r="511">
          <cell r="C511">
            <v>153</v>
          </cell>
          <cell r="D511" t="str">
            <v>MB250913</v>
          </cell>
          <cell r="E511" t="str">
            <v xml:space="preserve"> REINF,R/SEAT BELT,UPR LH</v>
          </cell>
          <cell r="H511">
            <v>1</v>
          </cell>
          <cell r="L511">
            <v>1</v>
          </cell>
          <cell r="M511">
            <v>1</v>
          </cell>
          <cell r="N511">
            <v>1</v>
          </cell>
          <cell r="P511">
            <v>1</v>
          </cell>
          <cell r="U511">
            <v>1</v>
          </cell>
          <cell r="W511">
            <v>1</v>
          </cell>
          <cell r="AB511">
            <v>1</v>
          </cell>
          <cell r="AC511">
            <v>1</v>
          </cell>
          <cell r="AD511">
            <v>1</v>
          </cell>
          <cell r="AF511">
            <v>1</v>
          </cell>
          <cell r="AH511">
            <v>1</v>
          </cell>
          <cell r="AL511">
            <v>1</v>
          </cell>
          <cell r="AM511">
            <v>1</v>
          </cell>
          <cell r="AN511">
            <v>1</v>
          </cell>
          <cell r="AO511">
            <v>1</v>
          </cell>
          <cell r="AP511">
            <v>1</v>
          </cell>
          <cell r="AW511">
            <v>1</v>
          </cell>
          <cell r="AZ511" t="str">
            <v>B</v>
          </cell>
          <cell r="BA511" t="str">
            <v>세원(주)</v>
          </cell>
          <cell r="BB511" t="str">
            <v>H50A17K</v>
          </cell>
          <cell r="BD511" t="str">
            <v>N432</v>
          </cell>
          <cell r="BE511" t="str">
            <v>S/B</v>
          </cell>
          <cell r="BI511">
            <v>49</v>
          </cell>
          <cell r="BJ511">
            <v>0</v>
          </cell>
          <cell r="BK511">
            <v>28</v>
          </cell>
          <cell r="BL511">
            <v>2</v>
          </cell>
        </row>
        <row r="512">
          <cell r="C512">
            <v>153</v>
          </cell>
          <cell r="D512" t="str">
            <v>MB250914</v>
          </cell>
          <cell r="E512" t="str">
            <v xml:space="preserve"> REINF,R/SEAT BELT,UPR RH</v>
          </cell>
          <cell r="H512">
            <v>1</v>
          </cell>
          <cell r="L512">
            <v>1</v>
          </cell>
          <cell r="M512">
            <v>1</v>
          </cell>
          <cell r="N512">
            <v>1</v>
          </cell>
          <cell r="P512">
            <v>1</v>
          </cell>
          <cell r="U512">
            <v>1</v>
          </cell>
          <cell r="W512">
            <v>1</v>
          </cell>
          <cell r="AB512">
            <v>1</v>
          </cell>
          <cell r="AC512">
            <v>1</v>
          </cell>
          <cell r="AD512">
            <v>1</v>
          </cell>
          <cell r="AF512">
            <v>1</v>
          </cell>
          <cell r="AH512">
            <v>1</v>
          </cell>
          <cell r="AL512">
            <v>1</v>
          </cell>
          <cell r="AM512">
            <v>1</v>
          </cell>
          <cell r="AN512">
            <v>1</v>
          </cell>
          <cell r="AO512">
            <v>1</v>
          </cell>
          <cell r="AP512">
            <v>1</v>
          </cell>
          <cell r="AW512">
            <v>1</v>
          </cell>
          <cell r="AZ512" t="str">
            <v>B</v>
          </cell>
          <cell r="BA512" t="str">
            <v>세원(주)</v>
          </cell>
          <cell r="BB512" t="str">
            <v>H50A17K</v>
          </cell>
          <cell r="BD512" t="str">
            <v>N432</v>
          </cell>
          <cell r="BE512" t="str">
            <v>S/B</v>
          </cell>
          <cell r="BI512">
            <v>49</v>
          </cell>
          <cell r="BJ512">
            <v>0</v>
          </cell>
          <cell r="BK512">
            <v>28</v>
          </cell>
          <cell r="BL512">
            <v>2</v>
          </cell>
        </row>
        <row r="513">
          <cell r="C513">
            <v>2584</v>
          </cell>
          <cell r="D513" t="str">
            <v>MB274289A</v>
          </cell>
          <cell r="E513" t="str">
            <v xml:space="preserve"> C/MBR,FRONT</v>
          </cell>
          <cell r="G513">
            <v>1</v>
          </cell>
          <cell r="AZ513" t="str">
            <v>B</v>
          </cell>
          <cell r="BA513" t="str">
            <v>세원(주)</v>
          </cell>
          <cell r="BB513" t="str">
            <v>H50A15K</v>
          </cell>
          <cell r="BD513" t="str">
            <v>N432</v>
          </cell>
          <cell r="BE513" t="str">
            <v>ALL</v>
          </cell>
          <cell r="BI513">
            <v>0</v>
          </cell>
          <cell r="BJ513">
            <v>0</v>
          </cell>
          <cell r="BK513">
            <v>0</v>
          </cell>
          <cell r="BL513">
            <v>0</v>
          </cell>
        </row>
        <row r="514">
          <cell r="C514">
            <v>1322</v>
          </cell>
          <cell r="D514" t="str">
            <v>MB591767B</v>
          </cell>
          <cell r="E514" t="str">
            <v xml:space="preserve"> PANEL,SUPT</v>
          </cell>
          <cell r="F514" t="str">
            <v>972B</v>
          </cell>
          <cell r="J514">
            <v>1</v>
          </cell>
          <cell r="K514">
            <v>1</v>
          </cell>
          <cell r="O514">
            <v>1</v>
          </cell>
          <cell r="Q514">
            <v>1</v>
          </cell>
          <cell r="X514">
            <v>1</v>
          </cell>
          <cell r="Z514">
            <v>1</v>
          </cell>
          <cell r="AE514">
            <v>1</v>
          </cell>
          <cell r="AI514">
            <v>1</v>
          </cell>
          <cell r="AK514">
            <v>1</v>
          </cell>
          <cell r="AQ514">
            <v>1</v>
          </cell>
          <cell r="AR514">
            <v>1</v>
          </cell>
          <cell r="AS514">
            <v>1</v>
          </cell>
          <cell r="AT514">
            <v>1</v>
          </cell>
          <cell r="AZ514" t="str">
            <v>B</v>
          </cell>
          <cell r="BA514" t="str">
            <v>세원(주)</v>
          </cell>
          <cell r="BB514" t="str">
            <v>H50A15K</v>
          </cell>
          <cell r="BD514" t="str">
            <v>N432</v>
          </cell>
          <cell r="BI514">
            <v>868</v>
          </cell>
          <cell r="BJ514">
            <v>2</v>
          </cell>
          <cell r="BK514">
            <v>54</v>
          </cell>
          <cell r="BL514">
            <v>65</v>
          </cell>
        </row>
        <row r="515">
          <cell r="C515">
            <v>0</v>
          </cell>
          <cell r="D515" t="str">
            <v>MB250251A</v>
          </cell>
          <cell r="E515" t="str">
            <v xml:space="preserve"> PNL-HEAD LAMP SUPT,LH</v>
          </cell>
          <cell r="AZ515" t="str">
            <v>B</v>
          </cell>
          <cell r="BA515" t="str">
            <v>세원정공</v>
          </cell>
        </row>
        <row r="516">
          <cell r="C516">
            <v>0</v>
          </cell>
          <cell r="D516" t="str">
            <v>MB250252A</v>
          </cell>
          <cell r="E516" t="str">
            <v xml:space="preserve"> PNL-HEAD LAMP SUPT,RH</v>
          </cell>
          <cell r="AZ516" t="str">
            <v>B</v>
          </cell>
          <cell r="BA516" t="str">
            <v>세원정공</v>
          </cell>
        </row>
        <row r="517">
          <cell r="C517">
            <v>692</v>
          </cell>
          <cell r="D517" t="str">
            <v>HC000165</v>
          </cell>
          <cell r="E517" t="str">
            <v xml:space="preserve"> PILLAR,CTR,INR,LWR ASSY LH</v>
          </cell>
          <cell r="H517">
            <v>1</v>
          </cell>
          <cell r="L517">
            <v>1</v>
          </cell>
          <cell r="M517">
            <v>1</v>
          </cell>
          <cell r="N517">
            <v>1</v>
          </cell>
          <cell r="P517">
            <v>1</v>
          </cell>
          <cell r="R517">
            <v>1</v>
          </cell>
          <cell r="U517">
            <v>1</v>
          </cell>
          <cell r="W517">
            <v>1</v>
          </cell>
          <cell r="AB517">
            <v>1</v>
          </cell>
          <cell r="AC517">
            <v>1</v>
          </cell>
          <cell r="AD517">
            <v>1</v>
          </cell>
          <cell r="AF517">
            <v>1</v>
          </cell>
          <cell r="AH517">
            <v>1</v>
          </cell>
          <cell r="AL517">
            <v>1</v>
          </cell>
          <cell r="AM517">
            <v>1</v>
          </cell>
          <cell r="AN517">
            <v>1</v>
          </cell>
          <cell r="AO517">
            <v>1</v>
          </cell>
          <cell r="AP517">
            <v>1</v>
          </cell>
          <cell r="AW517">
            <v>1</v>
          </cell>
          <cell r="AZ517" t="str">
            <v>B</v>
          </cell>
          <cell r="BA517" t="str">
            <v>신아금속</v>
          </cell>
          <cell r="BB517" t="str">
            <v>H50A17K</v>
          </cell>
          <cell r="BC517" t="str">
            <v>MB275875A</v>
          </cell>
          <cell r="BD517" t="str">
            <v>K591</v>
          </cell>
          <cell r="BE517" t="str">
            <v>S/B</v>
          </cell>
          <cell r="BI517">
            <v>49</v>
          </cell>
          <cell r="BJ517">
            <v>539</v>
          </cell>
          <cell r="BK517">
            <v>28</v>
          </cell>
          <cell r="BL517">
            <v>2</v>
          </cell>
        </row>
        <row r="518">
          <cell r="C518">
            <v>1892</v>
          </cell>
          <cell r="D518" t="str">
            <v>HC000047</v>
          </cell>
          <cell r="E518" t="str">
            <v xml:space="preserve"> ASS'Y,2ND SEAT REINF</v>
          </cell>
          <cell r="I518">
            <v>1</v>
          </cell>
          <cell r="J518">
            <v>1</v>
          </cell>
          <cell r="K518">
            <v>1</v>
          </cell>
          <cell r="O518">
            <v>1</v>
          </cell>
          <cell r="Q518">
            <v>1</v>
          </cell>
          <cell r="S518">
            <v>1</v>
          </cell>
          <cell r="T518">
            <v>1</v>
          </cell>
          <cell r="V518">
            <v>1</v>
          </cell>
          <cell r="X518">
            <v>1</v>
          </cell>
          <cell r="Y518">
            <v>1</v>
          </cell>
          <cell r="Z518">
            <v>1</v>
          </cell>
          <cell r="AA518">
            <v>1</v>
          </cell>
          <cell r="AE518">
            <v>1</v>
          </cell>
          <cell r="AG518">
            <v>1</v>
          </cell>
          <cell r="AI518">
            <v>1</v>
          </cell>
          <cell r="AJ518">
            <v>1</v>
          </cell>
          <cell r="AK518">
            <v>1</v>
          </cell>
          <cell r="AQ518">
            <v>1</v>
          </cell>
          <cell r="AR518">
            <v>1</v>
          </cell>
          <cell r="AS518">
            <v>1</v>
          </cell>
          <cell r="AT518">
            <v>1</v>
          </cell>
          <cell r="AU518">
            <v>1</v>
          </cell>
          <cell r="AV518">
            <v>1</v>
          </cell>
          <cell r="AX518">
            <v>1</v>
          </cell>
          <cell r="AY518">
            <v>1</v>
          </cell>
          <cell r="AZ518" t="str">
            <v>B</v>
          </cell>
          <cell r="BA518" t="str">
            <v>영진(주)</v>
          </cell>
          <cell r="BB518" t="str">
            <v>H50A12K</v>
          </cell>
          <cell r="BD518" t="str">
            <v>K549</v>
          </cell>
          <cell r="BI518">
            <v>888</v>
          </cell>
          <cell r="BJ518">
            <v>458</v>
          </cell>
          <cell r="BK518">
            <v>90</v>
          </cell>
          <cell r="BL518">
            <v>100</v>
          </cell>
        </row>
        <row r="519">
          <cell r="C519">
            <v>1899</v>
          </cell>
          <cell r="D519" t="str">
            <v>HC000071A</v>
          </cell>
          <cell r="E519" t="str">
            <v xml:space="preserve"> PANEL,QTR INR,LOW EXT LH</v>
          </cell>
          <cell r="F519" t="str">
            <v>-973A</v>
          </cell>
          <cell r="I519">
            <v>1</v>
          </cell>
          <cell r="J519">
            <v>1</v>
          </cell>
          <cell r="K519">
            <v>1</v>
          </cell>
          <cell r="O519">
            <v>1</v>
          </cell>
          <cell r="Q519">
            <v>1</v>
          </cell>
          <cell r="S519">
            <v>1</v>
          </cell>
          <cell r="T519">
            <v>1</v>
          </cell>
          <cell r="V519">
            <v>1</v>
          </cell>
          <cell r="X519">
            <v>1</v>
          </cell>
          <cell r="Y519">
            <v>1</v>
          </cell>
          <cell r="Z519">
            <v>1</v>
          </cell>
          <cell r="AA519">
            <v>1</v>
          </cell>
          <cell r="AE519">
            <v>1</v>
          </cell>
          <cell r="AG519">
            <v>1</v>
          </cell>
          <cell r="AI519">
            <v>1</v>
          </cell>
          <cell r="AJ519">
            <v>1</v>
          </cell>
          <cell r="AK519">
            <v>1</v>
          </cell>
          <cell r="AQ519">
            <v>1</v>
          </cell>
          <cell r="AR519">
            <v>1</v>
          </cell>
          <cell r="AS519">
            <v>1</v>
          </cell>
          <cell r="AT519">
            <v>1</v>
          </cell>
          <cell r="AU519">
            <v>1</v>
          </cell>
          <cell r="AV519">
            <v>1</v>
          </cell>
          <cell r="AW519">
            <v>1</v>
          </cell>
          <cell r="AX519">
            <v>1</v>
          </cell>
          <cell r="AY519">
            <v>1</v>
          </cell>
          <cell r="AZ519" t="str">
            <v>B</v>
          </cell>
          <cell r="BA519" t="str">
            <v>영진(주)</v>
          </cell>
          <cell r="BB519" t="str">
            <v>H50A12K</v>
          </cell>
          <cell r="BC519" t="str">
            <v>HC000071</v>
          </cell>
          <cell r="BD519" t="str">
            <v>K549</v>
          </cell>
          <cell r="BI519">
            <v>888</v>
          </cell>
          <cell r="BJ519">
            <v>458</v>
          </cell>
          <cell r="BK519">
            <v>90</v>
          </cell>
          <cell r="BL519">
            <v>102</v>
          </cell>
        </row>
        <row r="520">
          <cell r="C520">
            <v>1899</v>
          </cell>
          <cell r="D520" t="str">
            <v>HC000072A</v>
          </cell>
          <cell r="E520" t="str">
            <v xml:space="preserve"> PANEL,QTR INR,LOW EXT RH</v>
          </cell>
          <cell r="F520" t="str">
            <v>-973A</v>
          </cell>
          <cell r="I520">
            <v>1</v>
          </cell>
          <cell r="J520">
            <v>1</v>
          </cell>
          <cell r="K520">
            <v>1</v>
          </cell>
          <cell r="O520">
            <v>1</v>
          </cell>
          <cell r="Q520">
            <v>1</v>
          </cell>
          <cell r="S520">
            <v>1</v>
          </cell>
          <cell r="T520">
            <v>1</v>
          </cell>
          <cell r="V520">
            <v>1</v>
          </cell>
          <cell r="X520">
            <v>1</v>
          </cell>
          <cell r="Y520">
            <v>1</v>
          </cell>
          <cell r="Z520">
            <v>1</v>
          </cell>
          <cell r="AA520">
            <v>1</v>
          </cell>
          <cell r="AE520">
            <v>1</v>
          </cell>
          <cell r="AG520">
            <v>1</v>
          </cell>
          <cell r="AI520">
            <v>1</v>
          </cell>
          <cell r="AJ520">
            <v>1</v>
          </cell>
          <cell r="AK520">
            <v>1</v>
          </cell>
          <cell r="AQ520">
            <v>1</v>
          </cell>
          <cell r="AR520">
            <v>1</v>
          </cell>
          <cell r="AS520">
            <v>1</v>
          </cell>
          <cell r="AT520">
            <v>1</v>
          </cell>
          <cell r="AU520">
            <v>1</v>
          </cell>
          <cell r="AV520">
            <v>1</v>
          </cell>
          <cell r="AW520">
            <v>1</v>
          </cell>
          <cell r="AX520">
            <v>1</v>
          </cell>
          <cell r="AY520">
            <v>1</v>
          </cell>
          <cell r="AZ520" t="str">
            <v>B</v>
          </cell>
          <cell r="BA520" t="str">
            <v>영진(주)</v>
          </cell>
          <cell r="BB520" t="str">
            <v>H50A12K</v>
          </cell>
          <cell r="BC520" t="str">
            <v>HC000072</v>
          </cell>
          <cell r="BD520" t="str">
            <v>K549</v>
          </cell>
          <cell r="BI520">
            <v>888</v>
          </cell>
          <cell r="BJ520">
            <v>458</v>
          </cell>
          <cell r="BK520">
            <v>90</v>
          </cell>
          <cell r="BL520">
            <v>102</v>
          </cell>
        </row>
        <row r="521">
          <cell r="C521">
            <v>2584</v>
          </cell>
          <cell r="D521" t="str">
            <v>HG300007</v>
          </cell>
          <cell r="E521" t="str">
            <v xml:space="preserve"> REINF,HINGE(A)</v>
          </cell>
          <cell r="F521" t="str">
            <v>삭제예정ITEM</v>
          </cell>
          <cell r="G521">
            <v>1</v>
          </cell>
          <cell r="AZ521" t="str">
            <v>B</v>
          </cell>
          <cell r="BA521" t="str">
            <v>영진(주)</v>
          </cell>
          <cell r="BB521" t="str">
            <v>H50B33K</v>
          </cell>
          <cell r="BD521" t="str">
            <v>K549</v>
          </cell>
          <cell r="BE521" t="str">
            <v>ALL</v>
          </cell>
          <cell r="BI521">
            <v>0</v>
          </cell>
          <cell r="BJ521">
            <v>0</v>
          </cell>
          <cell r="BK521">
            <v>0</v>
          </cell>
          <cell r="BL521">
            <v>0</v>
          </cell>
        </row>
        <row r="522">
          <cell r="C522">
            <v>2584</v>
          </cell>
          <cell r="D522" t="str">
            <v>HG300008</v>
          </cell>
          <cell r="E522" t="str">
            <v xml:space="preserve"> REINF,HINGE(C)</v>
          </cell>
          <cell r="F522" t="str">
            <v>삭제예정ITEM</v>
          </cell>
          <cell r="G522">
            <v>1</v>
          </cell>
          <cell r="AZ522" t="str">
            <v>B</v>
          </cell>
          <cell r="BA522" t="str">
            <v>영진(주)</v>
          </cell>
          <cell r="BB522" t="str">
            <v>H50B33K</v>
          </cell>
          <cell r="BD522" t="str">
            <v>K549</v>
          </cell>
          <cell r="BE522" t="str">
            <v>ALL</v>
          </cell>
          <cell r="BI522">
            <v>0</v>
          </cell>
          <cell r="BJ522">
            <v>0</v>
          </cell>
          <cell r="BK522">
            <v>0</v>
          </cell>
          <cell r="BL522">
            <v>0</v>
          </cell>
        </row>
        <row r="523">
          <cell r="C523">
            <v>2584</v>
          </cell>
          <cell r="D523" t="str">
            <v>MB112555</v>
          </cell>
          <cell r="E523" t="str">
            <v xml:space="preserve"> REINF,HINGE(B)</v>
          </cell>
          <cell r="G523">
            <v>1</v>
          </cell>
          <cell r="AZ523" t="str">
            <v>B</v>
          </cell>
          <cell r="BA523" t="str">
            <v>영진(주)</v>
          </cell>
          <cell r="BB523" t="str">
            <v>H50B33K</v>
          </cell>
          <cell r="BD523" t="str">
            <v>K549</v>
          </cell>
          <cell r="BE523" t="str">
            <v>ALL</v>
          </cell>
          <cell r="BI523">
            <v>0</v>
          </cell>
          <cell r="BJ523">
            <v>0</v>
          </cell>
          <cell r="BK523">
            <v>0</v>
          </cell>
          <cell r="BL523">
            <v>0</v>
          </cell>
        </row>
        <row r="524">
          <cell r="C524">
            <v>2584</v>
          </cell>
          <cell r="D524" t="str">
            <v>MB112557A</v>
          </cell>
          <cell r="E524" t="str">
            <v xml:space="preserve"> REINF,HINGE(D)</v>
          </cell>
          <cell r="G524">
            <v>1</v>
          </cell>
          <cell r="AZ524" t="str">
            <v>B</v>
          </cell>
          <cell r="BA524" t="str">
            <v>영진(주)</v>
          </cell>
          <cell r="BB524" t="str">
            <v>H50B33K</v>
          </cell>
          <cell r="BD524" t="str">
            <v>K549</v>
          </cell>
          <cell r="BE524" t="str">
            <v>ALL</v>
          </cell>
          <cell r="BI524">
            <v>0</v>
          </cell>
          <cell r="BJ524">
            <v>0</v>
          </cell>
          <cell r="BK524">
            <v>0</v>
          </cell>
          <cell r="BL524">
            <v>0</v>
          </cell>
        </row>
        <row r="525">
          <cell r="C525">
            <v>2584</v>
          </cell>
          <cell r="D525" t="str">
            <v>MB112621</v>
          </cell>
          <cell r="E525" t="str">
            <v xml:space="preserve"> REINF,HINGE(E)</v>
          </cell>
          <cell r="G525">
            <v>1</v>
          </cell>
          <cell r="AZ525" t="str">
            <v>B</v>
          </cell>
          <cell r="BA525" t="str">
            <v>영진(주)</v>
          </cell>
          <cell r="BB525" t="str">
            <v>H50B33K</v>
          </cell>
          <cell r="BD525" t="str">
            <v>K549</v>
          </cell>
          <cell r="BE525" t="str">
            <v>ALL</v>
          </cell>
          <cell r="BI525">
            <v>0</v>
          </cell>
          <cell r="BJ525">
            <v>0</v>
          </cell>
          <cell r="BK525">
            <v>0</v>
          </cell>
          <cell r="BL525">
            <v>0</v>
          </cell>
        </row>
        <row r="526">
          <cell r="C526">
            <v>5168</v>
          </cell>
          <cell r="D526" t="str">
            <v>MB250014A</v>
          </cell>
          <cell r="E526" t="str">
            <v xml:space="preserve"> BRKT ASS'Y,NO2 MOUNT RH </v>
          </cell>
          <cell r="G526">
            <v>2</v>
          </cell>
          <cell r="AZ526" t="str">
            <v>B</v>
          </cell>
          <cell r="BA526" t="str">
            <v>영진(주)</v>
          </cell>
          <cell r="BB526" t="str">
            <v>H50A11K</v>
          </cell>
          <cell r="BD526" t="str">
            <v>K549</v>
          </cell>
          <cell r="BE526" t="str">
            <v>ALL</v>
          </cell>
          <cell r="BI526">
            <v>0</v>
          </cell>
          <cell r="BJ526">
            <v>0</v>
          </cell>
          <cell r="BK526">
            <v>0</v>
          </cell>
          <cell r="BL526">
            <v>0</v>
          </cell>
        </row>
        <row r="527">
          <cell r="C527">
            <v>3784</v>
          </cell>
          <cell r="D527" t="str">
            <v>MB275039</v>
          </cell>
          <cell r="E527" t="str">
            <v xml:space="preserve"> BRKT ASS'Y,NO3 MOUNT</v>
          </cell>
          <cell r="I527">
            <v>2</v>
          </cell>
          <cell r="J527">
            <v>2</v>
          </cell>
          <cell r="K527">
            <v>2</v>
          </cell>
          <cell r="O527">
            <v>2</v>
          </cell>
          <cell r="Q527">
            <v>2</v>
          </cell>
          <cell r="S527">
            <v>2</v>
          </cell>
          <cell r="T527">
            <v>2</v>
          </cell>
          <cell r="V527">
            <v>2</v>
          </cell>
          <cell r="X527">
            <v>2</v>
          </cell>
          <cell r="Y527">
            <v>2</v>
          </cell>
          <cell r="Z527">
            <v>2</v>
          </cell>
          <cell r="AA527">
            <v>2</v>
          </cell>
          <cell r="AE527">
            <v>2</v>
          </cell>
          <cell r="AG527">
            <v>2</v>
          </cell>
          <cell r="AI527">
            <v>2</v>
          </cell>
          <cell r="AJ527">
            <v>2</v>
          </cell>
          <cell r="AK527">
            <v>2</v>
          </cell>
          <cell r="AQ527">
            <v>2</v>
          </cell>
          <cell r="AR527">
            <v>2</v>
          </cell>
          <cell r="AS527">
            <v>2</v>
          </cell>
          <cell r="AT527">
            <v>2</v>
          </cell>
          <cell r="AU527">
            <v>2</v>
          </cell>
          <cell r="AV527">
            <v>2</v>
          </cell>
          <cell r="AX527">
            <v>2</v>
          </cell>
          <cell r="AY527">
            <v>2</v>
          </cell>
          <cell r="AZ527" t="str">
            <v>B</v>
          </cell>
          <cell r="BA527" t="str">
            <v>영진(주)</v>
          </cell>
          <cell r="BB527" t="str">
            <v>H50A11K</v>
          </cell>
          <cell r="BD527" t="str">
            <v>K549</v>
          </cell>
          <cell r="BI527">
            <v>1776</v>
          </cell>
          <cell r="BJ527">
            <v>916</v>
          </cell>
          <cell r="BK527">
            <v>180</v>
          </cell>
          <cell r="BL527">
            <v>200</v>
          </cell>
        </row>
        <row r="528">
          <cell r="C528">
            <v>1817</v>
          </cell>
          <cell r="D528" t="str">
            <v>MB275338A</v>
          </cell>
          <cell r="E528" t="str">
            <v xml:space="preserve"> COVER ASS'Y,BRIDGE PANEL</v>
          </cell>
          <cell r="H528">
            <v>1</v>
          </cell>
          <cell r="I528">
            <v>1</v>
          </cell>
          <cell r="J528">
            <v>1</v>
          </cell>
          <cell r="K528">
            <v>1</v>
          </cell>
          <cell r="L528">
            <v>1</v>
          </cell>
          <cell r="M528">
            <v>1</v>
          </cell>
          <cell r="R528">
            <v>1</v>
          </cell>
          <cell r="S528">
            <v>1</v>
          </cell>
          <cell r="T528">
            <v>1</v>
          </cell>
          <cell r="U528">
            <v>1</v>
          </cell>
          <cell r="V528">
            <v>1</v>
          </cell>
          <cell r="W528">
            <v>1</v>
          </cell>
          <cell r="X528">
            <v>1</v>
          </cell>
          <cell r="Y528">
            <v>1</v>
          </cell>
          <cell r="AA528">
            <v>1</v>
          </cell>
          <cell r="AB528">
            <v>1</v>
          </cell>
          <cell r="AC528">
            <v>1</v>
          </cell>
          <cell r="AD528">
            <v>1</v>
          </cell>
          <cell r="AE528">
            <v>1</v>
          </cell>
          <cell r="AF528">
            <v>1</v>
          </cell>
          <cell r="AG528">
            <v>1</v>
          </cell>
          <cell r="AH528">
            <v>1</v>
          </cell>
          <cell r="AI528">
            <v>1</v>
          </cell>
          <cell r="AJ528">
            <v>1</v>
          </cell>
          <cell r="AK528">
            <v>1</v>
          </cell>
          <cell r="AL528">
            <v>1</v>
          </cell>
          <cell r="AM528">
            <v>1</v>
          </cell>
          <cell r="AN528">
            <v>1</v>
          </cell>
          <cell r="AP528">
            <v>1</v>
          </cell>
          <cell r="AQ528">
            <v>1</v>
          </cell>
          <cell r="AR528">
            <v>1</v>
          </cell>
          <cell r="AU528">
            <v>1</v>
          </cell>
          <cell r="AV528">
            <v>1</v>
          </cell>
          <cell r="AW528">
            <v>1</v>
          </cell>
          <cell r="AX528">
            <v>1</v>
          </cell>
          <cell r="AY528">
            <v>1</v>
          </cell>
          <cell r="AZ528" t="str">
            <v>B</v>
          </cell>
          <cell r="BA528" t="str">
            <v>영진(주)</v>
          </cell>
          <cell r="BB528" t="str">
            <v>H50C39K</v>
          </cell>
          <cell r="BD528" t="str">
            <v>K549</v>
          </cell>
          <cell r="BI528">
            <v>515</v>
          </cell>
          <cell r="BJ528">
            <v>997</v>
          </cell>
          <cell r="BK528">
            <v>110</v>
          </cell>
          <cell r="BL528">
            <v>73</v>
          </cell>
        </row>
        <row r="529">
          <cell r="C529">
            <v>2584</v>
          </cell>
          <cell r="D529" t="str">
            <v>MB521097</v>
          </cell>
          <cell r="E529" t="str">
            <v xml:space="preserve"> REINF,CENTER LH</v>
          </cell>
          <cell r="G529">
            <v>1</v>
          </cell>
          <cell r="AZ529" t="str">
            <v>B</v>
          </cell>
          <cell r="BA529" t="str">
            <v>영진(주)</v>
          </cell>
          <cell r="BB529" t="str">
            <v>H61A90K</v>
          </cell>
          <cell r="BD529" t="str">
            <v>K549</v>
          </cell>
          <cell r="BI529">
            <v>0</v>
          </cell>
          <cell r="BJ529">
            <v>0</v>
          </cell>
          <cell r="BK529">
            <v>0</v>
          </cell>
          <cell r="BL529">
            <v>0</v>
          </cell>
        </row>
        <row r="530">
          <cell r="C530">
            <v>2584</v>
          </cell>
          <cell r="D530" t="str">
            <v>MB521098</v>
          </cell>
          <cell r="E530" t="str">
            <v xml:space="preserve"> REINF,CENTER RH</v>
          </cell>
          <cell r="G530">
            <v>1</v>
          </cell>
          <cell r="AZ530" t="str">
            <v>B</v>
          </cell>
          <cell r="BA530" t="str">
            <v>영진(주)</v>
          </cell>
          <cell r="BB530" t="str">
            <v>H61A90K</v>
          </cell>
          <cell r="BD530" t="str">
            <v>K549</v>
          </cell>
          <cell r="BI530">
            <v>0</v>
          </cell>
          <cell r="BJ530">
            <v>0</v>
          </cell>
          <cell r="BK530">
            <v>0</v>
          </cell>
          <cell r="BL530">
            <v>0</v>
          </cell>
        </row>
        <row r="531">
          <cell r="C531">
            <v>767</v>
          </cell>
          <cell r="D531" t="str">
            <v>MB591508</v>
          </cell>
          <cell r="E531" t="str">
            <v xml:space="preserve"> COVER ASS'Y,BRIDGE PANEL</v>
          </cell>
          <cell r="N531">
            <v>1</v>
          </cell>
          <cell r="O531">
            <v>1</v>
          </cell>
          <cell r="P531">
            <v>1</v>
          </cell>
          <cell r="Q531">
            <v>1</v>
          </cell>
          <cell r="Z531">
            <v>1</v>
          </cell>
          <cell r="AO531">
            <v>1</v>
          </cell>
          <cell r="AS531">
            <v>1</v>
          </cell>
          <cell r="AZ531" t="str">
            <v>B</v>
          </cell>
          <cell r="BA531" t="str">
            <v>영진(주)</v>
          </cell>
          <cell r="BB531" t="str">
            <v>H50C39K</v>
          </cell>
          <cell r="BC531" t="str">
            <v>IC1</v>
          </cell>
          <cell r="BD531" t="str">
            <v>K549</v>
          </cell>
          <cell r="BE531" t="str">
            <v>TCI</v>
          </cell>
          <cell r="BI531">
            <v>422</v>
          </cell>
          <cell r="BJ531">
            <v>0</v>
          </cell>
          <cell r="BK531">
            <v>8</v>
          </cell>
          <cell r="BL531">
            <v>29</v>
          </cell>
        </row>
        <row r="532">
          <cell r="C532">
            <v>847</v>
          </cell>
          <cell r="D532" t="str">
            <v>XB591307A</v>
          </cell>
          <cell r="E532" t="str">
            <v xml:space="preserve"> REINF,SECRET BOX</v>
          </cell>
          <cell r="F532" t="str">
            <v>RR  HTR</v>
          </cell>
          <cell r="O532">
            <v>1</v>
          </cell>
          <cell r="Q532">
            <v>1</v>
          </cell>
          <cell r="X532">
            <v>1</v>
          </cell>
          <cell r="Z532">
            <v>1</v>
          </cell>
          <cell r="AE532">
            <v>1</v>
          </cell>
          <cell r="AI532">
            <v>1</v>
          </cell>
          <cell r="AJ532">
            <v>1</v>
          </cell>
          <cell r="AK532">
            <v>1</v>
          </cell>
          <cell r="AQ532">
            <v>1</v>
          </cell>
          <cell r="AS532">
            <v>1</v>
          </cell>
          <cell r="AT532">
            <v>1</v>
          </cell>
          <cell r="AZ532" t="str">
            <v>B</v>
          </cell>
          <cell r="BA532" t="str">
            <v>영진(주)</v>
          </cell>
          <cell r="BB532" t="str">
            <v>H50A12K</v>
          </cell>
          <cell r="BD532" t="str">
            <v>K549</v>
          </cell>
          <cell r="BI532">
            <v>397</v>
          </cell>
          <cell r="BJ532">
            <v>2</v>
          </cell>
          <cell r="BK532">
            <v>90</v>
          </cell>
          <cell r="BL532">
            <v>53</v>
          </cell>
        </row>
        <row r="533">
          <cell r="C533">
            <v>539</v>
          </cell>
          <cell r="D533" t="str">
            <v>HC250003</v>
          </cell>
          <cell r="E533" t="str">
            <v xml:space="preserve"> PANEL SIDE INR UPR LH</v>
          </cell>
          <cell r="R533">
            <v>1</v>
          </cell>
          <cell r="AB533">
            <v>1</v>
          </cell>
          <cell r="AZ533" t="str">
            <v>B</v>
          </cell>
          <cell r="BA533" t="str">
            <v>우창</v>
          </cell>
          <cell r="BB533" t="str">
            <v>H50A17K</v>
          </cell>
          <cell r="BC533" t="str">
            <v>V2</v>
          </cell>
          <cell r="BD533" t="str">
            <v>Q816</v>
          </cell>
          <cell r="BE533" t="str">
            <v>VAN</v>
          </cell>
          <cell r="BI533">
            <v>0</v>
          </cell>
          <cell r="BJ533">
            <v>539</v>
          </cell>
          <cell r="BK533">
            <v>0</v>
          </cell>
          <cell r="BL533">
            <v>0</v>
          </cell>
        </row>
        <row r="534">
          <cell r="C534">
            <v>539</v>
          </cell>
          <cell r="D534" t="str">
            <v>HC250004</v>
          </cell>
          <cell r="E534" t="str">
            <v xml:space="preserve"> PANEL SIDE INR UPR RH</v>
          </cell>
          <cell r="R534">
            <v>1</v>
          </cell>
          <cell r="AB534">
            <v>1</v>
          </cell>
          <cell r="AZ534" t="str">
            <v>B</v>
          </cell>
          <cell r="BA534" t="str">
            <v>우창</v>
          </cell>
          <cell r="BB534" t="str">
            <v>H50A17K</v>
          </cell>
          <cell r="BC534" t="str">
            <v>V2</v>
          </cell>
          <cell r="BD534" t="str">
            <v>Q816</v>
          </cell>
          <cell r="BE534" t="str">
            <v>VAN</v>
          </cell>
          <cell r="BI534">
            <v>0</v>
          </cell>
          <cell r="BJ534">
            <v>539</v>
          </cell>
          <cell r="BK534">
            <v>0</v>
          </cell>
          <cell r="BL534">
            <v>0</v>
          </cell>
        </row>
        <row r="535">
          <cell r="C535">
            <v>30</v>
          </cell>
          <cell r="D535" t="str">
            <v>MB250865A</v>
          </cell>
          <cell r="E535" t="str">
            <v xml:space="preserve"> PANEL,SIDE INR UPR LH</v>
          </cell>
          <cell r="H535">
            <v>1</v>
          </cell>
          <cell r="AC535">
            <v>1</v>
          </cell>
          <cell r="AF535">
            <v>1</v>
          </cell>
          <cell r="AZ535" t="str">
            <v>B</v>
          </cell>
          <cell r="BA535" t="str">
            <v>우창</v>
          </cell>
          <cell r="BB535" t="str">
            <v>H50A17K</v>
          </cell>
          <cell r="BD535" t="str">
            <v>Q816</v>
          </cell>
          <cell r="BE535" t="str">
            <v>1</v>
          </cell>
          <cell r="BI535">
            <v>0</v>
          </cell>
          <cell r="BJ535">
            <v>0</v>
          </cell>
          <cell r="BK535">
            <v>0</v>
          </cell>
          <cell r="BL535">
            <v>0</v>
          </cell>
        </row>
        <row r="536">
          <cell r="C536">
            <v>30</v>
          </cell>
          <cell r="D536" t="str">
            <v>MB250866A</v>
          </cell>
          <cell r="E536" t="str">
            <v xml:space="preserve"> PANEL,SIDE,INR UPR RH</v>
          </cell>
          <cell r="H536">
            <v>1</v>
          </cell>
          <cell r="AC536">
            <v>1</v>
          </cell>
          <cell r="AF536">
            <v>1</v>
          </cell>
          <cell r="AZ536" t="str">
            <v>B</v>
          </cell>
          <cell r="BA536" t="str">
            <v>우창</v>
          </cell>
          <cell r="BB536" t="str">
            <v>H50A17K</v>
          </cell>
          <cell r="BD536" t="str">
            <v>Q816</v>
          </cell>
          <cell r="BE536" t="str">
            <v>1</v>
          </cell>
          <cell r="BI536">
            <v>0</v>
          </cell>
          <cell r="BJ536">
            <v>0</v>
          </cell>
          <cell r="BK536">
            <v>0</v>
          </cell>
          <cell r="BL536">
            <v>0</v>
          </cell>
        </row>
        <row r="537">
          <cell r="C537">
            <v>1036</v>
          </cell>
          <cell r="D537" t="str">
            <v>HQ505111</v>
          </cell>
          <cell r="E537" t="str">
            <v xml:space="preserve"> BRKT G SENSOR</v>
          </cell>
          <cell r="F537" t="str">
            <v>ABS</v>
          </cell>
          <cell r="K537">
            <v>1</v>
          </cell>
          <cell r="M537">
            <v>1</v>
          </cell>
          <cell r="N537">
            <v>1</v>
          </cell>
          <cell r="O537">
            <v>1</v>
          </cell>
          <cell r="P537">
            <v>1</v>
          </cell>
          <cell r="Q537">
            <v>1</v>
          </cell>
          <cell r="W537">
            <v>1</v>
          </cell>
          <cell r="X537">
            <v>1</v>
          </cell>
          <cell r="AD537">
            <v>1</v>
          </cell>
          <cell r="AE537">
            <v>1</v>
          </cell>
          <cell r="AH537">
            <v>1</v>
          </cell>
          <cell r="AZ537" t="str">
            <v>B</v>
          </cell>
          <cell r="BA537" t="str">
            <v>진원</v>
          </cell>
          <cell r="BB537" t="str">
            <v>H50A11K</v>
          </cell>
          <cell r="BD537" t="str">
            <v>H988</v>
          </cell>
          <cell r="BI537">
            <v>684</v>
          </cell>
          <cell r="BJ537">
            <v>2</v>
          </cell>
          <cell r="BK537">
            <v>0</v>
          </cell>
          <cell r="BL537">
            <v>0</v>
          </cell>
        </row>
        <row r="538">
          <cell r="C538">
            <v>1036</v>
          </cell>
          <cell r="D538" t="str">
            <v>HQ505412</v>
          </cell>
          <cell r="E538" t="str">
            <v xml:space="preserve"> BRKT-A.B.S HU(A)</v>
          </cell>
          <cell r="F538" t="str">
            <v>ABS</v>
          </cell>
          <cell r="K538">
            <v>1</v>
          </cell>
          <cell r="M538">
            <v>1</v>
          </cell>
          <cell r="N538">
            <v>1</v>
          </cell>
          <cell r="O538">
            <v>1</v>
          </cell>
          <cell r="P538">
            <v>1</v>
          </cell>
          <cell r="Q538">
            <v>1</v>
          </cell>
          <cell r="W538">
            <v>1</v>
          </cell>
          <cell r="X538">
            <v>1</v>
          </cell>
          <cell r="AD538">
            <v>1</v>
          </cell>
          <cell r="AE538">
            <v>1</v>
          </cell>
          <cell r="AH538">
            <v>1</v>
          </cell>
          <cell r="AZ538" t="str">
            <v>B</v>
          </cell>
          <cell r="BA538" t="str">
            <v>진원</v>
          </cell>
          <cell r="BB538" t="str">
            <v>H50A14K</v>
          </cell>
          <cell r="BD538" t="str">
            <v>H988</v>
          </cell>
          <cell r="BI538">
            <v>684</v>
          </cell>
          <cell r="BJ538">
            <v>2</v>
          </cell>
          <cell r="BK538">
            <v>0</v>
          </cell>
          <cell r="BL538">
            <v>0</v>
          </cell>
        </row>
        <row r="539">
          <cell r="C539">
            <v>1036</v>
          </cell>
          <cell r="D539" t="str">
            <v>HQ505414</v>
          </cell>
          <cell r="E539" t="str">
            <v xml:space="preserve"> BRKT-A.B.S HU(B)</v>
          </cell>
          <cell r="F539" t="str">
            <v>ABS</v>
          </cell>
          <cell r="K539">
            <v>1</v>
          </cell>
          <cell r="M539">
            <v>1</v>
          </cell>
          <cell r="N539">
            <v>1</v>
          </cell>
          <cell r="O539">
            <v>1</v>
          </cell>
          <cell r="P539">
            <v>1</v>
          </cell>
          <cell r="Q539">
            <v>1</v>
          </cell>
          <cell r="W539">
            <v>1</v>
          </cell>
          <cell r="X539">
            <v>1</v>
          </cell>
          <cell r="AD539">
            <v>1</v>
          </cell>
          <cell r="AE539">
            <v>1</v>
          </cell>
          <cell r="AH539">
            <v>1</v>
          </cell>
          <cell r="AZ539" t="str">
            <v>B</v>
          </cell>
          <cell r="BA539" t="str">
            <v>진원</v>
          </cell>
          <cell r="BB539" t="str">
            <v>H50A14K</v>
          </cell>
          <cell r="BD539" t="str">
            <v>H988</v>
          </cell>
          <cell r="BI539">
            <v>684</v>
          </cell>
          <cell r="BJ539">
            <v>2</v>
          </cell>
          <cell r="BK539">
            <v>0</v>
          </cell>
          <cell r="BL539">
            <v>0</v>
          </cell>
        </row>
        <row r="540">
          <cell r="C540">
            <v>1036</v>
          </cell>
          <cell r="D540" t="str">
            <v>HQ505416</v>
          </cell>
          <cell r="E540" t="str">
            <v xml:space="preserve"> BRKT-A.B.S HU(C)</v>
          </cell>
          <cell r="F540" t="str">
            <v>ABS</v>
          </cell>
          <cell r="K540">
            <v>1</v>
          </cell>
          <cell r="M540">
            <v>1</v>
          </cell>
          <cell r="N540">
            <v>1</v>
          </cell>
          <cell r="O540">
            <v>1</v>
          </cell>
          <cell r="P540">
            <v>1</v>
          </cell>
          <cell r="Q540">
            <v>1</v>
          </cell>
          <cell r="W540">
            <v>1</v>
          </cell>
          <cell r="X540">
            <v>1</v>
          </cell>
          <cell r="AD540">
            <v>1</v>
          </cell>
          <cell r="AE540">
            <v>1</v>
          </cell>
          <cell r="AH540">
            <v>1</v>
          </cell>
          <cell r="AZ540" t="str">
            <v>B</v>
          </cell>
          <cell r="BA540" t="str">
            <v>진원</v>
          </cell>
          <cell r="BB540" t="str">
            <v>H50A14K</v>
          </cell>
          <cell r="BD540" t="str">
            <v>H988</v>
          </cell>
          <cell r="BI540">
            <v>684</v>
          </cell>
          <cell r="BJ540">
            <v>2</v>
          </cell>
          <cell r="BK540">
            <v>0</v>
          </cell>
          <cell r="BL540">
            <v>0</v>
          </cell>
        </row>
        <row r="541">
          <cell r="C541">
            <v>130</v>
          </cell>
          <cell r="D541" t="str">
            <v>HQ505418</v>
          </cell>
          <cell r="E541" t="str">
            <v xml:space="preserve"> BRKT CANISTER MT'G</v>
          </cell>
          <cell r="W541">
            <v>1</v>
          </cell>
          <cell r="X541">
            <v>1</v>
          </cell>
          <cell r="AE541">
            <v>1</v>
          </cell>
          <cell r="AH541">
            <v>1</v>
          </cell>
          <cell r="AI541">
            <v>1</v>
          </cell>
          <cell r="AN541">
            <v>1</v>
          </cell>
          <cell r="AP541">
            <v>1</v>
          </cell>
          <cell r="AR541">
            <v>1</v>
          </cell>
          <cell r="AT541">
            <v>1</v>
          </cell>
          <cell r="AW541">
            <v>1</v>
          </cell>
          <cell r="AY541">
            <v>1</v>
          </cell>
          <cell r="AZ541" t="str">
            <v>B</v>
          </cell>
          <cell r="BA541" t="str">
            <v>진원</v>
          </cell>
          <cell r="BB541" t="str">
            <v>H50A14K</v>
          </cell>
          <cell r="BC541" t="str">
            <v>XB275898A</v>
          </cell>
          <cell r="BD541" t="str">
            <v>H988</v>
          </cell>
          <cell r="BI541">
            <v>0</v>
          </cell>
          <cell r="BJ541">
            <v>2</v>
          </cell>
          <cell r="BK541">
            <v>60</v>
          </cell>
          <cell r="BL541">
            <v>46</v>
          </cell>
        </row>
        <row r="542">
          <cell r="C542">
            <v>2584</v>
          </cell>
          <cell r="D542" t="str">
            <v>HQ505422A</v>
          </cell>
          <cell r="E542" t="str">
            <v xml:space="preserve"> BRKT FUSIBLE LINK BOX(A)</v>
          </cell>
          <cell r="G542">
            <v>1</v>
          </cell>
          <cell r="AZ542" t="str">
            <v>B</v>
          </cell>
          <cell r="BA542" t="str">
            <v>진원</v>
          </cell>
          <cell r="BB542" t="str">
            <v>H50A14K</v>
          </cell>
          <cell r="BC542" t="str">
            <v>HC000027</v>
          </cell>
          <cell r="BD542" t="str">
            <v>H988</v>
          </cell>
          <cell r="BI542">
            <v>0</v>
          </cell>
          <cell r="BJ542">
            <v>0</v>
          </cell>
          <cell r="BK542">
            <v>0</v>
          </cell>
          <cell r="BL542">
            <v>0</v>
          </cell>
        </row>
        <row r="543">
          <cell r="C543">
            <v>2453</v>
          </cell>
          <cell r="D543" t="str">
            <v>HQ505424</v>
          </cell>
          <cell r="E543" t="str">
            <v xml:space="preserve"> BRKT FUSIBLE LINK BOX(B)</v>
          </cell>
          <cell r="F543" t="str">
            <v>-271A</v>
          </cell>
          <cell r="H543">
            <v>1</v>
          </cell>
          <cell r="I543">
            <v>1</v>
          </cell>
          <cell r="J543">
            <v>1</v>
          </cell>
          <cell r="K543">
            <v>1</v>
          </cell>
          <cell r="L543">
            <v>1</v>
          </cell>
          <cell r="M543">
            <v>1</v>
          </cell>
          <cell r="N543">
            <v>1</v>
          </cell>
          <cell r="O543">
            <v>1</v>
          </cell>
          <cell r="P543">
            <v>1</v>
          </cell>
          <cell r="Q543">
            <v>1</v>
          </cell>
          <cell r="R543">
            <v>1</v>
          </cell>
          <cell r="S543">
            <v>1</v>
          </cell>
          <cell r="T543">
            <v>1</v>
          </cell>
          <cell r="U543">
            <v>1</v>
          </cell>
          <cell r="V543">
            <v>1</v>
          </cell>
          <cell r="Y543">
            <v>1</v>
          </cell>
          <cell r="Z543">
            <v>1</v>
          </cell>
          <cell r="AA543">
            <v>1</v>
          </cell>
          <cell r="AB543">
            <v>1</v>
          </cell>
          <cell r="AC543">
            <v>1</v>
          </cell>
          <cell r="AD543">
            <v>1</v>
          </cell>
          <cell r="AF543">
            <v>1</v>
          </cell>
          <cell r="AG543">
            <v>1</v>
          </cell>
          <cell r="AJ543">
            <v>1</v>
          </cell>
          <cell r="AL543">
            <v>1</v>
          </cell>
          <cell r="AM543">
            <v>1</v>
          </cell>
          <cell r="AO543">
            <v>1</v>
          </cell>
          <cell r="AQ543">
            <v>1</v>
          </cell>
          <cell r="AS543">
            <v>1</v>
          </cell>
          <cell r="AU543">
            <v>1</v>
          </cell>
          <cell r="AV543">
            <v>1</v>
          </cell>
          <cell r="AZ543" t="str">
            <v>B</v>
          </cell>
          <cell r="BA543" t="str">
            <v>진원</v>
          </cell>
          <cell r="BB543" t="str">
            <v>H50A14K</v>
          </cell>
          <cell r="BD543" t="str">
            <v>H988</v>
          </cell>
          <cell r="BI543">
            <v>937</v>
          </cell>
          <cell r="BJ543">
            <v>995</v>
          </cell>
          <cell r="BK543">
            <v>57</v>
          </cell>
          <cell r="BL543">
            <v>56</v>
          </cell>
        </row>
        <row r="544">
          <cell r="C544">
            <v>130</v>
          </cell>
          <cell r="D544" t="str">
            <v>HQ505426</v>
          </cell>
          <cell r="E544" t="str">
            <v xml:space="preserve"> BRKT POWER STR'G OIL RSVR</v>
          </cell>
          <cell r="W544">
            <v>1</v>
          </cell>
          <cell r="X544">
            <v>1</v>
          </cell>
          <cell r="AE544">
            <v>1</v>
          </cell>
          <cell r="AH544">
            <v>1</v>
          </cell>
          <cell r="AI544">
            <v>1</v>
          </cell>
          <cell r="AN544">
            <v>1</v>
          </cell>
          <cell r="AP544">
            <v>1</v>
          </cell>
          <cell r="AR544">
            <v>1</v>
          </cell>
          <cell r="AT544">
            <v>1</v>
          </cell>
          <cell r="AW544">
            <v>1</v>
          </cell>
          <cell r="AY544">
            <v>1</v>
          </cell>
          <cell r="AZ544" t="str">
            <v>B</v>
          </cell>
          <cell r="BA544" t="str">
            <v>진원</v>
          </cell>
          <cell r="BB544" t="str">
            <v>H50A14K</v>
          </cell>
          <cell r="BD544" t="str">
            <v>H988</v>
          </cell>
          <cell r="BI544">
            <v>0</v>
          </cell>
          <cell r="BJ544">
            <v>2</v>
          </cell>
          <cell r="BK544">
            <v>60</v>
          </cell>
          <cell r="BL544">
            <v>46</v>
          </cell>
        </row>
        <row r="545">
          <cell r="C545">
            <v>1294</v>
          </cell>
          <cell r="D545" t="str">
            <v>HQ505428</v>
          </cell>
          <cell r="E545" t="str">
            <v xml:space="preserve"> BRKT CONNECTOR</v>
          </cell>
          <cell r="F545" t="str">
            <v>+581A</v>
          </cell>
          <cell r="K545">
            <v>1</v>
          </cell>
          <cell r="M545">
            <v>1</v>
          </cell>
          <cell r="N545">
            <v>1</v>
          </cell>
          <cell r="O545">
            <v>1</v>
          </cell>
          <cell r="P545">
            <v>1</v>
          </cell>
          <cell r="Q545">
            <v>1</v>
          </cell>
          <cell r="T545">
            <v>1</v>
          </cell>
          <cell r="W545">
            <v>1</v>
          </cell>
          <cell r="X545">
            <v>1</v>
          </cell>
          <cell r="AD545">
            <v>1</v>
          </cell>
          <cell r="AE545">
            <v>1</v>
          </cell>
          <cell r="AH545">
            <v>1</v>
          </cell>
          <cell r="AZ545" t="str">
            <v>B</v>
          </cell>
          <cell r="BA545" t="str">
            <v>진원</v>
          </cell>
          <cell r="BB545" t="str">
            <v>H50A14K</v>
          </cell>
          <cell r="BD545" t="str">
            <v>H988</v>
          </cell>
          <cell r="BI545">
            <v>684</v>
          </cell>
          <cell r="BJ545">
            <v>237</v>
          </cell>
          <cell r="BK545">
            <v>0</v>
          </cell>
          <cell r="BL545">
            <v>0</v>
          </cell>
        </row>
        <row r="546">
          <cell r="C546">
            <v>2583</v>
          </cell>
          <cell r="D546" t="str">
            <v>HQ505515</v>
          </cell>
          <cell r="E546" t="str">
            <v xml:space="preserve"> BRKT OIL COOLER</v>
          </cell>
          <cell r="F546" t="str">
            <v>2.6제외</v>
          </cell>
          <cell r="H546">
            <v>1</v>
          </cell>
          <cell r="I546">
            <v>1</v>
          </cell>
          <cell r="J546">
            <v>1</v>
          </cell>
          <cell r="K546">
            <v>1</v>
          </cell>
          <cell r="L546">
            <v>1</v>
          </cell>
          <cell r="M546">
            <v>1</v>
          </cell>
          <cell r="N546">
            <v>1</v>
          </cell>
          <cell r="O546">
            <v>1</v>
          </cell>
          <cell r="P546">
            <v>1</v>
          </cell>
          <cell r="Q546">
            <v>1</v>
          </cell>
          <cell r="R546">
            <v>1</v>
          </cell>
          <cell r="S546">
            <v>1</v>
          </cell>
          <cell r="T546">
            <v>1</v>
          </cell>
          <cell r="U546">
            <v>1</v>
          </cell>
          <cell r="V546">
            <v>1</v>
          </cell>
          <cell r="W546">
            <v>1</v>
          </cell>
          <cell r="X546">
            <v>1</v>
          </cell>
          <cell r="Y546">
            <v>1</v>
          </cell>
          <cell r="Z546">
            <v>1</v>
          </cell>
          <cell r="AA546">
            <v>1</v>
          </cell>
          <cell r="AB546">
            <v>1</v>
          </cell>
          <cell r="AC546">
            <v>1</v>
          </cell>
          <cell r="AD546">
            <v>1</v>
          </cell>
          <cell r="AE546">
            <v>1</v>
          </cell>
          <cell r="AF546">
            <v>1</v>
          </cell>
          <cell r="AG546">
            <v>1</v>
          </cell>
          <cell r="AH546">
            <v>1</v>
          </cell>
          <cell r="AI546">
            <v>1</v>
          </cell>
          <cell r="AJ546">
            <v>1</v>
          </cell>
          <cell r="AL546">
            <v>1</v>
          </cell>
          <cell r="AM546">
            <v>1</v>
          </cell>
          <cell r="AN546">
            <v>1</v>
          </cell>
          <cell r="AO546">
            <v>1</v>
          </cell>
          <cell r="AP546">
            <v>1</v>
          </cell>
          <cell r="AQ546">
            <v>1</v>
          </cell>
          <cell r="AR546">
            <v>1</v>
          </cell>
          <cell r="AS546">
            <v>1</v>
          </cell>
          <cell r="AT546">
            <v>1</v>
          </cell>
          <cell r="AU546">
            <v>1</v>
          </cell>
          <cell r="AV546">
            <v>1</v>
          </cell>
          <cell r="AW546">
            <v>1</v>
          </cell>
          <cell r="AY546">
            <v>1</v>
          </cell>
          <cell r="AZ546" t="str">
            <v>B</v>
          </cell>
          <cell r="BA546" t="str">
            <v>진원</v>
          </cell>
          <cell r="BB546" t="str">
            <v>H50A15K</v>
          </cell>
          <cell r="BC546" t="str">
            <v>MB351507A</v>
          </cell>
          <cell r="BD546" t="str">
            <v>H988</v>
          </cell>
          <cell r="BI546">
            <v>937</v>
          </cell>
          <cell r="BJ546">
            <v>997</v>
          </cell>
          <cell r="BK546">
            <v>117</v>
          </cell>
          <cell r="BL546">
            <v>102</v>
          </cell>
        </row>
        <row r="547">
          <cell r="C547">
            <v>2584</v>
          </cell>
          <cell r="D547" t="str">
            <v>HQ505813</v>
          </cell>
          <cell r="E547" t="str">
            <v xml:space="preserve"> BRKT RELAY MT'G</v>
          </cell>
          <cell r="G547">
            <v>1</v>
          </cell>
          <cell r="AZ547" t="str">
            <v>B</v>
          </cell>
          <cell r="BA547" t="str">
            <v>진원</v>
          </cell>
          <cell r="BB547" t="str">
            <v>H50A18K</v>
          </cell>
          <cell r="BD547" t="str">
            <v>H988</v>
          </cell>
          <cell r="BI547">
            <v>0</v>
          </cell>
          <cell r="BJ547">
            <v>0</v>
          </cell>
          <cell r="BK547">
            <v>0</v>
          </cell>
          <cell r="BL547">
            <v>0</v>
          </cell>
        </row>
        <row r="548">
          <cell r="C548">
            <v>2025</v>
          </cell>
          <cell r="D548" t="str">
            <v>HQ614312</v>
          </cell>
          <cell r="E548" t="str">
            <v xml:space="preserve"> BRKT FLR CONSOLE</v>
          </cell>
          <cell r="J548">
            <v>1</v>
          </cell>
          <cell r="K548">
            <v>1</v>
          </cell>
          <cell r="L548">
            <v>1</v>
          </cell>
          <cell r="M548">
            <v>1</v>
          </cell>
          <cell r="N548">
            <v>1</v>
          </cell>
          <cell r="O548">
            <v>1</v>
          </cell>
          <cell r="P548">
            <v>1</v>
          </cell>
          <cell r="Q548">
            <v>1</v>
          </cell>
          <cell r="S548">
            <v>1</v>
          </cell>
          <cell r="T548">
            <v>1</v>
          </cell>
          <cell r="U548">
            <v>1</v>
          </cell>
          <cell r="V548">
            <v>1</v>
          </cell>
          <cell r="W548">
            <v>1</v>
          </cell>
          <cell r="X548">
            <v>1</v>
          </cell>
          <cell r="Y548">
            <v>1</v>
          </cell>
          <cell r="Z548">
            <v>1</v>
          </cell>
          <cell r="AA548">
            <v>1</v>
          </cell>
          <cell r="AC548">
            <v>1</v>
          </cell>
          <cell r="AD548">
            <v>1</v>
          </cell>
          <cell r="AE548">
            <v>1</v>
          </cell>
          <cell r="AH548">
            <v>1</v>
          </cell>
          <cell r="AI548">
            <v>1</v>
          </cell>
          <cell r="AJ548">
            <v>1</v>
          </cell>
          <cell r="AK548">
            <v>1</v>
          </cell>
          <cell r="AL548">
            <v>1</v>
          </cell>
          <cell r="AM548">
            <v>1</v>
          </cell>
          <cell r="AN548">
            <v>1</v>
          </cell>
          <cell r="AO548">
            <v>1</v>
          </cell>
          <cell r="AP548">
            <v>1</v>
          </cell>
          <cell r="AQ548">
            <v>1</v>
          </cell>
          <cell r="AR548">
            <v>1</v>
          </cell>
          <cell r="AS548">
            <v>1</v>
          </cell>
          <cell r="AT548">
            <v>1</v>
          </cell>
          <cell r="AU548">
            <v>1</v>
          </cell>
          <cell r="AV548">
            <v>1</v>
          </cell>
          <cell r="AW548">
            <v>1</v>
          </cell>
          <cell r="AX548">
            <v>1</v>
          </cell>
          <cell r="AY548">
            <v>1</v>
          </cell>
          <cell r="AZ548" t="str">
            <v>T</v>
          </cell>
          <cell r="BA548" t="str">
            <v>진원</v>
          </cell>
          <cell r="BB548" t="str">
            <v>H61D12K</v>
          </cell>
          <cell r="BD548" t="str">
            <v>H988</v>
          </cell>
          <cell r="BI548" t="e">
            <v>#REF!</v>
          </cell>
          <cell r="BJ548" t="e">
            <v>#REF!</v>
          </cell>
          <cell r="BK548" t="e">
            <v>#REF!</v>
          </cell>
          <cell r="BL548" t="e">
            <v>#REF!</v>
          </cell>
        </row>
        <row r="549">
          <cell r="C549">
            <v>1887</v>
          </cell>
          <cell r="D549" t="str">
            <v>MB227221A</v>
          </cell>
          <cell r="E549" t="str">
            <v xml:space="preserve"> HINGE,DR LWR LH</v>
          </cell>
          <cell r="I549">
            <v>1</v>
          </cell>
          <cell r="J549">
            <v>1</v>
          </cell>
          <cell r="K549">
            <v>1</v>
          </cell>
          <cell r="O549">
            <v>1</v>
          </cell>
          <cell r="Q549">
            <v>1</v>
          </cell>
          <cell r="S549">
            <v>1</v>
          </cell>
          <cell r="T549">
            <v>1</v>
          </cell>
          <cell r="V549">
            <v>1</v>
          </cell>
          <cell r="X549">
            <v>1</v>
          </cell>
          <cell r="Y549">
            <v>1</v>
          </cell>
          <cell r="Z549">
            <v>1</v>
          </cell>
          <cell r="AA549">
            <v>1</v>
          </cell>
          <cell r="AE549">
            <v>1</v>
          </cell>
          <cell r="AG549">
            <v>1</v>
          </cell>
          <cell r="AI549">
            <v>1</v>
          </cell>
          <cell r="AJ549">
            <v>1</v>
          </cell>
          <cell r="AK549">
            <v>1</v>
          </cell>
          <cell r="AN549">
            <v>1</v>
          </cell>
          <cell r="AQ549">
            <v>1</v>
          </cell>
          <cell r="AS549">
            <v>1</v>
          </cell>
          <cell r="AT549">
            <v>1</v>
          </cell>
          <cell r="AU549">
            <v>1</v>
          </cell>
          <cell r="AV549">
            <v>1</v>
          </cell>
          <cell r="AX549">
            <v>1</v>
          </cell>
          <cell r="AY549">
            <v>1</v>
          </cell>
          <cell r="AZ549" t="str">
            <v>B</v>
          </cell>
          <cell r="BA549" t="str">
            <v>평화정공</v>
          </cell>
          <cell r="BB549" t="str">
            <v>H50B32K</v>
          </cell>
          <cell r="BD549" t="str">
            <v>L741</v>
          </cell>
          <cell r="BI549">
            <v>888</v>
          </cell>
          <cell r="BJ549">
            <v>458</v>
          </cell>
          <cell r="BK549">
            <v>97</v>
          </cell>
          <cell r="BL549">
            <v>88</v>
          </cell>
        </row>
        <row r="550">
          <cell r="C550">
            <v>2584</v>
          </cell>
          <cell r="D550" t="str">
            <v>MB227221A</v>
          </cell>
          <cell r="E550" t="str">
            <v xml:space="preserve"> HINGE,DR LWR LH</v>
          </cell>
          <cell r="G550">
            <v>1</v>
          </cell>
          <cell r="AZ550" t="str">
            <v>B</v>
          </cell>
          <cell r="BA550" t="str">
            <v>평화정공</v>
          </cell>
          <cell r="BB550" t="str">
            <v>H50B31K</v>
          </cell>
          <cell r="BD550" t="str">
            <v>L741</v>
          </cell>
          <cell r="BE550" t="str">
            <v>ALL</v>
          </cell>
          <cell r="BI550">
            <v>0</v>
          </cell>
          <cell r="BJ550">
            <v>0</v>
          </cell>
          <cell r="BK550">
            <v>0</v>
          </cell>
          <cell r="BL550">
            <v>0</v>
          </cell>
        </row>
        <row r="551">
          <cell r="C551">
            <v>1887</v>
          </cell>
          <cell r="D551" t="str">
            <v>MB227222A</v>
          </cell>
          <cell r="E551" t="str">
            <v xml:space="preserve"> HINGE,DR LWR RH</v>
          </cell>
          <cell r="I551">
            <v>1</v>
          </cell>
          <cell r="J551">
            <v>1</v>
          </cell>
          <cell r="K551">
            <v>1</v>
          </cell>
          <cell r="O551">
            <v>1</v>
          </cell>
          <cell r="Q551">
            <v>1</v>
          </cell>
          <cell r="S551">
            <v>1</v>
          </cell>
          <cell r="T551">
            <v>1</v>
          </cell>
          <cell r="V551">
            <v>1</v>
          </cell>
          <cell r="X551">
            <v>1</v>
          </cell>
          <cell r="Y551">
            <v>1</v>
          </cell>
          <cell r="Z551">
            <v>1</v>
          </cell>
          <cell r="AA551">
            <v>1</v>
          </cell>
          <cell r="AE551">
            <v>1</v>
          </cell>
          <cell r="AG551">
            <v>1</v>
          </cell>
          <cell r="AI551">
            <v>1</v>
          </cell>
          <cell r="AJ551">
            <v>1</v>
          </cell>
          <cell r="AK551">
            <v>1</v>
          </cell>
          <cell r="AN551">
            <v>1</v>
          </cell>
          <cell r="AQ551">
            <v>1</v>
          </cell>
          <cell r="AS551">
            <v>1</v>
          </cell>
          <cell r="AT551">
            <v>1</v>
          </cell>
          <cell r="AU551">
            <v>1</v>
          </cell>
          <cell r="AV551">
            <v>1</v>
          </cell>
          <cell r="AX551">
            <v>1</v>
          </cell>
          <cell r="AY551">
            <v>1</v>
          </cell>
          <cell r="AZ551" t="str">
            <v>B</v>
          </cell>
          <cell r="BA551" t="str">
            <v>평화정공</v>
          </cell>
          <cell r="BB551" t="str">
            <v>H50B32K</v>
          </cell>
          <cell r="BD551" t="str">
            <v>L741</v>
          </cell>
          <cell r="BI551">
            <v>888</v>
          </cell>
          <cell r="BJ551">
            <v>458</v>
          </cell>
          <cell r="BK551">
            <v>97</v>
          </cell>
          <cell r="BL551">
            <v>88</v>
          </cell>
        </row>
        <row r="552">
          <cell r="C552">
            <v>2584</v>
          </cell>
          <cell r="D552" t="str">
            <v>MB227222A</v>
          </cell>
          <cell r="E552" t="str">
            <v xml:space="preserve"> HINGE,DR LWR RH</v>
          </cell>
          <cell r="G552">
            <v>1</v>
          </cell>
          <cell r="AZ552" t="str">
            <v>B</v>
          </cell>
          <cell r="BA552" t="str">
            <v>평화정공</v>
          </cell>
          <cell r="BB552" t="str">
            <v>H50B31K</v>
          </cell>
          <cell r="BD552" t="str">
            <v>L741</v>
          </cell>
          <cell r="BE552" t="str">
            <v>ALL</v>
          </cell>
          <cell r="BI552">
            <v>0</v>
          </cell>
          <cell r="BJ552">
            <v>0</v>
          </cell>
          <cell r="BK552">
            <v>0</v>
          </cell>
          <cell r="BL552">
            <v>0</v>
          </cell>
        </row>
        <row r="553">
          <cell r="C553">
            <v>1887</v>
          </cell>
          <cell r="D553" t="str">
            <v>MB227223A</v>
          </cell>
          <cell r="E553" t="str">
            <v xml:space="preserve"> HINGE,DR UPR LH</v>
          </cell>
          <cell r="I553">
            <v>1</v>
          </cell>
          <cell r="J553">
            <v>1</v>
          </cell>
          <cell r="K553">
            <v>1</v>
          </cell>
          <cell r="O553">
            <v>1</v>
          </cell>
          <cell r="Q553">
            <v>1</v>
          </cell>
          <cell r="S553">
            <v>1</v>
          </cell>
          <cell r="T553">
            <v>1</v>
          </cell>
          <cell r="V553">
            <v>1</v>
          </cell>
          <cell r="X553">
            <v>1</v>
          </cell>
          <cell r="Y553">
            <v>1</v>
          </cell>
          <cell r="Z553">
            <v>1</v>
          </cell>
          <cell r="AA553">
            <v>1</v>
          </cell>
          <cell r="AE553">
            <v>1</v>
          </cell>
          <cell r="AG553">
            <v>1</v>
          </cell>
          <cell r="AI553">
            <v>1</v>
          </cell>
          <cell r="AJ553">
            <v>1</v>
          </cell>
          <cell r="AK553">
            <v>1</v>
          </cell>
          <cell r="AN553">
            <v>1</v>
          </cell>
          <cell r="AQ553">
            <v>1</v>
          </cell>
          <cell r="AS553">
            <v>1</v>
          </cell>
          <cell r="AT553">
            <v>1</v>
          </cell>
          <cell r="AU553">
            <v>1</v>
          </cell>
          <cell r="AV553">
            <v>1</v>
          </cell>
          <cell r="AX553">
            <v>1</v>
          </cell>
          <cell r="AY553">
            <v>1</v>
          </cell>
          <cell r="AZ553" t="str">
            <v>B</v>
          </cell>
          <cell r="BA553" t="str">
            <v>평화정공</v>
          </cell>
          <cell r="BB553" t="str">
            <v>H50B32K</v>
          </cell>
          <cell r="BD553" t="str">
            <v>L741</v>
          </cell>
          <cell r="BI553">
            <v>888</v>
          </cell>
          <cell r="BJ553">
            <v>458</v>
          </cell>
          <cell r="BK553">
            <v>97</v>
          </cell>
          <cell r="BL553">
            <v>88</v>
          </cell>
        </row>
        <row r="554">
          <cell r="C554">
            <v>2584</v>
          </cell>
          <cell r="D554" t="str">
            <v>MB227223A</v>
          </cell>
          <cell r="E554" t="str">
            <v xml:space="preserve"> HINGE,DR UPR LH</v>
          </cell>
          <cell r="G554">
            <v>1</v>
          </cell>
          <cell r="AZ554" t="str">
            <v>B</v>
          </cell>
          <cell r="BA554" t="str">
            <v>평화정공</v>
          </cell>
          <cell r="BB554" t="str">
            <v>H50B31K</v>
          </cell>
          <cell r="BD554" t="str">
            <v>L741</v>
          </cell>
          <cell r="BE554" t="str">
            <v>ALL</v>
          </cell>
          <cell r="BI554">
            <v>0</v>
          </cell>
          <cell r="BJ554">
            <v>0</v>
          </cell>
          <cell r="BK554">
            <v>0</v>
          </cell>
          <cell r="BL554">
            <v>0</v>
          </cell>
        </row>
        <row r="555">
          <cell r="C555">
            <v>1887</v>
          </cell>
          <cell r="D555" t="str">
            <v>MB227224A</v>
          </cell>
          <cell r="E555" t="str">
            <v xml:space="preserve"> HINGE,DR UPR RH</v>
          </cell>
          <cell r="I555">
            <v>1</v>
          </cell>
          <cell r="J555">
            <v>1</v>
          </cell>
          <cell r="K555">
            <v>1</v>
          </cell>
          <cell r="O555">
            <v>1</v>
          </cell>
          <cell r="Q555">
            <v>1</v>
          </cell>
          <cell r="S555">
            <v>1</v>
          </cell>
          <cell r="T555">
            <v>1</v>
          </cell>
          <cell r="V555">
            <v>1</v>
          </cell>
          <cell r="X555">
            <v>1</v>
          </cell>
          <cell r="Y555">
            <v>1</v>
          </cell>
          <cell r="Z555">
            <v>1</v>
          </cell>
          <cell r="AA555">
            <v>1</v>
          </cell>
          <cell r="AE555">
            <v>1</v>
          </cell>
          <cell r="AG555">
            <v>1</v>
          </cell>
          <cell r="AI555">
            <v>1</v>
          </cell>
          <cell r="AJ555">
            <v>1</v>
          </cell>
          <cell r="AK555">
            <v>1</v>
          </cell>
          <cell r="AN555">
            <v>1</v>
          </cell>
          <cell r="AQ555">
            <v>1</v>
          </cell>
          <cell r="AS555">
            <v>1</v>
          </cell>
          <cell r="AT555">
            <v>1</v>
          </cell>
          <cell r="AU555">
            <v>1</v>
          </cell>
          <cell r="AV555">
            <v>1</v>
          </cell>
          <cell r="AX555">
            <v>1</v>
          </cell>
          <cell r="AY555">
            <v>1</v>
          </cell>
          <cell r="AZ555" t="str">
            <v>B</v>
          </cell>
          <cell r="BA555" t="str">
            <v>평화정공</v>
          </cell>
          <cell r="BB555" t="str">
            <v>H50B32K</v>
          </cell>
          <cell r="BD555" t="str">
            <v>L741</v>
          </cell>
          <cell r="BI555">
            <v>888</v>
          </cell>
          <cell r="BJ555">
            <v>458</v>
          </cell>
          <cell r="BK555">
            <v>97</v>
          </cell>
          <cell r="BL555">
            <v>88</v>
          </cell>
        </row>
        <row r="556">
          <cell r="C556">
            <v>2584</v>
          </cell>
          <cell r="D556" t="str">
            <v>MB227224A</v>
          </cell>
          <cell r="E556" t="str">
            <v xml:space="preserve"> HINGE,DR UPR RH</v>
          </cell>
          <cell r="G556">
            <v>1</v>
          </cell>
          <cell r="AZ556" t="str">
            <v>B</v>
          </cell>
          <cell r="BA556" t="str">
            <v>평화정공</v>
          </cell>
          <cell r="BB556" t="str">
            <v>H50B31K</v>
          </cell>
          <cell r="BD556" t="str">
            <v>L741</v>
          </cell>
          <cell r="BE556" t="str">
            <v>ALL</v>
          </cell>
          <cell r="BI556">
            <v>0</v>
          </cell>
          <cell r="BJ556">
            <v>0</v>
          </cell>
          <cell r="BK556">
            <v>0</v>
          </cell>
          <cell r="BL556">
            <v>0</v>
          </cell>
        </row>
        <row r="557">
          <cell r="C557">
            <v>3774</v>
          </cell>
          <cell r="D557" t="str">
            <v>MB134167A</v>
          </cell>
          <cell r="E557" t="str">
            <v xml:space="preserve"> REINF CHECK</v>
          </cell>
          <cell r="I557">
            <v>2</v>
          </cell>
          <cell r="J557">
            <v>2</v>
          </cell>
          <cell r="K557">
            <v>2</v>
          </cell>
          <cell r="O557">
            <v>2</v>
          </cell>
          <cell r="Q557">
            <v>2</v>
          </cell>
          <cell r="S557">
            <v>2</v>
          </cell>
          <cell r="T557">
            <v>2</v>
          </cell>
          <cell r="V557">
            <v>2</v>
          </cell>
          <cell r="X557">
            <v>2</v>
          </cell>
          <cell r="Y557">
            <v>2</v>
          </cell>
          <cell r="Z557">
            <v>2</v>
          </cell>
          <cell r="AA557">
            <v>2</v>
          </cell>
          <cell r="AE557">
            <v>2</v>
          </cell>
          <cell r="AG557">
            <v>2</v>
          </cell>
          <cell r="AI557">
            <v>2</v>
          </cell>
          <cell r="AJ557">
            <v>2</v>
          </cell>
          <cell r="AK557">
            <v>2</v>
          </cell>
          <cell r="AN557">
            <v>2</v>
          </cell>
          <cell r="AQ557">
            <v>2</v>
          </cell>
          <cell r="AS557">
            <v>2</v>
          </cell>
          <cell r="AT557">
            <v>2</v>
          </cell>
          <cell r="AU557">
            <v>2</v>
          </cell>
          <cell r="AV557">
            <v>2</v>
          </cell>
          <cell r="AX557">
            <v>2</v>
          </cell>
          <cell r="AY557">
            <v>2</v>
          </cell>
          <cell r="AZ557" t="str">
            <v>B</v>
          </cell>
          <cell r="BA557" t="str">
            <v>한국블록</v>
          </cell>
          <cell r="BB557" t="str">
            <v>H50A17K</v>
          </cell>
          <cell r="BD557" t="str">
            <v>A348</v>
          </cell>
          <cell r="BI557">
            <v>1776</v>
          </cell>
          <cell r="BJ557">
            <v>916</v>
          </cell>
          <cell r="BK557">
            <v>194</v>
          </cell>
          <cell r="BL557">
            <v>176</v>
          </cell>
        </row>
        <row r="558">
          <cell r="C558">
            <v>5168</v>
          </cell>
          <cell r="D558" t="str">
            <v>MB134167A</v>
          </cell>
          <cell r="E558" t="str">
            <v xml:space="preserve"> REINF CHECK</v>
          </cell>
          <cell r="G558">
            <v>2</v>
          </cell>
          <cell r="AZ558" t="str">
            <v>B</v>
          </cell>
          <cell r="BA558" t="str">
            <v>한국블록</v>
          </cell>
          <cell r="BB558" t="str">
            <v>H50A16K</v>
          </cell>
          <cell r="BD558" t="str">
            <v>A348</v>
          </cell>
          <cell r="BI558">
            <v>0</v>
          </cell>
          <cell r="BJ558">
            <v>0</v>
          </cell>
          <cell r="BK558">
            <v>0</v>
          </cell>
          <cell r="BL558">
            <v>0</v>
          </cell>
        </row>
        <row r="559">
          <cell r="C559">
            <v>2584</v>
          </cell>
          <cell r="D559" t="str">
            <v>MB274032A</v>
          </cell>
          <cell r="E559" t="str">
            <v xml:space="preserve"> REINF CHECK</v>
          </cell>
          <cell r="G559">
            <v>1</v>
          </cell>
          <cell r="AZ559" t="str">
            <v>B</v>
          </cell>
          <cell r="BA559" t="str">
            <v>한국블록</v>
          </cell>
          <cell r="BD559" t="str">
            <v>A348</v>
          </cell>
          <cell r="BI559">
            <v>0</v>
          </cell>
          <cell r="BJ559">
            <v>0</v>
          </cell>
          <cell r="BK559">
            <v>0</v>
          </cell>
          <cell r="BL559">
            <v>0</v>
          </cell>
        </row>
        <row r="560">
          <cell r="C560">
            <v>5168</v>
          </cell>
          <cell r="D560" t="str">
            <v>HG020001</v>
          </cell>
          <cell r="E560" t="str">
            <v xml:space="preserve"> CHECKER ASSY-FRT DR</v>
          </cell>
          <cell r="I560">
            <v>2</v>
          </cell>
          <cell r="J560">
            <v>2</v>
          </cell>
          <cell r="K560">
            <v>2</v>
          </cell>
          <cell r="M560">
            <v>2</v>
          </cell>
          <cell r="N560">
            <v>2</v>
          </cell>
          <cell r="O560">
            <v>2</v>
          </cell>
          <cell r="P560">
            <v>2</v>
          </cell>
          <cell r="Q560">
            <v>2</v>
          </cell>
          <cell r="R560">
            <v>2</v>
          </cell>
          <cell r="S560">
            <v>2</v>
          </cell>
          <cell r="T560">
            <v>2</v>
          </cell>
          <cell r="W560">
            <v>2</v>
          </cell>
          <cell r="X560">
            <v>2</v>
          </cell>
          <cell r="AC560">
            <v>2</v>
          </cell>
          <cell r="AD560">
            <v>2</v>
          </cell>
          <cell r="AE560">
            <v>2</v>
          </cell>
          <cell r="AH560">
            <v>2</v>
          </cell>
          <cell r="AI560">
            <v>2</v>
          </cell>
          <cell r="AJ560">
            <v>2</v>
          </cell>
          <cell r="AK560">
            <v>2</v>
          </cell>
          <cell r="AL560">
            <v>2</v>
          </cell>
          <cell r="AM560">
            <v>2</v>
          </cell>
          <cell r="AN560">
            <v>2</v>
          </cell>
          <cell r="AO560">
            <v>2</v>
          </cell>
          <cell r="AQ560">
            <v>2</v>
          </cell>
          <cell r="AR560">
            <v>2</v>
          </cell>
          <cell r="AS560">
            <v>2</v>
          </cell>
          <cell r="AU560">
            <v>2</v>
          </cell>
          <cell r="AW560">
            <v>2</v>
          </cell>
          <cell r="AX560">
            <v>2</v>
          </cell>
          <cell r="AY560">
            <v>2</v>
          </cell>
          <cell r="AZ560" t="str">
            <v>T</v>
          </cell>
          <cell r="BA560" t="str">
            <v>한국B/S</v>
          </cell>
        </row>
        <row r="561">
          <cell r="C561">
            <v>3784</v>
          </cell>
          <cell r="D561" t="str">
            <v>HG220001</v>
          </cell>
          <cell r="E561" t="str">
            <v xml:space="preserve"> CHECKER ASSY-RR DR</v>
          </cell>
          <cell r="I561">
            <v>2</v>
          </cell>
          <cell r="J561">
            <v>2</v>
          </cell>
          <cell r="K561">
            <v>2</v>
          </cell>
          <cell r="O561">
            <v>2</v>
          </cell>
          <cell r="Q561">
            <v>2</v>
          </cell>
          <cell r="S561">
            <v>2</v>
          </cell>
          <cell r="T561">
            <v>2</v>
          </cell>
          <cell r="X561">
            <v>2</v>
          </cell>
          <cell r="AE561">
            <v>2</v>
          </cell>
          <cell r="AI561">
            <v>2</v>
          </cell>
          <cell r="AJ561">
            <v>2</v>
          </cell>
          <cell r="AK561">
            <v>2</v>
          </cell>
          <cell r="AQ561">
            <v>2</v>
          </cell>
          <cell r="AR561">
            <v>2</v>
          </cell>
          <cell r="AS561">
            <v>2</v>
          </cell>
          <cell r="AU561">
            <v>2</v>
          </cell>
          <cell r="AX561">
            <v>2</v>
          </cell>
          <cell r="AY561">
            <v>2</v>
          </cell>
          <cell r="AZ561" t="str">
            <v>T</v>
          </cell>
          <cell r="BA561" t="str">
            <v>한국B/S</v>
          </cell>
        </row>
        <row r="562">
          <cell r="C562">
            <v>2584</v>
          </cell>
          <cell r="D562" t="str">
            <v>HG320001</v>
          </cell>
          <cell r="E562" t="str">
            <v xml:space="preserve"> CHECKER ASSY-BACK DR</v>
          </cell>
          <cell r="I562">
            <v>1</v>
          </cell>
          <cell r="J562">
            <v>1</v>
          </cell>
          <cell r="K562">
            <v>1</v>
          </cell>
          <cell r="M562">
            <v>1</v>
          </cell>
          <cell r="N562">
            <v>1</v>
          </cell>
          <cell r="O562">
            <v>1</v>
          </cell>
          <cell r="P562">
            <v>1</v>
          </cell>
          <cell r="Q562">
            <v>1</v>
          </cell>
          <cell r="R562">
            <v>1</v>
          </cell>
          <cell r="S562">
            <v>1</v>
          </cell>
          <cell r="T562">
            <v>1</v>
          </cell>
          <cell r="W562">
            <v>1</v>
          </cell>
          <cell r="X562">
            <v>1</v>
          </cell>
          <cell r="AB562">
            <v>1</v>
          </cell>
          <cell r="AC562">
            <v>1</v>
          </cell>
          <cell r="AD562">
            <v>1</v>
          </cell>
          <cell r="AH562">
            <v>1</v>
          </cell>
          <cell r="AI562">
            <v>1</v>
          </cell>
          <cell r="AJ562">
            <v>1</v>
          </cell>
          <cell r="AK562">
            <v>1</v>
          </cell>
          <cell r="AL562">
            <v>1</v>
          </cell>
          <cell r="AM562">
            <v>1</v>
          </cell>
          <cell r="AN562">
            <v>1</v>
          </cell>
          <cell r="AO562">
            <v>1</v>
          </cell>
          <cell r="AQ562">
            <v>1</v>
          </cell>
          <cell r="AR562">
            <v>1</v>
          </cell>
          <cell r="AS562">
            <v>1</v>
          </cell>
          <cell r="AU562">
            <v>1</v>
          </cell>
          <cell r="AW562">
            <v>1</v>
          </cell>
          <cell r="AX562">
            <v>1</v>
          </cell>
          <cell r="AY562">
            <v>1</v>
          </cell>
          <cell r="AZ562" t="str">
            <v>T</v>
          </cell>
          <cell r="BA562" t="str">
            <v>한국B/S</v>
          </cell>
        </row>
        <row r="563">
          <cell r="C563">
            <v>123</v>
          </cell>
          <cell r="D563" t="str">
            <v>MB275615B</v>
          </cell>
          <cell r="E563" t="str">
            <v xml:space="preserve"> PANEL,SIDE,INR UPR LH</v>
          </cell>
          <cell r="L563">
            <v>1</v>
          </cell>
          <cell r="M563">
            <v>1</v>
          </cell>
          <cell r="N563">
            <v>1</v>
          </cell>
          <cell r="P563">
            <v>1</v>
          </cell>
          <cell r="U563">
            <v>1</v>
          </cell>
          <cell r="W563">
            <v>1</v>
          </cell>
          <cell r="AD563">
            <v>1</v>
          </cell>
          <cell r="AH563">
            <v>1</v>
          </cell>
          <cell r="AL563">
            <v>1</v>
          </cell>
          <cell r="AM563">
            <v>1</v>
          </cell>
          <cell r="AN563">
            <v>1</v>
          </cell>
          <cell r="AO563">
            <v>1</v>
          </cell>
          <cell r="AP563">
            <v>1</v>
          </cell>
          <cell r="AW563">
            <v>1</v>
          </cell>
          <cell r="AZ563" t="str">
            <v>B</v>
          </cell>
          <cell r="BA563" t="str">
            <v>협신공업</v>
          </cell>
          <cell r="BB563" t="str">
            <v>H50A17K</v>
          </cell>
          <cell r="BD563" t="str">
            <v>Q816</v>
          </cell>
          <cell r="BE563" t="str">
            <v>S/B DLX</v>
          </cell>
          <cell r="BI563">
            <v>49</v>
          </cell>
          <cell r="BJ563">
            <v>0</v>
          </cell>
          <cell r="BK563">
            <v>28</v>
          </cell>
          <cell r="BL563">
            <v>2</v>
          </cell>
        </row>
        <row r="564">
          <cell r="C564">
            <v>123</v>
          </cell>
          <cell r="D564" t="str">
            <v>MB275616B</v>
          </cell>
          <cell r="E564" t="str">
            <v xml:space="preserve"> PANEL,SIDE,INR UPR RH</v>
          </cell>
          <cell r="L564">
            <v>1</v>
          </cell>
          <cell r="M564">
            <v>1</v>
          </cell>
          <cell r="N564">
            <v>1</v>
          </cell>
          <cell r="P564">
            <v>1</v>
          </cell>
          <cell r="U564">
            <v>1</v>
          </cell>
          <cell r="W564">
            <v>1</v>
          </cell>
          <cell r="AD564">
            <v>1</v>
          </cell>
          <cell r="AH564">
            <v>1</v>
          </cell>
          <cell r="AL564">
            <v>1</v>
          </cell>
          <cell r="AM564">
            <v>1</v>
          </cell>
          <cell r="AN564">
            <v>1</v>
          </cell>
          <cell r="AO564">
            <v>1</v>
          </cell>
          <cell r="AP564">
            <v>1</v>
          </cell>
          <cell r="AW564">
            <v>1</v>
          </cell>
          <cell r="AZ564" t="str">
            <v>B</v>
          </cell>
          <cell r="BA564" t="str">
            <v>협신공업</v>
          </cell>
          <cell r="BB564" t="str">
            <v>H50A17K</v>
          </cell>
          <cell r="BD564" t="str">
            <v>Q816</v>
          </cell>
          <cell r="BE564" t="str">
            <v>S/B DLX</v>
          </cell>
          <cell r="BI564">
            <v>49</v>
          </cell>
          <cell r="BJ564">
            <v>0</v>
          </cell>
          <cell r="BK564">
            <v>28</v>
          </cell>
          <cell r="BL564">
            <v>2</v>
          </cell>
        </row>
        <row r="565">
          <cell r="C565">
            <v>1265</v>
          </cell>
          <cell r="D565" t="str">
            <v>HQ505665</v>
          </cell>
          <cell r="E565" t="str">
            <v xml:space="preserve"> REINF SHIELD FENDER LH</v>
          </cell>
          <cell r="F565" t="str">
            <v>+651A</v>
          </cell>
          <cell r="R565">
            <v>1</v>
          </cell>
          <cell r="S565">
            <v>1</v>
          </cell>
          <cell r="T565">
            <v>1</v>
          </cell>
          <cell r="Y565">
            <v>1</v>
          </cell>
          <cell r="Z565">
            <v>1</v>
          </cell>
          <cell r="AE565">
            <v>1</v>
          </cell>
          <cell r="AF565">
            <v>1</v>
          </cell>
          <cell r="AG565">
            <v>1</v>
          </cell>
          <cell r="AH565">
            <v>1</v>
          </cell>
          <cell r="AI565">
            <v>1</v>
          </cell>
          <cell r="AJ565">
            <v>1</v>
          </cell>
          <cell r="AK565">
            <v>1</v>
          </cell>
          <cell r="AL565">
            <v>1</v>
          </cell>
          <cell r="AM565">
            <v>1</v>
          </cell>
          <cell r="AN565">
            <v>1</v>
          </cell>
          <cell r="AO565">
            <v>1</v>
          </cell>
          <cell r="AP565">
            <v>1</v>
          </cell>
          <cell r="AQ565">
            <v>1</v>
          </cell>
          <cell r="AR565">
            <v>1</v>
          </cell>
          <cell r="AS565">
            <v>1</v>
          </cell>
          <cell r="AT565">
            <v>1</v>
          </cell>
          <cell r="AU565">
            <v>1</v>
          </cell>
          <cell r="AV565">
            <v>1</v>
          </cell>
          <cell r="AW565">
            <v>1</v>
          </cell>
          <cell r="AX565">
            <v>1</v>
          </cell>
          <cell r="AY565">
            <v>1</v>
          </cell>
          <cell r="AZ565" t="str">
            <v>B</v>
          </cell>
          <cell r="BA565" t="str">
            <v>화신테크</v>
          </cell>
          <cell r="BD565" t="str">
            <v>K545</v>
          </cell>
          <cell r="BI565">
            <v>0</v>
          </cell>
          <cell r="BJ565">
            <v>995</v>
          </cell>
          <cell r="BK565">
            <v>118</v>
          </cell>
          <cell r="BL565">
            <v>102</v>
          </cell>
        </row>
        <row r="566">
          <cell r="C566">
            <v>122</v>
          </cell>
          <cell r="D566" t="str">
            <v>HQ505666</v>
          </cell>
          <cell r="E566" t="str">
            <v xml:space="preserve"> REINF SHIELD FENDER LH</v>
          </cell>
          <cell r="F566" t="str">
            <v>+651A,-661B</v>
          </cell>
          <cell r="Y566">
            <v>1</v>
          </cell>
          <cell r="Z566">
            <v>1</v>
          </cell>
          <cell r="AF566">
            <v>1</v>
          </cell>
          <cell r="AG566">
            <v>1</v>
          </cell>
          <cell r="AJ566">
            <v>1</v>
          </cell>
          <cell r="AL566">
            <v>1</v>
          </cell>
          <cell r="AM566">
            <v>1</v>
          </cell>
          <cell r="AO566">
            <v>1</v>
          </cell>
          <cell r="AQ566">
            <v>1</v>
          </cell>
          <cell r="AS566">
            <v>1</v>
          </cell>
          <cell r="AU566">
            <v>1</v>
          </cell>
          <cell r="AV566">
            <v>1</v>
          </cell>
          <cell r="AZ566" t="str">
            <v>B</v>
          </cell>
          <cell r="BA566" t="str">
            <v>화신테크</v>
          </cell>
          <cell r="BD566" t="str">
            <v>K545</v>
          </cell>
          <cell r="BI566">
            <v>0</v>
          </cell>
          <cell r="BJ566">
            <v>0</v>
          </cell>
          <cell r="BK566">
            <v>57</v>
          </cell>
          <cell r="BL566">
            <v>56</v>
          </cell>
        </row>
        <row r="567">
          <cell r="C567">
            <v>171</v>
          </cell>
          <cell r="D567" t="str">
            <v>HQ505686</v>
          </cell>
          <cell r="E567" t="str">
            <v xml:space="preserve"> REINF SHIELD FENDER LH</v>
          </cell>
          <cell r="F567" t="str">
            <v>+661B</v>
          </cell>
          <cell r="AE567">
            <v>1</v>
          </cell>
          <cell r="AH567">
            <v>1</v>
          </cell>
          <cell r="AI567">
            <v>1</v>
          </cell>
          <cell r="AK567">
            <v>1</v>
          </cell>
          <cell r="AN567">
            <v>1</v>
          </cell>
          <cell r="AO567">
            <v>1</v>
          </cell>
          <cell r="AP567">
            <v>1</v>
          </cell>
          <cell r="AR567">
            <v>1</v>
          </cell>
          <cell r="AS567">
            <v>1</v>
          </cell>
          <cell r="AT567">
            <v>1</v>
          </cell>
          <cell r="AW567">
            <v>1</v>
          </cell>
          <cell r="AX567">
            <v>1</v>
          </cell>
          <cell r="AY567">
            <v>1</v>
          </cell>
          <cell r="AZ567" t="str">
            <v>B</v>
          </cell>
          <cell r="BA567" t="str">
            <v>화신테크</v>
          </cell>
          <cell r="BD567" t="str">
            <v>K545</v>
          </cell>
          <cell r="BI567">
            <v>0</v>
          </cell>
          <cell r="BJ567">
            <v>0</v>
          </cell>
          <cell r="BK567">
            <v>69</v>
          </cell>
          <cell r="BL567">
            <v>75</v>
          </cell>
        </row>
        <row r="568">
          <cell r="C568">
            <v>2584</v>
          </cell>
          <cell r="D568" t="str">
            <v>MB250325</v>
          </cell>
          <cell r="E568" t="str">
            <v xml:space="preserve"> RAIL,SIDE ROOF,OTR LH</v>
          </cell>
          <cell r="G568">
            <v>1</v>
          </cell>
          <cell r="AZ568" t="str">
            <v>B</v>
          </cell>
          <cell r="BA568" t="str">
            <v>화신테크</v>
          </cell>
          <cell r="BB568" t="str">
            <v>H50A16K</v>
          </cell>
          <cell r="BD568" t="str">
            <v>K545</v>
          </cell>
          <cell r="BE568" t="str">
            <v>ALL</v>
          </cell>
          <cell r="BI568">
            <v>0</v>
          </cell>
          <cell r="BJ568">
            <v>0</v>
          </cell>
          <cell r="BK568">
            <v>0</v>
          </cell>
          <cell r="BL568">
            <v>0</v>
          </cell>
        </row>
        <row r="569">
          <cell r="C569">
            <v>2584</v>
          </cell>
          <cell r="D569" t="str">
            <v>MB250326</v>
          </cell>
          <cell r="E569" t="str">
            <v xml:space="preserve"> RAIL,SIDE ROOF,OTR RH</v>
          </cell>
          <cell r="G569">
            <v>1</v>
          </cell>
          <cell r="AZ569" t="str">
            <v>B</v>
          </cell>
          <cell r="BA569" t="str">
            <v>화신테크</v>
          </cell>
          <cell r="BB569" t="str">
            <v>H50A16K</v>
          </cell>
          <cell r="BD569" t="str">
            <v>K545</v>
          </cell>
          <cell r="BE569" t="str">
            <v>ALL</v>
          </cell>
          <cell r="BI569">
            <v>0</v>
          </cell>
          <cell r="BJ569">
            <v>0</v>
          </cell>
          <cell r="BK569">
            <v>0</v>
          </cell>
          <cell r="BL569">
            <v>0</v>
          </cell>
        </row>
        <row r="570">
          <cell r="C570">
            <v>20</v>
          </cell>
          <cell r="D570" t="str">
            <v>MB275073A</v>
          </cell>
          <cell r="E570" t="str">
            <v xml:space="preserve"> ROOF RAIL,R/SIDE INR LH</v>
          </cell>
          <cell r="I570">
            <v>1</v>
          </cell>
          <cell r="AG570">
            <v>1</v>
          </cell>
          <cell r="AZ570" t="str">
            <v>B</v>
          </cell>
          <cell r="BA570" t="str">
            <v>화신테크</v>
          </cell>
          <cell r="BB570" t="str">
            <v>H50A17K</v>
          </cell>
          <cell r="BC570" t="str">
            <v>LINE H/R 미사용</v>
          </cell>
          <cell r="BD570" t="str">
            <v>K545</v>
          </cell>
          <cell r="BE570" t="str">
            <v>2,H/R</v>
          </cell>
          <cell r="BI570">
            <v>20</v>
          </cell>
          <cell r="BJ570">
            <v>0</v>
          </cell>
          <cell r="BK570">
            <v>0</v>
          </cell>
          <cell r="BL570">
            <v>0</v>
          </cell>
        </row>
        <row r="571">
          <cell r="C571">
            <v>20</v>
          </cell>
          <cell r="D571" t="str">
            <v>MB275074A</v>
          </cell>
          <cell r="E571" t="str">
            <v xml:space="preserve"> ROOF RAIL,R/SIDE INR RH</v>
          </cell>
          <cell r="I571">
            <v>1</v>
          </cell>
          <cell r="AG571">
            <v>1</v>
          </cell>
          <cell r="AZ571" t="str">
            <v>B</v>
          </cell>
          <cell r="BA571" t="str">
            <v>화신테크</v>
          </cell>
          <cell r="BB571" t="str">
            <v>H50A17K</v>
          </cell>
          <cell r="BC571" t="str">
            <v>〃 K/UP JOB#1</v>
          </cell>
          <cell r="BD571" t="str">
            <v>K545</v>
          </cell>
          <cell r="BE571" t="str">
            <v>2,H/R</v>
          </cell>
          <cell r="BI571">
            <v>20</v>
          </cell>
          <cell r="BJ571">
            <v>0</v>
          </cell>
          <cell r="BK571">
            <v>0</v>
          </cell>
          <cell r="BL571">
            <v>0</v>
          </cell>
        </row>
        <row r="572">
          <cell r="C572">
            <v>1872</v>
          </cell>
          <cell r="D572" t="str">
            <v>MB591277A</v>
          </cell>
          <cell r="E572" t="str">
            <v xml:space="preserve"> ROOF RAIL,R/SIDE INR LH</v>
          </cell>
          <cell r="J572">
            <v>1</v>
          </cell>
          <cell r="K572">
            <v>1</v>
          </cell>
          <cell r="O572">
            <v>1</v>
          </cell>
          <cell r="Q572">
            <v>1</v>
          </cell>
          <cell r="S572">
            <v>1</v>
          </cell>
          <cell r="T572">
            <v>1</v>
          </cell>
          <cell r="V572">
            <v>1</v>
          </cell>
          <cell r="X572">
            <v>1</v>
          </cell>
          <cell r="Y572">
            <v>1</v>
          </cell>
          <cell r="Z572">
            <v>1</v>
          </cell>
          <cell r="AA572">
            <v>1</v>
          </cell>
          <cell r="AE572">
            <v>1</v>
          </cell>
          <cell r="AI572">
            <v>1</v>
          </cell>
          <cell r="AJ572">
            <v>1</v>
          </cell>
          <cell r="AK572">
            <v>1</v>
          </cell>
          <cell r="AQ572">
            <v>1</v>
          </cell>
          <cell r="AR572">
            <v>1</v>
          </cell>
          <cell r="AS572">
            <v>1</v>
          </cell>
          <cell r="AT572">
            <v>1</v>
          </cell>
          <cell r="AU572">
            <v>1</v>
          </cell>
          <cell r="AV572">
            <v>1</v>
          </cell>
          <cell r="AX572">
            <v>1</v>
          </cell>
          <cell r="AY572">
            <v>1</v>
          </cell>
          <cell r="AZ572" t="str">
            <v>B</v>
          </cell>
          <cell r="BA572" t="str">
            <v>화신테크</v>
          </cell>
          <cell r="BB572" t="str">
            <v>H50A17K</v>
          </cell>
          <cell r="BC572" t="str">
            <v>LINE H/R추가사용</v>
          </cell>
          <cell r="BD572" t="str">
            <v>K545</v>
          </cell>
          <cell r="BI572">
            <v>868</v>
          </cell>
          <cell r="BJ572">
            <v>458</v>
          </cell>
          <cell r="BK572">
            <v>90</v>
          </cell>
          <cell r="BL572">
            <v>100</v>
          </cell>
        </row>
        <row r="573">
          <cell r="C573">
            <v>1872</v>
          </cell>
          <cell r="D573" t="str">
            <v>MB591278A</v>
          </cell>
          <cell r="E573" t="str">
            <v xml:space="preserve"> ROOF RAIL,R/SIDE INR RH</v>
          </cell>
          <cell r="J573">
            <v>1</v>
          </cell>
          <cell r="K573">
            <v>1</v>
          </cell>
          <cell r="O573">
            <v>1</v>
          </cell>
          <cell r="Q573">
            <v>1</v>
          </cell>
          <cell r="S573">
            <v>1</v>
          </cell>
          <cell r="T573">
            <v>1</v>
          </cell>
          <cell r="V573">
            <v>1</v>
          </cell>
          <cell r="X573">
            <v>1</v>
          </cell>
          <cell r="Y573">
            <v>1</v>
          </cell>
          <cell r="Z573">
            <v>1</v>
          </cell>
          <cell r="AA573">
            <v>1</v>
          </cell>
          <cell r="AE573">
            <v>1</v>
          </cell>
          <cell r="AI573">
            <v>1</v>
          </cell>
          <cell r="AJ573">
            <v>1</v>
          </cell>
          <cell r="AK573">
            <v>1</v>
          </cell>
          <cell r="AQ573">
            <v>1</v>
          </cell>
          <cell r="AR573">
            <v>1</v>
          </cell>
          <cell r="AS573">
            <v>1</v>
          </cell>
          <cell r="AT573">
            <v>1</v>
          </cell>
          <cell r="AU573">
            <v>1</v>
          </cell>
          <cell r="AV573">
            <v>1</v>
          </cell>
          <cell r="AX573">
            <v>1</v>
          </cell>
          <cell r="AY573">
            <v>1</v>
          </cell>
          <cell r="AZ573" t="str">
            <v>B</v>
          </cell>
          <cell r="BA573" t="str">
            <v>화신테크</v>
          </cell>
          <cell r="BB573" t="str">
            <v>H50A17K</v>
          </cell>
          <cell r="BC573" t="str">
            <v>〃 K/UP JOB#1</v>
          </cell>
          <cell r="BD573" t="str">
            <v>K545</v>
          </cell>
          <cell r="BI573">
            <v>868</v>
          </cell>
          <cell r="BJ573">
            <v>458</v>
          </cell>
          <cell r="BK573">
            <v>90</v>
          </cell>
          <cell r="BL573">
            <v>100</v>
          </cell>
        </row>
        <row r="574">
          <cell r="C574">
            <v>1892</v>
          </cell>
          <cell r="D574" t="str">
            <v>MB591447A</v>
          </cell>
          <cell r="E574" t="str">
            <v xml:space="preserve"> ROOF RAIL,R/SIDE OTR LH</v>
          </cell>
          <cell r="I574">
            <v>1</v>
          </cell>
          <cell r="J574">
            <v>1</v>
          </cell>
          <cell r="K574">
            <v>1</v>
          </cell>
          <cell r="O574">
            <v>1</v>
          </cell>
          <cell r="Q574">
            <v>1</v>
          </cell>
          <cell r="S574">
            <v>1</v>
          </cell>
          <cell r="T574">
            <v>1</v>
          </cell>
          <cell r="V574">
            <v>1</v>
          </cell>
          <cell r="X574">
            <v>1</v>
          </cell>
          <cell r="Y574">
            <v>1</v>
          </cell>
          <cell r="Z574">
            <v>1</v>
          </cell>
          <cell r="AA574">
            <v>1</v>
          </cell>
          <cell r="AE574">
            <v>1</v>
          </cell>
          <cell r="AG574">
            <v>1</v>
          </cell>
          <cell r="AI574">
            <v>1</v>
          </cell>
          <cell r="AJ574">
            <v>1</v>
          </cell>
          <cell r="AK574">
            <v>1</v>
          </cell>
          <cell r="AQ574">
            <v>1</v>
          </cell>
          <cell r="AR574">
            <v>1</v>
          </cell>
          <cell r="AS574">
            <v>1</v>
          </cell>
          <cell r="AT574">
            <v>1</v>
          </cell>
          <cell r="AU574">
            <v>1</v>
          </cell>
          <cell r="AV574">
            <v>1</v>
          </cell>
          <cell r="AX574">
            <v>1</v>
          </cell>
          <cell r="AY574">
            <v>1</v>
          </cell>
          <cell r="AZ574" t="str">
            <v>B</v>
          </cell>
          <cell r="BA574" t="str">
            <v>화신테크</v>
          </cell>
          <cell r="BB574" t="str">
            <v>H50A17K</v>
          </cell>
          <cell r="BD574" t="str">
            <v>K545</v>
          </cell>
          <cell r="BI574">
            <v>888</v>
          </cell>
          <cell r="BJ574">
            <v>458</v>
          </cell>
          <cell r="BK574">
            <v>90</v>
          </cell>
          <cell r="BL574">
            <v>100</v>
          </cell>
        </row>
        <row r="575">
          <cell r="C575">
            <v>1892</v>
          </cell>
          <cell r="D575" t="str">
            <v>MB591448A</v>
          </cell>
          <cell r="E575" t="str">
            <v xml:space="preserve"> ROOF RAIL,R/SIDE OTR RH</v>
          </cell>
          <cell r="I575">
            <v>1</v>
          </cell>
          <cell r="J575">
            <v>1</v>
          </cell>
          <cell r="K575">
            <v>1</v>
          </cell>
          <cell r="O575">
            <v>1</v>
          </cell>
          <cell r="Q575">
            <v>1</v>
          </cell>
          <cell r="S575">
            <v>1</v>
          </cell>
          <cell r="T575">
            <v>1</v>
          </cell>
          <cell r="V575">
            <v>1</v>
          </cell>
          <cell r="X575">
            <v>1</v>
          </cell>
          <cell r="Y575">
            <v>1</v>
          </cell>
          <cell r="Z575">
            <v>1</v>
          </cell>
          <cell r="AA575">
            <v>1</v>
          </cell>
          <cell r="AE575">
            <v>1</v>
          </cell>
          <cell r="AG575">
            <v>1</v>
          </cell>
          <cell r="AI575">
            <v>1</v>
          </cell>
          <cell r="AJ575">
            <v>1</v>
          </cell>
          <cell r="AK575">
            <v>1</v>
          </cell>
          <cell r="AQ575">
            <v>1</v>
          </cell>
          <cell r="AR575">
            <v>1</v>
          </cell>
          <cell r="AS575">
            <v>1</v>
          </cell>
          <cell r="AT575">
            <v>1</v>
          </cell>
          <cell r="AU575">
            <v>1</v>
          </cell>
          <cell r="AV575">
            <v>1</v>
          </cell>
          <cell r="AX575">
            <v>1</v>
          </cell>
          <cell r="AY575">
            <v>1</v>
          </cell>
          <cell r="AZ575" t="str">
            <v>B</v>
          </cell>
          <cell r="BA575" t="str">
            <v>화신테크</v>
          </cell>
          <cell r="BB575" t="str">
            <v>H50A17K</v>
          </cell>
          <cell r="BD575" t="str">
            <v>K545</v>
          </cell>
          <cell r="BI575">
            <v>888</v>
          </cell>
          <cell r="BJ575">
            <v>458</v>
          </cell>
          <cell r="BK575">
            <v>90</v>
          </cell>
          <cell r="BL575">
            <v>100</v>
          </cell>
        </row>
        <row r="576">
          <cell r="C576">
            <v>589</v>
          </cell>
          <cell r="D576" t="str">
            <v>HG300001</v>
          </cell>
          <cell r="E576" t="str">
            <v xml:space="preserve"> PANEL,B/DR,INR </v>
          </cell>
          <cell r="H576">
            <v>1</v>
          </cell>
          <cell r="I576">
            <v>1</v>
          </cell>
          <cell r="R576">
            <v>1</v>
          </cell>
          <cell r="AB576">
            <v>1</v>
          </cell>
          <cell r="AC576">
            <v>1</v>
          </cell>
          <cell r="AF576">
            <v>1</v>
          </cell>
          <cell r="AG576">
            <v>1</v>
          </cell>
          <cell r="AZ576" t="str">
            <v>B</v>
          </cell>
          <cell r="BA576" t="str">
            <v>HMC</v>
          </cell>
          <cell r="BB576" t="str">
            <v>H50B33K</v>
          </cell>
          <cell r="BD576" t="str">
            <v>L475</v>
          </cell>
          <cell r="BE576" t="str">
            <v>STD</v>
          </cell>
          <cell r="BI576">
            <v>20</v>
          </cell>
          <cell r="BJ576">
            <v>539</v>
          </cell>
          <cell r="BK576">
            <v>0</v>
          </cell>
          <cell r="BL576">
            <v>0</v>
          </cell>
        </row>
        <row r="577">
          <cell r="C577">
            <v>1995</v>
          </cell>
          <cell r="D577" t="str">
            <v>HG300002</v>
          </cell>
          <cell r="E577" t="str">
            <v xml:space="preserve"> PANEL,B/DR,INR </v>
          </cell>
          <cell r="J577">
            <v>1</v>
          </cell>
          <cell r="K577">
            <v>1</v>
          </cell>
          <cell r="L577">
            <v>1</v>
          </cell>
          <cell r="M577">
            <v>1</v>
          </cell>
          <cell r="N577">
            <v>1</v>
          </cell>
          <cell r="O577">
            <v>1</v>
          </cell>
          <cell r="P577">
            <v>1</v>
          </cell>
          <cell r="Q577">
            <v>1</v>
          </cell>
          <cell r="S577">
            <v>1</v>
          </cell>
          <cell r="T577">
            <v>1</v>
          </cell>
          <cell r="U577">
            <v>1</v>
          </cell>
          <cell r="V577">
            <v>1</v>
          </cell>
          <cell r="W577">
            <v>1</v>
          </cell>
          <cell r="X577">
            <v>1</v>
          </cell>
          <cell r="Y577">
            <v>1</v>
          </cell>
          <cell r="Z577">
            <v>1</v>
          </cell>
          <cell r="AA577">
            <v>1</v>
          </cell>
          <cell r="AD577">
            <v>1</v>
          </cell>
          <cell r="AE577">
            <v>1</v>
          </cell>
          <cell r="AH577">
            <v>1</v>
          </cell>
          <cell r="AI577">
            <v>1</v>
          </cell>
          <cell r="AJ577">
            <v>1</v>
          </cell>
          <cell r="AK577">
            <v>1</v>
          </cell>
          <cell r="AL577">
            <v>1</v>
          </cell>
          <cell r="AM577">
            <v>1</v>
          </cell>
          <cell r="AN577">
            <v>1</v>
          </cell>
          <cell r="AO577">
            <v>1</v>
          </cell>
          <cell r="AP577">
            <v>1</v>
          </cell>
          <cell r="AQ577">
            <v>1</v>
          </cell>
          <cell r="AR577">
            <v>1</v>
          </cell>
          <cell r="AS577">
            <v>1</v>
          </cell>
          <cell r="AT577">
            <v>1</v>
          </cell>
          <cell r="AU577">
            <v>1</v>
          </cell>
          <cell r="AV577">
            <v>1</v>
          </cell>
          <cell r="AW577">
            <v>1</v>
          </cell>
          <cell r="AX577">
            <v>1</v>
          </cell>
          <cell r="AY577">
            <v>1</v>
          </cell>
          <cell r="AZ577" t="str">
            <v>B</v>
          </cell>
          <cell r="BA577" t="str">
            <v>HMC</v>
          </cell>
          <cell r="BB577" t="str">
            <v>H50B33K</v>
          </cell>
          <cell r="BD577" t="str">
            <v>L475</v>
          </cell>
          <cell r="BI577">
            <v>917</v>
          </cell>
          <cell r="BJ577">
            <v>458</v>
          </cell>
          <cell r="BK577">
            <v>118</v>
          </cell>
          <cell r="BL577">
            <v>102</v>
          </cell>
        </row>
        <row r="578">
          <cell r="C578">
            <v>2087</v>
          </cell>
          <cell r="D578" t="str">
            <v>HQ503115</v>
          </cell>
          <cell r="E578" t="str">
            <v xml:space="preserve"> PNL FR DR OTR LH</v>
          </cell>
          <cell r="F578" t="str">
            <v>-661B</v>
          </cell>
          <cell r="H578">
            <v>1</v>
          </cell>
          <cell r="I578">
            <v>1</v>
          </cell>
          <cell r="J578">
            <v>1</v>
          </cell>
          <cell r="K578">
            <v>1</v>
          </cell>
          <cell r="L578">
            <v>1</v>
          </cell>
          <cell r="M578">
            <v>1</v>
          </cell>
          <cell r="N578">
            <v>1</v>
          </cell>
          <cell r="O578">
            <v>1</v>
          </cell>
          <cell r="R578">
            <v>1</v>
          </cell>
          <cell r="S578">
            <v>1</v>
          </cell>
          <cell r="T578">
            <v>1</v>
          </cell>
          <cell r="U578">
            <v>1</v>
          </cell>
          <cell r="V578">
            <v>1</v>
          </cell>
          <cell r="Y578">
            <v>1</v>
          </cell>
          <cell r="Z578">
            <v>1</v>
          </cell>
          <cell r="AA578">
            <v>1</v>
          </cell>
          <cell r="AB578">
            <v>1</v>
          </cell>
          <cell r="AC578">
            <v>1</v>
          </cell>
          <cell r="AD578">
            <v>1</v>
          </cell>
          <cell r="AE578">
            <v>1</v>
          </cell>
          <cell r="AF578">
            <v>1</v>
          </cell>
          <cell r="AG578">
            <v>1</v>
          </cell>
          <cell r="AH578">
            <v>1</v>
          </cell>
          <cell r="AI578">
            <v>1</v>
          </cell>
          <cell r="AJ578">
            <v>1</v>
          </cell>
          <cell r="AK578">
            <v>1</v>
          </cell>
          <cell r="AL578">
            <v>1</v>
          </cell>
          <cell r="AM578">
            <v>1</v>
          </cell>
          <cell r="AN578">
            <v>1</v>
          </cell>
          <cell r="AO578">
            <v>1</v>
          </cell>
          <cell r="AQ578">
            <v>1</v>
          </cell>
          <cell r="AR578">
            <v>1</v>
          </cell>
          <cell r="AS578">
            <v>1</v>
          </cell>
          <cell r="AU578">
            <v>1</v>
          </cell>
          <cell r="AV578">
            <v>1</v>
          </cell>
          <cell r="AW578">
            <v>1</v>
          </cell>
          <cell r="AX578">
            <v>1</v>
          </cell>
          <cell r="AY578">
            <v>1</v>
          </cell>
          <cell r="AZ578" t="str">
            <v>B</v>
          </cell>
          <cell r="BA578" t="str">
            <v>HMC</v>
          </cell>
          <cell r="BB578" t="str">
            <v>H50B31K</v>
          </cell>
          <cell r="BC578" t="str">
            <v>MB365295B</v>
          </cell>
          <cell r="BD578" t="str">
            <v>L475</v>
          </cell>
          <cell r="BI578">
            <v>671</v>
          </cell>
          <cell r="BJ578">
            <v>995</v>
          </cell>
          <cell r="BK578">
            <v>118</v>
          </cell>
          <cell r="BL578">
            <v>102</v>
          </cell>
        </row>
        <row r="579">
          <cell r="C579">
            <v>2087</v>
          </cell>
          <cell r="D579" t="str">
            <v>HQ503116</v>
          </cell>
          <cell r="E579" t="str">
            <v xml:space="preserve"> PNL FR DR OTR RH</v>
          </cell>
          <cell r="F579" t="str">
            <v>-661B</v>
          </cell>
          <cell r="H579">
            <v>1</v>
          </cell>
          <cell r="I579">
            <v>1</v>
          </cell>
          <cell r="J579">
            <v>1</v>
          </cell>
          <cell r="K579">
            <v>1</v>
          </cell>
          <cell r="L579">
            <v>1</v>
          </cell>
          <cell r="M579">
            <v>1</v>
          </cell>
          <cell r="N579">
            <v>1</v>
          </cell>
          <cell r="O579">
            <v>1</v>
          </cell>
          <cell r="R579">
            <v>1</v>
          </cell>
          <cell r="S579">
            <v>1</v>
          </cell>
          <cell r="T579">
            <v>1</v>
          </cell>
          <cell r="U579">
            <v>1</v>
          </cell>
          <cell r="V579">
            <v>1</v>
          </cell>
          <cell r="Y579">
            <v>1</v>
          </cell>
          <cell r="Z579">
            <v>1</v>
          </cell>
          <cell r="AA579">
            <v>1</v>
          </cell>
          <cell r="AB579">
            <v>1</v>
          </cell>
          <cell r="AC579">
            <v>1</v>
          </cell>
          <cell r="AD579">
            <v>1</v>
          </cell>
          <cell r="AE579">
            <v>1</v>
          </cell>
          <cell r="AF579">
            <v>1</v>
          </cell>
          <cell r="AG579">
            <v>1</v>
          </cell>
          <cell r="AH579">
            <v>1</v>
          </cell>
          <cell r="AI579">
            <v>1</v>
          </cell>
          <cell r="AJ579">
            <v>1</v>
          </cell>
          <cell r="AK579">
            <v>1</v>
          </cell>
          <cell r="AL579">
            <v>1</v>
          </cell>
          <cell r="AM579">
            <v>1</v>
          </cell>
          <cell r="AN579">
            <v>1</v>
          </cell>
          <cell r="AO579">
            <v>1</v>
          </cell>
          <cell r="AQ579">
            <v>1</v>
          </cell>
          <cell r="AR579">
            <v>1</v>
          </cell>
          <cell r="AS579">
            <v>1</v>
          </cell>
          <cell r="AU579">
            <v>1</v>
          </cell>
          <cell r="AV579">
            <v>1</v>
          </cell>
          <cell r="AW579">
            <v>1</v>
          </cell>
          <cell r="AX579">
            <v>1</v>
          </cell>
          <cell r="AY579">
            <v>1</v>
          </cell>
          <cell r="AZ579" t="str">
            <v>B</v>
          </cell>
          <cell r="BA579" t="str">
            <v>HMC</v>
          </cell>
          <cell r="BB579" t="str">
            <v>H50B31K</v>
          </cell>
          <cell r="BC579" t="str">
            <v>MB365296B</v>
          </cell>
          <cell r="BD579" t="str">
            <v>L475</v>
          </cell>
          <cell r="BI579">
            <v>671</v>
          </cell>
          <cell r="BJ579">
            <v>995</v>
          </cell>
          <cell r="BK579">
            <v>118</v>
          </cell>
          <cell r="BL579">
            <v>102</v>
          </cell>
        </row>
        <row r="580">
          <cell r="C580">
            <v>2584</v>
          </cell>
          <cell r="D580" t="str">
            <v>HQ503117</v>
          </cell>
          <cell r="E580" t="str">
            <v xml:space="preserve"> PNL FR DR INR LH</v>
          </cell>
          <cell r="G580">
            <v>1</v>
          </cell>
          <cell r="AZ580" t="str">
            <v>B</v>
          </cell>
          <cell r="BA580" t="str">
            <v>HMC</v>
          </cell>
          <cell r="BB580" t="str">
            <v>H50B31K</v>
          </cell>
          <cell r="BC580" t="str">
            <v>MB422985A</v>
          </cell>
          <cell r="BD580" t="str">
            <v>L475</v>
          </cell>
          <cell r="BI580">
            <v>0</v>
          </cell>
          <cell r="BJ580">
            <v>0</v>
          </cell>
          <cell r="BK580">
            <v>0</v>
          </cell>
          <cell r="BL580">
            <v>0</v>
          </cell>
        </row>
        <row r="581">
          <cell r="C581">
            <v>2584</v>
          </cell>
          <cell r="D581" t="str">
            <v>HQ503118</v>
          </cell>
          <cell r="E581" t="str">
            <v xml:space="preserve"> PNL FR DR INR RH</v>
          </cell>
          <cell r="G581">
            <v>1</v>
          </cell>
          <cell r="AZ581" t="str">
            <v>B</v>
          </cell>
          <cell r="BA581" t="str">
            <v>HMC</v>
          </cell>
          <cell r="BB581" t="str">
            <v>H50B31K</v>
          </cell>
          <cell r="BC581" t="str">
            <v>MB422986A</v>
          </cell>
          <cell r="BD581" t="str">
            <v>L475</v>
          </cell>
          <cell r="BI581">
            <v>0</v>
          </cell>
          <cell r="BJ581">
            <v>0</v>
          </cell>
          <cell r="BK581">
            <v>0</v>
          </cell>
          <cell r="BL581">
            <v>0</v>
          </cell>
        </row>
        <row r="582">
          <cell r="C582">
            <v>1155</v>
          </cell>
          <cell r="D582" t="str">
            <v>HQ503125</v>
          </cell>
          <cell r="E582" t="str">
            <v xml:space="preserve"> PNL FR DR OTR LH</v>
          </cell>
          <cell r="F582" t="str">
            <v>+661B</v>
          </cell>
          <cell r="K582">
            <v>1</v>
          </cell>
          <cell r="M582">
            <v>1</v>
          </cell>
          <cell r="N582">
            <v>1</v>
          </cell>
          <cell r="O582">
            <v>1</v>
          </cell>
          <cell r="P582">
            <v>1</v>
          </cell>
          <cell r="Q582">
            <v>1</v>
          </cell>
          <cell r="W582">
            <v>1</v>
          </cell>
          <cell r="X582">
            <v>1</v>
          </cell>
          <cell r="AD582">
            <v>1</v>
          </cell>
          <cell r="AE582">
            <v>1</v>
          </cell>
          <cell r="AH582">
            <v>1</v>
          </cell>
          <cell r="AI582">
            <v>1</v>
          </cell>
          <cell r="AO582">
            <v>1</v>
          </cell>
          <cell r="AP582">
            <v>1</v>
          </cell>
          <cell r="AS582">
            <v>1</v>
          </cell>
          <cell r="AT582">
            <v>1</v>
          </cell>
          <cell r="AW582">
            <v>1</v>
          </cell>
          <cell r="AZ582" t="str">
            <v>B</v>
          </cell>
          <cell r="BA582" t="str">
            <v>HMC</v>
          </cell>
          <cell r="BB582" t="str">
            <v>H50B31K</v>
          </cell>
          <cell r="BC582" t="str">
            <v>MB365295B</v>
          </cell>
          <cell r="BD582" t="str">
            <v>L475</v>
          </cell>
          <cell r="BI582">
            <v>684</v>
          </cell>
          <cell r="BJ582">
            <v>2</v>
          </cell>
          <cell r="BK582">
            <v>61</v>
          </cell>
          <cell r="BL582">
            <v>31</v>
          </cell>
        </row>
        <row r="583">
          <cell r="C583">
            <v>1155</v>
          </cell>
          <cell r="D583" t="str">
            <v>HQ503126</v>
          </cell>
          <cell r="E583" t="str">
            <v xml:space="preserve"> PNL FR DR OTR RH</v>
          </cell>
          <cell r="F583" t="str">
            <v>+661B</v>
          </cell>
          <cell r="K583">
            <v>1</v>
          </cell>
          <cell r="M583">
            <v>1</v>
          </cell>
          <cell r="N583">
            <v>1</v>
          </cell>
          <cell r="O583">
            <v>1</v>
          </cell>
          <cell r="P583">
            <v>1</v>
          </cell>
          <cell r="Q583">
            <v>1</v>
          </cell>
          <cell r="W583">
            <v>1</v>
          </cell>
          <cell r="X583">
            <v>1</v>
          </cell>
          <cell r="AD583">
            <v>1</v>
          </cell>
          <cell r="AE583">
            <v>1</v>
          </cell>
          <cell r="AH583">
            <v>1</v>
          </cell>
          <cell r="AI583">
            <v>1</v>
          </cell>
          <cell r="AO583">
            <v>1</v>
          </cell>
          <cell r="AP583">
            <v>1</v>
          </cell>
          <cell r="AS583">
            <v>1</v>
          </cell>
          <cell r="AT583">
            <v>1</v>
          </cell>
          <cell r="AW583">
            <v>1</v>
          </cell>
          <cell r="AZ583" t="str">
            <v>B</v>
          </cell>
          <cell r="BA583" t="str">
            <v>HMC</v>
          </cell>
          <cell r="BB583" t="str">
            <v>H50B31K</v>
          </cell>
          <cell r="BC583" t="str">
            <v>MB365296B</v>
          </cell>
          <cell r="BD583" t="str">
            <v>L475</v>
          </cell>
          <cell r="BI583">
            <v>684</v>
          </cell>
          <cell r="BJ583">
            <v>2</v>
          </cell>
          <cell r="BK583">
            <v>61</v>
          </cell>
          <cell r="BL583">
            <v>31</v>
          </cell>
        </row>
        <row r="584">
          <cell r="C584">
            <v>1892</v>
          </cell>
          <cell r="D584" t="str">
            <v>HQ503201</v>
          </cell>
          <cell r="E584" t="str">
            <v xml:space="preserve"> PNL RR DR INR LH</v>
          </cell>
          <cell r="I584">
            <v>1</v>
          </cell>
          <cell r="J584">
            <v>1</v>
          </cell>
          <cell r="K584">
            <v>1</v>
          </cell>
          <cell r="O584">
            <v>1</v>
          </cell>
          <cell r="Q584">
            <v>1</v>
          </cell>
          <cell r="S584">
            <v>1</v>
          </cell>
          <cell r="T584">
            <v>1</v>
          </cell>
          <cell r="V584">
            <v>1</v>
          </cell>
          <cell r="X584">
            <v>1</v>
          </cell>
          <cell r="Y584">
            <v>1</v>
          </cell>
          <cell r="Z584">
            <v>1</v>
          </cell>
          <cell r="AA584">
            <v>1</v>
          </cell>
          <cell r="AE584">
            <v>1</v>
          </cell>
          <cell r="AG584">
            <v>1</v>
          </cell>
          <cell r="AI584">
            <v>1</v>
          </cell>
          <cell r="AJ584">
            <v>1</v>
          </cell>
          <cell r="AK584">
            <v>1</v>
          </cell>
          <cell r="AQ584">
            <v>1</v>
          </cell>
          <cell r="AR584">
            <v>1</v>
          </cell>
          <cell r="AS584">
            <v>1</v>
          </cell>
          <cell r="AT584">
            <v>1</v>
          </cell>
          <cell r="AU584">
            <v>1</v>
          </cell>
          <cell r="AV584">
            <v>1</v>
          </cell>
          <cell r="AX584">
            <v>1</v>
          </cell>
          <cell r="AY584">
            <v>1</v>
          </cell>
          <cell r="AZ584" t="str">
            <v>B</v>
          </cell>
          <cell r="BA584" t="str">
            <v>HMC</v>
          </cell>
          <cell r="BB584" t="str">
            <v>H50B32K</v>
          </cell>
          <cell r="BC584" t="str">
            <v>MB320007B</v>
          </cell>
          <cell r="BD584" t="str">
            <v>L475</v>
          </cell>
          <cell r="BI584">
            <v>888</v>
          </cell>
          <cell r="BJ584">
            <v>458</v>
          </cell>
          <cell r="BK584">
            <v>90</v>
          </cell>
          <cell r="BL584">
            <v>100</v>
          </cell>
        </row>
        <row r="585">
          <cell r="C585">
            <v>1892</v>
          </cell>
          <cell r="D585" t="str">
            <v>HQ503202</v>
          </cell>
          <cell r="E585" t="str">
            <v xml:space="preserve"> PNL RR DR INR RH</v>
          </cell>
          <cell r="I585">
            <v>1</v>
          </cell>
          <cell r="J585">
            <v>1</v>
          </cell>
          <cell r="K585">
            <v>1</v>
          </cell>
          <cell r="O585">
            <v>1</v>
          </cell>
          <cell r="Q585">
            <v>1</v>
          </cell>
          <cell r="S585">
            <v>1</v>
          </cell>
          <cell r="T585">
            <v>1</v>
          </cell>
          <cell r="V585">
            <v>1</v>
          </cell>
          <cell r="X585">
            <v>1</v>
          </cell>
          <cell r="Y585">
            <v>1</v>
          </cell>
          <cell r="Z585">
            <v>1</v>
          </cell>
          <cell r="AA585">
            <v>1</v>
          </cell>
          <cell r="AE585">
            <v>1</v>
          </cell>
          <cell r="AG585">
            <v>1</v>
          </cell>
          <cell r="AI585">
            <v>1</v>
          </cell>
          <cell r="AJ585">
            <v>1</v>
          </cell>
          <cell r="AK585">
            <v>1</v>
          </cell>
          <cell r="AQ585">
            <v>1</v>
          </cell>
          <cell r="AR585">
            <v>1</v>
          </cell>
          <cell r="AS585">
            <v>1</v>
          </cell>
          <cell r="AT585">
            <v>1</v>
          </cell>
          <cell r="AU585">
            <v>1</v>
          </cell>
          <cell r="AV585">
            <v>1</v>
          </cell>
          <cell r="AX585">
            <v>1</v>
          </cell>
          <cell r="AY585">
            <v>1</v>
          </cell>
          <cell r="AZ585" t="str">
            <v>B</v>
          </cell>
          <cell r="BA585" t="str">
            <v>HMC</v>
          </cell>
          <cell r="BB585" t="str">
            <v>H50B32K</v>
          </cell>
          <cell r="BC585" t="str">
            <v>MB320008B</v>
          </cell>
          <cell r="BD585" t="str">
            <v>L475</v>
          </cell>
          <cell r="BI585">
            <v>888</v>
          </cell>
          <cell r="BJ585">
            <v>458</v>
          </cell>
          <cell r="BK585">
            <v>90</v>
          </cell>
          <cell r="BL585">
            <v>100</v>
          </cell>
        </row>
        <row r="586">
          <cell r="C586">
            <v>1052</v>
          </cell>
          <cell r="D586" t="str">
            <v>HQ503217</v>
          </cell>
          <cell r="E586" t="str">
            <v xml:space="preserve"> PNL R/DR OTR LH</v>
          </cell>
          <cell r="F586" t="str">
            <v>+661B</v>
          </cell>
          <cell r="K586">
            <v>1</v>
          </cell>
          <cell r="O586">
            <v>1</v>
          </cell>
          <cell r="Q586">
            <v>1</v>
          </cell>
          <cell r="X586">
            <v>1</v>
          </cell>
          <cell r="AE586">
            <v>1</v>
          </cell>
          <cell r="AI586">
            <v>1</v>
          </cell>
          <cell r="AS586">
            <v>1</v>
          </cell>
          <cell r="AT586">
            <v>1</v>
          </cell>
          <cell r="AZ586" t="str">
            <v>B</v>
          </cell>
          <cell r="BA586" t="str">
            <v>HMC</v>
          </cell>
          <cell r="BB586" t="str">
            <v>H50B32K</v>
          </cell>
          <cell r="BC586" t="str">
            <v>MB365297A</v>
          </cell>
          <cell r="BD586" t="str">
            <v>L475</v>
          </cell>
          <cell r="BI586">
            <v>635</v>
          </cell>
          <cell r="BJ586">
            <v>2</v>
          </cell>
          <cell r="BK586">
            <v>53</v>
          </cell>
          <cell r="BL586">
            <v>29</v>
          </cell>
        </row>
        <row r="587">
          <cell r="C587">
            <v>1052</v>
          </cell>
          <cell r="D587" t="str">
            <v>HQ503218</v>
          </cell>
          <cell r="E587" t="str">
            <v xml:space="preserve"> PNL R/DR OTR RH</v>
          </cell>
          <cell r="F587" t="str">
            <v>+661B</v>
          </cell>
          <cell r="K587">
            <v>1</v>
          </cell>
          <cell r="O587">
            <v>1</v>
          </cell>
          <cell r="Q587">
            <v>1</v>
          </cell>
          <cell r="X587">
            <v>1</v>
          </cell>
          <cell r="AE587">
            <v>1</v>
          </cell>
          <cell r="AI587">
            <v>1</v>
          </cell>
          <cell r="AS587">
            <v>1</v>
          </cell>
          <cell r="AT587">
            <v>1</v>
          </cell>
          <cell r="AZ587" t="str">
            <v>B</v>
          </cell>
          <cell r="BA587" t="str">
            <v>HMC</v>
          </cell>
          <cell r="BB587" t="str">
            <v>H50B32K</v>
          </cell>
          <cell r="BC587" t="str">
            <v>MB365298A</v>
          </cell>
          <cell r="BD587" t="str">
            <v>L475</v>
          </cell>
          <cell r="BI587">
            <v>635</v>
          </cell>
          <cell r="BJ587">
            <v>2</v>
          </cell>
          <cell r="BK587">
            <v>53</v>
          </cell>
          <cell r="BL587">
            <v>29</v>
          </cell>
        </row>
        <row r="588">
          <cell r="C588">
            <v>103</v>
          </cell>
          <cell r="D588" t="str">
            <v>HQ505131</v>
          </cell>
          <cell r="E588" t="str">
            <v xml:space="preserve"> PAN,FR FLOOR</v>
          </cell>
          <cell r="F588" t="str">
            <v>+431</v>
          </cell>
          <cell r="M588">
            <v>1</v>
          </cell>
          <cell r="N588">
            <v>1</v>
          </cell>
          <cell r="P588">
            <v>1</v>
          </cell>
          <cell r="W588">
            <v>1</v>
          </cell>
          <cell r="AD588">
            <v>1</v>
          </cell>
          <cell r="AH588">
            <v>1</v>
          </cell>
          <cell r="AO588">
            <v>1</v>
          </cell>
          <cell r="AP588">
            <v>1</v>
          </cell>
          <cell r="AW588">
            <v>1</v>
          </cell>
          <cell r="AZ588" t="str">
            <v>B</v>
          </cell>
          <cell r="BA588" t="str">
            <v>HMC</v>
          </cell>
          <cell r="BB588" t="str">
            <v>H50A11K</v>
          </cell>
          <cell r="BC588" t="str">
            <v>HC000113</v>
          </cell>
          <cell r="BD588" t="str">
            <v>L475</v>
          </cell>
          <cell r="BI588">
            <v>49</v>
          </cell>
          <cell r="BJ588">
            <v>0</v>
          </cell>
          <cell r="BK588">
            <v>8</v>
          </cell>
          <cell r="BL588">
            <v>2</v>
          </cell>
        </row>
        <row r="589">
          <cell r="C589">
            <v>1310</v>
          </cell>
          <cell r="D589" t="str">
            <v>HQ505132</v>
          </cell>
          <cell r="E589" t="str">
            <v xml:space="preserve"> PAN,FR FLOOR</v>
          </cell>
          <cell r="F589" t="str">
            <v>+431,</v>
          </cell>
          <cell r="K589">
            <v>1</v>
          </cell>
          <cell r="O589">
            <v>1</v>
          </cell>
          <cell r="Q589">
            <v>1</v>
          </cell>
          <cell r="T589">
            <v>1</v>
          </cell>
          <cell r="X589">
            <v>1</v>
          </cell>
          <cell r="Z589">
            <v>1</v>
          </cell>
          <cell r="AE589">
            <v>1</v>
          </cell>
          <cell r="AI589">
            <v>1</v>
          </cell>
          <cell r="AS589">
            <v>1</v>
          </cell>
          <cell r="AT589">
            <v>1</v>
          </cell>
          <cell r="AZ589" t="str">
            <v>B</v>
          </cell>
          <cell r="BA589" t="str">
            <v>HMC</v>
          </cell>
          <cell r="BB589" t="str">
            <v>H50A11K</v>
          </cell>
          <cell r="BC589" t="str">
            <v>HC000114</v>
          </cell>
          <cell r="BD589" t="str">
            <v>L475</v>
          </cell>
          <cell r="BI589">
            <v>635</v>
          </cell>
          <cell r="BJ589">
            <v>237</v>
          </cell>
          <cell r="BK589">
            <v>53</v>
          </cell>
          <cell r="BL589">
            <v>29</v>
          </cell>
        </row>
        <row r="590">
          <cell r="C590">
            <v>692</v>
          </cell>
          <cell r="D590" t="str">
            <v>HQ505133</v>
          </cell>
          <cell r="E590" t="str">
            <v xml:space="preserve"> PAN,FR FLOOR</v>
          </cell>
          <cell r="F590" t="str">
            <v>P-P5-P7</v>
          </cell>
          <cell r="H590">
            <v>1</v>
          </cell>
          <cell r="L590">
            <v>1</v>
          </cell>
          <cell r="M590">
            <v>1</v>
          </cell>
          <cell r="N590">
            <v>1</v>
          </cell>
          <cell r="P590">
            <v>1</v>
          </cell>
          <cell r="R590">
            <v>1</v>
          </cell>
          <cell r="U590">
            <v>1</v>
          </cell>
          <cell r="W590">
            <v>1</v>
          </cell>
          <cell r="AB590">
            <v>1</v>
          </cell>
          <cell r="AC590">
            <v>1</v>
          </cell>
          <cell r="AD590">
            <v>1</v>
          </cell>
          <cell r="AF590">
            <v>1</v>
          </cell>
          <cell r="AH590">
            <v>1</v>
          </cell>
          <cell r="AL590">
            <v>1</v>
          </cell>
          <cell r="AM590">
            <v>1</v>
          </cell>
          <cell r="AN590">
            <v>1</v>
          </cell>
          <cell r="AO590">
            <v>1</v>
          </cell>
          <cell r="AP590">
            <v>1</v>
          </cell>
          <cell r="AW590">
            <v>1</v>
          </cell>
          <cell r="AZ590" t="str">
            <v>B</v>
          </cell>
          <cell r="BA590" t="str">
            <v>HMC</v>
          </cell>
          <cell r="BB590" t="str">
            <v>H50A11K</v>
          </cell>
          <cell r="BC590" t="str">
            <v>MB250000A</v>
          </cell>
          <cell r="BD590" t="str">
            <v>L475</v>
          </cell>
          <cell r="BI590">
            <v>49</v>
          </cell>
          <cell r="BJ590">
            <v>539</v>
          </cell>
          <cell r="BK590">
            <v>28</v>
          </cell>
          <cell r="BL590">
            <v>2</v>
          </cell>
        </row>
        <row r="591">
          <cell r="C591">
            <v>1892</v>
          </cell>
          <cell r="D591" t="str">
            <v>HQ505134</v>
          </cell>
          <cell r="E591" t="str">
            <v xml:space="preserve"> PAN,FR FLOOR</v>
          </cell>
          <cell r="F591" t="str">
            <v>-431B</v>
          </cell>
          <cell r="I591">
            <v>1</v>
          </cell>
          <cell r="J591">
            <v>1</v>
          </cell>
          <cell r="K591">
            <v>1</v>
          </cell>
          <cell r="O591">
            <v>1</v>
          </cell>
          <cell r="Q591">
            <v>1</v>
          </cell>
          <cell r="S591">
            <v>1</v>
          </cell>
          <cell r="T591">
            <v>1</v>
          </cell>
          <cell r="V591">
            <v>1</v>
          </cell>
          <cell r="X591">
            <v>1</v>
          </cell>
          <cell r="Y591">
            <v>1</v>
          </cell>
          <cell r="Z591">
            <v>1</v>
          </cell>
          <cell r="AA591">
            <v>1</v>
          </cell>
          <cell r="AE591">
            <v>1</v>
          </cell>
          <cell r="AG591">
            <v>1</v>
          </cell>
          <cell r="AI591">
            <v>1</v>
          </cell>
          <cell r="AJ591">
            <v>1</v>
          </cell>
          <cell r="AK591">
            <v>1</v>
          </cell>
          <cell r="AQ591">
            <v>1</v>
          </cell>
          <cell r="AR591">
            <v>1</v>
          </cell>
          <cell r="AS591">
            <v>1</v>
          </cell>
          <cell r="AT591">
            <v>1</v>
          </cell>
          <cell r="AU591">
            <v>1</v>
          </cell>
          <cell r="AV591">
            <v>1</v>
          </cell>
          <cell r="AX591">
            <v>1</v>
          </cell>
          <cell r="AY591">
            <v>1</v>
          </cell>
          <cell r="AZ591" t="str">
            <v>B</v>
          </cell>
          <cell r="BA591" t="str">
            <v>HMC</v>
          </cell>
          <cell r="BB591" t="str">
            <v>H50A11K</v>
          </cell>
          <cell r="BC591" t="str">
            <v>MB275000A</v>
          </cell>
          <cell r="BD591" t="str">
            <v>L475</v>
          </cell>
          <cell r="BI591">
            <v>888</v>
          </cell>
          <cell r="BJ591">
            <v>458</v>
          </cell>
          <cell r="BK591">
            <v>90</v>
          </cell>
          <cell r="BL591">
            <v>100</v>
          </cell>
        </row>
        <row r="592">
          <cell r="C592">
            <v>1892</v>
          </cell>
          <cell r="D592" t="str">
            <v>HQ505211</v>
          </cell>
          <cell r="E592" t="str">
            <v xml:space="preserve"> PNL,RR FLR</v>
          </cell>
          <cell r="F592" t="str">
            <v>-973B(R/H)</v>
          </cell>
          <cell r="I592">
            <v>1</v>
          </cell>
          <cell r="J592">
            <v>1</v>
          </cell>
          <cell r="K592">
            <v>1</v>
          </cell>
          <cell r="O592">
            <v>1</v>
          </cell>
          <cell r="Q592">
            <v>1</v>
          </cell>
          <cell r="S592">
            <v>1</v>
          </cell>
          <cell r="T592">
            <v>1</v>
          </cell>
          <cell r="V592">
            <v>1</v>
          </cell>
          <cell r="X592">
            <v>1</v>
          </cell>
          <cell r="Y592">
            <v>1</v>
          </cell>
          <cell r="Z592">
            <v>1</v>
          </cell>
          <cell r="AA592">
            <v>1</v>
          </cell>
          <cell r="AE592">
            <v>1</v>
          </cell>
          <cell r="AG592">
            <v>1</v>
          </cell>
          <cell r="AI592">
            <v>1</v>
          </cell>
          <cell r="AJ592">
            <v>1</v>
          </cell>
          <cell r="AK592">
            <v>1</v>
          </cell>
          <cell r="AQ592">
            <v>1</v>
          </cell>
          <cell r="AR592">
            <v>1</v>
          </cell>
          <cell r="AS592">
            <v>1</v>
          </cell>
          <cell r="AT592">
            <v>1</v>
          </cell>
          <cell r="AU592">
            <v>1</v>
          </cell>
          <cell r="AV592">
            <v>1</v>
          </cell>
          <cell r="AX592">
            <v>1</v>
          </cell>
          <cell r="AY592">
            <v>1</v>
          </cell>
          <cell r="AZ592" t="str">
            <v>B</v>
          </cell>
          <cell r="BA592" t="str">
            <v>HMC</v>
          </cell>
          <cell r="BB592" t="str">
            <v>H50A12K01-7,11-15,17</v>
          </cell>
          <cell r="BC592" t="str">
            <v>MB275957A</v>
          </cell>
          <cell r="BD592" t="str">
            <v>L475</v>
          </cell>
          <cell r="BI592">
            <v>888</v>
          </cell>
          <cell r="BJ592">
            <v>458</v>
          </cell>
          <cell r="BK592">
            <v>90</v>
          </cell>
          <cell r="BL592">
            <v>100</v>
          </cell>
        </row>
        <row r="593">
          <cell r="C593">
            <v>1030</v>
          </cell>
          <cell r="D593" t="str">
            <v>HQ505311</v>
          </cell>
          <cell r="E593" t="str">
            <v xml:space="preserve"> PNL-DASH</v>
          </cell>
          <cell r="F593" t="str">
            <v>+581A</v>
          </cell>
          <cell r="K593">
            <v>1</v>
          </cell>
          <cell r="M593">
            <v>1</v>
          </cell>
          <cell r="N593">
            <v>1</v>
          </cell>
          <cell r="O593">
            <v>1</v>
          </cell>
          <cell r="P593">
            <v>1</v>
          </cell>
          <cell r="Q593">
            <v>1</v>
          </cell>
          <cell r="AD593">
            <v>1</v>
          </cell>
          <cell r="AZ593" t="str">
            <v>B</v>
          </cell>
          <cell r="BA593" t="str">
            <v>HMC</v>
          </cell>
          <cell r="BB593" t="str">
            <v>H50A13K01-7,18^25</v>
          </cell>
          <cell r="BD593" t="str">
            <v>L475</v>
          </cell>
          <cell r="BI593">
            <v>684</v>
          </cell>
          <cell r="BJ593">
            <v>0</v>
          </cell>
          <cell r="BK593">
            <v>0</v>
          </cell>
          <cell r="BL593">
            <v>0</v>
          </cell>
        </row>
        <row r="594">
          <cell r="C594">
            <v>2453</v>
          </cell>
          <cell r="D594" t="str">
            <v>HQ505312</v>
          </cell>
          <cell r="E594" t="str">
            <v xml:space="preserve"> PNL ASSY DASH</v>
          </cell>
          <cell r="F594" t="str">
            <v>-581A</v>
          </cell>
          <cell r="H594">
            <v>1</v>
          </cell>
          <cell r="I594">
            <v>1</v>
          </cell>
          <cell r="J594">
            <v>1</v>
          </cell>
          <cell r="K594">
            <v>1</v>
          </cell>
          <cell r="L594">
            <v>1</v>
          </cell>
          <cell r="M594">
            <v>1</v>
          </cell>
          <cell r="N594">
            <v>1</v>
          </cell>
          <cell r="O594">
            <v>1</v>
          </cell>
          <cell r="P594">
            <v>1</v>
          </cell>
          <cell r="Q594">
            <v>1</v>
          </cell>
          <cell r="R594">
            <v>1</v>
          </cell>
          <cell r="S594">
            <v>1</v>
          </cell>
          <cell r="T594">
            <v>1</v>
          </cell>
          <cell r="U594">
            <v>1</v>
          </cell>
          <cell r="V594">
            <v>1</v>
          </cell>
          <cell r="Y594">
            <v>1</v>
          </cell>
          <cell r="Z594">
            <v>1</v>
          </cell>
          <cell r="AA594">
            <v>1</v>
          </cell>
          <cell r="AB594">
            <v>1</v>
          </cell>
          <cell r="AC594">
            <v>1</v>
          </cell>
          <cell r="AD594">
            <v>1</v>
          </cell>
          <cell r="AF594">
            <v>1</v>
          </cell>
          <cell r="AG594">
            <v>1</v>
          </cell>
          <cell r="AJ594">
            <v>1</v>
          </cell>
          <cell r="AL594">
            <v>1</v>
          </cell>
          <cell r="AM594">
            <v>1</v>
          </cell>
          <cell r="AO594">
            <v>1</v>
          </cell>
          <cell r="AQ594">
            <v>1</v>
          </cell>
          <cell r="AS594">
            <v>1</v>
          </cell>
          <cell r="AU594">
            <v>1</v>
          </cell>
          <cell r="AV594">
            <v>1</v>
          </cell>
          <cell r="AZ594" t="str">
            <v>B</v>
          </cell>
          <cell r="BA594" t="str">
            <v>HMC</v>
          </cell>
          <cell r="BB594" t="str">
            <v>H50A13K01-1,4,12^17,27^29</v>
          </cell>
          <cell r="BC594" t="str">
            <v>HC000015</v>
          </cell>
          <cell r="BD594" t="str">
            <v>L475</v>
          </cell>
          <cell r="BI594">
            <v>937</v>
          </cell>
          <cell r="BJ594">
            <v>995</v>
          </cell>
          <cell r="BK594">
            <v>57</v>
          </cell>
          <cell r="BL594">
            <v>56</v>
          </cell>
        </row>
        <row r="595">
          <cell r="C595">
            <v>130</v>
          </cell>
          <cell r="D595" t="str">
            <v>HQ505313</v>
          </cell>
          <cell r="E595" t="str">
            <v xml:space="preserve"> PNL ASSY DASH</v>
          </cell>
          <cell r="W595">
            <v>1</v>
          </cell>
          <cell r="X595">
            <v>1</v>
          </cell>
          <cell r="AE595">
            <v>1</v>
          </cell>
          <cell r="AH595">
            <v>1</v>
          </cell>
          <cell r="AI595">
            <v>1</v>
          </cell>
          <cell r="AN595">
            <v>1</v>
          </cell>
          <cell r="AP595">
            <v>1</v>
          </cell>
          <cell r="AR595">
            <v>1</v>
          </cell>
          <cell r="AT595">
            <v>1</v>
          </cell>
          <cell r="AW595">
            <v>1</v>
          </cell>
          <cell r="AY595">
            <v>1</v>
          </cell>
          <cell r="AZ595" t="str">
            <v>B</v>
          </cell>
          <cell r="BA595" t="str">
            <v>HMC</v>
          </cell>
          <cell r="BB595" t="str">
            <v>H50A13K01-3,5,6,9^11</v>
          </cell>
          <cell r="BC595" t="str">
            <v>HC000016</v>
          </cell>
          <cell r="BD595" t="str">
            <v>L475</v>
          </cell>
          <cell r="BI595">
            <v>0</v>
          </cell>
          <cell r="BJ595">
            <v>2</v>
          </cell>
          <cell r="BK595">
            <v>60</v>
          </cell>
          <cell r="BL595">
            <v>46</v>
          </cell>
        </row>
        <row r="596">
          <cell r="C596">
            <v>1</v>
          </cell>
          <cell r="D596" t="str">
            <v>HQ505314</v>
          </cell>
          <cell r="E596" t="str">
            <v xml:space="preserve"> PNL ASSY DASH</v>
          </cell>
          <cell r="AK596">
            <v>1</v>
          </cell>
          <cell r="AX596">
            <v>1</v>
          </cell>
          <cell r="AZ596" t="str">
            <v>B</v>
          </cell>
          <cell r="BA596" t="str">
            <v>HMC</v>
          </cell>
          <cell r="BB596" t="str">
            <v>H50A13K01-65</v>
          </cell>
          <cell r="BC596" t="str">
            <v>HC000016</v>
          </cell>
          <cell r="BD596" t="str">
            <v>L475</v>
          </cell>
          <cell r="BI596">
            <v>0</v>
          </cell>
          <cell r="BJ596">
            <v>0</v>
          </cell>
          <cell r="BK596">
            <v>1</v>
          </cell>
          <cell r="BL596">
            <v>0</v>
          </cell>
        </row>
        <row r="597">
          <cell r="C597">
            <v>1052</v>
          </cell>
          <cell r="D597" t="str">
            <v>HQ505725</v>
          </cell>
          <cell r="E597" t="str">
            <v xml:space="preserve"> PANEL,QTR,OTR LH</v>
          </cell>
          <cell r="F597" t="str">
            <v>+661B</v>
          </cell>
          <cell r="K597">
            <v>1</v>
          </cell>
          <cell r="O597">
            <v>1</v>
          </cell>
          <cell r="Q597">
            <v>1</v>
          </cell>
          <cell r="X597">
            <v>1</v>
          </cell>
          <cell r="AE597">
            <v>1</v>
          </cell>
          <cell r="AI597">
            <v>1</v>
          </cell>
          <cell r="AS597">
            <v>1</v>
          </cell>
          <cell r="AT597">
            <v>1</v>
          </cell>
          <cell r="AZ597" t="str">
            <v>B</v>
          </cell>
          <cell r="BA597" t="str">
            <v>HMC</v>
          </cell>
          <cell r="BB597" t="str">
            <v>H50A17K</v>
          </cell>
          <cell r="BC597" t="str">
            <v>MB275265A</v>
          </cell>
          <cell r="BD597" t="str">
            <v>L475</v>
          </cell>
          <cell r="BI597">
            <v>635</v>
          </cell>
          <cell r="BJ597">
            <v>2</v>
          </cell>
          <cell r="BK597">
            <v>53</v>
          </cell>
          <cell r="BL597">
            <v>29</v>
          </cell>
        </row>
        <row r="598">
          <cell r="C598">
            <v>1052</v>
          </cell>
          <cell r="D598" t="str">
            <v>HQ505726</v>
          </cell>
          <cell r="E598" t="str">
            <v xml:space="preserve"> PANEL,QTR,OTR RH</v>
          </cell>
          <cell r="F598" t="str">
            <v>+661B</v>
          </cell>
          <cell r="K598">
            <v>1</v>
          </cell>
          <cell r="O598">
            <v>1</v>
          </cell>
          <cell r="Q598">
            <v>1</v>
          </cell>
          <cell r="X598">
            <v>1</v>
          </cell>
          <cell r="AE598">
            <v>1</v>
          </cell>
          <cell r="AI598">
            <v>1</v>
          </cell>
          <cell r="AS598">
            <v>1</v>
          </cell>
          <cell r="AT598">
            <v>1</v>
          </cell>
          <cell r="AZ598" t="str">
            <v>B</v>
          </cell>
          <cell r="BA598" t="str">
            <v>HMC</v>
          </cell>
          <cell r="BB598" t="str">
            <v>H50A17K</v>
          </cell>
          <cell r="BC598" t="str">
            <v>MB275266A</v>
          </cell>
          <cell r="BD598" t="str">
            <v>L475</v>
          </cell>
          <cell r="BI598">
            <v>635</v>
          </cell>
          <cell r="BJ598">
            <v>2</v>
          </cell>
          <cell r="BK598">
            <v>53</v>
          </cell>
          <cell r="BL598">
            <v>29</v>
          </cell>
        </row>
        <row r="599">
          <cell r="C599">
            <v>103</v>
          </cell>
          <cell r="D599" t="str">
            <v>HQ505741</v>
          </cell>
          <cell r="E599" t="str">
            <v xml:space="preserve"> PNL,SIDE,OTR LH</v>
          </cell>
          <cell r="F599" t="str">
            <v>+661B</v>
          </cell>
          <cell r="M599">
            <v>1</v>
          </cell>
          <cell r="N599">
            <v>1</v>
          </cell>
          <cell r="P599">
            <v>1</v>
          </cell>
          <cell r="W599">
            <v>1</v>
          </cell>
          <cell r="AD599">
            <v>1</v>
          </cell>
          <cell r="AH599">
            <v>1</v>
          </cell>
          <cell r="AO599">
            <v>1</v>
          </cell>
          <cell r="AP599">
            <v>1</v>
          </cell>
          <cell r="AW599">
            <v>1</v>
          </cell>
          <cell r="AZ599" t="str">
            <v>B</v>
          </cell>
          <cell r="BA599" t="str">
            <v>HMC</v>
          </cell>
          <cell r="BB599" t="str">
            <v>_x0000__x0000__x0000__x0000__x0000__x0000_</v>
          </cell>
          <cell r="BC599" t="str">
            <v>MB275261A</v>
          </cell>
          <cell r="BD599" t="str">
            <v>L475</v>
          </cell>
          <cell r="BI599">
            <v>49</v>
          </cell>
          <cell r="BJ599">
            <v>0</v>
          </cell>
          <cell r="BK599">
            <v>8</v>
          </cell>
          <cell r="BL599">
            <v>2</v>
          </cell>
        </row>
        <row r="600">
          <cell r="C600">
            <v>91</v>
          </cell>
          <cell r="D600" t="str">
            <v>HQ505742</v>
          </cell>
          <cell r="E600" t="str">
            <v xml:space="preserve"> PANEL,SIDE,OTR RH</v>
          </cell>
          <cell r="F600" t="str">
            <v>+661B</v>
          </cell>
          <cell r="M600">
            <v>1</v>
          </cell>
          <cell r="N600">
            <v>1</v>
          </cell>
          <cell r="P600">
            <v>1</v>
          </cell>
          <cell r="W600">
            <v>1</v>
          </cell>
          <cell r="AD600">
            <v>1</v>
          </cell>
          <cell r="AP600">
            <v>1</v>
          </cell>
          <cell r="AW600">
            <v>1</v>
          </cell>
          <cell r="AZ600" t="str">
            <v>B</v>
          </cell>
          <cell r="BA600" t="str">
            <v>HMC</v>
          </cell>
          <cell r="BB600" t="str">
            <v>H50A17K</v>
          </cell>
          <cell r="BC600" t="str">
            <v>MB275262A</v>
          </cell>
          <cell r="BD600" t="str">
            <v>L475</v>
          </cell>
          <cell r="BI600">
            <v>49</v>
          </cell>
          <cell r="BJ600">
            <v>0</v>
          </cell>
          <cell r="BK600">
            <v>0</v>
          </cell>
          <cell r="BL600">
            <v>2</v>
          </cell>
        </row>
        <row r="601">
          <cell r="C601">
            <v>1872</v>
          </cell>
          <cell r="D601" t="str">
            <v>HQ505771</v>
          </cell>
          <cell r="E601" t="str">
            <v xml:space="preserve"> PANEL,QTR INR LH</v>
          </cell>
          <cell r="J601">
            <v>1</v>
          </cell>
          <cell r="K601">
            <v>1</v>
          </cell>
          <cell r="O601">
            <v>1</v>
          </cell>
          <cell r="Q601">
            <v>1</v>
          </cell>
          <cell r="S601">
            <v>1</v>
          </cell>
          <cell r="T601">
            <v>1</v>
          </cell>
          <cell r="V601">
            <v>1</v>
          </cell>
          <cell r="X601">
            <v>1</v>
          </cell>
          <cell r="Y601">
            <v>1</v>
          </cell>
          <cell r="Z601">
            <v>1</v>
          </cell>
          <cell r="AA601">
            <v>1</v>
          </cell>
          <cell r="AE601">
            <v>1</v>
          </cell>
          <cell r="AI601">
            <v>1</v>
          </cell>
          <cell r="AJ601">
            <v>1</v>
          </cell>
          <cell r="AK601">
            <v>1</v>
          </cell>
          <cell r="AQ601">
            <v>1</v>
          </cell>
          <cell r="AR601">
            <v>1</v>
          </cell>
          <cell r="AS601">
            <v>1</v>
          </cell>
          <cell r="AT601">
            <v>1</v>
          </cell>
          <cell r="AU601">
            <v>1</v>
          </cell>
          <cell r="AV601">
            <v>1</v>
          </cell>
          <cell r="AX601">
            <v>1</v>
          </cell>
          <cell r="AY601">
            <v>1</v>
          </cell>
          <cell r="AZ601" t="str">
            <v>B</v>
          </cell>
          <cell r="BA601" t="str">
            <v>HMC</v>
          </cell>
          <cell r="BB601" t="str">
            <v>H50A17K</v>
          </cell>
          <cell r="BC601" t="str">
            <v>HC000011</v>
          </cell>
          <cell r="BD601" t="str">
            <v>L475</v>
          </cell>
          <cell r="BI601">
            <v>868</v>
          </cell>
          <cell r="BJ601">
            <v>458</v>
          </cell>
          <cell r="BK601">
            <v>90</v>
          </cell>
          <cell r="BL601">
            <v>100</v>
          </cell>
        </row>
        <row r="602">
          <cell r="C602">
            <v>1963</v>
          </cell>
          <cell r="D602" t="str">
            <v>HQ505772</v>
          </cell>
          <cell r="E602" t="str">
            <v xml:space="preserve"> PANEL,QTR INR RH  </v>
          </cell>
          <cell r="F602" t="str">
            <v>+661B</v>
          </cell>
          <cell r="J602">
            <v>1</v>
          </cell>
          <cell r="K602">
            <v>1</v>
          </cell>
          <cell r="M602">
            <v>1</v>
          </cell>
          <cell r="N602">
            <v>1</v>
          </cell>
          <cell r="O602">
            <v>1</v>
          </cell>
          <cell r="P602">
            <v>1</v>
          </cell>
          <cell r="Q602">
            <v>1</v>
          </cell>
          <cell r="S602">
            <v>1</v>
          </cell>
          <cell r="T602">
            <v>1</v>
          </cell>
          <cell r="V602">
            <v>1</v>
          </cell>
          <cell r="W602">
            <v>1</v>
          </cell>
          <cell r="X602">
            <v>1</v>
          </cell>
          <cell r="Y602">
            <v>1</v>
          </cell>
          <cell r="Z602">
            <v>1</v>
          </cell>
          <cell r="AA602">
            <v>1</v>
          </cell>
          <cell r="AD602">
            <v>1</v>
          </cell>
          <cell r="AE602">
            <v>1</v>
          </cell>
          <cell r="AI602">
            <v>1</v>
          </cell>
          <cell r="AJ602">
            <v>1</v>
          </cell>
          <cell r="AK602">
            <v>1</v>
          </cell>
          <cell r="AP602">
            <v>1</v>
          </cell>
          <cell r="AQ602">
            <v>1</v>
          </cell>
          <cell r="AR602">
            <v>1</v>
          </cell>
          <cell r="AS602">
            <v>1</v>
          </cell>
          <cell r="AT602">
            <v>1</v>
          </cell>
          <cell r="AU602">
            <v>1</v>
          </cell>
          <cell r="AV602">
            <v>1</v>
          </cell>
          <cell r="AW602">
            <v>1</v>
          </cell>
          <cell r="AX602">
            <v>1</v>
          </cell>
          <cell r="AY602">
            <v>1</v>
          </cell>
          <cell r="AZ602" t="str">
            <v>B</v>
          </cell>
          <cell r="BA602" t="str">
            <v>HMC</v>
          </cell>
          <cell r="BB602" t="str">
            <v>H50A17K</v>
          </cell>
          <cell r="BC602" t="str">
            <v>HC000012</v>
          </cell>
          <cell r="BD602" t="str">
            <v>L475</v>
          </cell>
          <cell r="BI602">
            <v>917</v>
          </cell>
          <cell r="BJ602">
            <v>458</v>
          </cell>
          <cell r="BK602">
            <v>90</v>
          </cell>
          <cell r="BL602">
            <v>102</v>
          </cell>
        </row>
        <row r="603">
          <cell r="C603">
            <v>20</v>
          </cell>
          <cell r="D603" t="str">
            <v>HQ505773</v>
          </cell>
          <cell r="E603" t="str">
            <v xml:space="preserve"> PANEL,QTR INR LH</v>
          </cell>
          <cell r="I603">
            <v>1</v>
          </cell>
          <cell r="AG603">
            <v>1</v>
          </cell>
          <cell r="AZ603" t="str">
            <v>B</v>
          </cell>
          <cell r="BA603" t="str">
            <v>HMC</v>
          </cell>
          <cell r="BB603" t="str">
            <v>H50A17K</v>
          </cell>
          <cell r="BC603" t="str">
            <v>HC000009</v>
          </cell>
          <cell r="BD603" t="str">
            <v>L475</v>
          </cell>
          <cell r="BE603" t="str">
            <v>2</v>
          </cell>
          <cell r="BI603">
            <v>20</v>
          </cell>
          <cell r="BJ603">
            <v>0</v>
          </cell>
          <cell r="BK603">
            <v>0</v>
          </cell>
          <cell r="BL603">
            <v>0</v>
          </cell>
        </row>
        <row r="604">
          <cell r="C604">
            <v>20</v>
          </cell>
          <cell r="D604" t="str">
            <v>HQ505774</v>
          </cell>
          <cell r="E604" t="str">
            <v xml:space="preserve"> PANEL,QTR,INR RH  </v>
          </cell>
          <cell r="I604">
            <v>1</v>
          </cell>
          <cell r="AG604">
            <v>1</v>
          </cell>
          <cell r="AZ604" t="str">
            <v>B</v>
          </cell>
          <cell r="BA604" t="str">
            <v>HMC</v>
          </cell>
          <cell r="BB604" t="str">
            <v>H50A17K</v>
          </cell>
          <cell r="BC604" t="str">
            <v>HC000010</v>
          </cell>
          <cell r="BD604" t="str">
            <v>L475</v>
          </cell>
          <cell r="BE604" t="str">
            <v>2</v>
          </cell>
          <cell r="BI604">
            <v>20</v>
          </cell>
          <cell r="BJ604">
            <v>0</v>
          </cell>
          <cell r="BK604">
            <v>0</v>
          </cell>
          <cell r="BL604">
            <v>0</v>
          </cell>
        </row>
        <row r="605">
          <cell r="C605">
            <v>1817</v>
          </cell>
          <cell r="D605" t="str">
            <v>MB021356A</v>
          </cell>
          <cell r="E605" t="str">
            <v xml:space="preserve"> PANEL,HOOD INNER</v>
          </cell>
          <cell r="H605">
            <v>1</v>
          </cell>
          <cell r="I605">
            <v>1</v>
          </cell>
          <cell r="J605">
            <v>1</v>
          </cell>
          <cell r="K605">
            <v>1</v>
          </cell>
          <cell r="L605">
            <v>1</v>
          </cell>
          <cell r="M605">
            <v>1</v>
          </cell>
          <cell r="R605">
            <v>1</v>
          </cell>
          <cell r="S605">
            <v>1</v>
          </cell>
          <cell r="T605">
            <v>1</v>
          </cell>
          <cell r="U605">
            <v>1</v>
          </cell>
          <cell r="V605">
            <v>1</v>
          </cell>
          <cell r="W605">
            <v>1</v>
          </cell>
          <cell r="X605">
            <v>1</v>
          </cell>
          <cell r="Y605">
            <v>1</v>
          </cell>
          <cell r="AA605">
            <v>1</v>
          </cell>
          <cell r="AB605">
            <v>1</v>
          </cell>
          <cell r="AC605">
            <v>1</v>
          </cell>
          <cell r="AD605">
            <v>1</v>
          </cell>
          <cell r="AE605">
            <v>1</v>
          </cell>
          <cell r="AF605">
            <v>1</v>
          </cell>
          <cell r="AG605">
            <v>1</v>
          </cell>
          <cell r="AH605">
            <v>1</v>
          </cell>
          <cell r="AI605">
            <v>1</v>
          </cell>
          <cell r="AJ605">
            <v>1</v>
          </cell>
          <cell r="AK605">
            <v>1</v>
          </cell>
          <cell r="AL605">
            <v>1</v>
          </cell>
          <cell r="AM605">
            <v>1</v>
          </cell>
          <cell r="AN605">
            <v>1</v>
          </cell>
          <cell r="AP605">
            <v>1</v>
          </cell>
          <cell r="AQ605">
            <v>1</v>
          </cell>
          <cell r="AR605">
            <v>1</v>
          </cell>
          <cell r="AU605">
            <v>1</v>
          </cell>
          <cell r="AV605">
            <v>1</v>
          </cell>
          <cell r="AW605">
            <v>1</v>
          </cell>
          <cell r="AX605">
            <v>1</v>
          </cell>
          <cell r="AY605">
            <v>1</v>
          </cell>
          <cell r="AZ605" t="str">
            <v>B(M)</v>
          </cell>
          <cell r="BA605" t="str">
            <v>HMC</v>
          </cell>
          <cell r="BB605" t="str">
            <v>H50B35K</v>
          </cell>
          <cell r="BD605" t="str">
            <v>L475</v>
          </cell>
          <cell r="BI605">
            <v>515</v>
          </cell>
          <cell r="BJ605">
            <v>997</v>
          </cell>
          <cell r="BK605">
            <v>110</v>
          </cell>
          <cell r="BL605">
            <v>73</v>
          </cell>
        </row>
        <row r="606">
          <cell r="C606">
            <v>185</v>
          </cell>
          <cell r="D606" t="str">
            <v>MB112539A</v>
          </cell>
          <cell r="E606" t="str">
            <v xml:space="preserve"> PANEL,B/DR,OTR</v>
          </cell>
          <cell r="F606" t="str">
            <v>-824A</v>
          </cell>
          <cell r="H606">
            <v>1</v>
          </cell>
          <cell r="I606">
            <v>1</v>
          </cell>
          <cell r="U606">
            <v>1</v>
          </cell>
          <cell r="V606">
            <v>1</v>
          </cell>
          <cell r="Y606">
            <v>1</v>
          </cell>
          <cell r="AA606">
            <v>1</v>
          </cell>
          <cell r="AC606">
            <v>1</v>
          </cell>
          <cell r="AF606">
            <v>1</v>
          </cell>
          <cell r="AG606">
            <v>1</v>
          </cell>
          <cell r="AJ606">
            <v>1</v>
          </cell>
          <cell r="AK606">
            <v>1</v>
          </cell>
          <cell r="AL606">
            <v>1</v>
          </cell>
          <cell r="AM606">
            <v>1</v>
          </cell>
          <cell r="AN606">
            <v>1</v>
          </cell>
          <cell r="AQ606">
            <v>1</v>
          </cell>
          <cell r="AR606">
            <v>1</v>
          </cell>
          <cell r="AU606">
            <v>1</v>
          </cell>
          <cell r="AV606">
            <v>1</v>
          </cell>
          <cell r="AW606">
            <v>1</v>
          </cell>
          <cell r="AX606">
            <v>1</v>
          </cell>
          <cell r="AY606">
            <v>1</v>
          </cell>
          <cell r="AZ606" t="str">
            <v>B</v>
          </cell>
          <cell r="BA606" t="str">
            <v>HMC</v>
          </cell>
          <cell r="BB606" t="str">
            <v>H50B33K</v>
          </cell>
          <cell r="BD606" t="str">
            <v>L475</v>
          </cell>
          <cell r="BE606" t="str">
            <v>STD</v>
          </cell>
          <cell r="BI606">
            <v>20</v>
          </cell>
          <cell r="BJ606">
            <v>0</v>
          </cell>
          <cell r="BK606">
            <v>57</v>
          </cell>
          <cell r="BL606">
            <v>73</v>
          </cell>
        </row>
        <row r="607">
          <cell r="C607">
            <v>2584</v>
          </cell>
          <cell r="D607" t="str">
            <v>MB250950A</v>
          </cell>
          <cell r="E607" t="str">
            <v xml:space="preserve"> PANEL,RR END,OTR RH</v>
          </cell>
          <cell r="G607">
            <v>1</v>
          </cell>
          <cell r="AZ607" t="str">
            <v>B</v>
          </cell>
          <cell r="BA607" t="str">
            <v>HMC</v>
          </cell>
          <cell r="BB607" t="str">
            <v>H50A17K</v>
          </cell>
          <cell r="BD607" t="str">
            <v>L475</v>
          </cell>
          <cell r="BE607" t="str">
            <v>ALL</v>
          </cell>
          <cell r="BI607">
            <v>0</v>
          </cell>
          <cell r="BJ607">
            <v>0</v>
          </cell>
          <cell r="BK607">
            <v>0</v>
          </cell>
          <cell r="BL607">
            <v>0</v>
          </cell>
        </row>
        <row r="608">
          <cell r="C608">
            <v>2584</v>
          </cell>
          <cell r="D608" t="str">
            <v>MB250951A</v>
          </cell>
          <cell r="E608" t="str">
            <v xml:space="preserve"> PANEL,RR END,OTR LH</v>
          </cell>
          <cell r="G608">
            <v>1</v>
          </cell>
          <cell r="AZ608" t="str">
            <v>B</v>
          </cell>
          <cell r="BA608" t="str">
            <v>HMC</v>
          </cell>
          <cell r="BB608" t="str">
            <v>H50A17K</v>
          </cell>
          <cell r="BD608" t="str">
            <v>L475</v>
          </cell>
          <cell r="BE608" t="str">
            <v>ALL</v>
          </cell>
          <cell r="BI608">
            <v>0</v>
          </cell>
          <cell r="BJ608">
            <v>0</v>
          </cell>
          <cell r="BK608">
            <v>0</v>
          </cell>
          <cell r="BL608">
            <v>0</v>
          </cell>
        </row>
        <row r="609">
          <cell r="C609">
            <v>2584</v>
          </cell>
          <cell r="D609" t="str">
            <v>MB274606A</v>
          </cell>
          <cell r="E609" t="str">
            <v xml:space="preserve"> PILLAR FR OTR RH</v>
          </cell>
          <cell r="F609" t="str">
            <v>MB274608A</v>
          </cell>
          <cell r="G609">
            <v>1</v>
          </cell>
          <cell r="AZ609" t="str">
            <v>B</v>
          </cell>
          <cell r="BA609" t="str">
            <v>HMC</v>
          </cell>
          <cell r="BB609" t="str">
            <v>H50A16K</v>
          </cell>
          <cell r="BD609" t="str">
            <v>L475</v>
          </cell>
          <cell r="BE609" t="str">
            <v>ALL</v>
          </cell>
          <cell r="BI609">
            <v>0</v>
          </cell>
          <cell r="BJ609">
            <v>0</v>
          </cell>
          <cell r="BK609">
            <v>0</v>
          </cell>
          <cell r="BL609">
            <v>0</v>
          </cell>
        </row>
        <row r="610">
          <cell r="C610">
            <v>1817</v>
          </cell>
          <cell r="D610" t="str">
            <v>MB274797A</v>
          </cell>
          <cell r="E610" t="str">
            <v xml:space="preserve"> PANEL,HOOD OUTER</v>
          </cell>
          <cell r="H610">
            <v>1</v>
          </cell>
          <cell r="I610">
            <v>1</v>
          </cell>
          <cell r="J610">
            <v>1</v>
          </cell>
          <cell r="K610">
            <v>1</v>
          </cell>
          <cell r="L610">
            <v>1</v>
          </cell>
          <cell r="M610">
            <v>1</v>
          </cell>
          <cell r="R610">
            <v>1</v>
          </cell>
          <cell r="S610">
            <v>1</v>
          </cell>
          <cell r="T610">
            <v>1</v>
          </cell>
          <cell r="U610">
            <v>1</v>
          </cell>
          <cell r="V610">
            <v>1</v>
          </cell>
          <cell r="W610">
            <v>1</v>
          </cell>
          <cell r="X610">
            <v>1</v>
          </cell>
          <cell r="Y610">
            <v>1</v>
          </cell>
          <cell r="AA610">
            <v>1</v>
          </cell>
          <cell r="AB610">
            <v>1</v>
          </cell>
          <cell r="AC610">
            <v>1</v>
          </cell>
          <cell r="AD610">
            <v>1</v>
          </cell>
          <cell r="AE610">
            <v>1</v>
          </cell>
          <cell r="AF610">
            <v>1</v>
          </cell>
          <cell r="AG610">
            <v>1</v>
          </cell>
          <cell r="AH610">
            <v>1</v>
          </cell>
          <cell r="AI610">
            <v>1</v>
          </cell>
          <cell r="AJ610">
            <v>1</v>
          </cell>
          <cell r="AK610">
            <v>1</v>
          </cell>
          <cell r="AL610">
            <v>1</v>
          </cell>
          <cell r="AM610">
            <v>1</v>
          </cell>
          <cell r="AN610">
            <v>1</v>
          </cell>
          <cell r="AP610">
            <v>1</v>
          </cell>
          <cell r="AQ610">
            <v>1</v>
          </cell>
          <cell r="AR610">
            <v>1</v>
          </cell>
          <cell r="AU610">
            <v>1</v>
          </cell>
          <cell r="AV610">
            <v>1</v>
          </cell>
          <cell r="AW610">
            <v>1</v>
          </cell>
          <cell r="AX610">
            <v>1</v>
          </cell>
          <cell r="AY610">
            <v>1</v>
          </cell>
          <cell r="AZ610" t="str">
            <v>B</v>
          </cell>
          <cell r="BA610" t="str">
            <v>HMC</v>
          </cell>
          <cell r="BB610" t="str">
            <v>H50B35K</v>
          </cell>
          <cell r="BD610" t="str">
            <v>L475</v>
          </cell>
          <cell r="BI610">
            <v>515</v>
          </cell>
          <cell r="BJ610">
            <v>997</v>
          </cell>
          <cell r="BK610">
            <v>110</v>
          </cell>
          <cell r="BL610">
            <v>73</v>
          </cell>
        </row>
        <row r="611">
          <cell r="C611">
            <v>1820</v>
          </cell>
          <cell r="D611" t="str">
            <v>MB275055</v>
          </cell>
          <cell r="E611" t="str">
            <v xml:space="preserve"> PANEL,QTR,OTR FR LH</v>
          </cell>
          <cell r="F611" t="str">
            <v>(일부+661B)적용</v>
          </cell>
          <cell r="I611">
            <v>1</v>
          </cell>
          <cell r="J611">
            <v>1</v>
          </cell>
          <cell r="K611">
            <v>1</v>
          </cell>
          <cell r="O611">
            <v>1</v>
          </cell>
          <cell r="Q611">
            <v>1</v>
          </cell>
          <cell r="S611">
            <v>1</v>
          </cell>
          <cell r="T611">
            <v>1</v>
          </cell>
          <cell r="X611">
            <v>1</v>
          </cell>
          <cell r="Y611">
            <v>1</v>
          </cell>
          <cell r="AA611">
            <v>1</v>
          </cell>
          <cell r="AE611">
            <v>1</v>
          </cell>
          <cell r="AG611">
            <v>1</v>
          </cell>
          <cell r="AI611">
            <v>1</v>
          </cell>
          <cell r="AK611">
            <v>1</v>
          </cell>
          <cell r="AS611">
            <v>1</v>
          </cell>
          <cell r="AT611">
            <v>1</v>
          </cell>
          <cell r="AU611">
            <v>1</v>
          </cell>
          <cell r="AV611">
            <v>1</v>
          </cell>
          <cell r="AX611">
            <v>1</v>
          </cell>
          <cell r="AY611">
            <v>1</v>
          </cell>
          <cell r="AZ611" t="str">
            <v>B</v>
          </cell>
          <cell r="BA611" t="str">
            <v>HMC</v>
          </cell>
          <cell r="BB611" t="str">
            <v>H50A17K</v>
          </cell>
          <cell r="BD611" t="str">
            <v>L475</v>
          </cell>
          <cell r="BI611">
            <v>888</v>
          </cell>
          <cell r="BJ611">
            <v>458</v>
          </cell>
          <cell r="BK611">
            <v>54</v>
          </cell>
          <cell r="BL611">
            <v>64</v>
          </cell>
        </row>
        <row r="612">
          <cell r="C612">
            <v>1819</v>
          </cell>
          <cell r="D612" t="str">
            <v>MB275056</v>
          </cell>
          <cell r="E612" t="str">
            <v xml:space="preserve"> PANEL,QTR,OTR,FR RH</v>
          </cell>
          <cell r="F612" t="str">
            <v>-661B</v>
          </cell>
          <cell r="I612">
            <v>1</v>
          </cell>
          <cell r="J612">
            <v>1</v>
          </cell>
          <cell r="K612">
            <v>1</v>
          </cell>
          <cell r="O612">
            <v>1</v>
          </cell>
          <cell r="Q612">
            <v>1</v>
          </cell>
          <cell r="S612">
            <v>1</v>
          </cell>
          <cell r="T612">
            <v>1</v>
          </cell>
          <cell r="X612">
            <v>1</v>
          </cell>
          <cell r="Y612">
            <v>1</v>
          </cell>
          <cell r="AE612">
            <v>1</v>
          </cell>
          <cell r="AG612">
            <v>1</v>
          </cell>
          <cell r="AI612">
            <v>1</v>
          </cell>
          <cell r="AS612">
            <v>1</v>
          </cell>
          <cell r="AT612">
            <v>1</v>
          </cell>
          <cell r="AU612">
            <v>1</v>
          </cell>
          <cell r="AV612">
            <v>1</v>
          </cell>
          <cell r="AX612">
            <v>1</v>
          </cell>
          <cell r="AY612">
            <v>1</v>
          </cell>
          <cell r="AZ612" t="str">
            <v>B</v>
          </cell>
          <cell r="BA612" t="str">
            <v>HMC</v>
          </cell>
          <cell r="BB612" t="str">
            <v>H50A17K</v>
          </cell>
          <cell r="BD612" t="str">
            <v>L475</v>
          </cell>
          <cell r="BI612">
            <v>888</v>
          </cell>
          <cell r="BJ612">
            <v>458</v>
          </cell>
          <cell r="BK612">
            <v>53</v>
          </cell>
          <cell r="BL612">
            <v>64</v>
          </cell>
        </row>
        <row r="613">
          <cell r="C613">
            <v>1892</v>
          </cell>
          <cell r="D613" t="str">
            <v>MB275139A</v>
          </cell>
          <cell r="E613" t="str">
            <v xml:space="preserve"> PNL,CTR PLR,OTR LH</v>
          </cell>
          <cell r="I613">
            <v>1</v>
          </cell>
          <cell r="J613">
            <v>1</v>
          </cell>
          <cell r="K613">
            <v>1</v>
          </cell>
          <cell r="O613">
            <v>1</v>
          </cell>
          <cell r="Q613">
            <v>1</v>
          </cell>
          <cell r="S613">
            <v>1</v>
          </cell>
          <cell r="T613">
            <v>1</v>
          </cell>
          <cell r="V613">
            <v>1</v>
          </cell>
          <cell r="X613">
            <v>1</v>
          </cell>
          <cell r="Y613">
            <v>1</v>
          </cell>
          <cell r="Z613">
            <v>1</v>
          </cell>
          <cell r="AA613">
            <v>1</v>
          </cell>
          <cell r="AE613">
            <v>1</v>
          </cell>
          <cell r="AG613">
            <v>1</v>
          </cell>
          <cell r="AI613">
            <v>1</v>
          </cell>
          <cell r="AJ613">
            <v>1</v>
          </cell>
          <cell r="AK613">
            <v>1</v>
          </cell>
          <cell r="AQ613">
            <v>1</v>
          </cell>
          <cell r="AR613">
            <v>1</v>
          </cell>
          <cell r="AS613">
            <v>1</v>
          </cell>
          <cell r="AT613">
            <v>1</v>
          </cell>
          <cell r="AU613">
            <v>1</v>
          </cell>
          <cell r="AV613">
            <v>1</v>
          </cell>
          <cell r="AX613">
            <v>1</v>
          </cell>
          <cell r="AY613">
            <v>1</v>
          </cell>
          <cell r="AZ613" t="str">
            <v>B</v>
          </cell>
          <cell r="BA613" t="str">
            <v>HMC</v>
          </cell>
          <cell r="BB613" t="str">
            <v>H50A17K</v>
          </cell>
          <cell r="BD613" t="str">
            <v>L475</v>
          </cell>
          <cell r="BI613">
            <v>888</v>
          </cell>
          <cell r="BJ613">
            <v>458</v>
          </cell>
          <cell r="BK613">
            <v>90</v>
          </cell>
          <cell r="BL613">
            <v>100</v>
          </cell>
        </row>
        <row r="614">
          <cell r="C614">
            <v>1892</v>
          </cell>
          <cell r="D614" t="str">
            <v>MB275140A</v>
          </cell>
          <cell r="E614" t="str">
            <v xml:space="preserve"> PNL,CTR PLR,OTR RH</v>
          </cell>
          <cell r="I614">
            <v>1</v>
          </cell>
          <cell r="J614">
            <v>1</v>
          </cell>
          <cell r="K614">
            <v>1</v>
          </cell>
          <cell r="O614">
            <v>1</v>
          </cell>
          <cell r="Q614">
            <v>1</v>
          </cell>
          <cell r="S614">
            <v>1</v>
          </cell>
          <cell r="T614">
            <v>1</v>
          </cell>
          <cell r="V614">
            <v>1</v>
          </cell>
          <cell r="X614">
            <v>1</v>
          </cell>
          <cell r="Y614">
            <v>1</v>
          </cell>
          <cell r="Z614">
            <v>1</v>
          </cell>
          <cell r="AA614">
            <v>1</v>
          </cell>
          <cell r="AE614">
            <v>1</v>
          </cell>
          <cell r="AG614">
            <v>1</v>
          </cell>
          <cell r="AI614">
            <v>1</v>
          </cell>
          <cell r="AJ614">
            <v>1</v>
          </cell>
          <cell r="AK614">
            <v>1</v>
          </cell>
          <cell r="AQ614">
            <v>1</v>
          </cell>
          <cell r="AR614">
            <v>1</v>
          </cell>
          <cell r="AS614">
            <v>1</v>
          </cell>
          <cell r="AT614">
            <v>1</v>
          </cell>
          <cell r="AU614">
            <v>1</v>
          </cell>
          <cell r="AV614">
            <v>1</v>
          </cell>
          <cell r="AX614">
            <v>1</v>
          </cell>
          <cell r="AY614">
            <v>1</v>
          </cell>
          <cell r="AZ614" t="str">
            <v>B</v>
          </cell>
          <cell r="BA614" t="str">
            <v>HMC</v>
          </cell>
          <cell r="BB614" t="str">
            <v>H50A17K</v>
          </cell>
          <cell r="BD614" t="str">
            <v>L475</v>
          </cell>
          <cell r="BI614">
            <v>888</v>
          </cell>
          <cell r="BJ614">
            <v>458</v>
          </cell>
          <cell r="BK614">
            <v>90</v>
          </cell>
          <cell r="BL614">
            <v>100</v>
          </cell>
        </row>
        <row r="615">
          <cell r="C615">
            <v>670</v>
          </cell>
          <cell r="D615" t="str">
            <v>MB275261A</v>
          </cell>
          <cell r="E615" t="str">
            <v xml:space="preserve"> PANEL,SIDE,OTR LH</v>
          </cell>
          <cell r="F615" t="str">
            <v>-661B</v>
          </cell>
          <cell r="H615">
            <v>1</v>
          </cell>
          <cell r="L615">
            <v>1</v>
          </cell>
          <cell r="M615">
            <v>1</v>
          </cell>
          <cell r="N615">
            <v>1</v>
          </cell>
          <cell r="R615">
            <v>1</v>
          </cell>
          <cell r="U615">
            <v>1</v>
          </cell>
          <cell r="AB615">
            <v>1</v>
          </cell>
          <cell r="AC615">
            <v>1</v>
          </cell>
          <cell r="AD615">
            <v>1</v>
          </cell>
          <cell r="AF615">
            <v>1</v>
          </cell>
          <cell r="AH615">
            <v>1</v>
          </cell>
          <cell r="AL615">
            <v>1</v>
          </cell>
          <cell r="AM615">
            <v>1</v>
          </cell>
          <cell r="AN615">
            <v>1</v>
          </cell>
          <cell r="AO615">
            <v>1</v>
          </cell>
          <cell r="AW615">
            <v>1</v>
          </cell>
          <cell r="AZ615" t="str">
            <v>B</v>
          </cell>
          <cell r="BA615" t="str">
            <v>HMC</v>
          </cell>
          <cell r="BB615" t="str">
            <v>H50A17K</v>
          </cell>
          <cell r="BC615" t="str">
            <v>HQ505741</v>
          </cell>
          <cell r="BD615" t="str">
            <v>L475</v>
          </cell>
          <cell r="BE615" t="str">
            <v>S/B</v>
          </cell>
          <cell r="BI615">
            <v>38</v>
          </cell>
          <cell r="BJ615">
            <v>539</v>
          </cell>
          <cell r="BK615">
            <v>28</v>
          </cell>
          <cell r="BL615">
            <v>2</v>
          </cell>
        </row>
        <row r="616">
          <cell r="C616">
            <v>670</v>
          </cell>
          <cell r="D616" t="str">
            <v>MB275262A</v>
          </cell>
          <cell r="E616" t="str">
            <v xml:space="preserve"> PANEL,SIDE,OTR RH</v>
          </cell>
          <cell r="F616" t="str">
            <v>-661B</v>
          </cell>
          <cell r="H616">
            <v>1</v>
          </cell>
          <cell r="L616">
            <v>1</v>
          </cell>
          <cell r="M616">
            <v>1</v>
          </cell>
          <cell r="N616">
            <v>1</v>
          </cell>
          <cell r="R616">
            <v>1</v>
          </cell>
          <cell r="U616">
            <v>1</v>
          </cell>
          <cell r="AB616">
            <v>1</v>
          </cell>
          <cell r="AC616">
            <v>1</v>
          </cell>
          <cell r="AD616">
            <v>1</v>
          </cell>
          <cell r="AF616">
            <v>1</v>
          </cell>
          <cell r="AH616">
            <v>1</v>
          </cell>
          <cell r="AL616">
            <v>1</v>
          </cell>
          <cell r="AM616">
            <v>1</v>
          </cell>
          <cell r="AN616">
            <v>1</v>
          </cell>
          <cell r="AO616">
            <v>1</v>
          </cell>
          <cell r="AW616">
            <v>1</v>
          </cell>
          <cell r="AZ616" t="str">
            <v>B</v>
          </cell>
          <cell r="BA616" t="str">
            <v>HMC</v>
          </cell>
          <cell r="BB616" t="str">
            <v>H50A17K</v>
          </cell>
          <cell r="BC616" t="str">
            <v>HQ505742</v>
          </cell>
          <cell r="BD616" t="str">
            <v>L475</v>
          </cell>
          <cell r="BE616" t="str">
            <v>S/B</v>
          </cell>
          <cell r="BI616">
            <v>38</v>
          </cell>
          <cell r="BJ616">
            <v>539</v>
          </cell>
          <cell r="BK616">
            <v>28</v>
          </cell>
          <cell r="BL616">
            <v>2</v>
          </cell>
        </row>
        <row r="617">
          <cell r="C617">
            <v>1417</v>
          </cell>
          <cell r="D617" t="str">
            <v>MB275265A</v>
          </cell>
          <cell r="E617" t="str">
            <v xml:space="preserve"> PANEL,QTR,OTR LH</v>
          </cell>
          <cell r="F617" t="str">
            <v>-661B</v>
          </cell>
          <cell r="I617">
            <v>1</v>
          </cell>
          <cell r="J617">
            <v>1</v>
          </cell>
          <cell r="K617">
            <v>1</v>
          </cell>
          <cell r="O617">
            <v>1</v>
          </cell>
          <cell r="S617">
            <v>1</v>
          </cell>
          <cell r="T617">
            <v>1</v>
          </cell>
          <cell r="V617">
            <v>1</v>
          </cell>
          <cell r="Y617">
            <v>1</v>
          </cell>
          <cell r="Z617">
            <v>1</v>
          </cell>
          <cell r="AA617">
            <v>1</v>
          </cell>
          <cell r="AE617">
            <v>1</v>
          </cell>
          <cell r="AG617">
            <v>1</v>
          </cell>
          <cell r="AI617">
            <v>1</v>
          </cell>
          <cell r="AJ617">
            <v>1</v>
          </cell>
          <cell r="AK617">
            <v>1</v>
          </cell>
          <cell r="AQ617">
            <v>1</v>
          </cell>
          <cell r="AR617">
            <v>1</v>
          </cell>
          <cell r="AS617">
            <v>1</v>
          </cell>
          <cell r="AU617">
            <v>1</v>
          </cell>
          <cell r="AV617">
            <v>1</v>
          </cell>
          <cell r="AX617">
            <v>1</v>
          </cell>
          <cell r="AY617">
            <v>1</v>
          </cell>
          <cell r="AZ617" t="str">
            <v>B</v>
          </cell>
          <cell r="BA617" t="str">
            <v>HMC</v>
          </cell>
          <cell r="BB617" t="str">
            <v>H50A17K</v>
          </cell>
          <cell r="BC617" t="str">
            <v>HQ505725</v>
          </cell>
          <cell r="BD617" t="str">
            <v>L475</v>
          </cell>
          <cell r="BI617">
            <v>633</v>
          </cell>
          <cell r="BJ617">
            <v>456</v>
          </cell>
          <cell r="BK617">
            <v>90</v>
          </cell>
          <cell r="BL617">
            <v>100</v>
          </cell>
        </row>
        <row r="618">
          <cell r="C618">
            <v>1417</v>
          </cell>
          <cell r="D618" t="str">
            <v>MB275266A</v>
          </cell>
          <cell r="E618" t="str">
            <v xml:space="preserve"> PANEL,QTR,OTR RH</v>
          </cell>
          <cell r="F618" t="str">
            <v>-661B</v>
          </cell>
          <cell r="I618">
            <v>1</v>
          </cell>
          <cell r="J618">
            <v>1</v>
          </cell>
          <cell r="K618">
            <v>1</v>
          </cell>
          <cell r="O618">
            <v>1</v>
          </cell>
          <cell r="S618">
            <v>1</v>
          </cell>
          <cell r="T618">
            <v>1</v>
          </cell>
          <cell r="V618">
            <v>1</v>
          </cell>
          <cell r="Y618">
            <v>1</v>
          </cell>
          <cell r="Z618">
            <v>1</v>
          </cell>
          <cell r="AA618">
            <v>1</v>
          </cell>
          <cell r="AE618">
            <v>1</v>
          </cell>
          <cell r="AG618">
            <v>1</v>
          </cell>
          <cell r="AI618">
            <v>1</v>
          </cell>
          <cell r="AJ618">
            <v>1</v>
          </cell>
          <cell r="AK618">
            <v>1</v>
          </cell>
          <cell r="AQ618">
            <v>1</v>
          </cell>
          <cell r="AR618">
            <v>1</v>
          </cell>
          <cell r="AS618">
            <v>1</v>
          </cell>
          <cell r="AU618">
            <v>1</v>
          </cell>
          <cell r="AV618">
            <v>1</v>
          </cell>
          <cell r="AX618">
            <v>1</v>
          </cell>
          <cell r="AY618">
            <v>1</v>
          </cell>
          <cell r="AZ618" t="str">
            <v>B</v>
          </cell>
          <cell r="BA618" t="str">
            <v>HMC</v>
          </cell>
          <cell r="BB618" t="str">
            <v>H50A17K</v>
          </cell>
          <cell r="BC618" t="str">
            <v>HQ505726</v>
          </cell>
          <cell r="BD618" t="str">
            <v>L475</v>
          </cell>
          <cell r="BI618">
            <v>633</v>
          </cell>
          <cell r="BJ618">
            <v>456</v>
          </cell>
          <cell r="BK618">
            <v>90</v>
          </cell>
          <cell r="BL618">
            <v>100</v>
          </cell>
        </row>
        <row r="619">
          <cell r="C619">
            <v>680</v>
          </cell>
          <cell r="D619" t="str">
            <v>MB275267A</v>
          </cell>
          <cell r="E619" t="str">
            <v xml:space="preserve"> PANEL,ROOF</v>
          </cell>
          <cell r="H619">
            <v>1</v>
          </cell>
          <cell r="L619">
            <v>1</v>
          </cell>
          <cell r="M619">
            <v>1</v>
          </cell>
          <cell r="N619">
            <v>1</v>
          </cell>
          <cell r="P619">
            <v>1</v>
          </cell>
          <cell r="R619">
            <v>1</v>
          </cell>
          <cell r="U619">
            <v>1</v>
          </cell>
          <cell r="W619">
            <v>1</v>
          </cell>
          <cell r="AB619">
            <v>1</v>
          </cell>
          <cell r="AC619">
            <v>1</v>
          </cell>
          <cell r="AD619">
            <v>1</v>
          </cell>
          <cell r="AF619">
            <v>1</v>
          </cell>
          <cell r="AH619">
            <v>1</v>
          </cell>
          <cell r="AL619">
            <v>1</v>
          </cell>
          <cell r="AM619">
            <v>1</v>
          </cell>
          <cell r="AN619">
            <v>1</v>
          </cell>
          <cell r="AP619">
            <v>1</v>
          </cell>
          <cell r="AW619">
            <v>1</v>
          </cell>
          <cell r="AZ619" t="str">
            <v>B</v>
          </cell>
          <cell r="BA619" t="str">
            <v>HMC</v>
          </cell>
          <cell r="BB619" t="str">
            <v>H50A20K</v>
          </cell>
          <cell r="BD619" t="str">
            <v>L475</v>
          </cell>
          <cell r="BE619" t="str">
            <v>S/B</v>
          </cell>
          <cell r="BI619">
            <v>49</v>
          </cell>
          <cell r="BJ619">
            <v>539</v>
          </cell>
          <cell r="BK619">
            <v>20</v>
          </cell>
          <cell r="BL619">
            <v>2</v>
          </cell>
        </row>
        <row r="620">
          <cell r="C620">
            <v>1378</v>
          </cell>
          <cell r="D620" t="str">
            <v>MB275550A</v>
          </cell>
          <cell r="E620" t="str">
            <v xml:space="preserve"> PANEL,ROOF</v>
          </cell>
          <cell r="I620">
            <v>1</v>
          </cell>
          <cell r="J620">
            <v>1</v>
          </cell>
          <cell r="K620">
            <v>1</v>
          </cell>
          <cell r="O620">
            <v>1</v>
          </cell>
          <cell r="Q620">
            <v>1</v>
          </cell>
          <cell r="V620">
            <v>1</v>
          </cell>
          <cell r="X620">
            <v>1</v>
          </cell>
          <cell r="AE620">
            <v>1</v>
          </cell>
          <cell r="AG620">
            <v>1</v>
          </cell>
          <cell r="AI620">
            <v>1</v>
          </cell>
          <cell r="AJ620">
            <v>1</v>
          </cell>
          <cell r="AK620">
            <v>1</v>
          </cell>
          <cell r="AQ620">
            <v>1</v>
          </cell>
          <cell r="AR620">
            <v>1</v>
          </cell>
          <cell r="AS620">
            <v>1</v>
          </cell>
          <cell r="AT620">
            <v>1</v>
          </cell>
          <cell r="AZ620" t="str">
            <v>B</v>
          </cell>
          <cell r="BA620" t="str">
            <v>HMC</v>
          </cell>
          <cell r="BB620" t="str">
            <v>H50A20K</v>
          </cell>
          <cell r="BD620" t="str">
            <v>L475</v>
          </cell>
          <cell r="BI620">
            <v>888</v>
          </cell>
          <cell r="BJ620">
            <v>2</v>
          </cell>
          <cell r="BK620">
            <v>90</v>
          </cell>
          <cell r="BL620">
            <v>65</v>
          </cell>
        </row>
        <row r="621">
          <cell r="C621">
            <v>2584</v>
          </cell>
          <cell r="D621" t="str">
            <v>MB275829A</v>
          </cell>
          <cell r="E621" t="str">
            <v xml:space="preserve"> FENDER,FRONT LH</v>
          </cell>
          <cell r="F621" t="str">
            <v>-661B(실ALL)</v>
          </cell>
          <cell r="G621">
            <v>1</v>
          </cell>
          <cell r="AZ621" t="str">
            <v>B</v>
          </cell>
          <cell r="BA621" t="str">
            <v>HMC</v>
          </cell>
          <cell r="BB621" t="str">
            <v>H50C30K</v>
          </cell>
          <cell r="BD621" t="str">
            <v>L475</v>
          </cell>
          <cell r="BE621" t="str">
            <v>ALL</v>
          </cell>
          <cell r="BI621">
            <v>0</v>
          </cell>
          <cell r="BJ621">
            <v>0</v>
          </cell>
          <cell r="BK621">
            <v>0</v>
          </cell>
          <cell r="BL621">
            <v>0</v>
          </cell>
        </row>
        <row r="622">
          <cell r="C622">
            <v>2584</v>
          </cell>
          <cell r="D622" t="str">
            <v>MB275830B</v>
          </cell>
          <cell r="E622" t="str">
            <v xml:space="preserve"> FENDER,FRONT RH</v>
          </cell>
          <cell r="F622" t="str">
            <v>-661B(실ALL)</v>
          </cell>
          <cell r="G622">
            <v>1</v>
          </cell>
          <cell r="AZ622" t="str">
            <v>B</v>
          </cell>
          <cell r="BA622" t="str">
            <v>HMC</v>
          </cell>
          <cell r="BB622" t="str">
            <v>H50C30K</v>
          </cell>
          <cell r="BD622" t="str">
            <v>L475</v>
          </cell>
          <cell r="BE622" t="str">
            <v>ALL</v>
          </cell>
          <cell r="BI622">
            <v>0</v>
          </cell>
          <cell r="BJ622">
            <v>0</v>
          </cell>
          <cell r="BK622">
            <v>0</v>
          </cell>
          <cell r="BL622">
            <v>0</v>
          </cell>
        </row>
        <row r="623">
          <cell r="C623">
            <v>1393</v>
          </cell>
          <cell r="D623" t="str">
            <v>MB275957A</v>
          </cell>
          <cell r="E623" t="str">
            <v xml:space="preserve"> PNL-RR FLR </v>
          </cell>
          <cell r="J623">
            <v>1</v>
          </cell>
          <cell r="K623">
            <v>1</v>
          </cell>
          <cell r="O623">
            <v>1</v>
          </cell>
          <cell r="Q623">
            <v>1</v>
          </cell>
          <cell r="X623">
            <v>1</v>
          </cell>
          <cell r="AE623">
            <v>1</v>
          </cell>
          <cell r="AI623">
            <v>1</v>
          </cell>
          <cell r="AJ623">
            <v>1</v>
          </cell>
          <cell r="AK623">
            <v>1</v>
          </cell>
          <cell r="AQ623">
            <v>1</v>
          </cell>
          <cell r="AR623">
            <v>1</v>
          </cell>
          <cell r="AS623">
            <v>1</v>
          </cell>
          <cell r="AT623">
            <v>1</v>
          </cell>
          <cell r="AU623">
            <v>1</v>
          </cell>
          <cell r="AV623">
            <v>1</v>
          </cell>
          <cell r="AX623">
            <v>1</v>
          </cell>
          <cell r="AY623">
            <v>1</v>
          </cell>
          <cell r="AZ623" t="str">
            <v>B</v>
          </cell>
          <cell r="BA623" t="str">
            <v>HMC</v>
          </cell>
        </row>
        <row r="624">
          <cell r="C624">
            <v>2399</v>
          </cell>
          <cell r="D624" t="str">
            <v>MB337117A</v>
          </cell>
          <cell r="E624" t="str">
            <v xml:space="preserve"> PANEL,B/DR,OTR</v>
          </cell>
          <cell r="J624">
            <v>1</v>
          </cell>
          <cell r="K624">
            <v>1</v>
          </cell>
          <cell r="L624">
            <v>1</v>
          </cell>
          <cell r="M624">
            <v>1</v>
          </cell>
          <cell r="N624">
            <v>1</v>
          </cell>
          <cell r="O624">
            <v>1</v>
          </cell>
          <cell r="P624">
            <v>1</v>
          </cell>
          <cell r="Q624">
            <v>1</v>
          </cell>
          <cell r="R624">
            <v>1</v>
          </cell>
          <cell r="S624">
            <v>1</v>
          </cell>
          <cell r="T624">
            <v>1</v>
          </cell>
          <cell r="W624">
            <v>1</v>
          </cell>
          <cell r="X624">
            <v>1</v>
          </cell>
          <cell r="Z624">
            <v>1</v>
          </cell>
          <cell r="AB624">
            <v>1</v>
          </cell>
          <cell r="AD624">
            <v>1</v>
          </cell>
          <cell r="AE624">
            <v>1</v>
          </cell>
          <cell r="AH624">
            <v>1</v>
          </cell>
          <cell r="AI624">
            <v>1</v>
          </cell>
          <cell r="AO624">
            <v>1</v>
          </cell>
          <cell r="AP624">
            <v>1</v>
          </cell>
          <cell r="AS624">
            <v>1</v>
          </cell>
          <cell r="AT624">
            <v>1</v>
          </cell>
          <cell r="AZ624" t="str">
            <v>B</v>
          </cell>
          <cell r="BA624" t="str">
            <v>HMC</v>
          </cell>
          <cell r="BB624" t="str">
            <v>H50B33K</v>
          </cell>
          <cell r="BD624" t="str">
            <v>L475</v>
          </cell>
          <cell r="BI624">
            <v>917</v>
          </cell>
          <cell r="BJ624">
            <v>997</v>
          </cell>
          <cell r="BK624">
            <v>61</v>
          </cell>
          <cell r="BL624">
            <v>29</v>
          </cell>
        </row>
        <row r="625">
          <cell r="C625">
            <v>940</v>
          </cell>
          <cell r="D625" t="str">
            <v>MB365297A</v>
          </cell>
          <cell r="E625" t="str">
            <v xml:space="preserve"> PANEL,R/DR,OUTER LH</v>
          </cell>
          <cell r="F625" t="str">
            <v>-661B</v>
          </cell>
          <cell r="I625">
            <v>1</v>
          </cell>
          <cell r="J625">
            <v>1</v>
          </cell>
          <cell r="S625">
            <v>1</v>
          </cell>
          <cell r="T625">
            <v>1</v>
          </cell>
          <cell r="V625">
            <v>1</v>
          </cell>
          <cell r="Y625">
            <v>1</v>
          </cell>
          <cell r="Z625">
            <v>1</v>
          </cell>
          <cell r="AA625">
            <v>1</v>
          </cell>
          <cell r="AE625">
            <v>1</v>
          </cell>
          <cell r="AG625">
            <v>1</v>
          </cell>
          <cell r="AI625">
            <v>1</v>
          </cell>
          <cell r="AJ625">
            <v>1</v>
          </cell>
          <cell r="AK625">
            <v>1</v>
          </cell>
          <cell r="AQ625">
            <v>1</v>
          </cell>
          <cell r="AR625">
            <v>1</v>
          </cell>
          <cell r="AS625">
            <v>1</v>
          </cell>
          <cell r="AU625">
            <v>1</v>
          </cell>
          <cell r="AV625">
            <v>1</v>
          </cell>
          <cell r="AX625">
            <v>1</v>
          </cell>
          <cell r="AY625">
            <v>1</v>
          </cell>
          <cell r="AZ625" t="str">
            <v>B</v>
          </cell>
          <cell r="BA625" t="str">
            <v>HMC</v>
          </cell>
          <cell r="BB625" t="str">
            <v>H50B32K</v>
          </cell>
          <cell r="BD625" t="str">
            <v>L475</v>
          </cell>
          <cell r="BI625">
            <v>253</v>
          </cell>
          <cell r="BJ625">
            <v>456</v>
          </cell>
          <cell r="BK625">
            <v>90</v>
          </cell>
          <cell r="BL625">
            <v>100</v>
          </cell>
        </row>
        <row r="626">
          <cell r="C626">
            <v>940</v>
          </cell>
          <cell r="D626" t="str">
            <v>MB365298A</v>
          </cell>
          <cell r="E626" t="str">
            <v xml:space="preserve"> PANEL,R/DR,OUTER RH</v>
          </cell>
          <cell r="F626" t="str">
            <v>-661B</v>
          </cell>
          <cell r="I626">
            <v>1</v>
          </cell>
          <cell r="J626">
            <v>1</v>
          </cell>
          <cell r="S626">
            <v>1</v>
          </cell>
          <cell r="T626">
            <v>1</v>
          </cell>
          <cell r="V626">
            <v>1</v>
          </cell>
          <cell r="Y626">
            <v>1</v>
          </cell>
          <cell r="Z626">
            <v>1</v>
          </cell>
          <cell r="AA626">
            <v>1</v>
          </cell>
          <cell r="AE626">
            <v>1</v>
          </cell>
          <cell r="AG626">
            <v>1</v>
          </cell>
          <cell r="AI626">
            <v>1</v>
          </cell>
          <cell r="AJ626">
            <v>1</v>
          </cell>
          <cell r="AK626">
            <v>1</v>
          </cell>
          <cell r="AQ626">
            <v>1</v>
          </cell>
          <cell r="AR626">
            <v>1</v>
          </cell>
          <cell r="AS626">
            <v>1</v>
          </cell>
          <cell r="AU626">
            <v>1</v>
          </cell>
          <cell r="AV626">
            <v>1</v>
          </cell>
          <cell r="AX626">
            <v>1</v>
          </cell>
          <cell r="AY626">
            <v>1</v>
          </cell>
          <cell r="AZ626" t="str">
            <v>B</v>
          </cell>
          <cell r="BA626" t="str">
            <v>HMC</v>
          </cell>
          <cell r="BB626" t="str">
            <v>H50B32K</v>
          </cell>
          <cell r="BD626" t="str">
            <v>L475</v>
          </cell>
          <cell r="BI626">
            <v>253</v>
          </cell>
          <cell r="BJ626">
            <v>456</v>
          </cell>
          <cell r="BK626">
            <v>90</v>
          </cell>
          <cell r="BL626">
            <v>100</v>
          </cell>
        </row>
        <row r="627">
          <cell r="C627">
            <v>767</v>
          </cell>
          <cell r="D627" t="str">
            <v>MB591442</v>
          </cell>
          <cell r="E627" t="str">
            <v xml:space="preserve"> PANEL,HOOD OUTER</v>
          </cell>
          <cell r="N627">
            <v>1</v>
          </cell>
          <cell r="O627">
            <v>1</v>
          </cell>
          <cell r="P627">
            <v>1</v>
          </cell>
          <cell r="Q627">
            <v>1</v>
          </cell>
          <cell r="Z627">
            <v>1</v>
          </cell>
          <cell r="AO627">
            <v>1</v>
          </cell>
          <cell r="AS627">
            <v>1</v>
          </cell>
          <cell r="AT627">
            <v>1</v>
          </cell>
          <cell r="AZ627" t="str">
            <v>B</v>
          </cell>
          <cell r="BA627" t="str">
            <v>HMC</v>
          </cell>
          <cell r="BB627" t="str">
            <v>H50B35K</v>
          </cell>
          <cell r="BC627" t="str">
            <v>IC1</v>
          </cell>
          <cell r="BD627" t="str">
            <v>L475</v>
          </cell>
          <cell r="BE627" t="str">
            <v>TCI</v>
          </cell>
          <cell r="BI627">
            <v>422</v>
          </cell>
          <cell r="BJ627">
            <v>0</v>
          </cell>
          <cell r="BK627">
            <v>8</v>
          </cell>
          <cell r="BL627">
            <v>29</v>
          </cell>
        </row>
        <row r="628">
          <cell r="C628">
            <v>767</v>
          </cell>
          <cell r="D628" t="str">
            <v>MB591443</v>
          </cell>
          <cell r="E628" t="str">
            <v xml:space="preserve"> PANEL,HOOD INNER</v>
          </cell>
          <cell r="N628">
            <v>1</v>
          </cell>
          <cell r="O628">
            <v>1</v>
          </cell>
          <cell r="P628">
            <v>1</v>
          </cell>
          <cell r="Q628">
            <v>1</v>
          </cell>
          <cell r="Z628">
            <v>1</v>
          </cell>
          <cell r="AO628">
            <v>1</v>
          </cell>
          <cell r="AS628">
            <v>1</v>
          </cell>
          <cell r="AT628">
            <v>1</v>
          </cell>
          <cell r="AZ628" t="str">
            <v>B</v>
          </cell>
          <cell r="BA628" t="str">
            <v>HMC</v>
          </cell>
          <cell r="BB628" t="str">
            <v>H50B35K</v>
          </cell>
          <cell r="BC628" t="str">
            <v>IC1</v>
          </cell>
          <cell r="BD628" t="str">
            <v>L475</v>
          </cell>
          <cell r="BE628" t="str">
            <v>TCI</v>
          </cell>
          <cell r="BI628">
            <v>422</v>
          </cell>
          <cell r="BJ628">
            <v>0</v>
          </cell>
          <cell r="BK628">
            <v>8</v>
          </cell>
          <cell r="BL628">
            <v>29</v>
          </cell>
        </row>
        <row r="629">
          <cell r="C629">
            <v>692</v>
          </cell>
          <cell r="D629" t="str">
            <v>MB591565A</v>
          </cell>
          <cell r="E629" t="str">
            <v xml:space="preserve"> PNL,RR FLOOR</v>
          </cell>
          <cell r="H629">
            <v>1</v>
          </cell>
          <cell r="L629">
            <v>1</v>
          </cell>
          <cell r="M629">
            <v>1</v>
          </cell>
          <cell r="N629">
            <v>1</v>
          </cell>
          <cell r="P629">
            <v>1</v>
          </cell>
          <cell r="R629">
            <v>1</v>
          </cell>
          <cell r="U629">
            <v>1</v>
          </cell>
          <cell r="W629">
            <v>1</v>
          </cell>
          <cell r="AB629">
            <v>1</v>
          </cell>
          <cell r="AC629">
            <v>1</v>
          </cell>
          <cell r="AD629">
            <v>1</v>
          </cell>
          <cell r="AF629">
            <v>1</v>
          </cell>
          <cell r="AH629">
            <v>1</v>
          </cell>
          <cell r="AL629">
            <v>1</v>
          </cell>
          <cell r="AM629">
            <v>1</v>
          </cell>
          <cell r="AN629">
            <v>1</v>
          </cell>
          <cell r="AO629">
            <v>1</v>
          </cell>
          <cell r="AP629">
            <v>1</v>
          </cell>
          <cell r="AW629">
            <v>1</v>
          </cell>
          <cell r="AZ629" t="str">
            <v>B</v>
          </cell>
          <cell r="BA629" t="str">
            <v>HMC</v>
          </cell>
          <cell r="BB629" t="str">
            <v>H50A12K</v>
          </cell>
          <cell r="BD629" t="str">
            <v>L475</v>
          </cell>
          <cell r="BE629" t="str">
            <v>S/B</v>
          </cell>
          <cell r="BI629">
            <v>49</v>
          </cell>
          <cell r="BJ629">
            <v>539</v>
          </cell>
          <cell r="BK629">
            <v>28</v>
          </cell>
          <cell r="BL629">
            <v>2</v>
          </cell>
        </row>
        <row r="630">
          <cell r="C630">
            <v>2584</v>
          </cell>
          <cell r="D630" t="str">
            <v>MB591753B</v>
          </cell>
          <cell r="E630" t="str">
            <v xml:space="preserve"> PILLER FR OTR LH</v>
          </cell>
          <cell r="G630">
            <v>1</v>
          </cell>
          <cell r="AZ630" t="str">
            <v>B</v>
          </cell>
          <cell r="BA630" t="str">
            <v>HMC</v>
          </cell>
          <cell r="BB630" t="str">
            <v>H50A16K</v>
          </cell>
          <cell r="BD630" t="str">
            <v>L475</v>
          </cell>
          <cell r="BE630" t="str">
            <v>ALL</v>
          </cell>
          <cell r="BI630">
            <v>0</v>
          </cell>
          <cell r="BJ630">
            <v>0</v>
          </cell>
          <cell r="BK630">
            <v>0</v>
          </cell>
          <cell r="BL630">
            <v>0</v>
          </cell>
        </row>
        <row r="631">
          <cell r="C631">
            <v>1145</v>
          </cell>
          <cell r="D631" t="str">
            <v>HQ506251</v>
          </cell>
          <cell r="E631" t="str">
            <v xml:space="preserve"> FENDER-FR.LH</v>
          </cell>
          <cell r="F631" t="str">
            <v>+661B</v>
          </cell>
          <cell r="K631">
            <v>1</v>
          </cell>
          <cell r="M631">
            <v>1</v>
          </cell>
          <cell r="N631">
            <v>1</v>
          </cell>
          <cell r="O631">
            <v>1</v>
          </cell>
          <cell r="P631">
            <v>1</v>
          </cell>
          <cell r="Q631">
            <v>1</v>
          </cell>
          <cell r="W631">
            <v>1</v>
          </cell>
          <cell r="X631">
            <v>1</v>
          </cell>
          <cell r="AE631">
            <v>1</v>
          </cell>
          <cell r="AH631">
            <v>1</v>
          </cell>
          <cell r="AI631">
            <v>1</v>
          </cell>
          <cell r="AO631">
            <v>1</v>
          </cell>
          <cell r="AP631">
            <v>1</v>
          </cell>
          <cell r="AS631">
            <v>1</v>
          </cell>
          <cell r="AT631">
            <v>1</v>
          </cell>
          <cell r="AW631">
            <v>1</v>
          </cell>
          <cell r="AZ631" t="str">
            <v>B</v>
          </cell>
          <cell r="BA631" t="str">
            <v>L475</v>
          </cell>
        </row>
        <row r="632">
          <cell r="C632">
            <v>1145</v>
          </cell>
          <cell r="D632" t="str">
            <v>HQ506252</v>
          </cell>
          <cell r="E632" t="str">
            <v xml:space="preserve"> FENDER-FR.RH</v>
          </cell>
          <cell r="F632" t="str">
            <v>+661B</v>
          </cell>
          <cell r="K632">
            <v>1</v>
          </cell>
          <cell r="M632">
            <v>1</v>
          </cell>
          <cell r="N632">
            <v>1</v>
          </cell>
          <cell r="O632">
            <v>1</v>
          </cell>
          <cell r="P632">
            <v>1</v>
          </cell>
          <cell r="Q632">
            <v>1</v>
          </cell>
          <cell r="W632">
            <v>1</v>
          </cell>
          <cell r="X632">
            <v>1</v>
          </cell>
          <cell r="AE632">
            <v>1</v>
          </cell>
          <cell r="AH632">
            <v>1</v>
          </cell>
          <cell r="AI632">
            <v>1</v>
          </cell>
          <cell r="AO632">
            <v>1</v>
          </cell>
          <cell r="AP632">
            <v>1</v>
          </cell>
          <cell r="AS632">
            <v>1</v>
          </cell>
          <cell r="AT632">
            <v>1</v>
          </cell>
          <cell r="AW632">
            <v>1</v>
          </cell>
          <cell r="AZ632" t="str">
            <v>B</v>
          </cell>
          <cell r="BA632" t="str">
            <v>L475</v>
          </cell>
        </row>
        <row r="633">
          <cell r="C633">
            <v>0</v>
          </cell>
          <cell r="D633" t="str">
            <v>HQ730061</v>
          </cell>
          <cell r="E633" t="str">
            <v xml:space="preserve"> BRKT I/PANNER,LH</v>
          </cell>
        </row>
        <row r="634">
          <cell r="C634">
            <v>0</v>
          </cell>
          <cell r="D634" t="str">
            <v>HQ780062</v>
          </cell>
          <cell r="E634" t="str">
            <v xml:space="preserve"> BRKT I/PANNER,RH</v>
          </cell>
        </row>
        <row r="635">
          <cell r="C635">
            <v>0</v>
          </cell>
          <cell r="D635" t="str">
            <v>HQ803150</v>
          </cell>
          <cell r="E635" t="str">
            <v xml:space="preserve"> BRKT ABS/ECU</v>
          </cell>
        </row>
        <row r="636">
          <cell r="C636">
            <v>0</v>
          </cell>
          <cell r="D636" t="str">
            <v>HQ803250</v>
          </cell>
          <cell r="E636" t="str">
            <v xml:space="preserve"> BRKT-G/SENSOR</v>
          </cell>
        </row>
        <row r="637">
          <cell r="C637">
            <v>0</v>
          </cell>
          <cell r="D637" t="str">
            <v>MB115166</v>
          </cell>
          <cell r="E637" t="str">
            <v xml:space="preserve"> BRKT - CONDENSER TANK</v>
          </cell>
        </row>
        <row r="638">
          <cell r="C638">
            <v>0</v>
          </cell>
          <cell r="D638" t="str">
            <v>MB275279</v>
          </cell>
          <cell r="E638" t="str">
            <v xml:space="preserve"> CHANNEL-DRIP,RR</v>
          </cell>
          <cell r="F638" t="str">
            <v>유상사급</v>
          </cell>
        </row>
        <row r="639">
          <cell r="C639">
            <v>0</v>
          </cell>
          <cell r="D639" t="str">
            <v>MB351507A</v>
          </cell>
          <cell r="E639" t="str">
            <v xml:space="preserve"> BRKT - OIL COOLER</v>
          </cell>
        </row>
        <row r="640">
          <cell r="C640">
            <v>0</v>
          </cell>
          <cell r="D640" t="str">
            <v>MB356296B</v>
          </cell>
          <cell r="E640" t="str">
            <v xml:space="preserve"> PNL - FR DR DTR,RH</v>
          </cell>
        </row>
        <row r="641">
          <cell r="C641">
            <v>0</v>
          </cell>
          <cell r="D641" t="str">
            <v>MB365295B</v>
          </cell>
          <cell r="E641" t="str">
            <v xml:space="preserve"> PNL - FR DR OTR,LH</v>
          </cell>
        </row>
        <row r="642">
          <cell r="C642">
            <v>0</v>
          </cell>
          <cell r="D642" t="str">
            <v>MB380637A</v>
          </cell>
          <cell r="E642" t="str">
            <v xml:space="preserve"> RETAINTE,B</v>
          </cell>
        </row>
        <row r="643">
          <cell r="C643">
            <v>0</v>
          </cell>
          <cell r="D643" t="str">
            <v>MB577456A</v>
          </cell>
          <cell r="E643" t="str">
            <v xml:space="preserve"> BRKT-EXXH CLAMP</v>
          </cell>
        </row>
        <row r="644">
          <cell r="C644">
            <v>0</v>
          </cell>
          <cell r="D644" t="str">
            <v>MB581138B</v>
          </cell>
          <cell r="E644" t="str">
            <v xml:space="preserve"> BRKT-ENGINE SUPPORT RR</v>
          </cell>
        </row>
        <row r="645">
          <cell r="C645">
            <v>0</v>
          </cell>
          <cell r="D645" t="str">
            <v>MD134563</v>
          </cell>
          <cell r="E645" t="str">
            <v xml:space="preserve"> BRKT-ENGINE SUPPORT,RH</v>
          </cell>
        </row>
        <row r="646">
          <cell r="C646">
            <v>0</v>
          </cell>
          <cell r="D646" t="str">
            <v>MD138822</v>
          </cell>
          <cell r="E646" t="str">
            <v xml:space="preserve"> BRKT-ENGINE SUPPORT,LH</v>
          </cell>
        </row>
        <row r="647">
          <cell r="C647">
            <v>0</v>
          </cell>
          <cell r="D647" t="str">
            <v>MD734297</v>
          </cell>
          <cell r="E647" t="str">
            <v xml:space="preserve"> PROTECTOR-HEAT</v>
          </cell>
        </row>
        <row r="648">
          <cell r="C648">
            <v>0</v>
          </cell>
          <cell r="D648" t="str">
            <v>XB275898A</v>
          </cell>
          <cell r="E648" t="str">
            <v xml:space="preserve"> BRKT-CANISTER</v>
          </cell>
        </row>
        <row r="769">
          <cell r="A769">
            <v>0</v>
          </cell>
          <cell r="C769">
            <v>0</v>
          </cell>
          <cell r="E769">
            <v>0</v>
          </cell>
          <cell r="G769">
            <v>0</v>
          </cell>
          <cell r="I769">
            <v>0</v>
          </cell>
          <cell r="K769">
            <v>0</v>
          </cell>
          <cell r="M769">
            <v>0</v>
          </cell>
          <cell r="V769">
            <v>0</v>
          </cell>
          <cell r="BD769">
            <v>0</v>
          </cell>
          <cell r="BE769" t="b">
            <v>1</v>
          </cell>
          <cell r="BG769">
            <v>0</v>
          </cell>
          <cell r="BJ769">
            <v>0</v>
          </cell>
          <cell r="BL769">
            <v>0</v>
          </cell>
          <cell r="BO769">
            <v>0</v>
          </cell>
          <cell r="BQ769">
            <v>0</v>
          </cell>
          <cell r="BR769" t="b">
            <v>1</v>
          </cell>
          <cell r="BT769">
            <v>0</v>
          </cell>
          <cell r="BV769" t="b">
            <v>1</v>
          </cell>
          <cell r="BX769">
            <v>0</v>
          </cell>
          <cell r="BZ769" t="b">
            <v>1</v>
          </cell>
          <cell r="CB769">
            <v>0</v>
          </cell>
          <cell r="CD769" t="b">
            <v>1</v>
          </cell>
          <cell r="CF769">
            <v>0</v>
          </cell>
          <cell r="CH769" t="b">
            <v>1</v>
          </cell>
          <cell r="CJ769">
            <v>0</v>
          </cell>
          <cell r="CS769">
            <v>0</v>
          </cell>
          <cell r="CT769">
            <v>0</v>
          </cell>
          <cell r="CV769">
            <v>0</v>
          </cell>
          <cell r="DB769">
            <v>0</v>
          </cell>
          <cell r="DD769">
            <v>0</v>
          </cell>
          <cell r="DE769">
            <v>0</v>
          </cell>
          <cell r="DL769">
            <v>0</v>
          </cell>
          <cell r="DO769">
            <v>0</v>
          </cell>
          <cell r="DQ769">
            <v>0</v>
          </cell>
          <cell r="DT769">
            <v>0</v>
          </cell>
          <cell r="DW769">
            <v>0</v>
          </cell>
          <cell r="DY769">
            <v>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13"/>
  <sheetViews>
    <sheetView showGridLines="0" view="pageBreakPreview" zoomScale="60" zoomScaleNormal="100" workbookViewId="0">
      <selection activeCell="X10" sqref="X10:AC10"/>
    </sheetView>
  </sheetViews>
  <sheetFormatPr defaultRowHeight="15"/>
  <cols>
    <col min="1" max="1" width="3.5703125" customWidth="1"/>
    <col min="2" max="2" width="7.85546875" customWidth="1"/>
    <col min="3" max="3" width="12.140625" customWidth="1"/>
    <col min="4" max="4" width="9.28515625" customWidth="1"/>
    <col min="5" max="5" width="17.7109375" customWidth="1"/>
    <col min="6" max="6" width="47" customWidth="1"/>
    <col min="7" max="7" width="22.5703125" customWidth="1"/>
    <col min="8" max="9" width="17.7109375" customWidth="1"/>
  </cols>
  <sheetData>
    <row r="1" spans="2:9" ht="15.75" thickBot="1"/>
    <row r="2" spans="2:9" ht="208.5" customHeight="1" thickBot="1">
      <c r="B2" s="133" t="s">
        <v>240</v>
      </c>
      <c r="C2" s="134"/>
      <c r="D2" s="134"/>
      <c r="E2" s="134"/>
      <c r="F2" s="134"/>
      <c r="G2" s="134"/>
      <c r="H2" s="134"/>
      <c r="I2" s="135"/>
    </row>
    <row r="4" spans="2:9" ht="15.75" thickBot="1"/>
    <row r="5" spans="2:9" s="68" customFormat="1" ht="24" customHeight="1">
      <c r="B5" s="125" t="s">
        <v>204</v>
      </c>
      <c r="C5" s="126"/>
      <c r="D5" s="126"/>
      <c r="E5" s="126"/>
      <c r="F5" s="126"/>
      <c r="G5" s="127"/>
      <c r="H5" s="127"/>
      <c r="I5" s="128"/>
    </row>
    <row r="6" spans="2:9" s="68" customFormat="1" ht="24" customHeight="1">
      <c r="B6" s="129"/>
      <c r="C6" s="130"/>
      <c r="D6" s="130"/>
      <c r="E6" s="130"/>
      <c r="F6" s="130"/>
      <c r="G6" s="131"/>
      <c r="H6" s="131"/>
      <c r="I6" s="132"/>
    </row>
    <row r="7" spans="2:9" s="68" customFormat="1" ht="2.25" customHeight="1">
      <c r="B7" s="69"/>
      <c r="C7" s="70"/>
      <c r="D7" s="70"/>
      <c r="E7" s="70"/>
      <c r="F7" s="70"/>
      <c r="G7" s="70"/>
      <c r="H7" s="70"/>
      <c r="I7" s="71"/>
    </row>
    <row r="8" spans="2:9" s="68" customFormat="1" ht="33" customHeight="1" thickBot="1">
      <c r="B8" s="72" t="s">
        <v>205</v>
      </c>
      <c r="C8" s="73" t="s">
        <v>206</v>
      </c>
      <c r="D8" s="73" t="s">
        <v>207</v>
      </c>
      <c r="E8" s="73" t="s">
        <v>221</v>
      </c>
      <c r="F8" s="73" t="s">
        <v>208</v>
      </c>
      <c r="G8" s="80" t="s">
        <v>209</v>
      </c>
      <c r="H8" s="80" t="s">
        <v>137</v>
      </c>
      <c r="I8" s="74" t="s">
        <v>210</v>
      </c>
    </row>
    <row r="9" spans="2:9" s="68" customFormat="1" ht="34.5" customHeight="1" thickTop="1">
      <c r="B9" s="75">
        <v>0</v>
      </c>
      <c r="C9" s="76" t="s">
        <v>223</v>
      </c>
      <c r="D9" s="76">
        <v>0</v>
      </c>
      <c r="E9" s="76" t="s">
        <v>222</v>
      </c>
      <c r="F9" s="76" t="s">
        <v>212</v>
      </c>
      <c r="G9" s="81" t="s">
        <v>213</v>
      </c>
      <c r="H9" s="86" t="s">
        <v>214</v>
      </c>
      <c r="I9" s="87" t="s">
        <v>215</v>
      </c>
    </row>
    <row r="10" spans="2:9" s="68" customFormat="1" ht="34.5" customHeight="1">
      <c r="B10" s="77">
        <v>1</v>
      </c>
      <c r="C10" s="97" t="s">
        <v>211</v>
      </c>
      <c r="D10" s="97">
        <v>1</v>
      </c>
      <c r="E10" s="97" t="s">
        <v>222</v>
      </c>
      <c r="F10" s="98" t="s">
        <v>216</v>
      </c>
      <c r="G10" s="99" t="s">
        <v>213</v>
      </c>
      <c r="H10" s="100" t="s">
        <v>214</v>
      </c>
      <c r="I10" s="101" t="s">
        <v>215</v>
      </c>
    </row>
    <row r="11" spans="2:9" s="68" customFormat="1" ht="34.5" customHeight="1">
      <c r="B11" s="77">
        <v>2</v>
      </c>
      <c r="C11" s="78" t="s">
        <v>238</v>
      </c>
      <c r="D11" s="78">
        <v>2</v>
      </c>
      <c r="E11" s="97" t="s">
        <v>222</v>
      </c>
      <c r="F11" s="112" t="s">
        <v>241</v>
      </c>
      <c r="G11" s="99" t="s">
        <v>213</v>
      </c>
      <c r="H11" s="113"/>
      <c r="I11" s="98" t="s">
        <v>242</v>
      </c>
    </row>
    <row r="12" spans="2:9" s="68" customFormat="1" ht="34.5" customHeight="1">
      <c r="B12" s="77"/>
      <c r="C12" s="78"/>
      <c r="D12" s="78"/>
      <c r="E12" s="78"/>
      <c r="F12" s="78"/>
      <c r="G12" s="82"/>
      <c r="H12" s="82"/>
      <c r="I12" s="79"/>
    </row>
    <row r="13" spans="2:9" s="68" customFormat="1" ht="34.5" customHeight="1">
      <c r="B13" s="77"/>
      <c r="C13" s="78"/>
      <c r="D13" s="78"/>
      <c r="E13" s="78"/>
      <c r="F13" s="78"/>
      <c r="G13" s="82"/>
      <c r="H13" s="82"/>
      <c r="I13" s="79"/>
    </row>
  </sheetData>
  <mergeCells count="2">
    <mergeCell ref="B5:I6"/>
    <mergeCell ref="B2:I2"/>
  </mergeCells>
  <pageMargins left="0.7" right="0.7" top="0.75" bottom="0.75" header="0.3" footer="0.3"/>
  <pageSetup paperSize="9" scale="5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35"/>
  <sheetViews>
    <sheetView showGridLines="0" view="pageBreakPreview" zoomScale="60" zoomScaleNormal="100" workbookViewId="0">
      <selection activeCell="G6" sqref="G6"/>
    </sheetView>
  </sheetViews>
  <sheetFormatPr defaultRowHeight="15"/>
  <cols>
    <col min="1" max="1" width="1.7109375" customWidth="1"/>
    <col min="2" max="2" width="10.85546875" customWidth="1"/>
    <col min="3" max="3" width="25" customWidth="1"/>
    <col min="4" max="4" width="19" customWidth="1"/>
    <col min="5" max="5" width="27" customWidth="1"/>
    <col min="6" max="7" width="25" customWidth="1"/>
  </cols>
  <sheetData>
    <row r="1" spans="2:7">
      <c r="G1" t="s">
        <v>239</v>
      </c>
    </row>
    <row r="2" spans="2:7" ht="23.25">
      <c r="B2" s="156" t="s">
        <v>244</v>
      </c>
      <c r="C2" s="157"/>
      <c r="D2" s="157"/>
      <c r="E2" s="157"/>
      <c r="F2" s="157"/>
      <c r="G2" s="158"/>
    </row>
    <row r="4" spans="2:7" ht="20.25">
      <c r="B4" s="159" t="s">
        <v>175</v>
      </c>
      <c r="C4" s="160"/>
      <c r="D4" s="160"/>
      <c r="E4" s="160"/>
      <c r="F4" s="160"/>
      <c r="G4" s="161"/>
    </row>
    <row r="5" spans="2:7" ht="45">
      <c r="B5" s="83" t="s">
        <v>176</v>
      </c>
      <c r="C5" s="64" t="s">
        <v>177</v>
      </c>
      <c r="D5" s="83" t="s">
        <v>178</v>
      </c>
      <c r="E5" s="65" t="s">
        <v>177</v>
      </c>
      <c r="F5" s="89" t="s">
        <v>179</v>
      </c>
      <c r="G5" s="90" t="s">
        <v>218</v>
      </c>
    </row>
    <row r="6" spans="2:7">
      <c r="B6" s="84" t="s">
        <v>180</v>
      </c>
      <c r="C6" s="66" t="s">
        <v>191</v>
      </c>
      <c r="D6" s="84" t="s">
        <v>181</v>
      </c>
      <c r="E6" s="88"/>
      <c r="F6" s="91" t="s">
        <v>182</v>
      </c>
      <c r="G6" s="92">
        <f>F27</f>
        <v>0.97857142857142854</v>
      </c>
    </row>
    <row r="7" spans="2:7" ht="18" customHeight="1"/>
    <row r="9" spans="2:7" ht="20.25">
      <c r="B9" s="162" t="s">
        <v>183</v>
      </c>
      <c r="C9" s="163"/>
      <c r="D9" s="163"/>
      <c r="E9" s="163"/>
      <c r="F9" s="163"/>
      <c r="G9" s="164"/>
    </row>
    <row r="10" spans="2:7" ht="18.75" customHeight="1">
      <c r="B10" s="165" t="s">
        <v>184</v>
      </c>
      <c r="C10" s="170" t="s">
        <v>132</v>
      </c>
      <c r="D10" s="171"/>
      <c r="E10" s="167" t="s">
        <v>185</v>
      </c>
      <c r="F10" s="168"/>
      <c r="G10" s="169"/>
    </row>
    <row r="11" spans="2:7" ht="24" customHeight="1">
      <c r="B11" s="166"/>
      <c r="C11" s="172"/>
      <c r="D11" s="173"/>
      <c r="E11" s="85" t="s">
        <v>186</v>
      </c>
      <c r="F11" s="85" t="s">
        <v>187</v>
      </c>
      <c r="G11" s="85" t="s">
        <v>188</v>
      </c>
    </row>
    <row r="12" spans="2:7" ht="21" customHeight="1">
      <c r="B12" s="64">
        <v>1</v>
      </c>
      <c r="C12" s="148" t="s">
        <v>4</v>
      </c>
      <c r="D12" s="149"/>
      <c r="E12" s="65">
        <v>100</v>
      </c>
      <c r="F12" s="65">
        <v>100</v>
      </c>
      <c r="G12" s="67">
        <f>F12/E12</f>
        <v>1</v>
      </c>
    </row>
    <row r="13" spans="2:7" ht="21" customHeight="1">
      <c r="B13" s="66">
        <v>2</v>
      </c>
      <c r="C13" s="148" t="s">
        <v>133</v>
      </c>
      <c r="D13" s="149"/>
      <c r="E13" s="65">
        <v>100</v>
      </c>
      <c r="F13" s="65">
        <v>100</v>
      </c>
      <c r="G13" s="67">
        <f t="shared" ref="G13:G25" si="0">F13/E13</f>
        <v>1</v>
      </c>
    </row>
    <row r="14" spans="2:7" ht="21" customHeight="1">
      <c r="B14" s="64">
        <v>3</v>
      </c>
      <c r="C14" s="148" t="s">
        <v>192</v>
      </c>
      <c r="D14" s="149"/>
      <c r="E14" s="65">
        <v>100</v>
      </c>
      <c r="F14" s="65">
        <v>100</v>
      </c>
      <c r="G14" s="67">
        <f>F14/E14</f>
        <v>1</v>
      </c>
    </row>
    <row r="15" spans="2:7" ht="21" customHeight="1">
      <c r="B15" s="66">
        <v>4</v>
      </c>
      <c r="C15" s="148" t="s">
        <v>193</v>
      </c>
      <c r="D15" s="149"/>
      <c r="E15" s="65">
        <v>100</v>
      </c>
      <c r="F15" s="65">
        <v>100</v>
      </c>
      <c r="G15" s="67">
        <f t="shared" si="0"/>
        <v>1</v>
      </c>
    </row>
    <row r="16" spans="2:7" ht="21" customHeight="1">
      <c r="B16" s="64">
        <v>5</v>
      </c>
      <c r="C16" s="148" t="s">
        <v>194</v>
      </c>
      <c r="D16" s="149"/>
      <c r="E16" s="65">
        <v>100</v>
      </c>
      <c r="F16" s="65">
        <v>100</v>
      </c>
      <c r="G16" s="67">
        <f t="shared" si="0"/>
        <v>1</v>
      </c>
    </row>
    <row r="17" spans="2:7" ht="21" customHeight="1">
      <c r="B17" s="66">
        <v>6</v>
      </c>
      <c r="C17" s="148" t="s">
        <v>195</v>
      </c>
      <c r="D17" s="149"/>
      <c r="E17" s="65">
        <v>100</v>
      </c>
      <c r="F17" s="65">
        <v>100</v>
      </c>
      <c r="G17" s="67">
        <f t="shared" si="0"/>
        <v>1</v>
      </c>
    </row>
    <row r="18" spans="2:7" ht="21" customHeight="1">
      <c r="B18" s="64">
        <v>7</v>
      </c>
      <c r="C18" s="148" t="s">
        <v>196</v>
      </c>
      <c r="D18" s="149"/>
      <c r="E18" s="65">
        <v>100</v>
      </c>
      <c r="F18" s="65">
        <v>96</v>
      </c>
      <c r="G18" s="67">
        <f t="shared" si="0"/>
        <v>0.96</v>
      </c>
    </row>
    <row r="19" spans="2:7" ht="21" customHeight="1">
      <c r="B19" s="66">
        <v>8</v>
      </c>
      <c r="C19" s="148" t="s">
        <v>197</v>
      </c>
      <c r="D19" s="149"/>
      <c r="E19" s="65">
        <v>100</v>
      </c>
      <c r="F19" s="65">
        <v>100</v>
      </c>
      <c r="G19" s="67">
        <f t="shared" si="0"/>
        <v>1</v>
      </c>
    </row>
    <row r="20" spans="2:7" ht="21" customHeight="1">
      <c r="B20" s="64">
        <v>9</v>
      </c>
      <c r="C20" s="148" t="s">
        <v>198</v>
      </c>
      <c r="D20" s="149"/>
      <c r="E20" s="65">
        <v>100</v>
      </c>
      <c r="F20" s="65">
        <v>100</v>
      </c>
      <c r="G20" s="67">
        <f t="shared" si="0"/>
        <v>1</v>
      </c>
    </row>
    <row r="21" spans="2:7" ht="21" customHeight="1">
      <c r="B21" s="66">
        <v>10</v>
      </c>
      <c r="C21" s="148" t="s">
        <v>199</v>
      </c>
      <c r="D21" s="149"/>
      <c r="E21" s="65">
        <v>100</v>
      </c>
      <c r="F21" s="65">
        <v>92</v>
      </c>
      <c r="G21" s="67">
        <f t="shared" si="0"/>
        <v>0.92</v>
      </c>
    </row>
    <row r="22" spans="2:7" ht="21" customHeight="1">
      <c r="B22" s="64">
        <v>11</v>
      </c>
      <c r="C22" s="148" t="s">
        <v>200</v>
      </c>
      <c r="D22" s="149"/>
      <c r="E22" s="65">
        <v>100</v>
      </c>
      <c r="F22" s="65">
        <v>100</v>
      </c>
      <c r="G22" s="67">
        <f t="shared" si="0"/>
        <v>1</v>
      </c>
    </row>
    <row r="23" spans="2:7" ht="21" customHeight="1">
      <c r="B23" s="66">
        <v>12</v>
      </c>
      <c r="C23" s="148" t="s">
        <v>201</v>
      </c>
      <c r="D23" s="149"/>
      <c r="E23" s="65">
        <v>100</v>
      </c>
      <c r="F23" s="65">
        <v>91</v>
      </c>
      <c r="G23" s="67">
        <f t="shared" si="0"/>
        <v>0.91</v>
      </c>
    </row>
    <row r="24" spans="2:7" ht="21" customHeight="1">
      <c r="B24" s="64">
        <v>13</v>
      </c>
      <c r="C24" s="148" t="s">
        <v>202</v>
      </c>
      <c r="D24" s="149"/>
      <c r="E24" s="65">
        <v>100</v>
      </c>
      <c r="F24" s="65">
        <v>100</v>
      </c>
      <c r="G24" s="67">
        <f t="shared" si="0"/>
        <v>1</v>
      </c>
    </row>
    <row r="25" spans="2:7" ht="21" customHeight="1">
      <c r="B25" s="66">
        <v>14</v>
      </c>
      <c r="C25" s="148" t="s">
        <v>203</v>
      </c>
      <c r="D25" s="149"/>
      <c r="E25" s="65">
        <v>100</v>
      </c>
      <c r="F25" s="65">
        <v>91</v>
      </c>
      <c r="G25" s="67">
        <f t="shared" si="0"/>
        <v>0.91</v>
      </c>
    </row>
    <row r="26" spans="2:7" ht="21" customHeight="1">
      <c r="B26" s="150" t="s">
        <v>189</v>
      </c>
      <c r="C26" s="151"/>
      <c r="D26" s="152"/>
      <c r="E26" s="65">
        <f>SUM(E12:E25)</f>
        <v>1400</v>
      </c>
      <c r="F26" s="65">
        <f>SUM(F12:F25)</f>
        <v>1370</v>
      </c>
      <c r="G26" s="67">
        <f>F26/E26</f>
        <v>0.97857142857142854</v>
      </c>
    </row>
    <row r="27" spans="2:7" ht="21.75" customHeight="1">
      <c r="B27" s="153" t="s">
        <v>190</v>
      </c>
      <c r="C27" s="154"/>
      <c r="D27" s="154"/>
      <c r="E27" s="155"/>
      <c r="F27" s="93">
        <f>G26</f>
        <v>0.97857142857142854</v>
      </c>
      <c r="G27" s="94"/>
    </row>
    <row r="30" spans="2:7" ht="20.25">
      <c r="B30" s="136" t="s">
        <v>224</v>
      </c>
      <c r="C30" s="137"/>
      <c r="D30" s="137"/>
      <c r="E30" s="137"/>
      <c r="F30" s="137"/>
      <c r="G30" s="138"/>
    </row>
    <row r="31" spans="2:7" ht="27">
      <c r="B31" s="110" t="s">
        <v>184</v>
      </c>
      <c r="C31" s="111" t="s">
        <v>225</v>
      </c>
      <c r="D31" s="111" t="s">
        <v>226</v>
      </c>
      <c r="E31" s="139" t="s">
        <v>227</v>
      </c>
      <c r="F31" s="140"/>
      <c r="G31" s="141"/>
    </row>
    <row r="32" spans="2:7" ht="31.5">
      <c r="B32" s="102">
        <v>1</v>
      </c>
      <c r="C32" s="103" t="s">
        <v>228</v>
      </c>
      <c r="D32" s="104" t="s">
        <v>229</v>
      </c>
      <c r="E32" s="142" t="s">
        <v>230</v>
      </c>
      <c r="F32" s="143"/>
      <c r="G32" s="144"/>
    </row>
    <row r="33" spans="2:7" ht="31.5">
      <c r="B33" s="105">
        <v>2</v>
      </c>
      <c r="C33" s="106" t="s">
        <v>231</v>
      </c>
      <c r="D33" s="107" t="s">
        <v>232</v>
      </c>
      <c r="E33" s="145"/>
      <c r="F33" s="146"/>
      <c r="G33" s="147"/>
    </row>
    <row r="34" spans="2:7" ht="31.5">
      <c r="B34" s="105">
        <v>3</v>
      </c>
      <c r="C34" s="106" t="s">
        <v>233</v>
      </c>
      <c r="D34" s="108" t="s">
        <v>234</v>
      </c>
      <c r="E34" s="142" t="s">
        <v>235</v>
      </c>
      <c r="F34" s="143"/>
      <c r="G34" s="144"/>
    </row>
    <row r="35" spans="2:7" ht="31.5">
      <c r="B35" s="102">
        <v>4</v>
      </c>
      <c r="C35" s="103" t="s">
        <v>236</v>
      </c>
      <c r="D35" s="109" t="s">
        <v>237</v>
      </c>
      <c r="E35" s="145"/>
      <c r="F35" s="146"/>
      <c r="G35" s="147"/>
    </row>
  </sheetData>
  <mergeCells count="26">
    <mergeCell ref="C17:D17"/>
    <mergeCell ref="C18:D18"/>
    <mergeCell ref="C19:D19"/>
    <mergeCell ref="C12:D12"/>
    <mergeCell ref="C13:D13"/>
    <mergeCell ref="C14:D14"/>
    <mergeCell ref="C15:D15"/>
    <mergeCell ref="C16:D16"/>
    <mergeCell ref="B2:G2"/>
    <mergeCell ref="B4:G4"/>
    <mergeCell ref="B9:G9"/>
    <mergeCell ref="B10:B11"/>
    <mergeCell ref="E10:G10"/>
    <mergeCell ref="C10:D11"/>
    <mergeCell ref="C20:D20"/>
    <mergeCell ref="C21:D21"/>
    <mergeCell ref="C22:D22"/>
    <mergeCell ref="C23:D23"/>
    <mergeCell ref="C24:D24"/>
    <mergeCell ref="B30:G30"/>
    <mergeCell ref="E31:G31"/>
    <mergeCell ref="E32:G33"/>
    <mergeCell ref="E34:G35"/>
    <mergeCell ref="C25:D25"/>
    <mergeCell ref="B26:D26"/>
    <mergeCell ref="B27:E27"/>
  </mergeCells>
  <pageMargins left="0.7" right="0.7" top="0.75" bottom="0.75" header="0.3" footer="0.3"/>
  <pageSetup paperSize="9" scale="6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49"/>
  <sheetViews>
    <sheetView showGridLines="0" view="pageBreakPreview" zoomScaleNormal="100" zoomScaleSheetLayoutView="100" workbookViewId="0">
      <selection activeCell="C15" sqref="C15:W15"/>
    </sheetView>
  </sheetViews>
  <sheetFormatPr defaultColWidth="3.5703125" defaultRowHeight="13.5"/>
  <cols>
    <col min="1" max="1" width="3.5703125" style="4"/>
    <col min="2" max="2" width="6.5703125" style="4" customWidth="1"/>
    <col min="3" max="22" width="5.140625" style="4" customWidth="1"/>
    <col min="23" max="23" width="3.5703125" style="4"/>
    <col min="24" max="29" width="5.7109375" style="4" customWidth="1"/>
    <col min="30" max="16384" width="3.5703125" style="4"/>
  </cols>
  <sheetData>
    <row r="1" spans="1:52" s="2" customFormat="1" ht="23.25" customHeight="1">
      <c r="A1" s="193"/>
      <c r="B1" s="194"/>
      <c r="C1" s="194"/>
      <c r="D1" s="194"/>
      <c r="E1" s="195"/>
      <c r="F1" s="202" t="s">
        <v>243</v>
      </c>
      <c r="G1" s="203"/>
      <c r="H1" s="203"/>
      <c r="I1" s="203"/>
      <c r="J1" s="203"/>
      <c r="K1" s="203"/>
      <c r="L1" s="203"/>
      <c r="M1" s="203"/>
      <c r="N1" s="203"/>
      <c r="O1" s="203"/>
      <c r="P1" s="203"/>
      <c r="Q1" s="203"/>
      <c r="R1" s="203"/>
      <c r="S1" s="203"/>
      <c r="T1" s="203"/>
      <c r="U1" s="203"/>
      <c r="V1" s="203"/>
      <c r="W1" s="204" t="s">
        <v>0</v>
      </c>
      <c r="X1" s="174" t="s">
        <v>136</v>
      </c>
      <c r="Y1" s="175"/>
      <c r="Z1" s="175" t="s">
        <v>137</v>
      </c>
      <c r="AA1" s="175"/>
      <c r="AB1" s="175" t="s">
        <v>3</v>
      </c>
      <c r="AC1" s="175"/>
      <c r="AD1" s="1"/>
      <c r="AE1" s="1"/>
      <c r="AF1" s="1"/>
      <c r="AG1" s="1"/>
      <c r="AH1" s="1"/>
      <c r="AI1" s="1"/>
      <c r="AJ1" s="1"/>
      <c r="AK1" s="1"/>
      <c r="AL1" s="1"/>
      <c r="AM1" s="1"/>
      <c r="AN1" s="1"/>
      <c r="AO1" s="1"/>
      <c r="AP1" s="1"/>
      <c r="AQ1" s="1"/>
      <c r="AR1" s="1"/>
      <c r="AS1" s="1"/>
      <c r="AT1" s="1"/>
    </row>
    <row r="2" spans="1:52" s="2" customFormat="1" ht="23.25" customHeight="1">
      <c r="A2" s="196"/>
      <c r="B2" s="197"/>
      <c r="C2" s="197"/>
      <c r="D2" s="197"/>
      <c r="E2" s="198"/>
      <c r="F2" s="203"/>
      <c r="G2" s="203"/>
      <c r="H2" s="203"/>
      <c r="I2" s="203"/>
      <c r="J2" s="203"/>
      <c r="K2" s="203"/>
      <c r="L2" s="203"/>
      <c r="M2" s="203"/>
      <c r="N2" s="203"/>
      <c r="O2" s="203"/>
      <c r="P2" s="203"/>
      <c r="Q2" s="203"/>
      <c r="R2" s="203"/>
      <c r="S2" s="203"/>
      <c r="T2" s="203"/>
      <c r="U2" s="203"/>
      <c r="V2" s="203"/>
      <c r="W2" s="204"/>
      <c r="X2" s="176" t="s">
        <v>252</v>
      </c>
      <c r="Y2" s="177"/>
      <c r="Z2" s="178"/>
      <c r="AA2" s="178"/>
      <c r="AB2" s="181" t="s">
        <v>253</v>
      </c>
      <c r="AC2" s="176"/>
      <c r="AD2" s="1"/>
      <c r="AE2" s="1"/>
      <c r="AF2" s="1"/>
      <c r="AG2" s="1"/>
      <c r="AH2" s="1"/>
      <c r="AI2" s="1"/>
      <c r="AJ2" s="1"/>
      <c r="AK2" s="1"/>
      <c r="AL2" s="1"/>
      <c r="AM2" s="1"/>
      <c r="AN2" s="1"/>
      <c r="AO2" s="1"/>
      <c r="AP2" s="1"/>
      <c r="AQ2" s="1"/>
      <c r="AR2" s="1"/>
      <c r="AS2" s="1"/>
      <c r="AT2" s="1"/>
    </row>
    <row r="3" spans="1:52" s="2" customFormat="1" ht="15.75" customHeight="1">
      <c r="A3" s="196"/>
      <c r="B3" s="197"/>
      <c r="C3" s="197"/>
      <c r="D3" s="197"/>
      <c r="E3" s="198"/>
      <c r="F3" s="205" t="s">
        <v>132</v>
      </c>
      <c r="G3" s="175"/>
      <c r="H3" s="175"/>
      <c r="I3" s="182" t="s">
        <v>4</v>
      </c>
      <c r="J3" s="183"/>
      <c r="K3" s="183"/>
      <c r="L3" s="183"/>
      <c r="M3" s="183"/>
      <c r="N3" s="183"/>
      <c r="O3" s="183"/>
      <c r="P3" s="183"/>
      <c r="Q3" s="183"/>
      <c r="R3" s="183"/>
      <c r="S3" s="183"/>
      <c r="T3" s="183"/>
      <c r="U3" s="183"/>
      <c r="V3" s="184"/>
      <c r="W3" s="204"/>
      <c r="X3" s="176"/>
      <c r="Y3" s="177"/>
      <c r="Z3" s="179"/>
      <c r="AA3" s="179"/>
      <c r="AB3" s="181"/>
      <c r="AC3" s="176"/>
      <c r="AD3" s="1"/>
      <c r="AE3" s="1"/>
      <c r="AF3" s="1"/>
      <c r="AG3" s="1"/>
      <c r="AH3" s="1"/>
      <c r="AI3" s="1"/>
      <c r="AJ3" s="1"/>
      <c r="AK3" s="1"/>
      <c r="AL3" s="1"/>
      <c r="AM3" s="1"/>
      <c r="AN3" s="1"/>
      <c r="AO3" s="1"/>
      <c r="AP3" s="1"/>
      <c r="AQ3" s="1"/>
      <c r="AR3" s="1"/>
      <c r="AS3" s="1"/>
      <c r="AT3" s="1"/>
    </row>
    <row r="4" spans="1:52" ht="15.75" customHeight="1">
      <c r="A4" s="199"/>
      <c r="B4" s="200"/>
      <c r="C4" s="200"/>
      <c r="D4" s="200"/>
      <c r="E4" s="201"/>
      <c r="F4" s="175"/>
      <c r="G4" s="175"/>
      <c r="H4" s="175"/>
      <c r="I4" s="185"/>
      <c r="J4" s="186"/>
      <c r="K4" s="186"/>
      <c r="L4" s="186"/>
      <c r="M4" s="186"/>
      <c r="N4" s="186"/>
      <c r="O4" s="186"/>
      <c r="P4" s="186"/>
      <c r="Q4" s="186"/>
      <c r="R4" s="186"/>
      <c r="S4" s="186"/>
      <c r="T4" s="186"/>
      <c r="U4" s="186"/>
      <c r="V4" s="187"/>
      <c r="W4" s="204"/>
      <c r="X4" s="176"/>
      <c r="Y4" s="177"/>
      <c r="Z4" s="180"/>
      <c r="AA4" s="180"/>
      <c r="AB4" s="181"/>
      <c r="AC4" s="176"/>
      <c r="AD4" s="3"/>
      <c r="AE4" s="3"/>
      <c r="AF4" s="3"/>
      <c r="AG4" s="3"/>
      <c r="AH4" s="3"/>
      <c r="AI4" s="3"/>
      <c r="AJ4" s="3"/>
      <c r="AK4" s="3"/>
      <c r="AL4" s="3"/>
      <c r="AM4" s="3"/>
      <c r="AN4" s="3"/>
      <c r="AO4" s="3"/>
      <c r="AP4" s="3"/>
      <c r="AQ4" s="3"/>
      <c r="AR4" s="3"/>
      <c r="AS4" s="3"/>
      <c r="AT4" s="3"/>
    </row>
    <row r="5" spans="1:52" s="6" customFormat="1" ht="18.75" customHeight="1">
      <c r="A5" s="188" t="s">
        <v>134</v>
      </c>
      <c r="B5" s="189"/>
      <c r="C5" s="189"/>
      <c r="D5" s="189"/>
      <c r="E5" s="174"/>
      <c r="F5" s="190" t="s">
        <v>174</v>
      </c>
      <c r="G5" s="191"/>
      <c r="H5" s="191"/>
      <c r="I5" s="191"/>
      <c r="J5" s="192"/>
      <c r="K5" s="188" t="s">
        <v>5</v>
      </c>
      <c r="L5" s="189"/>
      <c r="M5" s="189"/>
      <c r="N5" s="174"/>
      <c r="O5" s="190"/>
      <c r="P5" s="191"/>
      <c r="Q5" s="191"/>
      <c r="R5" s="191"/>
      <c r="S5" s="192"/>
      <c r="T5" s="188" t="s">
        <v>135</v>
      </c>
      <c r="U5" s="189"/>
      <c r="V5" s="189"/>
      <c r="W5" s="174"/>
      <c r="X5" s="177" t="s">
        <v>219</v>
      </c>
      <c r="Y5" s="214"/>
      <c r="Z5" s="214"/>
      <c r="AA5" s="214"/>
      <c r="AB5" s="214"/>
      <c r="AC5" s="181"/>
      <c r="AD5" s="5"/>
      <c r="AE5" s="5"/>
      <c r="AF5" s="5"/>
      <c r="AG5" s="5"/>
      <c r="AH5" s="5"/>
      <c r="AI5" s="5"/>
      <c r="AJ5" s="5"/>
      <c r="AK5" s="5"/>
      <c r="AL5" s="5"/>
      <c r="AM5" s="5"/>
      <c r="AN5" s="5"/>
      <c r="AO5" s="5"/>
      <c r="AP5" s="5"/>
      <c r="AQ5" s="5"/>
      <c r="AR5" s="5"/>
      <c r="AS5" s="5"/>
      <c r="AT5" s="5"/>
    </row>
    <row r="6" spans="1:52" s="6" customFormat="1" ht="21.75" customHeight="1">
      <c r="A6" s="175" t="s">
        <v>245</v>
      </c>
      <c r="B6" s="188"/>
      <c r="C6" s="188" t="s">
        <v>250</v>
      </c>
      <c r="D6" s="189"/>
      <c r="E6" s="189"/>
      <c r="F6" s="189"/>
      <c r="G6" s="189"/>
      <c r="H6" s="189"/>
      <c r="I6" s="189"/>
      <c r="J6" s="189"/>
      <c r="K6" s="189"/>
      <c r="L6" s="189"/>
      <c r="M6" s="189"/>
      <c r="N6" s="189"/>
      <c r="O6" s="189"/>
      <c r="P6" s="189"/>
      <c r="Q6" s="189"/>
      <c r="R6" s="189"/>
      <c r="S6" s="189"/>
      <c r="T6" s="189"/>
      <c r="U6" s="189"/>
      <c r="V6" s="189"/>
      <c r="W6" s="174"/>
      <c r="X6" s="174" t="s">
        <v>8</v>
      </c>
      <c r="Y6" s="175"/>
      <c r="Z6" s="175"/>
      <c r="AA6" s="175"/>
      <c r="AB6" s="175"/>
      <c r="AC6" s="175"/>
      <c r="AD6" s="5"/>
      <c r="AE6" s="5"/>
      <c r="AF6" s="5"/>
      <c r="AG6" s="5"/>
      <c r="AH6" s="5"/>
      <c r="AI6" s="5"/>
      <c r="AJ6" s="5"/>
      <c r="AK6" s="5"/>
      <c r="AL6" s="5"/>
      <c r="AM6" s="5"/>
      <c r="AN6" s="5"/>
      <c r="AO6" s="5"/>
      <c r="AP6" s="5"/>
      <c r="AQ6" s="5"/>
      <c r="AR6" s="5"/>
      <c r="AS6" s="5"/>
      <c r="AT6" s="5"/>
    </row>
    <row r="7" spans="1:52" s="8" customFormat="1" ht="27.75" customHeight="1">
      <c r="A7" s="215">
        <v>1</v>
      </c>
      <c r="B7" s="216"/>
      <c r="C7" s="217" t="s">
        <v>9</v>
      </c>
      <c r="D7" s="218"/>
      <c r="E7" s="218"/>
      <c r="F7" s="218"/>
      <c r="G7" s="218"/>
      <c r="H7" s="218"/>
      <c r="I7" s="218"/>
      <c r="J7" s="218"/>
      <c r="K7" s="218"/>
      <c r="L7" s="218"/>
      <c r="M7" s="218"/>
      <c r="N7" s="218"/>
      <c r="O7" s="218"/>
      <c r="P7" s="218"/>
      <c r="Q7" s="218"/>
      <c r="R7" s="218"/>
      <c r="S7" s="218"/>
      <c r="T7" s="218"/>
      <c r="U7" s="218"/>
      <c r="V7" s="218"/>
      <c r="W7" s="219"/>
      <c r="X7" s="220" t="s">
        <v>173</v>
      </c>
      <c r="Y7" s="220"/>
      <c r="Z7" s="220"/>
      <c r="AA7" s="220"/>
      <c r="AB7" s="220"/>
      <c r="AC7" s="216"/>
      <c r="AD7" s="62"/>
      <c r="AE7" s="16"/>
      <c r="AF7" s="16"/>
      <c r="AG7" s="16"/>
      <c r="AH7" s="16"/>
      <c r="AI7" s="16"/>
      <c r="AJ7" s="16"/>
      <c r="AK7" s="16"/>
      <c r="AL7" s="16"/>
      <c r="AM7" s="16"/>
      <c r="AN7" s="16"/>
      <c r="AO7" s="16"/>
      <c r="AP7" s="16"/>
      <c r="AQ7" s="16"/>
      <c r="AR7" s="16"/>
      <c r="AS7" s="16"/>
      <c r="AT7" s="16"/>
      <c r="AU7" s="16"/>
      <c r="AV7" s="16"/>
      <c r="AW7" s="16"/>
      <c r="AX7" s="16"/>
      <c r="AY7" s="16"/>
      <c r="AZ7" s="16"/>
    </row>
    <row r="8" spans="1:52" s="8" customFormat="1" ht="27.75" customHeight="1">
      <c r="A8" s="206">
        <v>2</v>
      </c>
      <c r="B8" s="207"/>
      <c r="C8" s="221" t="s">
        <v>138</v>
      </c>
      <c r="D8" s="222"/>
      <c r="E8" s="222"/>
      <c r="F8" s="222"/>
      <c r="G8" s="222"/>
      <c r="H8" s="222"/>
      <c r="I8" s="222"/>
      <c r="J8" s="222"/>
      <c r="K8" s="222"/>
      <c r="L8" s="222"/>
      <c r="M8" s="222"/>
      <c r="N8" s="222"/>
      <c r="O8" s="222"/>
      <c r="P8" s="222"/>
      <c r="Q8" s="222"/>
      <c r="R8" s="222"/>
      <c r="S8" s="222"/>
      <c r="T8" s="222"/>
      <c r="U8" s="222"/>
      <c r="V8" s="222"/>
      <c r="W8" s="223"/>
      <c r="X8" s="206" t="s">
        <v>173</v>
      </c>
      <c r="Y8" s="224"/>
      <c r="Z8" s="224"/>
      <c r="AA8" s="224"/>
      <c r="AB8" s="224"/>
      <c r="AC8" s="207"/>
      <c r="AD8" s="62"/>
      <c r="AE8" s="16"/>
      <c r="AF8" s="16"/>
      <c r="AG8" s="16"/>
      <c r="AH8" s="16"/>
      <c r="AI8" s="16"/>
      <c r="AJ8" s="16"/>
      <c r="AK8" s="16"/>
      <c r="AL8" s="16"/>
      <c r="AM8" s="16"/>
      <c r="AN8" s="16"/>
      <c r="AO8" s="16"/>
      <c r="AP8" s="16"/>
      <c r="AQ8" s="16"/>
      <c r="AR8" s="16"/>
      <c r="AS8" s="16"/>
      <c r="AT8" s="16"/>
      <c r="AU8" s="16"/>
      <c r="AV8" s="16"/>
      <c r="AW8" s="16"/>
      <c r="AX8" s="16"/>
      <c r="AY8" s="16"/>
      <c r="AZ8" s="16"/>
    </row>
    <row r="9" spans="1:52" s="9" customFormat="1" ht="27.75" customHeight="1">
      <c r="A9" s="206">
        <v>3</v>
      </c>
      <c r="B9" s="207"/>
      <c r="C9" s="208" t="s">
        <v>139</v>
      </c>
      <c r="D9" s="209"/>
      <c r="E9" s="209"/>
      <c r="F9" s="209"/>
      <c r="G9" s="209"/>
      <c r="H9" s="209"/>
      <c r="I9" s="209"/>
      <c r="J9" s="209"/>
      <c r="K9" s="209"/>
      <c r="L9" s="209"/>
      <c r="M9" s="209"/>
      <c r="N9" s="209"/>
      <c r="O9" s="209"/>
      <c r="P9" s="209"/>
      <c r="Q9" s="209"/>
      <c r="R9" s="209"/>
      <c r="S9" s="209"/>
      <c r="T9" s="209"/>
      <c r="U9" s="209"/>
      <c r="V9" s="209"/>
      <c r="W9" s="210"/>
      <c r="X9" s="211" t="s">
        <v>10</v>
      </c>
      <c r="Y9" s="212"/>
      <c r="Z9" s="212"/>
      <c r="AA9" s="212"/>
      <c r="AB9" s="212"/>
      <c r="AC9" s="213"/>
      <c r="AD9" s="63"/>
      <c r="AE9" s="38"/>
      <c r="AF9" s="38"/>
      <c r="AG9" s="38"/>
      <c r="AH9" s="38"/>
      <c r="AI9" s="38"/>
      <c r="AJ9" s="38"/>
      <c r="AK9" s="38"/>
      <c r="AL9" s="38"/>
      <c r="AM9" s="38"/>
      <c r="AN9" s="38"/>
      <c r="AO9" s="38"/>
      <c r="AP9" s="38"/>
      <c r="AQ9" s="38"/>
      <c r="AR9" s="38"/>
      <c r="AS9" s="38"/>
      <c r="AT9" s="38"/>
      <c r="AU9" s="38"/>
      <c r="AV9" s="38"/>
      <c r="AW9" s="38"/>
      <c r="AX9" s="38"/>
      <c r="AY9" s="38"/>
      <c r="AZ9" s="38"/>
    </row>
    <row r="10" spans="1:52" s="9" customFormat="1" ht="27.75" customHeight="1">
      <c r="A10" s="206">
        <v>4</v>
      </c>
      <c r="B10" s="207"/>
      <c r="C10" s="208" t="s">
        <v>140</v>
      </c>
      <c r="D10" s="209"/>
      <c r="E10" s="209"/>
      <c r="F10" s="209"/>
      <c r="G10" s="209"/>
      <c r="H10" s="209"/>
      <c r="I10" s="209"/>
      <c r="J10" s="209"/>
      <c r="K10" s="209"/>
      <c r="L10" s="209"/>
      <c r="M10" s="209"/>
      <c r="N10" s="209"/>
      <c r="O10" s="209"/>
      <c r="P10" s="209"/>
      <c r="Q10" s="209"/>
      <c r="R10" s="209"/>
      <c r="S10" s="209"/>
      <c r="T10" s="209"/>
      <c r="U10" s="209"/>
      <c r="V10" s="209"/>
      <c r="W10" s="210"/>
      <c r="X10" s="211" t="s">
        <v>173</v>
      </c>
      <c r="Y10" s="212"/>
      <c r="Z10" s="212"/>
      <c r="AA10" s="212"/>
      <c r="AB10" s="212"/>
      <c r="AC10" s="213"/>
      <c r="AD10" s="60"/>
      <c r="AE10" s="60"/>
      <c r="AF10" s="60"/>
      <c r="AG10" s="60"/>
      <c r="AH10" s="60"/>
      <c r="AI10" s="60"/>
      <c r="AJ10" s="60"/>
      <c r="AK10" s="60"/>
      <c r="AL10" s="60"/>
      <c r="AM10" s="60"/>
      <c r="AN10" s="60"/>
      <c r="AO10" s="60"/>
      <c r="AP10" s="60"/>
      <c r="AQ10" s="60"/>
      <c r="AR10" s="60"/>
      <c r="AS10" s="60"/>
      <c r="AT10" s="60"/>
      <c r="AU10" s="10"/>
      <c r="AV10" s="10"/>
      <c r="AW10" s="10"/>
      <c r="AX10" s="10"/>
      <c r="AY10" s="10"/>
      <c r="AZ10" s="10"/>
    </row>
    <row r="11" spans="1:52" s="9" customFormat="1" ht="27.75" customHeight="1">
      <c r="A11" s="206">
        <v>5</v>
      </c>
      <c r="B11" s="207"/>
      <c r="C11" s="208" t="s">
        <v>141</v>
      </c>
      <c r="D11" s="209"/>
      <c r="E11" s="209"/>
      <c r="F11" s="209"/>
      <c r="G11" s="209"/>
      <c r="H11" s="209"/>
      <c r="I11" s="209"/>
      <c r="J11" s="209"/>
      <c r="K11" s="209"/>
      <c r="L11" s="209"/>
      <c r="M11" s="209"/>
      <c r="N11" s="209"/>
      <c r="O11" s="209"/>
      <c r="P11" s="209"/>
      <c r="Q11" s="209"/>
      <c r="R11" s="209"/>
      <c r="S11" s="209"/>
      <c r="T11" s="209"/>
      <c r="U11" s="209"/>
      <c r="V11" s="209"/>
      <c r="W11" s="210"/>
      <c r="X11" s="211" t="s">
        <v>173</v>
      </c>
      <c r="Y11" s="212"/>
      <c r="Z11" s="212"/>
      <c r="AA11" s="212"/>
      <c r="AB11" s="212"/>
      <c r="AC11" s="213"/>
      <c r="AD11" s="63"/>
      <c r="AE11" s="38"/>
      <c r="AF11" s="38"/>
      <c r="AG11" s="38"/>
      <c r="AH11" s="38"/>
      <c r="AI11" s="38"/>
      <c r="AJ11" s="38"/>
      <c r="AK11" s="38"/>
      <c r="AL11" s="38"/>
      <c r="AM11" s="38"/>
      <c r="AN11" s="38"/>
      <c r="AO11" s="38"/>
      <c r="AP11" s="38"/>
      <c r="AQ11" s="38"/>
      <c r="AR11" s="38"/>
      <c r="AS11" s="38"/>
      <c r="AT11" s="38"/>
      <c r="AU11" s="38"/>
      <c r="AV11" s="38"/>
      <c r="AW11" s="38"/>
      <c r="AX11" s="38"/>
      <c r="AY11" s="38"/>
      <c r="AZ11" s="38"/>
    </row>
    <row r="12" spans="1:52" s="9" customFormat="1" ht="27.75" customHeight="1">
      <c r="A12" s="206">
        <v>6</v>
      </c>
      <c r="B12" s="207"/>
      <c r="C12" s="208" t="s">
        <v>142</v>
      </c>
      <c r="D12" s="209"/>
      <c r="E12" s="209"/>
      <c r="F12" s="209"/>
      <c r="G12" s="209"/>
      <c r="H12" s="209"/>
      <c r="I12" s="209"/>
      <c r="J12" s="209"/>
      <c r="K12" s="209"/>
      <c r="L12" s="209"/>
      <c r="M12" s="209"/>
      <c r="N12" s="209"/>
      <c r="O12" s="209"/>
      <c r="P12" s="209"/>
      <c r="Q12" s="209"/>
      <c r="R12" s="209"/>
      <c r="S12" s="209"/>
      <c r="T12" s="209"/>
      <c r="U12" s="209"/>
      <c r="V12" s="209"/>
      <c r="W12" s="210"/>
      <c r="X12" s="211" t="s">
        <v>173</v>
      </c>
      <c r="Y12" s="212"/>
      <c r="Z12" s="212"/>
      <c r="AA12" s="212"/>
      <c r="AB12" s="212"/>
      <c r="AC12" s="213"/>
      <c r="AD12" s="63"/>
      <c r="AE12" s="38"/>
      <c r="AF12" s="38"/>
      <c r="AG12" s="38"/>
      <c r="AH12" s="38"/>
      <c r="AI12" s="38"/>
      <c r="AJ12" s="38"/>
      <c r="AK12" s="38"/>
      <c r="AL12" s="38"/>
      <c r="AM12" s="38"/>
      <c r="AN12" s="38"/>
      <c r="AO12" s="38"/>
      <c r="AP12" s="38"/>
      <c r="AQ12" s="38"/>
      <c r="AR12" s="38"/>
      <c r="AS12" s="38"/>
      <c r="AT12" s="38"/>
      <c r="AU12" s="38"/>
      <c r="AV12" s="38"/>
      <c r="AW12" s="38"/>
      <c r="AX12" s="38"/>
      <c r="AY12" s="38"/>
      <c r="AZ12" s="38"/>
    </row>
    <row r="13" spans="1:52" s="9" customFormat="1" ht="27.75" customHeight="1">
      <c r="A13" s="206">
        <v>7</v>
      </c>
      <c r="B13" s="207"/>
      <c r="C13" s="208" t="s">
        <v>143</v>
      </c>
      <c r="D13" s="209"/>
      <c r="E13" s="209"/>
      <c r="F13" s="209"/>
      <c r="G13" s="209"/>
      <c r="H13" s="209"/>
      <c r="I13" s="209"/>
      <c r="J13" s="209"/>
      <c r="K13" s="209"/>
      <c r="L13" s="209"/>
      <c r="M13" s="209"/>
      <c r="N13" s="209"/>
      <c r="O13" s="209"/>
      <c r="P13" s="209"/>
      <c r="Q13" s="209"/>
      <c r="R13" s="209"/>
      <c r="S13" s="209"/>
      <c r="T13" s="209"/>
      <c r="U13" s="209"/>
      <c r="V13" s="209"/>
      <c r="W13" s="210"/>
      <c r="X13" s="211" t="s">
        <v>173</v>
      </c>
      <c r="Y13" s="212"/>
      <c r="Z13" s="212"/>
      <c r="AA13" s="212"/>
      <c r="AB13" s="212"/>
      <c r="AC13" s="213"/>
      <c r="AD13" s="63"/>
      <c r="AE13" s="38"/>
      <c r="AF13" s="38"/>
      <c r="AG13" s="38"/>
      <c r="AH13" s="38"/>
      <c r="AI13" s="38"/>
      <c r="AJ13" s="38"/>
      <c r="AK13" s="38"/>
      <c r="AL13" s="38"/>
      <c r="AM13" s="38"/>
      <c r="AN13" s="38"/>
      <c r="AO13" s="38"/>
      <c r="AP13" s="38"/>
      <c r="AQ13" s="38"/>
      <c r="AR13" s="38"/>
      <c r="AS13" s="38"/>
      <c r="AT13" s="38"/>
      <c r="AU13" s="38"/>
      <c r="AV13" s="38"/>
      <c r="AW13" s="38"/>
      <c r="AX13" s="38"/>
      <c r="AY13" s="38"/>
      <c r="AZ13" s="38"/>
    </row>
    <row r="14" spans="1:52" s="9" customFormat="1" ht="27.75" customHeight="1">
      <c r="A14" s="206">
        <v>8</v>
      </c>
      <c r="B14" s="207"/>
      <c r="C14" s="208" t="s">
        <v>17</v>
      </c>
      <c r="D14" s="209"/>
      <c r="E14" s="209"/>
      <c r="F14" s="209"/>
      <c r="G14" s="209"/>
      <c r="H14" s="209"/>
      <c r="I14" s="209"/>
      <c r="J14" s="209"/>
      <c r="K14" s="209"/>
      <c r="L14" s="209"/>
      <c r="M14" s="209"/>
      <c r="N14" s="209"/>
      <c r="O14" s="209"/>
      <c r="P14" s="209"/>
      <c r="Q14" s="209"/>
      <c r="R14" s="209"/>
      <c r="S14" s="209"/>
      <c r="T14" s="209"/>
      <c r="U14" s="209"/>
      <c r="V14" s="209"/>
      <c r="W14" s="210"/>
      <c r="X14" s="211" t="s">
        <v>173</v>
      </c>
      <c r="Y14" s="212"/>
      <c r="Z14" s="212"/>
      <c r="AA14" s="212"/>
      <c r="AB14" s="212"/>
      <c r="AC14" s="213"/>
      <c r="AD14" s="63"/>
      <c r="AE14" s="38"/>
      <c r="AF14" s="38"/>
      <c r="AG14" s="38"/>
      <c r="AH14" s="38"/>
      <c r="AI14" s="38"/>
      <c r="AJ14" s="38"/>
      <c r="AK14" s="38"/>
      <c r="AL14" s="38"/>
      <c r="AM14" s="38"/>
      <c r="AN14" s="38"/>
      <c r="AO14" s="38"/>
      <c r="AP14" s="38"/>
      <c r="AQ14" s="38"/>
      <c r="AR14" s="38"/>
      <c r="AS14" s="38"/>
      <c r="AT14" s="38"/>
      <c r="AU14" s="38"/>
      <c r="AV14" s="38"/>
      <c r="AW14" s="38"/>
      <c r="AX14" s="38"/>
      <c r="AY14" s="38"/>
      <c r="AZ14" s="38"/>
    </row>
    <row r="15" spans="1:52" s="9" customFormat="1" ht="27.75" customHeight="1">
      <c r="A15" s="206">
        <v>9</v>
      </c>
      <c r="B15" s="207"/>
      <c r="C15" s="208" t="s">
        <v>144</v>
      </c>
      <c r="D15" s="209"/>
      <c r="E15" s="209"/>
      <c r="F15" s="209"/>
      <c r="G15" s="209"/>
      <c r="H15" s="209"/>
      <c r="I15" s="209"/>
      <c r="J15" s="209"/>
      <c r="K15" s="209"/>
      <c r="L15" s="209"/>
      <c r="M15" s="209"/>
      <c r="N15" s="209"/>
      <c r="O15" s="209"/>
      <c r="P15" s="209"/>
      <c r="Q15" s="209"/>
      <c r="R15" s="209"/>
      <c r="S15" s="209"/>
      <c r="T15" s="209"/>
      <c r="U15" s="209"/>
      <c r="V15" s="209"/>
      <c r="W15" s="210"/>
      <c r="X15" s="211" t="s">
        <v>173</v>
      </c>
      <c r="Y15" s="212"/>
      <c r="Z15" s="212"/>
      <c r="AA15" s="212"/>
      <c r="AB15" s="212"/>
      <c r="AC15" s="213"/>
      <c r="AD15" s="63"/>
      <c r="AE15" s="38"/>
      <c r="AF15" s="38"/>
      <c r="AG15" s="38"/>
      <c r="AH15" s="38"/>
      <c r="AI15" s="38"/>
      <c r="AJ15" s="38"/>
      <c r="AK15" s="38"/>
      <c r="AL15" s="38"/>
      <c r="AM15" s="38"/>
      <c r="AN15" s="38"/>
      <c r="AO15" s="38"/>
      <c r="AP15" s="38"/>
      <c r="AQ15" s="38"/>
      <c r="AR15" s="38"/>
      <c r="AS15" s="38"/>
      <c r="AT15" s="38"/>
      <c r="AU15" s="38"/>
      <c r="AV15" s="38"/>
      <c r="AW15" s="38"/>
      <c r="AX15" s="38"/>
      <c r="AY15" s="38"/>
      <c r="AZ15" s="38"/>
    </row>
    <row r="16" spans="1:52" s="8" customFormat="1" ht="27.75" customHeight="1">
      <c r="A16" s="206">
        <v>10</v>
      </c>
      <c r="B16" s="207"/>
      <c r="C16" s="208" t="s">
        <v>146</v>
      </c>
      <c r="D16" s="209"/>
      <c r="E16" s="209"/>
      <c r="F16" s="209"/>
      <c r="G16" s="209"/>
      <c r="H16" s="209"/>
      <c r="I16" s="209"/>
      <c r="J16" s="209"/>
      <c r="K16" s="209"/>
      <c r="L16" s="209"/>
      <c r="M16" s="209"/>
      <c r="N16" s="209"/>
      <c r="O16" s="209"/>
      <c r="P16" s="209"/>
      <c r="Q16" s="209"/>
      <c r="R16" s="209"/>
      <c r="S16" s="209"/>
      <c r="T16" s="209"/>
      <c r="U16" s="209"/>
      <c r="V16" s="209"/>
      <c r="W16" s="210"/>
      <c r="X16" s="206" t="s">
        <v>173</v>
      </c>
      <c r="Y16" s="224"/>
      <c r="Z16" s="224"/>
      <c r="AA16" s="224"/>
      <c r="AB16" s="224"/>
      <c r="AC16" s="207"/>
      <c r="AD16" s="62"/>
      <c r="AE16" s="16"/>
      <c r="AF16" s="16"/>
      <c r="AG16" s="16"/>
      <c r="AH16" s="16"/>
      <c r="AI16" s="16"/>
      <c r="AJ16" s="16"/>
      <c r="AK16" s="16"/>
      <c r="AL16" s="16"/>
      <c r="AM16" s="16"/>
      <c r="AN16" s="16"/>
      <c r="AO16" s="16"/>
      <c r="AP16" s="16"/>
      <c r="AQ16" s="16"/>
      <c r="AR16" s="16"/>
      <c r="AS16" s="16"/>
      <c r="AT16" s="16"/>
      <c r="AU16" s="16"/>
      <c r="AV16" s="16"/>
      <c r="AW16" s="16"/>
      <c r="AX16" s="16"/>
      <c r="AY16" s="16"/>
      <c r="AZ16" s="16"/>
    </row>
    <row r="17" spans="1:52" s="8" customFormat="1" ht="27.75" customHeight="1">
      <c r="A17" s="206">
        <v>11</v>
      </c>
      <c r="B17" s="207"/>
      <c r="C17" s="221" t="s">
        <v>145</v>
      </c>
      <c r="D17" s="222"/>
      <c r="E17" s="222"/>
      <c r="F17" s="222"/>
      <c r="G17" s="222"/>
      <c r="H17" s="222"/>
      <c r="I17" s="222"/>
      <c r="J17" s="222"/>
      <c r="K17" s="222"/>
      <c r="L17" s="222"/>
      <c r="M17" s="222"/>
      <c r="N17" s="222"/>
      <c r="O17" s="222"/>
      <c r="P17" s="222"/>
      <c r="Q17" s="222"/>
      <c r="R17" s="222"/>
      <c r="S17" s="222"/>
      <c r="T17" s="222"/>
      <c r="U17" s="222"/>
      <c r="V17" s="222"/>
      <c r="W17" s="223"/>
      <c r="X17" s="206" t="s">
        <v>173</v>
      </c>
      <c r="Y17" s="224"/>
      <c r="Z17" s="224"/>
      <c r="AA17" s="224"/>
      <c r="AB17" s="224"/>
      <c r="AC17" s="207"/>
      <c r="AD17" s="62"/>
      <c r="AE17" s="16"/>
      <c r="AF17" s="16"/>
      <c r="AG17" s="16"/>
      <c r="AH17" s="16"/>
      <c r="AI17" s="16"/>
      <c r="AJ17" s="16"/>
      <c r="AK17" s="16"/>
      <c r="AL17" s="16"/>
      <c r="AM17" s="16"/>
      <c r="AN17" s="16"/>
      <c r="AO17" s="16"/>
      <c r="AP17" s="16"/>
      <c r="AQ17" s="16"/>
      <c r="AR17" s="16"/>
      <c r="AS17" s="16"/>
      <c r="AT17" s="16"/>
      <c r="AU17" s="16"/>
      <c r="AV17" s="16"/>
      <c r="AW17" s="16"/>
      <c r="AX17" s="16"/>
      <c r="AY17" s="16"/>
      <c r="AZ17" s="16"/>
    </row>
    <row r="18" spans="1:52" s="8" customFormat="1" ht="20.25" customHeight="1">
      <c r="A18" s="206"/>
      <c r="B18" s="207"/>
      <c r="C18" s="11"/>
      <c r="D18" s="12"/>
      <c r="E18" s="12"/>
      <c r="F18" s="13"/>
      <c r="G18" s="14"/>
      <c r="H18" s="14"/>
      <c r="I18" s="14"/>
      <c r="J18" s="14"/>
      <c r="K18" s="14"/>
      <c r="L18" s="14"/>
      <c r="M18" s="14"/>
      <c r="N18" s="14"/>
      <c r="O18" s="14"/>
      <c r="P18" s="14"/>
      <c r="Q18" s="14"/>
      <c r="R18" s="14"/>
      <c r="S18" s="14"/>
      <c r="T18" s="14"/>
      <c r="U18" s="14"/>
      <c r="V18" s="14"/>
      <c r="W18" s="15"/>
      <c r="X18" s="206"/>
      <c r="Y18" s="224"/>
      <c r="Z18" s="224"/>
      <c r="AA18" s="224"/>
      <c r="AB18" s="224"/>
      <c r="AC18" s="207"/>
      <c r="AD18" s="16"/>
      <c r="AE18" s="16"/>
      <c r="AF18" s="16"/>
      <c r="AG18" s="16"/>
      <c r="AH18" s="16"/>
      <c r="AI18" s="16"/>
      <c r="AJ18" s="16"/>
      <c r="AK18" s="16"/>
      <c r="AL18" s="16"/>
      <c r="AM18" s="16"/>
      <c r="AN18" s="16"/>
      <c r="AO18" s="16"/>
      <c r="AP18" s="16"/>
      <c r="AQ18" s="16"/>
      <c r="AR18" s="16"/>
      <c r="AS18" s="16"/>
      <c r="AT18" s="16"/>
    </row>
    <row r="19" spans="1:52" s="8" customFormat="1" ht="20.25" customHeight="1">
      <c r="A19" s="225"/>
      <c r="B19" s="226"/>
      <c r="C19" s="17"/>
      <c r="D19" s="18"/>
      <c r="E19" s="18"/>
      <c r="F19" s="19"/>
      <c r="G19" s="20"/>
      <c r="H19" s="20"/>
      <c r="I19" s="20"/>
      <c r="J19" s="20"/>
      <c r="K19" s="21"/>
      <c r="L19" s="21"/>
      <c r="M19" s="21"/>
      <c r="N19" s="21"/>
      <c r="O19" s="21"/>
      <c r="P19" s="21"/>
      <c r="Q19" s="21"/>
      <c r="R19" s="21"/>
      <c r="S19" s="21"/>
      <c r="T19" s="21"/>
      <c r="U19" s="21"/>
      <c r="V19" s="20"/>
      <c r="W19" s="22"/>
      <c r="X19" s="225"/>
      <c r="Y19" s="227"/>
      <c r="Z19" s="227"/>
      <c r="AA19" s="227"/>
      <c r="AB19" s="227"/>
      <c r="AC19" s="226"/>
      <c r="AD19" s="16"/>
      <c r="AE19" s="16"/>
      <c r="AF19" s="16"/>
      <c r="AG19" s="16"/>
      <c r="AH19" s="16"/>
      <c r="AI19" s="16"/>
      <c r="AJ19" s="16"/>
      <c r="AK19" s="16"/>
      <c r="AL19" s="16"/>
      <c r="AM19" s="16"/>
      <c r="AN19" s="16"/>
      <c r="AO19" s="16"/>
      <c r="AP19" s="16"/>
      <c r="AQ19" s="16"/>
      <c r="AR19" s="16"/>
      <c r="AS19" s="16"/>
      <c r="AT19" s="16"/>
    </row>
    <row r="20" spans="1:52" s="6" customFormat="1" ht="15">
      <c r="A20" s="3"/>
      <c r="B20" s="3"/>
      <c r="C20" s="3"/>
      <c r="D20" s="3"/>
      <c r="E20" s="3"/>
      <c r="F20" s="3"/>
      <c r="G20" s="3"/>
      <c r="H20" s="3"/>
      <c r="I20" s="3"/>
      <c r="J20" s="3"/>
      <c r="K20" s="3"/>
      <c r="L20" s="3"/>
      <c r="M20" s="3"/>
      <c r="N20" s="3"/>
      <c r="O20" s="3"/>
      <c r="P20" s="3"/>
      <c r="Q20" s="3"/>
      <c r="R20" s="3"/>
      <c r="S20" s="3"/>
      <c r="T20" s="3"/>
      <c r="U20" s="3"/>
      <c r="V20" s="3"/>
      <c r="W20" s="3"/>
      <c r="X20" s="229" t="s">
        <v>172</v>
      </c>
      <c r="Y20" s="229"/>
      <c r="Z20" s="229"/>
      <c r="AA20" s="229"/>
      <c r="AB20" s="229"/>
      <c r="AC20" s="229"/>
      <c r="AD20" s="5"/>
      <c r="AE20" s="5"/>
      <c r="AF20" s="5"/>
      <c r="AG20" s="5"/>
      <c r="AH20" s="5"/>
      <c r="AI20" s="5"/>
      <c r="AJ20" s="5"/>
      <c r="AK20" s="5"/>
      <c r="AL20" s="5"/>
      <c r="AM20" s="5"/>
      <c r="AN20" s="5"/>
      <c r="AO20" s="5"/>
      <c r="AP20" s="5"/>
      <c r="AQ20" s="5"/>
      <c r="AR20" s="5"/>
      <c r="AS20" s="5"/>
      <c r="AT20" s="5"/>
    </row>
    <row r="21" spans="1:52" s="6" customFormat="1" ht="15">
      <c r="A21" s="5"/>
      <c r="B21" s="5"/>
      <c r="C21" s="5"/>
      <c r="D21" s="5"/>
      <c r="E21" s="5"/>
      <c r="F21" s="5"/>
      <c r="G21" s="5"/>
      <c r="H21" s="5"/>
      <c r="I21" s="5"/>
      <c r="J21" s="5"/>
      <c r="K21" s="5"/>
      <c r="L21" s="5"/>
      <c r="M21" s="5"/>
      <c r="N21" s="5"/>
      <c r="O21" s="5"/>
      <c r="P21" s="5"/>
      <c r="Q21" s="5"/>
      <c r="R21" s="5"/>
      <c r="S21" s="5"/>
      <c r="T21" s="5"/>
      <c r="U21" s="5"/>
      <c r="V21" s="5"/>
      <c r="W21" s="5"/>
      <c r="X21" s="228">
        <v>100</v>
      </c>
      <c r="Y21" s="228"/>
      <c r="Z21" s="228"/>
      <c r="AA21" s="228"/>
      <c r="AB21" s="228"/>
      <c r="AC21" s="228"/>
      <c r="AD21" s="5"/>
      <c r="AE21" s="5"/>
      <c r="AF21" s="5"/>
      <c r="AG21" s="5"/>
      <c r="AH21" s="5"/>
      <c r="AI21" s="5"/>
      <c r="AJ21" s="5"/>
      <c r="AK21" s="5"/>
      <c r="AL21" s="5"/>
      <c r="AM21" s="5"/>
      <c r="AN21" s="5"/>
      <c r="AO21" s="5"/>
      <c r="AP21" s="5"/>
      <c r="AQ21" s="5"/>
      <c r="AR21" s="5"/>
      <c r="AS21" s="5"/>
      <c r="AT21" s="5"/>
    </row>
    <row r="22" spans="1:52" s="6" customFormat="1" ht="1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row>
    <row r="23" spans="1:52" s="6" customFormat="1" ht="1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row>
    <row r="24" spans="1:52" s="6" customFormat="1"/>
    <row r="25" spans="1:52" s="6" customFormat="1"/>
    <row r="26" spans="1:52" s="6" customFormat="1"/>
    <row r="27" spans="1:52" s="6" customFormat="1"/>
    <row r="28" spans="1:52" s="6" customFormat="1"/>
    <row r="29" spans="1:52" s="6" customFormat="1"/>
    <row r="30" spans="1:52" s="6" customFormat="1"/>
    <row r="31" spans="1:52" s="6" customFormat="1"/>
    <row r="32" spans="1:52" s="6" customFormat="1"/>
    <row r="33" s="6" customFormat="1"/>
    <row r="34" s="6" customFormat="1"/>
    <row r="35" s="6" customFormat="1"/>
    <row r="36" s="6" customFormat="1"/>
    <row r="37" s="6" customFormat="1"/>
    <row r="38" s="6" customFormat="1"/>
    <row r="39" s="6" customFormat="1"/>
    <row r="40" s="6" customFormat="1"/>
    <row r="41" s="6" customFormat="1"/>
    <row r="42" s="6" customFormat="1"/>
    <row r="43" s="6" customFormat="1"/>
    <row r="44" s="6" customFormat="1"/>
    <row r="45" s="6" customFormat="1"/>
    <row r="46" s="6" customFormat="1"/>
    <row r="47" s="6" customFormat="1"/>
    <row r="48" s="6" customFormat="1"/>
    <row r="49" s="6" customFormat="1"/>
  </sheetData>
  <mergeCells count="59">
    <mergeCell ref="A18:B18"/>
    <mergeCell ref="X18:AC18"/>
    <mergeCell ref="A19:B19"/>
    <mergeCell ref="X19:AC19"/>
    <mergeCell ref="X21:AC21"/>
    <mergeCell ref="X20:AC20"/>
    <mergeCell ref="A16:B16"/>
    <mergeCell ref="C16:W16"/>
    <mergeCell ref="X16:AC16"/>
    <mergeCell ref="A17:B17"/>
    <mergeCell ref="C17:W17"/>
    <mergeCell ref="X17:AC17"/>
    <mergeCell ref="A14:B14"/>
    <mergeCell ref="C14:W14"/>
    <mergeCell ref="X14:AC14"/>
    <mergeCell ref="A15:B15"/>
    <mergeCell ref="C15:W15"/>
    <mergeCell ref="X15:AC15"/>
    <mergeCell ref="A13:B13"/>
    <mergeCell ref="C13:W13"/>
    <mergeCell ref="X13:AC13"/>
    <mergeCell ref="A10:B10"/>
    <mergeCell ref="C10:W10"/>
    <mergeCell ref="X10:AC10"/>
    <mergeCell ref="A11:B11"/>
    <mergeCell ref="C11:W11"/>
    <mergeCell ref="X11:AC11"/>
    <mergeCell ref="A12:B12"/>
    <mergeCell ref="C12:W12"/>
    <mergeCell ref="X12:AC12"/>
    <mergeCell ref="A9:B9"/>
    <mergeCell ref="C9:W9"/>
    <mergeCell ref="X9:AC9"/>
    <mergeCell ref="X5:AC5"/>
    <mergeCell ref="A6:B6"/>
    <mergeCell ref="C6:W6"/>
    <mergeCell ref="X6:AC6"/>
    <mergeCell ref="A7:B7"/>
    <mergeCell ref="C7:W7"/>
    <mergeCell ref="X7:AC7"/>
    <mergeCell ref="A8:B8"/>
    <mergeCell ref="C8:W8"/>
    <mergeCell ref="X8:AC8"/>
    <mergeCell ref="I3:V4"/>
    <mergeCell ref="A5:E5"/>
    <mergeCell ref="F5:J5"/>
    <mergeCell ref="K5:N5"/>
    <mergeCell ref="O5:S5"/>
    <mergeCell ref="T5:W5"/>
    <mergeCell ref="A1:E4"/>
    <mergeCell ref="F1:V2"/>
    <mergeCell ref="W1:W4"/>
    <mergeCell ref="F3:H4"/>
    <mergeCell ref="X1:Y1"/>
    <mergeCell ref="Z1:AA1"/>
    <mergeCell ref="AB1:AC1"/>
    <mergeCell ref="X2:Y4"/>
    <mergeCell ref="Z2:AA4"/>
    <mergeCell ref="AB2:AC4"/>
  </mergeCells>
  <conditionalFormatting sqref="X7:AC18">
    <cfRule type="containsText" dxfId="12" priority="1" operator="containsText" text="보류">
      <formula>NOT(ISERROR(SEARCH("보류",X7)))</formula>
    </cfRule>
  </conditionalFormatting>
  <pageMargins left="0.7" right="0.7" top="0.75" bottom="0.75" header="0.3" footer="0.3"/>
  <pageSetup paperSize="9" scale="84"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52"/>
  <sheetViews>
    <sheetView showGridLines="0" view="pageBreakPreview" zoomScaleNormal="100" zoomScaleSheetLayoutView="100" workbookViewId="0">
      <selection activeCell="C15" sqref="C15:W15"/>
    </sheetView>
  </sheetViews>
  <sheetFormatPr defaultColWidth="3.5703125" defaultRowHeight="13.5"/>
  <cols>
    <col min="1" max="1" width="3.5703125" style="4"/>
    <col min="2" max="2" width="4" style="4" customWidth="1"/>
    <col min="3" max="21" width="5.140625" style="4" customWidth="1"/>
    <col min="22" max="22" width="7.28515625" style="4" customWidth="1"/>
    <col min="23" max="23" width="5.140625" style="4" customWidth="1"/>
    <col min="24" max="29" width="5.7109375" style="4" customWidth="1"/>
    <col min="30" max="16384" width="3.5703125" style="4"/>
  </cols>
  <sheetData>
    <row r="1" spans="1:56" s="2" customFormat="1" ht="25.5" customHeight="1">
      <c r="A1" s="193"/>
      <c r="B1" s="194"/>
      <c r="C1" s="194"/>
      <c r="D1" s="194"/>
      <c r="E1" s="195"/>
      <c r="F1" s="202" t="s">
        <v>243</v>
      </c>
      <c r="G1" s="203"/>
      <c r="H1" s="203"/>
      <c r="I1" s="203"/>
      <c r="J1" s="203"/>
      <c r="K1" s="203"/>
      <c r="L1" s="203"/>
      <c r="M1" s="203"/>
      <c r="N1" s="203"/>
      <c r="O1" s="203"/>
      <c r="P1" s="203"/>
      <c r="Q1" s="203"/>
      <c r="R1" s="203"/>
      <c r="S1" s="203"/>
      <c r="T1" s="203"/>
      <c r="U1" s="203"/>
      <c r="V1" s="203"/>
      <c r="W1" s="204" t="s">
        <v>0</v>
      </c>
      <c r="X1" s="174" t="s">
        <v>1</v>
      </c>
      <c r="Y1" s="175"/>
      <c r="Z1" s="175" t="s">
        <v>2</v>
      </c>
      <c r="AA1" s="175"/>
      <c r="AB1" s="175" t="s">
        <v>3</v>
      </c>
      <c r="AC1" s="175"/>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row>
    <row r="2" spans="1:56" s="2" customFormat="1" ht="25.5" customHeight="1">
      <c r="A2" s="196"/>
      <c r="B2" s="197"/>
      <c r="C2" s="197"/>
      <c r="D2" s="197"/>
      <c r="E2" s="198"/>
      <c r="F2" s="203"/>
      <c r="G2" s="203"/>
      <c r="H2" s="203"/>
      <c r="I2" s="203"/>
      <c r="J2" s="203"/>
      <c r="K2" s="203"/>
      <c r="L2" s="203"/>
      <c r="M2" s="203"/>
      <c r="N2" s="203"/>
      <c r="O2" s="203"/>
      <c r="P2" s="203"/>
      <c r="Q2" s="203"/>
      <c r="R2" s="203"/>
      <c r="S2" s="203"/>
      <c r="T2" s="203"/>
      <c r="U2" s="203"/>
      <c r="V2" s="203"/>
      <c r="W2" s="204"/>
      <c r="X2" s="176" t="s">
        <v>252</v>
      </c>
      <c r="Y2" s="177"/>
      <c r="Z2" s="178"/>
      <c r="AA2" s="178"/>
      <c r="AB2" s="181" t="s">
        <v>253</v>
      </c>
      <c r="AC2" s="176"/>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row>
    <row r="3" spans="1:56" s="2" customFormat="1" ht="15.75" customHeight="1">
      <c r="A3" s="196"/>
      <c r="B3" s="197"/>
      <c r="C3" s="197"/>
      <c r="D3" s="197"/>
      <c r="E3" s="198"/>
      <c r="F3" s="175" t="s">
        <v>132</v>
      </c>
      <c r="G3" s="175"/>
      <c r="H3" s="175"/>
      <c r="I3" s="182" t="s">
        <v>133</v>
      </c>
      <c r="J3" s="183"/>
      <c r="K3" s="183"/>
      <c r="L3" s="183"/>
      <c r="M3" s="183"/>
      <c r="N3" s="183"/>
      <c r="O3" s="183"/>
      <c r="P3" s="183"/>
      <c r="Q3" s="183"/>
      <c r="R3" s="183"/>
      <c r="S3" s="183"/>
      <c r="T3" s="183"/>
      <c r="U3" s="183"/>
      <c r="V3" s="184"/>
      <c r="W3" s="204"/>
      <c r="X3" s="176"/>
      <c r="Y3" s="177"/>
      <c r="Z3" s="179"/>
      <c r="AA3" s="179"/>
      <c r="AB3" s="181"/>
      <c r="AC3" s="176"/>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row>
    <row r="4" spans="1:56" ht="15.75" customHeight="1">
      <c r="A4" s="199"/>
      <c r="B4" s="200"/>
      <c r="C4" s="200"/>
      <c r="D4" s="200"/>
      <c r="E4" s="201"/>
      <c r="F4" s="175"/>
      <c r="G4" s="175"/>
      <c r="H4" s="175"/>
      <c r="I4" s="185"/>
      <c r="J4" s="186"/>
      <c r="K4" s="186"/>
      <c r="L4" s="186"/>
      <c r="M4" s="186"/>
      <c r="N4" s="186"/>
      <c r="O4" s="186"/>
      <c r="P4" s="186"/>
      <c r="Q4" s="186"/>
      <c r="R4" s="186"/>
      <c r="S4" s="186"/>
      <c r="T4" s="186"/>
      <c r="U4" s="186"/>
      <c r="V4" s="187"/>
      <c r="W4" s="204"/>
      <c r="X4" s="176"/>
      <c r="Y4" s="177"/>
      <c r="Z4" s="180"/>
      <c r="AA4" s="180"/>
      <c r="AB4" s="181"/>
      <c r="AC4" s="176"/>
      <c r="AD4" s="3"/>
      <c r="AE4" s="3"/>
      <c r="AF4" s="3"/>
      <c r="AG4" s="3"/>
      <c r="AH4" s="3"/>
      <c r="AI4" s="3"/>
      <c r="AJ4" s="3"/>
      <c r="AK4" s="3"/>
      <c r="AL4" s="3"/>
      <c r="AM4" s="3"/>
      <c r="AN4" s="3"/>
      <c r="AO4" s="3"/>
      <c r="AP4" s="3"/>
      <c r="AQ4" s="3"/>
      <c r="AR4" s="3"/>
      <c r="AS4" s="3"/>
      <c r="AT4" s="3"/>
      <c r="AU4" s="3"/>
      <c r="AV4" s="3"/>
      <c r="AW4" s="3"/>
      <c r="AX4" s="3"/>
      <c r="AY4" s="3"/>
      <c r="AZ4" s="3"/>
      <c r="BA4" s="3"/>
      <c r="BB4" s="3"/>
      <c r="BC4" s="3"/>
      <c r="BD4" s="3"/>
    </row>
    <row r="5" spans="1:56" s="6" customFormat="1" ht="18.75" customHeight="1">
      <c r="A5" s="188" t="s">
        <v>134</v>
      </c>
      <c r="B5" s="189"/>
      <c r="C5" s="189"/>
      <c r="D5" s="189"/>
      <c r="E5" s="174"/>
      <c r="F5" s="190" t="s">
        <v>174</v>
      </c>
      <c r="G5" s="191"/>
      <c r="H5" s="191"/>
      <c r="I5" s="191"/>
      <c r="J5" s="192"/>
      <c r="K5" s="188" t="s">
        <v>5</v>
      </c>
      <c r="L5" s="189"/>
      <c r="M5" s="189"/>
      <c r="N5" s="174"/>
      <c r="O5" s="190"/>
      <c r="P5" s="191"/>
      <c r="Q5" s="191"/>
      <c r="R5" s="191"/>
      <c r="S5" s="192"/>
      <c r="T5" s="188" t="s">
        <v>135</v>
      </c>
      <c r="U5" s="189"/>
      <c r="V5" s="189"/>
      <c r="W5" s="174"/>
      <c r="X5" s="177" t="s">
        <v>219</v>
      </c>
      <c r="Y5" s="214"/>
      <c r="Z5" s="214"/>
      <c r="AA5" s="214"/>
      <c r="AB5" s="214"/>
      <c r="AC5" s="181"/>
      <c r="AD5" s="5"/>
      <c r="AE5" s="5"/>
      <c r="AF5" s="5"/>
      <c r="AG5" s="5"/>
      <c r="AH5" s="5"/>
      <c r="AI5" s="5"/>
      <c r="AJ5" s="5"/>
      <c r="AK5" s="5"/>
      <c r="AL5" s="5"/>
      <c r="AM5" s="5"/>
      <c r="AN5" s="5"/>
      <c r="AO5" s="5"/>
      <c r="AP5" s="5"/>
      <c r="AQ5" s="5"/>
      <c r="AR5" s="5"/>
      <c r="AS5" s="5"/>
      <c r="AT5" s="5"/>
      <c r="AU5" s="5"/>
      <c r="AV5" s="5"/>
      <c r="AW5" s="5"/>
      <c r="AX5" s="5"/>
      <c r="AY5" s="5"/>
      <c r="AZ5" s="5"/>
      <c r="BA5" s="5"/>
      <c r="BB5" s="5"/>
      <c r="BC5" s="5"/>
      <c r="BD5" s="5"/>
    </row>
    <row r="6" spans="1:56" s="6" customFormat="1" ht="21.75" customHeight="1">
      <c r="A6" s="175" t="s">
        <v>6</v>
      </c>
      <c r="B6" s="188"/>
      <c r="C6" s="188" t="s">
        <v>7</v>
      </c>
      <c r="D6" s="189"/>
      <c r="E6" s="189"/>
      <c r="F6" s="189"/>
      <c r="G6" s="189"/>
      <c r="H6" s="189"/>
      <c r="I6" s="189"/>
      <c r="J6" s="189"/>
      <c r="K6" s="189"/>
      <c r="L6" s="189"/>
      <c r="M6" s="189"/>
      <c r="N6" s="189"/>
      <c r="O6" s="189"/>
      <c r="P6" s="189"/>
      <c r="Q6" s="189"/>
      <c r="R6" s="189"/>
      <c r="S6" s="189"/>
      <c r="T6" s="189"/>
      <c r="U6" s="189"/>
      <c r="V6" s="189"/>
      <c r="W6" s="174"/>
      <c r="X6" s="174" t="s">
        <v>8</v>
      </c>
      <c r="Y6" s="175"/>
      <c r="Z6" s="175"/>
      <c r="AA6" s="175"/>
      <c r="AB6" s="175"/>
      <c r="AC6" s="175"/>
      <c r="AD6" s="5"/>
      <c r="AE6" s="5"/>
      <c r="AF6" s="5"/>
      <c r="AG6" s="5"/>
      <c r="AH6" s="5"/>
      <c r="AI6" s="5"/>
      <c r="AJ6" s="5"/>
      <c r="AK6" s="5"/>
      <c r="AL6" s="5"/>
      <c r="AM6" s="5"/>
      <c r="AN6" s="5"/>
      <c r="AO6" s="5"/>
      <c r="AP6" s="5"/>
      <c r="AQ6" s="5"/>
      <c r="AR6" s="5"/>
      <c r="AS6" s="5"/>
      <c r="AT6" s="5"/>
      <c r="AU6" s="5"/>
      <c r="AV6" s="5"/>
      <c r="AW6" s="5"/>
      <c r="AX6" s="5"/>
      <c r="AY6" s="5"/>
      <c r="AZ6" s="5"/>
      <c r="BA6" s="5"/>
      <c r="BB6" s="5"/>
      <c r="BC6" s="5"/>
      <c r="BD6" s="5"/>
    </row>
    <row r="7" spans="1:56" s="8" customFormat="1" ht="20.25" customHeight="1">
      <c r="A7" s="215">
        <v>1</v>
      </c>
      <c r="B7" s="216"/>
      <c r="C7" s="26" t="s">
        <v>19</v>
      </c>
      <c r="D7" s="27"/>
      <c r="E7" s="28"/>
      <c r="F7" s="7"/>
      <c r="G7" s="29"/>
      <c r="H7" s="29"/>
      <c r="I7" s="29"/>
      <c r="J7" s="29"/>
      <c r="K7" s="29"/>
      <c r="L7" s="29"/>
      <c r="M7" s="29"/>
      <c r="N7" s="29"/>
      <c r="O7" s="29"/>
      <c r="P7" s="29"/>
      <c r="Q7" s="29"/>
      <c r="R7" s="29"/>
      <c r="S7" s="29"/>
      <c r="T7" s="29"/>
      <c r="U7" s="29"/>
      <c r="V7" s="29"/>
      <c r="W7" s="30"/>
      <c r="X7" s="220" t="s">
        <v>173</v>
      </c>
      <c r="Y7" s="220"/>
      <c r="Z7" s="220"/>
      <c r="AA7" s="220"/>
      <c r="AB7" s="220"/>
      <c r="AC7" s="2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row>
    <row r="8" spans="1:56" s="8" customFormat="1" ht="20.25" customHeight="1">
      <c r="A8" s="206">
        <v>2</v>
      </c>
      <c r="B8" s="207"/>
      <c r="C8" s="31" t="s">
        <v>147</v>
      </c>
      <c r="D8" s="32"/>
      <c r="E8" s="33"/>
      <c r="F8" s="34"/>
      <c r="G8" s="35"/>
      <c r="H8" s="35"/>
      <c r="I8" s="35"/>
      <c r="J8" s="35"/>
      <c r="K8" s="35"/>
      <c r="L8" s="35"/>
      <c r="M8" s="35"/>
      <c r="N8" s="35"/>
      <c r="O8" s="35"/>
      <c r="P8" s="35"/>
      <c r="Q8" s="35"/>
      <c r="R8" s="35"/>
      <c r="S8" s="35"/>
      <c r="T8" s="35"/>
      <c r="U8" s="35"/>
      <c r="V8" s="35"/>
      <c r="W8" s="36"/>
      <c r="X8" s="206" t="s">
        <v>173</v>
      </c>
      <c r="Y8" s="224"/>
      <c r="Z8" s="224"/>
      <c r="AA8" s="224"/>
      <c r="AB8" s="224"/>
      <c r="AC8" s="207"/>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row>
    <row r="9" spans="1:56" s="8" customFormat="1" ht="20.25" customHeight="1">
      <c r="A9" s="206">
        <v>3</v>
      </c>
      <c r="B9" s="207"/>
      <c r="C9" s="31" t="s">
        <v>21</v>
      </c>
      <c r="D9" s="32"/>
      <c r="E9" s="33"/>
      <c r="F9" s="34"/>
      <c r="G9" s="35"/>
      <c r="H9" s="35"/>
      <c r="I9" s="35"/>
      <c r="J9" s="35"/>
      <c r="K9" s="35"/>
      <c r="L9" s="35"/>
      <c r="M9" s="35"/>
      <c r="N9" s="35"/>
      <c r="O9" s="35"/>
      <c r="P9" s="35"/>
      <c r="Q9" s="35"/>
      <c r="R9" s="35"/>
      <c r="S9" s="35"/>
      <c r="T9" s="35"/>
      <c r="U9" s="35"/>
      <c r="V9" s="35"/>
      <c r="W9" s="36"/>
      <c r="X9" s="206" t="s">
        <v>173</v>
      </c>
      <c r="Y9" s="224"/>
      <c r="Z9" s="224"/>
      <c r="AA9" s="224"/>
      <c r="AB9" s="224"/>
      <c r="AC9" s="207"/>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row>
    <row r="10" spans="1:56" s="8" customFormat="1" ht="20.25" customHeight="1">
      <c r="A10" s="206">
        <v>4</v>
      </c>
      <c r="B10" s="207"/>
      <c r="C10" s="31" t="s">
        <v>22</v>
      </c>
      <c r="D10" s="32"/>
      <c r="E10" s="33"/>
      <c r="F10" s="34"/>
      <c r="G10" s="35"/>
      <c r="H10" s="35"/>
      <c r="I10" s="35"/>
      <c r="J10" s="35"/>
      <c r="K10" s="35"/>
      <c r="L10" s="35"/>
      <c r="M10" s="35"/>
      <c r="N10" s="35"/>
      <c r="O10" s="35"/>
      <c r="P10" s="35"/>
      <c r="Q10" s="35"/>
      <c r="R10" s="35"/>
      <c r="S10" s="35"/>
      <c r="T10" s="35"/>
      <c r="U10" s="35"/>
      <c r="V10" s="35"/>
      <c r="W10" s="36"/>
      <c r="X10" s="206" t="s">
        <v>173</v>
      </c>
      <c r="Y10" s="224"/>
      <c r="Z10" s="224"/>
      <c r="AA10" s="224"/>
      <c r="AB10" s="224"/>
      <c r="AC10" s="207"/>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row>
    <row r="11" spans="1:56" s="8" customFormat="1" ht="20.25" customHeight="1">
      <c r="A11" s="206">
        <v>5</v>
      </c>
      <c r="B11" s="207"/>
      <c r="C11" s="31" t="s">
        <v>11</v>
      </c>
      <c r="D11" s="32"/>
      <c r="E11" s="33"/>
      <c r="F11" s="34"/>
      <c r="G11" s="35"/>
      <c r="H11" s="35"/>
      <c r="I11" s="35"/>
      <c r="J11" s="35"/>
      <c r="K11" s="35"/>
      <c r="L11" s="35"/>
      <c r="M11" s="35"/>
      <c r="N11" s="35"/>
      <c r="O11" s="35"/>
      <c r="P11" s="35"/>
      <c r="Q11" s="35"/>
      <c r="R11" s="35"/>
      <c r="S11" s="35"/>
      <c r="T11" s="35"/>
      <c r="U11" s="35"/>
      <c r="V11" s="35"/>
      <c r="W11" s="36"/>
      <c r="X11" s="206" t="s">
        <v>173</v>
      </c>
      <c r="Y11" s="224"/>
      <c r="Z11" s="224"/>
      <c r="AA11" s="224"/>
      <c r="AB11" s="224"/>
      <c r="AC11" s="207"/>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row>
    <row r="12" spans="1:56" s="8" customFormat="1" ht="20.25" customHeight="1">
      <c r="A12" s="206">
        <v>6</v>
      </c>
      <c r="B12" s="207"/>
      <c r="C12" s="37" t="s">
        <v>144</v>
      </c>
      <c r="D12" s="32"/>
      <c r="E12" s="33"/>
      <c r="F12" s="34"/>
      <c r="G12" s="35"/>
      <c r="H12" s="35"/>
      <c r="I12" s="35"/>
      <c r="J12" s="35"/>
      <c r="K12" s="35"/>
      <c r="L12" s="35"/>
      <c r="M12" s="35"/>
      <c r="N12" s="35"/>
      <c r="O12" s="35"/>
      <c r="P12" s="35"/>
      <c r="Q12" s="35"/>
      <c r="R12" s="35"/>
      <c r="S12" s="35"/>
      <c r="T12" s="35"/>
      <c r="U12" s="35"/>
      <c r="V12" s="35"/>
      <c r="W12" s="36"/>
      <c r="X12" s="206" t="s">
        <v>173</v>
      </c>
      <c r="Y12" s="224"/>
      <c r="Z12" s="224"/>
      <c r="AA12" s="224"/>
      <c r="AB12" s="224"/>
      <c r="AC12" s="207"/>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row>
    <row r="13" spans="1:56" s="8" customFormat="1" ht="20.25" customHeight="1">
      <c r="A13" s="206">
        <v>7</v>
      </c>
      <c r="B13" s="207"/>
      <c r="C13" s="31" t="s">
        <v>149</v>
      </c>
      <c r="D13" s="32"/>
      <c r="E13" s="33"/>
      <c r="F13" s="34"/>
      <c r="G13" s="35"/>
      <c r="H13" s="35"/>
      <c r="I13" s="35"/>
      <c r="J13" s="35"/>
      <c r="K13" s="35"/>
      <c r="L13" s="35"/>
      <c r="M13" s="35"/>
      <c r="N13" s="35"/>
      <c r="O13" s="35"/>
      <c r="P13" s="35"/>
      <c r="Q13" s="35"/>
      <c r="R13" s="35"/>
      <c r="S13" s="35"/>
      <c r="T13" s="35"/>
      <c r="U13" s="35"/>
      <c r="V13" s="35"/>
      <c r="W13" s="36"/>
      <c r="X13" s="206" t="s">
        <v>173</v>
      </c>
      <c r="Y13" s="224"/>
      <c r="Z13" s="224"/>
      <c r="AA13" s="224"/>
      <c r="AB13" s="224"/>
      <c r="AC13" s="207"/>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row>
    <row r="14" spans="1:56" s="8" customFormat="1" ht="20.25" customHeight="1">
      <c r="A14" s="206">
        <v>8</v>
      </c>
      <c r="B14" s="207"/>
      <c r="C14" s="31" t="s">
        <v>148</v>
      </c>
      <c r="D14" s="32"/>
      <c r="E14" s="33"/>
      <c r="F14" s="34"/>
      <c r="G14" s="35"/>
      <c r="H14" s="35"/>
      <c r="I14" s="35"/>
      <c r="J14" s="35"/>
      <c r="K14" s="35"/>
      <c r="L14" s="35"/>
      <c r="M14" s="35"/>
      <c r="N14" s="35"/>
      <c r="O14" s="35"/>
      <c r="P14" s="35"/>
      <c r="Q14" s="35"/>
      <c r="R14" s="35"/>
      <c r="S14" s="35"/>
      <c r="T14" s="35"/>
      <c r="U14" s="35"/>
      <c r="V14" s="35"/>
      <c r="W14" s="36"/>
      <c r="X14" s="206" t="s">
        <v>173</v>
      </c>
      <c r="Y14" s="224"/>
      <c r="Z14" s="224"/>
      <c r="AA14" s="224"/>
      <c r="AB14" s="224"/>
      <c r="AC14" s="207"/>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row>
    <row r="15" spans="1:56" s="8" customFormat="1" ht="20.25" customHeight="1">
      <c r="A15" s="206">
        <v>9</v>
      </c>
      <c r="B15" s="207"/>
      <c r="C15" s="31" t="s">
        <v>23</v>
      </c>
      <c r="D15" s="32"/>
      <c r="E15" s="33"/>
      <c r="F15" s="34"/>
      <c r="G15" s="35"/>
      <c r="H15" s="35"/>
      <c r="I15" s="35"/>
      <c r="J15" s="35"/>
      <c r="K15" s="35"/>
      <c r="L15" s="35"/>
      <c r="M15" s="35"/>
      <c r="N15" s="35"/>
      <c r="O15" s="35"/>
      <c r="P15" s="35"/>
      <c r="Q15" s="35"/>
      <c r="R15" s="35"/>
      <c r="S15" s="35"/>
      <c r="T15" s="35"/>
      <c r="U15" s="35"/>
      <c r="V15" s="35"/>
      <c r="W15" s="36"/>
      <c r="X15" s="206" t="s">
        <v>173</v>
      </c>
      <c r="Y15" s="224"/>
      <c r="Z15" s="224"/>
      <c r="AA15" s="224"/>
      <c r="AB15" s="224"/>
      <c r="AC15" s="207"/>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row>
    <row r="16" spans="1:56" s="8" customFormat="1" ht="20.25" customHeight="1">
      <c r="A16" s="206">
        <v>10</v>
      </c>
      <c r="B16" s="207"/>
      <c r="C16" s="232" t="s">
        <v>150</v>
      </c>
      <c r="D16" s="233"/>
      <c r="E16" s="233"/>
      <c r="F16" s="233"/>
      <c r="G16" s="233"/>
      <c r="H16" s="233"/>
      <c r="I16" s="233"/>
      <c r="J16" s="233"/>
      <c r="K16" s="233"/>
      <c r="L16" s="233"/>
      <c r="M16" s="233"/>
      <c r="N16" s="233"/>
      <c r="O16" s="233"/>
      <c r="P16" s="233"/>
      <c r="Q16" s="233"/>
      <c r="R16" s="233"/>
      <c r="S16" s="233"/>
      <c r="T16" s="233"/>
      <c r="U16" s="233"/>
      <c r="V16" s="233"/>
      <c r="W16" s="234"/>
      <c r="X16" s="206" t="s">
        <v>10</v>
      </c>
      <c r="Y16" s="224"/>
      <c r="Z16" s="224"/>
      <c r="AA16" s="224"/>
      <c r="AB16" s="224"/>
      <c r="AC16" s="207"/>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row>
    <row r="17" spans="1:56" s="9" customFormat="1" ht="20.25" customHeight="1">
      <c r="A17" s="206">
        <v>11</v>
      </c>
      <c r="B17" s="207"/>
      <c r="C17" s="232" t="s">
        <v>151</v>
      </c>
      <c r="D17" s="233"/>
      <c r="E17" s="233"/>
      <c r="F17" s="233"/>
      <c r="G17" s="233"/>
      <c r="H17" s="233"/>
      <c r="I17" s="233"/>
      <c r="J17" s="233"/>
      <c r="K17" s="233"/>
      <c r="L17" s="233"/>
      <c r="M17" s="233"/>
      <c r="N17" s="233"/>
      <c r="O17" s="233"/>
      <c r="P17" s="233"/>
      <c r="Q17" s="233"/>
      <c r="R17" s="233"/>
      <c r="S17" s="233"/>
      <c r="T17" s="233"/>
      <c r="U17" s="233"/>
      <c r="V17" s="233"/>
      <c r="W17" s="234"/>
      <c r="X17" s="211" t="s">
        <v>173</v>
      </c>
      <c r="Y17" s="212"/>
      <c r="Z17" s="212"/>
      <c r="AA17" s="212"/>
      <c r="AB17" s="212"/>
      <c r="AC17" s="213"/>
      <c r="AD17" s="38"/>
      <c r="AE17" s="38"/>
      <c r="AF17" s="38"/>
      <c r="AG17" s="38"/>
      <c r="AH17" s="38"/>
      <c r="AI17" s="38"/>
      <c r="AJ17" s="38"/>
      <c r="AK17" s="38"/>
      <c r="AL17" s="38"/>
      <c r="AM17" s="38"/>
      <c r="AN17" s="38"/>
      <c r="AO17" s="38"/>
      <c r="AP17" s="38"/>
      <c r="AQ17" s="38"/>
      <c r="AR17" s="38"/>
      <c r="AS17" s="38"/>
      <c r="AT17" s="38"/>
      <c r="AU17" s="38"/>
      <c r="AV17" s="38"/>
      <c r="AW17" s="38"/>
      <c r="AX17" s="38"/>
      <c r="AY17" s="38"/>
      <c r="AZ17" s="38"/>
      <c r="BA17" s="38"/>
      <c r="BB17" s="38"/>
      <c r="BC17" s="38"/>
      <c r="BD17" s="38"/>
    </row>
    <row r="18" spans="1:56" s="9" customFormat="1" ht="20.25" customHeight="1">
      <c r="A18" s="206">
        <v>12</v>
      </c>
      <c r="B18" s="207"/>
      <c r="C18" s="37" t="s">
        <v>152</v>
      </c>
      <c r="D18" s="12"/>
      <c r="E18" s="12"/>
      <c r="F18" s="14"/>
      <c r="G18" s="14"/>
      <c r="H18" s="14"/>
      <c r="I18" s="14"/>
      <c r="J18" s="14"/>
      <c r="K18" s="14"/>
      <c r="L18" s="14"/>
      <c r="M18" s="14"/>
      <c r="N18" s="14"/>
      <c r="O18" s="14"/>
      <c r="P18" s="14"/>
      <c r="Q18" s="14"/>
      <c r="R18" s="14"/>
      <c r="S18" s="14"/>
      <c r="T18" s="14"/>
      <c r="U18" s="14"/>
      <c r="V18" s="14"/>
      <c r="W18" s="15"/>
      <c r="X18" s="211" t="s">
        <v>173</v>
      </c>
      <c r="Y18" s="212"/>
      <c r="Z18" s="212"/>
      <c r="AA18" s="212"/>
      <c r="AB18" s="212"/>
      <c r="AC18" s="213"/>
      <c r="AD18" s="38"/>
      <c r="AE18" s="38"/>
      <c r="AF18" s="38"/>
      <c r="AG18" s="38"/>
      <c r="AH18" s="38"/>
      <c r="AI18" s="38"/>
      <c r="AJ18" s="38"/>
      <c r="AK18" s="38"/>
      <c r="AL18" s="38"/>
      <c r="AM18" s="38"/>
      <c r="AN18" s="38"/>
      <c r="AO18" s="38"/>
      <c r="AP18" s="38"/>
      <c r="AQ18" s="38"/>
      <c r="AR18" s="38"/>
      <c r="AS18" s="38"/>
      <c r="AT18" s="38"/>
      <c r="AU18" s="38"/>
      <c r="AV18" s="38"/>
      <c r="AW18" s="38"/>
      <c r="AX18" s="38"/>
      <c r="AY18" s="38"/>
      <c r="AZ18" s="38"/>
      <c r="BA18" s="38"/>
      <c r="BB18" s="38"/>
      <c r="BC18" s="38"/>
      <c r="BD18" s="38"/>
    </row>
    <row r="19" spans="1:56" s="9" customFormat="1" ht="20.25" customHeight="1">
      <c r="A19" s="206">
        <v>13</v>
      </c>
      <c r="B19" s="207"/>
      <c r="C19" s="37" t="s">
        <v>153</v>
      </c>
      <c r="D19" s="12"/>
      <c r="E19" s="12"/>
      <c r="F19" s="39"/>
      <c r="G19" s="14"/>
      <c r="H19" s="14"/>
      <c r="I19" s="14"/>
      <c r="J19" s="14"/>
      <c r="K19" s="14"/>
      <c r="L19" s="14"/>
      <c r="M19" s="14"/>
      <c r="N19" s="14"/>
      <c r="O19" s="14"/>
      <c r="P19" s="14"/>
      <c r="Q19" s="14"/>
      <c r="R19" s="14"/>
      <c r="S19" s="14"/>
      <c r="T19" s="14"/>
      <c r="U19" s="35"/>
      <c r="V19" s="35"/>
      <c r="W19" s="15"/>
      <c r="X19" s="211" t="s">
        <v>173</v>
      </c>
      <c r="Y19" s="212"/>
      <c r="Z19" s="212"/>
      <c r="AA19" s="212"/>
      <c r="AB19" s="212"/>
      <c r="AC19" s="213"/>
      <c r="AD19" s="38"/>
      <c r="AE19" s="38"/>
      <c r="AF19" s="38"/>
      <c r="AG19" s="38"/>
      <c r="AH19" s="38"/>
      <c r="AI19" s="38"/>
      <c r="AJ19" s="38"/>
      <c r="AK19" s="38"/>
      <c r="AL19" s="38"/>
      <c r="AM19" s="38"/>
      <c r="AN19" s="38"/>
      <c r="AO19" s="38"/>
      <c r="AP19" s="38"/>
      <c r="AQ19" s="38"/>
      <c r="AR19" s="38"/>
      <c r="AS19" s="38"/>
      <c r="AT19" s="38"/>
      <c r="AU19" s="38"/>
      <c r="AV19" s="38"/>
      <c r="AW19" s="38"/>
      <c r="AX19" s="38"/>
      <c r="AY19" s="38"/>
      <c r="AZ19" s="38"/>
      <c r="BA19" s="38"/>
      <c r="BB19" s="38"/>
      <c r="BC19" s="38"/>
      <c r="BD19" s="38"/>
    </row>
    <row r="20" spans="1:56" s="9" customFormat="1" ht="20.25" customHeight="1">
      <c r="A20" s="206">
        <v>14</v>
      </c>
      <c r="B20" s="207"/>
      <c r="C20" s="114" t="s">
        <v>251</v>
      </c>
      <c r="D20" s="115"/>
      <c r="E20" s="115"/>
      <c r="F20" s="116"/>
      <c r="G20" s="117"/>
      <c r="H20" s="117"/>
      <c r="I20" s="117"/>
      <c r="J20" s="117"/>
      <c r="K20" s="117"/>
      <c r="L20" s="117"/>
      <c r="M20" s="117"/>
      <c r="N20" s="117"/>
      <c r="O20" s="35"/>
      <c r="P20" s="35"/>
      <c r="Q20" s="35"/>
      <c r="R20" s="35"/>
      <c r="S20" s="35"/>
      <c r="T20" s="35"/>
      <c r="U20" s="14"/>
      <c r="V20" s="14"/>
      <c r="W20" s="15"/>
      <c r="X20" s="211" t="s">
        <v>173</v>
      </c>
      <c r="Y20" s="212"/>
      <c r="Z20" s="212"/>
      <c r="AA20" s="212"/>
      <c r="AB20" s="212"/>
      <c r="AC20" s="213"/>
      <c r="AD20" s="38"/>
      <c r="AE20" s="38"/>
      <c r="AF20" s="38"/>
      <c r="AG20" s="38"/>
      <c r="AH20" s="38"/>
      <c r="AI20" s="38"/>
      <c r="AJ20" s="38"/>
      <c r="AK20" s="38"/>
      <c r="AL20" s="38"/>
      <c r="AM20" s="38"/>
      <c r="AN20" s="38"/>
      <c r="AO20" s="38"/>
      <c r="AP20" s="38"/>
      <c r="AQ20" s="38"/>
      <c r="AR20" s="38"/>
      <c r="AS20" s="38"/>
      <c r="AT20" s="38"/>
      <c r="AU20" s="38"/>
      <c r="AV20" s="38"/>
      <c r="AW20" s="38"/>
      <c r="AX20" s="38"/>
      <c r="AY20" s="38"/>
      <c r="AZ20" s="38"/>
      <c r="BA20" s="38"/>
      <c r="BB20" s="38"/>
      <c r="BC20" s="38"/>
      <c r="BD20" s="38"/>
    </row>
    <row r="21" spans="1:56" s="8" customFormat="1" ht="20.25" customHeight="1">
      <c r="A21" s="206">
        <v>15</v>
      </c>
      <c r="B21" s="207"/>
      <c r="C21" s="11" t="s">
        <v>24</v>
      </c>
      <c r="D21" s="12"/>
      <c r="E21" s="39"/>
      <c r="F21" s="13"/>
      <c r="G21" s="14"/>
      <c r="H21" s="14"/>
      <c r="I21" s="14"/>
      <c r="J21" s="14"/>
      <c r="K21" s="14"/>
      <c r="L21" s="14"/>
      <c r="M21" s="14"/>
      <c r="N21" s="14"/>
      <c r="O21" s="14"/>
      <c r="P21" s="14"/>
      <c r="Q21" s="14"/>
      <c r="R21" s="14"/>
      <c r="S21" s="14"/>
      <c r="T21" s="14"/>
      <c r="U21" s="14"/>
      <c r="V21" s="14"/>
      <c r="W21" s="15"/>
      <c r="X21" s="211" t="s">
        <v>173</v>
      </c>
      <c r="Y21" s="212"/>
      <c r="Z21" s="212"/>
      <c r="AA21" s="212"/>
      <c r="AB21" s="212"/>
      <c r="AC21" s="213"/>
      <c r="AD21" s="230"/>
      <c r="AE21" s="231"/>
      <c r="AF21" s="231"/>
      <c r="AG21" s="231"/>
      <c r="AH21" s="231"/>
      <c r="AI21" s="231"/>
      <c r="AJ21" s="231"/>
      <c r="AK21" s="231"/>
      <c r="AL21" s="231"/>
      <c r="AM21" s="231"/>
      <c r="AN21" s="231"/>
      <c r="AO21" s="231"/>
      <c r="AP21" s="231"/>
      <c r="AQ21" s="231"/>
      <c r="AR21" s="16"/>
      <c r="AS21" s="16"/>
      <c r="AT21" s="16"/>
      <c r="AU21" s="16"/>
      <c r="AV21" s="16"/>
      <c r="AW21" s="16"/>
      <c r="AX21" s="16"/>
      <c r="AY21" s="16"/>
      <c r="AZ21" s="16"/>
      <c r="BA21" s="16"/>
      <c r="BB21" s="16"/>
      <c r="BC21" s="16"/>
      <c r="BD21" s="16"/>
    </row>
    <row r="22" spans="1:56" s="8" customFormat="1" ht="20.25" customHeight="1">
      <c r="A22" s="225"/>
      <c r="B22" s="226"/>
      <c r="C22" s="17"/>
      <c r="D22" s="18"/>
      <c r="E22" s="18"/>
      <c r="F22" s="19"/>
      <c r="G22" s="20"/>
      <c r="H22" s="20"/>
      <c r="I22" s="20"/>
      <c r="J22" s="20"/>
      <c r="K22" s="21"/>
      <c r="L22" s="21"/>
      <c r="M22" s="21"/>
      <c r="N22" s="21"/>
      <c r="O22" s="21"/>
      <c r="P22" s="21"/>
      <c r="Q22" s="21"/>
      <c r="R22" s="21"/>
      <c r="S22" s="21"/>
      <c r="T22" s="21"/>
      <c r="U22" s="21"/>
      <c r="V22" s="20"/>
      <c r="W22" s="22"/>
      <c r="X22" s="225"/>
      <c r="Y22" s="227"/>
      <c r="Z22" s="227"/>
      <c r="AA22" s="227"/>
      <c r="AB22" s="227"/>
      <c r="AC22" s="22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row>
    <row r="23" spans="1:56" s="6" customFormat="1" ht="15">
      <c r="A23" s="3"/>
      <c r="B23" s="3"/>
      <c r="C23" s="3"/>
      <c r="D23" s="3"/>
      <c r="E23" s="3"/>
      <c r="F23" s="3"/>
      <c r="G23" s="3"/>
      <c r="H23" s="3"/>
      <c r="I23" s="3"/>
      <c r="J23" s="3"/>
      <c r="K23" s="3"/>
      <c r="L23" s="3"/>
      <c r="M23" s="3"/>
      <c r="N23" s="3"/>
      <c r="O23" s="3"/>
      <c r="P23" s="3"/>
      <c r="Q23" s="3"/>
      <c r="R23" s="3"/>
      <c r="S23" s="3"/>
      <c r="T23" s="3"/>
      <c r="U23" s="3"/>
      <c r="V23" s="3"/>
      <c r="W23" s="3"/>
      <c r="X23" s="229" t="s">
        <v>172</v>
      </c>
      <c r="Y23" s="229"/>
      <c r="Z23" s="229"/>
      <c r="AA23" s="229"/>
      <c r="AB23" s="229"/>
      <c r="AC23" s="229"/>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row>
    <row r="24" spans="1:56" s="6" customFormat="1" ht="15">
      <c r="A24" s="5"/>
      <c r="B24" s="5"/>
      <c r="C24" s="5"/>
      <c r="D24" s="5"/>
      <c r="E24" s="5"/>
      <c r="F24" s="5"/>
      <c r="G24" s="5"/>
      <c r="H24" s="5"/>
      <c r="I24" s="5"/>
      <c r="J24" s="5"/>
      <c r="K24" s="5"/>
      <c r="L24" s="5"/>
      <c r="M24" s="5"/>
      <c r="N24" s="5"/>
      <c r="O24" s="5"/>
      <c r="P24" s="5"/>
      <c r="Q24" s="5"/>
      <c r="R24" s="5"/>
      <c r="S24" s="5"/>
      <c r="T24" s="5"/>
      <c r="U24" s="5"/>
      <c r="V24" s="48">
        <f>15/15</f>
        <v>1</v>
      </c>
      <c r="W24" s="5"/>
      <c r="X24" s="228">
        <v>100</v>
      </c>
      <c r="Y24" s="228"/>
      <c r="Z24" s="228"/>
      <c r="AA24" s="228"/>
      <c r="AB24" s="228"/>
      <c r="AC24" s="228"/>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row>
    <row r="25" spans="1:56" s="6" customFormat="1"/>
    <row r="26" spans="1:56" s="6" customFormat="1"/>
    <row r="27" spans="1:56" s="6" customFormat="1"/>
    <row r="28" spans="1:56" s="6" customFormat="1"/>
    <row r="29" spans="1:56" s="6" customFormat="1"/>
    <row r="30" spans="1:56" s="6" customFormat="1"/>
    <row r="31" spans="1:56" s="6" customFormat="1"/>
    <row r="32" spans="1:56" s="6" customFormat="1"/>
    <row r="33" s="6" customFormat="1"/>
    <row r="34" s="6" customFormat="1"/>
    <row r="35" s="6" customFormat="1"/>
    <row r="36" s="6" customFormat="1"/>
    <row r="37" s="6" customFormat="1"/>
    <row r="38" s="6" customFormat="1"/>
    <row r="39" s="6" customFormat="1"/>
    <row r="40" s="6" customFormat="1"/>
    <row r="41" s="6" customFormat="1"/>
    <row r="42" s="6" customFormat="1"/>
    <row r="43" s="6" customFormat="1"/>
    <row r="44" s="6" customFormat="1"/>
    <row r="45" s="6" customFormat="1"/>
    <row r="46" s="6" customFormat="1"/>
    <row r="47" s="6" customFormat="1"/>
    <row r="48" s="6" customFormat="1"/>
    <row r="49" s="6" customFormat="1"/>
    <row r="50" s="6" customFormat="1"/>
    <row r="51" s="6" customFormat="1"/>
    <row r="52" s="6" customFormat="1"/>
  </sheetData>
  <mergeCells count="57">
    <mergeCell ref="X24:AC24"/>
    <mergeCell ref="A20:B20"/>
    <mergeCell ref="X20:AC20"/>
    <mergeCell ref="A21:B21"/>
    <mergeCell ref="X21:AC21"/>
    <mergeCell ref="A22:B22"/>
    <mergeCell ref="X22:AC22"/>
    <mergeCell ref="X23:AC23"/>
    <mergeCell ref="A19:B19"/>
    <mergeCell ref="X19:AC19"/>
    <mergeCell ref="A14:B14"/>
    <mergeCell ref="X14:AC14"/>
    <mergeCell ref="A15:B15"/>
    <mergeCell ref="X15:AC15"/>
    <mergeCell ref="A16:B16"/>
    <mergeCell ref="C16:W16"/>
    <mergeCell ref="X16:AC16"/>
    <mergeCell ref="A17:B17"/>
    <mergeCell ref="C17:W17"/>
    <mergeCell ref="X17:AC17"/>
    <mergeCell ref="A18:B18"/>
    <mergeCell ref="X18:AC18"/>
    <mergeCell ref="A11:B11"/>
    <mergeCell ref="X11:AC11"/>
    <mergeCell ref="A12:B12"/>
    <mergeCell ref="X12:AC12"/>
    <mergeCell ref="A13:B13"/>
    <mergeCell ref="X13:AC13"/>
    <mergeCell ref="A8:B8"/>
    <mergeCell ref="X8:AC8"/>
    <mergeCell ref="A9:B9"/>
    <mergeCell ref="X9:AC9"/>
    <mergeCell ref="A10:B10"/>
    <mergeCell ref="X10:AC10"/>
    <mergeCell ref="A6:B6"/>
    <mergeCell ref="C6:W6"/>
    <mergeCell ref="X6:AC6"/>
    <mergeCell ref="A7:B7"/>
    <mergeCell ref="X7:AC7"/>
    <mergeCell ref="I3:V4"/>
    <mergeCell ref="A5:E5"/>
    <mergeCell ref="F5:J5"/>
    <mergeCell ref="K5:N5"/>
    <mergeCell ref="O5:S5"/>
    <mergeCell ref="T5:W5"/>
    <mergeCell ref="A1:E4"/>
    <mergeCell ref="F1:V2"/>
    <mergeCell ref="W1:W4"/>
    <mergeCell ref="F3:H4"/>
    <mergeCell ref="AD21:AQ21"/>
    <mergeCell ref="X1:Y1"/>
    <mergeCell ref="Z1:AA1"/>
    <mergeCell ref="AB1:AC1"/>
    <mergeCell ref="X2:Y4"/>
    <mergeCell ref="Z2:AA4"/>
    <mergeCell ref="AB2:AC4"/>
    <mergeCell ref="X5:AC5"/>
  </mergeCells>
  <conditionalFormatting sqref="X7:AC21">
    <cfRule type="containsText" dxfId="11" priority="1" operator="containsText" text="보완">
      <formula>NOT(ISERROR(SEARCH("보완",X7)))</formula>
    </cfRule>
  </conditionalFormatting>
  <pageMargins left="0.7" right="0.7" top="0.75" bottom="0.75" header="0.3" footer="0.3"/>
  <pageSetup paperSize="9" scale="8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54"/>
  <sheetViews>
    <sheetView showGridLines="0" tabSelected="1" view="pageBreakPreview" zoomScaleNormal="106" zoomScaleSheetLayoutView="100" workbookViewId="0">
      <selection activeCell="C15" sqref="C15:W15"/>
    </sheetView>
  </sheetViews>
  <sheetFormatPr defaultColWidth="3.5703125" defaultRowHeight="13.5"/>
  <cols>
    <col min="1" max="2" width="3.5703125" style="4"/>
    <col min="3" max="9" width="4.140625" style="4" customWidth="1"/>
    <col min="10" max="10" width="21.140625" style="4" customWidth="1"/>
    <col min="11" max="21" width="4.140625" style="4" customWidth="1"/>
    <col min="22" max="22" width="6.7109375" style="4" customWidth="1"/>
    <col min="23" max="23" width="4.140625" style="4" customWidth="1"/>
    <col min="24" max="29" width="5.7109375" style="4" customWidth="1"/>
    <col min="30" max="16384" width="3.5703125" style="4"/>
  </cols>
  <sheetData>
    <row r="1" spans="1:50" s="2" customFormat="1" ht="25.5" customHeight="1">
      <c r="A1" s="193"/>
      <c r="B1" s="194"/>
      <c r="C1" s="194"/>
      <c r="D1" s="194"/>
      <c r="E1" s="195"/>
      <c r="F1" s="202" t="s">
        <v>243</v>
      </c>
      <c r="G1" s="203"/>
      <c r="H1" s="203"/>
      <c r="I1" s="203"/>
      <c r="J1" s="203"/>
      <c r="K1" s="203"/>
      <c r="L1" s="203"/>
      <c r="M1" s="203"/>
      <c r="N1" s="203"/>
      <c r="O1" s="203"/>
      <c r="P1" s="203"/>
      <c r="Q1" s="203"/>
      <c r="R1" s="203"/>
      <c r="S1" s="203"/>
      <c r="T1" s="203"/>
      <c r="U1" s="203"/>
      <c r="V1" s="203"/>
      <c r="W1" s="204" t="s">
        <v>0</v>
      </c>
      <c r="X1" s="174" t="s">
        <v>1</v>
      </c>
      <c r="Y1" s="175"/>
      <c r="Z1" s="175" t="s">
        <v>2</v>
      </c>
      <c r="AA1" s="175"/>
      <c r="AB1" s="175" t="s">
        <v>3</v>
      </c>
      <c r="AC1" s="175"/>
      <c r="AD1" s="24"/>
      <c r="AE1" s="24"/>
      <c r="AF1" s="24"/>
      <c r="AG1" s="24"/>
      <c r="AH1" s="24"/>
      <c r="AI1" s="24"/>
      <c r="AJ1" s="24"/>
      <c r="AK1" s="24"/>
      <c r="AL1" s="24"/>
      <c r="AM1" s="24"/>
      <c r="AN1" s="24"/>
      <c r="AO1" s="24"/>
      <c r="AP1" s="24"/>
      <c r="AQ1" s="24"/>
      <c r="AR1" s="24"/>
      <c r="AS1" s="24"/>
      <c r="AT1" s="24"/>
      <c r="AU1" s="24"/>
      <c r="AV1" s="24"/>
      <c r="AW1" s="24"/>
      <c r="AX1" s="24"/>
    </row>
    <row r="2" spans="1:50" s="2" customFormat="1" ht="25.5" customHeight="1">
      <c r="A2" s="196"/>
      <c r="B2" s="197"/>
      <c r="C2" s="197"/>
      <c r="D2" s="197"/>
      <c r="E2" s="198"/>
      <c r="F2" s="203"/>
      <c r="G2" s="203"/>
      <c r="H2" s="203"/>
      <c r="I2" s="203"/>
      <c r="J2" s="203"/>
      <c r="K2" s="203"/>
      <c r="L2" s="203"/>
      <c r="M2" s="203"/>
      <c r="N2" s="203"/>
      <c r="O2" s="203"/>
      <c r="P2" s="203"/>
      <c r="Q2" s="203"/>
      <c r="R2" s="203"/>
      <c r="S2" s="203"/>
      <c r="T2" s="203"/>
      <c r="U2" s="203"/>
      <c r="V2" s="203"/>
      <c r="W2" s="204"/>
      <c r="X2" s="176" t="s">
        <v>252</v>
      </c>
      <c r="Y2" s="177"/>
      <c r="Z2" s="178"/>
      <c r="AA2" s="178"/>
      <c r="AB2" s="181" t="s">
        <v>253</v>
      </c>
      <c r="AC2" s="176"/>
      <c r="AD2" s="24"/>
      <c r="AE2" s="24"/>
      <c r="AF2" s="24"/>
      <c r="AG2" s="24"/>
      <c r="AH2" s="24"/>
      <c r="AI2" s="24"/>
      <c r="AJ2" s="24"/>
      <c r="AK2" s="24"/>
      <c r="AL2" s="24"/>
      <c r="AM2" s="24"/>
      <c r="AN2" s="24"/>
      <c r="AO2" s="24"/>
      <c r="AP2" s="24"/>
      <c r="AQ2" s="24"/>
      <c r="AR2" s="24"/>
      <c r="AS2" s="24"/>
      <c r="AT2" s="24"/>
      <c r="AU2" s="24"/>
      <c r="AV2" s="24"/>
      <c r="AW2" s="24"/>
      <c r="AX2" s="24"/>
    </row>
    <row r="3" spans="1:50" s="2" customFormat="1" ht="15.75" customHeight="1">
      <c r="A3" s="196"/>
      <c r="B3" s="197"/>
      <c r="C3" s="197"/>
      <c r="D3" s="197"/>
      <c r="E3" s="198"/>
      <c r="F3" s="175" t="s">
        <v>154</v>
      </c>
      <c r="G3" s="175"/>
      <c r="H3" s="175"/>
      <c r="I3" s="182" t="s">
        <v>25</v>
      </c>
      <c r="J3" s="183"/>
      <c r="K3" s="183"/>
      <c r="L3" s="183"/>
      <c r="M3" s="183"/>
      <c r="N3" s="183"/>
      <c r="O3" s="183"/>
      <c r="P3" s="183"/>
      <c r="Q3" s="183"/>
      <c r="R3" s="183"/>
      <c r="S3" s="183"/>
      <c r="T3" s="183"/>
      <c r="U3" s="183"/>
      <c r="V3" s="184"/>
      <c r="W3" s="204"/>
      <c r="X3" s="176"/>
      <c r="Y3" s="177"/>
      <c r="Z3" s="179"/>
      <c r="AA3" s="179"/>
      <c r="AB3" s="181"/>
      <c r="AC3" s="176"/>
      <c r="AD3" s="24"/>
      <c r="AE3" s="24"/>
      <c r="AF3" s="24"/>
      <c r="AG3" s="24"/>
      <c r="AH3" s="24"/>
      <c r="AI3" s="24"/>
      <c r="AJ3" s="24"/>
      <c r="AK3" s="24"/>
      <c r="AL3" s="24"/>
      <c r="AM3" s="24"/>
      <c r="AN3" s="24"/>
      <c r="AO3" s="24"/>
      <c r="AP3" s="24"/>
      <c r="AQ3" s="24"/>
      <c r="AR3" s="24"/>
      <c r="AS3" s="24"/>
      <c r="AT3" s="24"/>
      <c r="AU3" s="24"/>
      <c r="AV3" s="24"/>
      <c r="AW3" s="24"/>
      <c r="AX3" s="24"/>
    </row>
    <row r="4" spans="1:50" ht="15.75" customHeight="1">
      <c r="A4" s="199"/>
      <c r="B4" s="200"/>
      <c r="C4" s="200"/>
      <c r="D4" s="200"/>
      <c r="E4" s="201"/>
      <c r="F4" s="175"/>
      <c r="G4" s="175"/>
      <c r="H4" s="175"/>
      <c r="I4" s="185"/>
      <c r="J4" s="186"/>
      <c r="K4" s="186"/>
      <c r="L4" s="186"/>
      <c r="M4" s="186"/>
      <c r="N4" s="186"/>
      <c r="O4" s="186"/>
      <c r="P4" s="186"/>
      <c r="Q4" s="186"/>
      <c r="R4" s="186"/>
      <c r="S4" s="186"/>
      <c r="T4" s="186"/>
      <c r="U4" s="186"/>
      <c r="V4" s="187"/>
      <c r="W4" s="204"/>
      <c r="X4" s="176"/>
      <c r="Y4" s="177"/>
      <c r="Z4" s="180"/>
      <c r="AA4" s="180"/>
      <c r="AB4" s="181"/>
      <c r="AC4" s="176"/>
      <c r="AD4" s="3"/>
      <c r="AE4" s="3"/>
      <c r="AF4" s="3"/>
      <c r="AG4" s="3"/>
      <c r="AH4" s="3"/>
      <c r="AI4" s="3"/>
      <c r="AJ4" s="3"/>
      <c r="AK4" s="3"/>
      <c r="AL4" s="3"/>
      <c r="AM4" s="3"/>
      <c r="AN4" s="3"/>
      <c r="AO4" s="3"/>
      <c r="AP4" s="3"/>
      <c r="AQ4" s="3"/>
      <c r="AR4" s="3"/>
      <c r="AS4" s="3"/>
      <c r="AT4" s="3"/>
      <c r="AU4" s="3"/>
      <c r="AV4" s="3"/>
      <c r="AW4" s="3"/>
      <c r="AX4" s="3"/>
    </row>
    <row r="5" spans="1:50" s="6" customFormat="1" ht="18.75" customHeight="1">
      <c r="A5" s="188" t="s">
        <v>134</v>
      </c>
      <c r="B5" s="189"/>
      <c r="C5" s="189"/>
      <c r="D5" s="189"/>
      <c r="E5" s="174"/>
      <c r="F5" s="190" t="s">
        <v>174</v>
      </c>
      <c r="G5" s="191"/>
      <c r="H5" s="191"/>
      <c r="I5" s="191"/>
      <c r="J5" s="192"/>
      <c r="K5" s="188" t="s">
        <v>5</v>
      </c>
      <c r="L5" s="189"/>
      <c r="M5" s="189"/>
      <c r="N5" s="174"/>
      <c r="O5" s="190"/>
      <c r="P5" s="191"/>
      <c r="Q5" s="191"/>
      <c r="R5" s="191"/>
      <c r="S5" s="192"/>
      <c r="T5" s="188" t="s">
        <v>135</v>
      </c>
      <c r="U5" s="189"/>
      <c r="V5" s="189"/>
      <c r="W5" s="174"/>
      <c r="X5" s="177" t="s">
        <v>219</v>
      </c>
      <c r="Y5" s="214"/>
      <c r="Z5" s="214"/>
      <c r="AA5" s="214"/>
      <c r="AB5" s="214"/>
      <c r="AC5" s="181"/>
      <c r="AD5" s="5"/>
      <c r="AE5" s="5"/>
      <c r="AF5" s="5"/>
      <c r="AG5" s="5"/>
      <c r="AH5" s="5"/>
      <c r="AI5" s="5"/>
      <c r="AJ5" s="5"/>
      <c r="AK5" s="5"/>
      <c r="AL5" s="5"/>
      <c r="AM5" s="5"/>
      <c r="AN5" s="5"/>
      <c r="AO5" s="5"/>
      <c r="AP5" s="5"/>
      <c r="AQ5" s="5"/>
      <c r="AR5" s="5"/>
      <c r="AS5" s="5"/>
      <c r="AT5" s="5"/>
      <c r="AU5" s="5"/>
      <c r="AV5" s="5"/>
      <c r="AW5" s="5"/>
      <c r="AX5" s="5"/>
    </row>
    <row r="6" spans="1:50" s="6" customFormat="1" ht="21.75" customHeight="1">
      <c r="A6" s="175" t="s">
        <v>6</v>
      </c>
      <c r="B6" s="188"/>
      <c r="C6" s="188" t="s">
        <v>7</v>
      </c>
      <c r="D6" s="189"/>
      <c r="E6" s="189"/>
      <c r="F6" s="189"/>
      <c r="G6" s="189"/>
      <c r="H6" s="189"/>
      <c r="I6" s="189"/>
      <c r="J6" s="189"/>
      <c r="K6" s="189"/>
      <c r="L6" s="189"/>
      <c r="M6" s="189"/>
      <c r="N6" s="189"/>
      <c r="O6" s="189"/>
      <c r="P6" s="189"/>
      <c r="Q6" s="189"/>
      <c r="R6" s="189"/>
      <c r="S6" s="189"/>
      <c r="T6" s="189"/>
      <c r="U6" s="189"/>
      <c r="V6" s="189"/>
      <c r="W6" s="174"/>
      <c r="X6" s="174" t="s">
        <v>8</v>
      </c>
      <c r="Y6" s="175"/>
      <c r="Z6" s="175"/>
      <c r="AA6" s="175"/>
      <c r="AB6" s="175"/>
      <c r="AC6" s="175"/>
      <c r="AD6" s="5"/>
      <c r="AE6" s="5"/>
      <c r="AF6" s="5"/>
      <c r="AG6" s="5"/>
      <c r="AH6" s="5"/>
      <c r="AI6" s="5"/>
      <c r="AJ6" s="5"/>
      <c r="AK6" s="5"/>
      <c r="AL6" s="5"/>
      <c r="AM6" s="5"/>
      <c r="AN6" s="5"/>
      <c r="AO6" s="5"/>
      <c r="AP6" s="5"/>
      <c r="AQ6" s="5"/>
      <c r="AR6" s="5"/>
      <c r="AS6" s="5"/>
      <c r="AT6" s="5"/>
      <c r="AU6" s="5"/>
      <c r="AV6" s="5"/>
      <c r="AW6" s="5"/>
      <c r="AX6" s="5"/>
    </row>
    <row r="7" spans="1:50" s="8" customFormat="1" ht="20.25" customHeight="1">
      <c r="A7" s="215">
        <v>1</v>
      </c>
      <c r="B7" s="220"/>
      <c r="C7" s="26" t="s">
        <v>19</v>
      </c>
      <c r="D7" s="27"/>
      <c r="E7" s="28"/>
      <c r="F7" s="7"/>
      <c r="G7" s="29"/>
      <c r="H7" s="29"/>
      <c r="I7" s="29"/>
      <c r="J7" s="29"/>
      <c r="K7" s="29"/>
      <c r="L7" s="29"/>
      <c r="M7" s="29"/>
      <c r="N7" s="29"/>
      <c r="O7" s="29"/>
      <c r="P7" s="29"/>
      <c r="Q7" s="29"/>
      <c r="R7" s="29"/>
      <c r="S7" s="29"/>
      <c r="T7" s="29"/>
      <c r="U7" s="29"/>
      <c r="V7" s="29"/>
      <c r="W7" s="30"/>
      <c r="X7" s="220" t="s">
        <v>10</v>
      </c>
      <c r="Y7" s="220"/>
      <c r="Z7" s="220"/>
      <c r="AA7" s="220"/>
      <c r="AB7" s="220"/>
      <c r="AC7" s="216"/>
      <c r="AD7" s="16"/>
      <c r="AE7" s="16"/>
      <c r="AF7" s="16"/>
      <c r="AG7" s="16"/>
      <c r="AH7" s="16"/>
      <c r="AI7" s="16"/>
      <c r="AJ7" s="16"/>
      <c r="AK7" s="16"/>
      <c r="AL7" s="16"/>
      <c r="AM7" s="16"/>
      <c r="AN7" s="16"/>
      <c r="AO7" s="16"/>
      <c r="AP7" s="16"/>
      <c r="AQ7" s="16"/>
      <c r="AR7" s="16"/>
      <c r="AS7" s="16"/>
      <c r="AT7" s="16"/>
      <c r="AU7" s="16"/>
      <c r="AV7" s="16"/>
      <c r="AW7" s="16"/>
      <c r="AX7" s="16"/>
    </row>
    <row r="8" spans="1:50" s="8" customFormat="1" ht="20.25" customHeight="1">
      <c r="A8" s="206">
        <v>2</v>
      </c>
      <c r="B8" s="207"/>
      <c r="C8" s="31" t="s">
        <v>155</v>
      </c>
      <c r="D8" s="32"/>
      <c r="E8" s="33"/>
      <c r="F8" s="34"/>
      <c r="G8" s="35"/>
      <c r="H8" s="35"/>
      <c r="I8" s="35"/>
      <c r="J8" s="35"/>
      <c r="K8" s="35"/>
      <c r="L8" s="35"/>
      <c r="M8" s="35"/>
      <c r="N8" s="35"/>
      <c r="O8" s="35"/>
      <c r="P8" s="35"/>
      <c r="Q8" s="35"/>
      <c r="R8" s="35"/>
      <c r="S8" s="35"/>
      <c r="T8" s="35"/>
      <c r="U8" s="35"/>
      <c r="V8" s="35"/>
      <c r="W8" s="36"/>
      <c r="X8" s="206" t="s">
        <v>10</v>
      </c>
      <c r="Y8" s="224"/>
      <c r="Z8" s="224"/>
      <c r="AA8" s="224"/>
      <c r="AB8" s="224"/>
      <c r="AC8" s="207"/>
      <c r="AD8" s="16"/>
      <c r="AE8" s="16"/>
      <c r="AF8" s="16"/>
      <c r="AG8" s="16"/>
      <c r="AH8" s="16"/>
      <c r="AI8" s="16"/>
      <c r="AJ8" s="16"/>
      <c r="AK8" s="16"/>
      <c r="AL8" s="16"/>
      <c r="AM8" s="16"/>
      <c r="AN8" s="16"/>
      <c r="AO8" s="16"/>
      <c r="AP8" s="16"/>
      <c r="AQ8" s="16"/>
      <c r="AR8" s="16"/>
      <c r="AS8" s="16"/>
      <c r="AT8" s="16"/>
      <c r="AU8" s="16"/>
      <c r="AV8" s="16"/>
      <c r="AW8" s="16"/>
      <c r="AX8" s="16"/>
    </row>
    <row r="9" spans="1:50" s="8" customFormat="1" ht="20.25" customHeight="1">
      <c r="A9" s="206">
        <v>3</v>
      </c>
      <c r="B9" s="207"/>
      <c r="C9" s="31" t="s">
        <v>21</v>
      </c>
      <c r="D9" s="32"/>
      <c r="E9" s="33"/>
      <c r="F9" s="34"/>
      <c r="G9" s="35"/>
      <c r="H9" s="35"/>
      <c r="I9" s="35"/>
      <c r="J9" s="35"/>
      <c r="K9" s="35"/>
      <c r="L9" s="35"/>
      <c r="M9" s="35"/>
      <c r="N9" s="35"/>
      <c r="O9" s="35"/>
      <c r="P9" s="35"/>
      <c r="Q9" s="35"/>
      <c r="R9" s="35"/>
      <c r="S9" s="35"/>
      <c r="T9" s="35"/>
      <c r="U9" s="35"/>
      <c r="V9" s="35"/>
      <c r="W9" s="36"/>
      <c r="X9" s="206" t="s">
        <v>10</v>
      </c>
      <c r="Y9" s="224"/>
      <c r="Z9" s="224"/>
      <c r="AA9" s="224"/>
      <c r="AB9" s="224"/>
      <c r="AC9" s="207"/>
      <c r="AD9" s="16"/>
      <c r="AE9" s="16"/>
      <c r="AF9" s="16"/>
      <c r="AG9" s="16"/>
      <c r="AH9" s="16"/>
      <c r="AI9" s="16"/>
      <c r="AJ9" s="16"/>
      <c r="AK9" s="16"/>
      <c r="AL9" s="16"/>
      <c r="AM9" s="16"/>
      <c r="AN9" s="16"/>
      <c r="AO9" s="16"/>
      <c r="AP9" s="16"/>
      <c r="AQ9" s="16"/>
      <c r="AR9" s="16"/>
      <c r="AS9" s="16"/>
      <c r="AT9" s="16"/>
      <c r="AU9" s="16"/>
      <c r="AV9" s="16"/>
      <c r="AW9" s="16"/>
      <c r="AX9" s="16"/>
    </row>
    <row r="10" spans="1:50" s="8" customFormat="1" ht="20.25" customHeight="1">
      <c r="A10" s="206">
        <v>4</v>
      </c>
      <c r="B10" s="207"/>
      <c r="C10" s="31" t="s">
        <v>22</v>
      </c>
      <c r="D10" s="32"/>
      <c r="E10" s="33"/>
      <c r="F10" s="34"/>
      <c r="G10" s="35"/>
      <c r="H10" s="35"/>
      <c r="I10" s="35"/>
      <c r="J10" s="35"/>
      <c r="K10" s="35"/>
      <c r="L10" s="35"/>
      <c r="M10" s="35"/>
      <c r="N10" s="35"/>
      <c r="O10" s="35"/>
      <c r="P10" s="35"/>
      <c r="Q10" s="35"/>
      <c r="R10" s="35"/>
      <c r="S10" s="35"/>
      <c r="T10" s="35"/>
      <c r="U10" s="35"/>
      <c r="V10" s="35"/>
      <c r="W10" s="36"/>
      <c r="X10" s="206" t="s">
        <v>10</v>
      </c>
      <c r="Y10" s="224"/>
      <c r="Z10" s="224"/>
      <c r="AA10" s="224"/>
      <c r="AB10" s="224"/>
      <c r="AC10" s="207"/>
      <c r="AD10" s="16"/>
      <c r="AE10" s="16"/>
      <c r="AF10" s="16"/>
      <c r="AG10" s="16"/>
      <c r="AH10" s="16"/>
      <c r="AI10" s="16"/>
      <c r="AJ10" s="16"/>
      <c r="AK10" s="16"/>
      <c r="AL10" s="16"/>
      <c r="AM10" s="16"/>
      <c r="AN10" s="16"/>
      <c r="AO10" s="16"/>
      <c r="AP10" s="16"/>
      <c r="AQ10" s="16"/>
      <c r="AR10" s="16"/>
      <c r="AS10" s="16"/>
      <c r="AT10" s="16"/>
      <c r="AU10" s="16"/>
      <c r="AV10" s="16"/>
      <c r="AW10" s="16"/>
      <c r="AX10" s="16"/>
    </row>
    <row r="11" spans="1:50" s="8" customFormat="1" ht="20.25" customHeight="1">
      <c r="A11" s="206">
        <v>5</v>
      </c>
      <c r="B11" s="207"/>
      <c r="C11" s="11" t="s">
        <v>24</v>
      </c>
      <c r="D11" s="12"/>
      <c r="E11" s="39"/>
      <c r="F11" s="13"/>
      <c r="G11" s="14"/>
      <c r="H11" s="14"/>
      <c r="I11" s="14"/>
      <c r="J11" s="14"/>
      <c r="K11" s="14"/>
      <c r="L11" s="14"/>
      <c r="M11" s="14"/>
      <c r="N11" s="14"/>
      <c r="O11" s="14"/>
      <c r="P11" s="14"/>
      <c r="Q11" s="14"/>
      <c r="R11" s="14"/>
      <c r="S11" s="14"/>
      <c r="T11" s="14"/>
      <c r="U11" s="14"/>
      <c r="V11" s="14"/>
      <c r="W11" s="15"/>
      <c r="X11" s="206" t="s">
        <v>10</v>
      </c>
      <c r="Y11" s="224"/>
      <c r="Z11" s="224"/>
      <c r="AA11" s="224"/>
      <c r="AB11" s="224"/>
      <c r="AC11" s="207"/>
      <c r="AD11" s="16"/>
      <c r="AE11" s="16"/>
      <c r="AF11" s="16"/>
      <c r="AG11" s="16"/>
      <c r="AH11" s="16"/>
      <c r="AI11" s="16"/>
      <c r="AJ11" s="16"/>
      <c r="AK11" s="16"/>
      <c r="AL11" s="16"/>
      <c r="AM11" s="16"/>
      <c r="AN11" s="16"/>
      <c r="AO11" s="16"/>
      <c r="AP11" s="16"/>
      <c r="AQ11" s="16"/>
      <c r="AR11" s="16"/>
      <c r="AS11" s="16"/>
      <c r="AT11" s="16"/>
      <c r="AU11" s="16"/>
      <c r="AV11" s="16"/>
      <c r="AW11" s="16"/>
      <c r="AX11" s="16"/>
    </row>
    <row r="12" spans="1:50" s="8" customFormat="1" ht="20.25" customHeight="1">
      <c r="A12" s="206">
        <v>6</v>
      </c>
      <c r="B12" s="207"/>
      <c r="C12" s="31" t="s">
        <v>156</v>
      </c>
      <c r="D12" s="32"/>
      <c r="E12" s="33"/>
      <c r="F12" s="34"/>
      <c r="G12" s="35"/>
      <c r="H12" s="35"/>
      <c r="I12" s="35"/>
      <c r="J12" s="35"/>
      <c r="K12" s="35"/>
      <c r="L12" s="35"/>
      <c r="M12" s="35"/>
      <c r="N12" s="35"/>
      <c r="O12" s="35"/>
      <c r="P12" s="35"/>
      <c r="Q12" s="35"/>
      <c r="R12" s="35"/>
      <c r="S12" s="35"/>
      <c r="T12" s="35"/>
      <c r="U12" s="35"/>
      <c r="V12" s="35"/>
      <c r="W12" s="36"/>
      <c r="X12" s="206" t="s">
        <v>10</v>
      </c>
      <c r="Y12" s="224"/>
      <c r="Z12" s="224"/>
      <c r="AA12" s="224"/>
      <c r="AB12" s="224"/>
      <c r="AC12" s="207"/>
      <c r="AD12" s="16"/>
      <c r="AE12" s="16"/>
      <c r="AF12" s="16"/>
      <c r="AG12" s="16"/>
      <c r="AH12" s="16"/>
      <c r="AI12" s="16"/>
      <c r="AJ12" s="16"/>
      <c r="AK12" s="16"/>
      <c r="AL12" s="16"/>
      <c r="AM12" s="16"/>
      <c r="AN12" s="16"/>
      <c r="AO12" s="16"/>
      <c r="AP12" s="16"/>
      <c r="AQ12" s="16"/>
      <c r="AR12" s="16"/>
      <c r="AS12" s="16"/>
      <c r="AT12" s="16"/>
      <c r="AU12" s="16"/>
      <c r="AV12" s="16"/>
      <c r="AW12" s="16"/>
      <c r="AX12" s="16"/>
    </row>
    <row r="13" spans="1:50" s="8" customFormat="1" ht="20.25" customHeight="1">
      <c r="A13" s="206">
        <v>7</v>
      </c>
      <c r="B13" s="207"/>
      <c r="C13" s="31" t="s">
        <v>27</v>
      </c>
      <c r="D13" s="32"/>
      <c r="E13" s="33"/>
      <c r="F13" s="34"/>
      <c r="G13" s="35"/>
      <c r="H13" s="35"/>
      <c r="I13" s="35"/>
      <c r="J13" s="35"/>
      <c r="K13" s="35"/>
      <c r="L13" s="35"/>
      <c r="M13" s="35"/>
      <c r="N13" s="35"/>
      <c r="O13" s="35"/>
      <c r="P13" s="35"/>
      <c r="Q13" s="35"/>
      <c r="R13" s="35"/>
      <c r="S13" s="35"/>
      <c r="T13" s="35"/>
      <c r="U13" s="35"/>
      <c r="V13" s="35"/>
      <c r="W13" s="36"/>
      <c r="X13" s="206" t="s">
        <v>10</v>
      </c>
      <c r="Y13" s="224"/>
      <c r="Z13" s="224"/>
      <c r="AA13" s="224"/>
      <c r="AB13" s="224"/>
      <c r="AC13" s="207"/>
      <c r="AD13" s="16"/>
      <c r="AE13" s="16"/>
      <c r="AF13" s="16"/>
      <c r="AG13" s="16"/>
      <c r="AH13" s="16"/>
      <c r="AI13" s="16"/>
      <c r="AJ13" s="16"/>
      <c r="AK13" s="16"/>
      <c r="AL13" s="16"/>
      <c r="AM13" s="16"/>
      <c r="AN13" s="16"/>
      <c r="AO13" s="16"/>
      <c r="AP13" s="16"/>
      <c r="AQ13" s="16"/>
      <c r="AR13" s="16"/>
      <c r="AS13" s="16"/>
      <c r="AT13" s="16"/>
      <c r="AU13" s="16"/>
      <c r="AV13" s="16"/>
      <c r="AW13" s="16"/>
      <c r="AX13" s="16"/>
    </row>
    <row r="14" spans="1:50" s="8" customFormat="1" ht="20.25" customHeight="1">
      <c r="A14" s="206">
        <v>8</v>
      </c>
      <c r="B14" s="207"/>
      <c r="C14" s="31" t="s">
        <v>157</v>
      </c>
      <c r="D14" s="32"/>
      <c r="E14" s="33"/>
      <c r="F14" s="34"/>
      <c r="G14" s="35"/>
      <c r="H14" s="35"/>
      <c r="I14" s="35"/>
      <c r="J14" s="35"/>
      <c r="K14" s="35"/>
      <c r="L14" s="35"/>
      <c r="M14" s="35"/>
      <c r="N14" s="35"/>
      <c r="O14" s="35"/>
      <c r="P14" s="35"/>
      <c r="Q14" s="35"/>
      <c r="R14" s="35"/>
      <c r="S14" s="35"/>
      <c r="T14" s="35"/>
      <c r="U14" s="35"/>
      <c r="V14" s="35"/>
      <c r="W14" s="36"/>
      <c r="X14" s="206" t="s">
        <v>10</v>
      </c>
      <c r="Y14" s="224"/>
      <c r="Z14" s="224"/>
      <c r="AA14" s="224"/>
      <c r="AB14" s="224"/>
      <c r="AC14" s="207"/>
      <c r="AD14" s="16"/>
      <c r="AE14" s="16"/>
      <c r="AF14" s="16"/>
      <c r="AG14" s="16"/>
      <c r="AH14" s="16"/>
      <c r="AI14" s="16"/>
      <c r="AJ14" s="16"/>
      <c r="AK14" s="16"/>
      <c r="AL14" s="16"/>
      <c r="AM14" s="16"/>
      <c r="AN14" s="16"/>
      <c r="AO14" s="16"/>
      <c r="AP14" s="16"/>
      <c r="AQ14" s="16"/>
      <c r="AR14" s="16"/>
      <c r="AS14" s="16"/>
      <c r="AT14" s="16"/>
      <c r="AU14" s="16"/>
      <c r="AV14" s="16"/>
      <c r="AW14" s="16"/>
      <c r="AX14" s="16"/>
    </row>
    <row r="15" spans="1:50" s="8" customFormat="1" ht="20.25" customHeight="1">
      <c r="A15" s="206">
        <v>9</v>
      </c>
      <c r="B15" s="207"/>
      <c r="C15" s="31" t="s">
        <v>28</v>
      </c>
      <c r="D15" s="32"/>
      <c r="E15" s="33"/>
      <c r="F15" s="34"/>
      <c r="G15" s="35"/>
      <c r="H15" s="35"/>
      <c r="I15" s="35"/>
      <c r="J15" s="35"/>
      <c r="K15" s="35"/>
      <c r="L15" s="35"/>
      <c r="M15" s="35"/>
      <c r="N15" s="35"/>
      <c r="O15" s="35"/>
      <c r="P15" s="35"/>
      <c r="Q15" s="35"/>
      <c r="R15" s="35"/>
      <c r="S15" s="35"/>
      <c r="T15" s="35"/>
      <c r="U15" s="35"/>
      <c r="V15" s="35"/>
      <c r="W15" s="36"/>
      <c r="X15" s="206" t="s">
        <v>173</v>
      </c>
      <c r="Y15" s="224"/>
      <c r="Z15" s="224"/>
      <c r="AA15" s="224"/>
      <c r="AB15" s="224"/>
      <c r="AC15" s="207"/>
      <c r="AD15" s="16"/>
      <c r="AE15" s="16"/>
      <c r="AF15" s="16"/>
      <c r="AG15" s="16"/>
      <c r="AH15" s="16"/>
      <c r="AI15" s="16"/>
      <c r="AJ15" s="16"/>
      <c r="AK15" s="16"/>
      <c r="AL15" s="16"/>
      <c r="AM15" s="16"/>
      <c r="AN15" s="16"/>
      <c r="AO15" s="16"/>
      <c r="AP15" s="16"/>
      <c r="AQ15" s="16"/>
      <c r="AR15" s="16"/>
      <c r="AS15" s="16"/>
      <c r="AT15" s="16"/>
      <c r="AU15" s="16"/>
      <c r="AV15" s="16"/>
      <c r="AW15" s="16"/>
      <c r="AX15" s="16"/>
    </row>
    <row r="16" spans="1:50" s="8" customFormat="1" ht="20.25" customHeight="1">
      <c r="A16" s="206">
        <v>10</v>
      </c>
      <c r="B16" s="207"/>
      <c r="C16" s="32" t="s">
        <v>29</v>
      </c>
      <c r="D16" s="32"/>
      <c r="E16" s="33"/>
      <c r="F16" s="34"/>
      <c r="G16" s="35"/>
      <c r="H16" s="35"/>
      <c r="I16" s="35"/>
      <c r="J16" s="35"/>
      <c r="K16" s="35"/>
      <c r="L16" s="35"/>
      <c r="M16" s="35"/>
      <c r="N16" s="35"/>
      <c r="O16" s="35"/>
      <c r="P16" s="35"/>
      <c r="Q16" s="35"/>
      <c r="R16" s="35"/>
      <c r="S16" s="35"/>
      <c r="T16" s="35"/>
      <c r="U16" s="35"/>
      <c r="V16" s="35"/>
      <c r="W16" s="36"/>
      <c r="X16" s="206" t="s">
        <v>173</v>
      </c>
      <c r="Y16" s="224"/>
      <c r="Z16" s="224"/>
      <c r="AA16" s="224"/>
      <c r="AB16" s="224"/>
      <c r="AC16" s="207"/>
      <c r="AD16" s="16"/>
      <c r="AE16" s="16"/>
      <c r="AF16" s="16"/>
      <c r="AG16" s="16"/>
      <c r="AH16" s="16"/>
      <c r="AI16" s="16"/>
      <c r="AJ16" s="16"/>
      <c r="AK16" s="16"/>
      <c r="AL16" s="16"/>
      <c r="AM16" s="16"/>
      <c r="AN16" s="16"/>
      <c r="AO16" s="16"/>
      <c r="AP16" s="16"/>
      <c r="AQ16" s="16"/>
      <c r="AR16" s="16"/>
      <c r="AS16" s="16"/>
      <c r="AT16" s="16"/>
      <c r="AU16" s="16"/>
      <c r="AV16" s="16"/>
      <c r="AW16" s="16"/>
      <c r="AX16" s="16"/>
    </row>
    <row r="17" spans="1:50" s="8" customFormat="1" ht="20.25" customHeight="1">
      <c r="A17" s="206">
        <v>11</v>
      </c>
      <c r="B17" s="207"/>
      <c r="C17" s="32" t="s">
        <v>30</v>
      </c>
      <c r="D17" s="32"/>
      <c r="E17" s="33"/>
      <c r="F17" s="34"/>
      <c r="G17" s="35"/>
      <c r="H17" s="35"/>
      <c r="I17" s="35"/>
      <c r="J17" s="35"/>
      <c r="K17" s="35"/>
      <c r="L17" s="35"/>
      <c r="M17" s="35"/>
      <c r="N17" s="35"/>
      <c r="O17" s="35"/>
      <c r="P17" s="35"/>
      <c r="Q17" s="35"/>
      <c r="R17" s="35"/>
      <c r="S17" s="35"/>
      <c r="T17" s="35"/>
      <c r="U17" s="35"/>
      <c r="V17" s="35"/>
      <c r="W17" s="36"/>
      <c r="X17" s="206" t="s">
        <v>173</v>
      </c>
      <c r="Y17" s="224"/>
      <c r="Z17" s="224"/>
      <c r="AA17" s="224"/>
      <c r="AB17" s="224"/>
      <c r="AC17" s="207"/>
      <c r="AD17" s="16"/>
      <c r="AE17" s="16"/>
      <c r="AF17" s="16"/>
      <c r="AG17" s="16"/>
      <c r="AH17" s="16"/>
      <c r="AI17" s="16"/>
      <c r="AJ17" s="16"/>
      <c r="AK17" s="16"/>
      <c r="AL17" s="16"/>
      <c r="AM17" s="16"/>
      <c r="AN17" s="16"/>
      <c r="AO17" s="16"/>
      <c r="AP17" s="16"/>
      <c r="AQ17" s="16"/>
      <c r="AR17" s="16"/>
      <c r="AS17" s="16"/>
      <c r="AT17" s="16"/>
      <c r="AU17" s="16"/>
      <c r="AV17" s="16"/>
      <c r="AW17" s="16"/>
      <c r="AX17" s="16"/>
    </row>
    <row r="18" spans="1:50" s="8" customFormat="1" ht="20.25" customHeight="1">
      <c r="A18" s="206">
        <v>12</v>
      </c>
      <c r="B18" s="207"/>
      <c r="C18" s="32" t="s">
        <v>158</v>
      </c>
      <c r="D18" s="32"/>
      <c r="E18" s="33"/>
      <c r="F18" s="34"/>
      <c r="G18" s="35"/>
      <c r="H18" s="35"/>
      <c r="I18" s="35"/>
      <c r="J18" s="35"/>
      <c r="K18" s="35"/>
      <c r="L18" s="35"/>
      <c r="M18" s="35"/>
      <c r="N18" s="35"/>
      <c r="O18" s="35"/>
      <c r="P18" s="35"/>
      <c r="Q18" s="35"/>
      <c r="R18" s="35"/>
      <c r="S18" s="35"/>
      <c r="T18" s="35"/>
      <c r="U18" s="35"/>
      <c r="V18" s="35"/>
      <c r="W18" s="36"/>
      <c r="X18" s="206" t="s">
        <v>173</v>
      </c>
      <c r="Y18" s="224"/>
      <c r="Z18" s="224"/>
      <c r="AA18" s="224"/>
      <c r="AB18" s="224"/>
      <c r="AC18" s="207"/>
      <c r="AD18" s="16"/>
      <c r="AE18" s="16"/>
      <c r="AF18" s="16"/>
      <c r="AG18" s="16"/>
      <c r="AH18" s="16"/>
      <c r="AI18" s="16"/>
      <c r="AJ18" s="16"/>
      <c r="AK18" s="16"/>
      <c r="AL18" s="16"/>
      <c r="AM18" s="16"/>
      <c r="AN18" s="16"/>
      <c r="AO18" s="16"/>
      <c r="AP18" s="16"/>
      <c r="AQ18" s="16"/>
      <c r="AR18" s="16"/>
      <c r="AS18" s="16"/>
      <c r="AT18" s="16"/>
      <c r="AU18" s="16"/>
      <c r="AV18" s="16"/>
      <c r="AW18" s="16"/>
      <c r="AX18" s="16"/>
    </row>
    <row r="19" spans="1:50" s="8" customFormat="1" ht="20.25" customHeight="1">
      <c r="A19" s="206">
        <v>13</v>
      </c>
      <c r="B19" s="207"/>
      <c r="C19" s="31" t="s">
        <v>31</v>
      </c>
      <c r="D19" s="32"/>
      <c r="E19" s="33"/>
      <c r="F19" s="34"/>
      <c r="G19" s="35"/>
      <c r="H19" s="35"/>
      <c r="I19" s="35"/>
      <c r="J19" s="35"/>
      <c r="K19" s="35"/>
      <c r="L19" s="35"/>
      <c r="M19" s="35"/>
      <c r="N19" s="35"/>
      <c r="O19" s="35"/>
      <c r="P19" s="35"/>
      <c r="Q19" s="35"/>
      <c r="R19" s="35"/>
      <c r="S19" s="35"/>
      <c r="T19" s="35"/>
      <c r="U19" s="35"/>
      <c r="V19" s="35"/>
      <c r="W19" s="36"/>
      <c r="X19" s="206" t="s">
        <v>173</v>
      </c>
      <c r="Y19" s="224"/>
      <c r="Z19" s="224"/>
      <c r="AA19" s="224"/>
      <c r="AB19" s="224"/>
      <c r="AC19" s="207"/>
      <c r="AD19" s="16"/>
      <c r="AE19" s="16"/>
      <c r="AF19" s="16"/>
      <c r="AG19" s="16"/>
      <c r="AH19" s="16"/>
      <c r="AI19" s="16"/>
      <c r="AJ19" s="16"/>
      <c r="AK19" s="16"/>
      <c r="AL19" s="16"/>
      <c r="AM19" s="16"/>
      <c r="AN19" s="16"/>
      <c r="AO19" s="16"/>
      <c r="AP19" s="16"/>
      <c r="AQ19" s="16"/>
      <c r="AR19" s="16"/>
      <c r="AS19" s="16"/>
      <c r="AT19" s="16"/>
      <c r="AU19" s="16"/>
      <c r="AV19" s="16"/>
      <c r="AW19" s="16"/>
      <c r="AX19" s="16"/>
    </row>
    <row r="20" spans="1:50" s="8" customFormat="1" ht="29.25" customHeight="1">
      <c r="A20" s="206">
        <v>14</v>
      </c>
      <c r="B20" s="207"/>
      <c r="C20" s="31" t="s">
        <v>32</v>
      </c>
      <c r="D20" s="32"/>
      <c r="E20" s="33"/>
      <c r="F20" s="34"/>
      <c r="G20" s="35"/>
      <c r="H20" s="35"/>
      <c r="I20" s="35"/>
      <c r="J20" s="35"/>
      <c r="K20" s="35"/>
      <c r="L20" s="35"/>
      <c r="M20" s="35"/>
      <c r="N20" s="35"/>
      <c r="O20" s="35"/>
      <c r="P20" s="35"/>
      <c r="Q20" s="35"/>
      <c r="R20" s="35"/>
      <c r="S20" s="35"/>
      <c r="T20" s="35"/>
      <c r="U20" s="35"/>
      <c r="V20" s="35"/>
      <c r="W20" s="36"/>
      <c r="X20" s="206" t="s">
        <v>173</v>
      </c>
      <c r="Y20" s="224"/>
      <c r="Z20" s="224"/>
      <c r="AA20" s="224"/>
      <c r="AB20" s="224"/>
      <c r="AC20" s="207"/>
      <c r="AD20" s="235"/>
      <c r="AE20" s="236"/>
      <c r="AF20" s="236"/>
      <c r="AG20" s="236"/>
      <c r="AH20" s="236"/>
      <c r="AI20" s="236"/>
      <c r="AJ20" s="236"/>
      <c r="AK20" s="236"/>
      <c r="AL20" s="236"/>
      <c r="AM20" s="236"/>
      <c r="AN20" s="236"/>
      <c r="AO20" s="236"/>
      <c r="AP20" s="236"/>
      <c r="AQ20" s="236"/>
      <c r="AR20" s="236"/>
      <c r="AS20" s="16"/>
      <c r="AT20" s="16"/>
      <c r="AU20" s="16"/>
      <c r="AV20" s="16"/>
      <c r="AW20" s="16"/>
      <c r="AX20" s="16"/>
    </row>
    <row r="21" spans="1:50" s="8" customFormat="1" ht="20.25" customHeight="1">
      <c r="A21" s="206">
        <v>15</v>
      </c>
      <c r="B21" s="207"/>
      <c r="C21" s="31" t="s">
        <v>33</v>
      </c>
      <c r="D21" s="32"/>
      <c r="E21" s="33"/>
      <c r="F21" s="34"/>
      <c r="G21" s="35"/>
      <c r="H21" s="35"/>
      <c r="I21" s="35"/>
      <c r="J21" s="35"/>
      <c r="K21" s="35"/>
      <c r="L21" s="35"/>
      <c r="M21" s="35"/>
      <c r="N21" s="35"/>
      <c r="O21" s="35"/>
      <c r="P21" s="35"/>
      <c r="Q21" s="35"/>
      <c r="R21" s="35"/>
      <c r="S21" s="35"/>
      <c r="T21" s="35"/>
      <c r="U21" s="35"/>
      <c r="V21" s="35"/>
      <c r="W21" s="36"/>
      <c r="X21" s="206" t="s">
        <v>10</v>
      </c>
      <c r="Y21" s="224"/>
      <c r="Z21" s="224"/>
      <c r="AA21" s="224"/>
      <c r="AB21" s="224"/>
      <c r="AC21" s="207"/>
      <c r="AD21" s="16"/>
      <c r="AE21" s="16"/>
      <c r="AF21" s="16"/>
      <c r="AG21" s="16"/>
      <c r="AH21" s="16"/>
      <c r="AI21" s="16"/>
      <c r="AJ21" s="16"/>
      <c r="AK21" s="16"/>
      <c r="AL21" s="16"/>
      <c r="AM21" s="16"/>
      <c r="AN21" s="16"/>
      <c r="AO21" s="16"/>
      <c r="AP21" s="16"/>
      <c r="AQ21" s="16"/>
      <c r="AR21" s="16"/>
      <c r="AS21" s="16"/>
      <c r="AT21" s="16"/>
      <c r="AU21" s="16"/>
      <c r="AV21" s="16"/>
      <c r="AW21" s="16"/>
      <c r="AX21" s="16"/>
    </row>
    <row r="22" spans="1:50" s="8" customFormat="1" ht="29.25" customHeight="1">
      <c r="A22" s="206">
        <v>16</v>
      </c>
      <c r="B22" s="207"/>
      <c r="C22" s="31" t="s">
        <v>34</v>
      </c>
      <c r="D22" s="32"/>
      <c r="E22" s="33"/>
      <c r="F22" s="34"/>
      <c r="G22" s="35"/>
      <c r="H22" s="35"/>
      <c r="I22" s="35"/>
      <c r="J22" s="35"/>
      <c r="K22" s="35"/>
      <c r="L22" s="35"/>
      <c r="M22" s="35"/>
      <c r="N22" s="35"/>
      <c r="O22" s="35"/>
      <c r="P22" s="35"/>
      <c r="Q22" s="35"/>
      <c r="R22" s="35"/>
      <c r="S22" s="35"/>
      <c r="T22" s="35"/>
      <c r="U22" s="35"/>
      <c r="V22" s="35"/>
      <c r="W22" s="36"/>
      <c r="X22" s="206" t="s">
        <v>10</v>
      </c>
      <c r="Y22" s="224"/>
      <c r="Z22" s="224"/>
      <c r="AA22" s="224"/>
      <c r="AB22" s="224"/>
      <c r="AC22" s="207"/>
      <c r="AD22" s="237"/>
      <c r="AE22" s="238"/>
      <c r="AF22" s="238"/>
      <c r="AG22" s="238"/>
      <c r="AH22" s="238"/>
      <c r="AI22" s="238"/>
      <c r="AJ22" s="238"/>
      <c r="AK22" s="238"/>
      <c r="AL22" s="238"/>
      <c r="AM22" s="238"/>
      <c r="AN22" s="238"/>
      <c r="AO22" s="238"/>
      <c r="AP22" s="238"/>
      <c r="AQ22" s="238"/>
      <c r="AR22" s="238"/>
      <c r="AS22" s="16"/>
      <c r="AT22" s="16"/>
      <c r="AU22" s="16"/>
      <c r="AV22" s="16"/>
      <c r="AW22" s="16"/>
      <c r="AX22" s="16"/>
    </row>
    <row r="23" spans="1:50" s="8" customFormat="1" ht="20.25" customHeight="1">
      <c r="A23" s="206">
        <v>17</v>
      </c>
      <c r="B23" s="207"/>
      <c r="C23" s="41" t="s">
        <v>35</v>
      </c>
      <c r="D23" s="42"/>
      <c r="E23" s="43"/>
      <c r="F23" s="44"/>
      <c r="G23" s="45"/>
      <c r="H23" s="45"/>
      <c r="I23" s="45"/>
      <c r="J23" s="45"/>
      <c r="K23" s="45"/>
      <c r="L23" s="45"/>
      <c r="M23" s="45"/>
      <c r="N23" s="45"/>
      <c r="O23" s="45"/>
      <c r="P23" s="45"/>
      <c r="Q23" s="45"/>
      <c r="R23" s="45"/>
      <c r="S23" s="45"/>
      <c r="T23" s="45"/>
      <c r="U23" s="45"/>
      <c r="V23" s="45"/>
      <c r="W23" s="46"/>
      <c r="X23" s="206" t="s">
        <v>10</v>
      </c>
      <c r="Y23" s="224"/>
      <c r="Z23" s="224"/>
      <c r="AA23" s="224"/>
      <c r="AB23" s="224"/>
      <c r="AC23" s="207"/>
      <c r="AD23" s="16"/>
      <c r="AE23" s="16"/>
      <c r="AF23" s="16"/>
      <c r="AG23" s="16"/>
      <c r="AH23" s="16"/>
      <c r="AI23" s="16"/>
      <c r="AJ23" s="16"/>
      <c r="AK23" s="16"/>
      <c r="AL23" s="16"/>
      <c r="AM23" s="16"/>
      <c r="AN23" s="16"/>
      <c r="AO23" s="16"/>
      <c r="AP23" s="16"/>
      <c r="AQ23" s="16"/>
      <c r="AR23" s="16"/>
      <c r="AS23" s="16"/>
      <c r="AT23" s="16"/>
      <c r="AU23" s="16"/>
      <c r="AV23" s="16"/>
      <c r="AW23" s="16"/>
      <c r="AX23" s="16"/>
    </row>
    <row r="24" spans="1:50" s="8" customFormat="1" ht="20.25" customHeight="1">
      <c r="A24" s="225">
        <v>18</v>
      </c>
      <c r="B24" s="226"/>
      <c r="C24" s="17" t="s">
        <v>36</v>
      </c>
      <c r="D24" s="18"/>
      <c r="E24" s="47"/>
      <c r="F24" s="19"/>
      <c r="G24" s="20"/>
      <c r="H24" s="20"/>
      <c r="I24" s="20"/>
      <c r="J24" s="20"/>
      <c r="K24" s="20"/>
      <c r="L24" s="20"/>
      <c r="M24" s="20"/>
      <c r="N24" s="20"/>
      <c r="O24" s="20"/>
      <c r="P24" s="20"/>
      <c r="Q24" s="20"/>
      <c r="R24" s="20"/>
      <c r="S24" s="20"/>
      <c r="T24" s="20"/>
      <c r="U24" s="20"/>
      <c r="V24" s="20"/>
      <c r="W24" s="22"/>
      <c r="X24" s="206" t="s">
        <v>10</v>
      </c>
      <c r="Y24" s="224"/>
      <c r="Z24" s="224"/>
      <c r="AA24" s="224"/>
      <c r="AB24" s="224"/>
      <c r="AC24" s="207"/>
      <c r="AD24" s="230"/>
      <c r="AE24" s="239"/>
      <c r="AF24" s="239"/>
      <c r="AG24" s="239"/>
      <c r="AH24" s="239"/>
      <c r="AI24" s="239"/>
      <c r="AJ24" s="239"/>
      <c r="AK24" s="239"/>
      <c r="AL24" s="239"/>
      <c r="AM24" s="239"/>
      <c r="AN24" s="239"/>
      <c r="AO24" s="239"/>
      <c r="AP24" s="239"/>
      <c r="AQ24" s="239"/>
      <c r="AR24" s="239"/>
      <c r="AS24" s="239"/>
      <c r="AT24" s="16"/>
      <c r="AU24" s="16"/>
      <c r="AV24" s="16"/>
      <c r="AW24" s="16"/>
      <c r="AX24" s="16"/>
    </row>
    <row r="25" spans="1:50" s="6" customFormat="1" ht="15">
      <c r="A25" s="3"/>
      <c r="B25" s="3"/>
      <c r="C25" s="3"/>
      <c r="D25" s="3"/>
      <c r="E25" s="3"/>
      <c r="F25" s="3"/>
      <c r="G25" s="3"/>
      <c r="H25" s="3"/>
      <c r="I25" s="3"/>
      <c r="J25" s="3"/>
      <c r="K25" s="3"/>
      <c r="L25" s="3"/>
      <c r="M25" s="3"/>
      <c r="N25" s="3"/>
      <c r="O25" s="3"/>
      <c r="P25" s="3"/>
      <c r="Q25" s="3"/>
      <c r="R25" s="3"/>
      <c r="S25" s="3"/>
      <c r="T25" s="3"/>
      <c r="U25" s="3"/>
      <c r="V25" s="3"/>
      <c r="W25" s="3"/>
      <c r="X25" s="229" t="s">
        <v>172</v>
      </c>
      <c r="Y25" s="229"/>
      <c r="Z25" s="229"/>
      <c r="AA25" s="229"/>
      <c r="AB25" s="229"/>
      <c r="AC25" s="229"/>
      <c r="AD25" s="5"/>
      <c r="AE25" s="5"/>
      <c r="AF25" s="5"/>
      <c r="AG25" s="5"/>
      <c r="AH25" s="5"/>
      <c r="AI25" s="5"/>
      <c r="AJ25" s="5"/>
      <c r="AK25" s="5"/>
      <c r="AL25" s="5"/>
      <c r="AM25" s="5"/>
      <c r="AN25" s="5"/>
      <c r="AO25" s="5"/>
      <c r="AP25" s="5"/>
      <c r="AQ25" s="5"/>
      <c r="AR25" s="5"/>
      <c r="AS25" s="5"/>
      <c r="AT25" s="5"/>
      <c r="AU25" s="5"/>
      <c r="AV25" s="5"/>
      <c r="AW25" s="5"/>
      <c r="AX25" s="5"/>
    </row>
    <row r="26" spans="1:50" s="6" customFormat="1" ht="15">
      <c r="A26" s="5"/>
      <c r="B26" s="5"/>
      <c r="C26" s="5"/>
      <c r="D26" s="5"/>
      <c r="E26" s="5"/>
      <c r="F26" s="5"/>
      <c r="G26" s="5"/>
      <c r="H26" s="5"/>
      <c r="I26" s="5"/>
      <c r="J26" s="5"/>
      <c r="K26" s="5"/>
      <c r="L26" s="5"/>
      <c r="M26" s="5"/>
      <c r="N26" s="5"/>
      <c r="O26" s="5"/>
      <c r="P26" s="5"/>
      <c r="Q26" s="5"/>
      <c r="R26" s="5"/>
      <c r="S26" s="5"/>
      <c r="T26" s="48"/>
      <c r="U26" s="5"/>
      <c r="V26" s="58">
        <v>9.4444444444444445E-3</v>
      </c>
      <c r="W26" s="5"/>
      <c r="X26" s="228">
        <v>94</v>
      </c>
      <c r="Y26" s="228"/>
      <c r="Z26" s="228"/>
      <c r="AA26" s="228"/>
      <c r="AB26" s="228"/>
      <c r="AC26" s="228"/>
      <c r="AD26" s="5"/>
      <c r="AE26" s="5"/>
      <c r="AF26" s="5"/>
      <c r="AG26" s="5"/>
      <c r="AH26" s="5"/>
      <c r="AI26" s="5"/>
      <c r="AJ26" s="5"/>
      <c r="AK26" s="5"/>
      <c r="AL26" s="5"/>
      <c r="AM26" s="5"/>
      <c r="AN26" s="5"/>
      <c r="AO26" s="5"/>
      <c r="AP26" s="5"/>
      <c r="AQ26" s="5"/>
      <c r="AR26" s="5"/>
      <c r="AS26" s="5"/>
      <c r="AT26" s="5"/>
      <c r="AU26" s="5"/>
      <c r="AV26" s="5"/>
      <c r="AW26" s="5"/>
      <c r="AX26" s="5"/>
    </row>
    <row r="27" spans="1:50" s="6" customFormat="1"/>
    <row r="28" spans="1:50" s="6" customFormat="1"/>
    <row r="29" spans="1:50" s="6" customFormat="1"/>
    <row r="30" spans="1:50" s="6" customFormat="1"/>
    <row r="31" spans="1:50" s="6" customFormat="1"/>
    <row r="32" spans="1:50" s="6" customFormat="1"/>
    <row r="33" s="6" customFormat="1"/>
    <row r="34" s="6" customFormat="1"/>
    <row r="35" s="6" customFormat="1"/>
    <row r="36" s="6" customFormat="1"/>
    <row r="37" s="6" customFormat="1"/>
    <row r="38" s="6" customFormat="1"/>
    <row r="39" s="6" customFormat="1"/>
    <row r="40" s="6" customFormat="1"/>
    <row r="41" s="6" customFormat="1"/>
    <row r="42" s="6" customFormat="1"/>
    <row r="43" s="6" customFormat="1"/>
    <row r="44" s="6" customFormat="1"/>
    <row r="45" s="6" customFormat="1"/>
    <row r="46" s="6" customFormat="1"/>
    <row r="47" s="6" customFormat="1"/>
    <row r="48" s="6" customFormat="1"/>
    <row r="49" s="6" customFormat="1"/>
    <row r="50" s="6" customFormat="1"/>
    <row r="51" s="6" customFormat="1"/>
    <row r="52" s="6" customFormat="1"/>
    <row r="53" s="6" customFormat="1"/>
    <row r="54" s="6" customFormat="1"/>
  </sheetData>
  <mergeCells count="61">
    <mergeCell ref="AD20:AR20"/>
    <mergeCell ref="X25:AC25"/>
    <mergeCell ref="AD22:AR22"/>
    <mergeCell ref="A23:B23"/>
    <mergeCell ref="X23:AC23"/>
    <mergeCell ref="A24:B24"/>
    <mergeCell ref="X24:AC24"/>
    <mergeCell ref="AD24:AS24"/>
    <mergeCell ref="X26:AC26"/>
    <mergeCell ref="A20:B20"/>
    <mergeCell ref="X20:AC20"/>
    <mergeCell ref="A21:B21"/>
    <mergeCell ref="X21:AC21"/>
    <mergeCell ref="A22:B22"/>
    <mergeCell ref="X22:AC22"/>
    <mergeCell ref="A17:B17"/>
    <mergeCell ref="X17:AC17"/>
    <mergeCell ref="A18:B18"/>
    <mergeCell ref="X18:AC18"/>
    <mergeCell ref="A19:B19"/>
    <mergeCell ref="X19:AC19"/>
    <mergeCell ref="A14:B14"/>
    <mergeCell ref="X14:AC14"/>
    <mergeCell ref="A15:B15"/>
    <mergeCell ref="X15:AC15"/>
    <mergeCell ref="A16:B16"/>
    <mergeCell ref="X16:AC16"/>
    <mergeCell ref="A11:B11"/>
    <mergeCell ref="X11:AC11"/>
    <mergeCell ref="A12:B12"/>
    <mergeCell ref="X12:AC12"/>
    <mergeCell ref="A13:B13"/>
    <mergeCell ref="X13:AC13"/>
    <mergeCell ref="A8:B8"/>
    <mergeCell ref="X8:AC8"/>
    <mergeCell ref="A9:B9"/>
    <mergeCell ref="X9:AC9"/>
    <mergeCell ref="A10:B10"/>
    <mergeCell ref="X10:AC10"/>
    <mergeCell ref="X5:AC5"/>
    <mergeCell ref="A6:B6"/>
    <mergeCell ref="C6:W6"/>
    <mergeCell ref="X6:AC6"/>
    <mergeCell ref="A7:B7"/>
    <mergeCell ref="X7:AC7"/>
    <mergeCell ref="I3:V4"/>
    <mergeCell ref="A5:E5"/>
    <mergeCell ref="F5:J5"/>
    <mergeCell ref="K5:N5"/>
    <mergeCell ref="O5:S5"/>
    <mergeCell ref="T5:W5"/>
    <mergeCell ref="A1:E4"/>
    <mergeCell ref="F1:V2"/>
    <mergeCell ref="W1:W4"/>
    <mergeCell ref="F3:H4"/>
    <mergeCell ref="X1:Y1"/>
    <mergeCell ref="Z1:AA1"/>
    <mergeCell ref="AB1:AC1"/>
    <mergeCell ref="X2:Y4"/>
    <mergeCell ref="Z2:AA4"/>
    <mergeCell ref="AB2:AC4"/>
  </mergeCells>
  <conditionalFormatting sqref="X7:AC24">
    <cfRule type="containsText" dxfId="10" priority="1" operator="containsText" text="보완">
      <formula>NOT(ISERROR(SEARCH("보완",X7)))</formula>
    </cfRule>
  </conditionalFormatting>
  <pageMargins left="0.7" right="0.7" top="0.75" bottom="0.75" header="0.3" footer="0.3"/>
  <pageSetup paperSize="9" scale="6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54"/>
  <sheetViews>
    <sheetView showGridLines="0" view="pageBreakPreview" zoomScale="85" zoomScaleNormal="100" zoomScaleSheetLayoutView="85" workbookViewId="0">
      <selection activeCell="C13" sqref="C13"/>
    </sheetView>
  </sheetViews>
  <sheetFormatPr defaultColWidth="3.5703125" defaultRowHeight="13.5"/>
  <cols>
    <col min="1" max="22" width="3.5703125" style="4"/>
    <col min="23" max="23" width="4.7109375" style="4" bestFit="1" customWidth="1"/>
    <col min="24" max="29" width="5.7109375" style="4" customWidth="1"/>
    <col min="30" max="16384" width="3.5703125" style="4"/>
  </cols>
  <sheetData>
    <row r="1" spans="1:54" s="2" customFormat="1" ht="25.5" customHeight="1">
      <c r="A1" s="193"/>
      <c r="B1" s="194"/>
      <c r="C1" s="194"/>
      <c r="D1" s="194"/>
      <c r="E1" s="195"/>
      <c r="F1" s="202" t="s">
        <v>243</v>
      </c>
      <c r="G1" s="203"/>
      <c r="H1" s="203"/>
      <c r="I1" s="203"/>
      <c r="J1" s="203"/>
      <c r="K1" s="203"/>
      <c r="L1" s="203"/>
      <c r="M1" s="203"/>
      <c r="N1" s="203"/>
      <c r="O1" s="203"/>
      <c r="P1" s="203"/>
      <c r="Q1" s="203"/>
      <c r="R1" s="203"/>
      <c r="S1" s="203"/>
      <c r="T1" s="203"/>
      <c r="U1" s="203"/>
      <c r="V1" s="203"/>
      <c r="W1" s="204" t="s">
        <v>0</v>
      </c>
      <c r="X1" s="174" t="s">
        <v>1</v>
      </c>
      <c r="Y1" s="175"/>
      <c r="Z1" s="175" t="s">
        <v>2</v>
      </c>
      <c r="AA1" s="175"/>
      <c r="AB1" s="175" t="s">
        <v>3</v>
      </c>
      <c r="AC1" s="175"/>
      <c r="AD1" s="24"/>
      <c r="AE1" s="24"/>
      <c r="AF1" s="24"/>
      <c r="AG1" s="24"/>
      <c r="AH1" s="24"/>
      <c r="AI1" s="24"/>
      <c r="AJ1" s="24"/>
      <c r="AK1" s="24"/>
      <c r="AL1" s="24"/>
      <c r="AM1" s="24"/>
      <c r="AN1" s="24"/>
      <c r="AO1" s="24"/>
      <c r="AP1" s="24"/>
      <c r="AQ1" s="24"/>
      <c r="AR1" s="24"/>
      <c r="AS1" s="24"/>
      <c r="AT1" s="24"/>
      <c r="AU1" s="24"/>
      <c r="AV1" s="24"/>
      <c r="AW1" s="24"/>
      <c r="AX1" s="24"/>
      <c r="AY1" s="24"/>
      <c r="AZ1" s="24"/>
      <c r="BA1" s="24"/>
      <c r="BB1" s="24"/>
    </row>
    <row r="2" spans="1:54" s="2" customFormat="1" ht="25.5" customHeight="1">
      <c r="A2" s="196"/>
      <c r="B2" s="197"/>
      <c r="C2" s="197"/>
      <c r="D2" s="197"/>
      <c r="E2" s="198"/>
      <c r="F2" s="203"/>
      <c r="G2" s="203"/>
      <c r="H2" s="203"/>
      <c r="I2" s="203"/>
      <c r="J2" s="203"/>
      <c r="K2" s="203"/>
      <c r="L2" s="203"/>
      <c r="M2" s="203"/>
      <c r="N2" s="203"/>
      <c r="O2" s="203"/>
      <c r="P2" s="203"/>
      <c r="Q2" s="203"/>
      <c r="R2" s="203"/>
      <c r="S2" s="203"/>
      <c r="T2" s="203"/>
      <c r="U2" s="203"/>
      <c r="V2" s="203"/>
      <c r="W2" s="204"/>
      <c r="X2" s="176" t="s">
        <v>252</v>
      </c>
      <c r="Y2" s="177"/>
      <c r="Z2" s="178"/>
      <c r="AA2" s="178"/>
      <c r="AB2" s="181" t="s">
        <v>253</v>
      </c>
      <c r="AC2" s="176"/>
      <c r="AD2" s="24"/>
      <c r="AE2" s="24"/>
      <c r="AF2" s="24"/>
      <c r="AG2" s="24"/>
      <c r="AH2" s="24"/>
      <c r="AI2" s="24"/>
      <c r="AJ2" s="24"/>
      <c r="AK2" s="24"/>
      <c r="AL2" s="24"/>
      <c r="AM2" s="24"/>
      <c r="AN2" s="24"/>
      <c r="AO2" s="24"/>
      <c r="AP2" s="24"/>
      <c r="AQ2" s="24"/>
      <c r="AR2" s="24"/>
      <c r="AS2" s="24"/>
      <c r="AT2" s="24"/>
      <c r="AU2" s="24"/>
      <c r="AV2" s="24"/>
      <c r="AW2" s="24"/>
      <c r="AX2" s="24"/>
      <c r="AY2" s="24"/>
      <c r="AZ2" s="24"/>
      <c r="BA2" s="24"/>
      <c r="BB2" s="24"/>
    </row>
    <row r="3" spans="1:54" s="2" customFormat="1" ht="15.75" customHeight="1">
      <c r="A3" s="196"/>
      <c r="B3" s="197"/>
      <c r="C3" s="197"/>
      <c r="D3" s="197"/>
      <c r="E3" s="198"/>
      <c r="F3" s="175" t="s">
        <v>154</v>
      </c>
      <c r="G3" s="175"/>
      <c r="H3" s="175"/>
      <c r="I3" s="240" t="s">
        <v>37</v>
      </c>
      <c r="J3" s="183"/>
      <c r="K3" s="183"/>
      <c r="L3" s="183"/>
      <c r="M3" s="183"/>
      <c r="N3" s="183"/>
      <c r="O3" s="183"/>
      <c r="P3" s="183"/>
      <c r="Q3" s="183"/>
      <c r="R3" s="183"/>
      <c r="S3" s="183"/>
      <c r="T3" s="183"/>
      <c r="U3" s="183"/>
      <c r="V3" s="184"/>
      <c r="W3" s="204"/>
      <c r="X3" s="176"/>
      <c r="Y3" s="177"/>
      <c r="Z3" s="179"/>
      <c r="AA3" s="179"/>
      <c r="AB3" s="181"/>
      <c r="AC3" s="176"/>
      <c r="AD3" s="24"/>
      <c r="AE3" s="24"/>
      <c r="AF3" s="24"/>
      <c r="AG3" s="24"/>
      <c r="AH3" s="24"/>
      <c r="AI3" s="24"/>
      <c r="AJ3" s="24"/>
      <c r="AK3" s="24"/>
      <c r="AL3" s="24"/>
      <c r="AM3" s="24"/>
      <c r="AN3" s="24"/>
      <c r="AO3" s="24"/>
      <c r="AP3" s="24"/>
      <c r="AQ3" s="24"/>
      <c r="AR3" s="24"/>
      <c r="AS3" s="24"/>
      <c r="AT3" s="24"/>
      <c r="AU3" s="24"/>
      <c r="AV3" s="24"/>
      <c r="AW3" s="24"/>
      <c r="AX3" s="24"/>
      <c r="AY3" s="24"/>
      <c r="AZ3" s="24"/>
      <c r="BA3" s="24"/>
      <c r="BB3" s="24"/>
    </row>
    <row r="4" spans="1:54" ht="15.75" customHeight="1">
      <c r="A4" s="199"/>
      <c r="B4" s="200"/>
      <c r="C4" s="200"/>
      <c r="D4" s="200"/>
      <c r="E4" s="201"/>
      <c r="F4" s="175"/>
      <c r="G4" s="175"/>
      <c r="H4" s="175"/>
      <c r="I4" s="185"/>
      <c r="J4" s="186"/>
      <c r="K4" s="186"/>
      <c r="L4" s="186"/>
      <c r="M4" s="186"/>
      <c r="N4" s="186"/>
      <c r="O4" s="186"/>
      <c r="P4" s="186"/>
      <c r="Q4" s="186"/>
      <c r="R4" s="186"/>
      <c r="S4" s="186"/>
      <c r="T4" s="186"/>
      <c r="U4" s="186"/>
      <c r="V4" s="187"/>
      <c r="W4" s="204"/>
      <c r="X4" s="176"/>
      <c r="Y4" s="177"/>
      <c r="Z4" s="180"/>
      <c r="AA4" s="180"/>
      <c r="AB4" s="181"/>
      <c r="AC4" s="176"/>
      <c r="AD4" s="3"/>
      <c r="AE4" s="3"/>
      <c r="AF4" s="3"/>
      <c r="AG4" s="3"/>
      <c r="AH4" s="3"/>
      <c r="AI4" s="3"/>
      <c r="AJ4" s="3"/>
      <c r="AK4" s="3"/>
      <c r="AL4" s="3"/>
      <c r="AM4" s="3"/>
      <c r="AN4" s="3"/>
      <c r="AO4" s="3"/>
      <c r="AP4" s="3"/>
      <c r="AQ4" s="3"/>
      <c r="AR4" s="3"/>
      <c r="AS4" s="3"/>
      <c r="AT4" s="3"/>
      <c r="AU4" s="3"/>
      <c r="AV4" s="3"/>
      <c r="AW4" s="3"/>
      <c r="AX4" s="3"/>
      <c r="AY4" s="3"/>
      <c r="AZ4" s="3"/>
      <c r="BA4" s="3"/>
      <c r="BB4" s="3"/>
    </row>
    <row r="5" spans="1:54" s="6" customFormat="1" ht="18.75" customHeight="1">
      <c r="A5" s="188" t="s">
        <v>134</v>
      </c>
      <c r="B5" s="189"/>
      <c r="C5" s="189"/>
      <c r="D5" s="189"/>
      <c r="E5" s="174"/>
      <c r="F5" s="190" t="s">
        <v>174</v>
      </c>
      <c r="G5" s="191"/>
      <c r="H5" s="191"/>
      <c r="I5" s="191"/>
      <c r="J5" s="192"/>
      <c r="K5" s="188" t="s">
        <v>5</v>
      </c>
      <c r="L5" s="189"/>
      <c r="M5" s="189"/>
      <c r="N5" s="174"/>
      <c r="O5" s="190"/>
      <c r="P5" s="191"/>
      <c r="Q5" s="191"/>
      <c r="R5" s="191"/>
      <c r="S5" s="192"/>
      <c r="T5" s="188" t="s">
        <v>135</v>
      </c>
      <c r="U5" s="189"/>
      <c r="V5" s="189"/>
      <c r="W5" s="174"/>
      <c r="X5" s="177" t="s">
        <v>219</v>
      </c>
      <c r="Y5" s="214"/>
      <c r="Z5" s="214"/>
      <c r="AA5" s="214"/>
      <c r="AB5" s="214"/>
      <c r="AC5" s="181"/>
      <c r="AD5" s="5"/>
      <c r="AE5" s="5"/>
      <c r="AF5" s="5"/>
      <c r="AG5" s="5"/>
      <c r="AH5" s="5"/>
      <c r="AI5" s="5"/>
      <c r="AJ5" s="5"/>
      <c r="AK5" s="5"/>
      <c r="AL5" s="5"/>
      <c r="AM5" s="5"/>
      <c r="AN5" s="5"/>
      <c r="AO5" s="5"/>
      <c r="AP5" s="5"/>
      <c r="AQ5" s="5"/>
      <c r="AR5" s="5"/>
      <c r="AS5" s="5"/>
      <c r="AT5" s="5"/>
      <c r="AU5" s="5"/>
      <c r="AV5" s="5"/>
      <c r="AW5" s="5"/>
      <c r="AX5" s="5"/>
      <c r="AY5" s="5"/>
      <c r="AZ5" s="5"/>
      <c r="BA5" s="5"/>
      <c r="BB5" s="5"/>
    </row>
    <row r="6" spans="1:54" s="6" customFormat="1" ht="21.75" customHeight="1">
      <c r="A6" s="175" t="s">
        <v>6</v>
      </c>
      <c r="B6" s="188"/>
      <c r="C6" s="188" t="s">
        <v>7</v>
      </c>
      <c r="D6" s="189"/>
      <c r="E6" s="189"/>
      <c r="F6" s="189"/>
      <c r="G6" s="189"/>
      <c r="H6" s="189"/>
      <c r="I6" s="189"/>
      <c r="J6" s="189"/>
      <c r="K6" s="189"/>
      <c r="L6" s="189"/>
      <c r="M6" s="189"/>
      <c r="N6" s="189"/>
      <c r="O6" s="189"/>
      <c r="P6" s="189"/>
      <c r="Q6" s="189"/>
      <c r="R6" s="189"/>
      <c r="S6" s="189"/>
      <c r="T6" s="189"/>
      <c r="U6" s="189"/>
      <c r="V6" s="189"/>
      <c r="W6" s="174"/>
      <c r="X6" s="174" t="s">
        <v>8</v>
      </c>
      <c r="Y6" s="175"/>
      <c r="Z6" s="175"/>
      <c r="AA6" s="175"/>
      <c r="AB6" s="175"/>
      <c r="AC6" s="175"/>
      <c r="AD6" s="5"/>
      <c r="AE6" s="5"/>
      <c r="AF6" s="5"/>
      <c r="AG6" s="5"/>
      <c r="AH6" s="5"/>
      <c r="AI6" s="5"/>
      <c r="AJ6" s="5"/>
      <c r="AK6" s="5"/>
      <c r="AL6" s="5"/>
      <c r="AM6" s="5"/>
      <c r="AN6" s="5"/>
      <c r="AO6" s="5"/>
      <c r="AP6" s="5"/>
      <c r="AQ6" s="5"/>
      <c r="AR6" s="5"/>
      <c r="AS6" s="5"/>
      <c r="AT6" s="5"/>
      <c r="AU6" s="5"/>
      <c r="AV6" s="5"/>
      <c r="AW6" s="5"/>
      <c r="AX6" s="5"/>
      <c r="AY6" s="5"/>
      <c r="AZ6" s="5"/>
      <c r="BA6" s="5"/>
      <c r="BB6" s="5"/>
    </row>
    <row r="7" spans="1:54" s="8" customFormat="1" ht="20.25" customHeight="1">
      <c r="A7" s="215">
        <v>1</v>
      </c>
      <c r="B7" s="220"/>
      <c r="C7" s="26" t="s">
        <v>19</v>
      </c>
      <c r="D7" s="27"/>
      <c r="E7" s="28"/>
      <c r="F7" s="7"/>
      <c r="G7" s="29"/>
      <c r="H7" s="29"/>
      <c r="I7" s="29"/>
      <c r="J7" s="29"/>
      <c r="K7" s="29"/>
      <c r="L7" s="29"/>
      <c r="M7" s="29"/>
      <c r="N7" s="29"/>
      <c r="O7" s="29"/>
      <c r="P7" s="29"/>
      <c r="Q7" s="29"/>
      <c r="R7" s="29"/>
      <c r="S7" s="29"/>
      <c r="T7" s="29"/>
      <c r="U7" s="29"/>
      <c r="V7" s="29"/>
      <c r="W7" s="30"/>
      <c r="X7" s="220" t="s">
        <v>10</v>
      </c>
      <c r="Y7" s="220"/>
      <c r="Z7" s="220"/>
      <c r="AA7" s="220"/>
      <c r="AB7" s="220"/>
      <c r="AC7" s="216"/>
      <c r="AD7" s="16"/>
      <c r="AE7" s="16"/>
      <c r="AF7" s="16"/>
      <c r="AG7" s="16"/>
      <c r="AH7" s="16"/>
      <c r="AI7" s="16"/>
      <c r="AJ7" s="16"/>
      <c r="AK7" s="16"/>
      <c r="AL7" s="16"/>
      <c r="AM7" s="16"/>
      <c r="AN7" s="16"/>
      <c r="AO7" s="16"/>
      <c r="AP7" s="16"/>
      <c r="AQ7" s="16"/>
      <c r="AR7" s="16"/>
      <c r="AS7" s="16"/>
      <c r="AT7" s="16"/>
      <c r="AU7" s="16"/>
      <c r="AV7" s="16"/>
      <c r="AW7" s="16"/>
      <c r="AX7" s="16"/>
      <c r="AY7" s="16"/>
      <c r="AZ7" s="16"/>
      <c r="BA7" s="16"/>
      <c r="BB7" s="16"/>
    </row>
    <row r="8" spans="1:54" s="8" customFormat="1" ht="20.25" customHeight="1">
      <c r="A8" s="206">
        <v>2</v>
      </c>
      <c r="B8" s="224"/>
      <c r="C8" s="31" t="s">
        <v>155</v>
      </c>
      <c r="D8" s="32"/>
      <c r="E8" s="33"/>
      <c r="F8" s="34"/>
      <c r="G8" s="35"/>
      <c r="H8" s="35"/>
      <c r="I8" s="35"/>
      <c r="J8" s="35"/>
      <c r="K8" s="35"/>
      <c r="L8" s="35"/>
      <c r="M8" s="35"/>
      <c r="N8" s="35"/>
      <c r="O8" s="35"/>
      <c r="P8" s="35"/>
      <c r="Q8" s="35"/>
      <c r="R8" s="35"/>
      <c r="S8" s="35"/>
      <c r="T8" s="35"/>
      <c r="U8" s="35"/>
      <c r="V8" s="35"/>
      <c r="W8" s="36"/>
      <c r="X8" s="206" t="s">
        <v>10</v>
      </c>
      <c r="Y8" s="224"/>
      <c r="Z8" s="224"/>
      <c r="AA8" s="224"/>
      <c r="AB8" s="224"/>
      <c r="AC8" s="207"/>
      <c r="AD8" s="16"/>
      <c r="AE8" s="16"/>
      <c r="AF8" s="16"/>
      <c r="AG8" s="16"/>
      <c r="AH8" s="16"/>
      <c r="AI8" s="16"/>
      <c r="AJ8" s="16"/>
      <c r="AK8" s="16"/>
      <c r="AL8" s="16"/>
      <c r="AM8" s="16"/>
      <c r="AN8" s="16"/>
      <c r="AO8" s="16"/>
      <c r="AP8" s="16"/>
      <c r="AQ8" s="16"/>
      <c r="AR8" s="16"/>
      <c r="AS8" s="16"/>
      <c r="AT8" s="16"/>
      <c r="AU8" s="16"/>
      <c r="AV8" s="16"/>
      <c r="AW8" s="16"/>
      <c r="AX8" s="16"/>
      <c r="AY8" s="16"/>
      <c r="AZ8" s="16"/>
      <c r="BA8" s="16"/>
      <c r="BB8" s="16"/>
    </row>
    <row r="9" spans="1:54" s="8" customFormat="1" ht="20.25" customHeight="1">
      <c r="A9" s="206">
        <v>3</v>
      </c>
      <c r="B9" s="224"/>
      <c r="C9" s="31" t="s">
        <v>21</v>
      </c>
      <c r="D9" s="32"/>
      <c r="E9" s="33"/>
      <c r="F9" s="34"/>
      <c r="G9" s="35"/>
      <c r="H9" s="35"/>
      <c r="I9" s="35"/>
      <c r="J9" s="35"/>
      <c r="K9" s="35"/>
      <c r="L9" s="35"/>
      <c r="M9" s="35"/>
      <c r="N9" s="35"/>
      <c r="O9" s="35"/>
      <c r="P9" s="35"/>
      <c r="Q9" s="35"/>
      <c r="R9" s="35"/>
      <c r="S9" s="35"/>
      <c r="T9" s="35"/>
      <c r="U9" s="35"/>
      <c r="V9" s="35"/>
      <c r="W9" s="36"/>
      <c r="X9" s="206" t="s">
        <v>10</v>
      </c>
      <c r="Y9" s="224"/>
      <c r="Z9" s="224"/>
      <c r="AA9" s="224"/>
      <c r="AB9" s="224"/>
      <c r="AC9" s="207"/>
      <c r="AD9" s="16"/>
      <c r="AE9" s="16"/>
      <c r="AF9" s="16"/>
      <c r="AG9" s="16"/>
      <c r="AH9" s="16"/>
      <c r="AI9" s="16"/>
      <c r="AJ9" s="16"/>
      <c r="AK9" s="16"/>
      <c r="AL9" s="16"/>
      <c r="AM9" s="16"/>
      <c r="AN9" s="16"/>
      <c r="AO9" s="16"/>
      <c r="AP9" s="16"/>
      <c r="AQ9" s="16"/>
      <c r="AR9" s="16"/>
      <c r="AS9" s="16"/>
      <c r="AT9" s="16"/>
      <c r="AU9" s="16"/>
      <c r="AV9" s="16"/>
      <c r="AW9" s="16"/>
      <c r="AX9" s="16"/>
      <c r="AY9" s="16"/>
      <c r="AZ9" s="16"/>
      <c r="BA9" s="16"/>
      <c r="BB9" s="16"/>
    </row>
    <row r="10" spans="1:54" s="8" customFormat="1" ht="20.25" customHeight="1">
      <c r="A10" s="206">
        <v>4</v>
      </c>
      <c r="B10" s="207"/>
      <c r="C10" s="31" t="s">
        <v>22</v>
      </c>
      <c r="D10" s="32"/>
      <c r="E10" s="33"/>
      <c r="F10" s="34"/>
      <c r="G10" s="35"/>
      <c r="H10" s="35"/>
      <c r="I10" s="35"/>
      <c r="J10" s="35"/>
      <c r="K10" s="35"/>
      <c r="L10" s="35"/>
      <c r="M10" s="35"/>
      <c r="N10" s="35"/>
      <c r="O10" s="35"/>
      <c r="P10" s="35"/>
      <c r="Q10" s="35"/>
      <c r="R10" s="35"/>
      <c r="S10" s="35"/>
      <c r="T10" s="35"/>
      <c r="U10" s="35"/>
      <c r="V10" s="35"/>
      <c r="W10" s="36"/>
      <c r="X10" s="206" t="s">
        <v>10</v>
      </c>
      <c r="Y10" s="224"/>
      <c r="Z10" s="224"/>
      <c r="AA10" s="224"/>
      <c r="AB10" s="224"/>
      <c r="AC10" s="207"/>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row>
    <row r="11" spans="1:54" s="8" customFormat="1" ht="20.25" customHeight="1">
      <c r="A11" s="215">
        <v>5</v>
      </c>
      <c r="B11" s="220"/>
      <c r="C11" s="11" t="s">
        <v>162</v>
      </c>
      <c r="D11" s="12"/>
      <c r="E11" s="39"/>
      <c r="F11" s="13"/>
      <c r="G11" s="14"/>
      <c r="H11" s="14"/>
      <c r="I11" s="14"/>
      <c r="J11" s="14"/>
      <c r="K11" s="14"/>
      <c r="L11" s="14"/>
      <c r="M11" s="14"/>
      <c r="N11" s="14"/>
      <c r="O11" s="14"/>
      <c r="P11" s="14"/>
      <c r="Q11" s="14"/>
      <c r="R11" s="14"/>
      <c r="S11" s="14"/>
      <c r="T11" s="14"/>
      <c r="U11" s="14"/>
      <c r="V11" s="14"/>
      <c r="W11" s="15"/>
      <c r="X11" s="206" t="s">
        <v>10</v>
      </c>
      <c r="Y11" s="224"/>
      <c r="Z11" s="224"/>
      <c r="AA11" s="224"/>
      <c r="AB11" s="224"/>
      <c r="AC11" s="207"/>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row>
    <row r="12" spans="1:54" s="8" customFormat="1" ht="20.25" customHeight="1">
      <c r="A12" s="206">
        <v>6</v>
      </c>
      <c r="B12" s="224"/>
      <c r="C12" s="31" t="s">
        <v>160</v>
      </c>
      <c r="D12" s="32"/>
      <c r="E12" s="33"/>
      <c r="F12" s="34"/>
      <c r="G12" s="35"/>
      <c r="H12" s="35"/>
      <c r="I12" s="35"/>
      <c r="J12" s="35"/>
      <c r="K12" s="35"/>
      <c r="L12" s="35"/>
      <c r="M12" s="35"/>
      <c r="N12" s="35"/>
      <c r="O12" s="35"/>
      <c r="P12" s="35"/>
      <c r="Q12" s="35"/>
      <c r="R12" s="35"/>
      <c r="S12" s="35"/>
      <c r="T12" s="35"/>
      <c r="U12" s="35"/>
      <c r="V12" s="35"/>
      <c r="W12" s="36"/>
      <c r="X12" s="206" t="s">
        <v>10</v>
      </c>
      <c r="Y12" s="224"/>
      <c r="Z12" s="224"/>
      <c r="AA12" s="224"/>
      <c r="AB12" s="224"/>
      <c r="AC12" s="207"/>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row>
    <row r="13" spans="1:54" s="8" customFormat="1" ht="20.25" customHeight="1">
      <c r="A13" s="206">
        <v>7</v>
      </c>
      <c r="B13" s="224"/>
      <c r="C13" s="11" t="s">
        <v>159</v>
      </c>
      <c r="D13" s="12"/>
      <c r="E13" s="39"/>
      <c r="F13" s="13"/>
      <c r="G13" s="14"/>
      <c r="H13" s="14"/>
      <c r="I13" s="14"/>
      <c r="J13" s="14"/>
      <c r="K13" s="14"/>
      <c r="L13" s="14"/>
      <c r="M13" s="14"/>
      <c r="N13" s="14"/>
      <c r="O13" s="14"/>
      <c r="P13" s="14"/>
      <c r="Q13" s="14"/>
      <c r="R13" s="14"/>
      <c r="S13" s="14"/>
      <c r="T13" s="14"/>
      <c r="U13" s="14"/>
      <c r="V13" s="14"/>
      <c r="W13" s="15"/>
      <c r="X13" s="206" t="s">
        <v>10</v>
      </c>
      <c r="Y13" s="224"/>
      <c r="Z13" s="224"/>
      <c r="AA13" s="224"/>
      <c r="AB13" s="224"/>
      <c r="AC13" s="207"/>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row>
    <row r="14" spans="1:54" s="8" customFormat="1" ht="20.25" customHeight="1">
      <c r="A14" s="206">
        <v>8</v>
      </c>
      <c r="B14" s="207"/>
      <c r="C14" s="11" t="s">
        <v>39</v>
      </c>
      <c r="D14" s="12"/>
      <c r="E14" s="39"/>
      <c r="F14" s="13"/>
      <c r="G14" s="14"/>
      <c r="H14" s="14"/>
      <c r="I14" s="14"/>
      <c r="J14" s="14"/>
      <c r="K14" s="14"/>
      <c r="L14" s="14"/>
      <c r="M14" s="14"/>
      <c r="N14" s="14"/>
      <c r="O14" s="14"/>
      <c r="P14" s="14"/>
      <c r="Q14" s="14"/>
      <c r="R14" s="14"/>
      <c r="S14" s="14"/>
      <c r="T14" s="14"/>
      <c r="U14" s="14"/>
      <c r="V14" s="14"/>
      <c r="W14" s="15"/>
      <c r="X14" s="206" t="s">
        <v>10</v>
      </c>
      <c r="Y14" s="224"/>
      <c r="Z14" s="224"/>
      <c r="AA14" s="224"/>
      <c r="AB14" s="224"/>
      <c r="AC14" s="207"/>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row>
    <row r="15" spans="1:54" s="8" customFormat="1" ht="20.25" customHeight="1">
      <c r="A15" s="215">
        <v>9</v>
      </c>
      <c r="B15" s="220"/>
      <c r="C15" s="37" t="s">
        <v>40</v>
      </c>
      <c r="D15" s="49"/>
      <c r="E15" s="50"/>
      <c r="F15" s="14"/>
      <c r="G15" s="14"/>
      <c r="H15" s="14"/>
      <c r="I15" s="14"/>
      <c r="J15" s="14"/>
      <c r="K15" s="14"/>
      <c r="L15" s="14"/>
      <c r="M15" s="14"/>
      <c r="N15" s="14"/>
      <c r="O15" s="14"/>
      <c r="P15" s="14"/>
      <c r="Q15" s="14"/>
      <c r="R15" s="14"/>
      <c r="S15" s="14"/>
      <c r="T15" s="14"/>
      <c r="U15" s="14"/>
      <c r="V15" s="14"/>
      <c r="W15" s="15"/>
      <c r="X15" s="206" t="s">
        <v>10</v>
      </c>
      <c r="Y15" s="224"/>
      <c r="Z15" s="224"/>
      <c r="AA15" s="224"/>
      <c r="AB15" s="224"/>
      <c r="AC15" s="207"/>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row>
    <row r="16" spans="1:54" s="8" customFormat="1" ht="20.25" customHeight="1">
      <c r="A16" s="206">
        <v>10</v>
      </c>
      <c r="B16" s="224"/>
      <c r="C16" s="37" t="s">
        <v>41</v>
      </c>
      <c r="D16" s="12"/>
      <c r="E16" s="39"/>
      <c r="F16" s="14"/>
      <c r="G16" s="14"/>
      <c r="H16" s="14"/>
      <c r="I16" s="14"/>
      <c r="J16" s="14"/>
      <c r="K16" s="14"/>
      <c r="L16" s="14"/>
      <c r="M16" s="14"/>
      <c r="N16" s="14"/>
      <c r="O16" s="14"/>
      <c r="P16" s="14"/>
      <c r="Q16" s="14"/>
      <c r="R16" s="14"/>
      <c r="S16" s="14"/>
      <c r="T16" s="14"/>
      <c r="U16" s="14"/>
      <c r="V16" s="14"/>
      <c r="W16" s="15"/>
      <c r="X16" s="206" t="s">
        <v>173</v>
      </c>
      <c r="Y16" s="224"/>
      <c r="Z16" s="224"/>
      <c r="AA16" s="224"/>
      <c r="AB16" s="224"/>
      <c r="AC16" s="207"/>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row>
    <row r="17" spans="1:55" s="8" customFormat="1" ht="20.25" customHeight="1">
      <c r="A17" s="206">
        <v>11</v>
      </c>
      <c r="B17" s="224"/>
      <c r="C17" s="11" t="s">
        <v>163</v>
      </c>
      <c r="D17" s="12"/>
      <c r="E17" s="39"/>
      <c r="F17" s="50"/>
      <c r="G17" s="14"/>
      <c r="H17" s="14"/>
      <c r="I17" s="14"/>
      <c r="J17" s="14"/>
      <c r="K17" s="14"/>
      <c r="L17" s="14"/>
      <c r="M17" s="14"/>
      <c r="N17" s="14"/>
      <c r="O17" s="14"/>
      <c r="P17" s="14"/>
      <c r="Q17" s="14"/>
      <c r="R17" s="14"/>
      <c r="S17" s="14"/>
      <c r="T17" s="14"/>
      <c r="U17" s="14"/>
      <c r="V17" s="14"/>
      <c r="W17" s="15"/>
      <c r="X17" s="206" t="s">
        <v>10</v>
      </c>
      <c r="Y17" s="224"/>
      <c r="Z17" s="224"/>
      <c r="AA17" s="224"/>
      <c r="AB17" s="224"/>
      <c r="AC17" s="207"/>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row>
    <row r="18" spans="1:55" s="8" customFormat="1" ht="20.25" customHeight="1">
      <c r="A18" s="206">
        <v>12</v>
      </c>
      <c r="B18" s="207"/>
      <c r="C18" s="31" t="s">
        <v>43</v>
      </c>
      <c r="D18" s="12"/>
      <c r="E18" s="39"/>
      <c r="F18" s="51"/>
      <c r="G18" s="50"/>
      <c r="H18" s="14"/>
      <c r="I18" s="14"/>
      <c r="J18" s="14"/>
      <c r="K18" s="14"/>
      <c r="L18" s="14"/>
      <c r="M18" s="14"/>
      <c r="N18" s="14"/>
      <c r="O18" s="14"/>
      <c r="P18" s="14"/>
      <c r="Q18" s="14"/>
      <c r="R18" s="14"/>
      <c r="S18" s="14"/>
      <c r="T18" s="14"/>
      <c r="U18" s="14"/>
      <c r="V18" s="14"/>
      <c r="W18" s="15"/>
      <c r="X18" s="206" t="s">
        <v>10</v>
      </c>
      <c r="Y18" s="224"/>
      <c r="Z18" s="224"/>
      <c r="AA18" s="224"/>
      <c r="AB18" s="224"/>
      <c r="AC18" s="207"/>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row>
    <row r="19" spans="1:55" s="8" customFormat="1" ht="20.25" customHeight="1">
      <c r="A19" s="215">
        <v>13</v>
      </c>
      <c r="B19" s="220"/>
      <c r="C19" s="11" t="s">
        <v>164</v>
      </c>
      <c r="D19" s="12"/>
      <c r="E19" s="39"/>
      <c r="F19" s="50"/>
      <c r="G19" s="51"/>
      <c r="H19" s="14"/>
      <c r="I19" s="14"/>
      <c r="J19" s="14"/>
      <c r="K19" s="14"/>
      <c r="L19" s="14"/>
      <c r="M19" s="14"/>
      <c r="N19" s="14"/>
      <c r="O19" s="14"/>
      <c r="P19" s="14"/>
      <c r="Q19" s="14"/>
      <c r="R19" s="14"/>
      <c r="S19" s="14"/>
      <c r="T19" s="14"/>
      <c r="U19" s="14"/>
      <c r="V19" s="14"/>
      <c r="W19" s="15"/>
      <c r="X19" s="206" t="s">
        <v>10</v>
      </c>
      <c r="Y19" s="224"/>
      <c r="Z19" s="224"/>
      <c r="AA19" s="224"/>
      <c r="AB19" s="224"/>
      <c r="AC19" s="207"/>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row>
    <row r="20" spans="1:55" s="8" customFormat="1" ht="20.25" customHeight="1">
      <c r="A20" s="206">
        <v>14</v>
      </c>
      <c r="B20" s="224"/>
      <c r="C20" s="31" t="s">
        <v>165</v>
      </c>
      <c r="D20" s="12"/>
      <c r="E20" s="39"/>
      <c r="F20" s="51"/>
      <c r="G20" s="51"/>
      <c r="H20" s="35"/>
      <c r="I20" s="14"/>
      <c r="J20" s="14"/>
      <c r="K20" s="14"/>
      <c r="L20" s="14"/>
      <c r="M20" s="14"/>
      <c r="N20" s="14"/>
      <c r="O20" s="14"/>
      <c r="P20" s="14"/>
      <c r="Q20" s="14"/>
      <c r="R20" s="14"/>
      <c r="S20" s="14"/>
      <c r="T20" s="14"/>
      <c r="U20" s="14"/>
      <c r="V20" s="14"/>
      <c r="W20" s="15"/>
      <c r="X20" s="206" t="s">
        <v>10</v>
      </c>
      <c r="Y20" s="224"/>
      <c r="Z20" s="224"/>
      <c r="AA20" s="224"/>
      <c r="AB20" s="224"/>
      <c r="AC20" s="207"/>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row>
    <row r="21" spans="1:55" s="8" customFormat="1" ht="26.25" customHeight="1">
      <c r="A21" s="206">
        <v>15</v>
      </c>
      <c r="B21" s="224"/>
      <c r="C21" s="52" t="s">
        <v>161</v>
      </c>
      <c r="D21" s="39"/>
      <c r="E21" s="39"/>
      <c r="F21" s="35"/>
      <c r="G21" s="53"/>
      <c r="H21" s="35"/>
      <c r="I21" s="35"/>
      <c r="J21" s="14"/>
      <c r="K21" s="14"/>
      <c r="L21" s="14"/>
      <c r="M21" s="14"/>
      <c r="N21" s="14"/>
      <c r="O21" s="14"/>
      <c r="P21" s="14"/>
      <c r="Q21" s="14"/>
      <c r="R21" s="14"/>
      <c r="S21" s="14"/>
      <c r="T21" s="14"/>
      <c r="U21" s="14"/>
      <c r="V21" s="14"/>
      <c r="W21" s="15"/>
      <c r="X21" s="206" t="s">
        <v>10</v>
      </c>
      <c r="Y21" s="224"/>
      <c r="Z21" s="224"/>
      <c r="AA21" s="224"/>
      <c r="AB21" s="224"/>
      <c r="AC21" s="207"/>
      <c r="AD21" s="244"/>
      <c r="AE21" s="245"/>
      <c r="AF21" s="245"/>
      <c r="AG21" s="245"/>
      <c r="AH21" s="245"/>
      <c r="AI21" s="245"/>
      <c r="AJ21" s="245"/>
      <c r="AK21" s="245"/>
      <c r="AL21" s="245"/>
      <c r="AM21" s="245"/>
      <c r="AN21" s="245"/>
      <c r="AO21" s="245"/>
      <c r="AP21" s="245"/>
      <c r="AQ21" s="245"/>
      <c r="AR21" s="245"/>
      <c r="AS21" s="245"/>
      <c r="AT21" s="245"/>
      <c r="AU21" s="245"/>
      <c r="AV21" s="245"/>
      <c r="AW21" s="245"/>
      <c r="AX21" s="245"/>
      <c r="AY21" s="245"/>
      <c r="AZ21" s="245"/>
      <c r="BA21" s="245"/>
      <c r="BB21" s="245"/>
      <c r="BC21" s="245"/>
    </row>
    <row r="22" spans="1:55" s="8" customFormat="1" ht="26.25" customHeight="1">
      <c r="A22" s="206">
        <v>16</v>
      </c>
      <c r="B22" s="207"/>
      <c r="C22" s="52" t="s">
        <v>44</v>
      </c>
      <c r="D22" s="39"/>
      <c r="E22" s="39"/>
      <c r="F22" s="35"/>
      <c r="G22" s="14"/>
      <c r="H22" s="14"/>
      <c r="I22" s="14"/>
      <c r="J22" s="14"/>
      <c r="K22" s="14"/>
      <c r="L22" s="14"/>
      <c r="M22" s="14"/>
      <c r="N22" s="14"/>
      <c r="O22" s="14"/>
      <c r="P22" s="14"/>
      <c r="Q22" s="14"/>
      <c r="R22" s="14"/>
      <c r="S22" s="14"/>
      <c r="T22" s="14"/>
      <c r="U22" s="14"/>
      <c r="V22" s="14"/>
      <c r="W22" s="15"/>
      <c r="X22" s="206" t="s">
        <v>10</v>
      </c>
      <c r="Y22" s="224"/>
      <c r="Z22" s="224"/>
      <c r="AA22" s="224"/>
      <c r="AB22" s="224"/>
      <c r="AC22" s="207"/>
      <c r="AD22" s="244"/>
      <c r="AE22" s="245"/>
      <c r="AF22" s="245"/>
      <c r="AG22" s="245"/>
      <c r="AH22" s="245"/>
      <c r="AI22" s="245"/>
      <c r="AJ22" s="245"/>
      <c r="AK22" s="245"/>
      <c r="AL22" s="245"/>
      <c r="AM22" s="245"/>
      <c r="AN22" s="245"/>
      <c r="AO22" s="245"/>
      <c r="AP22" s="245"/>
      <c r="AQ22" s="245"/>
      <c r="AR22" s="245"/>
      <c r="AS22" s="245"/>
      <c r="AT22" s="245"/>
      <c r="AU22" s="245"/>
      <c r="AV22" s="245"/>
      <c r="AW22" s="245"/>
      <c r="AX22" s="245"/>
      <c r="AY22" s="245"/>
      <c r="AZ22" s="245"/>
      <c r="BA22" s="245"/>
      <c r="BB22" s="245"/>
      <c r="BC22" s="245"/>
    </row>
    <row r="23" spans="1:55" s="8" customFormat="1" ht="32.25" customHeight="1">
      <c r="A23" s="215">
        <v>17</v>
      </c>
      <c r="B23" s="220"/>
      <c r="C23" s="208" t="s">
        <v>166</v>
      </c>
      <c r="D23" s="209"/>
      <c r="E23" s="209"/>
      <c r="F23" s="209"/>
      <c r="G23" s="209"/>
      <c r="H23" s="209"/>
      <c r="I23" s="209"/>
      <c r="J23" s="209"/>
      <c r="K23" s="209"/>
      <c r="L23" s="209"/>
      <c r="M23" s="209"/>
      <c r="N23" s="209"/>
      <c r="O23" s="209"/>
      <c r="P23" s="209"/>
      <c r="Q23" s="209"/>
      <c r="R23" s="209"/>
      <c r="S23" s="209"/>
      <c r="T23" s="209"/>
      <c r="U23" s="209"/>
      <c r="V23" s="209"/>
      <c r="W23" s="210"/>
      <c r="X23" s="206" t="s">
        <v>10</v>
      </c>
      <c r="Y23" s="224"/>
      <c r="Z23" s="224"/>
      <c r="AA23" s="224"/>
      <c r="AB23" s="224"/>
      <c r="AC23" s="207"/>
      <c r="AD23" s="244"/>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c r="BA23" s="245"/>
      <c r="BB23" s="245"/>
      <c r="BC23" s="245"/>
    </row>
    <row r="24" spans="1:55" s="8" customFormat="1" ht="20.25" customHeight="1">
      <c r="A24" s="225">
        <v>18</v>
      </c>
      <c r="B24" s="227"/>
      <c r="C24" s="241" t="s">
        <v>45</v>
      </c>
      <c r="D24" s="242"/>
      <c r="E24" s="242"/>
      <c r="F24" s="242"/>
      <c r="G24" s="242"/>
      <c r="H24" s="242"/>
      <c r="I24" s="242"/>
      <c r="J24" s="242"/>
      <c r="K24" s="242"/>
      <c r="L24" s="242"/>
      <c r="M24" s="242"/>
      <c r="N24" s="242"/>
      <c r="O24" s="242"/>
      <c r="P24" s="242"/>
      <c r="Q24" s="242"/>
      <c r="R24" s="242"/>
      <c r="S24" s="242"/>
      <c r="T24" s="242"/>
      <c r="U24" s="242"/>
      <c r="V24" s="242"/>
      <c r="W24" s="243"/>
      <c r="X24" s="225" t="s">
        <v>10</v>
      </c>
      <c r="Y24" s="227"/>
      <c r="Z24" s="227"/>
      <c r="AA24" s="227"/>
      <c r="AB24" s="227"/>
      <c r="AC24" s="22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row>
    <row r="25" spans="1:55" s="6" customFormat="1" ht="15">
      <c r="A25" s="3"/>
      <c r="B25" s="3"/>
      <c r="C25" s="3"/>
      <c r="D25" s="3"/>
      <c r="E25" s="3"/>
      <c r="F25" s="3"/>
      <c r="G25" s="3"/>
      <c r="H25" s="3"/>
      <c r="I25" s="3"/>
      <c r="J25" s="3"/>
      <c r="K25" s="3"/>
      <c r="L25" s="3"/>
      <c r="M25" s="3"/>
      <c r="N25" s="3"/>
      <c r="O25" s="3"/>
      <c r="P25" s="3"/>
      <c r="Q25" s="3"/>
      <c r="R25" s="3"/>
      <c r="S25" s="3"/>
      <c r="T25" s="3"/>
      <c r="U25" s="3"/>
      <c r="V25" s="3"/>
      <c r="W25" s="3"/>
      <c r="X25" s="229" t="s">
        <v>172</v>
      </c>
      <c r="Y25" s="229"/>
      <c r="Z25" s="229"/>
      <c r="AA25" s="229"/>
      <c r="AB25" s="229"/>
      <c r="AC25" s="229"/>
      <c r="AD25" s="5"/>
      <c r="AE25" s="5"/>
      <c r="AF25" s="5"/>
      <c r="AG25" s="5"/>
      <c r="AH25" s="5"/>
      <c r="AI25" s="5"/>
      <c r="AJ25" s="5"/>
      <c r="AK25" s="5"/>
      <c r="AL25" s="5"/>
      <c r="AM25" s="5"/>
      <c r="AN25" s="5"/>
      <c r="AO25" s="5"/>
      <c r="AP25" s="5"/>
      <c r="AQ25" s="5"/>
      <c r="AR25" s="5"/>
      <c r="AS25" s="5"/>
      <c r="AT25" s="5"/>
      <c r="AU25" s="5"/>
      <c r="AV25" s="5"/>
      <c r="AW25" s="5"/>
      <c r="AX25" s="5"/>
      <c r="AY25" s="5"/>
      <c r="AZ25" s="5"/>
      <c r="BA25" s="5"/>
      <c r="BB25" s="5"/>
    </row>
    <row r="26" spans="1:55" s="6" customFormat="1" ht="15">
      <c r="A26" s="5"/>
      <c r="B26" s="5"/>
      <c r="C26" s="5"/>
      <c r="D26" s="5"/>
      <c r="E26" s="5"/>
      <c r="F26" s="5"/>
      <c r="G26" s="5"/>
      <c r="H26" s="5"/>
      <c r="I26" s="5"/>
      <c r="J26" s="5"/>
      <c r="K26" s="5"/>
      <c r="L26" s="5"/>
      <c r="M26" s="5"/>
      <c r="N26" s="5"/>
      <c r="O26" s="5"/>
      <c r="P26" s="5"/>
      <c r="Q26" s="5"/>
      <c r="R26" s="5"/>
      <c r="S26" s="5"/>
      <c r="T26" s="5"/>
      <c r="U26" s="5"/>
      <c r="V26" s="5"/>
      <c r="W26" s="48"/>
      <c r="X26" s="228">
        <v>100</v>
      </c>
      <c r="Y26" s="228"/>
      <c r="Z26" s="228"/>
      <c r="AA26" s="228"/>
      <c r="AB26" s="228"/>
      <c r="AC26" s="228"/>
      <c r="AD26" s="5"/>
      <c r="AE26" s="5"/>
      <c r="AF26" s="5"/>
      <c r="AG26" s="5"/>
      <c r="AH26" s="5"/>
      <c r="AI26" s="5"/>
      <c r="AJ26" s="5"/>
      <c r="AK26" s="5"/>
      <c r="AL26" s="5"/>
      <c r="AM26" s="5"/>
      <c r="AN26" s="5"/>
      <c r="AO26" s="5"/>
      <c r="AP26" s="5"/>
      <c r="AQ26" s="5"/>
      <c r="AR26" s="5"/>
      <c r="AS26" s="5"/>
      <c r="AT26" s="5"/>
      <c r="AU26" s="5"/>
      <c r="AV26" s="5"/>
      <c r="AW26" s="5"/>
      <c r="AX26" s="5"/>
      <c r="AY26" s="5"/>
      <c r="AZ26" s="5"/>
      <c r="BA26" s="5"/>
      <c r="BB26" s="5"/>
    </row>
    <row r="27" spans="1:55" s="6" customFormat="1" ht="1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row>
    <row r="28" spans="1:55" s="6" customFormat="1" ht="1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row>
    <row r="29" spans="1:55" s="6" customFormat="1" ht="1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row>
    <row r="30" spans="1:55" s="6" customFormat="1" ht="1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row>
    <row r="31" spans="1:55" s="6" customFormat="1" ht="1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row>
    <row r="32" spans="1:55" s="6" customFormat="1" ht="1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row>
    <row r="33" spans="1:54" s="6" customFormat="1" ht="1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row>
    <row r="34" spans="1:54" s="6" customFormat="1" ht="1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row>
    <row r="35" spans="1:54" s="6" customFormat="1" ht="1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row>
    <row r="36" spans="1:54" s="6" customFormat="1" ht="1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row>
    <row r="37" spans="1:54" s="6" customFormat="1" ht="1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row>
    <row r="38" spans="1:54" s="6" customFormat="1"/>
    <row r="39" spans="1:54" s="6" customFormat="1"/>
    <row r="40" spans="1:54" s="6" customFormat="1"/>
    <row r="41" spans="1:54" s="6" customFormat="1"/>
    <row r="42" spans="1:54" s="6" customFormat="1"/>
    <row r="43" spans="1:54" s="6" customFormat="1"/>
    <row r="44" spans="1:54" s="6" customFormat="1"/>
    <row r="45" spans="1:54" s="6" customFormat="1"/>
    <row r="46" spans="1:54" s="6" customFormat="1"/>
    <row r="47" spans="1:54" s="6" customFormat="1"/>
    <row r="48" spans="1:54" s="6" customFormat="1"/>
    <row r="49" s="6" customFormat="1"/>
    <row r="50" s="6" customFormat="1"/>
    <row r="51" s="6" customFormat="1"/>
    <row r="52" s="6" customFormat="1"/>
    <row r="53" s="6" customFormat="1"/>
    <row r="54" s="6" customFormat="1"/>
  </sheetData>
  <mergeCells count="63">
    <mergeCell ref="AD21:BC21"/>
    <mergeCell ref="AD22:BC22"/>
    <mergeCell ref="AD23:BC23"/>
    <mergeCell ref="X25:AC25"/>
    <mergeCell ref="X26:AC26"/>
    <mergeCell ref="A23:B23"/>
    <mergeCell ref="C23:W23"/>
    <mergeCell ref="X23:AC23"/>
    <mergeCell ref="A24:B24"/>
    <mergeCell ref="C24:W24"/>
    <mergeCell ref="X24:AC24"/>
    <mergeCell ref="A20:B20"/>
    <mergeCell ref="X20:AC20"/>
    <mergeCell ref="A21:B21"/>
    <mergeCell ref="X21:AC21"/>
    <mergeCell ref="A22:B22"/>
    <mergeCell ref="X22:AC22"/>
    <mergeCell ref="A17:B17"/>
    <mergeCell ref="X17:AC17"/>
    <mergeCell ref="A18:B18"/>
    <mergeCell ref="X18:AC18"/>
    <mergeCell ref="A19:B19"/>
    <mergeCell ref="X19:AC19"/>
    <mergeCell ref="A14:B14"/>
    <mergeCell ref="X14:AC14"/>
    <mergeCell ref="A15:B15"/>
    <mergeCell ref="X15:AC15"/>
    <mergeCell ref="A16:B16"/>
    <mergeCell ref="X16:AC16"/>
    <mergeCell ref="A11:B11"/>
    <mergeCell ref="X11:AC11"/>
    <mergeCell ref="A12:B12"/>
    <mergeCell ref="X12:AC12"/>
    <mergeCell ref="A13:B13"/>
    <mergeCell ref="X13:AC13"/>
    <mergeCell ref="A8:B8"/>
    <mergeCell ref="X8:AC8"/>
    <mergeCell ref="A9:B9"/>
    <mergeCell ref="X9:AC9"/>
    <mergeCell ref="A10:B10"/>
    <mergeCell ref="X10:AC10"/>
    <mergeCell ref="X5:AC5"/>
    <mergeCell ref="A6:B6"/>
    <mergeCell ref="C6:W6"/>
    <mergeCell ref="X6:AC6"/>
    <mergeCell ref="A7:B7"/>
    <mergeCell ref="X7:AC7"/>
    <mergeCell ref="I3:V4"/>
    <mergeCell ref="A5:E5"/>
    <mergeCell ref="F5:J5"/>
    <mergeCell ref="K5:N5"/>
    <mergeCell ref="O5:S5"/>
    <mergeCell ref="T5:W5"/>
    <mergeCell ref="A1:E4"/>
    <mergeCell ref="F1:V2"/>
    <mergeCell ref="W1:W4"/>
    <mergeCell ref="F3:H4"/>
    <mergeCell ref="X1:Y1"/>
    <mergeCell ref="Z1:AA1"/>
    <mergeCell ref="AB1:AC1"/>
    <mergeCell ref="X2:Y4"/>
    <mergeCell ref="Z2:AA4"/>
    <mergeCell ref="AB2:AC4"/>
  </mergeCells>
  <conditionalFormatting sqref="X7:AC24">
    <cfRule type="containsText" dxfId="9" priority="1" operator="containsText" text="보완">
      <formula>NOT(ISERROR(SEARCH("보완",X7)))</formula>
    </cfRule>
  </conditionalFormatting>
  <pageMargins left="0.7" right="0.7" top="0.75" bottom="0.75" header="0.3" footer="0.3"/>
  <pageSetup paperSize="9" scale="58"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53"/>
  <sheetViews>
    <sheetView showGridLines="0" view="pageBreakPreview" zoomScaleNormal="100" zoomScaleSheetLayoutView="100" workbookViewId="0">
      <selection activeCell="T9" sqref="T9"/>
    </sheetView>
  </sheetViews>
  <sheetFormatPr defaultColWidth="3.5703125" defaultRowHeight="13.5"/>
  <cols>
    <col min="1" max="2" width="3.5703125" style="4"/>
    <col min="3" max="21" width="4.5703125" style="4" customWidth="1"/>
    <col min="22" max="22" width="6" style="4" customWidth="1"/>
    <col min="23" max="23" width="4.5703125" style="4" customWidth="1"/>
    <col min="24" max="29" width="5.7109375" style="4" customWidth="1"/>
    <col min="30" max="16384" width="3.5703125" style="4"/>
  </cols>
  <sheetData>
    <row r="1" spans="1:47" s="2" customFormat="1" ht="25.5" customHeight="1">
      <c r="A1" s="193"/>
      <c r="B1" s="194"/>
      <c r="C1" s="194"/>
      <c r="D1" s="194"/>
      <c r="E1" s="195"/>
      <c r="F1" s="202" t="s">
        <v>243</v>
      </c>
      <c r="G1" s="203"/>
      <c r="H1" s="203"/>
      <c r="I1" s="203"/>
      <c r="J1" s="203"/>
      <c r="K1" s="203"/>
      <c r="L1" s="203"/>
      <c r="M1" s="203"/>
      <c r="N1" s="203"/>
      <c r="O1" s="203"/>
      <c r="P1" s="203"/>
      <c r="Q1" s="203"/>
      <c r="R1" s="203"/>
      <c r="S1" s="203"/>
      <c r="T1" s="203"/>
      <c r="U1" s="203"/>
      <c r="V1" s="203"/>
      <c r="W1" s="204" t="s">
        <v>0</v>
      </c>
      <c r="X1" s="174" t="s">
        <v>1</v>
      </c>
      <c r="Y1" s="175"/>
      <c r="Z1" s="175" t="s">
        <v>2</v>
      </c>
      <c r="AA1" s="175"/>
      <c r="AB1" s="175" t="s">
        <v>3</v>
      </c>
      <c r="AC1" s="175"/>
      <c r="AD1" s="24"/>
      <c r="AE1" s="24"/>
      <c r="AF1" s="24"/>
      <c r="AG1" s="24"/>
      <c r="AH1" s="24"/>
      <c r="AI1" s="24"/>
      <c r="AJ1" s="24"/>
      <c r="AK1" s="24"/>
      <c r="AL1" s="24"/>
      <c r="AM1" s="24"/>
      <c r="AN1" s="24"/>
      <c r="AO1" s="24"/>
      <c r="AP1" s="24"/>
      <c r="AQ1" s="24"/>
      <c r="AR1" s="24"/>
      <c r="AS1" s="24"/>
      <c r="AT1" s="24"/>
      <c r="AU1" s="24"/>
    </row>
    <row r="2" spans="1:47" s="2" customFormat="1" ht="25.5" customHeight="1">
      <c r="A2" s="196"/>
      <c r="B2" s="197"/>
      <c r="C2" s="197"/>
      <c r="D2" s="197"/>
      <c r="E2" s="198"/>
      <c r="F2" s="203"/>
      <c r="G2" s="203"/>
      <c r="H2" s="203"/>
      <c r="I2" s="203"/>
      <c r="J2" s="203"/>
      <c r="K2" s="203"/>
      <c r="L2" s="203"/>
      <c r="M2" s="203"/>
      <c r="N2" s="203"/>
      <c r="O2" s="203"/>
      <c r="P2" s="203"/>
      <c r="Q2" s="203"/>
      <c r="R2" s="203"/>
      <c r="S2" s="203"/>
      <c r="T2" s="203"/>
      <c r="U2" s="203"/>
      <c r="V2" s="203"/>
      <c r="W2" s="204"/>
      <c r="X2" s="176" t="s">
        <v>252</v>
      </c>
      <c r="Y2" s="177"/>
      <c r="Z2" s="178"/>
      <c r="AA2" s="178"/>
      <c r="AB2" s="181" t="s">
        <v>253</v>
      </c>
      <c r="AC2" s="176"/>
      <c r="AD2" s="24"/>
      <c r="AE2" s="24"/>
      <c r="AF2" s="24"/>
      <c r="AG2" s="24"/>
      <c r="AH2" s="24"/>
      <c r="AI2" s="24"/>
      <c r="AJ2" s="24"/>
      <c r="AK2" s="24"/>
      <c r="AL2" s="24"/>
      <c r="AM2" s="24"/>
      <c r="AN2" s="24"/>
      <c r="AO2" s="24"/>
      <c r="AP2" s="24"/>
      <c r="AQ2" s="24"/>
      <c r="AR2" s="24"/>
      <c r="AS2" s="24"/>
      <c r="AT2" s="24"/>
      <c r="AU2" s="24"/>
    </row>
    <row r="3" spans="1:47" s="2" customFormat="1" ht="15.75" customHeight="1">
      <c r="A3" s="196"/>
      <c r="B3" s="197"/>
      <c r="C3" s="197"/>
      <c r="D3" s="197"/>
      <c r="E3" s="198"/>
      <c r="F3" s="175" t="s">
        <v>18</v>
      </c>
      <c r="G3" s="175"/>
      <c r="H3" s="175"/>
      <c r="I3" s="182" t="s">
        <v>46</v>
      </c>
      <c r="J3" s="183"/>
      <c r="K3" s="183"/>
      <c r="L3" s="183"/>
      <c r="M3" s="183"/>
      <c r="N3" s="183"/>
      <c r="O3" s="183"/>
      <c r="P3" s="183"/>
      <c r="Q3" s="183"/>
      <c r="R3" s="183"/>
      <c r="S3" s="183"/>
      <c r="T3" s="183"/>
      <c r="U3" s="183"/>
      <c r="V3" s="184"/>
      <c r="W3" s="204"/>
      <c r="X3" s="176"/>
      <c r="Y3" s="177"/>
      <c r="Z3" s="179"/>
      <c r="AA3" s="179"/>
      <c r="AB3" s="181"/>
      <c r="AC3" s="176"/>
      <c r="AD3" s="24"/>
      <c r="AE3" s="24"/>
      <c r="AF3" s="24"/>
      <c r="AG3" s="24"/>
      <c r="AH3" s="24"/>
      <c r="AI3" s="24"/>
      <c r="AJ3" s="24"/>
      <c r="AK3" s="24"/>
      <c r="AL3" s="24"/>
      <c r="AM3" s="24"/>
      <c r="AN3" s="24"/>
      <c r="AO3" s="24"/>
      <c r="AP3" s="24"/>
      <c r="AQ3" s="24"/>
      <c r="AR3" s="24"/>
      <c r="AS3" s="24"/>
      <c r="AT3" s="24"/>
      <c r="AU3" s="24"/>
    </row>
    <row r="4" spans="1:47" ht="15.75" customHeight="1">
      <c r="A4" s="199"/>
      <c r="B4" s="200"/>
      <c r="C4" s="200"/>
      <c r="D4" s="200"/>
      <c r="E4" s="201"/>
      <c r="F4" s="175"/>
      <c r="G4" s="175"/>
      <c r="H4" s="175"/>
      <c r="I4" s="185"/>
      <c r="J4" s="186"/>
      <c r="K4" s="186"/>
      <c r="L4" s="186"/>
      <c r="M4" s="186"/>
      <c r="N4" s="186"/>
      <c r="O4" s="186"/>
      <c r="P4" s="186"/>
      <c r="Q4" s="186"/>
      <c r="R4" s="186"/>
      <c r="S4" s="186"/>
      <c r="T4" s="186"/>
      <c r="U4" s="186"/>
      <c r="V4" s="187"/>
      <c r="W4" s="204"/>
      <c r="X4" s="176"/>
      <c r="Y4" s="177"/>
      <c r="Z4" s="180"/>
      <c r="AA4" s="180"/>
      <c r="AB4" s="181"/>
      <c r="AC4" s="176"/>
      <c r="AD4" s="3"/>
      <c r="AE4" s="3"/>
      <c r="AF4" s="3"/>
      <c r="AG4" s="3"/>
      <c r="AH4" s="3"/>
      <c r="AI4" s="3"/>
      <c r="AJ4" s="3"/>
      <c r="AK4" s="3"/>
      <c r="AL4" s="3"/>
      <c r="AM4" s="3"/>
      <c r="AN4" s="3"/>
      <c r="AO4" s="3"/>
      <c r="AP4" s="3"/>
      <c r="AQ4" s="3"/>
      <c r="AR4" s="3"/>
      <c r="AS4" s="3"/>
      <c r="AT4" s="3"/>
      <c r="AU4" s="3"/>
    </row>
    <row r="5" spans="1:47" s="6" customFormat="1" ht="18.75" customHeight="1">
      <c r="A5" s="188" t="s">
        <v>134</v>
      </c>
      <c r="B5" s="189"/>
      <c r="C5" s="189"/>
      <c r="D5" s="189"/>
      <c r="E5" s="174"/>
      <c r="F5" s="190" t="s">
        <v>174</v>
      </c>
      <c r="G5" s="191"/>
      <c r="H5" s="191"/>
      <c r="I5" s="191"/>
      <c r="J5" s="192"/>
      <c r="K5" s="188" t="s">
        <v>5</v>
      </c>
      <c r="L5" s="189"/>
      <c r="M5" s="189"/>
      <c r="N5" s="174"/>
      <c r="O5" s="190"/>
      <c r="P5" s="191"/>
      <c r="Q5" s="191"/>
      <c r="R5" s="191"/>
      <c r="S5" s="192"/>
      <c r="T5" s="188" t="s">
        <v>135</v>
      </c>
      <c r="U5" s="189"/>
      <c r="V5" s="189"/>
      <c r="W5" s="174"/>
      <c r="X5" s="177" t="s">
        <v>219</v>
      </c>
      <c r="Y5" s="214"/>
      <c r="Z5" s="214"/>
      <c r="AA5" s="214"/>
      <c r="AB5" s="214"/>
      <c r="AC5" s="181"/>
      <c r="AD5" s="5"/>
      <c r="AE5" s="5"/>
      <c r="AF5" s="5"/>
      <c r="AG5" s="5"/>
      <c r="AH5" s="5"/>
      <c r="AI5" s="5"/>
      <c r="AJ5" s="5"/>
      <c r="AK5" s="5"/>
      <c r="AL5" s="5"/>
      <c r="AM5" s="5"/>
      <c r="AN5" s="5"/>
      <c r="AO5" s="5"/>
      <c r="AP5" s="5"/>
      <c r="AQ5" s="5"/>
      <c r="AR5" s="5"/>
      <c r="AS5" s="5"/>
      <c r="AT5" s="5"/>
      <c r="AU5" s="5"/>
    </row>
    <row r="6" spans="1:47" s="6" customFormat="1" ht="21.75" customHeight="1">
      <c r="A6" s="175" t="s">
        <v>6</v>
      </c>
      <c r="B6" s="188"/>
      <c r="C6" s="188" t="s">
        <v>7</v>
      </c>
      <c r="D6" s="189"/>
      <c r="E6" s="189"/>
      <c r="F6" s="189"/>
      <c r="G6" s="189"/>
      <c r="H6" s="189"/>
      <c r="I6" s="189"/>
      <c r="J6" s="189"/>
      <c r="K6" s="189"/>
      <c r="L6" s="189"/>
      <c r="M6" s="189"/>
      <c r="N6" s="189"/>
      <c r="O6" s="189"/>
      <c r="P6" s="189"/>
      <c r="Q6" s="189"/>
      <c r="R6" s="189"/>
      <c r="S6" s="189"/>
      <c r="T6" s="189"/>
      <c r="U6" s="189"/>
      <c r="V6" s="189"/>
      <c r="W6" s="174"/>
      <c r="X6" s="174" t="s">
        <v>8</v>
      </c>
      <c r="Y6" s="175"/>
      <c r="Z6" s="175"/>
      <c r="AA6" s="175"/>
      <c r="AB6" s="175"/>
      <c r="AC6" s="175"/>
      <c r="AD6" s="5"/>
      <c r="AE6" s="5"/>
      <c r="AF6" s="5"/>
      <c r="AG6" s="5"/>
      <c r="AH6" s="5"/>
      <c r="AI6" s="5"/>
      <c r="AJ6" s="5"/>
      <c r="AK6" s="5"/>
      <c r="AL6" s="5"/>
      <c r="AM6" s="5"/>
      <c r="AN6" s="5"/>
      <c r="AO6" s="5"/>
      <c r="AP6" s="5"/>
      <c r="AQ6" s="5"/>
      <c r="AR6" s="5"/>
      <c r="AS6" s="5"/>
      <c r="AT6" s="5"/>
      <c r="AU6" s="5"/>
    </row>
    <row r="7" spans="1:47" s="8" customFormat="1" ht="20.25" customHeight="1">
      <c r="A7" s="215">
        <v>1</v>
      </c>
      <c r="B7" s="220"/>
      <c r="C7" s="26" t="s">
        <v>19</v>
      </c>
      <c r="D7" s="27"/>
      <c r="E7" s="28"/>
      <c r="F7" s="7"/>
      <c r="G7" s="29"/>
      <c r="H7" s="29"/>
      <c r="I7" s="29"/>
      <c r="J7" s="29"/>
      <c r="K7" s="29"/>
      <c r="L7" s="29"/>
      <c r="M7" s="29"/>
      <c r="N7" s="29"/>
      <c r="O7" s="29"/>
      <c r="P7" s="29"/>
      <c r="Q7" s="29"/>
      <c r="R7" s="29"/>
      <c r="S7" s="29"/>
      <c r="T7" s="29"/>
      <c r="U7" s="29"/>
      <c r="V7" s="29"/>
      <c r="W7" s="30"/>
      <c r="X7" s="220" t="s">
        <v>10</v>
      </c>
      <c r="Y7" s="220"/>
      <c r="Z7" s="220"/>
      <c r="AA7" s="220"/>
      <c r="AB7" s="220"/>
      <c r="AC7" s="216"/>
      <c r="AD7" s="16"/>
      <c r="AE7" s="16"/>
      <c r="AF7" s="16"/>
      <c r="AG7" s="16"/>
      <c r="AH7" s="16"/>
      <c r="AI7" s="16"/>
      <c r="AJ7" s="16"/>
      <c r="AK7" s="16"/>
      <c r="AL7" s="16"/>
      <c r="AM7" s="16"/>
      <c r="AN7" s="16"/>
      <c r="AO7" s="16"/>
      <c r="AP7" s="16"/>
      <c r="AQ7" s="16"/>
      <c r="AR7" s="16"/>
      <c r="AS7" s="16"/>
      <c r="AT7" s="16"/>
      <c r="AU7" s="16"/>
    </row>
    <row r="8" spans="1:47" s="8" customFormat="1" ht="20.25" customHeight="1">
      <c r="A8" s="206">
        <v>2</v>
      </c>
      <c r="B8" s="207"/>
      <c r="C8" s="31" t="s">
        <v>20</v>
      </c>
      <c r="D8" s="32"/>
      <c r="E8" s="33"/>
      <c r="F8" s="34"/>
      <c r="G8" s="35"/>
      <c r="H8" s="35"/>
      <c r="I8" s="35"/>
      <c r="J8" s="35"/>
      <c r="K8" s="35"/>
      <c r="L8" s="35"/>
      <c r="M8" s="35"/>
      <c r="N8" s="35"/>
      <c r="O8" s="35"/>
      <c r="P8" s="35"/>
      <c r="Q8" s="35"/>
      <c r="R8" s="35"/>
      <c r="S8" s="35"/>
      <c r="T8" s="35"/>
      <c r="U8" s="35"/>
      <c r="V8" s="35"/>
      <c r="W8" s="36"/>
      <c r="X8" s="206" t="s">
        <v>10</v>
      </c>
      <c r="Y8" s="224"/>
      <c r="Z8" s="224"/>
      <c r="AA8" s="224"/>
      <c r="AB8" s="224"/>
      <c r="AC8" s="207"/>
      <c r="AD8" s="16"/>
      <c r="AE8" s="16"/>
      <c r="AF8" s="16"/>
      <c r="AG8" s="16"/>
      <c r="AH8" s="16"/>
      <c r="AI8" s="16"/>
      <c r="AJ8" s="16"/>
      <c r="AK8" s="16"/>
      <c r="AL8" s="16"/>
      <c r="AM8" s="16"/>
      <c r="AN8" s="16"/>
      <c r="AO8" s="16"/>
      <c r="AP8" s="16"/>
      <c r="AQ8" s="16"/>
      <c r="AR8" s="16"/>
      <c r="AS8" s="16"/>
      <c r="AT8" s="16"/>
      <c r="AU8" s="16"/>
    </row>
    <row r="9" spans="1:47" s="8" customFormat="1" ht="20.25" customHeight="1">
      <c r="A9" s="206">
        <v>3</v>
      </c>
      <c r="B9" s="207"/>
      <c r="C9" s="31" t="s">
        <v>21</v>
      </c>
      <c r="D9" s="32"/>
      <c r="E9" s="33"/>
      <c r="F9" s="34"/>
      <c r="G9" s="35"/>
      <c r="H9" s="35"/>
      <c r="I9" s="35"/>
      <c r="J9" s="35"/>
      <c r="K9" s="35"/>
      <c r="L9" s="35"/>
      <c r="M9" s="35"/>
      <c r="N9" s="35"/>
      <c r="O9" s="35"/>
      <c r="P9" s="35"/>
      <c r="Q9" s="35"/>
      <c r="R9" s="35"/>
      <c r="S9" s="35"/>
      <c r="T9" s="35"/>
      <c r="U9" s="35"/>
      <c r="V9" s="35"/>
      <c r="W9" s="36"/>
      <c r="X9" s="206" t="s">
        <v>10</v>
      </c>
      <c r="Y9" s="224"/>
      <c r="Z9" s="224"/>
      <c r="AA9" s="224"/>
      <c r="AB9" s="224"/>
      <c r="AC9" s="207"/>
      <c r="AD9" s="16"/>
      <c r="AE9" s="16"/>
      <c r="AF9" s="16"/>
      <c r="AG9" s="16"/>
      <c r="AH9" s="16"/>
      <c r="AI9" s="16"/>
      <c r="AJ9" s="16"/>
      <c r="AK9" s="16"/>
      <c r="AL9" s="16"/>
      <c r="AM9" s="16"/>
      <c r="AN9" s="16"/>
      <c r="AO9" s="16"/>
      <c r="AP9" s="16"/>
      <c r="AQ9" s="16"/>
      <c r="AR9" s="16"/>
      <c r="AS9" s="16"/>
      <c r="AT9" s="16"/>
      <c r="AU9" s="16"/>
    </row>
    <row r="10" spans="1:47" s="8" customFormat="1" ht="20.25" customHeight="1">
      <c r="A10" s="206">
        <v>4</v>
      </c>
      <c r="B10" s="207"/>
      <c r="C10" s="31" t="s">
        <v>22</v>
      </c>
      <c r="D10" s="32"/>
      <c r="E10" s="33"/>
      <c r="F10" s="34"/>
      <c r="G10" s="35"/>
      <c r="H10" s="35"/>
      <c r="I10" s="35"/>
      <c r="J10" s="35"/>
      <c r="K10" s="35"/>
      <c r="L10" s="35"/>
      <c r="M10" s="35"/>
      <c r="N10" s="35"/>
      <c r="O10" s="35"/>
      <c r="P10" s="35"/>
      <c r="Q10" s="35"/>
      <c r="R10" s="35"/>
      <c r="S10" s="35"/>
      <c r="T10" s="35"/>
      <c r="U10" s="35"/>
      <c r="V10" s="35"/>
      <c r="W10" s="36"/>
      <c r="X10" s="206" t="s">
        <v>10</v>
      </c>
      <c r="Y10" s="224"/>
      <c r="Z10" s="224"/>
      <c r="AA10" s="224"/>
      <c r="AB10" s="224"/>
      <c r="AC10" s="207"/>
      <c r="AD10" s="16"/>
      <c r="AE10" s="16"/>
      <c r="AF10" s="16"/>
      <c r="AG10" s="16"/>
      <c r="AH10" s="16"/>
      <c r="AI10" s="16"/>
      <c r="AJ10" s="16"/>
      <c r="AK10" s="16"/>
      <c r="AL10" s="16"/>
      <c r="AM10" s="16"/>
      <c r="AN10" s="16"/>
      <c r="AO10" s="16"/>
      <c r="AP10" s="16"/>
      <c r="AQ10" s="16"/>
      <c r="AR10" s="16"/>
      <c r="AS10" s="16"/>
      <c r="AT10" s="16"/>
      <c r="AU10" s="16"/>
    </row>
    <row r="11" spans="1:47" s="8" customFormat="1" ht="20.25" customHeight="1">
      <c r="A11" s="206">
        <v>5</v>
      </c>
      <c r="B11" s="207"/>
      <c r="C11" s="31" t="s">
        <v>11</v>
      </c>
      <c r="D11" s="32"/>
      <c r="E11" s="33"/>
      <c r="F11" s="34"/>
      <c r="G11" s="35"/>
      <c r="H11" s="35"/>
      <c r="I11" s="35"/>
      <c r="J11" s="35"/>
      <c r="K11" s="35"/>
      <c r="L11" s="35"/>
      <c r="M11" s="35"/>
      <c r="N11" s="35"/>
      <c r="O11" s="35"/>
      <c r="P11" s="35"/>
      <c r="Q11" s="35"/>
      <c r="R11" s="35"/>
      <c r="S11" s="35"/>
      <c r="T11" s="35"/>
      <c r="U11" s="35"/>
      <c r="V11" s="35"/>
      <c r="W11" s="36"/>
      <c r="X11" s="206" t="s">
        <v>10</v>
      </c>
      <c r="Y11" s="224"/>
      <c r="Z11" s="224"/>
      <c r="AA11" s="224"/>
      <c r="AB11" s="224"/>
      <c r="AC11" s="207"/>
      <c r="AD11" s="16"/>
      <c r="AE11" s="16"/>
      <c r="AF11" s="16"/>
      <c r="AG11" s="16"/>
      <c r="AH11" s="16"/>
      <c r="AI11" s="16"/>
      <c r="AJ11" s="16"/>
      <c r="AK11" s="16"/>
      <c r="AL11" s="16"/>
      <c r="AM11" s="16"/>
      <c r="AN11" s="16"/>
      <c r="AO11" s="16"/>
      <c r="AP11" s="16"/>
      <c r="AQ11" s="16"/>
      <c r="AR11" s="16"/>
      <c r="AS11" s="16"/>
      <c r="AT11" s="16"/>
      <c r="AU11" s="16"/>
    </row>
    <row r="12" spans="1:47" s="8" customFormat="1" ht="20.25" customHeight="1">
      <c r="A12" s="206">
        <v>6</v>
      </c>
      <c r="B12" s="207"/>
      <c r="C12" s="232" t="s">
        <v>47</v>
      </c>
      <c r="D12" s="233"/>
      <c r="E12" s="233"/>
      <c r="F12" s="233"/>
      <c r="G12" s="233"/>
      <c r="H12" s="233"/>
      <c r="I12" s="233"/>
      <c r="J12" s="233"/>
      <c r="K12" s="233"/>
      <c r="L12" s="233"/>
      <c r="M12" s="233"/>
      <c r="N12" s="233"/>
      <c r="O12" s="233"/>
      <c r="P12" s="233"/>
      <c r="Q12" s="233"/>
      <c r="R12" s="233"/>
      <c r="S12" s="233"/>
      <c r="T12" s="233"/>
      <c r="U12" s="233"/>
      <c r="V12" s="233"/>
      <c r="W12" s="234"/>
      <c r="X12" s="206" t="s">
        <v>10</v>
      </c>
      <c r="Y12" s="224"/>
      <c r="Z12" s="224"/>
      <c r="AA12" s="224"/>
      <c r="AB12" s="224"/>
      <c r="AC12" s="207"/>
      <c r="AD12" s="16"/>
      <c r="AE12" s="16"/>
      <c r="AF12" s="16"/>
      <c r="AG12" s="16"/>
      <c r="AH12" s="16"/>
      <c r="AI12" s="16"/>
      <c r="AJ12" s="16"/>
      <c r="AK12" s="16"/>
      <c r="AL12" s="16"/>
      <c r="AM12" s="16"/>
      <c r="AN12" s="16"/>
      <c r="AO12" s="16"/>
      <c r="AP12" s="16"/>
      <c r="AQ12" s="16"/>
      <c r="AR12" s="16"/>
      <c r="AS12" s="16"/>
      <c r="AT12" s="16"/>
      <c r="AU12" s="16"/>
    </row>
    <row r="13" spans="1:47" s="8" customFormat="1" ht="20.25" customHeight="1">
      <c r="A13" s="206">
        <v>7</v>
      </c>
      <c r="B13" s="207"/>
      <c r="C13" s="11" t="s">
        <v>24</v>
      </c>
      <c r="D13" s="12"/>
      <c r="E13" s="39"/>
      <c r="F13" s="13"/>
      <c r="G13" s="14"/>
      <c r="H13" s="14"/>
      <c r="I13" s="14"/>
      <c r="J13" s="14"/>
      <c r="K13" s="14"/>
      <c r="L13" s="14"/>
      <c r="M13" s="14"/>
      <c r="N13" s="14"/>
      <c r="O13" s="14"/>
      <c r="P13" s="14"/>
      <c r="Q13" s="14"/>
      <c r="R13" s="14"/>
      <c r="S13" s="14"/>
      <c r="T13" s="14"/>
      <c r="U13" s="14"/>
      <c r="V13" s="14"/>
      <c r="W13" s="15"/>
      <c r="X13" s="206" t="s">
        <v>10</v>
      </c>
      <c r="Y13" s="224"/>
      <c r="Z13" s="224"/>
      <c r="AA13" s="224"/>
      <c r="AB13" s="224"/>
      <c r="AC13" s="207"/>
      <c r="AD13" s="16"/>
      <c r="AE13" s="16"/>
      <c r="AF13" s="16"/>
      <c r="AG13" s="16"/>
      <c r="AH13" s="16"/>
      <c r="AI13" s="16"/>
      <c r="AJ13" s="16"/>
      <c r="AK13" s="16"/>
      <c r="AL13" s="16"/>
      <c r="AM13" s="16"/>
      <c r="AN13" s="16"/>
      <c r="AO13" s="16"/>
      <c r="AP13" s="16"/>
      <c r="AQ13" s="16"/>
      <c r="AR13" s="16"/>
      <c r="AS13" s="16"/>
      <c r="AT13" s="16"/>
      <c r="AU13" s="16"/>
    </row>
    <row r="14" spans="1:47" s="8" customFormat="1" ht="20.25" customHeight="1">
      <c r="A14" s="206">
        <v>8</v>
      </c>
      <c r="B14" s="207"/>
      <c r="C14" s="40" t="s">
        <v>26</v>
      </c>
      <c r="D14" s="32"/>
      <c r="E14" s="32"/>
      <c r="F14" s="35"/>
      <c r="G14" s="35"/>
      <c r="H14" s="35"/>
      <c r="I14" s="35"/>
      <c r="J14" s="35"/>
      <c r="K14" s="35"/>
      <c r="L14" s="35"/>
      <c r="M14" s="35"/>
      <c r="N14" s="35"/>
      <c r="O14" s="35"/>
      <c r="P14" s="35"/>
      <c r="Q14" s="35"/>
      <c r="R14" s="35"/>
      <c r="S14" s="35"/>
      <c r="T14" s="35"/>
      <c r="U14" s="35"/>
      <c r="V14" s="35"/>
      <c r="W14" s="36"/>
      <c r="X14" s="206" t="s">
        <v>10</v>
      </c>
      <c r="Y14" s="224"/>
      <c r="Z14" s="224"/>
      <c r="AA14" s="224"/>
      <c r="AB14" s="224"/>
      <c r="AC14" s="207"/>
      <c r="AD14" s="16"/>
      <c r="AE14" s="16"/>
      <c r="AF14" s="16"/>
      <c r="AG14" s="16"/>
      <c r="AH14" s="16"/>
      <c r="AI14" s="16"/>
      <c r="AJ14" s="16"/>
      <c r="AK14" s="16"/>
      <c r="AL14" s="16"/>
      <c r="AM14" s="16"/>
      <c r="AN14" s="16"/>
      <c r="AO14" s="16"/>
      <c r="AP14" s="16"/>
      <c r="AQ14" s="16"/>
      <c r="AR14" s="16"/>
      <c r="AS14" s="16"/>
      <c r="AT14" s="16"/>
      <c r="AU14" s="16"/>
    </row>
    <row r="15" spans="1:47" s="8" customFormat="1" ht="20.25" customHeight="1">
      <c r="A15" s="206">
        <v>9</v>
      </c>
      <c r="B15" s="207"/>
      <c r="C15" s="37" t="s">
        <v>48</v>
      </c>
      <c r="D15" s="12"/>
      <c r="E15" s="12"/>
      <c r="F15" s="14"/>
      <c r="G15" s="14"/>
      <c r="H15" s="14"/>
      <c r="I15" s="14"/>
      <c r="J15" s="14"/>
      <c r="K15" s="14"/>
      <c r="L15" s="14"/>
      <c r="M15" s="14"/>
      <c r="N15" s="14"/>
      <c r="O15" s="14"/>
      <c r="P15" s="14"/>
      <c r="Q15" s="14"/>
      <c r="R15" s="14"/>
      <c r="S15" s="14"/>
      <c r="T15" s="14"/>
      <c r="U15" s="35"/>
      <c r="V15" s="35"/>
      <c r="W15" s="36"/>
      <c r="X15" s="206" t="s">
        <v>10</v>
      </c>
      <c r="Y15" s="224"/>
      <c r="Z15" s="224"/>
      <c r="AA15" s="224"/>
      <c r="AB15" s="224"/>
      <c r="AC15" s="207"/>
      <c r="AD15" s="16"/>
      <c r="AE15" s="16"/>
      <c r="AF15" s="16"/>
      <c r="AG15" s="16"/>
      <c r="AH15" s="16"/>
      <c r="AI15" s="16"/>
      <c r="AJ15" s="16"/>
      <c r="AK15" s="16"/>
      <c r="AL15" s="16"/>
      <c r="AM15" s="16"/>
      <c r="AN15" s="16"/>
      <c r="AO15" s="16"/>
      <c r="AP15" s="16"/>
      <c r="AQ15" s="16"/>
      <c r="AR15" s="16"/>
      <c r="AS15" s="16"/>
      <c r="AT15" s="16"/>
      <c r="AU15" s="16"/>
    </row>
    <row r="16" spans="1:47" s="8" customFormat="1" ht="20.25" customHeight="1">
      <c r="A16" s="206">
        <v>10</v>
      </c>
      <c r="B16" s="207"/>
      <c r="C16" s="37" t="s">
        <v>167</v>
      </c>
      <c r="D16" s="12"/>
      <c r="E16" s="12"/>
      <c r="F16" s="14"/>
      <c r="G16" s="14"/>
      <c r="H16" s="14"/>
      <c r="I16" s="14"/>
      <c r="J16" s="14"/>
      <c r="K16" s="14"/>
      <c r="L16" s="14"/>
      <c r="M16" s="14"/>
      <c r="N16" s="14"/>
      <c r="O16" s="14"/>
      <c r="P16" s="14"/>
      <c r="Q16" s="14"/>
      <c r="R16" s="14"/>
      <c r="S16" s="14"/>
      <c r="T16" s="14"/>
      <c r="U16" s="14"/>
      <c r="V16" s="14"/>
      <c r="W16" s="15"/>
      <c r="X16" s="206" t="s">
        <v>10</v>
      </c>
      <c r="Y16" s="224"/>
      <c r="Z16" s="224"/>
      <c r="AA16" s="224"/>
      <c r="AB16" s="224"/>
      <c r="AC16" s="207"/>
      <c r="AD16" s="16"/>
      <c r="AE16" s="16"/>
      <c r="AF16" s="16"/>
      <c r="AG16" s="16"/>
      <c r="AH16" s="16"/>
      <c r="AI16" s="16"/>
      <c r="AJ16" s="16"/>
      <c r="AK16" s="16"/>
      <c r="AL16" s="16"/>
      <c r="AM16" s="16"/>
      <c r="AN16" s="16"/>
      <c r="AO16" s="16"/>
      <c r="AP16" s="16"/>
      <c r="AQ16" s="16"/>
      <c r="AR16" s="16"/>
      <c r="AS16" s="16"/>
      <c r="AT16" s="16"/>
      <c r="AU16" s="16"/>
    </row>
    <row r="17" spans="1:59" s="8" customFormat="1" ht="20.25" customHeight="1">
      <c r="A17" s="206">
        <v>11</v>
      </c>
      <c r="B17" s="207"/>
      <c r="C17" s="37" t="s">
        <v>49</v>
      </c>
      <c r="D17" s="12"/>
      <c r="E17" s="12"/>
      <c r="F17" s="14"/>
      <c r="G17" s="14"/>
      <c r="H17" s="14"/>
      <c r="I17" s="14"/>
      <c r="J17" s="14"/>
      <c r="K17" s="14"/>
      <c r="L17" s="14"/>
      <c r="M17" s="14"/>
      <c r="N17" s="14"/>
      <c r="O17" s="14"/>
      <c r="P17" s="14"/>
      <c r="Q17" s="14"/>
      <c r="R17" s="14"/>
      <c r="S17" s="14"/>
      <c r="T17" s="14"/>
      <c r="U17" s="14"/>
      <c r="V17" s="14"/>
      <c r="W17" s="15"/>
      <c r="X17" s="206" t="s">
        <v>10</v>
      </c>
      <c r="Y17" s="224"/>
      <c r="Z17" s="224"/>
      <c r="AA17" s="224"/>
      <c r="AB17" s="224"/>
      <c r="AC17" s="207"/>
      <c r="AD17" s="16"/>
      <c r="AE17" s="16"/>
      <c r="AF17" s="16"/>
      <c r="AG17" s="16"/>
      <c r="AH17" s="16"/>
      <c r="AI17" s="16"/>
      <c r="AJ17" s="16"/>
      <c r="AK17" s="16"/>
      <c r="AL17" s="16"/>
      <c r="AM17" s="16"/>
      <c r="AN17" s="16"/>
      <c r="AO17" s="16"/>
      <c r="AP17" s="16"/>
      <c r="AQ17" s="16"/>
      <c r="AR17" s="16"/>
      <c r="AS17" s="16"/>
      <c r="AT17" s="16"/>
      <c r="AU17" s="16"/>
    </row>
    <row r="18" spans="1:59" s="8" customFormat="1" ht="20.25" customHeight="1">
      <c r="A18" s="206">
        <v>12</v>
      </c>
      <c r="B18" s="207"/>
      <c r="C18" s="37" t="s">
        <v>50</v>
      </c>
      <c r="D18" s="12"/>
      <c r="E18" s="12"/>
      <c r="F18" s="14"/>
      <c r="G18" s="14"/>
      <c r="H18" s="14"/>
      <c r="I18" s="14"/>
      <c r="J18" s="14"/>
      <c r="K18" s="14"/>
      <c r="L18" s="14"/>
      <c r="M18" s="14"/>
      <c r="N18" s="14"/>
      <c r="O18" s="14"/>
      <c r="P18" s="14"/>
      <c r="Q18" s="14"/>
      <c r="R18" s="14"/>
      <c r="S18" s="14"/>
      <c r="T18" s="14"/>
      <c r="U18" s="14"/>
      <c r="V18" s="14"/>
      <c r="W18" s="15"/>
      <c r="X18" s="206" t="s">
        <v>10</v>
      </c>
      <c r="Y18" s="224"/>
      <c r="Z18" s="224"/>
      <c r="AA18" s="224"/>
      <c r="AB18" s="224"/>
      <c r="AC18" s="207"/>
      <c r="AD18" s="16"/>
      <c r="AE18" s="16"/>
      <c r="AF18" s="16"/>
      <c r="AG18" s="16"/>
      <c r="AH18" s="16"/>
      <c r="AI18" s="16"/>
      <c r="AJ18" s="16"/>
      <c r="AK18" s="16"/>
      <c r="AL18" s="16"/>
      <c r="AM18" s="16"/>
      <c r="AN18" s="16"/>
      <c r="AO18" s="16"/>
      <c r="AP18" s="16"/>
      <c r="AQ18" s="16"/>
      <c r="AR18" s="16"/>
      <c r="AS18" s="16"/>
      <c r="AT18" s="16"/>
      <c r="AU18" s="16"/>
    </row>
    <row r="19" spans="1:59" s="8" customFormat="1" ht="20.25" customHeight="1">
      <c r="A19" s="206"/>
      <c r="B19" s="224"/>
      <c r="C19" s="37" t="s">
        <v>51</v>
      </c>
      <c r="D19" s="12"/>
      <c r="E19" s="12"/>
      <c r="F19" s="14"/>
      <c r="G19" s="14"/>
      <c r="H19" s="14"/>
      <c r="I19" s="14"/>
      <c r="J19" s="14"/>
      <c r="K19" s="14"/>
      <c r="L19" s="14"/>
      <c r="M19" s="14"/>
      <c r="N19" s="14"/>
      <c r="O19" s="14"/>
      <c r="P19" s="14"/>
      <c r="Q19" s="14"/>
      <c r="R19" s="14"/>
      <c r="S19" s="14"/>
      <c r="T19" s="14"/>
      <c r="U19" s="14"/>
      <c r="V19" s="14"/>
      <c r="W19" s="15"/>
      <c r="X19" s="206"/>
      <c r="Y19" s="224"/>
      <c r="Z19" s="224"/>
      <c r="AA19" s="224"/>
      <c r="AB19" s="224"/>
      <c r="AC19" s="207"/>
      <c r="AD19" s="16"/>
      <c r="AE19" s="16"/>
      <c r="AF19" s="16"/>
      <c r="AG19" s="16"/>
      <c r="AH19" s="16"/>
      <c r="AI19" s="16"/>
      <c r="AJ19" s="16"/>
      <c r="AK19" s="16"/>
      <c r="AL19" s="16"/>
      <c r="AM19" s="16"/>
      <c r="AN19" s="16"/>
      <c r="AO19" s="16"/>
      <c r="AP19" s="16"/>
      <c r="AQ19" s="16"/>
      <c r="AR19" s="16"/>
      <c r="AS19" s="16"/>
      <c r="AT19" s="16"/>
      <c r="AU19" s="16"/>
    </row>
    <row r="20" spans="1:59" s="8" customFormat="1" ht="29.25" customHeight="1">
      <c r="A20" s="206">
        <v>13</v>
      </c>
      <c r="B20" s="224"/>
      <c r="C20" s="246" t="s">
        <v>168</v>
      </c>
      <c r="D20" s="247"/>
      <c r="E20" s="247"/>
      <c r="F20" s="247"/>
      <c r="G20" s="247"/>
      <c r="H20" s="247"/>
      <c r="I20" s="247"/>
      <c r="J20" s="247"/>
      <c r="K20" s="247"/>
      <c r="L20" s="247"/>
      <c r="M20" s="247"/>
      <c r="N20" s="247"/>
      <c r="O20" s="247"/>
      <c r="P20" s="247"/>
      <c r="Q20" s="247"/>
      <c r="R20" s="247"/>
      <c r="S20" s="247"/>
      <c r="T20" s="247"/>
      <c r="U20" s="247"/>
      <c r="V20" s="247"/>
      <c r="W20" s="248"/>
      <c r="X20" s="206" t="s">
        <v>10</v>
      </c>
      <c r="Y20" s="224"/>
      <c r="Z20" s="224"/>
      <c r="AA20" s="224"/>
      <c r="AB20" s="224"/>
      <c r="AC20" s="207"/>
      <c r="AD20" s="16"/>
      <c r="AE20" s="16"/>
      <c r="AF20" s="16"/>
      <c r="AG20" s="16"/>
      <c r="AH20" s="16"/>
      <c r="AI20" s="16"/>
      <c r="AJ20" s="16"/>
      <c r="AK20" s="16"/>
      <c r="AL20" s="16"/>
      <c r="AM20" s="16"/>
      <c r="AN20" s="16"/>
      <c r="AO20" s="16"/>
      <c r="AP20" s="16"/>
      <c r="AQ20" s="16"/>
      <c r="AR20" s="16"/>
      <c r="AS20" s="16"/>
      <c r="AT20" s="16"/>
      <c r="AU20" s="16"/>
    </row>
    <row r="21" spans="1:59" s="8" customFormat="1" ht="20.25" customHeight="1">
      <c r="A21" s="206">
        <v>14</v>
      </c>
      <c r="B21" s="224"/>
      <c r="C21" s="37" t="s">
        <v>169</v>
      </c>
      <c r="D21" s="12"/>
      <c r="E21" s="12"/>
      <c r="F21" s="14"/>
      <c r="G21" s="14"/>
      <c r="H21" s="14"/>
      <c r="I21" s="14"/>
      <c r="J21" s="14"/>
      <c r="K21" s="14"/>
      <c r="L21" s="14"/>
      <c r="M21" s="14"/>
      <c r="N21" s="14"/>
      <c r="O21" s="14"/>
      <c r="P21" s="14"/>
      <c r="Q21" s="14"/>
      <c r="R21" s="14"/>
      <c r="S21" s="14"/>
      <c r="T21" s="14"/>
      <c r="U21" s="14"/>
      <c r="V21" s="14"/>
      <c r="W21" s="15"/>
      <c r="X21" s="206" t="s">
        <v>10</v>
      </c>
      <c r="Y21" s="224"/>
      <c r="Z21" s="224"/>
      <c r="AA21" s="224"/>
      <c r="AB21" s="224"/>
      <c r="AC21" s="207"/>
      <c r="AD21" s="16"/>
      <c r="AE21" s="16"/>
      <c r="AF21" s="16"/>
      <c r="AG21" s="16"/>
      <c r="AH21" s="16"/>
      <c r="AI21" s="16"/>
      <c r="AJ21" s="16"/>
      <c r="AK21" s="16"/>
      <c r="AL21" s="16"/>
      <c r="AM21" s="16"/>
      <c r="AN21" s="16"/>
      <c r="AO21" s="16"/>
      <c r="AP21" s="16"/>
      <c r="AQ21" s="16"/>
      <c r="AR21" s="16"/>
      <c r="AS21" s="16"/>
      <c r="AT21" s="16"/>
      <c r="AU21" s="16"/>
    </row>
    <row r="22" spans="1:59" s="8" customFormat="1" ht="21.75" customHeight="1">
      <c r="A22" s="206">
        <v>15</v>
      </c>
      <c r="B22" s="224"/>
      <c r="C22" s="37" t="s">
        <v>170</v>
      </c>
      <c r="D22" s="12"/>
      <c r="E22" s="12"/>
      <c r="F22" s="14"/>
      <c r="G22" s="14"/>
      <c r="H22" s="14"/>
      <c r="I22" s="14"/>
      <c r="J22" s="14"/>
      <c r="K22" s="14"/>
      <c r="L22" s="14"/>
      <c r="M22" s="14"/>
      <c r="N22" s="14"/>
      <c r="O22" s="14"/>
      <c r="P22" s="14"/>
      <c r="Q22" s="14"/>
      <c r="R22" s="14"/>
      <c r="S22" s="14"/>
      <c r="T22" s="14"/>
      <c r="U22" s="14"/>
      <c r="V22" s="14"/>
      <c r="W22" s="15"/>
      <c r="X22" s="206" t="s">
        <v>10</v>
      </c>
      <c r="Y22" s="224"/>
      <c r="Z22" s="224"/>
      <c r="AA22" s="224"/>
      <c r="AB22" s="224"/>
      <c r="AC22" s="207"/>
      <c r="AD22" s="244"/>
      <c r="AE22" s="245"/>
      <c r="AF22" s="245"/>
      <c r="AG22" s="245"/>
      <c r="AH22" s="245"/>
      <c r="AI22" s="245"/>
      <c r="AJ22" s="245"/>
      <c r="AK22" s="245"/>
      <c r="AL22" s="245"/>
      <c r="AM22" s="245"/>
      <c r="AN22" s="245"/>
      <c r="AO22" s="245"/>
      <c r="AP22" s="245"/>
      <c r="AQ22" s="245"/>
      <c r="AR22" s="245"/>
      <c r="AS22" s="245"/>
      <c r="AT22" s="245"/>
      <c r="AU22" s="245"/>
      <c r="AV22" s="245"/>
      <c r="AW22" s="245"/>
      <c r="AX22" s="245"/>
      <c r="AY22" s="245"/>
      <c r="AZ22" s="245"/>
      <c r="BA22" s="245"/>
      <c r="BB22" s="245"/>
      <c r="BC22" s="245"/>
      <c r="BD22" s="245"/>
      <c r="BE22" s="245"/>
      <c r="BF22" s="245"/>
      <c r="BG22" s="245"/>
    </row>
    <row r="23" spans="1:59" s="8" customFormat="1" ht="20.25" customHeight="1">
      <c r="A23" s="206">
        <v>16</v>
      </c>
      <c r="B23" s="224"/>
      <c r="C23" s="37" t="s">
        <v>52</v>
      </c>
      <c r="D23" s="12"/>
      <c r="E23" s="12"/>
      <c r="F23" s="14"/>
      <c r="G23" s="14"/>
      <c r="H23" s="14"/>
      <c r="I23" s="14"/>
      <c r="J23" s="14"/>
      <c r="K23" s="14"/>
      <c r="L23" s="14"/>
      <c r="M23" s="14"/>
      <c r="N23" s="14"/>
      <c r="O23" s="14"/>
      <c r="P23" s="14"/>
      <c r="Q23" s="14"/>
      <c r="R23" s="14"/>
      <c r="S23" s="14"/>
      <c r="T23" s="14"/>
      <c r="U23" s="14"/>
      <c r="V23" s="14"/>
      <c r="W23" s="15"/>
      <c r="X23" s="206" t="s">
        <v>10</v>
      </c>
      <c r="Y23" s="224"/>
      <c r="Z23" s="224"/>
      <c r="AA23" s="224"/>
      <c r="AB23" s="224"/>
      <c r="AC23" s="207"/>
      <c r="AD23" s="16"/>
      <c r="AE23" s="16"/>
      <c r="AF23" s="16"/>
      <c r="AG23" s="16"/>
      <c r="AH23" s="16"/>
      <c r="AI23" s="16"/>
      <c r="AJ23" s="16"/>
      <c r="AK23" s="16"/>
      <c r="AL23" s="16"/>
      <c r="AM23" s="16"/>
      <c r="AN23" s="16"/>
      <c r="AO23" s="16"/>
      <c r="AP23" s="16"/>
      <c r="AQ23" s="16"/>
      <c r="AR23" s="16"/>
      <c r="AS23" s="16"/>
      <c r="AT23" s="16"/>
      <c r="AU23" s="16"/>
    </row>
    <row r="24" spans="1:59" s="6" customFormat="1" ht="15">
      <c r="A24" s="3"/>
      <c r="B24" s="3"/>
      <c r="C24" s="3"/>
      <c r="D24" s="3"/>
      <c r="E24" s="3"/>
      <c r="F24" s="3"/>
      <c r="G24" s="3"/>
      <c r="H24" s="3"/>
      <c r="I24" s="3"/>
      <c r="J24" s="3"/>
      <c r="K24" s="3"/>
      <c r="L24" s="3"/>
      <c r="M24" s="3"/>
      <c r="N24" s="3"/>
      <c r="O24" s="3"/>
      <c r="P24" s="3"/>
      <c r="Q24" s="3"/>
      <c r="R24" s="3"/>
      <c r="S24" s="3"/>
      <c r="T24" s="3"/>
      <c r="U24" s="3"/>
      <c r="V24" s="3"/>
      <c r="W24" s="3"/>
      <c r="X24" s="229" t="s">
        <v>172</v>
      </c>
      <c r="Y24" s="229"/>
      <c r="Z24" s="229"/>
      <c r="AA24" s="229"/>
      <c r="AB24" s="229"/>
      <c r="AC24" s="229"/>
      <c r="AD24" s="5"/>
      <c r="AE24" s="5"/>
      <c r="AF24" s="5"/>
      <c r="AG24" s="5"/>
      <c r="AH24" s="5"/>
      <c r="AI24" s="5"/>
      <c r="AJ24" s="5"/>
      <c r="AK24" s="5"/>
      <c r="AL24" s="5"/>
      <c r="AM24" s="5"/>
      <c r="AN24" s="5"/>
      <c r="AO24" s="5"/>
      <c r="AP24" s="5"/>
      <c r="AQ24" s="5"/>
      <c r="AR24" s="5"/>
      <c r="AS24" s="5"/>
      <c r="AT24" s="5"/>
      <c r="AU24" s="5"/>
    </row>
    <row r="25" spans="1:59" s="6" customFormat="1" ht="15">
      <c r="A25" s="5"/>
      <c r="B25" s="5"/>
      <c r="C25" s="5"/>
      <c r="D25" s="5"/>
      <c r="E25" s="5"/>
      <c r="F25" s="5"/>
      <c r="G25" s="5"/>
      <c r="H25" s="5"/>
      <c r="I25" s="5"/>
      <c r="J25" s="5"/>
      <c r="K25" s="5"/>
      <c r="L25" s="5"/>
      <c r="M25" s="5"/>
      <c r="N25" s="5"/>
      <c r="O25" s="5"/>
      <c r="P25" s="5"/>
      <c r="Q25" s="5"/>
      <c r="R25" s="5"/>
      <c r="S25" s="5"/>
      <c r="T25" s="5"/>
      <c r="U25" s="5"/>
      <c r="V25" s="58"/>
      <c r="W25" s="5"/>
      <c r="X25" s="228">
        <v>100</v>
      </c>
      <c r="Y25" s="228"/>
      <c r="Z25" s="228"/>
      <c r="AA25" s="228"/>
      <c r="AB25" s="228"/>
      <c r="AC25" s="228"/>
      <c r="AD25" s="5"/>
      <c r="AE25" s="5"/>
      <c r="AF25" s="5"/>
      <c r="AG25" s="5"/>
      <c r="AH25" s="5"/>
      <c r="AI25" s="5"/>
      <c r="AJ25" s="5"/>
      <c r="AK25" s="5"/>
      <c r="AL25" s="5"/>
      <c r="AM25" s="5"/>
      <c r="AN25" s="5"/>
      <c r="AO25" s="5"/>
      <c r="AP25" s="5"/>
      <c r="AQ25" s="5"/>
      <c r="AR25" s="5"/>
      <c r="AS25" s="5"/>
      <c r="AT25" s="5"/>
      <c r="AU25" s="5"/>
    </row>
    <row r="26" spans="1:59" s="6" customFormat="1" ht="1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row>
    <row r="27" spans="1:59" s="6" customFormat="1" ht="1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row>
    <row r="28" spans="1:59" s="6" customFormat="1"/>
    <row r="29" spans="1:59" s="6" customFormat="1"/>
    <row r="30" spans="1:59" s="6" customFormat="1"/>
    <row r="31" spans="1:59" s="6" customFormat="1"/>
    <row r="32" spans="1:59" s="6" customFormat="1"/>
    <row r="33" s="6" customFormat="1"/>
    <row r="34" s="6" customFormat="1"/>
    <row r="35" s="6" customFormat="1"/>
    <row r="36" s="6" customFormat="1"/>
    <row r="37" s="6" customFormat="1"/>
    <row r="38" s="6" customFormat="1"/>
    <row r="39" s="6" customFormat="1"/>
    <row r="40" s="6" customFormat="1"/>
    <row r="41" s="6" customFormat="1"/>
    <row r="42" s="6" customFormat="1"/>
    <row r="43" s="6" customFormat="1"/>
    <row r="44" s="6" customFormat="1"/>
    <row r="45" s="6" customFormat="1"/>
    <row r="46" s="6" customFormat="1"/>
    <row r="47" s="6" customFormat="1"/>
    <row r="48" s="6" customFormat="1"/>
    <row r="49" s="6" customFormat="1"/>
    <row r="50" s="6" customFormat="1"/>
    <row r="51" s="6" customFormat="1"/>
    <row r="52" s="6" customFormat="1"/>
    <row r="53" s="6" customFormat="1"/>
  </sheetData>
  <mergeCells count="59">
    <mergeCell ref="A22:B22"/>
    <mergeCell ref="X22:AC22"/>
    <mergeCell ref="A23:B23"/>
    <mergeCell ref="X23:AC23"/>
    <mergeCell ref="X25:AC25"/>
    <mergeCell ref="X24:AC24"/>
    <mergeCell ref="A20:B20"/>
    <mergeCell ref="X20:AC20"/>
    <mergeCell ref="A21:B21"/>
    <mergeCell ref="X21:AC21"/>
    <mergeCell ref="C20:W20"/>
    <mergeCell ref="A17:B17"/>
    <mergeCell ref="X17:AC17"/>
    <mergeCell ref="A18:B18"/>
    <mergeCell ref="X18:AC18"/>
    <mergeCell ref="A19:B19"/>
    <mergeCell ref="X19:AC19"/>
    <mergeCell ref="A14:B14"/>
    <mergeCell ref="X14:AC14"/>
    <mergeCell ref="A15:B15"/>
    <mergeCell ref="X15:AC15"/>
    <mergeCell ref="A16:B16"/>
    <mergeCell ref="X16:AC16"/>
    <mergeCell ref="A13:B13"/>
    <mergeCell ref="X13:AC13"/>
    <mergeCell ref="A8:B8"/>
    <mergeCell ref="X8:AC8"/>
    <mergeCell ref="A9:B9"/>
    <mergeCell ref="X9:AC9"/>
    <mergeCell ref="A10:B10"/>
    <mergeCell ref="X10:AC10"/>
    <mergeCell ref="A11:B11"/>
    <mergeCell ref="X11:AC11"/>
    <mergeCell ref="A12:B12"/>
    <mergeCell ref="C12:W12"/>
    <mergeCell ref="X12:AC12"/>
    <mergeCell ref="A6:B6"/>
    <mergeCell ref="C6:W6"/>
    <mergeCell ref="X6:AC6"/>
    <mergeCell ref="A7:B7"/>
    <mergeCell ref="X7:AC7"/>
    <mergeCell ref="I3:V4"/>
    <mergeCell ref="A5:E5"/>
    <mergeCell ref="F5:J5"/>
    <mergeCell ref="K5:N5"/>
    <mergeCell ref="O5:S5"/>
    <mergeCell ref="T5:W5"/>
    <mergeCell ref="A1:E4"/>
    <mergeCell ref="F1:V2"/>
    <mergeCell ref="W1:W4"/>
    <mergeCell ref="F3:H4"/>
    <mergeCell ref="AD22:BG22"/>
    <mergeCell ref="X1:Y1"/>
    <mergeCell ref="Z1:AA1"/>
    <mergeCell ref="AB1:AC1"/>
    <mergeCell ref="X2:Y4"/>
    <mergeCell ref="Z2:AA4"/>
    <mergeCell ref="AB2:AC4"/>
    <mergeCell ref="X5:AC5"/>
  </mergeCells>
  <conditionalFormatting sqref="X7:AC23">
    <cfRule type="containsText" dxfId="8" priority="1" operator="containsText" text="보완">
      <formula>NOT(ISERROR(SEARCH("보완",X7)))</formula>
    </cfRule>
  </conditionalFormatting>
  <pageMargins left="0.7" right="0.7" top="0.75" bottom="0.75" header="0.3" footer="0.3"/>
  <pageSetup paperSize="9" scale="56" orientation="landscape" r:id="rId1"/>
  <colBreaks count="1" manualBreakCount="1">
    <brk id="29" max="1048575"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48"/>
  <sheetViews>
    <sheetView showGridLines="0" view="pageBreakPreview" zoomScaleNormal="100" zoomScaleSheetLayoutView="100" workbookViewId="0">
      <selection activeCell="C15" sqref="C15:W15"/>
    </sheetView>
  </sheetViews>
  <sheetFormatPr defaultColWidth="3.5703125" defaultRowHeight="13.5"/>
  <cols>
    <col min="1" max="23" width="3.5703125" style="4"/>
    <col min="24" max="29" width="5.7109375" style="4" customWidth="1"/>
    <col min="30" max="16384" width="3.5703125" style="4"/>
  </cols>
  <sheetData>
    <row r="1" spans="1:51" s="2" customFormat="1" ht="25.5" customHeight="1">
      <c r="A1" s="193"/>
      <c r="B1" s="194"/>
      <c r="C1" s="194"/>
      <c r="D1" s="194"/>
      <c r="E1" s="195"/>
      <c r="F1" s="202" t="s">
        <v>243</v>
      </c>
      <c r="G1" s="203"/>
      <c r="H1" s="203"/>
      <c r="I1" s="203"/>
      <c r="J1" s="203"/>
      <c r="K1" s="203"/>
      <c r="L1" s="203"/>
      <c r="M1" s="203"/>
      <c r="N1" s="203"/>
      <c r="O1" s="203"/>
      <c r="P1" s="203"/>
      <c r="Q1" s="203"/>
      <c r="R1" s="203"/>
      <c r="S1" s="203"/>
      <c r="T1" s="203"/>
      <c r="U1" s="203"/>
      <c r="V1" s="203"/>
      <c r="W1" s="204" t="s">
        <v>0</v>
      </c>
      <c r="X1" s="174" t="s">
        <v>1</v>
      </c>
      <c r="Y1" s="175"/>
      <c r="Z1" s="175" t="s">
        <v>2</v>
      </c>
      <c r="AA1" s="175"/>
      <c r="AB1" s="175" t="s">
        <v>3</v>
      </c>
      <c r="AC1" s="175"/>
      <c r="AD1" s="24"/>
      <c r="AE1" s="24"/>
      <c r="AF1" s="24"/>
      <c r="AG1" s="24"/>
      <c r="AH1" s="24"/>
      <c r="AI1" s="24"/>
      <c r="AJ1" s="24"/>
      <c r="AK1" s="24"/>
      <c r="AL1" s="24"/>
      <c r="AM1" s="24"/>
      <c r="AN1" s="24"/>
      <c r="AO1" s="24"/>
      <c r="AP1" s="24"/>
      <c r="AQ1" s="24"/>
      <c r="AR1" s="24"/>
      <c r="AS1" s="24"/>
      <c r="AT1" s="24"/>
      <c r="AU1" s="24"/>
      <c r="AV1" s="24"/>
      <c r="AW1" s="24"/>
      <c r="AX1" s="24"/>
      <c r="AY1" s="24"/>
    </row>
    <row r="2" spans="1:51" s="2" customFormat="1" ht="25.5" customHeight="1">
      <c r="A2" s="196"/>
      <c r="B2" s="197"/>
      <c r="C2" s="197"/>
      <c r="D2" s="197"/>
      <c r="E2" s="198"/>
      <c r="F2" s="203"/>
      <c r="G2" s="203"/>
      <c r="H2" s="203"/>
      <c r="I2" s="203"/>
      <c r="J2" s="203"/>
      <c r="K2" s="203"/>
      <c r="L2" s="203"/>
      <c r="M2" s="203"/>
      <c r="N2" s="203"/>
      <c r="O2" s="203"/>
      <c r="P2" s="203"/>
      <c r="Q2" s="203"/>
      <c r="R2" s="203"/>
      <c r="S2" s="203"/>
      <c r="T2" s="203"/>
      <c r="U2" s="203"/>
      <c r="V2" s="203"/>
      <c r="W2" s="204"/>
      <c r="X2" s="176" t="s">
        <v>252</v>
      </c>
      <c r="Y2" s="177"/>
      <c r="Z2" s="178"/>
      <c r="AA2" s="178"/>
      <c r="AB2" s="181" t="s">
        <v>253</v>
      </c>
      <c r="AC2" s="176"/>
      <c r="AD2" s="24"/>
      <c r="AE2" s="24"/>
      <c r="AF2" s="24"/>
      <c r="AG2" s="24"/>
      <c r="AH2" s="24"/>
      <c r="AI2" s="24"/>
      <c r="AJ2" s="24"/>
      <c r="AK2" s="24"/>
      <c r="AL2" s="24"/>
      <c r="AM2" s="24"/>
      <c r="AN2" s="24"/>
      <c r="AO2" s="24"/>
      <c r="AP2" s="24"/>
      <c r="AQ2" s="24"/>
      <c r="AR2" s="24"/>
      <c r="AS2" s="24"/>
      <c r="AT2" s="24"/>
      <c r="AU2" s="24"/>
      <c r="AV2" s="24"/>
      <c r="AW2" s="24"/>
      <c r="AX2" s="24"/>
      <c r="AY2" s="24"/>
    </row>
    <row r="3" spans="1:51" s="2" customFormat="1" ht="15.75" customHeight="1">
      <c r="A3" s="196"/>
      <c r="B3" s="197"/>
      <c r="C3" s="197"/>
      <c r="D3" s="197"/>
      <c r="E3" s="198"/>
      <c r="F3" s="175" t="s">
        <v>18</v>
      </c>
      <c r="G3" s="175"/>
      <c r="H3" s="175"/>
      <c r="I3" s="182" t="s">
        <v>53</v>
      </c>
      <c r="J3" s="183"/>
      <c r="K3" s="183"/>
      <c r="L3" s="183"/>
      <c r="M3" s="183"/>
      <c r="N3" s="183"/>
      <c r="O3" s="183"/>
      <c r="P3" s="183"/>
      <c r="Q3" s="183"/>
      <c r="R3" s="183"/>
      <c r="S3" s="183"/>
      <c r="T3" s="183"/>
      <c r="U3" s="183"/>
      <c r="V3" s="184"/>
      <c r="W3" s="204"/>
      <c r="X3" s="176"/>
      <c r="Y3" s="177"/>
      <c r="Z3" s="179"/>
      <c r="AA3" s="179"/>
      <c r="AB3" s="181"/>
      <c r="AC3" s="176"/>
      <c r="AD3" s="24"/>
      <c r="AE3" s="24"/>
      <c r="AF3" s="24"/>
      <c r="AG3" s="24"/>
      <c r="AH3" s="24"/>
      <c r="AI3" s="24"/>
      <c r="AJ3" s="24"/>
      <c r="AK3" s="24"/>
      <c r="AL3" s="24"/>
      <c r="AM3" s="24"/>
      <c r="AN3" s="24"/>
      <c r="AO3" s="24"/>
      <c r="AP3" s="24"/>
      <c r="AQ3" s="24"/>
      <c r="AR3" s="24"/>
      <c r="AS3" s="24"/>
      <c r="AT3" s="24"/>
      <c r="AU3" s="24"/>
      <c r="AV3" s="24"/>
      <c r="AW3" s="24"/>
      <c r="AX3" s="24"/>
      <c r="AY3" s="24"/>
    </row>
    <row r="4" spans="1:51" ht="15.75" customHeight="1">
      <c r="A4" s="199"/>
      <c r="B4" s="200"/>
      <c r="C4" s="200"/>
      <c r="D4" s="200"/>
      <c r="E4" s="201"/>
      <c r="F4" s="175"/>
      <c r="G4" s="175"/>
      <c r="H4" s="175"/>
      <c r="I4" s="185"/>
      <c r="J4" s="186"/>
      <c r="K4" s="186"/>
      <c r="L4" s="186"/>
      <c r="M4" s="186"/>
      <c r="N4" s="186"/>
      <c r="O4" s="186"/>
      <c r="P4" s="186"/>
      <c r="Q4" s="186"/>
      <c r="R4" s="186"/>
      <c r="S4" s="186"/>
      <c r="T4" s="186"/>
      <c r="U4" s="186"/>
      <c r="V4" s="187"/>
      <c r="W4" s="204"/>
      <c r="X4" s="176"/>
      <c r="Y4" s="177"/>
      <c r="Z4" s="180"/>
      <c r="AA4" s="180"/>
      <c r="AB4" s="181"/>
      <c r="AC4" s="176"/>
      <c r="AD4" s="3"/>
      <c r="AE4" s="3"/>
      <c r="AF4" s="3"/>
      <c r="AG4" s="3"/>
      <c r="AH4" s="3"/>
      <c r="AI4" s="3"/>
      <c r="AJ4" s="3"/>
      <c r="AK4" s="3"/>
      <c r="AL4" s="3"/>
      <c r="AM4" s="3"/>
      <c r="AN4" s="3"/>
      <c r="AO4" s="3"/>
      <c r="AP4" s="3"/>
      <c r="AQ4" s="3"/>
      <c r="AR4" s="3"/>
      <c r="AS4" s="3"/>
      <c r="AT4" s="3"/>
      <c r="AU4" s="3"/>
      <c r="AV4" s="3"/>
      <c r="AW4" s="3"/>
      <c r="AX4" s="3"/>
      <c r="AY4" s="3"/>
    </row>
    <row r="5" spans="1:51" s="6" customFormat="1" ht="18.75" customHeight="1">
      <c r="A5" s="188" t="s">
        <v>134</v>
      </c>
      <c r="B5" s="189"/>
      <c r="C5" s="189"/>
      <c r="D5" s="189"/>
      <c r="E5" s="174"/>
      <c r="F5" s="190" t="s">
        <v>174</v>
      </c>
      <c r="G5" s="191"/>
      <c r="H5" s="191"/>
      <c r="I5" s="191"/>
      <c r="J5" s="192"/>
      <c r="K5" s="188" t="s">
        <v>5</v>
      </c>
      <c r="L5" s="189"/>
      <c r="M5" s="189"/>
      <c r="N5" s="174"/>
      <c r="O5" s="190"/>
      <c r="P5" s="191"/>
      <c r="Q5" s="191"/>
      <c r="R5" s="191"/>
      <c r="S5" s="192"/>
      <c r="T5" s="188" t="s">
        <v>135</v>
      </c>
      <c r="U5" s="189"/>
      <c r="V5" s="189"/>
      <c r="W5" s="174"/>
      <c r="X5" s="177" t="s">
        <v>219</v>
      </c>
      <c r="Y5" s="214"/>
      <c r="Z5" s="214"/>
      <c r="AA5" s="214"/>
      <c r="AB5" s="214"/>
      <c r="AC5" s="181"/>
      <c r="AD5" s="5"/>
      <c r="AE5" s="5"/>
      <c r="AF5" s="5"/>
      <c r="AG5" s="5"/>
      <c r="AH5" s="5"/>
      <c r="AI5" s="5"/>
      <c r="AJ5" s="5"/>
      <c r="AK5" s="5"/>
      <c r="AL5" s="5"/>
      <c r="AM5" s="5"/>
      <c r="AN5" s="5"/>
      <c r="AO5" s="5"/>
      <c r="AP5" s="5"/>
      <c r="AQ5" s="5"/>
      <c r="AR5" s="5"/>
      <c r="AS5" s="5"/>
      <c r="AT5" s="5"/>
      <c r="AU5" s="5"/>
      <c r="AV5" s="5"/>
      <c r="AW5" s="5"/>
      <c r="AX5" s="5"/>
      <c r="AY5" s="5"/>
    </row>
    <row r="6" spans="1:51" s="6" customFormat="1" ht="21.75" customHeight="1">
      <c r="A6" s="175" t="s">
        <v>6</v>
      </c>
      <c r="B6" s="188"/>
      <c r="C6" s="188" t="s">
        <v>7</v>
      </c>
      <c r="D6" s="189"/>
      <c r="E6" s="189"/>
      <c r="F6" s="189"/>
      <c r="G6" s="189"/>
      <c r="H6" s="189"/>
      <c r="I6" s="189"/>
      <c r="J6" s="189"/>
      <c r="K6" s="189"/>
      <c r="L6" s="189"/>
      <c r="M6" s="189"/>
      <c r="N6" s="189"/>
      <c r="O6" s="189"/>
      <c r="P6" s="189"/>
      <c r="Q6" s="189"/>
      <c r="R6" s="189"/>
      <c r="S6" s="189"/>
      <c r="T6" s="189"/>
      <c r="U6" s="189"/>
      <c r="V6" s="189"/>
      <c r="W6" s="174"/>
      <c r="X6" s="174" t="s">
        <v>8</v>
      </c>
      <c r="Y6" s="175"/>
      <c r="Z6" s="175"/>
      <c r="AA6" s="175"/>
      <c r="AB6" s="175"/>
      <c r="AC6" s="175"/>
      <c r="AD6" s="5"/>
      <c r="AE6" s="5"/>
      <c r="AF6" s="5"/>
      <c r="AG6" s="5"/>
      <c r="AH6" s="5"/>
      <c r="AI6" s="5"/>
      <c r="AJ6" s="5"/>
      <c r="AK6" s="5"/>
      <c r="AL6" s="5"/>
      <c r="AM6" s="5"/>
      <c r="AN6" s="5"/>
      <c r="AO6" s="5"/>
      <c r="AP6" s="5"/>
      <c r="AQ6" s="5"/>
      <c r="AR6" s="5"/>
      <c r="AS6" s="5"/>
      <c r="AT6" s="5"/>
      <c r="AU6" s="5"/>
      <c r="AV6" s="5"/>
      <c r="AW6" s="5"/>
      <c r="AX6" s="5"/>
      <c r="AY6" s="5"/>
    </row>
    <row r="7" spans="1:51" s="8" customFormat="1" ht="20.25" customHeight="1">
      <c r="A7" s="215">
        <v>1</v>
      </c>
      <c r="B7" s="220"/>
      <c r="C7" s="26" t="s">
        <v>19</v>
      </c>
      <c r="D7" s="27"/>
      <c r="E7" s="28"/>
      <c r="F7" s="7"/>
      <c r="G7" s="29"/>
      <c r="H7" s="29"/>
      <c r="I7" s="29"/>
      <c r="J7" s="29"/>
      <c r="K7" s="29"/>
      <c r="L7" s="29"/>
      <c r="M7" s="29"/>
      <c r="N7" s="29"/>
      <c r="O7" s="29"/>
      <c r="P7" s="29"/>
      <c r="Q7" s="29"/>
      <c r="R7" s="29"/>
      <c r="S7" s="29"/>
      <c r="T7" s="29"/>
      <c r="U7" s="29"/>
      <c r="V7" s="29"/>
      <c r="W7" s="30"/>
      <c r="X7" s="220" t="s">
        <v>10</v>
      </c>
      <c r="Y7" s="220"/>
      <c r="Z7" s="220"/>
      <c r="AA7" s="220"/>
      <c r="AB7" s="220"/>
      <c r="AC7" s="216"/>
      <c r="AD7" s="16"/>
      <c r="AE7" s="16"/>
      <c r="AF7" s="16"/>
      <c r="AG7" s="16"/>
      <c r="AH7" s="16"/>
      <c r="AI7" s="16"/>
      <c r="AJ7" s="16"/>
      <c r="AK7" s="16"/>
      <c r="AL7" s="16"/>
      <c r="AM7" s="16"/>
      <c r="AN7" s="16"/>
      <c r="AO7" s="16"/>
      <c r="AP7" s="16"/>
      <c r="AQ7" s="16"/>
      <c r="AR7" s="16"/>
      <c r="AS7" s="16"/>
      <c r="AT7" s="16"/>
      <c r="AU7" s="16"/>
      <c r="AV7" s="16"/>
      <c r="AW7" s="16"/>
      <c r="AX7" s="16"/>
      <c r="AY7" s="16"/>
    </row>
    <row r="8" spans="1:51" s="8" customFormat="1" ht="20.25" customHeight="1">
      <c r="A8" s="206">
        <v>2</v>
      </c>
      <c r="B8" s="207"/>
      <c r="C8" s="31" t="s">
        <v>20</v>
      </c>
      <c r="D8" s="32"/>
      <c r="E8" s="33"/>
      <c r="F8" s="34"/>
      <c r="G8" s="35"/>
      <c r="H8" s="35"/>
      <c r="I8" s="35"/>
      <c r="J8" s="35"/>
      <c r="K8" s="35"/>
      <c r="L8" s="35"/>
      <c r="M8" s="35"/>
      <c r="N8" s="35"/>
      <c r="O8" s="35"/>
      <c r="P8" s="35"/>
      <c r="Q8" s="35"/>
      <c r="R8" s="35"/>
      <c r="S8" s="35"/>
      <c r="T8" s="35"/>
      <c r="U8" s="35"/>
      <c r="V8" s="35"/>
      <c r="W8" s="36"/>
      <c r="X8" s="206" t="s">
        <v>10</v>
      </c>
      <c r="Y8" s="224"/>
      <c r="Z8" s="224"/>
      <c r="AA8" s="224"/>
      <c r="AB8" s="224"/>
      <c r="AC8" s="207"/>
      <c r="AD8" s="16"/>
      <c r="AE8" s="16"/>
      <c r="AF8" s="16"/>
      <c r="AG8" s="16"/>
      <c r="AH8" s="16"/>
      <c r="AI8" s="16"/>
      <c r="AJ8" s="16"/>
      <c r="AK8" s="16"/>
      <c r="AL8" s="16"/>
      <c r="AM8" s="16"/>
      <c r="AN8" s="16"/>
      <c r="AO8" s="16"/>
      <c r="AP8" s="16"/>
      <c r="AQ8" s="16"/>
      <c r="AR8" s="16"/>
      <c r="AS8" s="16"/>
      <c r="AT8" s="16"/>
      <c r="AU8" s="16"/>
      <c r="AV8" s="16"/>
      <c r="AW8" s="16"/>
      <c r="AX8" s="16"/>
      <c r="AY8" s="16"/>
    </row>
    <row r="9" spans="1:51" s="8" customFormat="1" ht="20.25" customHeight="1">
      <c r="A9" s="206">
        <v>3</v>
      </c>
      <c r="B9" s="207"/>
      <c r="C9" s="31" t="s">
        <v>21</v>
      </c>
      <c r="D9" s="32"/>
      <c r="E9" s="33"/>
      <c r="F9" s="34"/>
      <c r="G9" s="35"/>
      <c r="H9" s="35"/>
      <c r="I9" s="35"/>
      <c r="J9" s="35"/>
      <c r="K9" s="35"/>
      <c r="L9" s="35"/>
      <c r="M9" s="35"/>
      <c r="N9" s="35"/>
      <c r="O9" s="35"/>
      <c r="P9" s="35"/>
      <c r="Q9" s="35"/>
      <c r="R9" s="35"/>
      <c r="S9" s="35"/>
      <c r="T9" s="35"/>
      <c r="U9" s="35"/>
      <c r="V9" s="35"/>
      <c r="W9" s="36"/>
      <c r="X9" s="206" t="s">
        <v>10</v>
      </c>
      <c r="Y9" s="224"/>
      <c r="Z9" s="224"/>
      <c r="AA9" s="224"/>
      <c r="AB9" s="224"/>
      <c r="AC9" s="207"/>
      <c r="AD9" s="16"/>
      <c r="AE9" s="16"/>
      <c r="AF9" s="16"/>
      <c r="AG9" s="16"/>
      <c r="AH9" s="16"/>
      <c r="AI9" s="16"/>
      <c r="AJ9" s="16"/>
      <c r="AK9" s="16"/>
      <c r="AL9" s="16"/>
      <c r="AM9" s="16"/>
      <c r="AN9" s="16"/>
      <c r="AO9" s="16"/>
      <c r="AP9" s="16"/>
      <c r="AQ9" s="16"/>
      <c r="AR9" s="16"/>
      <c r="AS9" s="16"/>
      <c r="AT9" s="16"/>
      <c r="AU9" s="16"/>
      <c r="AV9" s="16"/>
      <c r="AW9" s="16"/>
      <c r="AX9" s="16"/>
      <c r="AY9" s="16"/>
    </row>
    <row r="10" spans="1:51" s="8" customFormat="1" ht="20.25" customHeight="1">
      <c r="A10" s="206">
        <v>4</v>
      </c>
      <c r="B10" s="207"/>
      <c r="C10" s="31" t="s">
        <v>22</v>
      </c>
      <c r="D10" s="32"/>
      <c r="E10" s="33"/>
      <c r="F10" s="34"/>
      <c r="G10" s="35"/>
      <c r="H10" s="35"/>
      <c r="I10" s="35"/>
      <c r="J10" s="35"/>
      <c r="K10" s="35"/>
      <c r="L10" s="35"/>
      <c r="M10" s="35"/>
      <c r="N10" s="35"/>
      <c r="O10" s="35"/>
      <c r="P10" s="35"/>
      <c r="Q10" s="35"/>
      <c r="R10" s="35"/>
      <c r="S10" s="35"/>
      <c r="T10" s="35"/>
      <c r="U10" s="35"/>
      <c r="V10" s="35"/>
      <c r="W10" s="36"/>
      <c r="X10" s="206" t="s">
        <v>10</v>
      </c>
      <c r="Y10" s="224"/>
      <c r="Z10" s="224"/>
      <c r="AA10" s="224"/>
      <c r="AB10" s="224"/>
      <c r="AC10" s="207"/>
      <c r="AD10" s="16"/>
      <c r="AE10" s="16"/>
      <c r="AF10" s="16"/>
      <c r="AG10" s="16"/>
      <c r="AH10" s="16"/>
      <c r="AI10" s="16"/>
      <c r="AJ10" s="16"/>
      <c r="AK10" s="16"/>
      <c r="AL10" s="16"/>
      <c r="AM10" s="16"/>
      <c r="AN10" s="16"/>
      <c r="AO10" s="16"/>
      <c r="AP10" s="16"/>
      <c r="AQ10" s="16"/>
      <c r="AR10" s="16"/>
      <c r="AS10" s="16"/>
      <c r="AT10" s="16"/>
      <c r="AU10" s="16"/>
      <c r="AV10" s="16"/>
      <c r="AW10" s="16"/>
      <c r="AX10" s="16"/>
      <c r="AY10" s="16"/>
    </row>
    <row r="11" spans="1:51" s="8" customFormat="1" ht="20.25" customHeight="1">
      <c r="A11" s="206">
        <v>5</v>
      </c>
      <c r="B11" s="207"/>
      <c r="C11" s="31" t="s">
        <v>11</v>
      </c>
      <c r="D11" s="32"/>
      <c r="E11" s="33"/>
      <c r="F11" s="34"/>
      <c r="G11" s="35"/>
      <c r="H11" s="35"/>
      <c r="I11" s="35"/>
      <c r="J11" s="35"/>
      <c r="K11" s="35"/>
      <c r="L11" s="35"/>
      <c r="M11" s="35"/>
      <c r="N11" s="35"/>
      <c r="O11" s="35"/>
      <c r="P11" s="35"/>
      <c r="Q11" s="35"/>
      <c r="R11" s="35"/>
      <c r="S11" s="35"/>
      <c r="T11" s="35"/>
      <c r="U11" s="35"/>
      <c r="V11" s="35"/>
      <c r="W11" s="36"/>
      <c r="X11" s="206" t="s">
        <v>10</v>
      </c>
      <c r="Y11" s="224"/>
      <c r="Z11" s="224"/>
      <c r="AA11" s="224"/>
      <c r="AB11" s="224"/>
      <c r="AC11" s="207"/>
      <c r="AD11" s="16"/>
      <c r="AE11" s="16"/>
      <c r="AF11" s="16"/>
      <c r="AG11" s="16"/>
      <c r="AH11" s="16"/>
      <c r="AI11" s="16"/>
      <c r="AJ11" s="16"/>
      <c r="AK11" s="16"/>
      <c r="AL11" s="16"/>
      <c r="AM11" s="16"/>
      <c r="AN11" s="16"/>
      <c r="AO11" s="16"/>
      <c r="AP11" s="16"/>
      <c r="AQ11" s="16"/>
      <c r="AR11" s="16"/>
      <c r="AS11" s="16"/>
      <c r="AT11" s="16"/>
      <c r="AU11" s="16"/>
      <c r="AV11" s="16"/>
      <c r="AW11" s="16"/>
      <c r="AX11" s="16"/>
      <c r="AY11" s="16"/>
    </row>
    <row r="12" spans="1:51" s="8" customFormat="1" ht="20.25" customHeight="1">
      <c r="A12" s="206">
        <v>6</v>
      </c>
      <c r="B12" s="207"/>
      <c r="C12" s="232" t="s">
        <v>47</v>
      </c>
      <c r="D12" s="233"/>
      <c r="E12" s="233"/>
      <c r="F12" s="233"/>
      <c r="G12" s="233"/>
      <c r="H12" s="233"/>
      <c r="I12" s="233"/>
      <c r="J12" s="233"/>
      <c r="K12" s="233"/>
      <c r="L12" s="233"/>
      <c r="M12" s="233"/>
      <c r="N12" s="233"/>
      <c r="O12" s="233"/>
      <c r="P12" s="233"/>
      <c r="Q12" s="233"/>
      <c r="R12" s="233"/>
      <c r="S12" s="233"/>
      <c r="T12" s="233"/>
      <c r="U12" s="233"/>
      <c r="V12" s="233"/>
      <c r="W12" s="234"/>
      <c r="X12" s="206" t="s">
        <v>10</v>
      </c>
      <c r="Y12" s="224"/>
      <c r="Z12" s="224"/>
      <c r="AA12" s="224"/>
      <c r="AB12" s="224"/>
      <c r="AC12" s="207"/>
      <c r="AD12" s="16"/>
      <c r="AE12" s="16"/>
      <c r="AF12" s="16"/>
      <c r="AG12" s="16"/>
      <c r="AH12" s="16"/>
      <c r="AI12" s="16"/>
      <c r="AJ12" s="16"/>
      <c r="AK12" s="16"/>
      <c r="AL12" s="16"/>
      <c r="AM12" s="16"/>
      <c r="AN12" s="16"/>
      <c r="AO12" s="16"/>
      <c r="AP12" s="16"/>
      <c r="AQ12" s="16"/>
      <c r="AR12" s="16"/>
      <c r="AS12" s="16"/>
      <c r="AT12" s="16"/>
      <c r="AU12" s="16"/>
      <c r="AV12" s="16"/>
      <c r="AW12" s="16"/>
      <c r="AX12" s="16"/>
      <c r="AY12" s="16"/>
    </row>
    <row r="13" spans="1:51" s="8" customFormat="1" ht="20.25" customHeight="1">
      <c r="A13" s="206">
        <v>7</v>
      </c>
      <c r="B13" s="207"/>
      <c r="C13" s="11" t="s">
        <v>24</v>
      </c>
      <c r="D13" s="12"/>
      <c r="E13" s="39"/>
      <c r="F13" s="13"/>
      <c r="G13" s="14"/>
      <c r="H13" s="14"/>
      <c r="I13" s="14"/>
      <c r="J13" s="14"/>
      <c r="K13" s="14"/>
      <c r="L13" s="14"/>
      <c r="M13" s="14"/>
      <c r="N13" s="14"/>
      <c r="O13" s="14"/>
      <c r="P13" s="14"/>
      <c r="Q13" s="14"/>
      <c r="R13" s="14"/>
      <c r="S13" s="14"/>
      <c r="T13" s="14"/>
      <c r="U13" s="14"/>
      <c r="V13" s="14"/>
      <c r="W13" s="15"/>
      <c r="X13" s="206" t="s">
        <v>10</v>
      </c>
      <c r="Y13" s="224"/>
      <c r="Z13" s="224"/>
      <c r="AA13" s="224"/>
      <c r="AB13" s="224"/>
      <c r="AC13" s="207"/>
      <c r="AD13" s="16"/>
      <c r="AE13" s="16"/>
      <c r="AF13" s="16"/>
      <c r="AG13" s="16"/>
      <c r="AH13" s="16"/>
      <c r="AI13" s="16"/>
      <c r="AJ13" s="16"/>
      <c r="AK13" s="16"/>
      <c r="AL13" s="16"/>
      <c r="AM13" s="16"/>
      <c r="AN13" s="16"/>
      <c r="AO13" s="16"/>
      <c r="AP13" s="16"/>
      <c r="AQ13" s="16"/>
      <c r="AR13" s="16"/>
      <c r="AS13" s="16"/>
      <c r="AT13" s="16"/>
      <c r="AU13" s="16"/>
      <c r="AV13" s="16"/>
      <c r="AW13" s="16"/>
      <c r="AX13" s="16"/>
      <c r="AY13" s="16"/>
    </row>
    <row r="14" spans="1:51" s="8" customFormat="1" ht="20.25" customHeight="1">
      <c r="A14" s="206">
        <v>8</v>
      </c>
      <c r="B14" s="207"/>
      <c r="C14" s="40" t="s">
        <v>26</v>
      </c>
      <c r="D14" s="32"/>
      <c r="E14" s="32"/>
      <c r="F14" s="35"/>
      <c r="G14" s="35"/>
      <c r="H14" s="35"/>
      <c r="I14" s="35"/>
      <c r="J14" s="35"/>
      <c r="K14" s="35"/>
      <c r="L14" s="35"/>
      <c r="M14" s="35"/>
      <c r="N14" s="35"/>
      <c r="O14" s="35"/>
      <c r="P14" s="35"/>
      <c r="Q14" s="35"/>
      <c r="R14" s="35"/>
      <c r="S14" s="35"/>
      <c r="T14" s="35"/>
      <c r="U14" s="35"/>
      <c r="V14" s="35"/>
      <c r="W14" s="36"/>
      <c r="X14" s="206" t="s">
        <v>10</v>
      </c>
      <c r="Y14" s="224"/>
      <c r="Z14" s="224"/>
      <c r="AA14" s="224"/>
      <c r="AB14" s="224"/>
      <c r="AC14" s="207"/>
      <c r="AD14" s="16"/>
      <c r="AE14" s="16"/>
      <c r="AF14" s="16"/>
      <c r="AG14" s="16"/>
      <c r="AH14" s="16"/>
      <c r="AI14" s="16"/>
      <c r="AJ14" s="16"/>
      <c r="AK14" s="16"/>
      <c r="AL14" s="16"/>
      <c r="AM14" s="16"/>
      <c r="AN14" s="16"/>
      <c r="AO14" s="16"/>
      <c r="AP14" s="16"/>
      <c r="AQ14" s="16"/>
      <c r="AR14" s="16"/>
      <c r="AS14" s="16"/>
      <c r="AT14" s="16"/>
      <c r="AU14" s="16"/>
      <c r="AV14" s="16"/>
      <c r="AW14" s="16"/>
      <c r="AX14" s="16"/>
      <c r="AY14" s="16"/>
    </row>
    <row r="15" spans="1:51" s="8" customFormat="1" ht="20.25" customHeight="1">
      <c r="A15" s="206">
        <v>9</v>
      </c>
      <c r="B15" s="207"/>
      <c r="C15" s="37" t="s">
        <v>54</v>
      </c>
      <c r="D15" s="12"/>
      <c r="E15" s="12"/>
      <c r="F15" s="14"/>
      <c r="G15" s="14"/>
      <c r="H15" s="14"/>
      <c r="I15" s="14"/>
      <c r="J15" s="14"/>
      <c r="K15" s="14"/>
      <c r="L15" s="14"/>
      <c r="M15" s="14"/>
      <c r="N15" s="14"/>
      <c r="O15" s="14"/>
      <c r="P15" s="14"/>
      <c r="Q15" s="14"/>
      <c r="R15" s="14"/>
      <c r="S15" s="14"/>
      <c r="T15" s="14"/>
      <c r="U15" s="14"/>
      <c r="V15" s="14"/>
      <c r="W15" s="15"/>
      <c r="X15" s="206" t="s">
        <v>10</v>
      </c>
      <c r="Y15" s="224"/>
      <c r="Z15" s="224"/>
      <c r="AA15" s="224"/>
      <c r="AB15" s="224"/>
      <c r="AC15" s="207"/>
      <c r="AD15" s="16"/>
      <c r="AE15" s="16"/>
      <c r="AF15" s="16"/>
      <c r="AG15" s="16"/>
      <c r="AH15" s="16"/>
      <c r="AI15" s="16"/>
      <c r="AJ15" s="16"/>
      <c r="AK15" s="16"/>
      <c r="AL15" s="16"/>
      <c r="AM15" s="16"/>
      <c r="AN15" s="16"/>
      <c r="AO15" s="16"/>
      <c r="AP15" s="16"/>
      <c r="AQ15" s="16"/>
      <c r="AR15" s="16"/>
      <c r="AS15" s="16"/>
      <c r="AT15" s="16"/>
      <c r="AU15" s="16"/>
      <c r="AV15" s="16"/>
      <c r="AW15" s="16"/>
      <c r="AX15" s="16"/>
      <c r="AY15" s="16"/>
    </row>
    <row r="16" spans="1:51" s="8" customFormat="1" ht="20.25" customHeight="1">
      <c r="A16" s="206">
        <v>10</v>
      </c>
      <c r="B16" s="207"/>
      <c r="C16" s="37" t="s">
        <v>55</v>
      </c>
      <c r="D16" s="12"/>
      <c r="E16" s="12"/>
      <c r="F16" s="14"/>
      <c r="G16" s="14"/>
      <c r="H16" s="14"/>
      <c r="I16" s="14"/>
      <c r="J16" s="14"/>
      <c r="K16" s="14"/>
      <c r="L16" s="14"/>
      <c r="M16" s="14"/>
      <c r="N16" s="14"/>
      <c r="O16" s="14"/>
      <c r="P16" s="14"/>
      <c r="Q16" s="14"/>
      <c r="R16" s="14"/>
      <c r="S16" s="14"/>
      <c r="T16" s="14"/>
      <c r="U16" s="14"/>
      <c r="V16" s="14"/>
      <c r="W16" s="15"/>
      <c r="X16" s="206" t="s">
        <v>10</v>
      </c>
      <c r="Y16" s="224"/>
      <c r="Z16" s="224"/>
      <c r="AA16" s="224"/>
      <c r="AB16" s="224"/>
      <c r="AC16" s="207"/>
      <c r="AD16" s="16"/>
      <c r="AE16" s="16"/>
      <c r="AF16" s="16"/>
      <c r="AG16" s="16"/>
      <c r="AH16" s="16"/>
      <c r="AI16" s="16"/>
      <c r="AJ16" s="16"/>
      <c r="AK16" s="16"/>
      <c r="AL16" s="16"/>
      <c r="AM16" s="16"/>
      <c r="AN16" s="16"/>
      <c r="AO16" s="16"/>
      <c r="AP16" s="16"/>
      <c r="AQ16" s="16"/>
      <c r="AR16" s="16"/>
      <c r="AS16" s="16"/>
      <c r="AT16" s="16"/>
      <c r="AU16" s="16"/>
      <c r="AV16" s="16"/>
      <c r="AW16" s="16"/>
      <c r="AX16" s="16"/>
      <c r="AY16" s="16"/>
    </row>
    <row r="17" spans="1:51" s="8" customFormat="1" ht="20.25" customHeight="1">
      <c r="A17" s="206">
        <v>11</v>
      </c>
      <c r="B17" s="207"/>
      <c r="C17" s="37" t="s">
        <v>56</v>
      </c>
      <c r="D17" s="12"/>
      <c r="E17" s="12"/>
      <c r="F17" s="14"/>
      <c r="G17" s="14"/>
      <c r="H17" s="14"/>
      <c r="I17" s="14"/>
      <c r="J17" s="14"/>
      <c r="K17" s="14"/>
      <c r="L17" s="14"/>
      <c r="M17" s="14"/>
      <c r="N17" s="14"/>
      <c r="O17" s="14"/>
      <c r="P17" s="14"/>
      <c r="Q17" s="14"/>
      <c r="R17" s="14"/>
      <c r="S17" s="14"/>
      <c r="T17" s="14"/>
      <c r="U17" s="14"/>
      <c r="V17" s="14"/>
      <c r="W17" s="15"/>
      <c r="X17" s="206" t="s">
        <v>10</v>
      </c>
      <c r="Y17" s="224"/>
      <c r="Z17" s="224"/>
      <c r="AA17" s="224"/>
      <c r="AB17" s="224"/>
      <c r="AC17" s="207"/>
      <c r="AD17" s="16"/>
      <c r="AE17" s="16"/>
      <c r="AF17" s="16"/>
      <c r="AG17" s="16"/>
      <c r="AH17" s="16"/>
      <c r="AI17" s="16"/>
      <c r="AJ17" s="16"/>
      <c r="AK17" s="16"/>
      <c r="AL17" s="16"/>
      <c r="AM17" s="16"/>
      <c r="AN17" s="16"/>
      <c r="AO17" s="16"/>
      <c r="AP17" s="16"/>
      <c r="AQ17" s="16"/>
      <c r="AR17" s="16"/>
      <c r="AS17" s="16"/>
      <c r="AT17" s="16"/>
      <c r="AU17" s="16"/>
      <c r="AV17" s="16"/>
      <c r="AW17" s="16"/>
      <c r="AX17" s="16"/>
      <c r="AY17" s="16"/>
    </row>
    <row r="18" spans="1:51" s="8" customFormat="1" ht="20.25" customHeight="1">
      <c r="A18" s="206">
        <v>12</v>
      </c>
      <c r="B18" s="207"/>
      <c r="C18" s="37" t="s">
        <v>57</v>
      </c>
      <c r="D18" s="12"/>
      <c r="E18" s="12"/>
      <c r="F18" s="14"/>
      <c r="G18" s="14"/>
      <c r="H18" s="14"/>
      <c r="I18" s="14"/>
      <c r="J18" s="14"/>
      <c r="K18" s="14"/>
      <c r="L18" s="14"/>
      <c r="M18" s="14"/>
      <c r="N18" s="14"/>
      <c r="O18" s="14"/>
      <c r="P18" s="14"/>
      <c r="Q18" s="14"/>
      <c r="R18" s="14"/>
      <c r="S18" s="14"/>
      <c r="T18" s="14"/>
      <c r="U18" s="14"/>
      <c r="V18" s="14"/>
      <c r="W18" s="15"/>
      <c r="X18" s="206" t="s">
        <v>10</v>
      </c>
      <c r="Y18" s="224"/>
      <c r="Z18" s="224"/>
      <c r="AA18" s="224"/>
      <c r="AB18" s="224"/>
      <c r="AC18" s="207"/>
      <c r="AD18" s="16"/>
      <c r="AE18" s="16"/>
      <c r="AF18" s="16"/>
      <c r="AG18" s="16"/>
      <c r="AH18" s="16"/>
      <c r="AI18" s="16"/>
      <c r="AJ18" s="16"/>
      <c r="AK18" s="16"/>
      <c r="AL18" s="16"/>
      <c r="AM18" s="16"/>
      <c r="AN18" s="16"/>
      <c r="AO18" s="16"/>
      <c r="AP18" s="16"/>
      <c r="AQ18" s="16"/>
      <c r="AR18" s="16"/>
      <c r="AS18" s="16"/>
      <c r="AT18" s="16"/>
      <c r="AU18" s="16"/>
      <c r="AV18" s="16"/>
      <c r="AW18" s="16"/>
      <c r="AX18" s="16"/>
      <c r="AY18" s="16"/>
    </row>
    <row r="19" spans="1:51" s="8" customFormat="1" ht="20.25" customHeight="1">
      <c r="A19" s="206">
        <v>13</v>
      </c>
      <c r="B19" s="207"/>
      <c r="C19" s="54" t="s">
        <v>58</v>
      </c>
      <c r="D19" s="18"/>
      <c r="E19" s="18"/>
      <c r="F19" s="20"/>
      <c r="G19" s="20"/>
      <c r="H19" s="20"/>
      <c r="I19" s="20"/>
      <c r="J19" s="20"/>
      <c r="K19" s="20"/>
      <c r="L19" s="20"/>
      <c r="M19" s="20"/>
      <c r="N19" s="20"/>
      <c r="O19" s="20"/>
      <c r="P19" s="20"/>
      <c r="Q19" s="20"/>
      <c r="R19" s="20"/>
      <c r="S19" s="20"/>
      <c r="T19" s="20"/>
      <c r="U19" s="20"/>
      <c r="V19" s="20"/>
      <c r="W19" s="22"/>
      <c r="X19" s="206" t="s">
        <v>10</v>
      </c>
      <c r="Y19" s="224"/>
      <c r="Z19" s="224"/>
      <c r="AA19" s="224"/>
      <c r="AB19" s="224"/>
      <c r="AC19" s="207"/>
      <c r="AD19" s="16"/>
      <c r="AE19" s="16"/>
      <c r="AF19" s="16"/>
      <c r="AG19" s="16"/>
      <c r="AH19" s="16"/>
      <c r="AI19" s="16"/>
      <c r="AJ19" s="16"/>
      <c r="AK19" s="16"/>
      <c r="AL19" s="16"/>
      <c r="AM19" s="16"/>
      <c r="AN19" s="16"/>
      <c r="AO19" s="16"/>
      <c r="AP19" s="16"/>
      <c r="AQ19" s="16"/>
      <c r="AR19" s="16"/>
      <c r="AS19" s="16"/>
      <c r="AT19" s="16"/>
      <c r="AU19" s="16"/>
      <c r="AV19" s="16"/>
      <c r="AW19" s="16"/>
      <c r="AX19" s="16"/>
      <c r="AY19" s="16"/>
    </row>
    <row r="20" spans="1:51" s="8" customFormat="1" ht="20.25" customHeight="1">
      <c r="A20" s="206">
        <v>14</v>
      </c>
      <c r="B20" s="207"/>
      <c r="C20" s="208" t="s">
        <v>59</v>
      </c>
      <c r="D20" s="209"/>
      <c r="E20" s="209"/>
      <c r="F20" s="209"/>
      <c r="G20" s="209"/>
      <c r="H20" s="209"/>
      <c r="I20" s="209"/>
      <c r="J20" s="209"/>
      <c r="K20" s="209"/>
      <c r="L20" s="209"/>
      <c r="M20" s="209"/>
      <c r="N20" s="209"/>
      <c r="O20" s="209"/>
      <c r="P20" s="209"/>
      <c r="Q20" s="209"/>
      <c r="R20" s="209"/>
      <c r="S20" s="209"/>
      <c r="T20" s="209"/>
      <c r="U20" s="209"/>
      <c r="V20" s="209"/>
      <c r="W20" s="210"/>
      <c r="X20" s="206" t="s">
        <v>10</v>
      </c>
      <c r="Y20" s="224"/>
      <c r="Z20" s="224"/>
      <c r="AA20" s="224"/>
      <c r="AB20" s="224"/>
      <c r="AC20" s="207"/>
      <c r="AD20" s="16"/>
      <c r="AE20" s="16"/>
      <c r="AF20" s="16"/>
      <c r="AG20" s="16"/>
      <c r="AH20" s="16"/>
      <c r="AI20" s="16"/>
      <c r="AJ20" s="16"/>
      <c r="AK20" s="16"/>
      <c r="AL20" s="16"/>
      <c r="AM20" s="16"/>
      <c r="AN20" s="16"/>
      <c r="AO20" s="16"/>
      <c r="AP20" s="16"/>
      <c r="AQ20" s="16"/>
      <c r="AR20" s="16"/>
      <c r="AS20" s="16"/>
      <c r="AT20" s="16"/>
      <c r="AU20" s="16"/>
      <c r="AV20" s="16"/>
      <c r="AW20" s="16"/>
      <c r="AX20" s="16"/>
      <c r="AY20" s="16"/>
    </row>
    <row r="21" spans="1:51" s="8" customFormat="1" ht="20.25" customHeight="1">
      <c r="A21" s="225">
        <v>15</v>
      </c>
      <c r="B21" s="227"/>
      <c r="C21" s="241" t="s">
        <v>60</v>
      </c>
      <c r="D21" s="242"/>
      <c r="E21" s="242"/>
      <c r="F21" s="242"/>
      <c r="G21" s="242"/>
      <c r="H21" s="242"/>
      <c r="I21" s="242"/>
      <c r="J21" s="242"/>
      <c r="K21" s="242"/>
      <c r="L21" s="242"/>
      <c r="M21" s="242"/>
      <c r="N21" s="242"/>
      <c r="O21" s="242"/>
      <c r="P21" s="242"/>
      <c r="Q21" s="242"/>
      <c r="R21" s="242"/>
      <c r="S21" s="242"/>
      <c r="T21" s="242"/>
      <c r="U21" s="242"/>
      <c r="V21" s="242"/>
      <c r="W21" s="243"/>
      <c r="X21" s="225" t="s">
        <v>10</v>
      </c>
      <c r="Y21" s="227"/>
      <c r="Z21" s="227"/>
      <c r="AA21" s="227"/>
      <c r="AB21" s="227"/>
      <c r="AC21" s="226"/>
      <c r="AD21" s="16"/>
      <c r="AE21" s="16"/>
      <c r="AF21" s="16"/>
      <c r="AG21" s="16"/>
      <c r="AH21" s="16"/>
      <c r="AI21" s="16"/>
      <c r="AJ21" s="16"/>
      <c r="AK21" s="16"/>
      <c r="AL21" s="16"/>
      <c r="AM21" s="16"/>
      <c r="AN21" s="16"/>
      <c r="AO21" s="16"/>
      <c r="AP21" s="16"/>
      <c r="AQ21" s="16"/>
      <c r="AR21" s="16"/>
      <c r="AS21" s="16"/>
      <c r="AT21" s="16"/>
      <c r="AU21" s="16"/>
      <c r="AV21" s="16"/>
      <c r="AW21" s="16"/>
      <c r="AX21" s="16"/>
      <c r="AY21" s="16"/>
    </row>
    <row r="22" spans="1:51" s="6" customFormat="1" ht="15">
      <c r="A22" s="5"/>
      <c r="B22" s="5"/>
      <c r="C22" s="5"/>
      <c r="D22" s="5"/>
      <c r="E22" s="5"/>
      <c r="F22" s="5"/>
      <c r="G22" s="5"/>
      <c r="H22" s="5"/>
      <c r="I22" s="5"/>
      <c r="J22" s="5"/>
      <c r="K22" s="5"/>
      <c r="L22" s="5"/>
      <c r="M22" s="5"/>
      <c r="N22" s="5"/>
      <c r="O22" s="5"/>
      <c r="P22" s="5"/>
      <c r="Q22" s="5"/>
      <c r="R22" s="5"/>
      <c r="S22" s="5"/>
      <c r="T22" s="5"/>
      <c r="U22" s="5"/>
      <c r="V22" s="5"/>
      <c r="W22" s="5"/>
      <c r="X22" s="229" t="s">
        <v>172</v>
      </c>
      <c r="Y22" s="229"/>
      <c r="Z22" s="229"/>
      <c r="AA22" s="229"/>
      <c r="AB22" s="229"/>
      <c r="AC22" s="229"/>
      <c r="AD22" s="5"/>
      <c r="AE22" s="5"/>
      <c r="AF22" s="5"/>
      <c r="AG22" s="5"/>
      <c r="AH22" s="5"/>
      <c r="AI22" s="5"/>
      <c r="AJ22" s="5"/>
      <c r="AK22" s="5"/>
      <c r="AL22" s="5"/>
      <c r="AM22" s="5"/>
      <c r="AN22" s="5"/>
      <c r="AO22" s="5"/>
      <c r="AP22" s="5"/>
      <c r="AQ22" s="5"/>
      <c r="AR22" s="5"/>
      <c r="AS22" s="5"/>
      <c r="AT22" s="5"/>
      <c r="AU22" s="5"/>
      <c r="AV22" s="5"/>
      <c r="AW22" s="5"/>
      <c r="AX22" s="5"/>
      <c r="AY22" s="5"/>
    </row>
    <row r="23" spans="1:51" s="6" customFormat="1" ht="15">
      <c r="A23" s="5"/>
      <c r="B23" s="5"/>
      <c r="C23" s="5"/>
      <c r="D23" s="5"/>
      <c r="E23" s="5"/>
      <c r="F23" s="5"/>
      <c r="G23" s="5"/>
      <c r="H23" s="5"/>
      <c r="I23" s="5"/>
      <c r="J23" s="5"/>
      <c r="K23" s="5"/>
      <c r="L23" s="5"/>
      <c r="M23" s="5"/>
      <c r="N23" s="5"/>
      <c r="O23" s="5"/>
      <c r="P23" s="5"/>
      <c r="Q23" s="5"/>
      <c r="R23" s="5"/>
      <c r="S23" s="5"/>
      <c r="T23" s="5"/>
      <c r="U23" s="5"/>
      <c r="V23" s="5"/>
      <c r="W23" s="5"/>
      <c r="X23" s="228">
        <v>100</v>
      </c>
      <c r="Y23" s="228"/>
      <c r="Z23" s="228"/>
      <c r="AA23" s="228"/>
      <c r="AB23" s="228"/>
      <c r="AC23" s="228"/>
      <c r="AD23" s="5"/>
      <c r="AE23" s="5"/>
      <c r="AF23" s="5"/>
      <c r="AG23" s="5"/>
      <c r="AH23" s="5"/>
      <c r="AI23" s="5"/>
      <c r="AJ23" s="5"/>
      <c r="AK23" s="5"/>
      <c r="AL23" s="5"/>
      <c r="AM23" s="5"/>
      <c r="AN23" s="5"/>
      <c r="AO23" s="5"/>
      <c r="AP23" s="5"/>
      <c r="AQ23" s="5"/>
      <c r="AR23" s="5"/>
      <c r="AS23" s="5"/>
      <c r="AT23" s="5"/>
      <c r="AU23" s="5"/>
      <c r="AV23" s="5"/>
      <c r="AW23" s="5"/>
      <c r="AX23" s="5"/>
      <c r="AY23" s="5"/>
    </row>
    <row r="24" spans="1:51" s="6" customFormat="1" ht="1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row>
    <row r="25" spans="1:51" s="6" customFormat="1" ht="1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row>
    <row r="26" spans="1:51" s="6" customFormat="1" ht="1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row>
    <row r="27" spans="1:51" s="6" customFormat="1" ht="1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row>
    <row r="28" spans="1:51" s="6" customFormat="1" ht="1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row>
    <row r="29" spans="1:51" s="6" customFormat="1" ht="1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row>
    <row r="30" spans="1:51" s="6" customFormat="1"/>
    <row r="31" spans="1:51" s="6" customFormat="1"/>
    <row r="32" spans="1:51" s="6" customFormat="1"/>
    <row r="33" s="6" customFormat="1"/>
    <row r="34" s="6" customFormat="1"/>
    <row r="35" s="6" customFormat="1"/>
    <row r="36" s="6" customFormat="1"/>
    <row r="37" s="6" customFormat="1"/>
    <row r="38" s="6" customFormat="1"/>
    <row r="39" s="6" customFormat="1"/>
    <row r="40" s="6" customFormat="1"/>
    <row r="41" s="6" customFormat="1"/>
    <row r="42" s="6" customFormat="1"/>
    <row r="43" s="6" customFormat="1"/>
    <row r="44" s="6" customFormat="1"/>
    <row r="45" s="6" customFormat="1"/>
    <row r="46" s="6" customFormat="1"/>
    <row r="47" s="6" customFormat="1"/>
    <row r="48" s="6" customFormat="1"/>
  </sheetData>
  <mergeCells count="55">
    <mergeCell ref="X23:AC23"/>
    <mergeCell ref="A20:B20"/>
    <mergeCell ref="C20:W20"/>
    <mergeCell ref="X20:AC20"/>
    <mergeCell ref="A21:B21"/>
    <mergeCell ref="C21:W21"/>
    <mergeCell ref="X21:AC21"/>
    <mergeCell ref="X22:AC22"/>
    <mergeCell ref="A17:B17"/>
    <mergeCell ref="X17:AC17"/>
    <mergeCell ref="A18:B18"/>
    <mergeCell ref="X18:AC18"/>
    <mergeCell ref="A19:B19"/>
    <mergeCell ref="X19:AC19"/>
    <mergeCell ref="A14:B14"/>
    <mergeCell ref="X14:AC14"/>
    <mergeCell ref="A15:B15"/>
    <mergeCell ref="X15:AC15"/>
    <mergeCell ref="A16:B16"/>
    <mergeCell ref="X16:AC16"/>
    <mergeCell ref="A13:B13"/>
    <mergeCell ref="X13:AC13"/>
    <mergeCell ref="A8:B8"/>
    <mergeCell ref="X8:AC8"/>
    <mergeCell ref="A9:B9"/>
    <mergeCell ref="X9:AC9"/>
    <mergeCell ref="A10:B10"/>
    <mergeCell ref="X10:AC10"/>
    <mergeCell ref="A11:B11"/>
    <mergeCell ref="X11:AC11"/>
    <mergeCell ref="A12:B12"/>
    <mergeCell ref="C12:W12"/>
    <mergeCell ref="X12:AC12"/>
    <mergeCell ref="X5:AC5"/>
    <mergeCell ref="A6:B6"/>
    <mergeCell ref="C6:W6"/>
    <mergeCell ref="X6:AC6"/>
    <mergeCell ref="A7:B7"/>
    <mergeCell ref="X7:AC7"/>
    <mergeCell ref="I3:V4"/>
    <mergeCell ref="A5:E5"/>
    <mergeCell ref="F5:J5"/>
    <mergeCell ref="K5:N5"/>
    <mergeCell ref="O5:S5"/>
    <mergeCell ref="T5:W5"/>
    <mergeCell ref="A1:E4"/>
    <mergeCell ref="F1:V2"/>
    <mergeCell ref="W1:W4"/>
    <mergeCell ref="F3:H4"/>
    <mergeCell ref="X1:Y1"/>
    <mergeCell ref="Z1:AA1"/>
    <mergeCell ref="AB1:AC1"/>
    <mergeCell ref="X2:Y4"/>
    <mergeCell ref="Z2:AA4"/>
    <mergeCell ref="AB2:AC4"/>
  </mergeCells>
  <pageMargins left="0.7" right="0.7" top="0.75" bottom="0.75" header="0.3" footer="0.3"/>
  <pageSetup paperSize="9"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C63"/>
  <sheetViews>
    <sheetView showGridLines="0" view="pageBreakPreview" zoomScaleNormal="100" zoomScaleSheetLayoutView="100" workbookViewId="0">
      <selection activeCell="C15" sqref="C15:W15"/>
    </sheetView>
  </sheetViews>
  <sheetFormatPr defaultColWidth="3.5703125" defaultRowHeight="13.5"/>
  <cols>
    <col min="1" max="2" width="3.5703125" style="4" customWidth="1"/>
    <col min="3" max="20" width="3.5703125" style="4"/>
    <col min="21" max="21" width="6.140625" style="4" bestFit="1" customWidth="1"/>
    <col min="22" max="23" width="3.5703125" style="4"/>
    <col min="24" max="29" width="6.42578125" style="4" customWidth="1"/>
    <col min="30" max="16384" width="3.5703125" style="4"/>
  </cols>
  <sheetData>
    <row r="1" spans="1:237" ht="25.5" customHeight="1">
      <c r="A1" s="193"/>
      <c r="B1" s="194"/>
      <c r="C1" s="194"/>
      <c r="D1" s="194"/>
      <c r="E1" s="195"/>
      <c r="F1" s="202" t="s">
        <v>243</v>
      </c>
      <c r="G1" s="203"/>
      <c r="H1" s="203"/>
      <c r="I1" s="203"/>
      <c r="J1" s="203"/>
      <c r="K1" s="203"/>
      <c r="L1" s="203"/>
      <c r="M1" s="203"/>
      <c r="N1" s="203"/>
      <c r="O1" s="203"/>
      <c r="P1" s="203"/>
      <c r="Q1" s="203"/>
      <c r="R1" s="203"/>
      <c r="S1" s="203"/>
      <c r="T1" s="203"/>
      <c r="U1" s="203"/>
      <c r="V1" s="203"/>
      <c r="W1" s="204" t="s">
        <v>0</v>
      </c>
      <c r="X1" s="174" t="s">
        <v>1</v>
      </c>
      <c r="Y1" s="175"/>
      <c r="Z1" s="175" t="s">
        <v>2</v>
      </c>
      <c r="AA1" s="175"/>
      <c r="AB1" s="175" t="s">
        <v>3</v>
      </c>
      <c r="AC1" s="175"/>
      <c r="AD1" s="24"/>
      <c r="AE1" s="24"/>
      <c r="AF1" s="24"/>
      <c r="AG1" s="24"/>
      <c r="AH1" s="24"/>
      <c r="AI1" s="24"/>
      <c r="AJ1" s="24"/>
      <c r="AK1" s="24"/>
      <c r="AL1" s="24"/>
      <c r="AM1" s="24"/>
      <c r="AN1" s="24"/>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row>
    <row r="2" spans="1:237" ht="25.5" customHeight="1">
      <c r="A2" s="196"/>
      <c r="B2" s="197"/>
      <c r="C2" s="197"/>
      <c r="D2" s="197"/>
      <c r="E2" s="198"/>
      <c r="F2" s="203"/>
      <c r="G2" s="203"/>
      <c r="H2" s="203"/>
      <c r="I2" s="203"/>
      <c r="J2" s="203"/>
      <c r="K2" s="203"/>
      <c r="L2" s="203"/>
      <c r="M2" s="203"/>
      <c r="N2" s="203"/>
      <c r="O2" s="203"/>
      <c r="P2" s="203"/>
      <c r="Q2" s="203"/>
      <c r="R2" s="203"/>
      <c r="S2" s="203"/>
      <c r="T2" s="203"/>
      <c r="U2" s="203"/>
      <c r="V2" s="203"/>
      <c r="W2" s="204"/>
      <c r="X2" s="176" t="s">
        <v>252</v>
      </c>
      <c r="Y2" s="177"/>
      <c r="Z2" s="178"/>
      <c r="AA2" s="178"/>
      <c r="AB2" s="181" t="s">
        <v>253</v>
      </c>
      <c r="AC2" s="176"/>
      <c r="AD2" s="24"/>
      <c r="AE2" s="24"/>
      <c r="AF2" s="24"/>
      <c r="AG2" s="24"/>
      <c r="AH2" s="24"/>
      <c r="AI2" s="24"/>
      <c r="AJ2" s="24"/>
      <c r="AK2" s="24"/>
      <c r="AL2" s="24"/>
      <c r="AM2" s="24"/>
      <c r="AN2" s="24"/>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row>
    <row r="3" spans="1:237" ht="15">
      <c r="A3" s="196"/>
      <c r="B3" s="197"/>
      <c r="C3" s="197"/>
      <c r="D3" s="197"/>
      <c r="E3" s="198"/>
      <c r="F3" s="175" t="s">
        <v>18</v>
      </c>
      <c r="G3" s="175"/>
      <c r="H3" s="175"/>
      <c r="I3" s="182" t="s">
        <v>61</v>
      </c>
      <c r="J3" s="183"/>
      <c r="K3" s="183"/>
      <c r="L3" s="183"/>
      <c r="M3" s="183"/>
      <c r="N3" s="183"/>
      <c r="O3" s="183"/>
      <c r="P3" s="183"/>
      <c r="Q3" s="183"/>
      <c r="R3" s="183"/>
      <c r="S3" s="183"/>
      <c r="T3" s="183"/>
      <c r="U3" s="183"/>
      <c r="V3" s="184"/>
      <c r="W3" s="204"/>
      <c r="X3" s="176"/>
      <c r="Y3" s="177"/>
      <c r="Z3" s="179"/>
      <c r="AA3" s="179"/>
      <c r="AB3" s="181"/>
      <c r="AC3" s="176"/>
      <c r="AD3" s="24"/>
      <c r="AE3" s="24"/>
      <c r="AF3" s="24"/>
      <c r="AG3" s="24"/>
      <c r="AH3" s="24"/>
      <c r="AI3" s="24"/>
      <c r="AJ3" s="24"/>
      <c r="AK3" s="24"/>
      <c r="AL3" s="24"/>
      <c r="AM3" s="24"/>
      <c r="AN3" s="24"/>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row>
    <row r="4" spans="1:237" ht="15">
      <c r="A4" s="199"/>
      <c r="B4" s="200"/>
      <c r="C4" s="200"/>
      <c r="D4" s="200"/>
      <c r="E4" s="201"/>
      <c r="F4" s="175"/>
      <c r="G4" s="175"/>
      <c r="H4" s="175"/>
      <c r="I4" s="185"/>
      <c r="J4" s="186"/>
      <c r="K4" s="186"/>
      <c r="L4" s="186"/>
      <c r="M4" s="186"/>
      <c r="N4" s="186"/>
      <c r="O4" s="186"/>
      <c r="P4" s="186"/>
      <c r="Q4" s="186"/>
      <c r="R4" s="186"/>
      <c r="S4" s="186"/>
      <c r="T4" s="186"/>
      <c r="U4" s="186"/>
      <c r="V4" s="187"/>
      <c r="W4" s="204"/>
      <c r="X4" s="176"/>
      <c r="Y4" s="177"/>
      <c r="Z4" s="180"/>
      <c r="AA4" s="180"/>
      <c r="AB4" s="181"/>
      <c r="AC4" s="176"/>
      <c r="AD4" s="3"/>
      <c r="AE4" s="3"/>
      <c r="AF4" s="3"/>
      <c r="AG4" s="3"/>
      <c r="AH4" s="3"/>
      <c r="AI4" s="3"/>
      <c r="AJ4" s="3"/>
      <c r="AK4" s="3"/>
      <c r="AL4" s="3"/>
      <c r="AM4" s="3"/>
      <c r="AN4" s="3"/>
    </row>
    <row r="5" spans="1:237" ht="15">
      <c r="A5" s="188" t="s">
        <v>134</v>
      </c>
      <c r="B5" s="189"/>
      <c r="C5" s="189"/>
      <c r="D5" s="189"/>
      <c r="E5" s="174"/>
      <c r="F5" s="190" t="s">
        <v>174</v>
      </c>
      <c r="G5" s="191"/>
      <c r="H5" s="191"/>
      <c r="I5" s="191"/>
      <c r="J5" s="192"/>
      <c r="K5" s="188" t="s">
        <v>5</v>
      </c>
      <c r="L5" s="189"/>
      <c r="M5" s="189"/>
      <c r="N5" s="174"/>
      <c r="O5" s="190"/>
      <c r="P5" s="191"/>
      <c r="Q5" s="191"/>
      <c r="R5" s="191"/>
      <c r="S5" s="192"/>
      <c r="T5" s="188" t="s">
        <v>135</v>
      </c>
      <c r="U5" s="189"/>
      <c r="V5" s="189"/>
      <c r="W5" s="174"/>
      <c r="X5" s="177" t="s">
        <v>219</v>
      </c>
      <c r="Y5" s="214"/>
      <c r="Z5" s="214"/>
      <c r="AA5" s="214"/>
      <c r="AB5" s="214"/>
      <c r="AC5" s="181"/>
      <c r="AD5" s="5"/>
      <c r="AE5" s="5"/>
      <c r="AF5" s="5"/>
      <c r="AG5" s="5"/>
      <c r="AH5" s="5"/>
      <c r="AI5" s="5"/>
      <c r="AJ5" s="5"/>
      <c r="AK5" s="5"/>
      <c r="AL5" s="5"/>
      <c r="AM5" s="5"/>
      <c r="AN5" s="5"/>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c r="EE5" s="6"/>
      <c r="EF5" s="6"/>
      <c r="EG5" s="6"/>
      <c r="EH5" s="6"/>
      <c r="EI5" s="6"/>
      <c r="EJ5" s="6"/>
      <c r="EK5" s="6"/>
      <c r="EL5" s="6"/>
      <c r="EM5" s="6"/>
      <c r="EN5" s="6"/>
      <c r="EO5" s="6"/>
      <c r="EP5" s="6"/>
      <c r="EQ5" s="6"/>
      <c r="ER5" s="6"/>
      <c r="ES5" s="6"/>
      <c r="ET5" s="6"/>
      <c r="EU5" s="6"/>
      <c r="EV5" s="6"/>
      <c r="EW5" s="6"/>
      <c r="EX5" s="6"/>
      <c r="EY5" s="6"/>
      <c r="EZ5" s="6"/>
      <c r="FA5" s="6"/>
      <c r="FB5" s="6"/>
      <c r="FC5" s="6"/>
      <c r="FD5" s="6"/>
      <c r="FE5" s="6"/>
      <c r="FF5" s="6"/>
      <c r="FG5" s="6"/>
      <c r="FH5" s="6"/>
      <c r="FI5" s="6"/>
      <c r="FJ5" s="6"/>
      <c r="FK5" s="6"/>
      <c r="FL5" s="6"/>
      <c r="FM5" s="6"/>
      <c r="FN5" s="6"/>
      <c r="FO5" s="6"/>
      <c r="FP5" s="6"/>
      <c r="FQ5" s="6"/>
      <c r="FR5" s="6"/>
      <c r="FS5" s="6"/>
      <c r="FT5" s="6"/>
      <c r="FU5" s="6"/>
      <c r="FV5" s="6"/>
      <c r="FW5" s="6"/>
      <c r="FX5" s="6"/>
      <c r="FY5" s="6"/>
      <c r="FZ5" s="6"/>
      <c r="GA5" s="6"/>
      <c r="GB5" s="6"/>
      <c r="GC5" s="6"/>
      <c r="GD5" s="6"/>
      <c r="GE5" s="6"/>
      <c r="GF5" s="6"/>
      <c r="GG5" s="6"/>
      <c r="GH5" s="6"/>
      <c r="GI5" s="6"/>
      <c r="GJ5" s="6"/>
      <c r="GK5" s="6"/>
      <c r="GL5" s="6"/>
      <c r="GM5" s="6"/>
      <c r="GN5" s="6"/>
      <c r="GO5" s="6"/>
      <c r="GP5" s="6"/>
      <c r="GQ5" s="6"/>
      <c r="GR5" s="6"/>
      <c r="GS5" s="6"/>
      <c r="GT5" s="6"/>
      <c r="GU5" s="6"/>
      <c r="GV5" s="6"/>
      <c r="GW5" s="6"/>
      <c r="GX5" s="6"/>
      <c r="GY5" s="6"/>
      <c r="GZ5" s="6"/>
      <c r="HA5" s="6"/>
      <c r="HB5" s="6"/>
      <c r="HC5" s="6"/>
      <c r="HD5" s="6"/>
      <c r="HE5" s="6"/>
      <c r="HF5" s="6"/>
      <c r="HG5" s="6"/>
      <c r="HH5" s="6"/>
      <c r="HI5" s="6"/>
      <c r="HJ5" s="6"/>
      <c r="HK5" s="6"/>
      <c r="HL5" s="6"/>
      <c r="HM5" s="6"/>
      <c r="HN5" s="6"/>
      <c r="HO5" s="6"/>
      <c r="HP5" s="6"/>
      <c r="HQ5" s="6"/>
      <c r="HR5" s="6"/>
      <c r="HS5" s="6"/>
      <c r="HT5" s="6"/>
      <c r="HU5" s="6"/>
      <c r="HV5" s="6"/>
      <c r="HW5" s="6"/>
      <c r="HX5" s="6"/>
      <c r="HY5" s="6"/>
      <c r="HZ5" s="6"/>
      <c r="IA5" s="6"/>
      <c r="IB5" s="6"/>
      <c r="IC5" s="6"/>
    </row>
    <row r="6" spans="1:237" ht="15">
      <c r="A6" s="188" t="s">
        <v>6</v>
      </c>
      <c r="B6" s="174"/>
      <c r="C6" s="188" t="s">
        <v>7</v>
      </c>
      <c r="D6" s="189"/>
      <c r="E6" s="189"/>
      <c r="F6" s="189"/>
      <c r="G6" s="189"/>
      <c r="H6" s="189"/>
      <c r="I6" s="189"/>
      <c r="J6" s="189"/>
      <c r="K6" s="189"/>
      <c r="L6" s="189"/>
      <c r="M6" s="189"/>
      <c r="N6" s="189"/>
      <c r="O6" s="189"/>
      <c r="P6" s="189"/>
      <c r="Q6" s="189"/>
      <c r="R6" s="189"/>
      <c r="S6" s="189"/>
      <c r="T6" s="189"/>
      <c r="U6" s="189"/>
      <c r="V6" s="189"/>
      <c r="W6" s="174"/>
      <c r="X6" s="174" t="s">
        <v>8</v>
      </c>
      <c r="Y6" s="175"/>
      <c r="Z6" s="175"/>
      <c r="AA6" s="175"/>
      <c r="AB6" s="175"/>
      <c r="AC6" s="175"/>
      <c r="AD6" s="5"/>
      <c r="AE6" s="5"/>
      <c r="AF6" s="5"/>
      <c r="AG6" s="5"/>
      <c r="AH6" s="5"/>
      <c r="AI6" s="5"/>
      <c r="AJ6" s="5"/>
      <c r="AK6" s="5"/>
      <c r="AL6" s="5"/>
      <c r="AM6" s="5"/>
      <c r="AN6" s="5"/>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c r="EP6" s="6"/>
      <c r="EQ6" s="6"/>
      <c r="ER6" s="6"/>
      <c r="ES6" s="6"/>
      <c r="ET6" s="6"/>
      <c r="EU6" s="6"/>
      <c r="EV6" s="6"/>
      <c r="EW6" s="6"/>
      <c r="EX6" s="6"/>
      <c r="EY6" s="6"/>
      <c r="EZ6" s="6"/>
      <c r="FA6" s="6"/>
      <c r="FB6" s="6"/>
      <c r="FC6" s="6"/>
      <c r="FD6" s="6"/>
      <c r="FE6" s="6"/>
      <c r="FF6" s="6"/>
      <c r="FG6" s="6"/>
      <c r="FH6" s="6"/>
      <c r="FI6" s="6"/>
      <c r="FJ6" s="6"/>
      <c r="FK6" s="6"/>
      <c r="FL6" s="6"/>
      <c r="FM6" s="6"/>
      <c r="FN6" s="6"/>
      <c r="FO6" s="6"/>
      <c r="FP6" s="6"/>
      <c r="FQ6" s="6"/>
      <c r="FR6" s="6"/>
      <c r="FS6" s="6"/>
      <c r="FT6" s="6"/>
      <c r="FU6" s="6"/>
      <c r="FV6" s="6"/>
      <c r="FW6" s="6"/>
      <c r="FX6" s="6"/>
      <c r="FY6" s="6"/>
      <c r="FZ6" s="6"/>
      <c r="GA6" s="6"/>
      <c r="GB6" s="6"/>
      <c r="GC6" s="6"/>
      <c r="GD6" s="6"/>
      <c r="GE6" s="6"/>
      <c r="GF6" s="6"/>
      <c r="GG6" s="6"/>
      <c r="GH6" s="6"/>
      <c r="GI6" s="6"/>
      <c r="GJ6" s="6"/>
      <c r="GK6" s="6"/>
      <c r="GL6" s="6"/>
      <c r="GM6" s="6"/>
      <c r="GN6" s="6"/>
      <c r="GO6" s="6"/>
      <c r="GP6" s="6"/>
      <c r="GQ6" s="6"/>
      <c r="GR6" s="6"/>
      <c r="GS6" s="6"/>
      <c r="GT6" s="6"/>
      <c r="GU6" s="6"/>
      <c r="GV6" s="6"/>
      <c r="GW6" s="6"/>
      <c r="GX6" s="6"/>
      <c r="GY6" s="6"/>
      <c r="GZ6" s="6"/>
      <c r="HA6" s="6"/>
      <c r="HB6" s="6"/>
      <c r="HC6" s="6"/>
      <c r="HD6" s="6"/>
      <c r="HE6" s="6"/>
      <c r="HF6" s="6"/>
      <c r="HG6" s="6"/>
      <c r="HH6" s="6"/>
      <c r="HI6" s="6"/>
      <c r="HJ6" s="6"/>
      <c r="HK6" s="6"/>
      <c r="HL6" s="6"/>
      <c r="HM6" s="6"/>
      <c r="HN6" s="6"/>
      <c r="HO6" s="6"/>
      <c r="HP6" s="6"/>
      <c r="HQ6" s="6"/>
      <c r="HR6" s="6"/>
      <c r="HS6" s="6"/>
      <c r="HT6" s="6"/>
      <c r="HU6" s="6"/>
      <c r="HV6" s="6"/>
      <c r="HW6" s="6"/>
      <c r="HX6" s="6"/>
      <c r="HY6" s="6"/>
      <c r="HZ6" s="6"/>
      <c r="IA6" s="6"/>
      <c r="IB6" s="6"/>
      <c r="IC6" s="6"/>
    </row>
    <row r="7" spans="1:237">
      <c r="A7" s="215">
        <v>1</v>
      </c>
      <c r="B7" s="216"/>
      <c r="C7" s="26" t="s">
        <v>19</v>
      </c>
      <c r="D7" s="27"/>
      <c r="E7" s="28"/>
      <c r="F7" s="7"/>
      <c r="G7" s="29"/>
      <c r="H7" s="29"/>
      <c r="I7" s="29"/>
      <c r="J7" s="29"/>
      <c r="K7" s="29"/>
      <c r="L7" s="29"/>
      <c r="M7" s="29"/>
      <c r="N7" s="29"/>
      <c r="O7" s="29"/>
      <c r="P7" s="29"/>
      <c r="Q7" s="29"/>
      <c r="R7" s="29"/>
      <c r="S7" s="29"/>
      <c r="T7" s="29"/>
      <c r="U7" s="29"/>
      <c r="V7" s="29"/>
      <c r="W7" s="30"/>
      <c r="X7" s="220" t="s">
        <v>10</v>
      </c>
      <c r="Y7" s="220"/>
      <c r="Z7" s="220"/>
      <c r="AA7" s="220"/>
      <c r="AB7" s="220"/>
      <c r="AC7" s="216"/>
      <c r="AD7" s="16"/>
      <c r="AE7" s="16"/>
      <c r="AF7" s="16"/>
      <c r="AG7" s="16"/>
      <c r="AH7" s="16"/>
      <c r="AI7" s="16"/>
      <c r="AJ7" s="16"/>
      <c r="AK7" s="16"/>
      <c r="AL7" s="16"/>
      <c r="AM7" s="16"/>
      <c r="AN7" s="16"/>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c r="FT7" s="8"/>
      <c r="FU7" s="8"/>
      <c r="FV7" s="8"/>
      <c r="FW7" s="8"/>
      <c r="FX7" s="8"/>
      <c r="FY7" s="8"/>
      <c r="FZ7" s="8"/>
      <c r="GA7" s="8"/>
      <c r="GB7" s="8"/>
      <c r="GC7" s="8"/>
      <c r="GD7" s="8"/>
      <c r="GE7" s="8"/>
      <c r="GF7" s="8"/>
      <c r="GG7" s="8"/>
      <c r="GH7" s="8"/>
      <c r="GI7" s="8"/>
      <c r="GJ7" s="8"/>
      <c r="GK7" s="8"/>
      <c r="GL7" s="8"/>
      <c r="GM7" s="8"/>
      <c r="GN7" s="8"/>
      <c r="GO7" s="8"/>
      <c r="GP7" s="8"/>
      <c r="GQ7" s="8"/>
      <c r="GR7" s="8"/>
      <c r="GS7" s="8"/>
      <c r="GT7" s="8"/>
      <c r="GU7" s="8"/>
      <c r="GV7" s="8"/>
      <c r="GW7" s="8"/>
      <c r="GX7" s="8"/>
      <c r="GY7" s="8"/>
      <c r="GZ7" s="8"/>
      <c r="HA7" s="8"/>
      <c r="HB7" s="8"/>
      <c r="HC7" s="8"/>
      <c r="HD7" s="8"/>
      <c r="HE7" s="8"/>
      <c r="HF7" s="8"/>
      <c r="HG7" s="8"/>
      <c r="HH7" s="8"/>
      <c r="HI7" s="8"/>
      <c r="HJ7" s="8"/>
      <c r="HK7" s="8"/>
      <c r="HL7" s="8"/>
      <c r="HM7" s="8"/>
      <c r="HN7" s="8"/>
      <c r="HO7" s="8"/>
      <c r="HP7" s="8"/>
      <c r="HQ7" s="8"/>
      <c r="HR7" s="8"/>
      <c r="HS7" s="8"/>
      <c r="HT7" s="8"/>
      <c r="HU7" s="8"/>
      <c r="HV7" s="8"/>
      <c r="HW7" s="8"/>
      <c r="HX7" s="8"/>
      <c r="HY7" s="8"/>
      <c r="HZ7" s="8"/>
      <c r="IA7" s="8"/>
      <c r="IB7" s="8"/>
      <c r="IC7" s="8"/>
    </row>
    <row r="8" spans="1:237">
      <c r="A8" s="206">
        <v>2</v>
      </c>
      <c r="B8" s="207"/>
      <c r="C8" s="31" t="s">
        <v>20</v>
      </c>
      <c r="D8" s="32"/>
      <c r="E8" s="33"/>
      <c r="F8" s="34"/>
      <c r="G8" s="35"/>
      <c r="H8" s="35"/>
      <c r="I8" s="35"/>
      <c r="J8" s="35"/>
      <c r="K8" s="35"/>
      <c r="L8" s="35"/>
      <c r="M8" s="35"/>
      <c r="N8" s="35"/>
      <c r="O8" s="35"/>
      <c r="P8" s="35"/>
      <c r="Q8" s="35"/>
      <c r="R8" s="35"/>
      <c r="S8" s="35"/>
      <c r="T8" s="35"/>
      <c r="U8" s="35"/>
      <c r="V8" s="35"/>
      <c r="W8" s="36"/>
      <c r="X8" s="206" t="s">
        <v>10</v>
      </c>
      <c r="Y8" s="224"/>
      <c r="Z8" s="224"/>
      <c r="AA8" s="224"/>
      <c r="AB8" s="224"/>
      <c r="AC8" s="207"/>
      <c r="AD8" s="16"/>
      <c r="AE8" s="16"/>
      <c r="AF8" s="16"/>
      <c r="AG8" s="16"/>
      <c r="AH8" s="16"/>
      <c r="AI8" s="16"/>
      <c r="AJ8" s="16"/>
      <c r="AK8" s="16"/>
      <c r="AL8" s="16"/>
      <c r="AM8" s="16"/>
      <c r="AN8" s="16"/>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c r="CT8" s="8"/>
      <c r="CU8" s="8"/>
      <c r="CV8" s="8"/>
      <c r="CW8" s="8"/>
      <c r="CX8" s="8"/>
      <c r="CY8" s="8"/>
      <c r="CZ8" s="8"/>
      <c r="DA8" s="8"/>
      <c r="DB8" s="8"/>
      <c r="DC8" s="8"/>
      <c r="DD8" s="8"/>
      <c r="DE8" s="8"/>
      <c r="DF8" s="8"/>
      <c r="DG8" s="8"/>
      <c r="DH8" s="8"/>
      <c r="DI8" s="8"/>
      <c r="DJ8" s="8"/>
      <c r="DK8" s="8"/>
      <c r="DL8" s="8"/>
      <c r="DM8" s="8"/>
      <c r="DN8" s="8"/>
      <c r="DO8" s="8"/>
      <c r="DP8" s="8"/>
      <c r="DQ8" s="8"/>
      <c r="DR8" s="8"/>
      <c r="DS8" s="8"/>
      <c r="DT8" s="8"/>
      <c r="DU8" s="8"/>
      <c r="DV8" s="8"/>
      <c r="DW8" s="8"/>
      <c r="DX8" s="8"/>
      <c r="DY8" s="8"/>
      <c r="DZ8" s="8"/>
      <c r="EA8" s="8"/>
      <c r="EB8" s="8"/>
      <c r="EC8" s="8"/>
      <c r="ED8" s="8"/>
      <c r="EE8" s="8"/>
      <c r="EF8" s="8"/>
      <c r="EG8" s="8"/>
      <c r="EH8" s="8"/>
      <c r="EI8" s="8"/>
      <c r="EJ8" s="8"/>
      <c r="EK8" s="8"/>
      <c r="EL8" s="8"/>
      <c r="EM8" s="8"/>
      <c r="EN8" s="8"/>
      <c r="EO8" s="8"/>
      <c r="EP8" s="8"/>
      <c r="EQ8" s="8"/>
      <c r="ER8" s="8"/>
      <c r="ES8" s="8"/>
      <c r="ET8" s="8"/>
      <c r="EU8" s="8"/>
      <c r="EV8" s="8"/>
      <c r="EW8" s="8"/>
      <c r="EX8" s="8"/>
      <c r="EY8" s="8"/>
      <c r="EZ8" s="8"/>
      <c r="FA8" s="8"/>
      <c r="FB8" s="8"/>
      <c r="FC8" s="8"/>
      <c r="FD8" s="8"/>
      <c r="FE8" s="8"/>
      <c r="FF8" s="8"/>
      <c r="FG8" s="8"/>
      <c r="FH8" s="8"/>
      <c r="FI8" s="8"/>
      <c r="FJ8" s="8"/>
      <c r="FK8" s="8"/>
      <c r="FL8" s="8"/>
      <c r="FM8" s="8"/>
      <c r="FN8" s="8"/>
      <c r="FO8" s="8"/>
      <c r="FP8" s="8"/>
      <c r="FQ8" s="8"/>
      <c r="FR8" s="8"/>
      <c r="FS8" s="8"/>
      <c r="FT8" s="8"/>
      <c r="FU8" s="8"/>
      <c r="FV8" s="8"/>
      <c r="FW8" s="8"/>
      <c r="FX8" s="8"/>
      <c r="FY8" s="8"/>
      <c r="FZ8" s="8"/>
      <c r="GA8" s="8"/>
      <c r="GB8" s="8"/>
      <c r="GC8" s="8"/>
      <c r="GD8" s="8"/>
      <c r="GE8" s="8"/>
      <c r="GF8" s="8"/>
      <c r="GG8" s="8"/>
      <c r="GH8" s="8"/>
      <c r="GI8" s="8"/>
      <c r="GJ8" s="8"/>
      <c r="GK8" s="8"/>
      <c r="GL8" s="8"/>
      <c r="GM8" s="8"/>
      <c r="GN8" s="8"/>
      <c r="GO8" s="8"/>
      <c r="GP8" s="8"/>
      <c r="GQ8" s="8"/>
      <c r="GR8" s="8"/>
      <c r="GS8" s="8"/>
      <c r="GT8" s="8"/>
      <c r="GU8" s="8"/>
      <c r="GV8" s="8"/>
      <c r="GW8" s="8"/>
      <c r="GX8" s="8"/>
      <c r="GY8" s="8"/>
      <c r="GZ8" s="8"/>
      <c r="HA8" s="8"/>
      <c r="HB8" s="8"/>
      <c r="HC8" s="8"/>
      <c r="HD8" s="8"/>
      <c r="HE8" s="8"/>
      <c r="HF8" s="8"/>
      <c r="HG8" s="8"/>
      <c r="HH8" s="8"/>
      <c r="HI8" s="8"/>
      <c r="HJ8" s="8"/>
      <c r="HK8" s="8"/>
      <c r="HL8" s="8"/>
      <c r="HM8" s="8"/>
      <c r="HN8" s="8"/>
      <c r="HO8" s="8"/>
      <c r="HP8" s="8"/>
      <c r="HQ8" s="8"/>
      <c r="HR8" s="8"/>
      <c r="HS8" s="8"/>
      <c r="HT8" s="8"/>
      <c r="HU8" s="8"/>
      <c r="HV8" s="8"/>
      <c r="HW8" s="8"/>
      <c r="HX8" s="8"/>
      <c r="HY8" s="8"/>
      <c r="HZ8" s="8"/>
      <c r="IA8" s="8"/>
      <c r="IB8" s="8"/>
      <c r="IC8" s="8"/>
    </row>
    <row r="9" spans="1:237">
      <c r="A9" s="206">
        <v>3</v>
      </c>
      <c r="B9" s="207"/>
      <c r="C9" s="31" t="s">
        <v>21</v>
      </c>
      <c r="D9" s="32"/>
      <c r="E9" s="33"/>
      <c r="F9" s="34"/>
      <c r="G9" s="35"/>
      <c r="H9" s="35"/>
      <c r="I9" s="35"/>
      <c r="J9" s="35"/>
      <c r="K9" s="35"/>
      <c r="L9" s="35"/>
      <c r="M9" s="35"/>
      <c r="N9" s="35"/>
      <c r="O9" s="35"/>
      <c r="P9" s="35"/>
      <c r="Q9" s="35"/>
      <c r="R9" s="35"/>
      <c r="S9" s="35"/>
      <c r="T9" s="35"/>
      <c r="U9" s="35"/>
      <c r="V9" s="35"/>
      <c r="W9" s="36"/>
      <c r="X9" s="206" t="s">
        <v>10</v>
      </c>
      <c r="Y9" s="224"/>
      <c r="Z9" s="224"/>
      <c r="AA9" s="224"/>
      <c r="AB9" s="224"/>
      <c r="AC9" s="207"/>
      <c r="AD9" s="16"/>
      <c r="AE9" s="16"/>
      <c r="AF9" s="16"/>
      <c r="AG9" s="16"/>
      <c r="AH9" s="16"/>
      <c r="AI9" s="16"/>
      <c r="AJ9" s="16"/>
      <c r="AK9" s="16"/>
      <c r="AL9" s="16"/>
      <c r="AM9" s="16"/>
      <c r="AN9" s="16"/>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row>
    <row r="10" spans="1:237">
      <c r="A10" s="206">
        <v>4</v>
      </c>
      <c r="B10" s="207"/>
      <c r="C10" s="31" t="s">
        <v>22</v>
      </c>
      <c r="D10" s="32"/>
      <c r="E10" s="33"/>
      <c r="F10" s="34"/>
      <c r="G10" s="35"/>
      <c r="H10" s="35"/>
      <c r="I10" s="35"/>
      <c r="J10" s="35"/>
      <c r="K10" s="35"/>
      <c r="L10" s="35"/>
      <c r="M10" s="35"/>
      <c r="N10" s="35"/>
      <c r="O10" s="35"/>
      <c r="P10" s="35"/>
      <c r="Q10" s="35"/>
      <c r="R10" s="35"/>
      <c r="S10" s="35"/>
      <c r="T10" s="35"/>
      <c r="U10" s="35"/>
      <c r="V10" s="35"/>
      <c r="W10" s="36"/>
      <c r="X10" s="206" t="s">
        <v>10</v>
      </c>
      <c r="Y10" s="224"/>
      <c r="Z10" s="224"/>
      <c r="AA10" s="224"/>
      <c r="AB10" s="224"/>
      <c r="AC10" s="207"/>
      <c r="AD10" s="16"/>
      <c r="AE10" s="16"/>
      <c r="AF10" s="16"/>
      <c r="AG10" s="16"/>
      <c r="AH10" s="16"/>
      <c r="AI10" s="16"/>
      <c r="AJ10" s="16"/>
      <c r="AK10" s="16"/>
      <c r="AL10" s="16"/>
      <c r="AM10" s="16"/>
      <c r="AN10" s="16"/>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row>
    <row r="11" spans="1:237">
      <c r="A11" s="206">
        <v>5</v>
      </c>
      <c r="B11" s="207"/>
      <c r="C11" s="31" t="s">
        <v>11</v>
      </c>
      <c r="D11" s="32"/>
      <c r="E11" s="33"/>
      <c r="F11" s="34"/>
      <c r="G11" s="35"/>
      <c r="H11" s="35"/>
      <c r="I11" s="35"/>
      <c r="J11" s="35"/>
      <c r="K11" s="35"/>
      <c r="L11" s="35"/>
      <c r="M11" s="35"/>
      <c r="N11" s="35"/>
      <c r="O11" s="35"/>
      <c r="P11" s="35"/>
      <c r="Q11" s="35"/>
      <c r="R11" s="35"/>
      <c r="S11" s="35"/>
      <c r="T11" s="35"/>
      <c r="U11" s="35"/>
      <c r="V11" s="35"/>
      <c r="W11" s="36"/>
      <c r="X11" s="206" t="s">
        <v>10</v>
      </c>
      <c r="Y11" s="224"/>
      <c r="Z11" s="224"/>
      <c r="AA11" s="224"/>
      <c r="AB11" s="224"/>
      <c r="AC11" s="207"/>
      <c r="AD11" s="16"/>
      <c r="AE11" s="16"/>
      <c r="AF11" s="16"/>
      <c r="AG11" s="16"/>
      <c r="AH11" s="16"/>
      <c r="AI11" s="16"/>
      <c r="AJ11" s="16"/>
      <c r="AK11" s="16"/>
      <c r="AL11" s="16"/>
      <c r="AM11" s="16"/>
      <c r="AN11" s="16"/>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row>
    <row r="12" spans="1:237">
      <c r="A12" s="206">
        <v>6</v>
      </c>
      <c r="B12" s="207"/>
      <c r="C12" s="232" t="s">
        <v>47</v>
      </c>
      <c r="D12" s="233"/>
      <c r="E12" s="233"/>
      <c r="F12" s="233"/>
      <c r="G12" s="233"/>
      <c r="H12" s="233"/>
      <c r="I12" s="233"/>
      <c r="J12" s="233"/>
      <c r="K12" s="233"/>
      <c r="L12" s="233"/>
      <c r="M12" s="233"/>
      <c r="N12" s="233"/>
      <c r="O12" s="233"/>
      <c r="P12" s="233"/>
      <c r="Q12" s="233"/>
      <c r="R12" s="233"/>
      <c r="S12" s="233"/>
      <c r="T12" s="233"/>
      <c r="U12" s="233"/>
      <c r="V12" s="233"/>
      <c r="W12" s="234"/>
      <c r="X12" s="206" t="s">
        <v>10</v>
      </c>
      <c r="Y12" s="224"/>
      <c r="Z12" s="224"/>
      <c r="AA12" s="224"/>
      <c r="AB12" s="224"/>
      <c r="AC12" s="207"/>
      <c r="AD12" s="16"/>
      <c r="AE12" s="16"/>
      <c r="AF12" s="16"/>
      <c r="AG12" s="16"/>
      <c r="AH12" s="16"/>
      <c r="AI12" s="16"/>
      <c r="AJ12" s="16"/>
      <c r="AK12" s="16"/>
      <c r="AL12" s="16"/>
      <c r="AM12" s="16"/>
      <c r="AN12" s="16"/>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row>
    <row r="13" spans="1:237">
      <c r="A13" s="206">
        <v>7</v>
      </c>
      <c r="B13" s="207"/>
      <c r="C13" s="11" t="s">
        <v>24</v>
      </c>
      <c r="D13" s="12"/>
      <c r="E13" s="39"/>
      <c r="F13" s="13"/>
      <c r="G13" s="14"/>
      <c r="H13" s="14"/>
      <c r="I13" s="14"/>
      <c r="J13" s="14"/>
      <c r="K13" s="14"/>
      <c r="L13" s="14"/>
      <c r="M13" s="14"/>
      <c r="N13" s="14"/>
      <c r="O13" s="14"/>
      <c r="P13" s="14"/>
      <c r="Q13" s="14"/>
      <c r="R13" s="14"/>
      <c r="S13" s="14"/>
      <c r="T13" s="14"/>
      <c r="U13" s="14"/>
      <c r="V13" s="14"/>
      <c r="W13" s="15"/>
      <c r="X13" s="206" t="s">
        <v>10</v>
      </c>
      <c r="Y13" s="224"/>
      <c r="Z13" s="224"/>
      <c r="AA13" s="224"/>
      <c r="AB13" s="224"/>
      <c r="AC13" s="207"/>
      <c r="AD13" s="16"/>
      <c r="AE13" s="16"/>
      <c r="AF13" s="16"/>
      <c r="AG13" s="16"/>
      <c r="AH13" s="16"/>
      <c r="AI13" s="16"/>
      <c r="AJ13" s="16"/>
      <c r="AK13" s="16"/>
      <c r="AL13" s="16"/>
      <c r="AM13" s="16"/>
      <c r="AN13" s="16"/>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row>
    <row r="14" spans="1:237">
      <c r="A14" s="206">
        <v>8</v>
      </c>
      <c r="B14" s="207"/>
      <c r="C14" s="40" t="s">
        <v>62</v>
      </c>
      <c r="D14" s="33"/>
      <c r="E14" s="33"/>
      <c r="F14" s="51"/>
      <c r="G14" s="35"/>
      <c r="H14" s="35"/>
      <c r="I14" s="35"/>
      <c r="J14" s="35"/>
      <c r="K14" s="35"/>
      <c r="L14" s="35"/>
      <c r="M14" s="35"/>
      <c r="N14" s="35"/>
      <c r="O14" s="35"/>
      <c r="P14" s="35"/>
      <c r="Q14" s="35"/>
      <c r="R14" s="35"/>
      <c r="S14" s="35"/>
      <c r="T14" s="35"/>
      <c r="U14" s="35"/>
      <c r="V14" s="35"/>
      <c r="W14" s="36"/>
      <c r="X14" s="206" t="s">
        <v>10</v>
      </c>
      <c r="Y14" s="224"/>
      <c r="Z14" s="224"/>
      <c r="AA14" s="224"/>
      <c r="AB14" s="224"/>
      <c r="AC14" s="207"/>
      <c r="AD14" s="16"/>
      <c r="AE14" s="16"/>
      <c r="AF14" s="16"/>
      <c r="AG14" s="16"/>
      <c r="AH14" s="16"/>
      <c r="AI14" s="16"/>
      <c r="AJ14" s="16"/>
      <c r="AK14" s="16"/>
      <c r="AL14" s="16"/>
      <c r="AM14" s="16"/>
      <c r="AN14" s="16"/>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row>
    <row r="15" spans="1:237">
      <c r="A15" s="206">
        <v>9</v>
      </c>
      <c r="B15" s="207"/>
      <c r="C15" s="37" t="s">
        <v>63</v>
      </c>
      <c r="D15" s="39"/>
      <c r="E15" s="39"/>
      <c r="F15" s="50"/>
      <c r="G15" s="14"/>
      <c r="H15" s="14"/>
      <c r="I15" s="14"/>
      <c r="J15" s="14"/>
      <c r="K15" s="14"/>
      <c r="L15" s="14"/>
      <c r="M15" s="14"/>
      <c r="N15" s="14"/>
      <c r="O15" s="14"/>
      <c r="P15" s="14"/>
      <c r="Q15" s="14"/>
      <c r="R15" s="14"/>
      <c r="S15" s="14"/>
      <c r="T15" s="14"/>
      <c r="U15" s="14"/>
      <c r="V15" s="14"/>
      <c r="W15" s="15"/>
      <c r="X15" s="206" t="s">
        <v>10</v>
      </c>
      <c r="Y15" s="224"/>
      <c r="Z15" s="224"/>
      <c r="AA15" s="224"/>
      <c r="AB15" s="224"/>
      <c r="AC15" s="207"/>
      <c r="AD15" s="16"/>
      <c r="AE15" s="16"/>
      <c r="AF15" s="16"/>
      <c r="AG15" s="16"/>
      <c r="AH15" s="16"/>
      <c r="AI15" s="16"/>
      <c r="AJ15" s="16"/>
      <c r="AK15" s="16"/>
      <c r="AL15" s="16"/>
      <c r="AM15" s="16"/>
      <c r="AN15" s="16"/>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row>
    <row r="16" spans="1:237">
      <c r="A16" s="206">
        <v>10</v>
      </c>
      <c r="B16" s="207"/>
      <c r="C16" s="37" t="s">
        <v>64</v>
      </c>
      <c r="D16" s="39"/>
      <c r="E16" s="39"/>
      <c r="F16" s="50"/>
      <c r="G16" s="14"/>
      <c r="H16" s="14"/>
      <c r="I16" s="14"/>
      <c r="J16" s="14"/>
      <c r="K16" s="14"/>
      <c r="L16" s="14"/>
      <c r="M16" s="14"/>
      <c r="N16" s="14"/>
      <c r="O16" s="14"/>
      <c r="P16" s="14"/>
      <c r="Q16" s="14"/>
      <c r="R16" s="14"/>
      <c r="S16" s="14"/>
      <c r="T16" s="14"/>
      <c r="U16" s="14"/>
      <c r="V16" s="14"/>
      <c r="W16" s="15"/>
      <c r="X16" s="206" t="s">
        <v>10</v>
      </c>
      <c r="Y16" s="224"/>
      <c r="Z16" s="224"/>
      <c r="AA16" s="224"/>
      <c r="AB16" s="224"/>
      <c r="AC16" s="207"/>
      <c r="AD16" s="16"/>
      <c r="AE16" s="16"/>
      <c r="AF16" s="16"/>
      <c r="AG16" s="16"/>
      <c r="AH16" s="16"/>
      <c r="AI16" s="16"/>
      <c r="AJ16" s="16"/>
      <c r="AK16" s="16"/>
      <c r="AL16" s="16"/>
      <c r="AM16" s="16"/>
      <c r="AN16" s="16"/>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row>
    <row r="17" spans="1:237">
      <c r="A17" s="206">
        <v>11</v>
      </c>
      <c r="B17" s="207"/>
      <c r="C17" s="37" t="s">
        <v>65</v>
      </c>
      <c r="D17" s="39"/>
      <c r="E17" s="39"/>
      <c r="F17" s="50"/>
      <c r="G17" s="14"/>
      <c r="H17" s="14"/>
      <c r="I17" s="14"/>
      <c r="J17" s="14"/>
      <c r="K17" s="14"/>
      <c r="L17" s="14"/>
      <c r="M17" s="14"/>
      <c r="N17" s="14"/>
      <c r="O17" s="14"/>
      <c r="P17" s="14"/>
      <c r="Q17" s="14"/>
      <c r="R17" s="14"/>
      <c r="S17" s="14"/>
      <c r="T17" s="14"/>
      <c r="U17" s="14"/>
      <c r="V17" s="14"/>
      <c r="W17" s="15"/>
      <c r="X17" s="206" t="s">
        <v>10</v>
      </c>
      <c r="Y17" s="224"/>
      <c r="Z17" s="224"/>
      <c r="AA17" s="224"/>
      <c r="AB17" s="224"/>
      <c r="AC17" s="207"/>
      <c r="AD17" s="16"/>
      <c r="AE17" s="16"/>
      <c r="AF17" s="16"/>
      <c r="AG17" s="16"/>
      <c r="AH17" s="16"/>
      <c r="AI17" s="16"/>
      <c r="AJ17" s="16"/>
      <c r="AK17" s="16"/>
      <c r="AL17" s="16"/>
      <c r="AM17" s="16"/>
      <c r="AN17" s="16"/>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row>
    <row r="18" spans="1:237">
      <c r="A18" s="206">
        <v>12</v>
      </c>
      <c r="B18" s="207"/>
      <c r="C18" s="37" t="s">
        <v>66</v>
      </c>
      <c r="D18" s="39"/>
      <c r="E18" s="39"/>
      <c r="F18" s="50"/>
      <c r="G18" s="14"/>
      <c r="H18" s="14"/>
      <c r="I18" s="14"/>
      <c r="J18" s="14"/>
      <c r="K18" s="14"/>
      <c r="L18" s="14"/>
      <c r="M18" s="14"/>
      <c r="N18" s="14"/>
      <c r="O18" s="14"/>
      <c r="P18" s="14"/>
      <c r="Q18" s="14"/>
      <c r="R18" s="14"/>
      <c r="S18" s="14"/>
      <c r="T18" s="14"/>
      <c r="U18" s="14"/>
      <c r="V18" s="14"/>
      <c r="W18" s="15"/>
      <c r="X18" s="206" t="s">
        <v>10</v>
      </c>
      <c r="Y18" s="224"/>
      <c r="Z18" s="224"/>
      <c r="AA18" s="224"/>
      <c r="AB18" s="224"/>
      <c r="AC18" s="207"/>
      <c r="AD18" s="16"/>
      <c r="AE18" s="16"/>
      <c r="AF18" s="16"/>
      <c r="AG18" s="16"/>
      <c r="AH18" s="16"/>
      <c r="AI18" s="16"/>
      <c r="AJ18" s="16"/>
      <c r="AK18" s="16"/>
      <c r="AL18" s="16"/>
      <c r="AM18" s="16"/>
      <c r="AN18" s="16"/>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row>
    <row r="19" spans="1:237">
      <c r="A19" s="206"/>
      <c r="B19" s="207"/>
      <c r="C19" s="37" t="s">
        <v>67</v>
      </c>
      <c r="D19" s="39"/>
      <c r="E19" s="39"/>
      <c r="F19" s="50"/>
      <c r="G19" s="14"/>
      <c r="H19" s="14"/>
      <c r="I19" s="14"/>
      <c r="J19" s="14"/>
      <c r="K19" s="14"/>
      <c r="L19" s="14"/>
      <c r="M19" s="14"/>
      <c r="N19" s="14"/>
      <c r="O19" s="14"/>
      <c r="P19" s="14"/>
      <c r="Q19" s="14"/>
      <c r="R19" s="14"/>
      <c r="S19" s="14"/>
      <c r="T19" s="14"/>
      <c r="U19" s="14"/>
      <c r="V19" s="14"/>
      <c r="W19" s="15"/>
      <c r="X19" s="206"/>
      <c r="Y19" s="224"/>
      <c r="Z19" s="224"/>
      <c r="AA19" s="224"/>
      <c r="AB19" s="224"/>
      <c r="AC19" s="207"/>
      <c r="AD19" s="16"/>
      <c r="AE19" s="16"/>
      <c r="AF19" s="16"/>
      <c r="AG19" s="16"/>
      <c r="AH19" s="16"/>
      <c r="AI19" s="16"/>
      <c r="AJ19" s="16"/>
      <c r="AK19" s="16"/>
      <c r="AL19" s="16"/>
      <c r="AM19" s="16"/>
      <c r="AN19" s="16"/>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row>
    <row r="20" spans="1:237">
      <c r="A20" s="206">
        <v>13</v>
      </c>
      <c r="B20" s="207"/>
      <c r="C20" s="37" t="s">
        <v>68</v>
      </c>
      <c r="D20" s="39"/>
      <c r="E20" s="39"/>
      <c r="F20" s="50"/>
      <c r="G20" s="14"/>
      <c r="H20" s="14"/>
      <c r="I20" s="14"/>
      <c r="J20" s="14"/>
      <c r="K20" s="14"/>
      <c r="L20" s="14"/>
      <c r="M20" s="14"/>
      <c r="N20" s="14"/>
      <c r="O20" s="14"/>
      <c r="P20" s="14"/>
      <c r="Q20" s="14"/>
      <c r="R20" s="14"/>
      <c r="S20" s="14"/>
      <c r="T20" s="14"/>
      <c r="U20" s="14"/>
      <c r="V20" s="14"/>
      <c r="W20" s="15"/>
      <c r="X20" s="206" t="s">
        <v>10</v>
      </c>
      <c r="Y20" s="224"/>
      <c r="Z20" s="224"/>
      <c r="AA20" s="224"/>
      <c r="AB20" s="224"/>
      <c r="AC20" s="207"/>
      <c r="AD20" s="16"/>
      <c r="AE20" s="16"/>
      <c r="AF20" s="16"/>
      <c r="AG20" s="16"/>
      <c r="AH20" s="16"/>
      <c r="AI20" s="16"/>
      <c r="AJ20" s="16"/>
      <c r="AK20" s="16"/>
      <c r="AL20" s="16"/>
      <c r="AM20" s="16"/>
      <c r="AN20" s="16"/>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row>
    <row r="21" spans="1:237">
      <c r="A21" s="206">
        <v>14</v>
      </c>
      <c r="B21" s="207"/>
      <c r="C21" s="37" t="s">
        <v>69</v>
      </c>
      <c r="D21" s="39"/>
      <c r="E21" s="39"/>
      <c r="F21" s="50"/>
      <c r="G21" s="14"/>
      <c r="H21" s="14"/>
      <c r="I21" s="14"/>
      <c r="J21" s="14"/>
      <c r="K21" s="14"/>
      <c r="L21" s="14"/>
      <c r="M21" s="14"/>
      <c r="N21" s="14"/>
      <c r="O21" s="14"/>
      <c r="P21" s="14"/>
      <c r="Q21" s="14"/>
      <c r="R21" s="14"/>
      <c r="S21" s="14"/>
      <c r="T21" s="14"/>
      <c r="U21" s="14"/>
      <c r="V21" s="14"/>
      <c r="W21" s="15"/>
      <c r="X21" s="206" t="s">
        <v>10</v>
      </c>
      <c r="Y21" s="224"/>
      <c r="Z21" s="224"/>
      <c r="AA21" s="224"/>
      <c r="AB21" s="224"/>
      <c r="AC21" s="207"/>
      <c r="AD21" s="16"/>
      <c r="AE21" s="16"/>
      <c r="AF21" s="16"/>
      <c r="AG21" s="16"/>
      <c r="AH21" s="16"/>
      <c r="AI21" s="16"/>
      <c r="AJ21" s="16"/>
      <c r="AK21" s="16"/>
      <c r="AL21" s="16"/>
      <c r="AM21" s="16"/>
      <c r="AN21" s="16"/>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row>
    <row r="22" spans="1:237">
      <c r="A22" s="206">
        <v>15</v>
      </c>
      <c r="B22" s="207"/>
      <c r="C22" s="37" t="s">
        <v>70</v>
      </c>
      <c r="D22" s="39"/>
      <c r="E22" s="39"/>
      <c r="F22" s="50"/>
      <c r="G22" s="14"/>
      <c r="H22" s="14"/>
      <c r="I22" s="14"/>
      <c r="J22" s="14"/>
      <c r="K22" s="14"/>
      <c r="L22" s="14"/>
      <c r="M22" s="14"/>
      <c r="N22" s="14"/>
      <c r="O22" s="14"/>
      <c r="P22" s="14"/>
      <c r="Q22" s="14"/>
      <c r="R22" s="14"/>
      <c r="S22" s="14"/>
      <c r="T22" s="14"/>
      <c r="U22" s="14"/>
      <c r="V22" s="14"/>
      <c r="W22" s="15"/>
      <c r="X22" s="206" t="s">
        <v>10</v>
      </c>
      <c r="Y22" s="224"/>
      <c r="Z22" s="224"/>
      <c r="AA22" s="224"/>
      <c r="AB22" s="224"/>
      <c r="AC22" s="207"/>
      <c r="AD22" s="16"/>
      <c r="AE22" s="16"/>
      <c r="AF22" s="16"/>
      <c r="AG22" s="16"/>
      <c r="AH22" s="16"/>
      <c r="AI22" s="16"/>
      <c r="AJ22" s="16"/>
      <c r="AK22" s="16"/>
      <c r="AL22" s="16"/>
      <c r="AM22" s="16"/>
      <c r="AN22" s="16"/>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c r="CR22" s="8"/>
      <c r="CS22" s="8"/>
      <c r="CT22" s="8"/>
      <c r="CU22" s="8"/>
      <c r="CV22" s="8"/>
      <c r="CW22" s="8"/>
      <c r="CX22" s="8"/>
      <c r="CY22" s="8"/>
      <c r="CZ22" s="8"/>
      <c r="DA22" s="8"/>
      <c r="DB22" s="8"/>
      <c r="DC22" s="8"/>
      <c r="DD22" s="8"/>
      <c r="DE22" s="8"/>
      <c r="DF22" s="8"/>
      <c r="DG22" s="8"/>
      <c r="DH22" s="8"/>
      <c r="DI22" s="8"/>
      <c r="DJ22" s="8"/>
      <c r="DK22" s="8"/>
      <c r="DL22" s="8"/>
      <c r="DM22" s="8"/>
      <c r="DN22" s="8"/>
      <c r="DO22" s="8"/>
      <c r="DP22" s="8"/>
      <c r="DQ22" s="8"/>
      <c r="DR22" s="8"/>
      <c r="DS22" s="8"/>
      <c r="DT22" s="8"/>
      <c r="DU22" s="8"/>
      <c r="DV22" s="8"/>
      <c r="DW22" s="8"/>
      <c r="DX22" s="8"/>
      <c r="DY22" s="8"/>
      <c r="DZ22" s="8"/>
      <c r="EA22" s="8"/>
      <c r="EB22" s="8"/>
      <c r="EC22" s="8"/>
      <c r="ED22" s="8"/>
      <c r="EE22" s="8"/>
      <c r="EF22" s="8"/>
      <c r="EG22" s="8"/>
      <c r="EH22" s="8"/>
      <c r="EI22" s="8"/>
      <c r="EJ22" s="8"/>
      <c r="EK22" s="8"/>
      <c r="EL22" s="8"/>
      <c r="EM22" s="8"/>
      <c r="EN22" s="8"/>
      <c r="EO22" s="8"/>
      <c r="EP22" s="8"/>
      <c r="EQ22" s="8"/>
      <c r="ER22" s="8"/>
      <c r="ES22" s="8"/>
      <c r="ET22" s="8"/>
      <c r="EU22" s="8"/>
      <c r="EV22" s="8"/>
      <c r="EW22" s="8"/>
      <c r="EX22" s="8"/>
      <c r="EY22" s="8"/>
      <c r="EZ22" s="8"/>
      <c r="FA22" s="8"/>
      <c r="FB22" s="8"/>
      <c r="FC22" s="8"/>
      <c r="FD22" s="8"/>
      <c r="FE22" s="8"/>
      <c r="FF22" s="8"/>
      <c r="FG22" s="8"/>
      <c r="FH22" s="8"/>
      <c r="FI22" s="8"/>
      <c r="FJ22" s="8"/>
      <c r="FK22" s="8"/>
      <c r="FL22" s="8"/>
      <c r="FM22" s="8"/>
      <c r="FN22" s="8"/>
      <c r="FO22" s="8"/>
      <c r="FP22" s="8"/>
      <c r="FQ22" s="8"/>
      <c r="FR22" s="8"/>
      <c r="FS22" s="8"/>
      <c r="FT22" s="8"/>
      <c r="FU22" s="8"/>
      <c r="FV22" s="8"/>
      <c r="FW22" s="8"/>
      <c r="FX22" s="8"/>
      <c r="FY22" s="8"/>
      <c r="FZ22" s="8"/>
      <c r="GA22" s="8"/>
      <c r="GB22" s="8"/>
      <c r="GC22" s="8"/>
      <c r="GD22" s="8"/>
      <c r="GE22" s="8"/>
      <c r="GF22" s="8"/>
      <c r="GG22" s="8"/>
      <c r="GH22" s="8"/>
      <c r="GI22" s="8"/>
      <c r="GJ22" s="8"/>
      <c r="GK22" s="8"/>
      <c r="GL22" s="8"/>
      <c r="GM22" s="8"/>
      <c r="GN22" s="8"/>
      <c r="GO22" s="8"/>
      <c r="GP22" s="8"/>
      <c r="GQ22" s="8"/>
      <c r="GR22" s="8"/>
      <c r="GS22" s="8"/>
      <c r="GT22" s="8"/>
      <c r="GU22" s="8"/>
      <c r="GV22" s="8"/>
      <c r="GW22" s="8"/>
      <c r="GX22" s="8"/>
      <c r="GY22" s="8"/>
      <c r="GZ22" s="8"/>
      <c r="HA22" s="8"/>
      <c r="HB22" s="8"/>
      <c r="HC22" s="8"/>
      <c r="HD22" s="8"/>
      <c r="HE22" s="8"/>
      <c r="HF22" s="8"/>
      <c r="HG22" s="8"/>
      <c r="HH22" s="8"/>
      <c r="HI22" s="8"/>
      <c r="HJ22" s="8"/>
      <c r="HK22" s="8"/>
      <c r="HL22" s="8"/>
      <c r="HM22" s="8"/>
      <c r="HN22" s="8"/>
      <c r="HO22" s="8"/>
      <c r="HP22" s="8"/>
      <c r="HQ22" s="8"/>
      <c r="HR22" s="8"/>
      <c r="HS22" s="8"/>
      <c r="HT22" s="8"/>
      <c r="HU22" s="8"/>
      <c r="HV22" s="8"/>
      <c r="HW22" s="8"/>
      <c r="HX22" s="8"/>
      <c r="HY22" s="8"/>
      <c r="HZ22" s="8"/>
      <c r="IA22" s="8"/>
      <c r="IB22" s="8"/>
      <c r="IC22" s="8"/>
    </row>
    <row r="23" spans="1:237">
      <c r="A23" s="206">
        <v>16</v>
      </c>
      <c r="B23" s="207"/>
      <c r="C23" s="37" t="s">
        <v>71</v>
      </c>
      <c r="D23" s="39"/>
      <c r="E23" s="39"/>
      <c r="F23" s="50"/>
      <c r="G23" s="14"/>
      <c r="H23" s="14"/>
      <c r="I23" s="14"/>
      <c r="J23" s="14"/>
      <c r="K23" s="14"/>
      <c r="L23" s="14"/>
      <c r="M23" s="14"/>
      <c r="N23" s="14"/>
      <c r="O23" s="14"/>
      <c r="P23" s="14"/>
      <c r="Q23" s="14"/>
      <c r="R23" s="14"/>
      <c r="S23" s="14"/>
      <c r="T23" s="14"/>
      <c r="U23" s="14"/>
      <c r="V23" s="14"/>
      <c r="W23" s="15"/>
      <c r="X23" s="206" t="s">
        <v>10</v>
      </c>
      <c r="Y23" s="224"/>
      <c r="Z23" s="224"/>
      <c r="AA23" s="224"/>
      <c r="AB23" s="224"/>
      <c r="AC23" s="207"/>
      <c r="AD23" s="16"/>
      <c r="AE23" s="16"/>
      <c r="AF23" s="16"/>
      <c r="AG23" s="16"/>
      <c r="AH23" s="16"/>
      <c r="AI23" s="16"/>
      <c r="AJ23" s="16"/>
      <c r="AK23" s="16"/>
      <c r="AL23" s="16"/>
      <c r="AM23" s="16"/>
      <c r="AN23" s="16"/>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row>
    <row r="24" spans="1:237">
      <c r="A24" s="206">
        <v>17</v>
      </c>
      <c r="B24" s="207"/>
      <c r="C24" s="37" t="s">
        <v>72</v>
      </c>
      <c r="D24" s="39"/>
      <c r="E24" s="39"/>
      <c r="F24" s="50"/>
      <c r="G24" s="14"/>
      <c r="H24" s="14"/>
      <c r="I24" s="14"/>
      <c r="J24" s="14"/>
      <c r="K24" s="14"/>
      <c r="L24" s="14"/>
      <c r="M24" s="14"/>
      <c r="N24" s="14"/>
      <c r="O24" s="14"/>
      <c r="P24" s="14"/>
      <c r="Q24" s="14"/>
      <c r="R24" s="14"/>
      <c r="S24" s="14"/>
      <c r="T24" s="14"/>
      <c r="U24" s="14"/>
      <c r="V24" s="14"/>
      <c r="W24" s="15"/>
      <c r="X24" s="206" t="s">
        <v>10</v>
      </c>
      <c r="Y24" s="224"/>
      <c r="Z24" s="224"/>
      <c r="AA24" s="224"/>
      <c r="AB24" s="224"/>
      <c r="AC24" s="207"/>
      <c r="AD24" s="16"/>
      <c r="AE24" s="16"/>
      <c r="AF24" s="16"/>
      <c r="AG24" s="16"/>
      <c r="AH24" s="16"/>
      <c r="AI24" s="16"/>
      <c r="AJ24" s="16"/>
      <c r="AK24" s="16"/>
      <c r="AL24" s="16"/>
      <c r="AM24" s="16"/>
      <c r="AN24" s="16"/>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row>
    <row r="25" spans="1:237">
      <c r="A25" s="206">
        <v>18</v>
      </c>
      <c r="B25" s="207"/>
      <c r="C25" s="37" t="s">
        <v>73</v>
      </c>
      <c r="D25" s="39"/>
      <c r="E25" s="39"/>
      <c r="F25" s="50"/>
      <c r="G25" s="14"/>
      <c r="H25" s="14"/>
      <c r="I25" s="14"/>
      <c r="J25" s="14"/>
      <c r="K25" s="14"/>
      <c r="L25" s="14"/>
      <c r="M25" s="14"/>
      <c r="N25" s="14"/>
      <c r="O25" s="14"/>
      <c r="P25" s="14"/>
      <c r="Q25" s="14"/>
      <c r="R25" s="14"/>
      <c r="S25" s="14"/>
      <c r="T25" s="14"/>
      <c r="U25" s="14"/>
      <c r="V25" s="14"/>
      <c r="W25" s="15"/>
      <c r="X25" s="206" t="s">
        <v>10</v>
      </c>
      <c r="Y25" s="224"/>
      <c r="Z25" s="224"/>
      <c r="AA25" s="224"/>
      <c r="AB25" s="224"/>
      <c r="AC25" s="207"/>
      <c r="AD25" s="16"/>
      <c r="AE25" s="16"/>
      <c r="AF25" s="16"/>
      <c r="AG25" s="16"/>
      <c r="AH25" s="16"/>
      <c r="AI25" s="16"/>
      <c r="AJ25" s="16"/>
      <c r="AK25" s="16"/>
      <c r="AL25" s="16"/>
      <c r="AM25" s="16"/>
      <c r="AN25" s="16"/>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row>
    <row r="26" spans="1:237">
      <c r="A26" s="206">
        <v>19</v>
      </c>
      <c r="B26" s="207"/>
      <c r="C26" s="37" t="s">
        <v>74</v>
      </c>
      <c r="D26" s="39"/>
      <c r="E26" s="39"/>
      <c r="F26" s="50"/>
      <c r="G26" s="14"/>
      <c r="H26" s="14"/>
      <c r="I26" s="14"/>
      <c r="J26" s="14"/>
      <c r="K26" s="14"/>
      <c r="L26" s="14"/>
      <c r="M26" s="14"/>
      <c r="N26" s="14"/>
      <c r="O26" s="14"/>
      <c r="P26" s="14"/>
      <c r="Q26" s="14"/>
      <c r="R26" s="14"/>
      <c r="S26" s="14"/>
      <c r="T26" s="14"/>
      <c r="U26" s="14"/>
      <c r="V26" s="14"/>
      <c r="W26" s="15"/>
      <c r="X26" s="206" t="s">
        <v>10</v>
      </c>
      <c r="Y26" s="224"/>
      <c r="Z26" s="224"/>
      <c r="AA26" s="224"/>
      <c r="AB26" s="224"/>
      <c r="AC26" s="207"/>
      <c r="AD26" s="16"/>
      <c r="AE26" s="16"/>
      <c r="AF26" s="16"/>
      <c r="AG26" s="16"/>
      <c r="AH26" s="16"/>
      <c r="AI26" s="16"/>
      <c r="AJ26" s="16"/>
      <c r="AK26" s="16"/>
      <c r="AL26" s="16"/>
      <c r="AM26" s="16"/>
      <c r="AN26" s="16"/>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row>
    <row r="27" spans="1:237">
      <c r="A27" s="206">
        <v>20</v>
      </c>
      <c r="B27" s="207"/>
      <c r="C27" s="40" t="s">
        <v>75</v>
      </c>
      <c r="D27" s="39"/>
      <c r="E27" s="39"/>
      <c r="F27" s="14"/>
      <c r="G27" s="14"/>
      <c r="H27" s="14"/>
      <c r="I27" s="14"/>
      <c r="J27" s="14"/>
      <c r="K27" s="14"/>
      <c r="L27" s="14"/>
      <c r="M27" s="14"/>
      <c r="N27" s="14"/>
      <c r="O27" s="14"/>
      <c r="P27" s="14"/>
      <c r="Q27" s="14"/>
      <c r="R27" s="14"/>
      <c r="S27" s="14"/>
      <c r="T27" s="14"/>
      <c r="U27" s="14"/>
      <c r="V27" s="14"/>
      <c r="W27" s="15"/>
      <c r="X27" s="206" t="s">
        <v>10</v>
      </c>
      <c r="Y27" s="224"/>
      <c r="Z27" s="224"/>
      <c r="AA27" s="224"/>
      <c r="AB27" s="224"/>
      <c r="AC27" s="207"/>
      <c r="AD27" s="16"/>
      <c r="AE27" s="16"/>
      <c r="AF27" s="16"/>
      <c r="AG27" s="16"/>
      <c r="AH27" s="16"/>
      <c r="AI27" s="16"/>
      <c r="AJ27" s="16"/>
      <c r="AK27" s="16"/>
      <c r="AL27" s="16"/>
      <c r="AM27" s="16"/>
      <c r="AN27" s="16"/>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row>
    <row r="28" spans="1:237">
      <c r="A28" s="206">
        <v>21</v>
      </c>
      <c r="B28" s="207"/>
      <c r="C28" s="37" t="s">
        <v>76</v>
      </c>
      <c r="D28" s="39"/>
      <c r="E28" s="39"/>
      <c r="F28" s="14"/>
      <c r="G28" s="14"/>
      <c r="H28" s="14"/>
      <c r="I28" s="14"/>
      <c r="J28" s="14"/>
      <c r="K28" s="14"/>
      <c r="L28" s="14"/>
      <c r="M28" s="14"/>
      <c r="N28" s="14"/>
      <c r="O28" s="14"/>
      <c r="P28" s="14"/>
      <c r="Q28" s="14"/>
      <c r="R28" s="14"/>
      <c r="S28" s="14"/>
      <c r="T28" s="14"/>
      <c r="U28" s="14"/>
      <c r="V28" s="14"/>
      <c r="W28" s="15"/>
      <c r="X28" s="206" t="s">
        <v>10</v>
      </c>
      <c r="Y28" s="224"/>
      <c r="Z28" s="224"/>
      <c r="AA28" s="224"/>
      <c r="AB28" s="224"/>
      <c r="AC28" s="207"/>
      <c r="AD28" s="16"/>
      <c r="AE28" s="16"/>
      <c r="AF28" s="16"/>
      <c r="AG28" s="16"/>
      <c r="AH28" s="16"/>
      <c r="AI28" s="16"/>
      <c r="AJ28" s="16"/>
      <c r="AK28" s="16"/>
      <c r="AL28" s="16"/>
      <c r="AM28" s="16"/>
      <c r="AN28" s="16"/>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row>
    <row r="29" spans="1:237">
      <c r="A29" s="206">
        <v>22</v>
      </c>
      <c r="B29" s="207"/>
      <c r="C29" s="37" t="s">
        <v>77</v>
      </c>
      <c r="D29" s="39"/>
      <c r="E29" s="39"/>
      <c r="F29" s="14"/>
      <c r="G29" s="14"/>
      <c r="H29" s="14"/>
      <c r="I29" s="14"/>
      <c r="J29" s="14"/>
      <c r="K29" s="14"/>
      <c r="L29" s="14"/>
      <c r="M29" s="14"/>
      <c r="N29" s="14"/>
      <c r="O29" s="14"/>
      <c r="P29" s="14"/>
      <c r="Q29" s="14"/>
      <c r="R29" s="14"/>
      <c r="S29" s="14"/>
      <c r="T29" s="14"/>
      <c r="U29" s="14"/>
      <c r="V29" s="14"/>
      <c r="W29" s="15"/>
      <c r="X29" s="206" t="s">
        <v>10</v>
      </c>
      <c r="Y29" s="224"/>
      <c r="Z29" s="224"/>
      <c r="AA29" s="224"/>
      <c r="AB29" s="224"/>
      <c r="AC29" s="207"/>
      <c r="AD29" s="16"/>
      <c r="AE29" s="16"/>
      <c r="AF29" s="16"/>
      <c r="AG29" s="16"/>
      <c r="AH29" s="16"/>
      <c r="AI29" s="16"/>
      <c r="AJ29" s="16"/>
      <c r="AK29" s="16"/>
      <c r="AL29" s="16"/>
      <c r="AM29" s="16"/>
      <c r="AN29" s="16"/>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row>
    <row r="30" spans="1:237">
      <c r="A30" s="206">
        <v>23</v>
      </c>
      <c r="B30" s="207"/>
      <c r="C30" s="37" t="s">
        <v>78</v>
      </c>
      <c r="D30" s="39"/>
      <c r="E30" s="39"/>
      <c r="F30" s="14"/>
      <c r="G30" s="14"/>
      <c r="H30" s="14"/>
      <c r="I30" s="14"/>
      <c r="J30" s="14"/>
      <c r="K30" s="14"/>
      <c r="L30" s="14"/>
      <c r="M30" s="14"/>
      <c r="N30" s="14"/>
      <c r="O30" s="14"/>
      <c r="P30" s="14"/>
      <c r="Q30" s="14"/>
      <c r="R30" s="14"/>
      <c r="S30" s="14"/>
      <c r="T30" s="14"/>
      <c r="U30" s="14"/>
      <c r="V30" s="14"/>
      <c r="W30" s="15"/>
      <c r="X30" s="206" t="s">
        <v>10</v>
      </c>
      <c r="Y30" s="224"/>
      <c r="Z30" s="224"/>
      <c r="AA30" s="224"/>
      <c r="AB30" s="224"/>
      <c r="AC30" s="207"/>
      <c r="AD30" s="16"/>
      <c r="AE30" s="16"/>
      <c r="AF30" s="16"/>
      <c r="AG30" s="16"/>
      <c r="AH30" s="16"/>
      <c r="AI30" s="16"/>
      <c r="AJ30" s="16"/>
      <c r="AK30" s="16"/>
      <c r="AL30" s="16"/>
      <c r="AM30" s="16"/>
      <c r="AN30" s="16"/>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row>
    <row r="31" spans="1:237">
      <c r="A31" s="206">
        <v>24</v>
      </c>
      <c r="B31" s="207"/>
      <c r="C31" s="37" t="s">
        <v>79</v>
      </c>
      <c r="D31" s="39"/>
      <c r="E31" s="39"/>
      <c r="F31" s="14"/>
      <c r="G31" s="14"/>
      <c r="H31" s="14"/>
      <c r="I31" s="14"/>
      <c r="J31" s="14"/>
      <c r="K31" s="14"/>
      <c r="L31" s="14"/>
      <c r="M31" s="14"/>
      <c r="N31" s="14"/>
      <c r="O31" s="14"/>
      <c r="P31" s="14"/>
      <c r="Q31" s="14"/>
      <c r="R31" s="14"/>
      <c r="S31" s="14"/>
      <c r="T31" s="14"/>
      <c r="U31" s="14"/>
      <c r="V31" s="14"/>
      <c r="W31" s="15"/>
      <c r="X31" s="206" t="s">
        <v>10</v>
      </c>
      <c r="Y31" s="224"/>
      <c r="Z31" s="224"/>
      <c r="AA31" s="224"/>
      <c r="AB31" s="224"/>
      <c r="AC31" s="207"/>
      <c r="AD31" s="16"/>
      <c r="AE31" s="16"/>
      <c r="AF31" s="16"/>
      <c r="AG31" s="16"/>
      <c r="AH31" s="16"/>
      <c r="AI31" s="16"/>
      <c r="AJ31" s="16"/>
      <c r="AK31" s="16"/>
      <c r="AL31" s="16"/>
      <c r="AM31" s="16"/>
      <c r="AN31" s="16"/>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row>
    <row r="32" spans="1:237">
      <c r="A32" s="206">
        <v>25</v>
      </c>
      <c r="B32" s="207"/>
      <c r="C32" s="40" t="s">
        <v>80</v>
      </c>
      <c r="D32" s="39"/>
      <c r="E32" s="39"/>
      <c r="F32" s="14"/>
      <c r="G32" s="14"/>
      <c r="H32" s="14"/>
      <c r="I32" s="14"/>
      <c r="J32" s="14"/>
      <c r="K32" s="14"/>
      <c r="L32" s="14"/>
      <c r="M32" s="14"/>
      <c r="N32" s="14"/>
      <c r="O32" s="14"/>
      <c r="P32" s="14"/>
      <c r="Q32" s="14"/>
      <c r="R32" s="14"/>
      <c r="S32" s="14"/>
      <c r="T32" s="14"/>
      <c r="U32" s="14"/>
      <c r="V32" s="14"/>
      <c r="W32" s="15"/>
      <c r="X32" s="206" t="s">
        <v>10</v>
      </c>
      <c r="Y32" s="224"/>
      <c r="Z32" s="224"/>
      <c r="AA32" s="224"/>
      <c r="AB32" s="224"/>
      <c r="AC32" s="207"/>
      <c r="AD32" s="16"/>
      <c r="AE32" s="16"/>
      <c r="AF32" s="16"/>
      <c r="AG32" s="16"/>
      <c r="AH32" s="16"/>
      <c r="AI32" s="16"/>
      <c r="AJ32" s="16"/>
      <c r="AK32" s="16"/>
      <c r="AL32" s="16"/>
      <c r="AM32" s="16"/>
      <c r="AN32" s="16"/>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row>
    <row r="33" spans="1:237" ht="40.5" customHeight="1">
      <c r="A33" s="225">
        <v>26</v>
      </c>
      <c r="B33" s="226"/>
      <c r="C33" s="241" t="s">
        <v>81</v>
      </c>
      <c r="D33" s="242"/>
      <c r="E33" s="242"/>
      <c r="F33" s="242"/>
      <c r="G33" s="242"/>
      <c r="H33" s="242"/>
      <c r="I33" s="242"/>
      <c r="J33" s="242"/>
      <c r="K33" s="242"/>
      <c r="L33" s="242"/>
      <c r="M33" s="242"/>
      <c r="N33" s="242"/>
      <c r="O33" s="242"/>
      <c r="P33" s="242"/>
      <c r="Q33" s="242"/>
      <c r="R33" s="242"/>
      <c r="S33" s="242"/>
      <c r="T33" s="242"/>
      <c r="U33" s="242"/>
      <c r="V33" s="242"/>
      <c r="W33" s="243"/>
      <c r="X33" s="249" t="s">
        <v>247</v>
      </c>
      <c r="Y33" s="249"/>
      <c r="Z33" s="249"/>
      <c r="AA33" s="249"/>
      <c r="AB33" s="249"/>
      <c r="AC33" s="250"/>
      <c r="AD33" s="244" t="s">
        <v>246</v>
      </c>
      <c r="AE33" s="245"/>
      <c r="AF33" s="245"/>
      <c r="AG33" s="245"/>
      <c r="AH33" s="245"/>
      <c r="AI33" s="245"/>
      <c r="AJ33" s="245"/>
      <c r="AK33" s="245"/>
      <c r="AL33" s="245"/>
      <c r="AM33" s="245"/>
      <c r="AN33" s="245"/>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row>
    <row r="34" spans="1:237" ht="15">
      <c r="A34" s="3"/>
      <c r="B34" s="3"/>
      <c r="C34" s="3"/>
      <c r="D34" s="3"/>
      <c r="E34" s="3"/>
      <c r="F34" s="3"/>
      <c r="G34" s="3"/>
      <c r="H34" s="3"/>
      <c r="I34" s="3"/>
      <c r="J34" s="3"/>
      <c r="K34" s="3"/>
      <c r="L34" s="3"/>
      <c r="M34" s="3"/>
      <c r="N34" s="3"/>
      <c r="O34" s="3"/>
      <c r="P34" s="3"/>
      <c r="Q34" s="3"/>
      <c r="R34" s="3"/>
      <c r="S34" s="3"/>
      <c r="T34" s="3"/>
      <c r="U34" s="3"/>
      <c r="V34" s="3"/>
      <c r="W34" s="3"/>
      <c r="X34" s="229" t="s">
        <v>172</v>
      </c>
      <c r="Y34" s="229"/>
      <c r="Z34" s="229"/>
      <c r="AA34" s="229"/>
      <c r="AB34" s="229"/>
      <c r="AC34" s="229"/>
      <c r="AD34" s="5"/>
      <c r="AE34" s="5"/>
      <c r="AF34" s="5"/>
      <c r="AG34" s="5"/>
      <c r="AH34" s="5"/>
      <c r="AI34" s="5"/>
      <c r="AJ34" s="5"/>
      <c r="AK34" s="5"/>
      <c r="AL34" s="5"/>
      <c r="AM34" s="5"/>
      <c r="AN34" s="5"/>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c r="CY34" s="6"/>
      <c r="CZ34" s="6"/>
      <c r="DA34" s="6"/>
      <c r="DB34" s="6"/>
      <c r="DC34" s="6"/>
      <c r="DD34" s="6"/>
      <c r="DE34" s="6"/>
      <c r="DF34" s="6"/>
      <c r="DG34" s="6"/>
      <c r="DH34" s="6"/>
      <c r="DI34" s="6"/>
      <c r="DJ34" s="6"/>
      <c r="DK34" s="6"/>
      <c r="DL34" s="6"/>
      <c r="DM34" s="6"/>
      <c r="DN34" s="6"/>
      <c r="DO34" s="6"/>
      <c r="DP34" s="6"/>
      <c r="DQ34" s="6"/>
      <c r="DR34" s="6"/>
      <c r="DS34" s="6"/>
      <c r="DT34" s="6"/>
      <c r="DU34" s="6"/>
      <c r="DV34" s="6"/>
      <c r="DW34" s="6"/>
      <c r="DX34" s="6"/>
      <c r="DY34" s="6"/>
      <c r="DZ34" s="6"/>
      <c r="EA34" s="6"/>
      <c r="EB34" s="6"/>
      <c r="EC34" s="6"/>
      <c r="ED34" s="6"/>
      <c r="EE34" s="6"/>
      <c r="EF34" s="6"/>
      <c r="EG34" s="6"/>
      <c r="EH34" s="6"/>
      <c r="EI34" s="6"/>
      <c r="EJ34" s="6"/>
      <c r="EK34" s="6"/>
      <c r="EL34" s="6"/>
      <c r="EM34" s="6"/>
      <c r="EN34" s="6"/>
      <c r="EO34" s="6"/>
      <c r="EP34" s="6"/>
      <c r="EQ34" s="6"/>
      <c r="ER34" s="6"/>
      <c r="ES34" s="6"/>
      <c r="ET34" s="6"/>
      <c r="EU34" s="6"/>
      <c r="EV34" s="6"/>
      <c r="EW34" s="6"/>
      <c r="EX34" s="6"/>
      <c r="EY34" s="6"/>
      <c r="EZ34" s="6"/>
      <c r="FA34" s="6"/>
      <c r="FB34" s="6"/>
      <c r="FC34" s="6"/>
      <c r="FD34" s="6"/>
      <c r="FE34" s="6"/>
      <c r="FF34" s="6"/>
      <c r="FG34" s="6"/>
      <c r="FH34" s="6"/>
      <c r="FI34" s="6"/>
      <c r="FJ34" s="6"/>
      <c r="FK34" s="6"/>
      <c r="FL34" s="6"/>
      <c r="FM34" s="6"/>
      <c r="FN34" s="6"/>
      <c r="FO34" s="6"/>
      <c r="FP34" s="6"/>
      <c r="FQ34" s="6"/>
      <c r="FR34" s="6"/>
      <c r="FS34" s="6"/>
      <c r="FT34" s="6"/>
      <c r="FU34" s="6"/>
      <c r="FV34" s="6"/>
      <c r="FW34" s="6"/>
      <c r="FX34" s="6"/>
      <c r="FY34" s="6"/>
      <c r="FZ34" s="6"/>
      <c r="GA34" s="6"/>
      <c r="GB34" s="6"/>
      <c r="GC34" s="6"/>
      <c r="GD34" s="6"/>
      <c r="GE34" s="6"/>
      <c r="GF34" s="6"/>
      <c r="GG34" s="6"/>
      <c r="GH34" s="6"/>
      <c r="GI34" s="6"/>
      <c r="GJ34" s="6"/>
      <c r="GK34" s="6"/>
      <c r="GL34" s="6"/>
      <c r="GM34" s="6"/>
      <c r="GN34" s="6"/>
      <c r="GO34" s="6"/>
      <c r="GP34" s="6"/>
      <c r="GQ34" s="6"/>
      <c r="GR34" s="6"/>
      <c r="GS34" s="6"/>
      <c r="GT34" s="6"/>
      <c r="GU34" s="6"/>
      <c r="GV34" s="6"/>
      <c r="GW34" s="6"/>
      <c r="GX34" s="6"/>
      <c r="GY34" s="6"/>
      <c r="GZ34" s="6"/>
      <c r="HA34" s="6"/>
      <c r="HB34" s="6"/>
      <c r="HC34" s="6"/>
      <c r="HD34" s="6"/>
      <c r="HE34" s="6"/>
      <c r="HF34" s="6"/>
      <c r="HG34" s="6"/>
      <c r="HH34" s="6"/>
      <c r="HI34" s="6"/>
      <c r="HJ34" s="6"/>
      <c r="HK34" s="6"/>
      <c r="HL34" s="6"/>
      <c r="HM34" s="6"/>
      <c r="HN34" s="6"/>
      <c r="HO34" s="6"/>
      <c r="HP34" s="6"/>
      <c r="HQ34" s="6"/>
      <c r="HR34" s="6"/>
      <c r="HS34" s="6"/>
      <c r="HT34" s="6"/>
      <c r="HU34" s="6"/>
      <c r="HV34" s="6"/>
      <c r="HW34" s="6"/>
      <c r="HX34" s="6"/>
      <c r="HY34" s="6"/>
      <c r="HZ34" s="6"/>
      <c r="IA34" s="6"/>
      <c r="IB34" s="6"/>
      <c r="IC34" s="6"/>
    </row>
    <row r="35" spans="1:237" ht="15">
      <c r="A35" s="5"/>
      <c r="B35" s="5"/>
      <c r="C35" s="5"/>
      <c r="D35" s="5"/>
      <c r="E35" s="5"/>
      <c r="F35" s="5"/>
      <c r="G35" s="5"/>
      <c r="H35" s="5"/>
      <c r="I35" s="5"/>
      <c r="J35" s="5"/>
      <c r="K35" s="5"/>
      <c r="L35" s="5"/>
      <c r="M35" s="5"/>
      <c r="N35" s="5"/>
      <c r="O35" s="5"/>
      <c r="P35" s="5"/>
      <c r="Q35" s="5"/>
      <c r="R35" s="5"/>
      <c r="S35" s="5"/>
      <c r="T35" s="5"/>
      <c r="U35" s="58">
        <v>9.6153846153846159E-3</v>
      </c>
      <c r="V35" s="5"/>
      <c r="W35" s="5"/>
      <c r="X35" s="228">
        <v>96</v>
      </c>
      <c r="Y35" s="228"/>
      <c r="Z35" s="228"/>
      <c r="AA35" s="228"/>
      <c r="AB35" s="228"/>
      <c r="AC35" s="228"/>
      <c r="AD35" s="5" t="s">
        <v>172</v>
      </c>
      <c r="AE35" s="5"/>
      <c r="AF35" s="5"/>
      <c r="AG35" s="5"/>
      <c r="AH35" s="5"/>
      <c r="AI35" s="5"/>
      <c r="AJ35" s="5"/>
      <c r="AK35" s="5"/>
      <c r="AL35" s="5"/>
      <c r="AM35" s="5"/>
      <c r="AN35" s="5"/>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c r="CY35" s="6"/>
      <c r="CZ35" s="6"/>
      <c r="DA35" s="6"/>
      <c r="DB35" s="6"/>
      <c r="DC35" s="6"/>
      <c r="DD35" s="6"/>
      <c r="DE35" s="6"/>
      <c r="DF35" s="6"/>
      <c r="DG35" s="6"/>
      <c r="DH35" s="6"/>
      <c r="DI35" s="6"/>
      <c r="DJ35" s="6"/>
      <c r="DK35" s="6"/>
      <c r="DL35" s="6"/>
      <c r="DM35" s="6"/>
      <c r="DN35" s="6"/>
      <c r="DO35" s="6"/>
      <c r="DP35" s="6"/>
      <c r="DQ35" s="6"/>
      <c r="DR35" s="6"/>
      <c r="DS35" s="6"/>
      <c r="DT35" s="6"/>
      <c r="DU35" s="6"/>
      <c r="DV35" s="6"/>
      <c r="DW35" s="6"/>
      <c r="DX35" s="6"/>
      <c r="DY35" s="6"/>
      <c r="DZ35" s="6"/>
      <c r="EA35" s="6"/>
      <c r="EB35" s="6"/>
      <c r="EC35" s="6"/>
      <c r="ED35" s="6"/>
      <c r="EE35" s="6"/>
      <c r="EF35" s="6"/>
      <c r="EG35" s="6"/>
      <c r="EH35" s="6"/>
      <c r="EI35" s="6"/>
      <c r="EJ35" s="6"/>
      <c r="EK35" s="6"/>
      <c r="EL35" s="6"/>
      <c r="EM35" s="6"/>
      <c r="EN35" s="6"/>
      <c r="EO35" s="6"/>
      <c r="EP35" s="6"/>
      <c r="EQ35" s="6"/>
      <c r="ER35" s="6"/>
      <c r="ES35" s="6"/>
      <c r="ET35" s="6"/>
      <c r="EU35" s="6"/>
      <c r="EV35" s="6"/>
      <c r="EW35" s="6"/>
      <c r="EX35" s="6"/>
      <c r="EY35" s="6"/>
      <c r="EZ35" s="6"/>
      <c r="FA35" s="6"/>
      <c r="FB35" s="6"/>
      <c r="FC35" s="6"/>
      <c r="FD35" s="6"/>
      <c r="FE35" s="6"/>
      <c r="FF35" s="6"/>
      <c r="FG35" s="6"/>
      <c r="FH35" s="6"/>
      <c r="FI35" s="6"/>
      <c r="FJ35" s="6"/>
      <c r="FK35" s="6"/>
      <c r="FL35" s="6"/>
      <c r="FM35" s="6"/>
      <c r="FN35" s="6"/>
      <c r="FO35" s="6"/>
      <c r="FP35" s="6"/>
      <c r="FQ35" s="6"/>
      <c r="FR35" s="6"/>
      <c r="FS35" s="6"/>
      <c r="FT35" s="6"/>
      <c r="FU35" s="6"/>
      <c r="FV35" s="6"/>
      <c r="FW35" s="6"/>
      <c r="FX35" s="6"/>
      <c r="FY35" s="6"/>
      <c r="FZ35" s="6"/>
      <c r="GA35" s="6"/>
      <c r="GB35" s="6"/>
      <c r="GC35" s="6"/>
      <c r="GD35" s="6"/>
      <c r="GE35" s="6"/>
      <c r="GF35" s="6"/>
      <c r="GG35" s="6"/>
      <c r="GH35" s="6"/>
      <c r="GI35" s="6"/>
      <c r="GJ35" s="6"/>
      <c r="GK35" s="6"/>
      <c r="GL35" s="6"/>
      <c r="GM35" s="6"/>
      <c r="GN35" s="6"/>
      <c r="GO35" s="6"/>
      <c r="GP35" s="6"/>
      <c r="GQ35" s="6"/>
      <c r="GR35" s="6"/>
      <c r="GS35" s="6"/>
      <c r="GT35" s="6"/>
      <c r="GU35" s="6"/>
      <c r="GV35" s="6"/>
      <c r="GW35" s="6"/>
      <c r="GX35" s="6"/>
      <c r="GY35" s="6"/>
      <c r="GZ35" s="6"/>
      <c r="HA35" s="6"/>
      <c r="HB35" s="6"/>
      <c r="HC35" s="6"/>
      <c r="HD35" s="6"/>
      <c r="HE35" s="6"/>
      <c r="HF35" s="6"/>
      <c r="HG35" s="6"/>
      <c r="HH35" s="6"/>
      <c r="HI35" s="6"/>
      <c r="HJ35" s="6"/>
      <c r="HK35" s="6"/>
      <c r="HL35" s="6"/>
      <c r="HM35" s="6"/>
      <c r="HN35" s="6"/>
      <c r="HO35" s="6"/>
      <c r="HP35" s="6"/>
      <c r="HQ35" s="6"/>
      <c r="HR35" s="6"/>
      <c r="HS35" s="6"/>
      <c r="HT35" s="6"/>
      <c r="HU35" s="6"/>
      <c r="HV35" s="6"/>
      <c r="HW35" s="6"/>
      <c r="HX35" s="6"/>
      <c r="HY35" s="6"/>
      <c r="HZ35" s="6"/>
      <c r="IA35" s="6"/>
      <c r="IB35" s="6"/>
      <c r="IC35" s="6"/>
    </row>
    <row r="36" spans="1:237" ht="1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c r="DJ36" s="6"/>
      <c r="DK36" s="6"/>
      <c r="DL36" s="6"/>
      <c r="DM36" s="6"/>
      <c r="DN36" s="6"/>
      <c r="DO36" s="6"/>
      <c r="DP36" s="6"/>
      <c r="DQ36" s="6"/>
      <c r="DR36" s="6"/>
      <c r="DS36" s="6"/>
      <c r="DT36" s="6"/>
      <c r="DU36" s="6"/>
      <c r="DV36" s="6"/>
      <c r="DW36" s="6"/>
      <c r="DX36" s="6"/>
      <c r="DY36" s="6"/>
      <c r="DZ36" s="6"/>
      <c r="EA36" s="6"/>
      <c r="EB36" s="6"/>
      <c r="EC36" s="6"/>
      <c r="ED36" s="6"/>
      <c r="EE36" s="6"/>
      <c r="EF36" s="6"/>
      <c r="EG36" s="6"/>
      <c r="EH36" s="6"/>
      <c r="EI36" s="6"/>
      <c r="EJ36" s="6"/>
      <c r="EK36" s="6"/>
      <c r="EL36" s="6"/>
      <c r="EM36" s="6"/>
      <c r="EN36" s="6"/>
      <c r="EO36" s="6"/>
      <c r="EP36" s="6"/>
      <c r="EQ36" s="6"/>
      <c r="ER36" s="6"/>
      <c r="ES36" s="6"/>
      <c r="ET36" s="6"/>
      <c r="EU36" s="6"/>
      <c r="EV36" s="6"/>
      <c r="EW36" s="6"/>
      <c r="EX36" s="6"/>
      <c r="EY36" s="6"/>
      <c r="EZ36" s="6"/>
      <c r="FA36" s="6"/>
      <c r="FB36" s="6"/>
      <c r="FC36" s="6"/>
      <c r="FD36" s="6"/>
      <c r="FE36" s="6"/>
      <c r="FF36" s="6"/>
      <c r="FG36" s="6"/>
      <c r="FH36" s="6"/>
      <c r="FI36" s="6"/>
      <c r="FJ36" s="6"/>
      <c r="FK36" s="6"/>
      <c r="FL36" s="6"/>
      <c r="FM36" s="6"/>
      <c r="FN36" s="6"/>
      <c r="FO36" s="6"/>
      <c r="FP36" s="6"/>
      <c r="FQ36" s="6"/>
      <c r="FR36" s="6"/>
      <c r="FS36" s="6"/>
      <c r="FT36" s="6"/>
      <c r="FU36" s="6"/>
      <c r="FV36" s="6"/>
      <c r="FW36" s="6"/>
      <c r="FX36" s="6"/>
      <c r="FY36" s="6"/>
      <c r="FZ36" s="6"/>
      <c r="GA36" s="6"/>
      <c r="GB36" s="6"/>
      <c r="GC36" s="6"/>
      <c r="GD36" s="6"/>
      <c r="GE36" s="6"/>
      <c r="GF36" s="6"/>
      <c r="GG36" s="6"/>
      <c r="GH36" s="6"/>
      <c r="GI36" s="6"/>
      <c r="GJ36" s="6"/>
      <c r="GK36" s="6"/>
      <c r="GL36" s="6"/>
      <c r="GM36" s="6"/>
      <c r="GN36" s="6"/>
      <c r="GO36" s="6"/>
      <c r="GP36" s="6"/>
      <c r="GQ36" s="6"/>
      <c r="GR36" s="6"/>
      <c r="GS36" s="6"/>
      <c r="GT36" s="6"/>
      <c r="GU36" s="6"/>
      <c r="GV36" s="6"/>
      <c r="GW36" s="6"/>
      <c r="GX36" s="6"/>
      <c r="GY36" s="6"/>
      <c r="GZ36" s="6"/>
      <c r="HA36" s="6"/>
      <c r="HB36" s="6"/>
      <c r="HC36" s="6"/>
      <c r="HD36" s="6"/>
      <c r="HE36" s="6"/>
      <c r="HF36" s="6"/>
      <c r="HG36" s="6"/>
      <c r="HH36" s="6"/>
      <c r="HI36" s="6"/>
      <c r="HJ36" s="6"/>
      <c r="HK36" s="6"/>
      <c r="HL36" s="6"/>
      <c r="HM36" s="6"/>
      <c r="HN36" s="6"/>
      <c r="HO36" s="6"/>
      <c r="HP36" s="6"/>
      <c r="HQ36" s="6"/>
      <c r="HR36" s="6"/>
      <c r="HS36" s="6"/>
      <c r="HT36" s="6"/>
      <c r="HU36" s="6"/>
      <c r="HV36" s="6"/>
      <c r="HW36" s="6"/>
      <c r="HX36" s="6"/>
      <c r="HY36" s="6"/>
      <c r="HZ36" s="6"/>
      <c r="IA36" s="6"/>
      <c r="IB36" s="6"/>
      <c r="IC36" s="6"/>
    </row>
    <row r="37" spans="1:237" ht="1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c r="DM37" s="6"/>
      <c r="DN37" s="6"/>
      <c r="DO37" s="6"/>
      <c r="DP37" s="6"/>
      <c r="DQ37" s="6"/>
      <c r="DR37" s="6"/>
      <c r="DS37" s="6"/>
      <c r="DT37" s="6"/>
      <c r="DU37" s="6"/>
      <c r="DV37" s="6"/>
      <c r="DW37" s="6"/>
      <c r="DX37" s="6"/>
      <c r="DY37" s="6"/>
      <c r="DZ37" s="6"/>
      <c r="EA37" s="6"/>
      <c r="EB37" s="6"/>
      <c r="EC37" s="6"/>
      <c r="ED37" s="6"/>
      <c r="EE37" s="6"/>
      <c r="EF37" s="6"/>
      <c r="EG37" s="6"/>
      <c r="EH37" s="6"/>
      <c r="EI37" s="6"/>
      <c r="EJ37" s="6"/>
      <c r="EK37" s="6"/>
      <c r="EL37" s="6"/>
      <c r="EM37" s="6"/>
      <c r="EN37" s="6"/>
      <c r="EO37" s="6"/>
      <c r="EP37" s="6"/>
      <c r="EQ37" s="6"/>
      <c r="ER37" s="6"/>
      <c r="ES37" s="6"/>
      <c r="ET37" s="6"/>
      <c r="EU37" s="6"/>
      <c r="EV37" s="6"/>
      <c r="EW37" s="6"/>
      <c r="EX37" s="6"/>
      <c r="EY37" s="6"/>
      <c r="EZ37" s="6"/>
      <c r="FA37" s="6"/>
      <c r="FB37" s="6"/>
      <c r="FC37" s="6"/>
      <c r="FD37" s="6"/>
      <c r="FE37" s="6"/>
      <c r="FF37" s="6"/>
      <c r="FG37" s="6"/>
      <c r="FH37" s="6"/>
      <c r="FI37" s="6"/>
      <c r="FJ37" s="6"/>
      <c r="FK37" s="6"/>
      <c r="FL37" s="6"/>
      <c r="FM37" s="6"/>
      <c r="FN37" s="6"/>
      <c r="FO37" s="6"/>
      <c r="FP37" s="6"/>
      <c r="FQ37" s="6"/>
      <c r="FR37" s="6"/>
      <c r="FS37" s="6"/>
      <c r="FT37" s="6"/>
      <c r="FU37" s="6"/>
      <c r="FV37" s="6"/>
      <c r="FW37" s="6"/>
      <c r="FX37" s="6"/>
      <c r="FY37" s="6"/>
      <c r="FZ37" s="6"/>
      <c r="GA37" s="6"/>
      <c r="GB37" s="6"/>
      <c r="GC37" s="6"/>
      <c r="GD37" s="6"/>
      <c r="GE37" s="6"/>
      <c r="GF37" s="6"/>
      <c r="GG37" s="6"/>
      <c r="GH37" s="6"/>
      <c r="GI37" s="6"/>
      <c r="GJ37" s="6"/>
      <c r="GK37" s="6"/>
      <c r="GL37" s="6"/>
      <c r="GM37" s="6"/>
      <c r="GN37" s="6"/>
      <c r="GO37" s="6"/>
      <c r="GP37" s="6"/>
      <c r="GQ37" s="6"/>
      <c r="GR37" s="6"/>
      <c r="GS37" s="6"/>
      <c r="GT37" s="6"/>
      <c r="GU37" s="6"/>
      <c r="GV37" s="6"/>
      <c r="GW37" s="6"/>
      <c r="GX37" s="6"/>
      <c r="GY37" s="6"/>
      <c r="GZ37" s="6"/>
      <c r="HA37" s="6"/>
      <c r="HB37" s="6"/>
      <c r="HC37" s="6"/>
      <c r="HD37" s="6"/>
      <c r="HE37" s="6"/>
      <c r="HF37" s="6"/>
      <c r="HG37" s="6"/>
      <c r="HH37" s="6"/>
      <c r="HI37" s="6"/>
      <c r="HJ37" s="6"/>
      <c r="HK37" s="6"/>
      <c r="HL37" s="6"/>
      <c r="HM37" s="6"/>
      <c r="HN37" s="6"/>
      <c r="HO37" s="6"/>
      <c r="HP37" s="6"/>
      <c r="HQ37" s="6"/>
      <c r="HR37" s="6"/>
      <c r="HS37" s="6"/>
      <c r="HT37" s="6"/>
      <c r="HU37" s="6"/>
      <c r="HV37" s="6"/>
      <c r="HW37" s="6"/>
      <c r="HX37" s="6"/>
      <c r="HY37" s="6"/>
      <c r="HZ37" s="6"/>
      <c r="IA37" s="6"/>
      <c r="IB37" s="6"/>
      <c r="IC37" s="6"/>
    </row>
    <row r="38" spans="1:237" ht="1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c r="CY38" s="6"/>
      <c r="CZ38" s="6"/>
      <c r="DA38" s="6"/>
      <c r="DB38" s="6"/>
      <c r="DC38" s="6"/>
      <c r="DD38" s="6"/>
      <c r="DE38" s="6"/>
      <c r="DF38" s="6"/>
      <c r="DG38" s="6"/>
      <c r="DH38" s="6"/>
      <c r="DI38" s="6"/>
      <c r="DJ38" s="6"/>
      <c r="DK38" s="6"/>
      <c r="DL38" s="6"/>
      <c r="DM38" s="6"/>
      <c r="DN38" s="6"/>
      <c r="DO38" s="6"/>
      <c r="DP38" s="6"/>
      <c r="DQ38" s="6"/>
      <c r="DR38" s="6"/>
      <c r="DS38" s="6"/>
      <c r="DT38" s="6"/>
      <c r="DU38" s="6"/>
      <c r="DV38" s="6"/>
      <c r="DW38" s="6"/>
      <c r="DX38" s="6"/>
      <c r="DY38" s="6"/>
      <c r="DZ38" s="6"/>
      <c r="EA38" s="6"/>
      <c r="EB38" s="6"/>
      <c r="EC38" s="6"/>
      <c r="ED38" s="6"/>
      <c r="EE38" s="6"/>
      <c r="EF38" s="6"/>
      <c r="EG38" s="6"/>
      <c r="EH38" s="6"/>
      <c r="EI38" s="6"/>
      <c r="EJ38" s="6"/>
      <c r="EK38" s="6"/>
      <c r="EL38" s="6"/>
      <c r="EM38" s="6"/>
      <c r="EN38" s="6"/>
      <c r="EO38" s="6"/>
      <c r="EP38" s="6"/>
      <c r="EQ38" s="6"/>
      <c r="ER38" s="6"/>
      <c r="ES38" s="6"/>
      <c r="ET38" s="6"/>
      <c r="EU38" s="6"/>
      <c r="EV38" s="6"/>
      <c r="EW38" s="6"/>
      <c r="EX38" s="6"/>
      <c r="EY38" s="6"/>
      <c r="EZ38" s="6"/>
      <c r="FA38" s="6"/>
      <c r="FB38" s="6"/>
      <c r="FC38" s="6"/>
      <c r="FD38" s="6"/>
      <c r="FE38" s="6"/>
      <c r="FF38" s="6"/>
      <c r="FG38" s="6"/>
      <c r="FH38" s="6"/>
      <c r="FI38" s="6"/>
      <c r="FJ38" s="6"/>
      <c r="FK38" s="6"/>
      <c r="FL38" s="6"/>
      <c r="FM38" s="6"/>
      <c r="FN38" s="6"/>
      <c r="FO38" s="6"/>
      <c r="FP38" s="6"/>
      <c r="FQ38" s="6"/>
      <c r="FR38" s="6"/>
      <c r="FS38" s="6"/>
      <c r="FT38" s="6"/>
      <c r="FU38" s="6"/>
      <c r="FV38" s="6"/>
      <c r="FW38" s="6"/>
      <c r="FX38" s="6"/>
      <c r="FY38" s="6"/>
      <c r="FZ38" s="6"/>
      <c r="GA38" s="6"/>
      <c r="GB38" s="6"/>
      <c r="GC38" s="6"/>
      <c r="GD38" s="6"/>
      <c r="GE38" s="6"/>
      <c r="GF38" s="6"/>
      <c r="GG38" s="6"/>
      <c r="GH38" s="6"/>
      <c r="GI38" s="6"/>
      <c r="GJ38" s="6"/>
      <c r="GK38" s="6"/>
      <c r="GL38" s="6"/>
      <c r="GM38" s="6"/>
      <c r="GN38" s="6"/>
      <c r="GO38" s="6"/>
      <c r="GP38" s="6"/>
      <c r="GQ38" s="6"/>
      <c r="GR38" s="6"/>
      <c r="GS38" s="6"/>
      <c r="GT38" s="6"/>
      <c r="GU38" s="6"/>
      <c r="GV38" s="6"/>
      <c r="GW38" s="6"/>
      <c r="GX38" s="6"/>
      <c r="GY38" s="6"/>
      <c r="GZ38" s="6"/>
      <c r="HA38" s="6"/>
      <c r="HB38" s="6"/>
      <c r="HC38" s="6"/>
      <c r="HD38" s="6"/>
      <c r="HE38" s="6"/>
      <c r="HF38" s="6"/>
      <c r="HG38" s="6"/>
      <c r="HH38" s="6"/>
      <c r="HI38" s="6"/>
      <c r="HJ38" s="6"/>
      <c r="HK38" s="6"/>
      <c r="HL38" s="6"/>
      <c r="HM38" s="6"/>
      <c r="HN38" s="6"/>
      <c r="HO38" s="6"/>
      <c r="HP38" s="6"/>
      <c r="HQ38" s="6"/>
      <c r="HR38" s="6"/>
      <c r="HS38" s="6"/>
      <c r="HT38" s="6"/>
      <c r="HU38" s="6"/>
      <c r="HV38" s="6"/>
      <c r="HW38" s="6"/>
      <c r="HX38" s="6"/>
      <c r="HY38" s="6"/>
      <c r="HZ38" s="6"/>
      <c r="IA38" s="6"/>
      <c r="IB38" s="6"/>
      <c r="IC38" s="6"/>
    </row>
    <row r="39" spans="1:237" ht="1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c r="ED39" s="6"/>
      <c r="EE39" s="6"/>
      <c r="EF39" s="6"/>
      <c r="EG39" s="6"/>
      <c r="EH39" s="6"/>
      <c r="EI39" s="6"/>
      <c r="EJ39" s="6"/>
      <c r="EK39" s="6"/>
      <c r="EL39" s="6"/>
      <c r="EM39" s="6"/>
      <c r="EN39" s="6"/>
      <c r="EO39" s="6"/>
      <c r="EP39" s="6"/>
      <c r="EQ39" s="6"/>
      <c r="ER39" s="6"/>
      <c r="ES39" s="6"/>
      <c r="ET39" s="6"/>
      <c r="EU39" s="6"/>
      <c r="EV39" s="6"/>
      <c r="EW39" s="6"/>
      <c r="EX39" s="6"/>
      <c r="EY39" s="6"/>
      <c r="EZ39" s="6"/>
      <c r="FA39" s="6"/>
      <c r="FB39" s="6"/>
      <c r="FC39" s="6"/>
      <c r="FD39" s="6"/>
      <c r="FE39" s="6"/>
      <c r="FF39" s="6"/>
      <c r="FG39" s="6"/>
      <c r="FH39" s="6"/>
      <c r="FI39" s="6"/>
      <c r="FJ39" s="6"/>
      <c r="FK39" s="6"/>
      <c r="FL39" s="6"/>
      <c r="FM39" s="6"/>
      <c r="FN39" s="6"/>
      <c r="FO39" s="6"/>
      <c r="FP39" s="6"/>
      <c r="FQ39" s="6"/>
      <c r="FR39" s="6"/>
      <c r="FS39" s="6"/>
      <c r="FT39" s="6"/>
      <c r="FU39" s="6"/>
      <c r="FV39" s="6"/>
      <c r="FW39" s="6"/>
      <c r="FX39" s="6"/>
      <c r="FY39" s="6"/>
      <c r="FZ39" s="6"/>
      <c r="GA39" s="6"/>
      <c r="GB39" s="6"/>
      <c r="GC39" s="6"/>
      <c r="GD39" s="6"/>
      <c r="GE39" s="6"/>
      <c r="GF39" s="6"/>
      <c r="GG39" s="6"/>
      <c r="GH39" s="6"/>
      <c r="GI39" s="6"/>
      <c r="GJ39" s="6"/>
      <c r="GK39" s="6"/>
      <c r="GL39" s="6"/>
      <c r="GM39" s="6"/>
      <c r="GN39" s="6"/>
      <c r="GO39" s="6"/>
      <c r="GP39" s="6"/>
      <c r="GQ39" s="6"/>
      <c r="GR39" s="6"/>
      <c r="GS39" s="6"/>
      <c r="GT39" s="6"/>
      <c r="GU39" s="6"/>
      <c r="GV39" s="6"/>
      <c r="GW39" s="6"/>
      <c r="GX39" s="6"/>
      <c r="GY39" s="6"/>
      <c r="GZ39" s="6"/>
      <c r="HA39" s="6"/>
      <c r="HB39" s="6"/>
      <c r="HC39" s="6"/>
      <c r="HD39" s="6"/>
      <c r="HE39" s="6"/>
      <c r="HF39" s="6"/>
      <c r="HG39" s="6"/>
      <c r="HH39" s="6"/>
      <c r="HI39" s="6"/>
      <c r="HJ39" s="6"/>
      <c r="HK39" s="6"/>
      <c r="HL39" s="6"/>
      <c r="HM39" s="6"/>
      <c r="HN39" s="6"/>
      <c r="HO39" s="6"/>
      <c r="HP39" s="6"/>
      <c r="HQ39" s="6"/>
      <c r="HR39" s="6"/>
      <c r="HS39" s="6"/>
      <c r="HT39" s="6"/>
      <c r="HU39" s="6"/>
      <c r="HV39" s="6"/>
      <c r="HW39" s="6"/>
      <c r="HX39" s="6"/>
      <c r="HY39" s="6"/>
      <c r="HZ39" s="6"/>
      <c r="IA39" s="6"/>
      <c r="IB39" s="6"/>
      <c r="IC39" s="6"/>
    </row>
    <row r="40" spans="1:237">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c r="CY40" s="6"/>
      <c r="CZ40" s="6"/>
      <c r="DA40" s="6"/>
      <c r="DB40" s="6"/>
      <c r="DC40" s="6"/>
      <c r="DD40" s="6"/>
      <c r="DE40" s="6"/>
      <c r="DF40" s="6"/>
      <c r="DG40" s="6"/>
      <c r="DH40" s="6"/>
      <c r="DI40" s="6"/>
      <c r="DJ40" s="6"/>
      <c r="DK40" s="6"/>
      <c r="DL40" s="6"/>
      <c r="DM40" s="6"/>
      <c r="DN40" s="6"/>
      <c r="DO40" s="6"/>
      <c r="DP40" s="6"/>
      <c r="DQ40" s="6"/>
      <c r="DR40" s="6"/>
      <c r="DS40" s="6"/>
      <c r="DT40" s="6"/>
      <c r="DU40" s="6"/>
      <c r="DV40" s="6"/>
      <c r="DW40" s="6"/>
      <c r="DX40" s="6"/>
      <c r="DY40" s="6"/>
      <c r="DZ40" s="6"/>
      <c r="EA40" s="6"/>
      <c r="EB40" s="6"/>
      <c r="EC40" s="6"/>
      <c r="ED40" s="6"/>
      <c r="EE40" s="6"/>
      <c r="EF40" s="6"/>
      <c r="EG40" s="6"/>
      <c r="EH40" s="6"/>
      <c r="EI40" s="6"/>
      <c r="EJ40" s="6"/>
      <c r="EK40" s="6"/>
      <c r="EL40" s="6"/>
      <c r="EM40" s="6"/>
      <c r="EN40" s="6"/>
      <c r="EO40" s="6"/>
      <c r="EP40" s="6"/>
      <c r="EQ40" s="6"/>
      <c r="ER40" s="6"/>
      <c r="ES40" s="6"/>
      <c r="ET40" s="6"/>
      <c r="EU40" s="6"/>
      <c r="EV40" s="6"/>
      <c r="EW40" s="6"/>
      <c r="EX40" s="6"/>
      <c r="EY40" s="6"/>
      <c r="EZ40" s="6"/>
      <c r="FA40" s="6"/>
      <c r="FB40" s="6"/>
      <c r="FC40" s="6"/>
      <c r="FD40" s="6"/>
      <c r="FE40" s="6"/>
      <c r="FF40" s="6"/>
      <c r="FG40" s="6"/>
      <c r="FH40" s="6"/>
      <c r="FI40" s="6"/>
      <c r="FJ40" s="6"/>
      <c r="FK40" s="6"/>
      <c r="FL40" s="6"/>
      <c r="FM40" s="6"/>
      <c r="FN40" s="6"/>
      <c r="FO40" s="6"/>
      <c r="FP40" s="6"/>
      <c r="FQ40" s="6"/>
      <c r="FR40" s="6"/>
      <c r="FS40" s="6"/>
      <c r="FT40" s="6"/>
      <c r="FU40" s="6"/>
      <c r="FV40" s="6"/>
      <c r="FW40" s="6"/>
      <c r="FX40" s="6"/>
      <c r="FY40" s="6"/>
      <c r="FZ40" s="6"/>
      <c r="GA40" s="6"/>
      <c r="GB40" s="6"/>
      <c r="GC40" s="6"/>
      <c r="GD40" s="6"/>
      <c r="GE40" s="6"/>
      <c r="GF40" s="6"/>
      <c r="GG40" s="6"/>
      <c r="GH40" s="6"/>
      <c r="GI40" s="6"/>
      <c r="GJ40" s="6"/>
      <c r="GK40" s="6"/>
      <c r="GL40" s="6"/>
      <c r="GM40" s="6"/>
      <c r="GN40" s="6"/>
      <c r="GO40" s="6"/>
      <c r="GP40" s="6"/>
      <c r="GQ40" s="6"/>
      <c r="GR40" s="6"/>
      <c r="GS40" s="6"/>
      <c r="GT40" s="6"/>
      <c r="GU40" s="6"/>
      <c r="GV40" s="6"/>
      <c r="GW40" s="6"/>
      <c r="GX40" s="6"/>
      <c r="GY40" s="6"/>
      <c r="GZ40" s="6"/>
      <c r="HA40" s="6"/>
      <c r="HB40" s="6"/>
      <c r="HC40" s="6"/>
      <c r="HD40" s="6"/>
      <c r="HE40" s="6"/>
      <c r="HF40" s="6"/>
      <c r="HG40" s="6"/>
      <c r="HH40" s="6"/>
      <c r="HI40" s="6"/>
      <c r="HJ40" s="6"/>
      <c r="HK40" s="6"/>
      <c r="HL40" s="6"/>
      <c r="HM40" s="6"/>
      <c r="HN40" s="6"/>
      <c r="HO40" s="6"/>
      <c r="HP40" s="6"/>
      <c r="HQ40" s="6"/>
      <c r="HR40" s="6"/>
      <c r="HS40" s="6"/>
      <c r="HT40" s="6"/>
      <c r="HU40" s="6"/>
      <c r="HV40" s="6"/>
      <c r="HW40" s="6"/>
      <c r="HX40" s="6"/>
      <c r="HY40" s="6"/>
      <c r="HZ40" s="6"/>
      <c r="IA40" s="6"/>
      <c r="IB40" s="6"/>
      <c r="IC40" s="6"/>
    </row>
    <row r="41" spans="1:237">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c r="CY41" s="6"/>
      <c r="CZ41" s="6"/>
      <c r="DA41" s="6"/>
      <c r="DB41" s="6"/>
      <c r="DC41" s="6"/>
      <c r="DD41" s="6"/>
      <c r="DE41" s="6"/>
      <c r="DF41" s="6"/>
      <c r="DG41" s="6"/>
      <c r="DH41" s="6"/>
      <c r="DI41" s="6"/>
      <c r="DJ41" s="6"/>
      <c r="DK41" s="6"/>
      <c r="DL41" s="6"/>
      <c r="DM41" s="6"/>
      <c r="DN41" s="6"/>
      <c r="DO41" s="6"/>
      <c r="DP41" s="6"/>
      <c r="DQ41" s="6"/>
      <c r="DR41" s="6"/>
      <c r="DS41" s="6"/>
      <c r="DT41" s="6"/>
      <c r="DU41" s="6"/>
      <c r="DV41" s="6"/>
      <c r="DW41" s="6"/>
      <c r="DX41" s="6"/>
      <c r="DY41" s="6"/>
      <c r="DZ41" s="6"/>
      <c r="EA41" s="6"/>
      <c r="EB41" s="6"/>
      <c r="EC41" s="6"/>
      <c r="ED41" s="6"/>
      <c r="EE41" s="6"/>
      <c r="EF41" s="6"/>
      <c r="EG41" s="6"/>
      <c r="EH41" s="6"/>
      <c r="EI41" s="6"/>
      <c r="EJ41" s="6"/>
      <c r="EK41" s="6"/>
      <c r="EL41" s="6"/>
      <c r="EM41" s="6"/>
      <c r="EN41" s="6"/>
      <c r="EO41" s="6"/>
      <c r="EP41" s="6"/>
      <c r="EQ41" s="6"/>
      <c r="ER41" s="6"/>
      <c r="ES41" s="6"/>
      <c r="ET41" s="6"/>
      <c r="EU41" s="6"/>
      <c r="EV41" s="6"/>
      <c r="EW41" s="6"/>
      <c r="EX41" s="6"/>
      <c r="EY41" s="6"/>
      <c r="EZ41" s="6"/>
      <c r="FA41" s="6"/>
      <c r="FB41" s="6"/>
      <c r="FC41" s="6"/>
      <c r="FD41" s="6"/>
      <c r="FE41" s="6"/>
      <c r="FF41" s="6"/>
      <c r="FG41" s="6"/>
      <c r="FH41" s="6"/>
      <c r="FI41" s="6"/>
      <c r="FJ41" s="6"/>
      <c r="FK41" s="6"/>
      <c r="FL41" s="6"/>
      <c r="FM41" s="6"/>
      <c r="FN41" s="6"/>
      <c r="FO41" s="6"/>
      <c r="FP41" s="6"/>
      <c r="FQ41" s="6"/>
      <c r="FR41" s="6"/>
      <c r="FS41" s="6"/>
      <c r="FT41" s="6"/>
      <c r="FU41" s="6"/>
      <c r="FV41" s="6"/>
      <c r="FW41" s="6"/>
      <c r="FX41" s="6"/>
      <c r="FY41" s="6"/>
      <c r="FZ41" s="6"/>
      <c r="GA41" s="6"/>
      <c r="GB41" s="6"/>
      <c r="GC41" s="6"/>
      <c r="GD41" s="6"/>
      <c r="GE41" s="6"/>
      <c r="GF41" s="6"/>
      <c r="GG41" s="6"/>
      <c r="GH41" s="6"/>
      <c r="GI41" s="6"/>
      <c r="GJ41" s="6"/>
      <c r="GK41" s="6"/>
      <c r="GL41" s="6"/>
      <c r="GM41" s="6"/>
      <c r="GN41" s="6"/>
      <c r="GO41" s="6"/>
      <c r="GP41" s="6"/>
      <c r="GQ41" s="6"/>
      <c r="GR41" s="6"/>
      <c r="GS41" s="6"/>
      <c r="GT41" s="6"/>
      <c r="GU41" s="6"/>
      <c r="GV41" s="6"/>
      <c r="GW41" s="6"/>
      <c r="GX41" s="6"/>
      <c r="GY41" s="6"/>
      <c r="GZ41" s="6"/>
      <c r="HA41" s="6"/>
      <c r="HB41" s="6"/>
      <c r="HC41" s="6"/>
      <c r="HD41" s="6"/>
      <c r="HE41" s="6"/>
      <c r="HF41" s="6"/>
      <c r="HG41" s="6"/>
      <c r="HH41" s="6"/>
      <c r="HI41" s="6"/>
      <c r="HJ41" s="6"/>
      <c r="HK41" s="6"/>
      <c r="HL41" s="6"/>
      <c r="HM41" s="6"/>
      <c r="HN41" s="6"/>
      <c r="HO41" s="6"/>
      <c r="HP41" s="6"/>
      <c r="HQ41" s="6"/>
      <c r="HR41" s="6"/>
      <c r="HS41" s="6"/>
      <c r="HT41" s="6"/>
      <c r="HU41" s="6"/>
      <c r="HV41" s="6"/>
      <c r="HW41" s="6"/>
      <c r="HX41" s="6"/>
      <c r="HY41" s="6"/>
      <c r="HZ41" s="6"/>
      <c r="IA41" s="6"/>
      <c r="IB41" s="6"/>
      <c r="IC41" s="6"/>
    </row>
    <row r="42" spans="1:237">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c r="CY42" s="6"/>
      <c r="CZ42" s="6"/>
      <c r="DA42" s="6"/>
      <c r="DB42" s="6"/>
      <c r="DC42" s="6"/>
      <c r="DD42" s="6"/>
      <c r="DE42" s="6"/>
      <c r="DF42" s="6"/>
      <c r="DG42" s="6"/>
      <c r="DH42" s="6"/>
      <c r="DI42" s="6"/>
      <c r="DJ42" s="6"/>
      <c r="DK42" s="6"/>
      <c r="DL42" s="6"/>
      <c r="DM42" s="6"/>
      <c r="DN42" s="6"/>
      <c r="DO42" s="6"/>
      <c r="DP42" s="6"/>
      <c r="DQ42" s="6"/>
      <c r="DR42" s="6"/>
      <c r="DS42" s="6"/>
      <c r="DT42" s="6"/>
      <c r="DU42" s="6"/>
      <c r="DV42" s="6"/>
      <c r="DW42" s="6"/>
      <c r="DX42" s="6"/>
      <c r="DY42" s="6"/>
      <c r="DZ42" s="6"/>
      <c r="EA42" s="6"/>
      <c r="EB42" s="6"/>
      <c r="EC42" s="6"/>
      <c r="ED42" s="6"/>
      <c r="EE42" s="6"/>
      <c r="EF42" s="6"/>
      <c r="EG42" s="6"/>
      <c r="EH42" s="6"/>
      <c r="EI42" s="6"/>
      <c r="EJ42" s="6"/>
      <c r="EK42" s="6"/>
      <c r="EL42" s="6"/>
      <c r="EM42" s="6"/>
      <c r="EN42" s="6"/>
      <c r="EO42" s="6"/>
      <c r="EP42" s="6"/>
      <c r="EQ42" s="6"/>
      <c r="ER42" s="6"/>
      <c r="ES42" s="6"/>
      <c r="ET42" s="6"/>
      <c r="EU42" s="6"/>
      <c r="EV42" s="6"/>
      <c r="EW42" s="6"/>
      <c r="EX42" s="6"/>
      <c r="EY42" s="6"/>
      <c r="EZ42" s="6"/>
      <c r="FA42" s="6"/>
      <c r="FB42" s="6"/>
      <c r="FC42" s="6"/>
      <c r="FD42" s="6"/>
      <c r="FE42" s="6"/>
      <c r="FF42" s="6"/>
      <c r="FG42" s="6"/>
      <c r="FH42" s="6"/>
      <c r="FI42" s="6"/>
      <c r="FJ42" s="6"/>
      <c r="FK42" s="6"/>
      <c r="FL42" s="6"/>
      <c r="FM42" s="6"/>
      <c r="FN42" s="6"/>
      <c r="FO42" s="6"/>
      <c r="FP42" s="6"/>
      <c r="FQ42" s="6"/>
      <c r="FR42" s="6"/>
      <c r="FS42" s="6"/>
      <c r="FT42" s="6"/>
      <c r="FU42" s="6"/>
      <c r="FV42" s="6"/>
      <c r="FW42" s="6"/>
      <c r="FX42" s="6"/>
      <c r="FY42" s="6"/>
      <c r="FZ42" s="6"/>
      <c r="GA42" s="6"/>
      <c r="GB42" s="6"/>
      <c r="GC42" s="6"/>
      <c r="GD42" s="6"/>
      <c r="GE42" s="6"/>
      <c r="GF42" s="6"/>
      <c r="GG42" s="6"/>
      <c r="GH42" s="6"/>
      <c r="GI42" s="6"/>
      <c r="GJ42" s="6"/>
      <c r="GK42" s="6"/>
      <c r="GL42" s="6"/>
      <c r="GM42" s="6"/>
      <c r="GN42" s="6"/>
      <c r="GO42" s="6"/>
      <c r="GP42" s="6"/>
      <c r="GQ42" s="6"/>
      <c r="GR42" s="6"/>
      <c r="GS42" s="6"/>
      <c r="GT42" s="6"/>
      <c r="GU42" s="6"/>
      <c r="GV42" s="6"/>
      <c r="GW42" s="6"/>
      <c r="GX42" s="6"/>
      <c r="GY42" s="6"/>
      <c r="GZ42" s="6"/>
      <c r="HA42" s="6"/>
      <c r="HB42" s="6"/>
      <c r="HC42" s="6"/>
      <c r="HD42" s="6"/>
      <c r="HE42" s="6"/>
      <c r="HF42" s="6"/>
      <c r="HG42" s="6"/>
      <c r="HH42" s="6"/>
      <c r="HI42" s="6"/>
      <c r="HJ42" s="6"/>
      <c r="HK42" s="6"/>
      <c r="HL42" s="6"/>
      <c r="HM42" s="6"/>
      <c r="HN42" s="6"/>
      <c r="HO42" s="6"/>
      <c r="HP42" s="6"/>
      <c r="HQ42" s="6"/>
      <c r="HR42" s="6"/>
      <c r="HS42" s="6"/>
      <c r="HT42" s="6"/>
      <c r="HU42" s="6"/>
      <c r="HV42" s="6"/>
      <c r="HW42" s="6"/>
      <c r="HX42" s="6"/>
      <c r="HY42" s="6"/>
      <c r="HZ42" s="6"/>
      <c r="IA42" s="6"/>
      <c r="IB42" s="6"/>
      <c r="IC42" s="6"/>
    </row>
    <row r="43" spans="1:237">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c r="CY43" s="6"/>
      <c r="CZ43" s="6"/>
      <c r="DA43" s="6"/>
      <c r="DB43" s="6"/>
      <c r="DC43" s="6"/>
      <c r="DD43" s="6"/>
      <c r="DE43" s="6"/>
      <c r="DF43" s="6"/>
      <c r="DG43" s="6"/>
      <c r="DH43" s="6"/>
      <c r="DI43" s="6"/>
      <c r="DJ43" s="6"/>
      <c r="DK43" s="6"/>
      <c r="DL43" s="6"/>
      <c r="DM43" s="6"/>
      <c r="DN43" s="6"/>
      <c r="DO43" s="6"/>
      <c r="DP43" s="6"/>
      <c r="DQ43" s="6"/>
      <c r="DR43" s="6"/>
      <c r="DS43" s="6"/>
      <c r="DT43" s="6"/>
      <c r="DU43" s="6"/>
      <c r="DV43" s="6"/>
      <c r="DW43" s="6"/>
      <c r="DX43" s="6"/>
      <c r="DY43" s="6"/>
      <c r="DZ43" s="6"/>
      <c r="EA43" s="6"/>
      <c r="EB43" s="6"/>
      <c r="EC43" s="6"/>
      <c r="ED43" s="6"/>
      <c r="EE43" s="6"/>
      <c r="EF43" s="6"/>
      <c r="EG43" s="6"/>
      <c r="EH43" s="6"/>
      <c r="EI43" s="6"/>
      <c r="EJ43" s="6"/>
      <c r="EK43" s="6"/>
      <c r="EL43" s="6"/>
      <c r="EM43" s="6"/>
      <c r="EN43" s="6"/>
      <c r="EO43" s="6"/>
      <c r="EP43" s="6"/>
      <c r="EQ43" s="6"/>
      <c r="ER43" s="6"/>
      <c r="ES43" s="6"/>
      <c r="ET43" s="6"/>
      <c r="EU43" s="6"/>
      <c r="EV43" s="6"/>
      <c r="EW43" s="6"/>
      <c r="EX43" s="6"/>
      <c r="EY43" s="6"/>
      <c r="EZ43" s="6"/>
      <c r="FA43" s="6"/>
      <c r="FB43" s="6"/>
      <c r="FC43" s="6"/>
      <c r="FD43" s="6"/>
      <c r="FE43" s="6"/>
      <c r="FF43" s="6"/>
      <c r="FG43" s="6"/>
      <c r="FH43" s="6"/>
      <c r="FI43" s="6"/>
      <c r="FJ43" s="6"/>
      <c r="FK43" s="6"/>
      <c r="FL43" s="6"/>
      <c r="FM43" s="6"/>
      <c r="FN43" s="6"/>
      <c r="FO43" s="6"/>
      <c r="FP43" s="6"/>
      <c r="FQ43" s="6"/>
      <c r="FR43" s="6"/>
      <c r="FS43" s="6"/>
      <c r="FT43" s="6"/>
      <c r="FU43" s="6"/>
      <c r="FV43" s="6"/>
      <c r="FW43" s="6"/>
      <c r="FX43" s="6"/>
      <c r="FY43" s="6"/>
      <c r="FZ43" s="6"/>
      <c r="GA43" s="6"/>
      <c r="GB43" s="6"/>
      <c r="GC43" s="6"/>
      <c r="GD43" s="6"/>
      <c r="GE43" s="6"/>
      <c r="GF43" s="6"/>
      <c r="GG43" s="6"/>
      <c r="GH43" s="6"/>
      <c r="GI43" s="6"/>
      <c r="GJ43" s="6"/>
      <c r="GK43" s="6"/>
      <c r="GL43" s="6"/>
      <c r="GM43" s="6"/>
      <c r="GN43" s="6"/>
      <c r="GO43" s="6"/>
      <c r="GP43" s="6"/>
      <c r="GQ43" s="6"/>
      <c r="GR43" s="6"/>
      <c r="GS43" s="6"/>
      <c r="GT43" s="6"/>
      <c r="GU43" s="6"/>
      <c r="GV43" s="6"/>
      <c r="GW43" s="6"/>
      <c r="GX43" s="6"/>
      <c r="GY43" s="6"/>
      <c r="GZ43" s="6"/>
      <c r="HA43" s="6"/>
      <c r="HB43" s="6"/>
      <c r="HC43" s="6"/>
      <c r="HD43" s="6"/>
      <c r="HE43" s="6"/>
      <c r="HF43" s="6"/>
      <c r="HG43" s="6"/>
      <c r="HH43" s="6"/>
      <c r="HI43" s="6"/>
      <c r="HJ43" s="6"/>
      <c r="HK43" s="6"/>
      <c r="HL43" s="6"/>
      <c r="HM43" s="6"/>
      <c r="HN43" s="6"/>
      <c r="HO43" s="6"/>
      <c r="HP43" s="6"/>
      <c r="HQ43" s="6"/>
      <c r="HR43" s="6"/>
      <c r="HS43" s="6"/>
      <c r="HT43" s="6"/>
      <c r="HU43" s="6"/>
      <c r="HV43" s="6"/>
      <c r="HW43" s="6"/>
      <c r="HX43" s="6"/>
      <c r="HY43" s="6"/>
      <c r="HZ43" s="6"/>
      <c r="IA43" s="6"/>
      <c r="IB43" s="6"/>
      <c r="IC43" s="6"/>
    </row>
    <row r="44" spans="1:237">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c r="CY44" s="6"/>
      <c r="CZ44" s="6"/>
      <c r="DA44" s="6"/>
      <c r="DB44" s="6"/>
      <c r="DC44" s="6"/>
      <c r="DD44" s="6"/>
      <c r="DE44" s="6"/>
      <c r="DF44" s="6"/>
      <c r="DG44" s="6"/>
      <c r="DH44" s="6"/>
      <c r="DI44" s="6"/>
      <c r="DJ44" s="6"/>
      <c r="DK44" s="6"/>
      <c r="DL44" s="6"/>
      <c r="DM44" s="6"/>
      <c r="DN44" s="6"/>
      <c r="DO44" s="6"/>
      <c r="DP44" s="6"/>
      <c r="DQ44" s="6"/>
      <c r="DR44" s="6"/>
      <c r="DS44" s="6"/>
      <c r="DT44" s="6"/>
      <c r="DU44" s="6"/>
      <c r="DV44" s="6"/>
      <c r="DW44" s="6"/>
      <c r="DX44" s="6"/>
      <c r="DY44" s="6"/>
      <c r="DZ44" s="6"/>
      <c r="EA44" s="6"/>
      <c r="EB44" s="6"/>
      <c r="EC44" s="6"/>
      <c r="ED44" s="6"/>
      <c r="EE44" s="6"/>
      <c r="EF44" s="6"/>
      <c r="EG44" s="6"/>
      <c r="EH44" s="6"/>
      <c r="EI44" s="6"/>
      <c r="EJ44" s="6"/>
      <c r="EK44" s="6"/>
      <c r="EL44" s="6"/>
      <c r="EM44" s="6"/>
      <c r="EN44" s="6"/>
      <c r="EO44" s="6"/>
      <c r="EP44" s="6"/>
      <c r="EQ44" s="6"/>
      <c r="ER44" s="6"/>
      <c r="ES44" s="6"/>
      <c r="ET44" s="6"/>
      <c r="EU44" s="6"/>
      <c r="EV44" s="6"/>
      <c r="EW44" s="6"/>
      <c r="EX44" s="6"/>
      <c r="EY44" s="6"/>
      <c r="EZ44" s="6"/>
      <c r="FA44" s="6"/>
      <c r="FB44" s="6"/>
      <c r="FC44" s="6"/>
      <c r="FD44" s="6"/>
      <c r="FE44" s="6"/>
      <c r="FF44" s="6"/>
      <c r="FG44" s="6"/>
      <c r="FH44" s="6"/>
      <c r="FI44" s="6"/>
      <c r="FJ44" s="6"/>
      <c r="FK44" s="6"/>
      <c r="FL44" s="6"/>
      <c r="FM44" s="6"/>
      <c r="FN44" s="6"/>
      <c r="FO44" s="6"/>
      <c r="FP44" s="6"/>
      <c r="FQ44" s="6"/>
      <c r="FR44" s="6"/>
      <c r="FS44" s="6"/>
      <c r="FT44" s="6"/>
      <c r="FU44" s="6"/>
      <c r="FV44" s="6"/>
      <c r="FW44" s="6"/>
      <c r="FX44" s="6"/>
      <c r="FY44" s="6"/>
      <c r="FZ44" s="6"/>
      <c r="GA44" s="6"/>
      <c r="GB44" s="6"/>
      <c r="GC44" s="6"/>
      <c r="GD44" s="6"/>
      <c r="GE44" s="6"/>
      <c r="GF44" s="6"/>
      <c r="GG44" s="6"/>
      <c r="GH44" s="6"/>
      <c r="GI44" s="6"/>
      <c r="GJ44" s="6"/>
      <c r="GK44" s="6"/>
      <c r="GL44" s="6"/>
      <c r="GM44" s="6"/>
      <c r="GN44" s="6"/>
      <c r="GO44" s="6"/>
      <c r="GP44" s="6"/>
      <c r="GQ44" s="6"/>
      <c r="GR44" s="6"/>
      <c r="GS44" s="6"/>
      <c r="GT44" s="6"/>
      <c r="GU44" s="6"/>
      <c r="GV44" s="6"/>
      <c r="GW44" s="6"/>
      <c r="GX44" s="6"/>
      <c r="GY44" s="6"/>
      <c r="GZ44" s="6"/>
      <c r="HA44" s="6"/>
      <c r="HB44" s="6"/>
      <c r="HC44" s="6"/>
      <c r="HD44" s="6"/>
      <c r="HE44" s="6"/>
      <c r="HF44" s="6"/>
      <c r="HG44" s="6"/>
      <c r="HH44" s="6"/>
      <c r="HI44" s="6"/>
      <c r="HJ44" s="6"/>
      <c r="HK44" s="6"/>
      <c r="HL44" s="6"/>
      <c r="HM44" s="6"/>
      <c r="HN44" s="6"/>
      <c r="HO44" s="6"/>
      <c r="HP44" s="6"/>
      <c r="HQ44" s="6"/>
      <c r="HR44" s="6"/>
      <c r="HS44" s="6"/>
      <c r="HT44" s="6"/>
      <c r="HU44" s="6"/>
      <c r="HV44" s="6"/>
      <c r="HW44" s="6"/>
      <c r="HX44" s="6"/>
      <c r="HY44" s="6"/>
      <c r="HZ44" s="6"/>
      <c r="IA44" s="6"/>
      <c r="IB44" s="6"/>
      <c r="IC44" s="6"/>
    </row>
    <row r="45" spans="1:237">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c r="CY45" s="6"/>
      <c r="CZ45" s="6"/>
      <c r="DA45" s="6"/>
      <c r="DB45" s="6"/>
      <c r="DC45" s="6"/>
      <c r="DD45" s="6"/>
      <c r="DE45" s="6"/>
      <c r="DF45" s="6"/>
      <c r="DG45" s="6"/>
      <c r="DH45" s="6"/>
      <c r="DI45" s="6"/>
      <c r="DJ45" s="6"/>
      <c r="DK45" s="6"/>
      <c r="DL45" s="6"/>
      <c r="DM45" s="6"/>
      <c r="DN45" s="6"/>
      <c r="DO45" s="6"/>
      <c r="DP45" s="6"/>
      <c r="DQ45" s="6"/>
      <c r="DR45" s="6"/>
      <c r="DS45" s="6"/>
      <c r="DT45" s="6"/>
      <c r="DU45" s="6"/>
      <c r="DV45" s="6"/>
      <c r="DW45" s="6"/>
      <c r="DX45" s="6"/>
      <c r="DY45" s="6"/>
      <c r="DZ45" s="6"/>
      <c r="EA45" s="6"/>
      <c r="EB45" s="6"/>
      <c r="EC45" s="6"/>
      <c r="ED45" s="6"/>
      <c r="EE45" s="6"/>
      <c r="EF45" s="6"/>
      <c r="EG45" s="6"/>
      <c r="EH45" s="6"/>
      <c r="EI45" s="6"/>
      <c r="EJ45" s="6"/>
      <c r="EK45" s="6"/>
      <c r="EL45" s="6"/>
      <c r="EM45" s="6"/>
      <c r="EN45" s="6"/>
      <c r="EO45" s="6"/>
      <c r="EP45" s="6"/>
      <c r="EQ45" s="6"/>
      <c r="ER45" s="6"/>
      <c r="ES45" s="6"/>
      <c r="ET45" s="6"/>
      <c r="EU45" s="6"/>
      <c r="EV45" s="6"/>
      <c r="EW45" s="6"/>
      <c r="EX45" s="6"/>
      <c r="EY45" s="6"/>
      <c r="EZ45" s="6"/>
      <c r="FA45" s="6"/>
      <c r="FB45" s="6"/>
      <c r="FC45" s="6"/>
      <c r="FD45" s="6"/>
      <c r="FE45" s="6"/>
      <c r="FF45" s="6"/>
      <c r="FG45" s="6"/>
      <c r="FH45" s="6"/>
      <c r="FI45" s="6"/>
      <c r="FJ45" s="6"/>
      <c r="FK45" s="6"/>
      <c r="FL45" s="6"/>
      <c r="FM45" s="6"/>
      <c r="FN45" s="6"/>
      <c r="FO45" s="6"/>
      <c r="FP45" s="6"/>
      <c r="FQ45" s="6"/>
      <c r="FR45" s="6"/>
      <c r="FS45" s="6"/>
      <c r="FT45" s="6"/>
      <c r="FU45" s="6"/>
      <c r="FV45" s="6"/>
      <c r="FW45" s="6"/>
      <c r="FX45" s="6"/>
      <c r="FY45" s="6"/>
      <c r="FZ45" s="6"/>
      <c r="GA45" s="6"/>
      <c r="GB45" s="6"/>
      <c r="GC45" s="6"/>
      <c r="GD45" s="6"/>
      <c r="GE45" s="6"/>
      <c r="GF45" s="6"/>
      <c r="GG45" s="6"/>
      <c r="GH45" s="6"/>
      <c r="GI45" s="6"/>
      <c r="GJ45" s="6"/>
      <c r="GK45" s="6"/>
      <c r="GL45" s="6"/>
      <c r="GM45" s="6"/>
      <c r="GN45" s="6"/>
      <c r="GO45" s="6"/>
      <c r="GP45" s="6"/>
      <c r="GQ45" s="6"/>
      <c r="GR45" s="6"/>
      <c r="GS45" s="6"/>
      <c r="GT45" s="6"/>
      <c r="GU45" s="6"/>
      <c r="GV45" s="6"/>
      <c r="GW45" s="6"/>
      <c r="GX45" s="6"/>
      <c r="GY45" s="6"/>
      <c r="GZ45" s="6"/>
      <c r="HA45" s="6"/>
      <c r="HB45" s="6"/>
      <c r="HC45" s="6"/>
      <c r="HD45" s="6"/>
      <c r="HE45" s="6"/>
      <c r="HF45" s="6"/>
      <c r="HG45" s="6"/>
      <c r="HH45" s="6"/>
      <c r="HI45" s="6"/>
      <c r="HJ45" s="6"/>
      <c r="HK45" s="6"/>
      <c r="HL45" s="6"/>
      <c r="HM45" s="6"/>
      <c r="HN45" s="6"/>
      <c r="HO45" s="6"/>
      <c r="HP45" s="6"/>
      <c r="HQ45" s="6"/>
      <c r="HR45" s="6"/>
      <c r="HS45" s="6"/>
      <c r="HT45" s="6"/>
      <c r="HU45" s="6"/>
      <c r="HV45" s="6"/>
      <c r="HW45" s="6"/>
      <c r="HX45" s="6"/>
      <c r="HY45" s="6"/>
      <c r="HZ45" s="6"/>
      <c r="IA45" s="6"/>
      <c r="IB45" s="6"/>
      <c r="IC45" s="6"/>
    </row>
    <row r="46" spans="1:237">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c r="CY46" s="6"/>
      <c r="CZ46" s="6"/>
      <c r="DA46" s="6"/>
      <c r="DB46" s="6"/>
      <c r="DC46" s="6"/>
      <c r="DD46" s="6"/>
      <c r="DE46" s="6"/>
      <c r="DF46" s="6"/>
      <c r="DG46" s="6"/>
      <c r="DH46" s="6"/>
      <c r="DI46" s="6"/>
      <c r="DJ46" s="6"/>
      <c r="DK46" s="6"/>
      <c r="DL46" s="6"/>
      <c r="DM46" s="6"/>
      <c r="DN46" s="6"/>
      <c r="DO46" s="6"/>
      <c r="DP46" s="6"/>
      <c r="DQ46" s="6"/>
      <c r="DR46" s="6"/>
      <c r="DS46" s="6"/>
      <c r="DT46" s="6"/>
      <c r="DU46" s="6"/>
      <c r="DV46" s="6"/>
      <c r="DW46" s="6"/>
      <c r="DX46" s="6"/>
      <c r="DY46" s="6"/>
      <c r="DZ46" s="6"/>
      <c r="EA46" s="6"/>
      <c r="EB46" s="6"/>
      <c r="EC46" s="6"/>
      <c r="ED46" s="6"/>
      <c r="EE46" s="6"/>
      <c r="EF46" s="6"/>
      <c r="EG46" s="6"/>
      <c r="EH46" s="6"/>
      <c r="EI46" s="6"/>
      <c r="EJ46" s="6"/>
      <c r="EK46" s="6"/>
      <c r="EL46" s="6"/>
      <c r="EM46" s="6"/>
      <c r="EN46" s="6"/>
      <c r="EO46" s="6"/>
      <c r="EP46" s="6"/>
      <c r="EQ46" s="6"/>
      <c r="ER46" s="6"/>
      <c r="ES46" s="6"/>
      <c r="ET46" s="6"/>
      <c r="EU46" s="6"/>
      <c r="EV46" s="6"/>
      <c r="EW46" s="6"/>
      <c r="EX46" s="6"/>
      <c r="EY46" s="6"/>
      <c r="EZ46" s="6"/>
      <c r="FA46" s="6"/>
      <c r="FB46" s="6"/>
      <c r="FC46" s="6"/>
      <c r="FD46" s="6"/>
      <c r="FE46" s="6"/>
      <c r="FF46" s="6"/>
      <c r="FG46" s="6"/>
      <c r="FH46" s="6"/>
      <c r="FI46" s="6"/>
      <c r="FJ46" s="6"/>
      <c r="FK46" s="6"/>
      <c r="FL46" s="6"/>
      <c r="FM46" s="6"/>
      <c r="FN46" s="6"/>
      <c r="FO46" s="6"/>
      <c r="FP46" s="6"/>
      <c r="FQ46" s="6"/>
      <c r="FR46" s="6"/>
      <c r="FS46" s="6"/>
      <c r="FT46" s="6"/>
      <c r="FU46" s="6"/>
      <c r="FV46" s="6"/>
      <c r="FW46" s="6"/>
      <c r="FX46" s="6"/>
      <c r="FY46" s="6"/>
      <c r="FZ46" s="6"/>
      <c r="GA46" s="6"/>
      <c r="GB46" s="6"/>
      <c r="GC46" s="6"/>
      <c r="GD46" s="6"/>
      <c r="GE46" s="6"/>
      <c r="GF46" s="6"/>
      <c r="GG46" s="6"/>
      <c r="GH46" s="6"/>
      <c r="GI46" s="6"/>
      <c r="GJ46" s="6"/>
      <c r="GK46" s="6"/>
      <c r="GL46" s="6"/>
      <c r="GM46" s="6"/>
      <c r="GN46" s="6"/>
      <c r="GO46" s="6"/>
      <c r="GP46" s="6"/>
      <c r="GQ46" s="6"/>
      <c r="GR46" s="6"/>
      <c r="GS46" s="6"/>
      <c r="GT46" s="6"/>
      <c r="GU46" s="6"/>
      <c r="GV46" s="6"/>
      <c r="GW46" s="6"/>
      <c r="GX46" s="6"/>
      <c r="GY46" s="6"/>
      <c r="GZ46" s="6"/>
      <c r="HA46" s="6"/>
      <c r="HB46" s="6"/>
      <c r="HC46" s="6"/>
      <c r="HD46" s="6"/>
      <c r="HE46" s="6"/>
      <c r="HF46" s="6"/>
      <c r="HG46" s="6"/>
      <c r="HH46" s="6"/>
      <c r="HI46" s="6"/>
      <c r="HJ46" s="6"/>
      <c r="HK46" s="6"/>
      <c r="HL46" s="6"/>
      <c r="HM46" s="6"/>
      <c r="HN46" s="6"/>
      <c r="HO46" s="6"/>
      <c r="HP46" s="6"/>
      <c r="HQ46" s="6"/>
      <c r="HR46" s="6"/>
      <c r="HS46" s="6"/>
      <c r="HT46" s="6"/>
      <c r="HU46" s="6"/>
      <c r="HV46" s="6"/>
      <c r="HW46" s="6"/>
      <c r="HX46" s="6"/>
      <c r="HY46" s="6"/>
      <c r="HZ46" s="6"/>
      <c r="IA46" s="6"/>
      <c r="IB46" s="6"/>
      <c r="IC46" s="6"/>
    </row>
    <row r="47" spans="1:237">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c r="CY47" s="6"/>
      <c r="CZ47" s="6"/>
      <c r="DA47" s="6"/>
      <c r="DB47" s="6"/>
      <c r="DC47" s="6"/>
      <c r="DD47" s="6"/>
      <c r="DE47" s="6"/>
      <c r="DF47" s="6"/>
      <c r="DG47" s="6"/>
      <c r="DH47" s="6"/>
      <c r="DI47" s="6"/>
      <c r="DJ47" s="6"/>
      <c r="DK47" s="6"/>
      <c r="DL47" s="6"/>
      <c r="DM47" s="6"/>
      <c r="DN47" s="6"/>
      <c r="DO47" s="6"/>
      <c r="DP47" s="6"/>
      <c r="DQ47" s="6"/>
      <c r="DR47" s="6"/>
      <c r="DS47" s="6"/>
      <c r="DT47" s="6"/>
      <c r="DU47" s="6"/>
      <c r="DV47" s="6"/>
      <c r="DW47" s="6"/>
      <c r="DX47" s="6"/>
      <c r="DY47" s="6"/>
      <c r="DZ47" s="6"/>
      <c r="EA47" s="6"/>
      <c r="EB47" s="6"/>
      <c r="EC47" s="6"/>
      <c r="ED47" s="6"/>
      <c r="EE47" s="6"/>
      <c r="EF47" s="6"/>
      <c r="EG47" s="6"/>
      <c r="EH47" s="6"/>
      <c r="EI47" s="6"/>
      <c r="EJ47" s="6"/>
      <c r="EK47" s="6"/>
      <c r="EL47" s="6"/>
      <c r="EM47" s="6"/>
      <c r="EN47" s="6"/>
      <c r="EO47" s="6"/>
      <c r="EP47" s="6"/>
      <c r="EQ47" s="6"/>
      <c r="ER47" s="6"/>
      <c r="ES47" s="6"/>
      <c r="ET47" s="6"/>
      <c r="EU47" s="6"/>
      <c r="EV47" s="6"/>
      <c r="EW47" s="6"/>
      <c r="EX47" s="6"/>
      <c r="EY47" s="6"/>
      <c r="EZ47" s="6"/>
      <c r="FA47" s="6"/>
      <c r="FB47" s="6"/>
      <c r="FC47" s="6"/>
      <c r="FD47" s="6"/>
      <c r="FE47" s="6"/>
      <c r="FF47" s="6"/>
      <c r="FG47" s="6"/>
      <c r="FH47" s="6"/>
      <c r="FI47" s="6"/>
      <c r="FJ47" s="6"/>
      <c r="FK47" s="6"/>
      <c r="FL47" s="6"/>
      <c r="FM47" s="6"/>
      <c r="FN47" s="6"/>
      <c r="FO47" s="6"/>
      <c r="FP47" s="6"/>
      <c r="FQ47" s="6"/>
      <c r="FR47" s="6"/>
      <c r="FS47" s="6"/>
      <c r="FT47" s="6"/>
      <c r="FU47" s="6"/>
      <c r="FV47" s="6"/>
      <c r="FW47" s="6"/>
      <c r="FX47" s="6"/>
      <c r="FY47" s="6"/>
      <c r="FZ47" s="6"/>
      <c r="GA47" s="6"/>
      <c r="GB47" s="6"/>
      <c r="GC47" s="6"/>
      <c r="GD47" s="6"/>
      <c r="GE47" s="6"/>
      <c r="GF47" s="6"/>
      <c r="GG47" s="6"/>
      <c r="GH47" s="6"/>
      <c r="GI47" s="6"/>
      <c r="GJ47" s="6"/>
      <c r="GK47" s="6"/>
      <c r="GL47" s="6"/>
      <c r="GM47" s="6"/>
      <c r="GN47" s="6"/>
      <c r="GO47" s="6"/>
      <c r="GP47" s="6"/>
      <c r="GQ47" s="6"/>
      <c r="GR47" s="6"/>
      <c r="GS47" s="6"/>
      <c r="GT47" s="6"/>
      <c r="GU47" s="6"/>
      <c r="GV47" s="6"/>
      <c r="GW47" s="6"/>
      <c r="GX47" s="6"/>
      <c r="GY47" s="6"/>
      <c r="GZ47" s="6"/>
      <c r="HA47" s="6"/>
      <c r="HB47" s="6"/>
      <c r="HC47" s="6"/>
      <c r="HD47" s="6"/>
      <c r="HE47" s="6"/>
      <c r="HF47" s="6"/>
      <c r="HG47" s="6"/>
      <c r="HH47" s="6"/>
      <c r="HI47" s="6"/>
      <c r="HJ47" s="6"/>
      <c r="HK47" s="6"/>
      <c r="HL47" s="6"/>
      <c r="HM47" s="6"/>
      <c r="HN47" s="6"/>
      <c r="HO47" s="6"/>
      <c r="HP47" s="6"/>
      <c r="HQ47" s="6"/>
      <c r="HR47" s="6"/>
      <c r="HS47" s="6"/>
      <c r="HT47" s="6"/>
      <c r="HU47" s="6"/>
      <c r="HV47" s="6"/>
      <c r="HW47" s="6"/>
      <c r="HX47" s="6"/>
      <c r="HY47" s="6"/>
      <c r="HZ47" s="6"/>
      <c r="IA47" s="6"/>
      <c r="IB47" s="6"/>
      <c r="IC47" s="6"/>
    </row>
    <row r="48" spans="1:237">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c r="CY48" s="6"/>
      <c r="CZ48" s="6"/>
      <c r="DA48" s="6"/>
      <c r="DB48" s="6"/>
      <c r="DC48" s="6"/>
      <c r="DD48" s="6"/>
      <c r="DE48" s="6"/>
      <c r="DF48" s="6"/>
      <c r="DG48" s="6"/>
      <c r="DH48" s="6"/>
      <c r="DI48" s="6"/>
      <c r="DJ48" s="6"/>
      <c r="DK48" s="6"/>
      <c r="DL48" s="6"/>
      <c r="DM48" s="6"/>
      <c r="DN48" s="6"/>
      <c r="DO48" s="6"/>
      <c r="DP48" s="6"/>
      <c r="DQ48" s="6"/>
      <c r="DR48" s="6"/>
      <c r="DS48" s="6"/>
      <c r="DT48" s="6"/>
      <c r="DU48" s="6"/>
      <c r="DV48" s="6"/>
      <c r="DW48" s="6"/>
      <c r="DX48" s="6"/>
      <c r="DY48" s="6"/>
      <c r="DZ48" s="6"/>
      <c r="EA48" s="6"/>
      <c r="EB48" s="6"/>
      <c r="EC48" s="6"/>
      <c r="ED48" s="6"/>
      <c r="EE48" s="6"/>
      <c r="EF48" s="6"/>
      <c r="EG48" s="6"/>
      <c r="EH48" s="6"/>
      <c r="EI48" s="6"/>
      <c r="EJ48" s="6"/>
      <c r="EK48" s="6"/>
      <c r="EL48" s="6"/>
      <c r="EM48" s="6"/>
      <c r="EN48" s="6"/>
      <c r="EO48" s="6"/>
      <c r="EP48" s="6"/>
      <c r="EQ48" s="6"/>
      <c r="ER48" s="6"/>
      <c r="ES48" s="6"/>
      <c r="ET48" s="6"/>
      <c r="EU48" s="6"/>
      <c r="EV48" s="6"/>
      <c r="EW48" s="6"/>
      <c r="EX48" s="6"/>
      <c r="EY48" s="6"/>
      <c r="EZ48" s="6"/>
      <c r="FA48" s="6"/>
      <c r="FB48" s="6"/>
      <c r="FC48" s="6"/>
      <c r="FD48" s="6"/>
      <c r="FE48" s="6"/>
      <c r="FF48" s="6"/>
      <c r="FG48" s="6"/>
      <c r="FH48" s="6"/>
      <c r="FI48" s="6"/>
      <c r="FJ48" s="6"/>
      <c r="FK48" s="6"/>
      <c r="FL48" s="6"/>
      <c r="FM48" s="6"/>
      <c r="FN48" s="6"/>
      <c r="FO48" s="6"/>
      <c r="FP48" s="6"/>
      <c r="FQ48" s="6"/>
      <c r="FR48" s="6"/>
      <c r="FS48" s="6"/>
      <c r="FT48" s="6"/>
      <c r="FU48" s="6"/>
      <c r="FV48" s="6"/>
      <c r="FW48" s="6"/>
      <c r="FX48" s="6"/>
      <c r="FY48" s="6"/>
      <c r="FZ48" s="6"/>
      <c r="GA48" s="6"/>
      <c r="GB48" s="6"/>
      <c r="GC48" s="6"/>
      <c r="GD48" s="6"/>
      <c r="GE48" s="6"/>
      <c r="GF48" s="6"/>
      <c r="GG48" s="6"/>
      <c r="GH48" s="6"/>
      <c r="GI48" s="6"/>
      <c r="GJ48" s="6"/>
      <c r="GK48" s="6"/>
      <c r="GL48" s="6"/>
      <c r="GM48" s="6"/>
      <c r="GN48" s="6"/>
      <c r="GO48" s="6"/>
      <c r="GP48" s="6"/>
      <c r="GQ48" s="6"/>
      <c r="GR48" s="6"/>
      <c r="GS48" s="6"/>
      <c r="GT48" s="6"/>
      <c r="GU48" s="6"/>
      <c r="GV48" s="6"/>
      <c r="GW48" s="6"/>
      <c r="GX48" s="6"/>
      <c r="GY48" s="6"/>
      <c r="GZ48" s="6"/>
      <c r="HA48" s="6"/>
      <c r="HB48" s="6"/>
      <c r="HC48" s="6"/>
      <c r="HD48" s="6"/>
      <c r="HE48" s="6"/>
      <c r="HF48" s="6"/>
      <c r="HG48" s="6"/>
      <c r="HH48" s="6"/>
      <c r="HI48" s="6"/>
      <c r="HJ48" s="6"/>
      <c r="HK48" s="6"/>
      <c r="HL48" s="6"/>
      <c r="HM48" s="6"/>
      <c r="HN48" s="6"/>
      <c r="HO48" s="6"/>
      <c r="HP48" s="6"/>
      <c r="HQ48" s="6"/>
      <c r="HR48" s="6"/>
      <c r="HS48" s="6"/>
      <c r="HT48" s="6"/>
      <c r="HU48" s="6"/>
      <c r="HV48" s="6"/>
      <c r="HW48" s="6"/>
      <c r="HX48" s="6"/>
      <c r="HY48" s="6"/>
      <c r="HZ48" s="6"/>
      <c r="IA48" s="6"/>
      <c r="IB48" s="6"/>
      <c r="IC48" s="6"/>
    </row>
    <row r="49" spans="1:237">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c r="CY49" s="6"/>
      <c r="CZ49" s="6"/>
      <c r="DA49" s="6"/>
      <c r="DB49" s="6"/>
      <c r="DC49" s="6"/>
      <c r="DD49" s="6"/>
      <c r="DE49" s="6"/>
      <c r="DF49" s="6"/>
      <c r="DG49" s="6"/>
      <c r="DH49" s="6"/>
      <c r="DI49" s="6"/>
      <c r="DJ49" s="6"/>
      <c r="DK49" s="6"/>
      <c r="DL49" s="6"/>
      <c r="DM49" s="6"/>
      <c r="DN49" s="6"/>
      <c r="DO49" s="6"/>
      <c r="DP49" s="6"/>
      <c r="DQ49" s="6"/>
      <c r="DR49" s="6"/>
      <c r="DS49" s="6"/>
      <c r="DT49" s="6"/>
      <c r="DU49" s="6"/>
      <c r="DV49" s="6"/>
      <c r="DW49" s="6"/>
      <c r="DX49" s="6"/>
      <c r="DY49" s="6"/>
      <c r="DZ49" s="6"/>
      <c r="EA49" s="6"/>
      <c r="EB49" s="6"/>
      <c r="EC49" s="6"/>
      <c r="ED49" s="6"/>
      <c r="EE49" s="6"/>
      <c r="EF49" s="6"/>
      <c r="EG49" s="6"/>
      <c r="EH49" s="6"/>
      <c r="EI49" s="6"/>
      <c r="EJ49" s="6"/>
      <c r="EK49" s="6"/>
      <c r="EL49" s="6"/>
      <c r="EM49" s="6"/>
      <c r="EN49" s="6"/>
      <c r="EO49" s="6"/>
      <c r="EP49" s="6"/>
      <c r="EQ49" s="6"/>
      <c r="ER49" s="6"/>
      <c r="ES49" s="6"/>
      <c r="ET49" s="6"/>
      <c r="EU49" s="6"/>
      <c r="EV49" s="6"/>
      <c r="EW49" s="6"/>
      <c r="EX49" s="6"/>
      <c r="EY49" s="6"/>
      <c r="EZ49" s="6"/>
      <c r="FA49" s="6"/>
      <c r="FB49" s="6"/>
      <c r="FC49" s="6"/>
      <c r="FD49" s="6"/>
      <c r="FE49" s="6"/>
      <c r="FF49" s="6"/>
      <c r="FG49" s="6"/>
      <c r="FH49" s="6"/>
      <c r="FI49" s="6"/>
      <c r="FJ49" s="6"/>
      <c r="FK49" s="6"/>
      <c r="FL49" s="6"/>
      <c r="FM49" s="6"/>
      <c r="FN49" s="6"/>
      <c r="FO49" s="6"/>
      <c r="FP49" s="6"/>
      <c r="FQ49" s="6"/>
      <c r="FR49" s="6"/>
      <c r="FS49" s="6"/>
      <c r="FT49" s="6"/>
      <c r="FU49" s="6"/>
      <c r="FV49" s="6"/>
      <c r="FW49" s="6"/>
      <c r="FX49" s="6"/>
      <c r="FY49" s="6"/>
      <c r="FZ49" s="6"/>
      <c r="GA49" s="6"/>
      <c r="GB49" s="6"/>
      <c r="GC49" s="6"/>
      <c r="GD49" s="6"/>
      <c r="GE49" s="6"/>
      <c r="GF49" s="6"/>
      <c r="GG49" s="6"/>
      <c r="GH49" s="6"/>
      <c r="GI49" s="6"/>
      <c r="GJ49" s="6"/>
      <c r="GK49" s="6"/>
      <c r="GL49" s="6"/>
      <c r="GM49" s="6"/>
      <c r="GN49" s="6"/>
      <c r="GO49" s="6"/>
      <c r="GP49" s="6"/>
      <c r="GQ49" s="6"/>
      <c r="GR49" s="6"/>
      <c r="GS49" s="6"/>
      <c r="GT49" s="6"/>
      <c r="GU49" s="6"/>
      <c r="GV49" s="6"/>
      <c r="GW49" s="6"/>
      <c r="GX49" s="6"/>
      <c r="GY49" s="6"/>
      <c r="GZ49" s="6"/>
      <c r="HA49" s="6"/>
      <c r="HB49" s="6"/>
      <c r="HC49" s="6"/>
      <c r="HD49" s="6"/>
      <c r="HE49" s="6"/>
      <c r="HF49" s="6"/>
      <c r="HG49" s="6"/>
      <c r="HH49" s="6"/>
      <c r="HI49" s="6"/>
      <c r="HJ49" s="6"/>
      <c r="HK49" s="6"/>
      <c r="HL49" s="6"/>
      <c r="HM49" s="6"/>
      <c r="HN49" s="6"/>
      <c r="HO49" s="6"/>
      <c r="HP49" s="6"/>
      <c r="HQ49" s="6"/>
      <c r="HR49" s="6"/>
      <c r="HS49" s="6"/>
      <c r="HT49" s="6"/>
      <c r="HU49" s="6"/>
      <c r="HV49" s="6"/>
      <c r="HW49" s="6"/>
      <c r="HX49" s="6"/>
      <c r="HY49" s="6"/>
      <c r="HZ49" s="6"/>
      <c r="IA49" s="6"/>
      <c r="IB49" s="6"/>
      <c r="IC49" s="6"/>
    </row>
    <row r="50" spans="1:237">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c r="CX50" s="6"/>
      <c r="CY50" s="6"/>
      <c r="CZ50" s="6"/>
      <c r="DA50" s="6"/>
      <c r="DB50" s="6"/>
      <c r="DC50" s="6"/>
      <c r="DD50" s="6"/>
      <c r="DE50" s="6"/>
      <c r="DF50" s="6"/>
      <c r="DG50" s="6"/>
      <c r="DH50" s="6"/>
      <c r="DI50" s="6"/>
      <c r="DJ50" s="6"/>
      <c r="DK50" s="6"/>
      <c r="DL50" s="6"/>
      <c r="DM50" s="6"/>
      <c r="DN50" s="6"/>
      <c r="DO50" s="6"/>
      <c r="DP50" s="6"/>
      <c r="DQ50" s="6"/>
      <c r="DR50" s="6"/>
      <c r="DS50" s="6"/>
      <c r="DT50" s="6"/>
      <c r="DU50" s="6"/>
      <c r="DV50" s="6"/>
      <c r="DW50" s="6"/>
      <c r="DX50" s="6"/>
      <c r="DY50" s="6"/>
      <c r="DZ50" s="6"/>
      <c r="EA50" s="6"/>
      <c r="EB50" s="6"/>
      <c r="EC50" s="6"/>
      <c r="ED50" s="6"/>
      <c r="EE50" s="6"/>
      <c r="EF50" s="6"/>
      <c r="EG50" s="6"/>
      <c r="EH50" s="6"/>
      <c r="EI50" s="6"/>
      <c r="EJ50" s="6"/>
      <c r="EK50" s="6"/>
      <c r="EL50" s="6"/>
      <c r="EM50" s="6"/>
      <c r="EN50" s="6"/>
      <c r="EO50" s="6"/>
      <c r="EP50" s="6"/>
      <c r="EQ50" s="6"/>
      <c r="ER50" s="6"/>
      <c r="ES50" s="6"/>
      <c r="ET50" s="6"/>
      <c r="EU50" s="6"/>
      <c r="EV50" s="6"/>
      <c r="EW50" s="6"/>
      <c r="EX50" s="6"/>
      <c r="EY50" s="6"/>
      <c r="EZ50" s="6"/>
      <c r="FA50" s="6"/>
      <c r="FB50" s="6"/>
      <c r="FC50" s="6"/>
      <c r="FD50" s="6"/>
      <c r="FE50" s="6"/>
      <c r="FF50" s="6"/>
      <c r="FG50" s="6"/>
      <c r="FH50" s="6"/>
      <c r="FI50" s="6"/>
      <c r="FJ50" s="6"/>
      <c r="FK50" s="6"/>
      <c r="FL50" s="6"/>
      <c r="FM50" s="6"/>
      <c r="FN50" s="6"/>
      <c r="FO50" s="6"/>
      <c r="FP50" s="6"/>
      <c r="FQ50" s="6"/>
      <c r="FR50" s="6"/>
      <c r="FS50" s="6"/>
      <c r="FT50" s="6"/>
      <c r="FU50" s="6"/>
      <c r="FV50" s="6"/>
      <c r="FW50" s="6"/>
      <c r="FX50" s="6"/>
      <c r="FY50" s="6"/>
      <c r="FZ50" s="6"/>
      <c r="GA50" s="6"/>
      <c r="GB50" s="6"/>
      <c r="GC50" s="6"/>
      <c r="GD50" s="6"/>
      <c r="GE50" s="6"/>
      <c r="GF50" s="6"/>
      <c r="GG50" s="6"/>
      <c r="GH50" s="6"/>
      <c r="GI50" s="6"/>
      <c r="GJ50" s="6"/>
      <c r="GK50" s="6"/>
      <c r="GL50" s="6"/>
      <c r="GM50" s="6"/>
      <c r="GN50" s="6"/>
      <c r="GO50" s="6"/>
      <c r="GP50" s="6"/>
      <c r="GQ50" s="6"/>
      <c r="GR50" s="6"/>
      <c r="GS50" s="6"/>
      <c r="GT50" s="6"/>
      <c r="GU50" s="6"/>
      <c r="GV50" s="6"/>
      <c r="GW50" s="6"/>
      <c r="GX50" s="6"/>
      <c r="GY50" s="6"/>
      <c r="GZ50" s="6"/>
      <c r="HA50" s="6"/>
      <c r="HB50" s="6"/>
      <c r="HC50" s="6"/>
      <c r="HD50" s="6"/>
      <c r="HE50" s="6"/>
      <c r="HF50" s="6"/>
      <c r="HG50" s="6"/>
      <c r="HH50" s="6"/>
      <c r="HI50" s="6"/>
      <c r="HJ50" s="6"/>
      <c r="HK50" s="6"/>
      <c r="HL50" s="6"/>
      <c r="HM50" s="6"/>
      <c r="HN50" s="6"/>
      <c r="HO50" s="6"/>
      <c r="HP50" s="6"/>
      <c r="HQ50" s="6"/>
      <c r="HR50" s="6"/>
      <c r="HS50" s="6"/>
      <c r="HT50" s="6"/>
      <c r="HU50" s="6"/>
      <c r="HV50" s="6"/>
      <c r="HW50" s="6"/>
      <c r="HX50" s="6"/>
      <c r="HY50" s="6"/>
      <c r="HZ50" s="6"/>
      <c r="IA50" s="6"/>
      <c r="IB50" s="6"/>
      <c r="IC50" s="6"/>
    </row>
    <row r="51" spans="1:237">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c r="CX51" s="6"/>
      <c r="CY51" s="6"/>
      <c r="CZ51" s="6"/>
      <c r="DA51" s="6"/>
      <c r="DB51" s="6"/>
      <c r="DC51" s="6"/>
      <c r="DD51" s="6"/>
      <c r="DE51" s="6"/>
      <c r="DF51" s="6"/>
      <c r="DG51" s="6"/>
      <c r="DH51" s="6"/>
      <c r="DI51" s="6"/>
      <c r="DJ51" s="6"/>
      <c r="DK51" s="6"/>
      <c r="DL51" s="6"/>
      <c r="DM51" s="6"/>
      <c r="DN51" s="6"/>
      <c r="DO51" s="6"/>
      <c r="DP51" s="6"/>
      <c r="DQ51" s="6"/>
      <c r="DR51" s="6"/>
      <c r="DS51" s="6"/>
      <c r="DT51" s="6"/>
      <c r="DU51" s="6"/>
      <c r="DV51" s="6"/>
      <c r="DW51" s="6"/>
      <c r="DX51" s="6"/>
      <c r="DY51" s="6"/>
      <c r="DZ51" s="6"/>
      <c r="EA51" s="6"/>
      <c r="EB51" s="6"/>
      <c r="EC51" s="6"/>
      <c r="ED51" s="6"/>
      <c r="EE51" s="6"/>
      <c r="EF51" s="6"/>
      <c r="EG51" s="6"/>
      <c r="EH51" s="6"/>
      <c r="EI51" s="6"/>
      <c r="EJ51" s="6"/>
      <c r="EK51" s="6"/>
      <c r="EL51" s="6"/>
      <c r="EM51" s="6"/>
      <c r="EN51" s="6"/>
      <c r="EO51" s="6"/>
      <c r="EP51" s="6"/>
      <c r="EQ51" s="6"/>
      <c r="ER51" s="6"/>
      <c r="ES51" s="6"/>
      <c r="ET51" s="6"/>
      <c r="EU51" s="6"/>
      <c r="EV51" s="6"/>
      <c r="EW51" s="6"/>
      <c r="EX51" s="6"/>
      <c r="EY51" s="6"/>
      <c r="EZ51" s="6"/>
      <c r="FA51" s="6"/>
      <c r="FB51" s="6"/>
      <c r="FC51" s="6"/>
      <c r="FD51" s="6"/>
      <c r="FE51" s="6"/>
      <c r="FF51" s="6"/>
      <c r="FG51" s="6"/>
      <c r="FH51" s="6"/>
      <c r="FI51" s="6"/>
      <c r="FJ51" s="6"/>
      <c r="FK51" s="6"/>
      <c r="FL51" s="6"/>
      <c r="FM51" s="6"/>
      <c r="FN51" s="6"/>
      <c r="FO51" s="6"/>
      <c r="FP51" s="6"/>
      <c r="FQ51" s="6"/>
      <c r="FR51" s="6"/>
      <c r="FS51" s="6"/>
      <c r="FT51" s="6"/>
      <c r="FU51" s="6"/>
      <c r="FV51" s="6"/>
      <c r="FW51" s="6"/>
      <c r="FX51" s="6"/>
      <c r="FY51" s="6"/>
      <c r="FZ51" s="6"/>
      <c r="GA51" s="6"/>
      <c r="GB51" s="6"/>
      <c r="GC51" s="6"/>
      <c r="GD51" s="6"/>
      <c r="GE51" s="6"/>
      <c r="GF51" s="6"/>
      <c r="GG51" s="6"/>
      <c r="GH51" s="6"/>
      <c r="GI51" s="6"/>
      <c r="GJ51" s="6"/>
      <c r="GK51" s="6"/>
      <c r="GL51" s="6"/>
      <c r="GM51" s="6"/>
      <c r="GN51" s="6"/>
      <c r="GO51" s="6"/>
      <c r="GP51" s="6"/>
      <c r="GQ51" s="6"/>
      <c r="GR51" s="6"/>
      <c r="GS51" s="6"/>
      <c r="GT51" s="6"/>
      <c r="GU51" s="6"/>
      <c r="GV51" s="6"/>
      <c r="GW51" s="6"/>
      <c r="GX51" s="6"/>
      <c r="GY51" s="6"/>
      <c r="GZ51" s="6"/>
      <c r="HA51" s="6"/>
      <c r="HB51" s="6"/>
      <c r="HC51" s="6"/>
      <c r="HD51" s="6"/>
      <c r="HE51" s="6"/>
      <c r="HF51" s="6"/>
      <c r="HG51" s="6"/>
      <c r="HH51" s="6"/>
      <c r="HI51" s="6"/>
      <c r="HJ51" s="6"/>
      <c r="HK51" s="6"/>
      <c r="HL51" s="6"/>
      <c r="HM51" s="6"/>
      <c r="HN51" s="6"/>
      <c r="HO51" s="6"/>
      <c r="HP51" s="6"/>
      <c r="HQ51" s="6"/>
      <c r="HR51" s="6"/>
      <c r="HS51" s="6"/>
      <c r="HT51" s="6"/>
      <c r="HU51" s="6"/>
      <c r="HV51" s="6"/>
      <c r="HW51" s="6"/>
      <c r="HX51" s="6"/>
      <c r="HY51" s="6"/>
      <c r="HZ51" s="6"/>
      <c r="IA51" s="6"/>
      <c r="IB51" s="6"/>
      <c r="IC51" s="6"/>
    </row>
    <row r="52" spans="1:237">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c r="CY52" s="6"/>
      <c r="CZ52" s="6"/>
      <c r="DA52" s="6"/>
      <c r="DB52" s="6"/>
      <c r="DC52" s="6"/>
      <c r="DD52" s="6"/>
      <c r="DE52" s="6"/>
      <c r="DF52" s="6"/>
      <c r="DG52" s="6"/>
      <c r="DH52" s="6"/>
      <c r="DI52" s="6"/>
      <c r="DJ52" s="6"/>
      <c r="DK52" s="6"/>
      <c r="DL52" s="6"/>
      <c r="DM52" s="6"/>
      <c r="DN52" s="6"/>
      <c r="DO52" s="6"/>
      <c r="DP52" s="6"/>
      <c r="DQ52" s="6"/>
      <c r="DR52" s="6"/>
      <c r="DS52" s="6"/>
      <c r="DT52" s="6"/>
      <c r="DU52" s="6"/>
      <c r="DV52" s="6"/>
      <c r="DW52" s="6"/>
      <c r="DX52" s="6"/>
      <c r="DY52" s="6"/>
      <c r="DZ52" s="6"/>
      <c r="EA52" s="6"/>
      <c r="EB52" s="6"/>
      <c r="EC52" s="6"/>
      <c r="ED52" s="6"/>
      <c r="EE52" s="6"/>
      <c r="EF52" s="6"/>
      <c r="EG52" s="6"/>
      <c r="EH52" s="6"/>
      <c r="EI52" s="6"/>
      <c r="EJ52" s="6"/>
      <c r="EK52" s="6"/>
      <c r="EL52" s="6"/>
      <c r="EM52" s="6"/>
      <c r="EN52" s="6"/>
      <c r="EO52" s="6"/>
      <c r="EP52" s="6"/>
      <c r="EQ52" s="6"/>
      <c r="ER52" s="6"/>
      <c r="ES52" s="6"/>
      <c r="ET52" s="6"/>
      <c r="EU52" s="6"/>
      <c r="EV52" s="6"/>
      <c r="EW52" s="6"/>
      <c r="EX52" s="6"/>
      <c r="EY52" s="6"/>
      <c r="EZ52" s="6"/>
      <c r="FA52" s="6"/>
      <c r="FB52" s="6"/>
      <c r="FC52" s="6"/>
      <c r="FD52" s="6"/>
      <c r="FE52" s="6"/>
      <c r="FF52" s="6"/>
      <c r="FG52" s="6"/>
      <c r="FH52" s="6"/>
      <c r="FI52" s="6"/>
      <c r="FJ52" s="6"/>
      <c r="FK52" s="6"/>
      <c r="FL52" s="6"/>
      <c r="FM52" s="6"/>
      <c r="FN52" s="6"/>
      <c r="FO52" s="6"/>
      <c r="FP52" s="6"/>
      <c r="FQ52" s="6"/>
      <c r="FR52" s="6"/>
      <c r="FS52" s="6"/>
      <c r="FT52" s="6"/>
      <c r="FU52" s="6"/>
      <c r="FV52" s="6"/>
      <c r="FW52" s="6"/>
      <c r="FX52" s="6"/>
      <c r="FY52" s="6"/>
      <c r="FZ52" s="6"/>
      <c r="GA52" s="6"/>
      <c r="GB52" s="6"/>
      <c r="GC52" s="6"/>
      <c r="GD52" s="6"/>
      <c r="GE52" s="6"/>
      <c r="GF52" s="6"/>
      <c r="GG52" s="6"/>
      <c r="GH52" s="6"/>
      <c r="GI52" s="6"/>
      <c r="GJ52" s="6"/>
      <c r="GK52" s="6"/>
      <c r="GL52" s="6"/>
      <c r="GM52" s="6"/>
      <c r="GN52" s="6"/>
      <c r="GO52" s="6"/>
      <c r="GP52" s="6"/>
      <c r="GQ52" s="6"/>
      <c r="GR52" s="6"/>
      <c r="GS52" s="6"/>
      <c r="GT52" s="6"/>
      <c r="GU52" s="6"/>
      <c r="GV52" s="6"/>
      <c r="GW52" s="6"/>
      <c r="GX52" s="6"/>
      <c r="GY52" s="6"/>
      <c r="GZ52" s="6"/>
      <c r="HA52" s="6"/>
      <c r="HB52" s="6"/>
      <c r="HC52" s="6"/>
      <c r="HD52" s="6"/>
      <c r="HE52" s="6"/>
      <c r="HF52" s="6"/>
      <c r="HG52" s="6"/>
      <c r="HH52" s="6"/>
      <c r="HI52" s="6"/>
      <c r="HJ52" s="6"/>
      <c r="HK52" s="6"/>
      <c r="HL52" s="6"/>
      <c r="HM52" s="6"/>
      <c r="HN52" s="6"/>
      <c r="HO52" s="6"/>
      <c r="HP52" s="6"/>
      <c r="HQ52" s="6"/>
      <c r="HR52" s="6"/>
      <c r="HS52" s="6"/>
      <c r="HT52" s="6"/>
      <c r="HU52" s="6"/>
      <c r="HV52" s="6"/>
      <c r="HW52" s="6"/>
      <c r="HX52" s="6"/>
      <c r="HY52" s="6"/>
      <c r="HZ52" s="6"/>
      <c r="IA52" s="6"/>
      <c r="IB52" s="6"/>
      <c r="IC52" s="6"/>
    </row>
    <row r="53" spans="1:237">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c r="CY53" s="6"/>
      <c r="CZ53" s="6"/>
      <c r="DA53" s="6"/>
      <c r="DB53" s="6"/>
      <c r="DC53" s="6"/>
      <c r="DD53" s="6"/>
      <c r="DE53" s="6"/>
      <c r="DF53" s="6"/>
      <c r="DG53" s="6"/>
      <c r="DH53" s="6"/>
      <c r="DI53" s="6"/>
      <c r="DJ53" s="6"/>
      <c r="DK53" s="6"/>
      <c r="DL53" s="6"/>
      <c r="DM53" s="6"/>
      <c r="DN53" s="6"/>
      <c r="DO53" s="6"/>
      <c r="DP53" s="6"/>
      <c r="DQ53" s="6"/>
      <c r="DR53" s="6"/>
      <c r="DS53" s="6"/>
      <c r="DT53" s="6"/>
      <c r="DU53" s="6"/>
      <c r="DV53" s="6"/>
      <c r="DW53" s="6"/>
      <c r="DX53" s="6"/>
      <c r="DY53" s="6"/>
      <c r="DZ53" s="6"/>
      <c r="EA53" s="6"/>
      <c r="EB53" s="6"/>
      <c r="EC53" s="6"/>
      <c r="ED53" s="6"/>
      <c r="EE53" s="6"/>
      <c r="EF53" s="6"/>
      <c r="EG53" s="6"/>
      <c r="EH53" s="6"/>
      <c r="EI53" s="6"/>
      <c r="EJ53" s="6"/>
      <c r="EK53" s="6"/>
      <c r="EL53" s="6"/>
      <c r="EM53" s="6"/>
      <c r="EN53" s="6"/>
      <c r="EO53" s="6"/>
      <c r="EP53" s="6"/>
      <c r="EQ53" s="6"/>
      <c r="ER53" s="6"/>
      <c r="ES53" s="6"/>
      <c r="ET53" s="6"/>
      <c r="EU53" s="6"/>
      <c r="EV53" s="6"/>
      <c r="EW53" s="6"/>
      <c r="EX53" s="6"/>
      <c r="EY53" s="6"/>
      <c r="EZ53" s="6"/>
      <c r="FA53" s="6"/>
      <c r="FB53" s="6"/>
      <c r="FC53" s="6"/>
      <c r="FD53" s="6"/>
      <c r="FE53" s="6"/>
      <c r="FF53" s="6"/>
      <c r="FG53" s="6"/>
      <c r="FH53" s="6"/>
      <c r="FI53" s="6"/>
      <c r="FJ53" s="6"/>
      <c r="FK53" s="6"/>
      <c r="FL53" s="6"/>
      <c r="FM53" s="6"/>
      <c r="FN53" s="6"/>
      <c r="FO53" s="6"/>
      <c r="FP53" s="6"/>
      <c r="FQ53" s="6"/>
      <c r="FR53" s="6"/>
      <c r="FS53" s="6"/>
      <c r="FT53" s="6"/>
      <c r="FU53" s="6"/>
      <c r="FV53" s="6"/>
      <c r="FW53" s="6"/>
      <c r="FX53" s="6"/>
      <c r="FY53" s="6"/>
      <c r="FZ53" s="6"/>
      <c r="GA53" s="6"/>
      <c r="GB53" s="6"/>
      <c r="GC53" s="6"/>
      <c r="GD53" s="6"/>
      <c r="GE53" s="6"/>
      <c r="GF53" s="6"/>
      <c r="GG53" s="6"/>
      <c r="GH53" s="6"/>
      <c r="GI53" s="6"/>
      <c r="GJ53" s="6"/>
      <c r="GK53" s="6"/>
      <c r="GL53" s="6"/>
      <c r="GM53" s="6"/>
      <c r="GN53" s="6"/>
      <c r="GO53" s="6"/>
      <c r="GP53" s="6"/>
      <c r="GQ53" s="6"/>
      <c r="GR53" s="6"/>
      <c r="GS53" s="6"/>
      <c r="GT53" s="6"/>
      <c r="GU53" s="6"/>
      <c r="GV53" s="6"/>
      <c r="GW53" s="6"/>
      <c r="GX53" s="6"/>
      <c r="GY53" s="6"/>
      <c r="GZ53" s="6"/>
      <c r="HA53" s="6"/>
      <c r="HB53" s="6"/>
      <c r="HC53" s="6"/>
      <c r="HD53" s="6"/>
      <c r="HE53" s="6"/>
      <c r="HF53" s="6"/>
      <c r="HG53" s="6"/>
      <c r="HH53" s="6"/>
      <c r="HI53" s="6"/>
      <c r="HJ53" s="6"/>
      <c r="HK53" s="6"/>
      <c r="HL53" s="6"/>
      <c r="HM53" s="6"/>
      <c r="HN53" s="6"/>
      <c r="HO53" s="6"/>
      <c r="HP53" s="6"/>
      <c r="HQ53" s="6"/>
      <c r="HR53" s="6"/>
      <c r="HS53" s="6"/>
      <c r="HT53" s="6"/>
      <c r="HU53" s="6"/>
      <c r="HV53" s="6"/>
      <c r="HW53" s="6"/>
      <c r="HX53" s="6"/>
      <c r="HY53" s="6"/>
      <c r="HZ53" s="6"/>
      <c r="IA53" s="6"/>
      <c r="IB53" s="6"/>
      <c r="IC53" s="6"/>
    </row>
    <row r="54" spans="1:237">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c r="CY54" s="6"/>
      <c r="CZ54" s="6"/>
      <c r="DA54" s="6"/>
      <c r="DB54" s="6"/>
      <c r="DC54" s="6"/>
      <c r="DD54" s="6"/>
      <c r="DE54" s="6"/>
      <c r="DF54" s="6"/>
      <c r="DG54" s="6"/>
      <c r="DH54" s="6"/>
      <c r="DI54" s="6"/>
      <c r="DJ54" s="6"/>
      <c r="DK54" s="6"/>
      <c r="DL54" s="6"/>
      <c r="DM54" s="6"/>
      <c r="DN54" s="6"/>
      <c r="DO54" s="6"/>
      <c r="DP54" s="6"/>
      <c r="DQ54" s="6"/>
      <c r="DR54" s="6"/>
      <c r="DS54" s="6"/>
      <c r="DT54" s="6"/>
      <c r="DU54" s="6"/>
      <c r="DV54" s="6"/>
      <c r="DW54" s="6"/>
      <c r="DX54" s="6"/>
      <c r="DY54" s="6"/>
      <c r="DZ54" s="6"/>
      <c r="EA54" s="6"/>
      <c r="EB54" s="6"/>
      <c r="EC54" s="6"/>
      <c r="ED54" s="6"/>
      <c r="EE54" s="6"/>
      <c r="EF54" s="6"/>
      <c r="EG54" s="6"/>
      <c r="EH54" s="6"/>
      <c r="EI54" s="6"/>
      <c r="EJ54" s="6"/>
      <c r="EK54" s="6"/>
      <c r="EL54" s="6"/>
      <c r="EM54" s="6"/>
      <c r="EN54" s="6"/>
      <c r="EO54" s="6"/>
      <c r="EP54" s="6"/>
      <c r="EQ54" s="6"/>
      <c r="ER54" s="6"/>
      <c r="ES54" s="6"/>
      <c r="ET54" s="6"/>
      <c r="EU54" s="6"/>
      <c r="EV54" s="6"/>
      <c r="EW54" s="6"/>
      <c r="EX54" s="6"/>
      <c r="EY54" s="6"/>
      <c r="EZ54" s="6"/>
      <c r="FA54" s="6"/>
      <c r="FB54" s="6"/>
      <c r="FC54" s="6"/>
      <c r="FD54" s="6"/>
      <c r="FE54" s="6"/>
      <c r="FF54" s="6"/>
      <c r="FG54" s="6"/>
      <c r="FH54" s="6"/>
      <c r="FI54" s="6"/>
      <c r="FJ54" s="6"/>
      <c r="FK54" s="6"/>
      <c r="FL54" s="6"/>
      <c r="FM54" s="6"/>
      <c r="FN54" s="6"/>
      <c r="FO54" s="6"/>
      <c r="FP54" s="6"/>
      <c r="FQ54" s="6"/>
      <c r="FR54" s="6"/>
      <c r="FS54" s="6"/>
      <c r="FT54" s="6"/>
      <c r="FU54" s="6"/>
      <c r="FV54" s="6"/>
      <c r="FW54" s="6"/>
      <c r="FX54" s="6"/>
      <c r="FY54" s="6"/>
      <c r="FZ54" s="6"/>
      <c r="GA54" s="6"/>
      <c r="GB54" s="6"/>
      <c r="GC54" s="6"/>
      <c r="GD54" s="6"/>
      <c r="GE54" s="6"/>
      <c r="GF54" s="6"/>
      <c r="GG54" s="6"/>
      <c r="GH54" s="6"/>
      <c r="GI54" s="6"/>
      <c r="GJ54" s="6"/>
      <c r="GK54" s="6"/>
      <c r="GL54" s="6"/>
      <c r="GM54" s="6"/>
      <c r="GN54" s="6"/>
      <c r="GO54" s="6"/>
      <c r="GP54" s="6"/>
      <c r="GQ54" s="6"/>
      <c r="GR54" s="6"/>
      <c r="GS54" s="6"/>
      <c r="GT54" s="6"/>
      <c r="GU54" s="6"/>
      <c r="GV54" s="6"/>
      <c r="GW54" s="6"/>
      <c r="GX54" s="6"/>
      <c r="GY54" s="6"/>
      <c r="GZ54" s="6"/>
      <c r="HA54" s="6"/>
      <c r="HB54" s="6"/>
      <c r="HC54" s="6"/>
      <c r="HD54" s="6"/>
      <c r="HE54" s="6"/>
      <c r="HF54" s="6"/>
      <c r="HG54" s="6"/>
      <c r="HH54" s="6"/>
      <c r="HI54" s="6"/>
      <c r="HJ54" s="6"/>
      <c r="HK54" s="6"/>
      <c r="HL54" s="6"/>
      <c r="HM54" s="6"/>
      <c r="HN54" s="6"/>
      <c r="HO54" s="6"/>
      <c r="HP54" s="6"/>
      <c r="HQ54" s="6"/>
      <c r="HR54" s="6"/>
      <c r="HS54" s="6"/>
      <c r="HT54" s="6"/>
      <c r="HU54" s="6"/>
      <c r="HV54" s="6"/>
      <c r="HW54" s="6"/>
      <c r="HX54" s="6"/>
      <c r="HY54" s="6"/>
      <c r="HZ54" s="6"/>
      <c r="IA54" s="6"/>
      <c r="IB54" s="6"/>
      <c r="IC54" s="6"/>
    </row>
    <row r="55" spans="1:237">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c r="CY55" s="6"/>
      <c r="CZ55" s="6"/>
      <c r="DA55" s="6"/>
      <c r="DB55" s="6"/>
      <c r="DC55" s="6"/>
      <c r="DD55" s="6"/>
      <c r="DE55" s="6"/>
      <c r="DF55" s="6"/>
      <c r="DG55" s="6"/>
      <c r="DH55" s="6"/>
      <c r="DI55" s="6"/>
      <c r="DJ55" s="6"/>
      <c r="DK55" s="6"/>
      <c r="DL55" s="6"/>
      <c r="DM55" s="6"/>
      <c r="DN55" s="6"/>
      <c r="DO55" s="6"/>
      <c r="DP55" s="6"/>
      <c r="DQ55" s="6"/>
      <c r="DR55" s="6"/>
      <c r="DS55" s="6"/>
      <c r="DT55" s="6"/>
      <c r="DU55" s="6"/>
      <c r="DV55" s="6"/>
      <c r="DW55" s="6"/>
      <c r="DX55" s="6"/>
      <c r="DY55" s="6"/>
      <c r="DZ55" s="6"/>
      <c r="EA55" s="6"/>
      <c r="EB55" s="6"/>
      <c r="EC55" s="6"/>
      <c r="ED55" s="6"/>
      <c r="EE55" s="6"/>
      <c r="EF55" s="6"/>
      <c r="EG55" s="6"/>
      <c r="EH55" s="6"/>
      <c r="EI55" s="6"/>
      <c r="EJ55" s="6"/>
      <c r="EK55" s="6"/>
      <c r="EL55" s="6"/>
      <c r="EM55" s="6"/>
      <c r="EN55" s="6"/>
      <c r="EO55" s="6"/>
      <c r="EP55" s="6"/>
      <c r="EQ55" s="6"/>
      <c r="ER55" s="6"/>
      <c r="ES55" s="6"/>
      <c r="ET55" s="6"/>
      <c r="EU55" s="6"/>
      <c r="EV55" s="6"/>
      <c r="EW55" s="6"/>
      <c r="EX55" s="6"/>
      <c r="EY55" s="6"/>
      <c r="EZ55" s="6"/>
      <c r="FA55" s="6"/>
      <c r="FB55" s="6"/>
      <c r="FC55" s="6"/>
      <c r="FD55" s="6"/>
      <c r="FE55" s="6"/>
      <c r="FF55" s="6"/>
      <c r="FG55" s="6"/>
      <c r="FH55" s="6"/>
      <c r="FI55" s="6"/>
      <c r="FJ55" s="6"/>
      <c r="FK55" s="6"/>
      <c r="FL55" s="6"/>
      <c r="FM55" s="6"/>
      <c r="FN55" s="6"/>
      <c r="FO55" s="6"/>
      <c r="FP55" s="6"/>
      <c r="FQ55" s="6"/>
      <c r="FR55" s="6"/>
      <c r="FS55" s="6"/>
      <c r="FT55" s="6"/>
      <c r="FU55" s="6"/>
      <c r="FV55" s="6"/>
      <c r="FW55" s="6"/>
      <c r="FX55" s="6"/>
      <c r="FY55" s="6"/>
      <c r="FZ55" s="6"/>
      <c r="GA55" s="6"/>
      <c r="GB55" s="6"/>
      <c r="GC55" s="6"/>
      <c r="GD55" s="6"/>
      <c r="GE55" s="6"/>
      <c r="GF55" s="6"/>
      <c r="GG55" s="6"/>
      <c r="GH55" s="6"/>
      <c r="GI55" s="6"/>
      <c r="GJ55" s="6"/>
      <c r="GK55" s="6"/>
      <c r="GL55" s="6"/>
      <c r="GM55" s="6"/>
      <c r="GN55" s="6"/>
      <c r="GO55" s="6"/>
      <c r="GP55" s="6"/>
      <c r="GQ55" s="6"/>
      <c r="GR55" s="6"/>
      <c r="GS55" s="6"/>
      <c r="GT55" s="6"/>
      <c r="GU55" s="6"/>
      <c r="GV55" s="6"/>
      <c r="GW55" s="6"/>
      <c r="GX55" s="6"/>
      <c r="GY55" s="6"/>
      <c r="GZ55" s="6"/>
      <c r="HA55" s="6"/>
      <c r="HB55" s="6"/>
      <c r="HC55" s="6"/>
      <c r="HD55" s="6"/>
      <c r="HE55" s="6"/>
      <c r="HF55" s="6"/>
      <c r="HG55" s="6"/>
      <c r="HH55" s="6"/>
      <c r="HI55" s="6"/>
      <c r="HJ55" s="6"/>
      <c r="HK55" s="6"/>
      <c r="HL55" s="6"/>
      <c r="HM55" s="6"/>
      <c r="HN55" s="6"/>
      <c r="HO55" s="6"/>
      <c r="HP55" s="6"/>
      <c r="HQ55" s="6"/>
      <c r="HR55" s="6"/>
      <c r="HS55" s="6"/>
      <c r="HT55" s="6"/>
      <c r="HU55" s="6"/>
      <c r="HV55" s="6"/>
      <c r="HW55" s="6"/>
      <c r="HX55" s="6"/>
      <c r="HY55" s="6"/>
      <c r="HZ55" s="6"/>
      <c r="IA55" s="6"/>
      <c r="IB55" s="6"/>
      <c r="IC55" s="6"/>
    </row>
    <row r="56" spans="1:237">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c r="CW56" s="6"/>
      <c r="CX56" s="6"/>
      <c r="CY56" s="6"/>
      <c r="CZ56" s="6"/>
      <c r="DA56" s="6"/>
      <c r="DB56" s="6"/>
      <c r="DC56" s="6"/>
      <c r="DD56" s="6"/>
      <c r="DE56" s="6"/>
      <c r="DF56" s="6"/>
      <c r="DG56" s="6"/>
      <c r="DH56" s="6"/>
      <c r="DI56" s="6"/>
      <c r="DJ56" s="6"/>
      <c r="DK56" s="6"/>
      <c r="DL56" s="6"/>
      <c r="DM56" s="6"/>
      <c r="DN56" s="6"/>
      <c r="DO56" s="6"/>
      <c r="DP56" s="6"/>
      <c r="DQ56" s="6"/>
      <c r="DR56" s="6"/>
      <c r="DS56" s="6"/>
      <c r="DT56" s="6"/>
      <c r="DU56" s="6"/>
      <c r="DV56" s="6"/>
      <c r="DW56" s="6"/>
      <c r="DX56" s="6"/>
      <c r="DY56" s="6"/>
      <c r="DZ56" s="6"/>
      <c r="EA56" s="6"/>
      <c r="EB56" s="6"/>
      <c r="EC56" s="6"/>
      <c r="ED56" s="6"/>
      <c r="EE56" s="6"/>
      <c r="EF56" s="6"/>
      <c r="EG56" s="6"/>
      <c r="EH56" s="6"/>
      <c r="EI56" s="6"/>
      <c r="EJ56" s="6"/>
      <c r="EK56" s="6"/>
      <c r="EL56" s="6"/>
      <c r="EM56" s="6"/>
      <c r="EN56" s="6"/>
      <c r="EO56" s="6"/>
      <c r="EP56" s="6"/>
      <c r="EQ56" s="6"/>
      <c r="ER56" s="6"/>
      <c r="ES56" s="6"/>
      <c r="ET56" s="6"/>
      <c r="EU56" s="6"/>
      <c r="EV56" s="6"/>
      <c r="EW56" s="6"/>
      <c r="EX56" s="6"/>
      <c r="EY56" s="6"/>
      <c r="EZ56" s="6"/>
      <c r="FA56" s="6"/>
      <c r="FB56" s="6"/>
      <c r="FC56" s="6"/>
      <c r="FD56" s="6"/>
      <c r="FE56" s="6"/>
      <c r="FF56" s="6"/>
      <c r="FG56" s="6"/>
      <c r="FH56" s="6"/>
      <c r="FI56" s="6"/>
      <c r="FJ56" s="6"/>
      <c r="FK56" s="6"/>
      <c r="FL56" s="6"/>
      <c r="FM56" s="6"/>
      <c r="FN56" s="6"/>
      <c r="FO56" s="6"/>
      <c r="FP56" s="6"/>
      <c r="FQ56" s="6"/>
      <c r="FR56" s="6"/>
      <c r="FS56" s="6"/>
      <c r="FT56" s="6"/>
      <c r="FU56" s="6"/>
      <c r="FV56" s="6"/>
      <c r="FW56" s="6"/>
      <c r="FX56" s="6"/>
      <c r="FY56" s="6"/>
      <c r="FZ56" s="6"/>
      <c r="GA56" s="6"/>
      <c r="GB56" s="6"/>
      <c r="GC56" s="6"/>
      <c r="GD56" s="6"/>
      <c r="GE56" s="6"/>
      <c r="GF56" s="6"/>
      <c r="GG56" s="6"/>
      <c r="GH56" s="6"/>
      <c r="GI56" s="6"/>
      <c r="GJ56" s="6"/>
      <c r="GK56" s="6"/>
      <c r="GL56" s="6"/>
      <c r="GM56" s="6"/>
      <c r="GN56" s="6"/>
      <c r="GO56" s="6"/>
      <c r="GP56" s="6"/>
      <c r="GQ56" s="6"/>
      <c r="GR56" s="6"/>
      <c r="GS56" s="6"/>
      <c r="GT56" s="6"/>
      <c r="GU56" s="6"/>
      <c r="GV56" s="6"/>
      <c r="GW56" s="6"/>
      <c r="GX56" s="6"/>
      <c r="GY56" s="6"/>
      <c r="GZ56" s="6"/>
      <c r="HA56" s="6"/>
      <c r="HB56" s="6"/>
      <c r="HC56" s="6"/>
      <c r="HD56" s="6"/>
      <c r="HE56" s="6"/>
      <c r="HF56" s="6"/>
      <c r="HG56" s="6"/>
      <c r="HH56" s="6"/>
      <c r="HI56" s="6"/>
      <c r="HJ56" s="6"/>
      <c r="HK56" s="6"/>
      <c r="HL56" s="6"/>
      <c r="HM56" s="6"/>
      <c r="HN56" s="6"/>
      <c r="HO56" s="6"/>
      <c r="HP56" s="6"/>
      <c r="HQ56" s="6"/>
      <c r="HR56" s="6"/>
      <c r="HS56" s="6"/>
      <c r="HT56" s="6"/>
      <c r="HU56" s="6"/>
      <c r="HV56" s="6"/>
      <c r="HW56" s="6"/>
      <c r="HX56" s="6"/>
      <c r="HY56" s="6"/>
      <c r="HZ56" s="6"/>
      <c r="IA56" s="6"/>
      <c r="IB56" s="6"/>
      <c r="IC56" s="6"/>
    </row>
    <row r="57" spans="1:23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c r="CW57" s="6"/>
      <c r="CX57" s="6"/>
      <c r="CY57" s="6"/>
      <c r="CZ57" s="6"/>
      <c r="DA57" s="6"/>
      <c r="DB57" s="6"/>
      <c r="DC57" s="6"/>
      <c r="DD57" s="6"/>
      <c r="DE57" s="6"/>
      <c r="DF57" s="6"/>
      <c r="DG57" s="6"/>
      <c r="DH57" s="6"/>
      <c r="DI57" s="6"/>
      <c r="DJ57" s="6"/>
      <c r="DK57" s="6"/>
      <c r="DL57" s="6"/>
      <c r="DM57" s="6"/>
      <c r="DN57" s="6"/>
      <c r="DO57" s="6"/>
      <c r="DP57" s="6"/>
      <c r="DQ57" s="6"/>
      <c r="DR57" s="6"/>
      <c r="DS57" s="6"/>
      <c r="DT57" s="6"/>
      <c r="DU57" s="6"/>
      <c r="DV57" s="6"/>
      <c r="DW57" s="6"/>
      <c r="DX57" s="6"/>
      <c r="DY57" s="6"/>
      <c r="DZ57" s="6"/>
      <c r="EA57" s="6"/>
      <c r="EB57" s="6"/>
      <c r="EC57" s="6"/>
      <c r="ED57" s="6"/>
      <c r="EE57" s="6"/>
      <c r="EF57" s="6"/>
      <c r="EG57" s="6"/>
      <c r="EH57" s="6"/>
      <c r="EI57" s="6"/>
      <c r="EJ57" s="6"/>
      <c r="EK57" s="6"/>
      <c r="EL57" s="6"/>
      <c r="EM57" s="6"/>
      <c r="EN57" s="6"/>
      <c r="EO57" s="6"/>
      <c r="EP57" s="6"/>
      <c r="EQ57" s="6"/>
      <c r="ER57" s="6"/>
      <c r="ES57" s="6"/>
      <c r="ET57" s="6"/>
      <c r="EU57" s="6"/>
      <c r="EV57" s="6"/>
      <c r="EW57" s="6"/>
      <c r="EX57" s="6"/>
      <c r="EY57" s="6"/>
      <c r="EZ57" s="6"/>
      <c r="FA57" s="6"/>
      <c r="FB57" s="6"/>
      <c r="FC57" s="6"/>
      <c r="FD57" s="6"/>
      <c r="FE57" s="6"/>
      <c r="FF57" s="6"/>
      <c r="FG57" s="6"/>
      <c r="FH57" s="6"/>
      <c r="FI57" s="6"/>
      <c r="FJ57" s="6"/>
      <c r="FK57" s="6"/>
      <c r="FL57" s="6"/>
      <c r="FM57" s="6"/>
      <c r="FN57" s="6"/>
      <c r="FO57" s="6"/>
      <c r="FP57" s="6"/>
      <c r="FQ57" s="6"/>
      <c r="FR57" s="6"/>
      <c r="FS57" s="6"/>
      <c r="FT57" s="6"/>
      <c r="FU57" s="6"/>
      <c r="FV57" s="6"/>
      <c r="FW57" s="6"/>
      <c r="FX57" s="6"/>
      <c r="FY57" s="6"/>
      <c r="FZ57" s="6"/>
      <c r="GA57" s="6"/>
      <c r="GB57" s="6"/>
      <c r="GC57" s="6"/>
      <c r="GD57" s="6"/>
      <c r="GE57" s="6"/>
      <c r="GF57" s="6"/>
      <c r="GG57" s="6"/>
      <c r="GH57" s="6"/>
      <c r="GI57" s="6"/>
      <c r="GJ57" s="6"/>
      <c r="GK57" s="6"/>
      <c r="GL57" s="6"/>
      <c r="GM57" s="6"/>
      <c r="GN57" s="6"/>
      <c r="GO57" s="6"/>
      <c r="GP57" s="6"/>
      <c r="GQ57" s="6"/>
      <c r="GR57" s="6"/>
      <c r="GS57" s="6"/>
      <c r="GT57" s="6"/>
      <c r="GU57" s="6"/>
      <c r="GV57" s="6"/>
      <c r="GW57" s="6"/>
      <c r="GX57" s="6"/>
      <c r="GY57" s="6"/>
      <c r="GZ57" s="6"/>
      <c r="HA57" s="6"/>
      <c r="HB57" s="6"/>
      <c r="HC57" s="6"/>
      <c r="HD57" s="6"/>
      <c r="HE57" s="6"/>
      <c r="HF57" s="6"/>
      <c r="HG57" s="6"/>
      <c r="HH57" s="6"/>
      <c r="HI57" s="6"/>
      <c r="HJ57" s="6"/>
      <c r="HK57" s="6"/>
      <c r="HL57" s="6"/>
      <c r="HM57" s="6"/>
      <c r="HN57" s="6"/>
      <c r="HO57" s="6"/>
      <c r="HP57" s="6"/>
      <c r="HQ57" s="6"/>
      <c r="HR57" s="6"/>
      <c r="HS57" s="6"/>
      <c r="HT57" s="6"/>
      <c r="HU57" s="6"/>
      <c r="HV57" s="6"/>
      <c r="HW57" s="6"/>
      <c r="HX57" s="6"/>
      <c r="HY57" s="6"/>
      <c r="HZ57" s="6"/>
      <c r="IA57" s="6"/>
      <c r="IB57" s="6"/>
      <c r="IC57" s="6"/>
    </row>
    <row r="58" spans="1:237">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c r="CW58" s="6"/>
      <c r="CX58" s="6"/>
      <c r="CY58" s="6"/>
      <c r="CZ58" s="6"/>
      <c r="DA58" s="6"/>
      <c r="DB58" s="6"/>
      <c r="DC58" s="6"/>
      <c r="DD58" s="6"/>
      <c r="DE58" s="6"/>
      <c r="DF58" s="6"/>
      <c r="DG58" s="6"/>
      <c r="DH58" s="6"/>
      <c r="DI58" s="6"/>
      <c r="DJ58" s="6"/>
      <c r="DK58" s="6"/>
      <c r="DL58" s="6"/>
      <c r="DM58" s="6"/>
      <c r="DN58" s="6"/>
      <c r="DO58" s="6"/>
      <c r="DP58" s="6"/>
      <c r="DQ58" s="6"/>
      <c r="DR58" s="6"/>
      <c r="DS58" s="6"/>
      <c r="DT58" s="6"/>
      <c r="DU58" s="6"/>
      <c r="DV58" s="6"/>
      <c r="DW58" s="6"/>
      <c r="DX58" s="6"/>
      <c r="DY58" s="6"/>
      <c r="DZ58" s="6"/>
      <c r="EA58" s="6"/>
      <c r="EB58" s="6"/>
      <c r="EC58" s="6"/>
      <c r="ED58" s="6"/>
      <c r="EE58" s="6"/>
      <c r="EF58" s="6"/>
      <c r="EG58" s="6"/>
      <c r="EH58" s="6"/>
      <c r="EI58" s="6"/>
      <c r="EJ58" s="6"/>
      <c r="EK58" s="6"/>
      <c r="EL58" s="6"/>
      <c r="EM58" s="6"/>
      <c r="EN58" s="6"/>
      <c r="EO58" s="6"/>
      <c r="EP58" s="6"/>
      <c r="EQ58" s="6"/>
      <c r="ER58" s="6"/>
      <c r="ES58" s="6"/>
      <c r="ET58" s="6"/>
      <c r="EU58" s="6"/>
      <c r="EV58" s="6"/>
      <c r="EW58" s="6"/>
      <c r="EX58" s="6"/>
      <c r="EY58" s="6"/>
      <c r="EZ58" s="6"/>
      <c r="FA58" s="6"/>
      <c r="FB58" s="6"/>
      <c r="FC58" s="6"/>
      <c r="FD58" s="6"/>
      <c r="FE58" s="6"/>
      <c r="FF58" s="6"/>
      <c r="FG58" s="6"/>
      <c r="FH58" s="6"/>
      <c r="FI58" s="6"/>
      <c r="FJ58" s="6"/>
      <c r="FK58" s="6"/>
      <c r="FL58" s="6"/>
      <c r="FM58" s="6"/>
      <c r="FN58" s="6"/>
      <c r="FO58" s="6"/>
      <c r="FP58" s="6"/>
      <c r="FQ58" s="6"/>
      <c r="FR58" s="6"/>
      <c r="FS58" s="6"/>
      <c r="FT58" s="6"/>
      <c r="FU58" s="6"/>
      <c r="FV58" s="6"/>
      <c r="FW58" s="6"/>
      <c r="FX58" s="6"/>
      <c r="FY58" s="6"/>
      <c r="FZ58" s="6"/>
      <c r="GA58" s="6"/>
      <c r="GB58" s="6"/>
      <c r="GC58" s="6"/>
      <c r="GD58" s="6"/>
      <c r="GE58" s="6"/>
      <c r="GF58" s="6"/>
      <c r="GG58" s="6"/>
      <c r="GH58" s="6"/>
      <c r="GI58" s="6"/>
      <c r="GJ58" s="6"/>
      <c r="GK58" s="6"/>
      <c r="GL58" s="6"/>
      <c r="GM58" s="6"/>
      <c r="GN58" s="6"/>
      <c r="GO58" s="6"/>
      <c r="GP58" s="6"/>
      <c r="GQ58" s="6"/>
      <c r="GR58" s="6"/>
      <c r="GS58" s="6"/>
      <c r="GT58" s="6"/>
      <c r="GU58" s="6"/>
      <c r="GV58" s="6"/>
      <c r="GW58" s="6"/>
      <c r="GX58" s="6"/>
      <c r="GY58" s="6"/>
      <c r="GZ58" s="6"/>
      <c r="HA58" s="6"/>
      <c r="HB58" s="6"/>
      <c r="HC58" s="6"/>
      <c r="HD58" s="6"/>
      <c r="HE58" s="6"/>
      <c r="HF58" s="6"/>
      <c r="HG58" s="6"/>
      <c r="HH58" s="6"/>
      <c r="HI58" s="6"/>
      <c r="HJ58" s="6"/>
      <c r="HK58" s="6"/>
      <c r="HL58" s="6"/>
      <c r="HM58" s="6"/>
      <c r="HN58" s="6"/>
      <c r="HO58" s="6"/>
      <c r="HP58" s="6"/>
      <c r="HQ58" s="6"/>
      <c r="HR58" s="6"/>
      <c r="HS58" s="6"/>
      <c r="HT58" s="6"/>
      <c r="HU58" s="6"/>
      <c r="HV58" s="6"/>
      <c r="HW58" s="6"/>
      <c r="HX58" s="6"/>
      <c r="HY58" s="6"/>
      <c r="HZ58" s="6"/>
      <c r="IA58" s="6"/>
      <c r="IB58" s="6"/>
      <c r="IC58" s="6"/>
    </row>
    <row r="59" spans="1:237">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c r="CW59" s="6"/>
      <c r="CX59" s="6"/>
      <c r="CY59" s="6"/>
      <c r="CZ59" s="6"/>
      <c r="DA59" s="6"/>
      <c r="DB59" s="6"/>
      <c r="DC59" s="6"/>
      <c r="DD59" s="6"/>
      <c r="DE59" s="6"/>
      <c r="DF59" s="6"/>
      <c r="DG59" s="6"/>
      <c r="DH59" s="6"/>
      <c r="DI59" s="6"/>
      <c r="DJ59" s="6"/>
      <c r="DK59" s="6"/>
      <c r="DL59" s="6"/>
      <c r="DM59" s="6"/>
      <c r="DN59" s="6"/>
      <c r="DO59" s="6"/>
      <c r="DP59" s="6"/>
      <c r="DQ59" s="6"/>
      <c r="DR59" s="6"/>
      <c r="DS59" s="6"/>
      <c r="DT59" s="6"/>
      <c r="DU59" s="6"/>
      <c r="DV59" s="6"/>
      <c r="DW59" s="6"/>
      <c r="DX59" s="6"/>
      <c r="DY59" s="6"/>
      <c r="DZ59" s="6"/>
      <c r="EA59" s="6"/>
      <c r="EB59" s="6"/>
      <c r="EC59" s="6"/>
      <c r="ED59" s="6"/>
      <c r="EE59" s="6"/>
      <c r="EF59" s="6"/>
      <c r="EG59" s="6"/>
      <c r="EH59" s="6"/>
      <c r="EI59" s="6"/>
      <c r="EJ59" s="6"/>
      <c r="EK59" s="6"/>
      <c r="EL59" s="6"/>
      <c r="EM59" s="6"/>
      <c r="EN59" s="6"/>
      <c r="EO59" s="6"/>
      <c r="EP59" s="6"/>
      <c r="EQ59" s="6"/>
      <c r="ER59" s="6"/>
      <c r="ES59" s="6"/>
      <c r="ET59" s="6"/>
      <c r="EU59" s="6"/>
      <c r="EV59" s="6"/>
      <c r="EW59" s="6"/>
      <c r="EX59" s="6"/>
      <c r="EY59" s="6"/>
      <c r="EZ59" s="6"/>
      <c r="FA59" s="6"/>
      <c r="FB59" s="6"/>
      <c r="FC59" s="6"/>
      <c r="FD59" s="6"/>
      <c r="FE59" s="6"/>
      <c r="FF59" s="6"/>
      <c r="FG59" s="6"/>
      <c r="FH59" s="6"/>
      <c r="FI59" s="6"/>
      <c r="FJ59" s="6"/>
      <c r="FK59" s="6"/>
      <c r="FL59" s="6"/>
      <c r="FM59" s="6"/>
      <c r="FN59" s="6"/>
      <c r="FO59" s="6"/>
      <c r="FP59" s="6"/>
      <c r="FQ59" s="6"/>
      <c r="FR59" s="6"/>
      <c r="FS59" s="6"/>
      <c r="FT59" s="6"/>
      <c r="FU59" s="6"/>
      <c r="FV59" s="6"/>
      <c r="FW59" s="6"/>
      <c r="FX59" s="6"/>
      <c r="FY59" s="6"/>
      <c r="FZ59" s="6"/>
      <c r="GA59" s="6"/>
      <c r="GB59" s="6"/>
      <c r="GC59" s="6"/>
      <c r="GD59" s="6"/>
      <c r="GE59" s="6"/>
      <c r="GF59" s="6"/>
      <c r="GG59" s="6"/>
      <c r="GH59" s="6"/>
      <c r="GI59" s="6"/>
      <c r="GJ59" s="6"/>
      <c r="GK59" s="6"/>
      <c r="GL59" s="6"/>
      <c r="GM59" s="6"/>
      <c r="GN59" s="6"/>
      <c r="GO59" s="6"/>
      <c r="GP59" s="6"/>
      <c r="GQ59" s="6"/>
      <c r="GR59" s="6"/>
      <c r="GS59" s="6"/>
      <c r="GT59" s="6"/>
      <c r="GU59" s="6"/>
      <c r="GV59" s="6"/>
      <c r="GW59" s="6"/>
      <c r="GX59" s="6"/>
      <c r="GY59" s="6"/>
      <c r="GZ59" s="6"/>
      <c r="HA59" s="6"/>
      <c r="HB59" s="6"/>
      <c r="HC59" s="6"/>
      <c r="HD59" s="6"/>
      <c r="HE59" s="6"/>
      <c r="HF59" s="6"/>
      <c r="HG59" s="6"/>
      <c r="HH59" s="6"/>
      <c r="HI59" s="6"/>
      <c r="HJ59" s="6"/>
      <c r="HK59" s="6"/>
      <c r="HL59" s="6"/>
      <c r="HM59" s="6"/>
      <c r="HN59" s="6"/>
      <c r="HO59" s="6"/>
      <c r="HP59" s="6"/>
      <c r="HQ59" s="6"/>
      <c r="HR59" s="6"/>
      <c r="HS59" s="6"/>
      <c r="HT59" s="6"/>
      <c r="HU59" s="6"/>
      <c r="HV59" s="6"/>
      <c r="HW59" s="6"/>
      <c r="HX59" s="6"/>
      <c r="HY59" s="6"/>
      <c r="HZ59" s="6"/>
      <c r="IA59" s="6"/>
      <c r="IB59" s="6"/>
      <c r="IC59" s="6"/>
    </row>
    <row r="60" spans="1:237">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c r="CW60" s="6"/>
      <c r="CX60" s="6"/>
      <c r="CY60" s="6"/>
      <c r="CZ60" s="6"/>
      <c r="DA60" s="6"/>
      <c r="DB60" s="6"/>
      <c r="DC60" s="6"/>
      <c r="DD60" s="6"/>
      <c r="DE60" s="6"/>
      <c r="DF60" s="6"/>
      <c r="DG60" s="6"/>
      <c r="DH60" s="6"/>
      <c r="DI60" s="6"/>
      <c r="DJ60" s="6"/>
      <c r="DK60" s="6"/>
      <c r="DL60" s="6"/>
      <c r="DM60" s="6"/>
      <c r="DN60" s="6"/>
      <c r="DO60" s="6"/>
      <c r="DP60" s="6"/>
      <c r="DQ60" s="6"/>
      <c r="DR60" s="6"/>
      <c r="DS60" s="6"/>
      <c r="DT60" s="6"/>
      <c r="DU60" s="6"/>
      <c r="DV60" s="6"/>
      <c r="DW60" s="6"/>
      <c r="DX60" s="6"/>
      <c r="DY60" s="6"/>
      <c r="DZ60" s="6"/>
      <c r="EA60" s="6"/>
      <c r="EB60" s="6"/>
      <c r="EC60" s="6"/>
      <c r="ED60" s="6"/>
      <c r="EE60" s="6"/>
      <c r="EF60" s="6"/>
      <c r="EG60" s="6"/>
      <c r="EH60" s="6"/>
      <c r="EI60" s="6"/>
      <c r="EJ60" s="6"/>
      <c r="EK60" s="6"/>
      <c r="EL60" s="6"/>
      <c r="EM60" s="6"/>
      <c r="EN60" s="6"/>
      <c r="EO60" s="6"/>
      <c r="EP60" s="6"/>
      <c r="EQ60" s="6"/>
      <c r="ER60" s="6"/>
      <c r="ES60" s="6"/>
      <c r="ET60" s="6"/>
      <c r="EU60" s="6"/>
      <c r="EV60" s="6"/>
      <c r="EW60" s="6"/>
      <c r="EX60" s="6"/>
      <c r="EY60" s="6"/>
      <c r="EZ60" s="6"/>
      <c r="FA60" s="6"/>
      <c r="FB60" s="6"/>
      <c r="FC60" s="6"/>
      <c r="FD60" s="6"/>
      <c r="FE60" s="6"/>
      <c r="FF60" s="6"/>
      <c r="FG60" s="6"/>
      <c r="FH60" s="6"/>
      <c r="FI60" s="6"/>
      <c r="FJ60" s="6"/>
      <c r="FK60" s="6"/>
      <c r="FL60" s="6"/>
      <c r="FM60" s="6"/>
      <c r="FN60" s="6"/>
      <c r="FO60" s="6"/>
      <c r="FP60" s="6"/>
      <c r="FQ60" s="6"/>
      <c r="FR60" s="6"/>
      <c r="FS60" s="6"/>
      <c r="FT60" s="6"/>
      <c r="FU60" s="6"/>
      <c r="FV60" s="6"/>
      <c r="FW60" s="6"/>
      <c r="FX60" s="6"/>
      <c r="FY60" s="6"/>
      <c r="FZ60" s="6"/>
      <c r="GA60" s="6"/>
      <c r="GB60" s="6"/>
      <c r="GC60" s="6"/>
      <c r="GD60" s="6"/>
      <c r="GE60" s="6"/>
      <c r="GF60" s="6"/>
      <c r="GG60" s="6"/>
      <c r="GH60" s="6"/>
      <c r="GI60" s="6"/>
      <c r="GJ60" s="6"/>
      <c r="GK60" s="6"/>
      <c r="GL60" s="6"/>
      <c r="GM60" s="6"/>
      <c r="GN60" s="6"/>
      <c r="GO60" s="6"/>
      <c r="GP60" s="6"/>
      <c r="GQ60" s="6"/>
      <c r="GR60" s="6"/>
      <c r="GS60" s="6"/>
      <c r="GT60" s="6"/>
      <c r="GU60" s="6"/>
      <c r="GV60" s="6"/>
      <c r="GW60" s="6"/>
      <c r="GX60" s="6"/>
      <c r="GY60" s="6"/>
      <c r="GZ60" s="6"/>
      <c r="HA60" s="6"/>
      <c r="HB60" s="6"/>
      <c r="HC60" s="6"/>
      <c r="HD60" s="6"/>
      <c r="HE60" s="6"/>
      <c r="HF60" s="6"/>
      <c r="HG60" s="6"/>
      <c r="HH60" s="6"/>
      <c r="HI60" s="6"/>
      <c r="HJ60" s="6"/>
      <c r="HK60" s="6"/>
      <c r="HL60" s="6"/>
      <c r="HM60" s="6"/>
      <c r="HN60" s="6"/>
      <c r="HO60" s="6"/>
      <c r="HP60" s="6"/>
      <c r="HQ60" s="6"/>
      <c r="HR60" s="6"/>
      <c r="HS60" s="6"/>
      <c r="HT60" s="6"/>
      <c r="HU60" s="6"/>
      <c r="HV60" s="6"/>
      <c r="HW60" s="6"/>
      <c r="HX60" s="6"/>
      <c r="HY60" s="6"/>
      <c r="HZ60" s="6"/>
      <c r="IA60" s="6"/>
      <c r="IB60" s="6"/>
      <c r="IC60" s="6"/>
    </row>
    <row r="61" spans="1:237">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c r="CW61" s="6"/>
      <c r="CX61" s="6"/>
      <c r="CY61" s="6"/>
      <c r="CZ61" s="6"/>
      <c r="DA61" s="6"/>
      <c r="DB61" s="6"/>
      <c r="DC61" s="6"/>
      <c r="DD61" s="6"/>
      <c r="DE61" s="6"/>
      <c r="DF61" s="6"/>
      <c r="DG61" s="6"/>
      <c r="DH61" s="6"/>
      <c r="DI61" s="6"/>
      <c r="DJ61" s="6"/>
      <c r="DK61" s="6"/>
      <c r="DL61" s="6"/>
      <c r="DM61" s="6"/>
      <c r="DN61" s="6"/>
      <c r="DO61" s="6"/>
      <c r="DP61" s="6"/>
      <c r="DQ61" s="6"/>
      <c r="DR61" s="6"/>
      <c r="DS61" s="6"/>
      <c r="DT61" s="6"/>
      <c r="DU61" s="6"/>
      <c r="DV61" s="6"/>
      <c r="DW61" s="6"/>
      <c r="DX61" s="6"/>
      <c r="DY61" s="6"/>
      <c r="DZ61" s="6"/>
      <c r="EA61" s="6"/>
      <c r="EB61" s="6"/>
      <c r="EC61" s="6"/>
      <c r="ED61" s="6"/>
      <c r="EE61" s="6"/>
      <c r="EF61" s="6"/>
      <c r="EG61" s="6"/>
      <c r="EH61" s="6"/>
      <c r="EI61" s="6"/>
      <c r="EJ61" s="6"/>
      <c r="EK61" s="6"/>
      <c r="EL61" s="6"/>
      <c r="EM61" s="6"/>
      <c r="EN61" s="6"/>
      <c r="EO61" s="6"/>
      <c r="EP61" s="6"/>
      <c r="EQ61" s="6"/>
      <c r="ER61" s="6"/>
      <c r="ES61" s="6"/>
      <c r="ET61" s="6"/>
      <c r="EU61" s="6"/>
      <c r="EV61" s="6"/>
      <c r="EW61" s="6"/>
      <c r="EX61" s="6"/>
      <c r="EY61" s="6"/>
      <c r="EZ61" s="6"/>
      <c r="FA61" s="6"/>
      <c r="FB61" s="6"/>
      <c r="FC61" s="6"/>
      <c r="FD61" s="6"/>
      <c r="FE61" s="6"/>
      <c r="FF61" s="6"/>
      <c r="FG61" s="6"/>
      <c r="FH61" s="6"/>
      <c r="FI61" s="6"/>
      <c r="FJ61" s="6"/>
      <c r="FK61" s="6"/>
      <c r="FL61" s="6"/>
      <c r="FM61" s="6"/>
      <c r="FN61" s="6"/>
      <c r="FO61" s="6"/>
      <c r="FP61" s="6"/>
      <c r="FQ61" s="6"/>
      <c r="FR61" s="6"/>
      <c r="FS61" s="6"/>
      <c r="FT61" s="6"/>
      <c r="FU61" s="6"/>
      <c r="FV61" s="6"/>
      <c r="FW61" s="6"/>
      <c r="FX61" s="6"/>
      <c r="FY61" s="6"/>
      <c r="FZ61" s="6"/>
      <c r="GA61" s="6"/>
      <c r="GB61" s="6"/>
      <c r="GC61" s="6"/>
      <c r="GD61" s="6"/>
      <c r="GE61" s="6"/>
      <c r="GF61" s="6"/>
      <c r="GG61" s="6"/>
      <c r="GH61" s="6"/>
      <c r="GI61" s="6"/>
      <c r="GJ61" s="6"/>
      <c r="GK61" s="6"/>
      <c r="GL61" s="6"/>
      <c r="GM61" s="6"/>
      <c r="GN61" s="6"/>
      <c r="GO61" s="6"/>
      <c r="GP61" s="6"/>
      <c r="GQ61" s="6"/>
      <c r="GR61" s="6"/>
      <c r="GS61" s="6"/>
      <c r="GT61" s="6"/>
      <c r="GU61" s="6"/>
      <c r="GV61" s="6"/>
      <c r="GW61" s="6"/>
      <c r="GX61" s="6"/>
      <c r="GY61" s="6"/>
      <c r="GZ61" s="6"/>
      <c r="HA61" s="6"/>
      <c r="HB61" s="6"/>
      <c r="HC61" s="6"/>
      <c r="HD61" s="6"/>
      <c r="HE61" s="6"/>
      <c r="HF61" s="6"/>
      <c r="HG61" s="6"/>
      <c r="HH61" s="6"/>
      <c r="HI61" s="6"/>
      <c r="HJ61" s="6"/>
      <c r="HK61" s="6"/>
      <c r="HL61" s="6"/>
      <c r="HM61" s="6"/>
      <c r="HN61" s="6"/>
      <c r="HO61" s="6"/>
      <c r="HP61" s="6"/>
      <c r="HQ61" s="6"/>
      <c r="HR61" s="6"/>
      <c r="HS61" s="6"/>
      <c r="HT61" s="6"/>
      <c r="HU61" s="6"/>
      <c r="HV61" s="6"/>
      <c r="HW61" s="6"/>
      <c r="HX61" s="6"/>
      <c r="HY61" s="6"/>
      <c r="HZ61" s="6"/>
      <c r="IA61" s="6"/>
      <c r="IB61" s="6"/>
      <c r="IC61" s="6"/>
    </row>
    <row r="62" spans="1:237">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c r="CW62" s="6"/>
      <c r="CX62" s="6"/>
      <c r="CY62" s="6"/>
      <c r="CZ62" s="6"/>
      <c r="DA62" s="6"/>
      <c r="DB62" s="6"/>
      <c r="DC62" s="6"/>
      <c r="DD62" s="6"/>
      <c r="DE62" s="6"/>
      <c r="DF62" s="6"/>
      <c r="DG62" s="6"/>
      <c r="DH62" s="6"/>
      <c r="DI62" s="6"/>
      <c r="DJ62" s="6"/>
      <c r="DK62" s="6"/>
      <c r="DL62" s="6"/>
      <c r="DM62" s="6"/>
      <c r="DN62" s="6"/>
      <c r="DO62" s="6"/>
      <c r="DP62" s="6"/>
      <c r="DQ62" s="6"/>
      <c r="DR62" s="6"/>
      <c r="DS62" s="6"/>
      <c r="DT62" s="6"/>
      <c r="DU62" s="6"/>
      <c r="DV62" s="6"/>
      <c r="DW62" s="6"/>
      <c r="DX62" s="6"/>
      <c r="DY62" s="6"/>
      <c r="DZ62" s="6"/>
      <c r="EA62" s="6"/>
      <c r="EB62" s="6"/>
      <c r="EC62" s="6"/>
      <c r="ED62" s="6"/>
      <c r="EE62" s="6"/>
      <c r="EF62" s="6"/>
      <c r="EG62" s="6"/>
      <c r="EH62" s="6"/>
      <c r="EI62" s="6"/>
      <c r="EJ62" s="6"/>
      <c r="EK62" s="6"/>
      <c r="EL62" s="6"/>
      <c r="EM62" s="6"/>
      <c r="EN62" s="6"/>
      <c r="EO62" s="6"/>
      <c r="EP62" s="6"/>
      <c r="EQ62" s="6"/>
      <c r="ER62" s="6"/>
      <c r="ES62" s="6"/>
      <c r="ET62" s="6"/>
      <c r="EU62" s="6"/>
      <c r="EV62" s="6"/>
      <c r="EW62" s="6"/>
      <c r="EX62" s="6"/>
      <c r="EY62" s="6"/>
      <c r="EZ62" s="6"/>
      <c r="FA62" s="6"/>
      <c r="FB62" s="6"/>
      <c r="FC62" s="6"/>
      <c r="FD62" s="6"/>
      <c r="FE62" s="6"/>
      <c r="FF62" s="6"/>
      <c r="FG62" s="6"/>
      <c r="FH62" s="6"/>
      <c r="FI62" s="6"/>
      <c r="FJ62" s="6"/>
      <c r="FK62" s="6"/>
      <c r="FL62" s="6"/>
      <c r="FM62" s="6"/>
      <c r="FN62" s="6"/>
      <c r="FO62" s="6"/>
      <c r="FP62" s="6"/>
      <c r="FQ62" s="6"/>
      <c r="FR62" s="6"/>
      <c r="FS62" s="6"/>
      <c r="FT62" s="6"/>
      <c r="FU62" s="6"/>
      <c r="FV62" s="6"/>
      <c r="FW62" s="6"/>
      <c r="FX62" s="6"/>
      <c r="FY62" s="6"/>
      <c r="FZ62" s="6"/>
      <c r="GA62" s="6"/>
      <c r="GB62" s="6"/>
      <c r="GC62" s="6"/>
      <c r="GD62" s="6"/>
      <c r="GE62" s="6"/>
      <c r="GF62" s="6"/>
      <c r="GG62" s="6"/>
      <c r="GH62" s="6"/>
      <c r="GI62" s="6"/>
      <c r="GJ62" s="6"/>
      <c r="GK62" s="6"/>
      <c r="GL62" s="6"/>
      <c r="GM62" s="6"/>
      <c r="GN62" s="6"/>
      <c r="GO62" s="6"/>
      <c r="GP62" s="6"/>
      <c r="GQ62" s="6"/>
      <c r="GR62" s="6"/>
      <c r="GS62" s="6"/>
      <c r="GT62" s="6"/>
      <c r="GU62" s="6"/>
      <c r="GV62" s="6"/>
      <c r="GW62" s="6"/>
      <c r="GX62" s="6"/>
      <c r="GY62" s="6"/>
      <c r="GZ62" s="6"/>
      <c r="HA62" s="6"/>
      <c r="HB62" s="6"/>
      <c r="HC62" s="6"/>
      <c r="HD62" s="6"/>
      <c r="HE62" s="6"/>
      <c r="HF62" s="6"/>
      <c r="HG62" s="6"/>
      <c r="HH62" s="6"/>
      <c r="HI62" s="6"/>
      <c r="HJ62" s="6"/>
      <c r="HK62" s="6"/>
      <c r="HL62" s="6"/>
      <c r="HM62" s="6"/>
      <c r="HN62" s="6"/>
      <c r="HO62" s="6"/>
      <c r="HP62" s="6"/>
      <c r="HQ62" s="6"/>
      <c r="HR62" s="6"/>
      <c r="HS62" s="6"/>
      <c r="HT62" s="6"/>
      <c r="HU62" s="6"/>
      <c r="HV62" s="6"/>
      <c r="HW62" s="6"/>
      <c r="HX62" s="6"/>
      <c r="HY62" s="6"/>
      <c r="HZ62" s="6"/>
      <c r="IA62" s="6"/>
      <c r="IB62" s="6"/>
      <c r="IC62" s="6"/>
    </row>
    <row r="63" spans="1:237">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c r="CW63" s="6"/>
      <c r="CX63" s="6"/>
      <c r="CY63" s="6"/>
      <c r="CZ63" s="6"/>
      <c r="DA63" s="6"/>
      <c r="DB63" s="6"/>
      <c r="DC63" s="6"/>
      <c r="DD63" s="6"/>
      <c r="DE63" s="6"/>
      <c r="DF63" s="6"/>
      <c r="DG63" s="6"/>
      <c r="DH63" s="6"/>
      <c r="DI63" s="6"/>
      <c r="DJ63" s="6"/>
      <c r="DK63" s="6"/>
      <c r="DL63" s="6"/>
      <c r="DM63" s="6"/>
      <c r="DN63" s="6"/>
      <c r="DO63" s="6"/>
      <c r="DP63" s="6"/>
      <c r="DQ63" s="6"/>
      <c r="DR63" s="6"/>
      <c r="DS63" s="6"/>
      <c r="DT63" s="6"/>
      <c r="DU63" s="6"/>
      <c r="DV63" s="6"/>
      <c r="DW63" s="6"/>
      <c r="DX63" s="6"/>
      <c r="DY63" s="6"/>
      <c r="DZ63" s="6"/>
      <c r="EA63" s="6"/>
      <c r="EB63" s="6"/>
      <c r="EC63" s="6"/>
      <c r="ED63" s="6"/>
      <c r="EE63" s="6"/>
      <c r="EF63" s="6"/>
      <c r="EG63" s="6"/>
      <c r="EH63" s="6"/>
      <c r="EI63" s="6"/>
      <c r="EJ63" s="6"/>
      <c r="EK63" s="6"/>
      <c r="EL63" s="6"/>
      <c r="EM63" s="6"/>
      <c r="EN63" s="6"/>
      <c r="EO63" s="6"/>
      <c r="EP63" s="6"/>
      <c r="EQ63" s="6"/>
      <c r="ER63" s="6"/>
      <c r="ES63" s="6"/>
      <c r="ET63" s="6"/>
      <c r="EU63" s="6"/>
      <c r="EV63" s="6"/>
      <c r="EW63" s="6"/>
      <c r="EX63" s="6"/>
      <c r="EY63" s="6"/>
      <c r="EZ63" s="6"/>
      <c r="FA63" s="6"/>
      <c r="FB63" s="6"/>
      <c r="FC63" s="6"/>
      <c r="FD63" s="6"/>
      <c r="FE63" s="6"/>
      <c r="FF63" s="6"/>
      <c r="FG63" s="6"/>
      <c r="FH63" s="6"/>
      <c r="FI63" s="6"/>
      <c r="FJ63" s="6"/>
      <c r="FK63" s="6"/>
      <c r="FL63" s="6"/>
      <c r="FM63" s="6"/>
      <c r="FN63" s="6"/>
      <c r="FO63" s="6"/>
      <c r="FP63" s="6"/>
      <c r="FQ63" s="6"/>
      <c r="FR63" s="6"/>
      <c r="FS63" s="6"/>
      <c r="FT63" s="6"/>
      <c r="FU63" s="6"/>
      <c r="FV63" s="6"/>
      <c r="FW63" s="6"/>
      <c r="FX63" s="6"/>
      <c r="FY63" s="6"/>
      <c r="FZ63" s="6"/>
      <c r="GA63" s="6"/>
      <c r="GB63" s="6"/>
      <c r="GC63" s="6"/>
      <c r="GD63" s="6"/>
      <c r="GE63" s="6"/>
      <c r="GF63" s="6"/>
      <c r="GG63" s="6"/>
      <c r="GH63" s="6"/>
      <c r="GI63" s="6"/>
      <c r="GJ63" s="6"/>
      <c r="GK63" s="6"/>
      <c r="GL63" s="6"/>
      <c r="GM63" s="6"/>
      <c r="GN63" s="6"/>
      <c r="GO63" s="6"/>
      <c r="GP63" s="6"/>
      <c r="GQ63" s="6"/>
      <c r="GR63" s="6"/>
      <c r="GS63" s="6"/>
      <c r="GT63" s="6"/>
      <c r="GU63" s="6"/>
      <c r="GV63" s="6"/>
      <c r="GW63" s="6"/>
      <c r="GX63" s="6"/>
      <c r="GY63" s="6"/>
      <c r="GZ63" s="6"/>
      <c r="HA63" s="6"/>
      <c r="HB63" s="6"/>
      <c r="HC63" s="6"/>
      <c r="HD63" s="6"/>
      <c r="HE63" s="6"/>
      <c r="HF63" s="6"/>
      <c r="HG63" s="6"/>
      <c r="HH63" s="6"/>
      <c r="HI63" s="6"/>
      <c r="HJ63" s="6"/>
      <c r="HK63" s="6"/>
      <c r="HL63" s="6"/>
      <c r="HM63" s="6"/>
      <c r="HN63" s="6"/>
      <c r="HO63" s="6"/>
      <c r="HP63" s="6"/>
      <c r="HQ63" s="6"/>
      <c r="HR63" s="6"/>
      <c r="HS63" s="6"/>
      <c r="HT63" s="6"/>
      <c r="HU63" s="6"/>
      <c r="HV63" s="6"/>
      <c r="HW63" s="6"/>
      <c r="HX63" s="6"/>
      <c r="HY63" s="6"/>
      <c r="HZ63" s="6"/>
      <c r="IA63" s="6"/>
      <c r="IB63" s="6"/>
      <c r="IC63" s="6"/>
    </row>
  </sheetData>
  <mergeCells count="79">
    <mergeCell ref="AD33:AN33"/>
    <mergeCell ref="X34:AC34"/>
    <mergeCell ref="X35:AC35"/>
    <mergeCell ref="A29:B29"/>
    <mergeCell ref="X29:AC29"/>
    <mergeCell ref="A30:B30"/>
    <mergeCell ref="X30:AC30"/>
    <mergeCell ref="A31:B31"/>
    <mergeCell ref="X31:AC31"/>
    <mergeCell ref="A32:B32"/>
    <mergeCell ref="X32:AC32"/>
    <mergeCell ref="A33:B33"/>
    <mergeCell ref="C33:W33"/>
    <mergeCell ref="X33:AC33"/>
    <mergeCell ref="A26:B26"/>
    <mergeCell ref="X26:AC26"/>
    <mergeCell ref="A27:B27"/>
    <mergeCell ref="X27:AC27"/>
    <mergeCell ref="A28:B28"/>
    <mergeCell ref="X28:AC28"/>
    <mergeCell ref="A23:B23"/>
    <mergeCell ref="X23:AC23"/>
    <mergeCell ref="A24:B24"/>
    <mergeCell ref="X24:AC24"/>
    <mergeCell ref="A25:B25"/>
    <mergeCell ref="X25:AC25"/>
    <mergeCell ref="A20:B20"/>
    <mergeCell ref="X20:AC20"/>
    <mergeCell ref="A21:B21"/>
    <mergeCell ref="X21:AC21"/>
    <mergeCell ref="A22:B22"/>
    <mergeCell ref="X22:AC22"/>
    <mergeCell ref="A17:B17"/>
    <mergeCell ref="X17:AC17"/>
    <mergeCell ref="A18:B18"/>
    <mergeCell ref="X18:AC18"/>
    <mergeCell ref="A19:B19"/>
    <mergeCell ref="X19:AC19"/>
    <mergeCell ref="A14:B14"/>
    <mergeCell ref="X14:AC14"/>
    <mergeCell ref="A15:B15"/>
    <mergeCell ref="X15:AC15"/>
    <mergeCell ref="A16:B16"/>
    <mergeCell ref="X16:AC16"/>
    <mergeCell ref="A13:B13"/>
    <mergeCell ref="X13:AC13"/>
    <mergeCell ref="A8:B8"/>
    <mergeCell ref="X8:AC8"/>
    <mergeCell ref="A9:B9"/>
    <mergeCell ref="X9:AC9"/>
    <mergeCell ref="A10:B10"/>
    <mergeCell ref="X10:AC10"/>
    <mergeCell ref="A11:B11"/>
    <mergeCell ref="X11:AC11"/>
    <mergeCell ref="A12:B12"/>
    <mergeCell ref="C12:W12"/>
    <mergeCell ref="X12:AC12"/>
    <mergeCell ref="X5:AC5"/>
    <mergeCell ref="A6:B6"/>
    <mergeCell ref="C6:W6"/>
    <mergeCell ref="X6:AC6"/>
    <mergeCell ref="A7:B7"/>
    <mergeCell ref="X7:AC7"/>
    <mergeCell ref="I3:V4"/>
    <mergeCell ref="A5:E5"/>
    <mergeCell ref="F5:J5"/>
    <mergeCell ref="K5:N5"/>
    <mergeCell ref="O5:S5"/>
    <mergeCell ref="T5:W5"/>
    <mergeCell ref="A1:E4"/>
    <mergeCell ref="F1:V2"/>
    <mergeCell ref="W1:W4"/>
    <mergeCell ref="F3:H4"/>
    <mergeCell ref="X1:Y1"/>
    <mergeCell ref="Z1:AA1"/>
    <mergeCell ref="AB1:AC1"/>
    <mergeCell ref="X2:Y4"/>
    <mergeCell ref="Z2:AA4"/>
    <mergeCell ref="AB2:AC4"/>
  </mergeCells>
  <conditionalFormatting sqref="X7:AC33">
    <cfRule type="containsText" dxfId="7" priority="1" operator="containsText" text="보완">
      <formula>NOT(ISERROR(SEARCH("보완",X7)))</formula>
    </cfRule>
  </conditionalFormatting>
  <pageMargins left="0.7" right="0.7" top="0.75" bottom="0.75" header="0.3" footer="0.3"/>
  <pageSetup paperSize="9" scale="61"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53"/>
  <sheetViews>
    <sheetView showGridLines="0" view="pageBreakPreview" zoomScaleNormal="100" zoomScaleSheetLayoutView="100" workbookViewId="0">
      <selection activeCell="C15" sqref="C15:W15"/>
    </sheetView>
  </sheetViews>
  <sheetFormatPr defaultColWidth="3.5703125" defaultRowHeight="13.5"/>
  <cols>
    <col min="1" max="21" width="3.5703125" style="4"/>
    <col min="22" max="22" width="4.7109375" style="4" bestFit="1" customWidth="1"/>
    <col min="23" max="16384" width="3.5703125" style="4"/>
  </cols>
  <sheetData>
    <row r="1" spans="1:60" s="2" customFormat="1" ht="25.5" customHeight="1">
      <c r="A1" s="193"/>
      <c r="B1" s="194"/>
      <c r="C1" s="194"/>
      <c r="D1" s="194"/>
      <c r="E1" s="195"/>
      <c r="F1" s="202" t="s">
        <v>243</v>
      </c>
      <c r="G1" s="203"/>
      <c r="H1" s="203"/>
      <c r="I1" s="203"/>
      <c r="J1" s="203"/>
      <c r="K1" s="203"/>
      <c r="L1" s="203"/>
      <c r="M1" s="203"/>
      <c r="N1" s="203"/>
      <c r="O1" s="203"/>
      <c r="P1" s="203"/>
      <c r="Q1" s="203"/>
      <c r="R1" s="203"/>
      <c r="S1" s="203"/>
      <c r="T1" s="203"/>
      <c r="U1" s="203"/>
      <c r="V1" s="203"/>
      <c r="W1" s="204" t="s">
        <v>0</v>
      </c>
      <c r="X1" s="174" t="s">
        <v>1</v>
      </c>
      <c r="Y1" s="175"/>
      <c r="Z1" s="175" t="s">
        <v>2</v>
      </c>
      <c r="AA1" s="175"/>
      <c r="AB1" s="175" t="s">
        <v>3</v>
      </c>
      <c r="AC1" s="175"/>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row>
    <row r="2" spans="1:60" s="2" customFormat="1" ht="25.5" customHeight="1">
      <c r="A2" s="196"/>
      <c r="B2" s="197"/>
      <c r="C2" s="197"/>
      <c r="D2" s="197"/>
      <c r="E2" s="198"/>
      <c r="F2" s="203"/>
      <c r="G2" s="203"/>
      <c r="H2" s="203"/>
      <c r="I2" s="203"/>
      <c r="J2" s="203"/>
      <c r="K2" s="203"/>
      <c r="L2" s="203"/>
      <c r="M2" s="203"/>
      <c r="N2" s="203"/>
      <c r="O2" s="203"/>
      <c r="P2" s="203"/>
      <c r="Q2" s="203"/>
      <c r="R2" s="203"/>
      <c r="S2" s="203"/>
      <c r="T2" s="203"/>
      <c r="U2" s="203"/>
      <c r="V2" s="203"/>
      <c r="W2" s="204"/>
      <c r="X2" s="176" t="s">
        <v>252</v>
      </c>
      <c r="Y2" s="177"/>
      <c r="Z2" s="178"/>
      <c r="AA2" s="178"/>
      <c r="AB2" s="181" t="s">
        <v>253</v>
      </c>
      <c r="AC2" s="176"/>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row>
    <row r="3" spans="1:60" s="2" customFormat="1" ht="15.75" customHeight="1">
      <c r="A3" s="196"/>
      <c r="B3" s="197"/>
      <c r="C3" s="197"/>
      <c r="D3" s="197"/>
      <c r="E3" s="198"/>
      <c r="F3" s="175" t="s">
        <v>18</v>
      </c>
      <c r="G3" s="175"/>
      <c r="H3" s="175"/>
      <c r="I3" s="240" t="s">
        <v>171</v>
      </c>
      <c r="J3" s="183"/>
      <c r="K3" s="183"/>
      <c r="L3" s="183"/>
      <c r="M3" s="183"/>
      <c r="N3" s="183"/>
      <c r="O3" s="183"/>
      <c r="P3" s="183"/>
      <c r="Q3" s="183"/>
      <c r="R3" s="183"/>
      <c r="S3" s="183"/>
      <c r="T3" s="183"/>
      <c r="U3" s="183"/>
      <c r="V3" s="184"/>
      <c r="W3" s="204"/>
      <c r="X3" s="176"/>
      <c r="Y3" s="177"/>
      <c r="Z3" s="179"/>
      <c r="AA3" s="179"/>
      <c r="AB3" s="181"/>
      <c r="AC3" s="176"/>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row>
    <row r="4" spans="1:60" ht="15.75" customHeight="1">
      <c r="A4" s="199"/>
      <c r="B4" s="200"/>
      <c r="C4" s="200"/>
      <c r="D4" s="200"/>
      <c r="E4" s="201"/>
      <c r="F4" s="175"/>
      <c r="G4" s="175"/>
      <c r="H4" s="175"/>
      <c r="I4" s="185"/>
      <c r="J4" s="186"/>
      <c r="K4" s="186"/>
      <c r="L4" s="186"/>
      <c r="M4" s="186"/>
      <c r="N4" s="186"/>
      <c r="O4" s="186"/>
      <c r="P4" s="186"/>
      <c r="Q4" s="186"/>
      <c r="R4" s="186"/>
      <c r="S4" s="186"/>
      <c r="T4" s="186"/>
      <c r="U4" s="186"/>
      <c r="V4" s="187"/>
      <c r="W4" s="204"/>
      <c r="X4" s="176"/>
      <c r="Y4" s="177"/>
      <c r="Z4" s="180"/>
      <c r="AA4" s="180"/>
      <c r="AB4" s="181"/>
      <c r="AC4" s="176"/>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row>
    <row r="5" spans="1:60" s="6" customFormat="1" ht="18.75" customHeight="1">
      <c r="A5" s="188" t="s">
        <v>134</v>
      </c>
      <c r="B5" s="189"/>
      <c r="C5" s="189"/>
      <c r="D5" s="189"/>
      <c r="E5" s="174"/>
      <c r="F5" s="190" t="s">
        <v>174</v>
      </c>
      <c r="G5" s="191"/>
      <c r="H5" s="191"/>
      <c r="I5" s="191"/>
      <c r="J5" s="192"/>
      <c r="K5" s="188" t="s">
        <v>5</v>
      </c>
      <c r="L5" s="189"/>
      <c r="M5" s="189"/>
      <c r="N5" s="174"/>
      <c r="O5" s="190"/>
      <c r="P5" s="191"/>
      <c r="Q5" s="191"/>
      <c r="R5" s="191"/>
      <c r="S5" s="192"/>
      <c r="T5" s="188" t="s">
        <v>135</v>
      </c>
      <c r="U5" s="189"/>
      <c r="V5" s="189"/>
      <c r="W5" s="174"/>
      <c r="X5" s="177" t="s">
        <v>219</v>
      </c>
      <c r="Y5" s="214"/>
      <c r="Z5" s="214"/>
      <c r="AA5" s="214"/>
      <c r="AB5" s="214"/>
      <c r="AC5" s="181"/>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row>
    <row r="6" spans="1:60" s="6" customFormat="1" ht="21.75" customHeight="1">
      <c r="A6" s="175" t="s">
        <v>6</v>
      </c>
      <c r="B6" s="188"/>
      <c r="C6" s="188" t="s">
        <v>7</v>
      </c>
      <c r="D6" s="189"/>
      <c r="E6" s="189"/>
      <c r="F6" s="189"/>
      <c r="G6" s="189"/>
      <c r="H6" s="189"/>
      <c r="I6" s="189"/>
      <c r="J6" s="189"/>
      <c r="K6" s="189"/>
      <c r="L6" s="189"/>
      <c r="M6" s="189"/>
      <c r="N6" s="189"/>
      <c r="O6" s="189"/>
      <c r="P6" s="189"/>
      <c r="Q6" s="189"/>
      <c r="R6" s="189"/>
      <c r="S6" s="189"/>
      <c r="T6" s="189"/>
      <c r="U6" s="189"/>
      <c r="V6" s="189"/>
      <c r="W6" s="174"/>
      <c r="X6" s="174" t="s">
        <v>8</v>
      </c>
      <c r="Y6" s="175"/>
      <c r="Z6" s="175"/>
      <c r="AA6" s="175"/>
      <c r="AB6" s="175"/>
      <c r="AC6" s="17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row>
    <row r="7" spans="1:60" s="8" customFormat="1" ht="20.25" customHeight="1">
      <c r="A7" s="215">
        <v>1</v>
      </c>
      <c r="B7" s="220"/>
      <c r="C7" s="26" t="s">
        <v>19</v>
      </c>
      <c r="D7" s="27"/>
      <c r="E7" s="28"/>
      <c r="F7" s="7"/>
      <c r="G7" s="29"/>
      <c r="H7" s="29"/>
      <c r="I7" s="29"/>
      <c r="J7" s="29"/>
      <c r="K7" s="29"/>
      <c r="L7" s="29"/>
      <c r="M7" s="29"/>
      <c r="N7" s="29"/>
      <c r="O7" s="29"/>
      <c r="P7" s="29"/>
      <c r="Q7" s="29"/>
      <c r="R7" s="29"/>
      <c r="S7" s="29"/>
      <c r="T7" s="29"/>
      <c r="U7" s="29"/>
      <c r="V7" s="29"/>
      <c r="W7" s="30"/>
      <c r="X7" s="220" t="s">
        <v>10</v>
      </c>
      <c r="Y7" s="220"/>
      <c r="Z7" s="220"/>
      <c r="AA7" s="220"/>
      <c r="AB7" s="220"/>
      <c r="AC7" s="2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row>
    <row r="8" spans="1:60" s="8" customFormat="1" ht="20.25" customHeight="1">
      <c r="A8" s="206">
        <v>2</v>
      </c>
      <c r="B8" s="224"/>
      <c r="C8" s="31" t="s">
        <v>20</v>
      </c>
      <c r="D8" s="32"/>
      <c r="E8" s="33"/>
      <c r="F8" s="34"/>
      <c r="G8" s="35"/>
      <c r="H8" s="35"/>
      <c r="I8" s="35"/>
      <c r="J8" s="35"/>
      <c r="K8" s="35"/>
      <c r="L8" s="35"/>
      <c r="M8" s="35"/>
      <c r="N8" s="35"/>
      <c r="O8" s="35"/>
      <c r="P8" s="35"/>
      <c r="Q8" s="35"/>
      <c r="R8" s="35"/>
      <c r="S8" s="35"/>
      <c r="T8" s="35"/>
      <c r="U8" s="35"/>
      <c r="V8" s="35"/>
      <c r="W8" s="36"/>
      <c r="X8" s="206" t="s">
        <v>10</v>
      </c>
      <c r="Y8" s="224"/>
      <c r="Z8" s="224"/>
      <c r="AA8" s="224"/>
      <c r="AB8" s="224"/>
      <c r="AC8" s="207"/>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row>
    <row r="9" spans="1:60" s="8" customFormat="1" ht="20.25" customHeight="1">
      <c r="A9" s="206">
        <v>3</v>
      </c>
      <c r="B9" s="224"/>
      <c r="C9" s="31" t="s">
        <v>21</v>
      </c>
      <c r="D9" s="32"/>
      <c r="E9" s="33"/>
      <c r="F9" s="34"/>
      <c r="G9" s="35"/>
      <c r="H9" s="35"/>
      <c r="I9" s="35"/>
      <c r="J9" s="35"/>
      <c r="K9" s="35"/>
      <c r="L9" s="35"/>
      <c r="M9" s="35"/>
      <c r="N9" s="35"/>
      <c r="O9" s="35"/>
      <c r="P9" s="35"/>
      <c r="Q9" s="35"/>
      <c r="R9" s="35"/>
      <c r="S9" s="35"/>
      <c r="T9" s="35"/>
      <c r="U9" s="35"/>
      <c r="V9" s="35"/>
      <c r="W9" s="36"/>
      <c r="X9" s="206" t="s">
        <v>10</v>
      </c>
      <c r="Y9" s="224"/>
      <c r="Z9" s="224"/>
      <c r="AA9" s="224"/>
      <c r="AB9" s="224"/>
      <c r="AC9" s="207"/>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row>
    <row r="10" spans="1:60" s="8" customFormat="1" ht="20.25" customHeight="1">
      <c r="A10" s="206">
        <v>4</v>
      </c>
      <c r="B10" s="224"/>
      <c r="C10" s="31" t="s">
        <v>22</v>
      </c>
      <c r="D10" s="32"/>
      <c r="E10" s="33"/>
      <c r="F10" s="34"/>
      <c r="G10" s="35"/>
      <c r="H10" s="35"/>
      <c r="I10" s="35"/>
      <c r="J10" s="35"/>
      <c r="K10" s="35"/>
      <c r="L10" s="35"/>
      <c r="M10" s="35"/>
      <c r="N10" s="35"/>
      <c r="O10" s="35"/>
      <c r="P10" s="35"/>
      <c r="Q10" s="35"/>
      <c r="R10" s="35"/>
      <c r="S10" s="35"/>
      <c r="T10" s="35"/>
      <c r="U10" s="35"/>
      <c r="V10" s="35"/>
      <c r="W10" s="36"/>
      <c r="X10" s="206" t="s">
        <v>10</v>
      </c>
      <c r="Y10" s="224"/>
      <c r="Z10" s="224"/>
      <c r="AA10" s="224"/>
      <c r="AB10" s="224"/>
      <c r="AC10" s="207"/>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row>
    <row r="11" spans="1:60" s="8" customFormat="1" ht="20.25" customHeight="1">
      <c r="A11" s="206">
        <v>5</v>
      </c>
      <c r="B11" s="224"/>
      <c r="C11" s="31" t="s">
        <v>11</v>
      </c>
      <c r="D11" s="32"/>
      <c r="E11" s="33"/>
      <c r="F11" s="34"/>
      <c r="G11" s="35"/>
      <c r="H11" s="35"/>
      <c r="I11" s="35"/>
      <c r="J11" s="35"/>
      <c r="K11" s="35"/>
      <c r="L11" s="35"/>
      <c r="M11" s="35"/>
      <c r="N11" s="35"/>
      <c r="O11" s="35"/>
      <c r="P11" s="35"/>
      <c r="Q11" s="35"/>
      <c r="R11" s="35"/>
      <c r="S11" s="35"/>
      <c r="T11" s="35"/>
      <c r="U11" s="35"/>
      <c r="V11" s="35"/>
      <c r="W11" s="36"/>
      <c r="X11" s="206" t="s">
        <v>10</v>
      </c>
      <c r="Y11" s="224"/>
      <c r="Z11" s="224"/>
      <c r="AA11" s="224"/>
      <c r="AB11" s="224"/>
      <c r="AC11" s="207"/>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row>
    <row r="12" spans="1:60" s="8" customFormat="1" ht="20.25" customHeight="1">
      <c r="A12" s="206">
        <v>6</v>
      </c>
      <c r="B12" s="224"/>
      <c r="C12" s="31" t="s">
        <v>82</v>
      </c>
      <c r="D12" s="32"/>
      <c r="E12" s="33"/>
      <c r="F12" s="34"/>
      <c r="G12" s="35"/>
      <c r="H12" s="35"/>
      <c r="I12" s="35"/>
      <c r="J12" s="35"/>
      <c r="K12" s="35"/>
      <c r="L12" s="35"/>
      <c r="M12" s="35"/>
      <c r="N12" s="35"/>
      <c r="O12" s="35"/>
      <c r="P12" s="35"/>
      <c r="Q12" s="35"/>
      <c r="R12" s="35"/>
      <c r="S12" s="35"/>
      <c r="T12" s="35"/>
      <c r="U12" s="35"/>
      <c r="V12" s="35"/>
      <c r="W12" s="36"/>
      <c r="X12" s="206" t="s">
        <v>10</v>
      </c>
      <c r="Y12" s="224"/>
      <c r="Z12" s="224"/>
      <c r="AA12" s="224"/>
      <c r="AB12" s="224"/>
      <c r="AC12" s="207"/>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row>
    <row r="13" spans="1:60" s="8" customFormat="1" ht="20.25" customHeight="1">
      <c r="A13" s="206">
        <v>7</v>
      </c>
      <c r="B13" s="224"/>
      <c r="C13" s="31" t="s">
        <v>24</v>
      </c>
      <c r="D13" s="32"/>
      <c r="E13" s="33"/>
      <c r="F13" s="34"/>
      <c r="G13" s="35"/>
      <c r="H13" s="35"/>
      <c r="I13" s="35"/>
      <c r="J13" s="35"/>
      <c r="K13" s="35"/>
      <c r="L13" s="35"/>
      <c r="M13" s="35"/>
      <c r="N13" s="35"/>
      <c r="O13" s="35"/>
      <c r="P13" s="35"/>
      <c r="Q13" s="35"/>
      <c r="R13" s="35"/>
      <c r="S13" s="35"/>
      <c r="T13" s="35"/>
      <c r="U13" s="35"/>
      <c r="V13" s="35"/>
      <c r="W13" s="36"/>
      <c r="X13" s="206" t="s">
        <v>10</v>
      </c>
      <c r="Y13" s="224"/>
      <c r="Z13" s="224"/>
      <c r="AA13" s="224"/>
      <c r="AB13" s="224"/>
      <c r="AC13" s="207"/>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row>
    <row r="14" spans="1:60" s="8" customFormat="1" ht="20.25" customHeight="1">
      <c r="A14" s="206">
        <v>8</v>
      </c>
      <c r="B14" s="224"/>
      <c r="C14" s="31" t="s">
        <v>83</v>
      </c>
      <c r="D14" s="32"/>
      <c r="E14" s="33"/>
      <c r="F14" s="34"/>
      <c r="G14" s="35"/>
      <c r="H14" s="35"/>
      <c r="I14" s="35"/>
      <c r="J14" s="35"/>
      <c r="K14" s="35"/>
      <c r="L14" s="35"/>
      <c r="M14" s="35"/>
      <c r="N14" s="35"/>
      <c r="O14" s="35"/>
      <c r="P14" s="35"/>
      <c r="Q14" s="35"/>
      <c r="R14" s="35"/>
      <c r="S14" s="35"/>
      <c r="T14" s="35"/>
      <c r="U14" s="35"/>
      <c r="V14" s="35"/>
      <c r="W14" s="36"/>
      <c r="X14" s="206" t="s">
        <v>10</v>
      </c>
      <c r="Y14" s="224"/>
      <c r="Z14" s="224"/>
      <c r="AA14" s="224"/>
      <c r="AB14" s="224"/>
      <c r="AC14" s="207"/>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row>
    <row r="15" spans="1:60" s="8" customFormat="1" ht="20.25" customHeight="1">
      <c r="A15" s="206">
        <v>9</v>
      </c>
      <c r="B15" s="224"/>
      <c r="C15" s="31" t="s">
        <v>84</v>
      </c>
      <c r="D15" s="32"/>
      <c r="E15" s="33"/>
      <c r="F15" s="34"/>
      <c r="G15" s="35"/>
      <c r="H15" s="35"/>
      <c r="I15" s="35"/>
      <c r="J15" s="35"/>
      <c r="K15" s="35"/>
      <c r="L15" s="35"/>
      <c r="M15" s="35"/>
      <c r="N15" s="35"/>
      <c r="O15" s="35"/>
      <c r="P15" s="35"/>
      <c r="Q15" s="35"/>
      <c r="R15" s="35"/>
      <c r="S15" s="35"/>
      <c r="T15" s="35"/>
      <c r="U15" s="35"/>
      <c r="V15" s="35"/>
      <c r="W15" s="36"/>
      <c r="X15" s="206" t="s">
        <v>173</v>
      </c>
      <c r="Y15" s="224"/>
      <c r="Z15" s="224"/>
      <c r="AA15" s="224"/>
      <c r="AB15" s="224"/>
      <c r="AC15" s="207"/>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row>
    <row r="16" spans="1:60" s="8" customFormat="1" ht="20.25" customHeight="1">
      <c r="A16" s="206">
        <v>10</v>
      </c>
      <c r="B16" s="224"/>
      <c r="C16" s="31" t="s">
        <v>85</v>
      </c>
      <c r="D16" s="32"/>
      <c r="E16" s="33"/>
      <c r="F16" s="34"/>
      <c r="G16" s="35"/>
      <c r="H16" s="35"/>
      <c r="I16" s="35"/>
      <c r="J16" s="35"/>
      <c r="K16" s="35"/>
      <c r="L16" s="35"/>
      <c r="M16" s="35"/>
      <c r="N16" s="35"/>
      <c r="O16" s="35"/>
      <c r="P16" s="35"/>
      <c r="Q16" s="35"/>
      <c r="R16" s="35"/>
      <c r="S16" s="35"/>
      <c r="T16" s="35"/>
      <c r="U16" s="35"/>
      <c r="V16" s="35"/>
      <c r="W16" s="36"/>
      <c r="X16" s="206" t="s">
        <v>10</v>
      </c>
      <c r="Y16" s="224"/>
      <c r="Z16" s="224"/>
      <c r="AA16" s="224"/>
      <c r="AB16" s="224"/>
      <c r="AC16" s="207"/>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row>
    <row r="17" spans="1:60" s="8" customFormat="1" ht="20.25" customHeight="1">
      <c r="A17" s="206">
        <v>11</v>
      </c>
      <c r="B17" s="224"/>
      <c r="C17" s="31" t="s">
        <v>86</v>
      </c>
      <c r="D17" s="32"/>
      <c r="E17" s="33"/>
      <c r="F17" s="34"/>
      <c r="G17" s="35"/>
      <c r="H17" s="35"/>
      <c r="I17" s="35"/>
      <c r="J17" s="35"/>
      <c r="K17" s="35"/>
      <c r="L17" s="35"/>
      <c r="M17" s="35"/>
      <c r="N17" s="35"/>
      <c r="O17" s="35"/>
      <c r="P17" s="35"/>
      <c r="Q17" s="35"/>
      <c r="R17" s="35"/>
      <c r="S17" s="35"/>
      <c r="T17" s="35"/>
      <c r="U17" s="35"/>
      <c r="V17" s="35"/>
      <c r="W17" s="36"/>
      <c r="X17" s="206" t="s">
        <v>10</v>
      </c>
      <c r="Y17" s="224"/>
      <c r="Z17" s="224"/>
      <c r="AA17" s="224"/>
      <c r="AB17" s="224"/>
      <c r="AC17" s="207"/>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row>
    <row r="18" spans="1:60" s="8" customFormat="1" ht="20.25" customHeight="1">
      <c r="A18" s="206">
        <v>12</v>
      </c>
      <c r="B18" s="224"/>
      <c r="C18" s="31" t="s">
        <v>87</v>
      </c>
      <c r="D18" s="32"/>
      <c r="E18" s="33"/>
      <c r="F18" s="34"/>
      <c r="G18" s="35"/>
      <c r="H18" s="35"/>
      <c r="I18" s="35"/>
      <c r="J18" s="35"/>
      <c r="K18" s="35"/>
      <c r="L18" s="35"/>
      <c r="M18" s="35"/>
      <c r="N18" s="35"/>
      <c r="O18" s="35"/>
      <c r="P18" s="35"/>
      <c r="Q18" s="35"/>
      <c r="R18" s="35"/>
      <c r="S18" s="35"/>
      <c r="T18" s="35"/>
      <c r="U18" s="35"/>
      <c r="V18" s="35"/>
      <c r="W18" s="36"/>
      <c r="X18" s="206" t="s">
        <v>10</v>
      </c>
      <c r="Y18" s="224"/>
      <c r="Z18" s="224"/>
      <c r="AA18" s="224"/>
      <c r="AB18" s="224"/>
      <c r="AC18" s="207"/>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row>
    <row r="19" spans="1:60" s="8" customFormat="1" ht="20.25" customHeight="1">
      <c r="A19" s="206">
        <v>13</v>
      </c>
      <c r="B19" s="224"/>
      <c r="C19" s="31" t="s">
        <v>41</v>
      </c>
      <c r="D19" s="32"/>
      <c r="E19" s="33"/>
      <c r="F19" s="34"/>
      <c r="G19" s="35"/>
      <c r="H19" s="35"/>
      <c r="I19" s="35"/>
      <c r="J19" s="35"/>
      <c r="K19" s="35"/>
      <c r="L19" s="35"/>
      <c r="M19" s="35"/>
      <c r="N19" s="35"/>
      <c r="O19" s="35"/>
      <c r="P19" s="35"/>
      <c r="Q19" s="35"/>
      <c r="R19" s="35"/>
      <c r="S19" s="35"/>
      <c r="T19" s="35"/>
      <c r="U19" s="35"/>
      <c r="V19" s="35"/>
      <c r="W19" s="36"/>
      <c r="X19" s="206" t="s">
        <v>10</v>
      </c>
      <c r="Y19" s="224"/>
      <c r="Z19" s="224"/>
      <c r="AA19" s="224"/>
      <c r="AB19" s="224"/>
      <c r="AC19" s="207"/>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row>
    <row r="20" spans="1:60" s="8" customFormat="1" ht="20.25" customHeight="1">
      <c r="A20" s="206">
        <v>14</v>
      </c>
      <c r="B20" s="224"/>
      <c r="C20" s="31" t="s">
        <v>88</v>
      </c>
      <c r="D20" s="32"/>
      <c r="E20" s="33"/>
      <c r="F20" s="34"/>
      <c r="G20" s="35"/>
      <c r="H20" s="35"/>
      <c r="I20" s="35"/>
      <c r="J20" s="35"/>
      <c r="K20" s="35"/>
      <c r="L20" s="35"/>
      <c r="M20" s="35"/>
      <c r="N20" s="35"/>
      <c r="O20" s="35"/>
      <c r="P20" s="35"/>
      <c r="Q20" s="35"/>
      <c r="R20" s="35"/>
      <c r="S20" s="35"/>
      <c r="T20" s="35"/>
      <c r="U20" s="35"/>
      <c r="V20" s="35"/>
      <c r="W20" s="36"/>
      <c r="X20" s="206" t="s">
        <v>10</v>
      </c>
      <c r="Y20" s="224"/>
      <c r="Z20" s="224"/>
      <c r="AA20" s="224"/>
      <c r="AB20" s="224"/>
      <c r="AC20" s="207"/>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row>
    <row r="21" spans="1:60" s="16" customFormat="1" ht="20.25" customHeight="1">
      <c r="A21" s="206">
        <v>15</v>
      </c>
      <c r="B21" s="224"/>
      <c r="C21" s="31" t="s">
        <v>42</v>
      </c>
      <c r="D21" s="32"/>
      <c r="E21" s="33"/>
      <c r="F21" s="34"/>
      <c r="G21" s="35"/>
      <c r="H21" s="35"/>
      <c r="I21" s="35"/>
      <c r="J21" s="35"/>
      <c r="K21" s="35"/>
      <c r="L21" s="35"/>
      <c r="M21" s="35"/>
      <c r="N21" s="35"/>
      <c r="O21" s="35"/>
      <c r="P21" s="35"/>
      <c r="Q21" s="35"/>
      <c r="R21" s="35"/>
      <c r="S21" s="35"/>
      <c r="T21" s="35"/>
      <c r="U21" s="35"/>
      <c r="V21" s="35"/>
      <c r="W21" s="36"/>
      <c r="X21" s="206" t="s">
        <v>10</v>
      </c>
      <c r="Y21" s="224"/>
      <c r="Z21" s="224"/>
      <c r="AA21" s="224"/>
      <c r="AB21" s="224"/>
      <c r="AC21" s="207"/>
    </row>
    <row r="22" spans="1:60" s="16" customFormat="1" ht="20.25" customHeight="1">
      <c r="A22" s="206">
        <v>16</v>
      </c>
      <c r="B22" s="224"/>
      <c r="C22" s="31" t="s">
        <v>89</v>
      </c>
      <c r="D22" s="32"/>
      <c r="E22" s="33"/>
      <c r="F22" s="34"/>
      <c r="G22" s="35"/>
      <c r="H22" s="35"/>
      <c r="I22" s="35"/>
      <c r="J22" s="35"/>
      <c r="K22" s="35"/>
      <c r="L22" s="35"/>
      <c r="M22" s="35"/>
      <c r="N22" s="35"/>
      <c r="O22" s="35"/>
      <c r="P22" s="35"/>
      <c r="Q22" s="35"/>
      <c r="R22" s="35"/>
      <c r="S22" s="35"/>
      <c r="T22" s="35"/>
      <c r="U22" s="35"/>
      <c r="V22" s="35"/>
      <c r="W22" s="36"/>
      <c r="X22" s="206" t="s">
        <v>10</v>
      </c>
      <c r="Y22" s="224"/>
      <c r="Z22" s="224"/>
      <c r="AA22" s="224"/>
      <c r="AB22" s="224"/>
      <c r="AC22" s="207"/>
    </row>
    <row r="23" spans="1:60" s="16" customFormat="1" ht="20.25" customHeight="1">
      <c r="A23" s="225"/>
      <c r="B23" s="227"/>
      <c r="C23" s="55"/>
      <c r="D23" s="47"/>
      <c r="E23" s="47"/>
      <c r="F23" s="20"/>
      <c r="G23" s="20"/>
      <c r="H23" s="20"/>
      <c r="I23" s="20"/>
      <c r="J23" s="20"/>
      <c r="K23" s="20"/>
      <c r="L23" s="20"/>
      <c r="M23" s="20"/>
      <c r="N23" s="20"/>
      <c r="O23" s="20"/>
      <c r="P23" s="20"/>
      <c r="Q23" s="20"/>
      <c r="R23" s="20"/>
      <c r="S23" s="20"/>
      <c r="T23" s="20"/>
      <c r="U23" s="20"/>
      <c r="V23" s="20"/>
      <c r="W23" s="22"/>
      <c r="X23" s="251"/>
      <c r="Y23" s="251"/>
      <c r="Z23" s="251"/>
      <c r="AA23" s="251"/>
      <c r="AB23" s="251"/>
      <c r="AC23" s="252"/>
    </row>
    <row r="24" spans="1:60" s="5" customFormat="1" ht="15">
      <c r="A24" s="3"/>
      <c r="B24" s="3"/>
      <c r="C24" s="3"/>
      <c r="D24" s="3"/>
      <c r="E24" s="3"/>
      <c r="F24" s="3"/>
      <c r="G24" s="3"/>
      <c r="H24" s="3"/>
      <c r="I24" s="3"/>
      <c r="J24" s="3"/>
      <c r="K24" s="3"/>
      <c r="L24" s="3"/>
      <c r="M24" s="3"/>
      <c r="N24" s="3"/>
      <c r="O24" s="3"/>
      <c r="P24" s="3"/>
      <c r="Q24" s="3"/>
      <c r="R24" s="3"/>
      <c r="S24" s="3"/>
      <c r="T24" s="3"/>
      <c r="U24" s="3"/>
      <c r="V24" s="3"/>
      <c r="W24" s="3"/>
      <c r="X24" s="229" t="s">
        <v>172</v>
      </c>
      <c r="Y24" s="229"/>
      <c r="Z24" s="229"/>
      <c r="AA24" s="229"/>
      <c r="AB24" s="229"/>
      <c r="AC24" s="229"/>
    </row>
    <row r="25" spans="1:60" s="5" customFormat="1" ht="15">
      <c r="V25" s="48"/>
      <c r="X25" s="228">
        <v>100</v>
      </c>
      <c r="Y25" s="228"/>
      <c r="Z25" s="228"/>
      <c r="AA25" s="228"/>
      <c r="AB25" s="228"/>
      <c r="AC25" s="228"/>
    </row>
    <row r="26" spans="1:60" s="5" customFormat="1" ht="15"/>
    <row r="27" spans="1:60" s="5" customFormat="1" ht="15"/>
    <row r="28" spans="1:60" s="5" customFormat="1" ht="15"/>
    <row r="29" spans="1:60" s="5" customFormat="1" ht="15"/>
    <row r="30" spans="1:60" s="5" customFormat="1" ht="15"/>
    <row r="31" spans="1:60" s="5" customFormat="1" ht="15"/>
    <row r="32" spans="1:60" s="6" customFormat="1"/>
    <row r="33" s="6" customFormat="1"/>
    <row r="34" s="6" customFormat="1"/>
    <row r="35" s="6" customFormat="1"/>
    <row r="36" s="6" customFormat="1"/>
    <row r="37" s="6" customFormat="1"/>
    <row r="38" s="6" customFormat="1"/>
    <row r="39" s="6" customFormat="1"/>
    <row r="40" s="6" customFormat="1"/>
    <row r="41" s="6" customFormat="1"/>
    <row r="42" s="6" customFormat="1"/>
    <row r="43" s="6" customFormat="1"/>
    <row r="44" s="6" customFormat="1"/>
    <row r="45" s="6" customFormat="1"/>
    <row r="46" s="6" customFormat="1"/>
    <row r="47" s="6" customFormat="1"/>
    <row r="48" s="6" customFormat="1"/>
    <row r="49" s="6" customFormat="1"/>
    <row r="50" s="6" customFormat="1"/>
    <row r="51" s="6" customFormat="1"/>
    <row r="52" s="6" customFormat="1"/>
    <row r="53" s="6" customFormat="1"/>
  </sheetData>
  <mergeCells count="56">
    <mergeCell ref="A23:B23"/>
    <mergeCell ref="X23:AC23"/>
    <mergeCell ref="X25:AC25"/>
    <mergeCell ref="A20:B20"/>
    <mergeCell ref="X20:AC20"/>
    <mergeCell ref="A21:B21"/>
    <mergeCell ref="X21:AC21"/>
    <mergeCell ref="A22:B22"/>
    <mergeCell ref="X22:AC22"/>
    <mergeCell ref="X24:AC24"/>
    <mergeCell ref="A17:B17"/>
    <mergeCell ref="X17:AC17"/>
    <mergeCell ref="A18:B18"/>
    <mergeCell ref="X18:AC18"/>
    <mergeCell ref="A19:B19"/>
    <mergeCell ref="X19:AC19"/>
    <mergeCell ref="A14:B14"/>
    <mergeCell ref="X14:AC14"/>
    <mergeCell ref="A15:B15"/>
    <mergeCell ref="X15:AC15"/>
    <mergeCell ref="A16:B16"/>
    <mergeCell ref="X16:AC16"/>
    <mergeCell ref="A11:B11"/>
    <mergeCell ref="X11:AC11"/>
    <mergeCell ref="A12:B12"/>
    <mergeCell ref="X12:AC12"/>
    <mergeCell ref="A13:B13"/>
    <mergeCell ref="X13:AC13"/>
    <mergeCell ref="A8:B8"/>
    <mergeCell ref="X8:AC8"/>
    <mergeCell ref="A9:B9"/>
    <mergeCell ref="X9:AC9"/>
    <mergeCell ref="A10:B10"/>
    <mergeCell ref="X10:AC10"/>
    <mergeCell ref="X5:AC5"/>
    <mergeCell ref="A6:B6"/>
    <mergeCell ref="C6:W6"/>
    <mergeCell ref="X6:AC6"/>
    <mergeCell ref="A7:B7"/>
    <mergeCell ref="X7:AC7"/>
    <mergeCell ref="I3:V4"/>
    <mergeCell ref="A5:E5"/>
    <mergeCell ref="F5:J5"/>
    <mergeCell ref="K5:N5"/>
    <mergeCell ref="O5:S5"/>
    <mergeCell ref="T5:W5"/>
    <mergeCell ref="A1:E4"/>
    <mergeCell ref="F1:V2"/>
    <mergeCell ref="W1:W4"/>
    <mergeCell ref="F3:H4"/>
    <mergeCell ref="X1:Y1"/>
    <mergeCell ref="Z1:AA1"/>
    <mergeCell ref="AB1:AC1"/>
    <mergeCell ref="X2:Y4"/>
    <mergeCell ref="Z2:AA4"/>
    <mergeCell ref="AB2:AC4"/>
  </mergeCells>
  <conditionalFormatting sqref="X7:AC23">
    <cfRule type="containsText" dxfId="6" priority="1" operator="containsText" text="보완">
      <formula>NOT(ISERROR(SEARCH("보완",X7)))</formula>
    </cfRule>
  </conditionalFormatting>
  <pageMargins left="0.7" right="0.7" top="0.75" bottom="0.75" header="0.3" footer="0.3"/>
  <pageSetup paperSize="9"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60"/>
  <sheetViews>
    <sheetView showGridLines="0" view="pageBreakPreview" zoomScale="85" zoomScaleNormal="100" zoomScaleSheetLayoutView="85" workbookViewId="0">
      <selection activeCell="C15" sqref="C15:W15"/>
    </sheetView>
  </sheetViews>
  <sheetFormatPr defaultColWidth="3.5703125" defaultRowHeight="13.5"/>
  <cols>
    <col min="1" max="21" width="3.5703125" style="4"/>
    <col min="22" max="22" width="5.7109375" style="4" bestFit="1" customWidth="1"/>
    <col min="23" max="23" width="8.85546875" style="4" customWidth="1"/>
    <col min="24" max="29" width="5.7109375" style="4" customWidth="1"/>
    <col min="30" max="16384" width="3.5703125" style="4"/>
  </cols>
  <sheetData>
    <row r="1" spans="1:53" s="2" customFormat="1" ht="25.5" customHeight="1">
      <c r="A1" s="193"/>
      <c r="B1" s="194"/>
      <c r="C1" s="194"/>
      <c r="D1" s="194"/>
      <c r="E1" s="195"/>
      <c r="F1" s="202" t="s">
        <v>243</v>
      </c>
      <c r="G1" s="203"/>
      <c r="H1" s="203"/>
      <c r="I1" s="203"/>
      <c r="J1" s="203"/>
      <c r="K1" s="203"/>
      <c r="L1" s="203"/>
      <c r="M1" s="203"/>
      <c r="N1" s="203"/>
      <c r="O1" s="203"/>
      <c r="P1" s="203"/>
      <c r="Q1" s="203"/>
      <c r="R1" s="203"/>
      <c r="S1" s="203"/>
      <c r="T1" s="203"/>
      <c r="U1" s="203"/>
      <c r="V1" s="203"/>
      <c r="W1" s="204" t="s">
        <v>0</v>
      </c>
      <c r="X1" s="174" t="s">
        <v>1</v>
      </c>
      <c r="Y1" s="175"/>
      <c r="Z1" s="175" t="s">
        <v>2</v>
      </c>
      <c r="AA1" s="175"/>
      <c r="AB1" s="175" t="s">
        <v>3</v>
      </c>
      <c r="AC1" s="175"/>
      <c r="AD1" s="24"/>
      <c r="AE1" s="24"/>
      <c r="AF1" s="24"/>
      <c r="AG1" s="24"/>
      <c r="AH1" s="24"/>
      <c r="AI1" s="24"/>
      <c r="AJ1" s="24"/>
      <c r="AK1" s="24"/>
      <c r="AL1" s="24"/>
      <c r="AM1" s="24"/>
      <c r="AN1" s="24"/>
      <c r="AO1" s="24"/>
      <c r="AP1" s="24"/>
      <c r="AQ1" s="24"/>
      <c r="AR1" s="24"/>
      <c r="AS1" s="24"/>
      <c r="AT1" s="24"/>
    </row>
    <row r="2" spans="1:53" s="2" customFormat="1" ht="25.5" customHeight="1">
      <c r="A2" s="196"/>
      <c r="B2" s="197"/>
      <c r="C2" s="197"/>
      <c r="D2" s="197"/>
      <c r="E2" s="198"/>
      <c r="F2" s="203"/>
      <c r="G2" s="203"/>
      <c r="H2" s="203"/>
      <c r="I2" s="203"/>
      <c r="J2" s="203"/>
      <c r="K2" s="203"/>
      <c r="L2" s="203"/>
      <c r="M2" s="203"/>
      <c r="N2" s="203"/>
      <c r="O2" s="203"/>
      <c r="P2" s="203"/>
      <c r="Q2" s="203"/>
      <c r="R2" s="203"/>
      <c r="S2" s="203"/>
      <c r="T2" s="203"/>
      <c r="U2" s="203"/>
      <c r="V2" s="203"/>
      <c r="W2" s="204"/>
      <c r="X2" s="176" t="s">
        <v>252</v>
      </c>
      <c r="Y2" s="177"/>
      <c r="Z2" s="178"/>
      <c r="AA2" s="178"/>
      <c r="AB2" s="181" t="s">
        <v>253</v>
      </c>
      <c r="AC2" s="176"/>
      <c r="AD2" s="24"/>
      <c r="AE2" s="24"/>
      <c r="AF2" s="24"/>
      <c r="AG2" s="24"/>
      <c r="AH2" s="24"/>
      <c r="AI2" s="24"/>
      <c r="AJ2" s="24"/>
      <c r="AK2" s="24"/>
      <c r="AL2" s="24"/>
      <c r="AM2" s="24"/>
      <c r="AN2" s="24"/>
      <c r="AO2" s="24"/>
      <c r="AP2" s="24"/>
      <c r="AQ2" s="24"/>
      <c r="AR2" s="24"/>
      <c r="AS2" s="24"/>
      <c r="AT2" s="24"/>
    </row>
    <row r="3" spans="1:53" s="2" customFormat="1" ht="15.75" customHeight="1">
      <c r="A3" s="196"/>
      <c r="B3" s="197"/>
      <c r="C3" s="197"/>
      <c r="D3" s="197"/>
      <c r="E3" s="198"/>
      <c r="F3" s="175" t="s">
        <v>18</v>
      </c>
      <c r="G3" s="175"/>
      <c r="H3" s="175"/>
      <c r="I3" s="182" t="s">
        <v>90</v>
      </c>
      <c r="J3" s="183"/>
      <c r="K3" s="183"/>
      <c r="L3" s="183"/>
      <c r="M3" s="183"/>
      <c r="N3" s="183"/>
      <c r="O3" s="183"/>
      <c r="P3" s="183"/>
      <c r="Q3" s="183"/>
      <c r="R3" s="183"/>
      <c r="S3" s="183"/>
      <c r="T3" s="183"/>
      <c r="U3" s="183"/>
      <c r="V3" s="184"/>
      <c r="W3" s="204"/>
      <c r="X3" s="176"/>
      <c r="Y3" s="177"/>
      <c r="Z3" s="179"/>
      <c r="AA3" s="179"/>
      <c r="AB3" s="181"/>
      <c r="AC3" s="176"/>
      <c r="AD3" s="24"/>
      <c r="AE3" s="24"/>
      <c r="AF3" s="24"/>
      <c r="AG3" s="24"/>
      <c r="AH3" s="24"/>
      <c r="AI3" s="24"/>
      <c r="AJ3" s="24"/>
      <c r="AK3" s="24"/>
      <c r="AL3" s="24"/>
      <c r="AM3" s="24"/>
      <c r="AN3" s="24"/>
      <c r="AO3" s="24"/>
      <c r="AP3" s="24"/>
      <c r="AQ3" s="24"/>
      <c r="AR3" s="24"/>
      <c r="AS3" s="24"/>
      <c r="AT3" s="24"/>
    </row>
    <row r="4" spans="1:53" ht="15.75" customHeight="1">
      <c r="A4" s="199"/>
      <c r="B4" s="200"/>
      <c r="C4" s="200"/>
      <c r="D4" s="200"/>
      <c r="E4" s="201"/>
      <c r="F4" s="175"/>
      <c r="G4" s="175"/>
      <c r="H4" s="175"/>
      <c r="I4" s="185"/>
      <c r="J4" s="186"/>
      <c r="K4" s="186"/>
      <c r="L4" s="186"/>
      <c r="M4" s="186"/>
      <c r="N4" s="186"/>
      <c r="O4" s="186"/>
      <c r="P4" s="186"/>
      <c r="Q4" s="186"/>
      <c r="R4" s="186"/>
      <c r="S4" s="186"/>
      <c r="T4" s="186"/>
      <c r="U4" s="186"/>
      <c r="V4" s="187"/>
      <c r="W4" s="204"/>
      <c r="X4" s="176"/>
      <c r="Y4" s="177"/>
      <c r="Z4" s="180"/>
      <c r="AA4" s="180"/>
      <c r="AB4" s="181"/>
      <c r="AC4" s="176"/>
      <c r="AD4" s="3"/>
      <c r="AE4" s="3"/>
      <c r="AF4" s="3"/>
      <c r="AG4" s="3"/>
      <c r="AH4" s="3"/>
      <c r="AI4" s="3"/>
      <c r="AJ4" s="3"/>
      <c r="AK4" s="3"/>
      <c r="AL4" s="3"/>
      <c r="AM4" s="3"/>
      <c r="AN4" s="3"/>
      <c r="AO4" s="3"/>
      <c r="AP4" s="3"/>
      <c r="AQ4" s="3"/>
      <c r="AR4" s="3"/>
      <c r="AS4" s="3"/>
      <c r="AT4" s="3"/>
    </row>
    <row r="5" spans="1:53" s="6" customFormat="1" ht="18.75" customHeight="1">
      <c r="A5" s="188" t="s">
        <v>134</v>
      </c>
      <c r="B5" s="189"/>
      <c r="C5" s="189"/>
      <c r="D5" s="189"/>
      <c r="E5" s="174"/>
      <c r="F5" s="190" t="s">
        <v>174</v>
      </c>
      <c r="G5" s="191"/>
      <c r="H5" s="191"/>
      <c r="I5" s="191"/>
      <c r="J5" s="192"/>
      <c r="K5" s="188" t="s">
        <v>5</v>
      </c>
      <c r="L5" s="189"/>
      <c r="M5" s="189"/>
      <c r="N5" s="174"/>
      <c r="O5" s="190"/>
      <c r="P5" s="191"/>
      <c r="Q5" s="191"/>
      <c r="R5" s="191"/>
      <c r="S5" s="192"/>
      <c r="T5" s="188" t="s">
        <v>135</v>
      </c>
      <c r="U5" s="189"/>
      <c r="V5" s="189"/>
      <c r="W5" s="174"/>
      <c r="X5" s="177" t="s">
        <v>219</v>
      </c>
      <c r="Y5" s="214"/>
      <c r="Z5" s="214"/>
      <c r="AA5" s="214"/>
      <c r="AB5" s="214"/>
      <c r="AC5" s="181"/>
      <c r="AD5" s="5"/>
      <c r="AE5" s="5"/>
      <c r="AF5" s="5"/>
      <c r="AG5" s="5"/>
      <c r="AH5" s="5"/>
      <c r="AI5" s="5"/>
      <c r="AJ5" s="5"/>
      <c r="AK5" s="5"/>
      <c r="AL5" s="5"/>
      <c r="AM5" s="5"/>
      <c r="AN5" s="5"/>
      <c r="AO5" s="5"/>
      <c r="AP5" s="5"/>
      <c r="AQ5" s="5"/>
      <c r="AR5" s="5"/>
      <c r="AS5" s="5"/>
      <c r="AT5" s="5"/>
    </row>
    <row r="6" spans="1:53" s="6" customFormat="1" ht="21.75" customHeight="1">
      <c r="A6" s="175" t="s">
        <v>6</v>
      </c>
      <c r="B6" s="188"/>
      <c r="C6" s="188" t="s">
        <v>7</v>
      </c>
      <c r="D6" s="189"/>
      <c r="E6" s="189"/>
      <c r="F6" s="189"/>
      <c r="G6" s="189"/>
      <c r="H6" s="189"/>
      <c r="I6" s="189"/>
      <c r="J6" s="189"/>
      <c r="K6" s="189"/>
      <c r="L6" s="189"/>
      <c r="M6" s="189"/>
      <c r="N6" s="189"/>
      <c r="O6" s="189"/>
      <c r="P6" s="189"/>
      <c r="Q6" s="189"/>
      <c r="R6" s="189"/>
      <c r="S6" s="189"/>
      <c r="T6" s="189"/>
      <c r="U6" s="189"/>
      <c r="V6" s="189"/>
      <c r="W6" s="174"/>
      <c r="X6" s="174" t="s">
        <v>8</v>
      </c>
      <c r="Y6" s="175"/>
      <c r="Z6" s="175"/>
      <c r="AA6" s="175"/>
      <c r="AB6" s="175"/>
      <c r="AC6" s="175"/>
      <c r="AD6" s="5"/>
      <c r="AE6" s="5"/>
      <c r="AF6" s="5"/>
      <c r="AG6" s="5"/>
      <c r="AH6" s="5"/>
      <c r="AI6" s="5"/>
      <c r="AJ6" s="5"/>
      <c r="AK6" s="5"/>
      <c r="AL6" s="5"/>
      <c r="AM6" s="5"/>
      <c r="AN6" s="5"/>
      <c r="AO6" s="5"/>
      <c r="AP6" s="5"/>
      <c r="AQ6" s="5"/>
      <c r="AR6" s="5"/>
      <c r="AS6" s="5"/>
      <c r="AT6" s="5"/>
    </row>
    <row r="7" spans="1:53" s="8" customFormat="1" ht="20.25" customHeight="1">
      <c r="A7" s="215">
        <v>1</v>
      </c>
      <c r="B7" s="216"/>
      <c r="C7" s="26" t="s">
        <v>19</v>
      </c>
      <c r="D7" s="27"/>
      <c r="E7" s="28"/>
      <c r="F7" s="7"/>
      <c r="G7" s="29"/>
      <c r="H7" s="29"/>
      <c r="I7" s="29"/>
      <c r="J7" s="29"/>
      <c r="K7" s="29"/>
      <c r="L7" s="29"/>
      <c r="M7" s="29"/>
      <c r="N7" s="29"/>
      <c r="O7" s="29"/>
      <c r="P7" s="29"/>
      <c r="Q7" s="29"/>
      <c r="R7" s="29"/>
      <c r="S7" s="29"/>
      <c r="T7" s="29"/>
      <c r="U7" s="29"/>
      <c r="V7" s="29"/>
      <c r="W7" s="30"/>
      <c r="X7" s="220" t="s">
        <v>10</v>
      </c>
      <c r="Y7" s="220"/>
      <c r="Z7" s="220"/>
      <c r="AA7" s="220"/>
      <c r="AB7" s="220"/>
      <c r="AC7" s="216"/>
      <c r="AD7" s="16"/>
      <c r="AE7" s="16"/>
      <c r="AF7" s="16"/>
      <c r="AG7" s="16"/>
      <c r="AH7" s="16"/>
      <c r="AI7" s="16"/>
      <c r="AJ7" s="16"/>
      <c r="AK7" s="16"/>
      <c r="AL7" s="16"/>
      <c r="AM7" s="16"/>
      <c r="AN7" s="16"/>
      <c r="AO7" s="16"/>
      <c r="AP7" s="16"/>
      <c r="AQ7" s="16"/>
      <c r="AR7" s="16"/>
      <c r="AS7" s="16"/>
      <c r="AT7" s="16"/>
    </row>
    <row r="8" spans="1:53" s="8" customFormat="1" ht="20.25" customHeight="1">
      <c r="A8" s="206">
        <v>2</v>
      </c>
      <c r="B8" s="207"/>
      <c r="C8" s="31" t="s">
        <v>20</v>
      </c>
      <c r="D8" s="32"/>
      <c r="E8" s="33"/>
      <c r="F8" s="34"/>
      <c r="G8" s="35"/>
      <c r="H8" s="35"/>
      <c r="I8" s="35"/>
      <c r="J8" s="35"/>
      <c r="K8" s="35"/>
      <c r="L8" s="35"/>
      <c r="M8" s="35"/>
      <c r="N8" s="35"/>
      <c r="O8" s="35"/>
      <c r="P8" s="35"/>
      <c r="Q8" s="35"/>
      <c r="R8" s="35"/>
      <c r="S8" s="35"/>
      <c r="T8" s="35"/>
      <c r="U8" s="35"/>
      <c r="V8" s="35"/>
      <c r="W8" s="36"/>
      <c r="X8" s="206" t="s">
        <v>10</v>
      </c>
      <c r="Y8" s="224"/>
      <c r="Z8" s="224"/>
      <c r="AA8" s="224"/>
      <c r="AB8" s="224"/>
      <c r="AC8" s="207"/>
      <c r="AD8" s="16"/>
      <c r="AE8" s="16"/>
      <c r="AF8" s="16"/>
      <c r="AG8" s="16"/>
      <c r="AH8" s="16"/>
      <c r="AI8" s="16"/>
      <c r="AJ8" s="16"/>
      <c r="AK8" s="16"/>
      <c r="AL8" s="16"/>
      <c r="AM8" s="16"/>
      <c r="AN8" s="16"/>
      <c r="AO8" s="16"/>
      <c r="AP8" s="16"/>
      <c r="AQ8" s="16"/>
      <c r="AR8" s="16"/>
      <c r="AS8" s="16"/>
      <c r="AT8" s="16"/>
    </row>
    <row r="9" spans="1:53" s="8" customFormat="1" ht="20.25" customHeight="1">
      <c r="A9" s="206">
        <v>3</v>
      </c>
      <c r="B9" s="207"/>
      <c r="C9" s="31" t="s">
        <v>21</v>
      </c>
      <c r="D9" s="32"/>
      <c r="E9" s="33"/>
      <c r="F9" s="34"/>
      <c r="G9" s="35"/>
      <c r="H9" s="35"/>
      <c r="I9" s="35"/>
      <c r="J9" s="35"/>
      <c r="K9" s="35"/>
      <c r="L9" s="35"/>
      <c r="M9" s="35"/>
      <c r="N9" s="35"/>
      <c r="O9" s="35"/>
      <c r="P9" s="35"/>
      <c r="Q9" s="35"/>
      <c r="R9" s="35"/>
      <c r="S9" s="35"/>
      <c r="T9" s="35"/>
      <c r="U9" s="35"/>
      <c r="V9" s="35"/>
      <c r="W9" s="36"/>
      <c r="X9" s="206" t="s">
        <v>10</v>
      </c>
      <c r="Y9" s="224"/>
      <c r="Z9" s="224"/>
      <c r="AA9" s="224"/>
      <c r="AB9" s="224"/>
      <c r="AC9" s="207"/>
      <c r="AD9" s="16"/>
      <c r="AE9" s="16"/>
      <c r="AF9" s="16"/>
      <c r="AG9" s="16"/>
      <c r="AH9" s="16"/>
      <c r="AI9" s="16"/>
      <c r="AJ9" s="16"/>
      <c r="AK9" s="16"/>
      <c r="AL9" s="16"/>
      <c r="AM9" s="16"/>
      <c r="AN9" s="16"/>
      <c r="AO9" s="16"/>
      <c r="AP9" s="16"/>
      <c r="AQ9" s="16"/>
      <c r="AR9" s="16"/>
      <c r="AS9" s="16"/>
      <c r="AT9" s="16"/>
    </row>
    <row r="10" spans="1:53" s="8" customFormat="1" ht="20.25" customHeight="1">
      <c r="A10" s="206">
        <v>4</v>
      </c>
      <c r="B10" s="207"/>
      <c r="C10" s="31" t="s">
        <v>22</v>
      </c>
      <c r="D10" s="32"/>
      <c r="E10" s="33"/>
      <c r="F10" s="34"/>
      <c r="G10" s="35"/>
      <c r="H10" s="35"/>
      <c r="I10" s="35"/>
      <c r="J10" s="35"/>
      <c r="K10" s="35"/>
      <c r="L10" s="35"/>
      <c r="M10" s="35"/>
      <c r="N10" s="35"/>
      <c r="O10" s="35"/>
      <c r="P10" s="35"/>
      <c r="Q10" s="35"/>
      <c r="R10" s="35"/>
      <c r="S10" s="35"/>
      <c r="T10" s="35"/>
      <c r="U10" s="35"/>
      <c r="V10" s="35"/>
      <c r="W10" s="36"/>
      <c r="X10" s="206" t="s">
        <v>10</v>
      </c>
      <c r="Y10" s="224"/>
      <c r="Z10" s="224"/>
      <c r="AA10" s="224"/>
      <c r="AB10" s="224"/>
      <c r="AC10" s="207"/>
      <c r="AD10" s="16"/>
      <c r="AE10" s="16"/>
      <c r="AF10" s="16"/>
      <c r="AG10" s="16"/>
      <c r="AH10" s="16"/>
      <c r="AI10" s="16"/>
      <c r="AJ10" s="16"/>
      <c r="AK10" s="16"/>
      <c r="AL10" s="16"/>
      <c r="AM10" s="16"/>
      <c r="AN10" s="16"/>
      <c r="AO10" s="16"/>
      <c r="AP10" s="16"/>
      <c r="AQ10" s="16"/>
      <c r="AR10" s="16"/>
      <c r="AS10" s="16"/>
      <c r="AT10" s="16"/>
    </row>
    <row r="11" spans="1:53" s="8" customFormat="1" ht="20.25" customHeight="1">
      <c r="A11" s="206">
        <v>5</v>
      </c>
      <c r="B11" s="207"/>
      <c r="C11" s="31" t="s">
        <v>11</v>
      </c>
      <c r="D11" s="32"/>
      <c r="E11" s="33"/>
      <c r="F11" s="34"/>
      <c r="G11" s="35"/>
      <c r="H11" s="35"/>
      <c r="I11" s="35"/>
      <c r="J11" s="35"/>
      <c r="K11" s="35"/>
      <c r="L11" s="35"/>
      <c r="M11" s="35"/>
      <c r="N11" s="35"/>
      <c r="O11" s="35"/>
      <c r="P11" s="35"/>
      <c r="Q11" s="35"/>
      <c r="R11" s="35"/>
      <c r="S11" s="35"/>
      <c r="T11" s="35"/>
      <c r="U11" s="35"/>
      <c r="V11" s="35"/>
      <c r="W11" s="36"/>
      <c r="X11" s="206" t="s">
        <v>10</v>
      </c>
      <c r="Y11" s="224"/>
      <c r="Z11" s="224"/>
      <c r="AA11" s="224"/>
      <c r="AB11" s="224"/>
      <c r="AC11" s="207"/>
      <c r="AD11" s="16"/>
      <c r="AE11" s="16"/>
      <c r="AF11" s="16"/>
      <c r="AG11" s="16"/>
      <c r="AH11" s="16"/>
      <c r="AI11" s="16"/>
      <c r="AJ11" s="16"/>
      <c r="AK11" s="16"/>
      <c r="AL11" s="16"/>
      <c r="AM11" s="16"/>
      <c r="AN11" s="16"/>
      <c r="AO11" s="16"/>
      <c r="AP11" s="16"/>
      <c r="AQ11" s="16"/>
      <c r="AR11" s="16"/>
      <c r="AS11" s="16"/>
      <c r="AT11" s="16"/>
    </row>
    <row r="12" spans="1:53" s="8" customFormat="1" ht="20.25" customHeight="1">
      <c r="A12" s="206">
        <v>6</v>
      </c>
      <c r="B12" s="207"/>
      <c r="C12" s="232" t="s">
        <v>47</v>
      </c>
      <c r="D12" s="233"/>
      <c r="E12" s="233"/>
      <c r="F12" s="233"/>
      <c r="G12" s="233"/>
      <c r="H12" s="233"/>
      <c r="I12" s="233"/>
      <c r="J12" s="233"/>
      <c r="K12" s="233"/>
      <c r="L12" s="233"/>
      <c r="M12" s="233"/>
      <c r="N12" s="233"/>
      <c r="O12" s="233"/>
      <c r="P12" s="233"/>
      <c r="Q12" s="233"/>
      <c r="R12" s="233"/>
      <c r="S12" s="233"/>
      <c r="T12" s="233"/>
      <c r="U12" s="233"/>
      <c r="V12" s="233"/>
      <c r="W12" s="234"/>
      <c r="X12" s="206" t="s">
        <v>10</v>
      </c>
      <c r="Y12" s="224"/>
      <c r="Z12" s="224"/>
      <c r="AA12" s="224"/>
      <c r="AB12" s="224"/>
      <c r="AC12" s="207"/>
      <c r="AD12" s="253"/>
      <c r="AE12" s="254"/>
      <c r="AF12" s="254"/>
      <c r="AG12" s="254"/>
      <c r="AH12" s="254"/>
      <c r="AI12" s="254"/>
      <c r="AJ12" s="254"/>
      <c r="AK12" s="254"/>
      <c r="AL12" s="254"/>
      <c r="AM12" s="254"/>
      <c r="AN12" s="254"/>
      <c r="AO12" s="254"/>
      <c r="AP12" s="254"/>
      <c r="AQ12" s="254"/>
      <c r="AR12" s="254"/>
      <c r="AS12" s="254"/>
      <c r="AT12" s="254"/>
      <c r="AU12" s="254"/>
    </row>
    <row r="13" spans="1:53" s="8" customFormat="1" ht="20.25" customHeight="1">
      <c r="A13" s="206">
        <v>7</v>
      </c>
      <c r="B13" s="207"/>
      <c r="C13" s="11" t="s">
        <v>24</v>
      </c>
      <c r="D13" s="12"/>
      <c r="E13" s="39"/>
      <c r="F13" s="13"/>
      <c r="G13" s="14"/>
      <c r="H13" s="14"/>
      <c r="I13" s="14"/>
      <c r="J13" s="14"/>
      <c r="K13" s="14"/>
      <c r="L13" s="14"/>
      <c r="M13" s="14"/>
      <c r="N13" s="14"/>
      <c r="O13" s="14"/>
      <c r="P13" s="14"/>
      <c r="Q13" s="14"/>
      <c r="R13" s="14"/>
      <c r="S13" s="14"/>
      <c r="T13" s="14"/>
      <c r="U13" s="14"/>
      <c r="V13" s="14"/>
      <c r="W13" s="15"/>
      <c r="X13" s="206" t="s">
        <v>10</v>
      </c>
      <c r="Y13" s="224"/>
      <c r="Z13" s="224"/>
      <c r="AA13" s="224"/>
      <c r="AB13" s="224"/>
      <c r="AC13" s="207"/>
      <c r="AD13" s="16"/>
      <c r="AE13" s="16"/>
      <c r="AF13" s="16"/>
      <c r="AG13" s="16"/>
      <c r="AH13" s="16"/>
      <c r="AI13" s="16"/>
      <c r="AJ13" s="16"/>
      <c r="AK13" s="16"/>
      <c r="AL13" s="16"/>
      <c r="AM13" s="16"/>
      <c r="AN13" s="16"/>
      <c r="AO13" s="16"/>
      <c r="AP13" s="16"/>
      <c r="AQ13" s="16"/>
      <c r="AR13" s="16"/>
      <c r="AS13" s="16"/>
      <c r="AT13" s="16"/>
    </row>
    <row r="14" spans="1:53" s="8" customFormat="1" ht="63" customHeight="1">
      <c r="A14" s="206">
        <v>8</v>
      </c>
      <c r="B14" s="207"/>
      <c r="C14" s="40" t="s">
        <v>91</v>
      </c>
      <c r="D14" s="32"/>
      <c r="E14" s="32"/>
      <c r="F14" s="35"/>
      <c r="G14" s="35"/>
      <c r="H14" s="35"/>
      <c r="I14" s="35"/>
      <c r="J14" s="35"/>
      <c r="K14" s="35"/>
      <c r="L14" s="35"/>
      <c r="M14" s="35"/>
      <c r="N14" s="35"/>
      <c r="O14" s="35"/>
      <c r="P14" s="35"/>
      <c r="Q14" s="35"/>
      <c r="R14" s="35"/>
      <c r="S14" s="35"/>
      <c r="T14" s="35"/>
      <c r="U14" s="35"/>
      <c r="V14" s="35"/>
      <c r="W14" s="36"/>
      <c r="X14" s="206" t="s">
        <v>10</v>
      </c>
      <c r="Y14" s="224"/>
      <c r="Z14" s="224"/>
      <c r="AA14" s="224"/>
      <c r="AB14" s="224"/>
      <c r="AC14" s="207"/>
      <c r="AD14" s="244"/>
      <c r="AE14" s="245"/>
      <c r="AF14" s="245"/>
      <c r="AG14" s="245"/>
      <c r="AH14" s="245"/>
      <c r="AI14" s="245"/>
      <c r="AJ14" s="245"/>
      <c r="AK14" s="245"/>
      <c r="AL14" s="245"/>
      <c r="AM14" s="245"/>
      <c r="AN14" s="245"/>
      <c r="AO14" s="245"/>
      <c r="AP14" s="245"/>
      <c r="AQ14" s="245"/>
      <c r="AR14" s="245"/>
      <c r="AS14" s="245"/>
      <c r="AT14" s="245"/>
      <c r="AU14" s="245"/>
      <c r="AV14" s="245"/>
      <c r="AW14" s="245"/>
      <c r="AX14" s="245"/>
      <c r="AY14" s="245"/>
      <c r="AZ14" s="61"/>
      <c r="BA14" s="61"/>
    </row>
    <row r="15" spans="1:53" s="8" customFormat="1" ht="20.25" customHeight="1">
      <c r="A15" s="206">
        <v>9</v>
      </c>
      <c r="B15" s="207"/>
      <c r="C15" s="37" t="s">
        <v>92</v>
      </c>
      <c r="D15" s="12"/>
      <c r="E15" s="12"/>
      <c r="F15" s="14"/>
      <c r="G15" s="14"/>
      <c r="H15" s="14"/>
      <c r="I15" s="14"/>
      <c r="J15" s="14"/>
      <c r="K15" s="14"/>
      <c r="L15" s="14"/>
      <c r="M15" s="14"/>
      <c r="N15" s="14"/>
      <c r="O15" s="14"/>
      <c r="P15" s="14"/>
      <c r="Q15" s="14"/>
      <c r="R15" s="14"/>
      <c r="S15" s="14"/>
      <c r="T15" s="14"/>
      <c r="U15" s="14"/>
      <c r="V15" s="14"/>
      <c r="W15" s="15"/>
      <c r="X15" s="206" t="s">
        <v>10</v>
      </c>
      <c r="Y15" s="224"/>
      <c r="Z15" s="224"/>
      <c r="AA15" s="224"/>
      <c r="AB15" s="224"/>
      <c r="AC15" s="207"/>
      <c r="AD15" s="16"/>
      <c r="AE15" s="16"/>
      <c r="AF15" s="16"/>
      <c r="AG15" s="16"/>
      <c r="AH15" s="16"/>
      <c r="AI15" s="16"/>
      <c r="AJ15" s="16"/>
      <c r="AK15" s="16"/>
      <c r="AL15" s="16"/>
      <c r="AM15" s="16"/>
      <c r="AN15" s="16"/>
      <c r="AO15" s="16"/>
      <c r="AP15" s="16"/>
      <c r="AQ15" s="16"/>
      <c r="AR15" s="16"/>
      <c r="AS15" s="16"/>
      <c r="AT15" s="16"/>
    </row>
    <row r="16" spans="1:53" s="8" customFormat="1" ht="20.25" customHeight="1">
      <c r="A16" s="206">
        <v>10</v>
      </c>
      <c r="B16" s="207"/>
      <c r="C16" s="37" t="s">
        <v>93</v>
      </c>
      <c r="D16" s="12"/>
      <c r="E16" s="12"/>
      <c r="F16" s="14"/>
      <c r="G16" s="14"/>
      <c r="H16" s="14"/>
      <c r="I16" s="14"/>
      <c r="J16" s="14"/>
      <c r="K16" s="14"/>
      <c r="L16" s="14"/>
      <c r="M16" s="14"/>
      <c r="N16" s="14"/>
      <c r="O16" s="14"/>
      <c r="P16" s="14"/>
      <c r="Q16" s="14"/>
      <c r="R16" s="14"/>
      <c r="S16" s="14"/>
      <c r="T16" s="14"/>
      <c r="U16" s="14"/>
      <c r="V16" s="14"/>
      <c r="W16" s="15"/>
      <c r="X16" s="206" t="s">
        <v>10</v>
      </c>
      <c r="Y16" s="224"/>
      <c r="Z16" s="224"/>
      <c r="AA16" s="224"/>
      <c r="AB16" s="224"/>
      <c r="AC16" s="207"/>
      <c r="AD16" s="16"/>
      <c r="AE16" s="16"/>
      <c r="AF16" s="16"/>
      <c r="AG16" s="16"/>
      <c r="AH16" s="16"/>
      <c r="AI16" s="16"/>
      <c r="AJ16" s="16"/>
      <c r="AK16" s="16"/>
      <c r="AL16" s="16"/>
      <c r="AM16" s="16"/>
      <c r="AN16" s="16"/>
      <c r="AO16" s="16"/>
      <c r="AP16" s="16"/>
      <c r="AQ16" s="16"/>
      <c r="AR16" s="16"/>
      <c r="AS16" s="16"/>
      <c r="AT16" s="16"/>
    </row>
    <row r="17" spans="1:51" s="8" customFormat="1" ht="20.25" customHeight="1">
      <c r="A17" s="206">
        <v>11</v>
      </c>
      <c r="B17" s="207"/>
      <c r="C17" s="37" t="s">
        <v>94</v>
      </c>
      <c r="D17" s="12"/>
      <c r="E17" s="12"/>
      <c r="F17" s="14"/>
      <c r="G17" s="14"/>
      <c r="H17" s="14"/>
      <c r="I17" s="14"/>
      <c r="J17" s="14"/>
      <c r="K17" s="14"/>
      <c r="L17" s="14"/>
      <c r="M17" s="14"/>
      <c r="N17" s="14"/>
      <c r="O17" s="14"/>
      <c r="P17" s="14"/>
      <c r="Q17" s="14"/>
      <c r="R17" s="14"/>
      <c r="S17" s="14"/>
      <c r="T17" s="14"/>
      <c r="U17" s="14"/>
      <c r="V17" s="14"/>
      <c r="W17" s="15"/>
      <c r="X17" s="206" t="s">
        <v>10</v>
      </c>
      <c r="Y17" s="224"/>
      <c r="Z17" s="224"/>
      <c r="AA17" s="224"/>
      <c r="AB17" s="224"/>
      <c r="AC17" s="207"/>
      <c r="AD17" s="244"/>
      <c r="AE17" s="245"/>
      <c r="AF17" s="245"/>
      <c r="AG17" s="245"/>
      <c r="AH17" s="245"/>
      <c r="AI17" s="245"/>
      <c r="AJ17" s="245"/>
      <c r="AK17" s="245"/>
      <c r="AL17" s="245"/>
      <c r="AM17" s="245"/>
      <c r="AN17" s="245"/>
      <c r="AO17" s="245"/>
      <c r="AP17" s="245"/>
      <c r="AQ17" s="245"/>
      <c r="AR17" s="245"/>
      <c r="AS17" s="245"/>
      <c r="AT17" s="245"/>
      <c r="AU17" s="245"/>
      <c r="AV17" s="245"/>
      <c r="AW17" s="245"/>
      <c r="AX17" s="245"/>
      <c r="AY17" s="245"/>
    </row>
    <row r="18" spans="1:51" s="8" customFormat="1" ht="20.25" customHeight="1">
      <c r="A18" s="206">
        <v>12</v>
      </c>
      <c r="B18" s="207"/>
      <c r="C18" s="37" t="s">
        <v>95</v>
      </c>
      <c r="D18" s="12"/>
      <c r="E18" s="12"/>
      <c r="F18" s="14"/>
      <c r="G18" s="14"/>
      <c r="H18" s="14"/>
      <c r="I18" s="14"/>
      <c r="J18" s="14"/>
      <c r="K18" s="14"/>
      <c r="L18" s="14"/>
      <c r="M18" s="14"/>
      <c r="N18" s="14"/>
      <c r="O18" s="14"/>
      <c r="P18" s="14"/>
      <c r="Q18" s="14"/>
      <c r="R18" s="14"/>
      <c r="S18" s="14"/>
      <c r="T18" s="14"/>
      <c r="U18" s="14"/>
      <c r="V18" s="14"/>
      <c r="W18" s="15"/>
      <c r="X18" s="206" t="s">
        <v>10</v>
      </c>
      <c r="Y18" s="224"/>
      <c r="Z18" s="224"/>
      <c r="AA18" s="224"/>
      <c r="AB18" s="224"/>
      <c r="AC18" s="207"/>
      <c r="AD18" s="16"/>
      <c r="AE18" s="16"/>
      <c r="AF18" s="16"/>
      <c r="AG18" s="16"/>
      <c r="AH18" s="16"/>
      <c r="AI18" s="16"/>
      <c r="AJ18" s="16"/>
      <c r="AK18" s="16"/>
      <c r="AL18" s="16"/>
      <c r="AM18" s="16"/>
      <c r="AN18" s="16"/>
      <c r="AO18" s="16"/>
      <c r="AP18" s="16"/>
      <c r="AQ18" s="16"/>
      <c r="AR18" s="16"/>
      <c r="AS18" s="16"/>
      <c r="AT18" s="16"/>
    </row>
    <row r="19" spans="1:51" s="8" customFormat="1" ht="20.25" customHeight="1">
      <c r="A19" s="206">
        <v>13</v>
      </c>
      <c r="B19" s="207"/>
      <c r="C19" s="11" t="s">
        <v>12</v>
      </c>
      <c r="D19" s="12"/>
      <c r="E19" s="12"/>
      <c r="F19" s="13"/>
      <c r="G19" s="14"/>
      <c r="H19" s="14"/>
      <c r="I19" s="14"/>
      <c r="J19" s="14"/>
      <c r="K19" s="14"/>
      <c r="L19" s="14"/>
      <c r="M19" s="14"/>
      <c r="N19" s="14"/>
      <c r="O19" s="14"/>
      <c r="P19" s="14"/>
      <c r="Q19" s="14"/>
      <c r="R19" s="14"/>
      <c r="S19" s="14"/>
      <c r="T19" s="14"/>
      <c r="U19" s="14"/>
      <c r="V19" s="14"/>
      <c r="W19" s="15"/>
      <c r="X19" s="206" t="s">
        <v>173</v>
      </c>
      <c r="Y19" s="224"/>
      <c r="Z19" s="224"/>
      <c r="AA19" s="224"/>
      <c r="AB19" s="224"/>
      <c r="AC19" s="207"/>
      <c r="AD19" s="16"/>
      <c r="AE19" s="16"/>
      <c r="AF19" s="16"/>
      <c r="AG19" s="16"/>
      <c r="AH19" s="16"/>
      <c r="AI19" s="16"/>
      <c r="AJ19" s="16"/>
      <c r="AK19" s="16"/>
      <c r="AL19" s="16"/>
      <c r="AM19" s="16"/>
      <c r="AN19" s="16"/>
      <c r="AO19" s="16"/>
      <c r="AP19" s="16"/>
      <c r="AQ19" s="16"/>
      <c r="AR19" s="16"/>
      <c r="AS19" s="16"/>
      <c r="AT19" s="16"/>
    </row>
    <row r="20" spans="1:51" s="8" customFormat="1" ht="20.25" customHeight="1">
      <c r="A20" s="206">
        <v>14</v>
      </c>
      <c r="B20" s="207"/>
      <c r="C20" s="11" t="s">
        <v>96</v>
      </c>
      <c r="D20" s="12"/>
      <c r="E20" s="12"/>
      <c r="F20" s="13"/>
      <c r="G20" s="14"/>
      <c r="H20" s="14"/>
      <c r="I20" s="14"/>
      <c r="J20" s="14"/>
      <c r="K20" s="14"/>
      <c r="L20" s="14"/>
      <c r="M20" s="14"/>
      <c r="N20" s="14"/>
      <c r="O20" s="14"/>
      <c r="P20" s="14"/>
      <c r="Q20" s="14"/>
      <c r="R20" s="14"/>
      <c r="S20" s="14"/>
      <c r="T20" s="14"/>
      <c r="U20" s="14"/>
      <c r="V20" s="14"/>
      <c r="W20" s="15"/>
      <c r="X20" s="206" t="s">
        <v>173</v>
      </c>
      <c r="Y20" s="224"/>
      <c r="Z20" s="224"/>
      <c r="AA20" s="224"/>
      <c r="AB20" s="224"/>
      <c r="AC20" s="207"/>
      <c r="AD20" s="16"/>
      <c r="AE20" s="16"/>
      <c r="AF20" s="16"/>
      <c r="AG20" s="16"/>
      <c r="AH20" s="16"/>
      <c r="AI20" s="16"/>
      <c r="AJ20" s="16"/>
      <c r="AK20" s="16"/>
      <c r="AL20" s="16"/>
      <c r="AM20" s="16"/>
      <c r="AN20" s="16"/>
      <c r="AO20" s="16"/>
      <c r="AP20" s="16"/>
      <c r="AQ20" s="16"/>
      <c r="AR20" s="16"/>
      <c r="AS20" s="16"/>
      <c r="AT20" s="16"/>
    </row>
    <row r="21" spans="1:51" s="8" customFormat="1" ht="20.25" customHeight="1">
      <c r="A21" s="206">
        <v>15</v>
      </c>
      <c r="B21" s="207"/>
      <c r="C21" s="40" t="s">
        <v>97</v>
      </c>
      <c r="D21" s="12"/>
      <c r="E21" s="12"/>
      <c r="F21" s="35"/>
      <c r="G21" s="35"/>
      <c r="H21" s="35"/>
      <c r="I21" s="35"/>
      <c r="J21" s="35"/>
      <c r="K21" s="35"/>
      <c r="L21" s="35"/>
      <c r="M21" s="14"/>
      <c r="N21" s="14"/>
      <c r="O21" s="14"/>
      <c r="P21" s="14"/>
      <c r="Q21" s="14"/>
      <c r="R21" s="14"/>
      <c r="S21" s="14"/>
      <c r="T21" s="14"/>
      <c r="U21" s="14"/>
      <c r="V21" s="14"/>
      <c r="W21" s="15"/>
      <c r="X21" s="206" t="s">
        <v>173</v>
      </c>
      <c r="Y21" s="224"/>
      <c r="Z21" s="224"/>
      <c r="AA21" s="224"/>
      <c r="AB21" s="224"/>
      <c r="AC21" s="207"/>
      <c r="AD21" s="16"/>
      <c r="AE21" s="16"/>
      <c r="AF21" s="16"/>
      <c r="AG21" s="16"/>
      <c r="AH21" s="16"/>
      <c r="AI21" s="16"/>
      <c r="AJ21" s="16"/>
      <c r="AK21" s="16"/>
      <c r="AL21" s="16"/>
      <c r="AM21" s="16"/>
      <c r="AN21" s="16"/>
      <c r="AO21" s="16"/>
      <c r="AP21" s="16"/>
      <c r="AQ21" s="16"/>
      <c r="AR21" s="16"/>
      <c r="AS21" s="16"/>
      <c r="AT21" s="16"/>
    </row>
    <row r="22" spans="1:51" s="8" customFormat="1" ht="20.25" customHeight="1">
      <c r="A22" s="206">
        <v>16</v>
      </c>
      <c r="B22" s="207"/>
      <c r="C22" s="40" t="s">
        <v>98</v>
      </c>
      <c r="D22" s="12"/>
      <c r="E22" s="12"/>
      <c r="F22" s="35"/>
      <c r="G22" s="35"/>
      <c r="H22" s="35"/>
      <c r="I22" s="35"/>
      <c r="J22" s="35"/>
      <c r="K22" s="35"/>
      <c r="L22" s="35"/>
      <c r="M22" s="35"/>
      <c r="N22" s="35"/>
      <c r="O22" s="14"/>
      <c r="P22" s="14"/>
      <c r="Q22" s="14"/>
      <c r="R22" s="14"/>
      <c r="S22" s="14"/>
      <c r="T22" s="14"/>
      <c r="U22" s="14"/>
      <c r="V22" s="14"/>
      <c r="W22" s="15"/>
      <c r="X22" s="206" t="s">
        <v>173</v>
      </c>
      <c r="Y22" s="224"/>
      <c r="Z22" s="224"/>
      <c r="AA22" s="224"/>
      <c r="AB22" s="224"/>
      <c r="AC22" s="207"/>
      <c r="AD22" s="16"/>
      <c r="AE22" s="16"/>
      <c r="AF22" s="16"/>
      <c r="AG22" s="16"/>
      <c r="AH22" s="16"/>
      <c r="AI22" s="16"/>
      <c r="AJ22" s="16"/>
      <c r="AK22" s="16"/>
      <c r="AL22" s="16"/>
      <c r="AM22" s="16"/>
      <c r="AN22" s="16"/>
      <c r="AO22" s="16"/>
      <c r="AP22" s="16"/>
      <c r="AQ22" s="16"/>
      <c r="AR22" s="16"/>
      <c r="AS22" s="16"/>
      <c r="AT22" s="16"/>
    </row>
    <row r="23" spans="1:51" s="8" customFormat="1" ht="20.25" customHeight="1">
      <c r="A23" s="206">
        <v>17</v>
      </c>
      <c r="B23" s="207"/>
      <c r="C23" s="37" t="s">
        <v>99</v>
      </c>
      <c r="D23" s="12"/>
      <c r="E23" s="12"/>
      <c r="F23" s="14"/>
      <c r="G23" s="14"/>
      <c r="H23" s="14"/>
      <c r="I23" s="14"/>
      <c r="J23" s="14"/>
      <c r="K23" s="14"/>
      <c r="L23" s="14"/>
      <c r="M23" s="14"/>
      <c r="N23" s="14"/>
      <c r="O23" s="14"/>
      <c r="P23" s="14"/>
      <c r="Q23" s="14"/>
      <c r="R23" s="14"/>
      <c r="S23" s="14"/>
      <c r="T23" s="14"/>
      <c r="U23" s="14"/>
      <c r="V23" s="14"/>
      <c r="W23" s="15"/>
      <c r="X23" s="206" t="s">
        <v>173</v>
      </c>
      <c r="Y23" s="224"/>
      <c r="Z23" s="224"/>
      <c r="AA23" s="224"/>
      <c r="AB23" s="224"/>
      <c r="AC23" s="207"/>
      <c r="AD23" s="253"/>
      <c r="AE23" s="254"/>
      <c r="AF23" s="254"/>
      <c r="AG23" s="254"/>
      <c r="AH23" s="254"/>
      <c r="AI23" s="254"/>
      <c r="AJ23" s="254"/>
      <c r="AK23" s="254"/>
      <c r="AL23" s="254"/>
      <c r="AM23" s="254"/>
      <c r="AN23" s="254"/>
      <c r="AO23" s="254"/>
      <c r="AP23" s="254"/>
      <c r="AQ23" s="254"/>
      <c r="AR23" s="254"/>
      <c r="AS23" s="254"/>
      <c r="AT23" s="254"/>
      <c r="AU23" s="254"/>
    </row>
    <row r="24" spans="1:51" s="8" customFormat="1" ht="20.25" customHeight="1">
      <c r="A24" s="206">
        <v>18</v>
      </c>
      <c r="B24" s="207"/>
      <c r="C24" s="31" t="s">
        <v>100</v>
      </c>
      <c r="D24" s="12"/>
      <c r="E24" s="12"/>
      <c r="F24" s="51"/>
      <c r="G24" s="14"/>
      <c r="H24" s="14"/>
      <c r="I24" s="14"/>
      <c r="J24" s="14"/>
      <c r="K24" s="14"/>
      <c r="L24" s="14"/>
      <c r="M24" s="14"/>
      <c r="N24" s="14"/>
      <c r="O24" s="14"/>
      <c r="P24" s="14"/>
      <c r="Q24" s="14"/>
      <c r="R24" s="14"/>
      <c r="S24" s="14"/>
      <c r="T24" s="14"/>
      <c r="U24" s="14"/>
      <c r="V24" s="14"/>
      <c r="W24" s="15"/>
      <c r="X24" s="206" t="s">
        <v>173</v>
      </c>
      <c r="Y24" s="224"/>
      <c r="Z24" s="224"/>
      <c r="AA24" s="224"/>
      <c r="AB24" s="224"/>
      <c r="AC24" s="207"/>
      <c r="AD24" s="16"/>
      <c r="AE24" s="16"/>
      <c r="AF24" s="16"/>
      <c r="AG24" s="16"/>
      <c r="AH24" s="16"/>
      <c r="AI24" s="16"/>
      <c r="AJ24" s="16"/>
      <c r="AK24" s="16"/>
      <c r="AL24" s="16"/>
      <c r="AM24" s="16"/>
      <c r="AN24" s="16"/>
      <c r="AO24" s="16"/>
      <c r="AP24" s="16"/>
      <c r="AQ24" s="16"/>
      <c r="AR24" s="16"/>
      <c r="AS24" s="16"/>
      <c r="AT24" s="16"/>
    </row>
    <row r="25" spans="1:51" s="8" customFormat="1" ht="20.25" customHeight="1">
      <c r="A25" s="206">
        <v>19</v>
      </c>
      <c r="B25" s="207"/>
      <c r="C25" s="37" t="s">
        <v>101</v>
      </c>
      <c r="D25" s="12"/>
      <c r="E25" s="12"/>
      <c r="F25" s="14"/>
      <c r="G25" s="14"/>
      <c r="H25" s="14"/>
      <c r="I25" s="14"/>
      <c r="J25" s="14"/>
      <c r="K25" s="35"/>
      <c r="L25" s="35"/>
      <c r="M25" s="35"/>
      <c r="N25" s="35"/>
      <c r="O25" s="35"/>
      <c r="P25" s="35"/>
      <c r="Q25" s="35"/>
      <c r="R25" s="35"/>
      <c r="S25" s="35"/>
      <c r="T25" s="35"/>
      <c r="U25" s="14"/>
      <c r="V25" s="14"/>
      <c r="W25" s="15"/>
      <c r="X25" s="206" t="s">
        <v>173</v>
      </c>
      <c r="Y25" s="224"/>
      <c r="Z25" s="224"/>
      <c r="AA25" s="224"/>
      <c r="AB25" s="224"/>
      <c r="AC25" s="207"/>
      <c r="AD25" s="16"/>
      <c r="AE25" s="16"/>
      <c r="AF25" s="16"/>
      <c r="AG25" s="16"/>
      <c r="AH25" s="16"/>
      <c r="AI25" s="16"/>
      <c r="AJ25" s="16"/>
      <c r="AK25" s="16"/>
      <c r="AL25" s="16"/>
      <c r="AM25" s="16"/>
      <c r="AN25" s="16"/>
      <c r="AO25" s="16"/>
      <c r="AP25" s="16"/>
      <c r="AQ25" s="16"/>
      <c r="AR25" s="16"/>
      <c r="AS25" s="16"/>
      <c r="AT25" s="16"/>
    </row>
    <row r="26" spans="1:51" s="8" customFormat="1" ht="20.25" customHeight="1">
      <c r="A26" s="206">
        <v>20</v>
      </c>
      <c r="B26" s="207"/>
      <c r="C26" s="11" t="s">
        <v>13</v>
      </c>
      <c r="D26" s="12"/>
      <c r="E26" s="12"/>
      <c r="F26" s="50"/>
      <c r="G26" s="14"/>
      <c r="H26" s="14"/>
      <c r="I26" s="14"/>
      <c r="J26" s="14"/>
      <c r="K26" s="14"/>
      <c r="L26" s="14"/>
      <c r="M26" s="14"/>
      <c r="N26" s="14"/>
      <c r="O26" s="14"/>
      <c r="P26" s="14"/>
      <c r="Q26" s="14"/>
      <c r="R26" s="14"/>
      <c r="S26" s="14"/>
      <c r="T26" s="14"/>
      <c r="U26" s="35"/>
      <c r="V26" s="35"/>
      <c r="W26" s="15"/>
      <c r="X26" s="206" t="s">
        <v>173</v>
      </c>
      <c r="Y26" s="224"/>
      <c r="Z26" s="224"/>
      <c r="AA26" s="224"/>
      <c r="AB26" s="224"/>
      <c r="AC26" s="207"/>
      <c r="AD26" s="16"/>
      <c r="AE26" s="16"/>
      <c r="AF26" s="16"/>
      <c r="AG26" s="16"/>
      <c r="AH26" s="16"/>
      <c r="AI26" s="16"/>
      <c r="AJ26" s="16"/>
      <c r="AK26" s="16"/>
      <c r="AL26" s="16"/>
      <c r="AM26" s="16"/>
      <c r="AN26" s="16"/>
      <c r="AO26" s="16"/>
      <c r="AP26" s="16"/>
      <c r="AQ26" s="16"/>
      <c r="AR26" s="16"/>
      <c r="AS26" s="16"/>
      <c r="AT26" s="16"/>
    </row>
    <row r="27" spans="1:51" s="8" customFormat="1" ht="20.25" customHeight="1">
      <c r="A27" s="206">
        <v>21</v>
      </c>
      <c r="B27" s="207"/>
      <c r="C27" s="31" t="s">
        <v>14</v>
      </c>
      <c r="D27" s="12"/>
      <c r="E27" s="12"/>
      <c r="F27" s="51"/>
      <c r="G27" s="35"/>
      <c r="H27" s="35"/>
      <c r="I27" s="35"/>
      <c r="J27" s="35"/>
      <c r="K27" s="35"/>
      <c r="L27" s="35"/>
      <c r="M27" s="35"/>
      <c r="N27" s="35"/>
      <c r="O27" s="35"/>
      <c r="P27" s="35"/>
      <c r="Q27" s="35"/>
      <c r="R27" s="35"/>
      <c r="S27" s="35"/>
      <c r="T27" s="35"/>
      <c r="U27" s="14"/>
      <c r="V27" s="14"/>
      <c r="W27" s="15"/>
      <c r="X27" s="206" t="s">
        <v>173</v>
      </c>
      <c r="Y27" s="224"/>
      <c r="Z27" s="224"/>
      <c r="AA27" s="224"/>
      <c r="AB27" s="224"/>
      <c r="AC27" s="207"/>
      <c r="AD27" s="16"/>
      <c r="AE27" s="16"/>
      <c r="AF27" s="16"/>
      <c r="AG27" s="16"/>
      <c r="AH27" s="16"/>
      <c r="AI27" s="16"/>
      <c r="AJ27" s="16"/>
      <c r="AK27" s="16"/>
      <c r="AL27" s="16"/>
      <c r="AM27" s="16"/>
      <c r="AN27" s="16"/>
      <c r="AO27" s="16"/>
      <c r="AP27" s="16"/>
      <c r="AQ27" s="16"/>
      <c r="AR27" s="16"/>
      <c r="AS27" s="16"/>
      <c r="AT27" s="16"/>
    </row>
    <row r="28" spans="1:51" s="8" customFormat="1" ht="20.25" customHeight="1">
      <c r="A28" s="206">
        <v>22</v>
      </c>
      <c r="B28" s="207"/>
      <c r="C28" s="11" t="s">
        <v>15</v>
      </c>
      <c r="D28" s="12"/>
      <c r="E28" s="12"/>
      <c r="F28" s="50"/>
      <c r="G28" s="14"/>
      <c r="H28" s="14"/>
      <c r="I28" s="14"/>
      <c r="J28" s="14"/>
      <c r="K28" s="14"/>
      <c r="L28" s="14"/>
      <c r="M28" s="14"/>
      <c r="N28" s="14"/>
      <c r="O28" s="14"/>
      <c r="P28" s="14"/>
      <c r="Q28" s="14"/>
      <c r="R28" s="14"/>
      <c r="S28" s="14"/>
      <c r="T28" s="14"/>
      <c r="U28" s="35"/>
      <c r="V28" s="35"/>
      <c r="W28" s="15"/>
      <c r="X28" s="206" t="s">
        <v>173</v>
      </c>
      <c r="Y28" s="224"/>
      <c r="Z28" s="224"/>
      <c r="AA28" s="224"/>
      <c r="AB28" s="224"/>
      <c r="AC28" s="207"/>
      <c r="AD28" s="16"/>
      <c r="AE28" s="16"/>
      <c r="AF28" s="16"/>
      <c r="AG28" s="16"/>
      <c r="AH28" s="16"/>
      <c r="AI28" s="16"/>
      <c r="AJ28" s="16"/>
      <c r="AK28" s="16"/>
      <c r="AL28" s="16"/>
      <c r="AM28" s="16"/>
      <c r="AN28" s="16"/>
      <c r="AO28" s="16"/>
      <c r="AP28" s="16"/>
      <c r="AQ28" s="16"/>
      <c r="AR28" s="16"/>
      <c r="AS28" s="16"/>
      <c r="AT28" s="16"/>
    </row>
    <row r="29" spans="1:51" s="8" customFormat="1" ht="20.25" customHeight="1">
      <c r="A29" s="206">
        <v>23</v>
      </c>
      <c r="B29" s="207"/>
      <c r="C29" s="11" t="s">
        <v>16</v>
      </c>
      <c r="D29" s="12"/>
      <c r="E29" s="12"/>
      <c r="F29" s="13"/>
      <c r="G29" s="14"/>
      <c r="H29" s="14"/>
      <c r="I29" s="14"/>
      <c r="J29" s="14"/>
      <c r="K29" s="14"/>
      <c r="L29" s="14"/>
      <c r="M29" s="14"/>
      <c r="N29" s="14"/>
      <c r="O29" s="14"/>
      <c r="P29" s="14"/>
      <c r="Q29" s="14"/>
      <c r="R29" s="14"/>
      <c r="S29" s="14"/>
      <c r="T29" s="14"/>
      <c r="U29" s="14"/>
      <c r="V29" s="14"/>
      <c r="W29" s="15"/>
      <c r="X29" s="206" t="s">
        <v>173</v>
      </c>
      <c r="Y29" s="224"/>
      <c r="Z29" s="224"/>
      <c r="AA29" s="224"/>
      <c r="AB29" s="224"/>
      <c r="AC29" s="207"/>
      <c r="AD29" s="16"/>
      <c r="AE29" s="16"/>
      <c r="AF29" s="16"/>
      <c r="AG29" s="16"/>
      <c r="AH29" s="16"/>
      <c r="AI29" s="16"/>
      <c r="AJ29" s="16"/>
      <c r="AK29" s="16"/>
      <c r="AL29" s="16"/>
      <c r="AM29" s="16"/>
      <c r="AN29" s="16"/>
      <c r="AO29" s="16"/>
      <c r="AP29" s="16"/>
      <c r="AQ29" s="16"/>
      <c r="AR29" s="16"/>
      <c r="AS29" s="16"/>
      <c r="AT29" s="16"/>
    </row>
    <row r="30" spans="1:51" s="8" customFormat="1" ht="20.25" customHeight="1">
      <c r="A30" s="206">
        <v>24</v>
      </c>
      <c r="B30" s="207"/>
      <c r="C30" s="37" t="s">
        <v>102</v>
      </c>
      <c r="D30" s="12"/>
      <c r="E30" s="12"/>
      <c r="F30" s="14"/>
      <c r="G30" s="14"/>
      <c r="H30" s="14"/>
      <c r="I30" s="14"/>
      <c r="J30" s="14"/>
      <c r="K30" s="14"/>
      <c r="L30" s="14"/>
      <c r="M30" s="14"/>
      <c r="N30" s="14"/>
      <c r="O30" s="14"/>
      <c r="P30" s="14"/>
      <c r="Q30" s="14"/>
      <c r="R30" s="14"/>
      <c r="S30" s="14"/>
      <c r="T30" s="14"/>
      <c r="U30" s="14"/>
      <c r="V30" s="14"/>
      <c r="W30" s="15"/>
      <c r="X30" s="206" t="s">
        <v>173</v>
      </c>
      <c r="Y30" s="224"/>
      <c r="Z30" s="224"/>
      <c r="AA30" s="224"/>
      <c r="AB30" s="224"/>
      <c r="AC30" s="207"/>
      <c r="AD30" s="253"/>
      <c r="AE30" s="254"/>
      <c r="AF30" s="254"/>
      <c r="AG30" s="254"/>
      <c r="AH30" s="254"/>
      <c r="AI30" s="254"/>
      <c r="AJ30" s="254"/>
      <c r="AK30" s="254"/>
      <c r="AL30" s="254"/>
      <c r="AM30" s="254"/>
      <c r="AN30" s="254"/>
      <c r="AO30" s="254"/>
      <c r="AP30" s="254"/>
      <c r="AQ30" s="254"/>
      <c r="AR30" s="254"/>
      <c r="AS30" s="254"/>
      <c r="AT30" s="254"/>
      <c r="AU30" s="254"/>
    </row>
    <row r="31" spans="1:51" s="6" customFormat="1" ht="15">
      <c r="A31" s="3"/>
      <c r="B31" s="3"/>
      <c r="C31" s="3"/>
      <c r="D31" s="3"/>
      <c r="E31" s="3"/>
      <c r="F31" s="3"/>
      <c r="G31" s="3"/>
      <c r="H31" s="3"/>
      <c r="I31" s="3"/>
      <c r="J31" s="3"/>
      <c r="K31" s="3"/>
      <c r="L31" s="3"/>
      <c r="M31" s="3"/>
      <c r="N31" s="3"/>
      <c r="O31" s="3"/>
      <c r="P31" s="3"/>
      <c r="Q31" s="3"/>
      <c r="R31" s="3"/>
      <c r="S31" s="3"/>
      <c r="T31" s="3"/>
      <c r="U31" s="3"/>
      <c r="V31" s="3"/>
      <c r="W31" s="3"/>
      <c r="X31" s="229" t="s">
        <v>172</v>
      </c>
      <c r="Y31" s="229"/>
      <c r="Z31" s="229"/>
      <c r="AA31" s="229"/>
      <c r="AB31" s="229"/>
      <c r="AC31" s="229"/>
      <c r="AD31" s="5"/>
      <c r="AE31" s="5"/>
      <c r="AF31" s="5"/>
      <c r="AG31" s="5"/>
      <c r="AH31" s="5"/>
      <c r="AI31" s="5"/>
      <c r="AJ31" s="5"/>
      <c r="AK31" s="5"/>
      <c r="AL31" s="5"/>
      <c r="AM31" s="5"/>
      <c r="AN31" s="5"/>
      <c r="AO31" s="5"/>
      <c r="AP31" s="5"/>
      <c r="AQ31" s="5"/>
      <c r="AR31" s="5"/>
      <c r="AS31" s="5"/>
      <c r="AT31" s="5"/>
    </row>
    <row r="32" spans="1:51" s="6" customFormat="1" ht="15">
      <c r="A32" s="5"/>
      <c r="B32" s="5"/>
      <c r="C32" s="5"/>
      <c r="D32" s="5"/>
      <c r="E32" s="5"/>
      <c r="F32" s="5"/>
      <c r="G32" s="5"/>
      <c r="H32" s="5"/>
      <c r="I32" s="5"/>
      <c r="J32" s="5"/>
      <c r="K32" s="5"/>
      <c r="L32" s="5"/>
      <c r="M32" s="5"/>
      <c r="N32" s="5"/>
      <c r="O32" s="5"/>
      <c r="P32" s="5"/>
      <c r="Q32" s="5"/>
      <c r="R32" s="5"/>
      <c r="S32" s="5"/>
      <c r="T32" s="5"/>
      <c r="U32" s="5"/>
      <c r="V32" s="48">
        <f>24/24</f>
        <v>1</v>
      </c>
      <c r="W32" s="5"/>
      <c r="X32" s="228">
        <v>100</v>
      </c>
      <c r="Y32" s="228"/>
      <c r="Z32" s="228"/>
      <c r="AA32" s="228"/>
      <c r="AB32" s="228"/>
      <c r="AC32" s="228"/>
      <c r="AD32" s="5"/>
      <c r="AE32" s="5"/>
      <c r="AF32" s="5"/>
      <c r="AG32" s="5"/>
      <c r="AH32" s="5"/>
      <c r="AI32" s="5"/>
      <c r="AJ32" s="5"/>
      <c r="AK32" s="5"/>
      <c r="AL32" s="5"/>
      <c r="AM32" s="5"/>
      <c r="AN32" s="5"/>
      <c r="AO32" s="5"/>
      <c r="AP32" s="5"/>
      <c r="AQ32" s="5"/>
      <c r="AR32" s="5"/>
      <c r="AS32" s="5"/>
      <c r="AT32" s="5"/>
    </row>
    <row r="33" spans="1:46" s="6" customFormat="1" ht="15">
      <c r="A33" s="5"/>
      <c r="B33" s="5"/>
      <c r="C33" s="5"/>
      <c r="D33" s="5"/>
      <c r="E33" s="5"/>
      <c r="F33" s="5"/>
      <c r="G33" s="5"/>
      <c r="H33" s="5"/>
      <c r="I33" s="5"/>
      <c r="J33" s="5"/>
      <c r="K33" s="5"/>
      <c r="L33" s="5"/>
      <c r="M33" s="5"/>
      <c r="N33" s="5"/>
      <c r="O33" s="5"/>
      <c r="P33" s="5"/>
      <c r="Q33" s="5"/>
      <c r="R33" s="5"/>
      <c r="S33" s="5"/>
      <c r="T33" s="5"/>
      <c r="U33" s="5"/>
      <c r="W33" s="48"/>
      <c r="X33" s="5"/>
      <c r="Y33" s="5"/>
      <c r="Z33" s="5"/>
      <c r="AA33" s="5"/>
      <c r="AB33" s="5"/>
      <c r="AC33" s="5"/>
      <c r="AD33" s="5"/>
      <c r="AE33" s="5"/>
      <c r="AF33" s="5"/>
      <c r="AG33" s="5"/>
      <c r="AH33" s="5"/>
      <c r="AI33" s="5"/>
      <c r="AJ33" s="5"/>
      <c r="AK33" s="5"/>
      <c r="AL33" s="5"/>
      <c r="AM33" s="5"/>
      <c r="AN33" s="5"/>
      <c r="AO33" s="5"/>
      <c r="AP33" s="5"/>
      <c r="AQ33" s="5"/>
      <c r="AR33" s="5"/>
      <c r="AS33" s="5"/>
      <c r="AT33" s="5"/>
    </row>
    <row r="34" spans="1:46" s="6" customFormat="1" ht="1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row>
    <row r="35" spans="1:46" s="6" customFormat="1" ht="1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row>
    <row r="36" spans="1:46" s="6" customFormat="1" ht="1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row>
    <row r="37" spans="1:46" s="6" customFormat="1" ht="1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row>
    <row r="38" spans="1:46" s="6" customFormat="1" ht="1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row>
    <row r="39" spans="1:46" s="6" customFormat="1" ht="1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row>
    <row r="40" spans="1:46" s="6" customFormat="1" ht="1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row>
    <row r="41" spans="1:46" s="6" customFormat="1" ht="1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row>
    <row r="42" spans="1:46" s="6" customFormat="1" ht="1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row>
    <row r="43" spans="1:46" s="6" customFormat="1" ht="1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row>
    <row r="44" spans="1:46" s="6" customFormat="1" ht="1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row>
    <row r="45" spans="1:46" s="6" customFormat="1" ht="1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row>
    <row r="46" spans="1:46" s="6" customFormat="1" ht="1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row>
    <row r="47" spans="1:46" s="6" customFormat="1" ht="1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row>
    <row r="48" spans="1:46" s="6" customFormat="1" ht="1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row>
    <row r="49" s="6" customFormat="1"/>
    <row r="50" s="6" customFormat="1"/>
    <row r="51" s="6" customFormat="1"/>
    <row r="52" s="6" customFormat="1"/>
    <row r="53" s="6" customFormat="1"/>
    <row r="54" s="6" customFormat="1"/>
    <row r="55" s="6" customFormat="1"/>
    <row r="56" s="6" customFormat="1"/>
    <row r="57" s="6" customFormat="1"/>
    <row r="58" s="6" customFormat="1"/>
    <row r="59" s="6" customFormat="1"/>
    <row r="60" s="6" customFormat="1"/>
  </sheetData>
  <mergeCells count="76">
    <mergeCell ref="AD12:AU12"/>
    <mergeCell ref="AD23:AU23"/>
    <mergeCell ref="AD30:AU30"/>
    <mergeCell ref="AD17:AY17"/>
    <mergeCell ref="AD14:AY14"/>
    <mergeCell ref="X24:AC24"/>
    <mergeCell ref="A25:B25"/>
    <mergeCell ref="X25:AC25"/>
    <mergeCell ref="X31:AC31"/>
    <mergeCell ref="A29:B29"/>
    <mergeCell ref="X29:AC29"/>
    <mergeCell ref="A30:B30"/>
    <mergeCell ref="X30:AC30"/>
    <mergeCell ref="A20:B20"/>
    <mergeCell ref="X20:AC20"/>
    <mergeCell ref="A21:B21"/>
    <mergeCell ref="X32:AC32"/>
    <mergeCell ref="A26:B26"/>
    <mergeCell ref="X26:AC26"/>
    <mergeCell ref="A27:B27"/>
    <mergeCell ref="X27:AC27"/>
    <mergeCell ref="A28:B28"/>
    <mergeCell ref="X28:AC28"/>
    <mergeCell ref="X21:AC21"/>
    <mergeCell ref="A22:B22"/>
    <mergeCell ref="X22:AC22"/>
    <mergeCell ref="A23:B23"/>
    <mergeCell ref="X23:AC23"/>
    <mergeCell ref="A24:B24"/>
    <mergeCell ref="A17:B17"/>
    <mergeCell ref="X17:AC17"/>
    <mergeCell ref="A18:B18"/>
    <mergeCell ref="X18:AC18"/>
    <mergeCell ref="A19:B19"/>
    <mergeCell ref="X19:AC19"/>
    <mergeCell ref="A14:B14"/>
    <mergeCell ref="X14:AC14"/>
    <mergeCell ref="A15:B15"/>
    <mergeCell ref="X15:AC15"/>
    <mergeCell ref="A16:B16"/>
    <mergeCell ref="X16:AC16"/>
    <mergeCell ref="A13:B13"/>
    <mergeCell ref="X13:AC13"/>
    <mergeCell ref="A8:B8"/>
    <mergeCell ref="X8:AC8"/>
    <mergeCell ref="A9:B9"/>
    <mergeCell ref="X9:AC9"/>
    <mergeCell ref="A10:B10"/>
    <mergeCell ref="X10:AC10"/>
    <mergeCell ref="A11:B11"/>
    <mergeCell ref="X11:AC11"/>
    <mergeCell ref="A12:B12"/>
    <mergeCell ref="C12:W12"/>
    <mergeCell ref="X12:AC12"/>
    <mergeCell ref="A6:B6"/>
    <mergeCell ref="C6:W6"/>
    <mergeCell ref="X6:AC6"/>
    <mergeCell ref="A7:B7"/>
    <mergeCell ref="X7:AC7"/>
    <mergeCell ref="I3:V4"/>
    <mergeCell ref="A5:E5"/>
    <mergeCell ref="F5:J5"/>
    <mergeCell ref="K5:N5"/>
    <mergeCell ref="O5:S5"/>
    <mergeCell ref="T5:W5"/>
    <mergeCell ref="A1:E4"/>
    <mergeCell ref="F1:V2"/>
    <mergeCell ref="W1:W4"/>
    <mergeCell ref="F3:H4"/>
    <mergeCell ref="X5:AC5"/>
    <mergeCell ref="X1:Y1"/>
    <mergeCell ref="Z1:AA1"/>
    <mergeCell ref="AB1:AC1"/>
    <mergeCell ref="X2:Y4"/>
    <mergeCell ref="Z2:AA4"/>
    <mergeCell ref="AB2:AC4"/>
  </mergeCells>
  <conditionalFormatting sqref="X7:AC22 X24:AC30">
    <cfRule type="containsText" dxfId="5" priority="3" operator="containsText" text="보완">
      <formula>NOT(ISERROR(SEARCH("보완",X7)))</formula>
    </cfRule>
  </conditionalFormatting>
  <conditionalFormatting sqref="X23:AC23">
    <cfRule type="containsText" dxfId="4" priority="1" operator="containsText" text="보완">
      <formula>NOT(ISERROR(SEARCH("보완",X23)))</formula>
    </cfRule>
  </conditionalFormatting>
  <pageMargins left="0.7" right="0.7" top="0.75" bottom="0.75" header="0.3" footer="0.3"/>
  <pageSetup paperSize="9" scale="71" orientation="landscape" r:id="rId1"/>
  <colBreaks count="1" manualBreakCount="1">
    <brk id="29" max="31" man="1"/>
  </col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AV46"/>
  <sheetViews>
    <sheetView showGridLines="0" view="pageBreakPreview" zoomScaleNormal="100" zoomScaleSheetLayoutView="100" workbookViewId="0">
      <selection activeCell="C15" sqref="C15:W15"/>
    </sheetView>
  </sheetViews>
  <sheetFormatPr defaultColWidth="3.5703125" defaultRowHeight="13.5"/>
  <cols>
    <col min="1" max="21" width="3.5703125" style="4"/>
    <col min="22" max="22" width="4.5703125" style="4" bestFit="1" customWidth="1"/>
    <col min="23" max="23" width="3.5703125" style="4"/>
    <col min="24" max="29" width="4.85546875" style="4" customWidth="1"/>
    <col min="30" max="16384" width="3.5703125" style="4"/>
  </cols>
  <sheetData>
    <row r="1" spans="1:48" s="2" customFormat="1" ht="25.5" customHeight="1">
      <c r="A1" s="193"/>
      <c r="B1" s="194"/>
      <c r="C1" s="194"/>
      <c r="D1" s="194"/>
      <c r="E1" s="195"/>
      <c r="F1" s="202" t="s">
        <v>243</v>
      </c>
      <c r="G1" s="203"/>
      <c r="H1" s="203"/>
      <c r="I1" s="203"/>
      <c r="J1" s="203"/>
      <c r="K1" s="203"/>
      <c r="L1" s="203"/>
      <c r="M1" s="203"/>
      <c r="N1" s="203"/>
      <c r="O1" s="203"/>
      <c r="P1" s="203"/>
      <c r="Q1" s="203"/>
      <c r="R1" s="203"/>
      <c r="S1" s="203"/>
      <c r="T1" s="203"/>
      <c r="U1" s="203"/>
      <c r="V1" s="203"/>
      <c r="W1" s="204" t="s">
        <v>0</v>
      </c>
      <c r="X1" s="174" t="s">
        <v>1</v>
      </c>
      <c r="Y1" s="175"/>
      <c r="Z1" s="175" t="s">
        <v>2</v>
      </c>
      <c r="AA1" s="175"/>
      <c r="AB1" s="175" t="s">
        <v>3</v>
      </c>
      <c r="AC1" s="175"/>
      <c r="AD1" s="24"/>
      <c r="AE1" s="24"/>
      <c r="AF1" s="24"/>
      <c r="AG1" s="24"/>
      <c r="AH1" s="24"/>
      <c r="AI1" s="24"/>
    </row>
    <row r="2" spans="1:48" s="2" customFormat="1" ht="25.5" customHeight="1">
      <c r="A2" s="196"/>
      <c r="B2" s="197"/>
      <c r="C2" s="197"/>
      <c r="D2" s="197"/>
      <c r="E2" s="198"/>
      <c r="F2" s="203"/>
      <c r="G2" s="203"/>
      <c r="H2" s="203"/>
      <c r="I2" s="203"/>
      <c r="J2" s="203"/>
      <c r="K2" s="203"/>
      <c r="L2" s="203"/>
      <c r="M2" s="203"/>
      <c r="N2" s="203"/>
      <c r="O2" s="203"/>
      <c r="P2" s="203"/>
      <c r="Q2" s="203"/>
      <c r="R2" s="203"/>
      <c r="S2" s="203"/>
      <c r="T2" s="203"/>
      <c r="U2" s="203"/>
      <c r="V2" s="203"/>
      <c r="W2" s="204"/>
      <c r="X2" s="176" t="s">
        <v>252</v>
      </c>
      <c r="Y2" s="177"/>
      <c r="Z2" s="178"/>
      <c r="AA2" s="178"/>
      <c r="AB2" s="181" t="s">
        <v>253</v>
      </c>
      <c r="AC2" s="176"/>
      <c r="AD2" s="24"/>
      <c r="AE2" s="24"/>
      <c r="AF2" s="24"/>
      <c r="AG2" s="24"/>
      <c r="AH2" s="24"/>
      <c r="AI2" s="24"/>
    </row>
    <row r="3" spans="1:48" s="2" customFormat="1" ht="15.75" customHeight="1">
      <c r="A3" s="196"/>
      <c r="B3" s="197"/>
      <c r="C3" s="197"/>
      <c r="D3" s="197"/>
      <c r="E3" s="198"/>
      <c r="F3" s="175" t="s">
        <v>18</v>
      </c>
      <c r="G3" s="175"/>
      <c r="H3" s="175"/>
      <c r="I3" s="182" t="s">
        <v>103</v>
      </c>
      <c r="J3" s="183"/>
      <c r="K3" s="183"/>
      <c r="L3" s="183"/>
      <c r="M3" s="183"/>
      <c r="N3" s="183"/>
      <c r="O3" s="183"/>
      <c r="P3" s="183"/>
      <c r="Q3" s="183"/>
      <c r="R3" s="183"/>
      <c r="S3" s="183"/>
      <c r="T3" s="183"/>
      <c r="U3" s="183"/>
      <c r="V3" s="184"/>
      <c r="W3" s="204"/>
      <c r="X3" s="176"/>
      <c r="Y3" s="177"/>
      <c r="Z3" s="179"/>
      <c r="AA3" s="179"/>
      <c r="AB3" s="181"/>
      <c r="AC3" s="176"/>
      <c r="AD3" s="24"/>
      <c r="AE3" s="24"/>
      <c r="AF3" s="24"/>
      <c r="AG3" s="24"/>
      <c r="AH3" s="24"/>
      <c r="AI3" s="24"/>
    </row>
    <row r="4" spans="1:48" ht="15.75" customHeight="1">
      <c r="A4" s="199"/>
      <c r="B4" s="200"/>
      <c r="C4" s="200"/>
      <c r="D4" s="200"/>
      <c r="E4" s="201"/>
      <c r="F4" s="175"/>
      <c r="G4" s="175"/>
      <c r="H4" s="175"/>
      <c r="I4" s="185"/>
      <c r="J4" s="186"/>
      <c r="K4" s="186"/>
      <c r="L4" s="186"/>
      <c r="M4" s="186"/>
      <c r="N4" s="186"/>
      <c r="O4" s="186"/>
      <c r="P4" s="186"/>
      <c r="Q4" s="186"/>
      <c r="R4" s="186"/>
      <c r="S4" s="186"/>
      <c r="T4" s="186"/>
      <c r="U4" s="186"/>
      <c r="V4" s="187"/>
      <c r="W4" s="204"/>
      <c r="X4" s="176"/>
      <c r="Y4" s="177"/>
      <c r="Z4" s="180"/>
      <c r="AA4" s="180"/>
      <c r="AB4" s="181"/>
      <c r="AC4" s="176"/>
      <c r="AD4" s="3"/>
      <c r="AE4" s="3"/>
      <c r="AF4" s="3"/>
      <c r="AG4" s="3"/>
      <c r="AH4" s="3"/>
      <c r="AI4" s="3"/>
    </row>
    <row r="5" spans="1:48" s="8" customFormat="1" ht="18.75" customHeight="1">
      <c r="A5" s="188" t="s">
        <v>134</v>
      </c>
      <c r="B5" s="189"/>
      <c r="C5" s="189"/>
      <c r="D5" s="189"/>
      <c r="E5" s="174"/>
      <c r="F5" s="190" t="s">
        <v>174</v>
      </c>
      <c r="G5" s="191"/>
      <c r="H5" s="191"/>
      <c r="I5" s="191"/>
      <c r="J5" s="192"/>
      <c r="K5" s="188" t="s">
        <v>5</v>
      </c>
      <c r="L5" s="189"/>
      <c r="M5" s="189"/>
      <c r="N5" s="174"/>
      <c r="O5" s="190"/>
      <c r="P5" s="191"/>
      <c r="Q5" s="191"/>
      <c r="R5" s="191"/>
      <c r="S5" s="192"/>
      <c r="T5" s="188" t="s">
        <v>135</v>
      </c>
      <c r="U5" s="189"/>
      <c r="V5" s="189"/>
      <c r="W5" s="174"/>
      <c r="X5" s="177" t="s">
        <v>219</v>
      </c>
      <c r="Y5" s="214"/>
      <c r="Z5" s="214"/>
      <c r="AA5" s="214"/>
      <c r="AB5" s="214"/>
      <c r="AC5" s="181"/>
      <c r="AD5" s="16"/>
      <c r="AE5" s="16"/>
      <c r="AF5" s="16"/>
      <c r="AG5" s="16"/>
      <c r="AH5" s="16"/>
      <c r="AI5" s="16"/>
    </row>
    <row r="6" spans="1:48" s="8" customFormat="1" ht="21.75" customHeight="1">
      <c r="A6" s="175" t="s">
        <v>6</v>
      </c>
      <c r="B6" s="188"/>
      <c r="C6" s="188" t="s">
        <v>7</v>
      </c>
      <c r="D6" s="189"/>
      <c r="E6" s="189"/>
      <c r="F6" s="189"/>
      <c r="G6" s="189"/>
      <c r="H6" s="189"/>
      <c r="I6" s="189"/>
      <c r="J6" s="189"/>
      <c r="K6" s="189"/>
      <c r="L6" s="189"/>
      <c r="M6" s="189"/>
      <c r="N6" s="189"/>
      <c r="O6" s="189"/>
      <c r="P6" s="189"/>
      <c r="Q6" s="189"/>
      <c r="R6" s="189"/>
      <c r="S6" s="189"/>
      <c r="T6" s="189"/>
      <c r="U6" s="189"/>
      <c r="V6" s="189"/>
      <c r="W6" s="174"/>
      <c r="X6" s="174" t="s">
        <v>8</v>
      </c>
      <c r="Y6" s="175"/>
      <c r="Z6" s="175"/>
      <c r="AA6" s="175"/>
      <c r="AB6" s="175"/>
      <c r="AC6" s="175"/>
      <c r="AD6" s="16"/>
      <c r="AE6" s="16"/>
      <c r="AF6" s="16"/>
      <c r="AG6" s="16"/>
      <c r="AH6" s="16"/>
      <c r="AI6" s="16"/>
    </row>
    <row r="7" spans="1:48" s="8" customFormat="1" ht="20.25" customHeight="1">
      <c r="A7" s="215">
        <v>1</v>
      </c>
      <c r="B7" s="220"/>
      <c r="C7" s="26" t="s">
        <v>19</v>
      </c>
      <c r="D7" s="27"/>
      <c r="E7" s="28"/>
      <c r="F7" s="7"/>
      <c r="G7" s="29"/>
      <c r="H7" s="29"/>
      <c r="I7" s="29"/>
      <c r="J7" s="29"/>
      <c r="K7" s="29"/>
      <c r="L7" s="29"/>
      <c r="M7" s="29"/>
      <c r="N7" s="29"/>
      <c r="O7" s="29"/>
      <c r="P7" s="29"/>
      <c r="Q7" s="29"/>
      <c r="R7" s="29"/>
      <c r="S7" s="29"/>
      <c r="T7" s="29"/>
      <c r="U7" s="29"/>
      <c r="V7" s="29"/>
      <c r="W7" s="30"/>
      <c r="X7" s="220" t="s">
        <v>10</v>
      </c>
      <c r="Y7" s="220"/>
      <c r="Z7" s="220"/>
      <c r="AA7" s="220"/>
      <c r="AB7" s="220"/>
      <c r="AC7" s="216"/>
      <c r="AD7" s="16"/>
      <c r="AE7" s="16"/>
      <c r="AF7" s="16"/>
      <c r="AG7" s="16"/>
      <c r="AH7" s="16"/>
      <c r="AI7" s="16"/>
    </row>
    <row r="8" spans="1:48" s="8" customFormat="1" ht="20.25" customHeight="1">
      <c r="A8" s="206">
        <v>2</v>
      </c>
      <c r="B8" s="207"/>
      <c r="C8" s="31" t="s">
        <v>20</v>
      </c>
      <c r="D8" s="32"/>
      <c r="E8" s="33"/>
      <c r="F8" s="34"/>
      <c r="G8" s="35"/>
      <c r="H8" s="35"/>
      <c r="I8" s="35"/>
      <c r="J8" s="35"/>
      <c r="K8" s="35"/>
      <c r="L8" s="35"/>
      <c r="M8" s="35"/>
      <c r="N8" s="35"/>
      <c r="O8" s="35"/>
      <c r="P8" s="35"/>
      <c r="Q8" s="35"/>
      <c r="R8" s="35"/>
      <c r="S8" s="35"/>
      <c r="T8" s="35"/>
      <c r="U8" s="35"/>
      <c r="V8" s="35"/>
      <c r="W8" s="36"/>
      <c r="X8" s="206" t="s">
        <v>10</v>
      </c>
      <c r="Y8" s="224"/>
      <c r="Z8" s="224"/>
      <c r="AA8" s="224"/>
      <c r="AB8" s="224"/>
      <c r="AC8" s="207"/>
      <c r="AD8" s="16"/>
      <c r="AE8" s="16"/>
      <c r="AF8" s="16"/>
      <c r="AG8" s="16"/>
      <c r="AH8" s="16"/>
      <c r="AI8" s="16"/>
    </row>
    <row r="9" spans="1:48" s="8" customFormat="1" ht="20.25" customHeight="1">
      <c r="A9" s="206">
        <v>3</v>
      </c>
      <c r="B9" s="207"/>
      <c r="C9" s="31" t="s">
        <v>21</v>
      </c>
      <c r="D9" s="32"/>
      <c r="E9" s="33"/>
      <c r="F9" s="34"/>
      <c r="G9" s="35"/>
      <c r="H9" s="35"/>
      <c r="I9" s="35"/>
      <c r="J9" s="35"/>
      <c r="K9" s="35"/>
      <c r="L9" s="35"/>
      <c r="M9" s="35"/>
      <c r="N9" s="35"/>
      <c r="O9" s="35"/>
      <c r="P9" s="35"/>
      <c r="Q9" s="35"/>
      <c r="R9" s="35"/>
      <c r="S9" s="35"/>
      <c r="T9" s="35"/>
      <c r="U9" s="35"/>
      <c r="V9" s="35"/>
      <c r="W9" s="36"/>
      <c r="X9" s="206" t="s">
        <v>10</v>
      </c>
      <c r="Y9" s="224"/>
      <c r="Z9" s="224"/>
      <c r="AA9" s="224"/>
      <c r="AB9" s="224"/>
      <c r="AC9" s="207"/>
      <c r="AD9" s="16"/>
      <c r="AE9" s="16"/>
      <c r="AF9" s="16"/>
      <c r="AG9" s="16"/>
      <c r="AH9" s="16"/>
      <c r="AI9" s="16"/>
    </row>
    <row r="10" spans="1:48" s="8" customFormat="1" ht="20.25" customHeight="1">
      <c r="A10" s="206">
        <v>4</v>
      </c>
      <c r="B10" s="207"/>
      <c r="C10" s="31" t="s">
        <v>22</v>
      </c>
      <c r="D10" s="32"/>
      <c r="E10" s="33"/>
      <c r="F10" s="34"/>
      <c r="G10" s="35"/>
      <c r="H10" s="35"/>
      <c r="I10" s="35"/>
      <c r="J10" s="35"/>
      <c r="K10" s="35"/>
      <c r="L10" s="35"/>
      <c r="M10" s="35"/>
      <c r="N10" s="35"/>
      <c r="O10" s="35"/>
      <c r="P10" s="35"/>
      <c r="Q10" s="35"/>
      <c r="R10" s="35"/>
      <c r="S10" s="35"/>
      <c r="T10" s="35"/>
      <c r="U10" s="35"/>
      <c r="V10" s="35"/>
      <c r="W10" s="36"/>
      <c r="X10" s="206" t="s">
        <v>10</v>
      </c>
      <c r="Y10" s="224"/>
      <c r="Z10" s="224"/>
      <c r="AA10" s="224"/>
      <c r="AB10" s="224"/>
      <c r="AC10" s="207"/>
      <c r="AD10" s="16"/>
      <c r="AE10" s="16"/>
      <c r="AF10" s="16"/>
      <c r="AG10" s="16"/>
      <c r="AH10" s="16"/>
      <c r="AI10" s="16"/>
    </row>
    <row r="11" spans="1:48" s="8" customFormat="1" ht="20.25" customHeight="1">
      <c r="A11" s="206">
        <v>5</v>
      </c>
      <c r="B11" s="207"/>
      <c r="C11" s="31" t="s">
        <v>11</v>
      </c>
      <c r="D11" s="32"/>
      <c r="E11" s="33"/>
      <c r="F11" s="34"/>
      <c r="G11" s="35"/>
      <c r="H11" s="35"/>
      <c r="I11" s="35"/>
      <c r="J11" s="35"/>
      <c r="K11" s="35"/>
      <c r="L11" s="35"/>
      <c r="M11" s="35"/>
      <c r="N11" s="35"/>
      <c r="O11" s="35"/>
      <c r="P11" s="35"/>
      <c r="Q11" s="35"/>
      <c r="R11" s="35"/>
      <c r="S11" s="35"/>
      <c r="T11" s="35"/>
      <c r="U11" s="35"/>
      <c r="V11" s="35"/>
      <c r="W11" s="36"/>
      <c r="X11" s="206" t="s">
        <v>10</v>
      </c>
      <c r="Y11" s="224"/>
      <c r="Z11" s="224"/>
      <c r="AA11" s="224"/>
      <c r="AB11" s="224"/>
      <c r="AC11" s="207"/>
      <c r="AD11" s="16"/>
      <c r="AE11" s="16"/>
      <c r="AF11" s="16"/>
      <c r="AG11" s="16"/>
      <c r="AH11" s="16"/>
      <c r="AI11" s="16"/>
    </row>
    <row r="12" spans="1:48" s="8" customFormat="1" ht="20.25" customHeight="1">
      <c r="A12" s="206">
        <v>6</v>
      </c>
      <c r="B12" s="207"/>
      <c r="C12" s="31" t="s">
        <v>82</v>
      </c>
      <c r="D12" s="32"/>
      <c r="E12" s="33"/>
      <c r="F12" s="34"/>
      <c r="G12" s="35"/>
      <c r="H12" s="35"/>
      <c r="I12" s="35"/>
      <c r="J12" s="35"/>
      <c r="K12" s="35"/>
      <c r="L12" s="35"/>
      <c r="M12" s="35"/>
      <c r="N12" s="35"/>
      <c r="O12" s="35"/>
      <c r="P12" s="35"/>
      <c r="Q12" s="35"/>
      <c r="R12" s="35"/>
      <c r="S12" s="35"/>
      <c r="T12" s="35"/>
      <c r="U12" s="35"/>
      <c r="V12" s="35"/>
      <c r="W12" s="36"/>
      <c r="X12" s="206" t="s">
        <v>10</v>
      </c>
      <c r="Y12" s="224"/>
      <c r="Z12" s="224"/>
      <c r="AA12" s="224"/>
      <c r="AB12" s="224"/>
      <c r="AC12" s="207"/>
      <c r="AD12" s="16"/>
      <c r="AE12" s="16"/>
      <c r="AF12" s="16"/>
      <c r="AG12" s="16"/>
      <c r="AH12" s="16"/>
      <c r="AI12" s="16"/>
    </row>
    <row r="13" spans="1:48" s="8" customFormat="1" ht="20.25" customHeight="1">
      <c r="A13" s="206">
        <v>7</v>
      </c>
      <c r="B13" s="207"/>
      <c r="C13" s="31" t="s">
        <v>24</v>
      </c>
      <c r="D13" s="32"/>
      <c r="E13" s="33"/>
      <c r="F13" s="34"/>
      <c r="G13" s="35"/>
      <c r="H13" s="35"/>
      <c r="I13" s="35"/>
      <c r="J13" s="35"/>
      <c r="K13" s="35"/>
      <c r="L13" s="35"/>
      <c r="M13" s="35"/>
      <c r="N13" s="35"/>
      <c r="O13" s="35"/>
      <c r="P13" s="35"/>
      <c r="Q13" s="35"/>
      <c r="R13" s="35"/>
      <c r="S13" s="35"/>
      <c r="T13" s="35"/>
      <c r="U13" s="35"/>
      <c r="V13" s="35"/>
      <c r="W13" s="36"/>
      <c r="X13" s="206" t="s">
        <v>10</v>
      </c>
      <c r="Y13" s="224"/>
      <c r="Z13" s="224"/>
      <c r="AA13" s="224"/>
      <c r="AB13" s="224"/>
      <c r="AC13" s="207"/>
      <c r="AD13" s="16"/>
      <c r="AE13" s="16"/>
      <c r="AF13" s="16"/>
      <c r="AG13" s="16"/>
      <c r="AH13" s="16"/>
      <c r="AI13" s="16"/>
    </row>
    <row r="14" spans="1:48" s="8" customFormat="1" ht="20.25" customHeight="1">
      <c r="A14" s="206">
        <v>8</v>
      </c>
      <c r="B14" s="207"/>
      <c r="C14" s="31" t="s">
        <v>104</v>
      </c>
      <c r="D14" s="32"/>
      <c r="E14" s="33"/>
      <c r="F14" s="34"/>
      <c r="G14" s="35"/>
      <c r="H14" s="35"/>
      <c r="I14" s="35"/>
      <c r="J14" s="35"/>
      <c r="K14" s="35"/>
      <c r="L14" s="35"/>
      <c r="M14" s="35"/>
      <c r="N14" s="35"/>
      <c r="O14" s="35"/>
      <c r="P14" s="35"/>
      <c r="Q14" s="35"/>
      <c r="R14" s="35"/>
      <c r="S14" s="35"/>
      <c r="T14" s="35"/>
      <c r="U14" s="35"/>
      <c r="V14" s="35"/>
      <c r="W14" s="36"/>
      <c r="X14" s="206" t="s">
        <v>10</v>
      </c>
      <c r="Y14" s="224"/>
      <c r="Z14" s="224"/>
      <c r="AA14" s="224"/>
      <c r="AB14" s="224"/>
      <c r="AC14" s="207"/>
      <c r="AD14" s="16"/>
      <c r="AE14" s="253"/>
      <c r="AF14" s="254"/>
      <c r="AG14" s="254"/>
      <c r="AH14" s="254"/>
      <c r="AI14" s="254"/>
      <c r="AJ14" s="254"/>
      <c r="AK14" s="254"/>
      <c r="AL14" s="254"/>
      <c r="AM14" s="254"/>
      <c r="AN14" s="254"/>
      <c r="AO14" s="254"/>
      <c r="AP14" s="254"/>
      <c r="AQ14" s="254"/>
      <c r="AR14" s="254"/>
      <c r="AS14" s="254"/>
      <c r="AT14" s="254"/>
      <c r="AU14" s="254"/>
      <c r="AV14" s="254"/>
    </row>
    <row r="15" spans="1:48" s="8" customFormat="1" ht="48.75" customHeight="1">
      <c r="A15" s="206"/>
      <c r="B15" s="207"/>
      <c r="C15" s="31" t="s">
        <v>105</v>
      </c>
      <c r="D15" s="32"/>
      <c r="E15" s="33"/>
      <c r="F15" s="34"/>
      <c r="G15" s="35"/>
      <c r="H15" s="35"/>
      <c r="I15" s="35"/>
      <c r="J15" s="35"/>
      <c r="K15" s="35"/>
      <c r="L15" s="35"/>
      <c r="M15" s="35"/>
      <c r="N15" s="35"/>
      <c r="O15" s="35"/>
      <c r="P15" s="35"/>
      <c r="Q15" s="35"/>
      <c r="R15" s="35"/>
      <c r="S15" s="35"/>
      <c r="T15" s="35"/>
      <c r="U15" s="35"/>
      <c r="V15" s="35"/>
      <c r="W15" s="36"/>
      <c r="X15" s="255" t="s">
        <v>220</v>
      </c>
      <c r="Y15" s="256"/>
      <c r="Z15" s="256"/>
      <c r="AA15" s="256"/>
      <c r="AB15" s="256"/>
      <c r="AC15" s="257"/>
      <c r="AD15" s="16"/>
      <c r="AE15" s="230"/>
      <c r="AF15" s="239"/>
      <c r="AG15" s="239"/>
      <c r="AH15" s="239"/>
      <c r="AI15" s="239"/>
      <c r="AJ15" s="239"/>
      <c r="AK15" s="239"/>
      <c r="AL15" s="239"/>
      <c r="AM15" s="239"/>
      <c r="AN15" s="239"/>
      <c r="AO15" s="239"/>
      <c r="AP15" s="239"/>
      <c r="AQ15" s="239"/>
      <c r="AR15" s="239"/>
      <c r="AS15" s="239"/>
      <c r="AT15" s="239"/>
      <c r="AU15" s="239"/>
      <c r="AV15" s="239"/>
    </row>
    <row r="16" spans="1:48" s="8" customFormat="1" ht="20.25" customHeight="1">
      <c r="A16" s="206">
        <v>9</v>
      </c>
      <c r="B16" s="207"/>
      <c r="C16" s="31" t="s">
        <v>106</v>
      </c>
      <c r="D16" s="32"/>
      <c r="E16" s="33"/>
      <c r="F16" s="34"/>
      <c r="G16" s="35"/>
      <c r="H16" s="35"/>
      <c r="I16" s="35"/>
      <c r="J16" s="35"/>
      <c r="K16" s="35"/>
      <c r="L16" s="35"/>
      <c r="M16" s="35"/>
      <c r="N16" s="35"/>
      <c r="O16" s="35"/>
      <c r="P16" s="35"/>
      <c r="Q16" s="35"/>
      <c r="R16" s="35"/>
      <c r="S16" s="35"/>
      <c r="T16" s="35"/>
      <c r="U16" s="35"/>
      <c r="V16" s="35"/>
      <c r="W16" s="36"/>
      <c r="X16" s="206" t="s">
        <v>10</v>
      </c>
      <c r="Y16" s="224"/>
      <c r="Z16" s="224"/>
      <c r="AA16" s="224"/>
      <c r="AB16" s="224"/>
      <c r="AC16" s="207"/>
      <c r="AD16" s="16"/>
      <c r="AE16" s="16"/>
      <c r="AF16" s="16"/>
      <c r="AG16" s="16"/>
      <c r="AH16" s="16"/>
      <c r="AI16" s="16"/>
    </row>
    <row r="17" spans="1:35" s="8" customFormat="1" ht="20.25" customHeight="1">
      <c r="A17" s="206">
        <v>10</v>
      </c>
      <c r="B17" s="207"/>
      <c r="C17" s="31" t="s">
        <v>107</v>
      </c>
      <c r="D17" s="32"/>
      <c r="E17" s="33"/>
      <c r="F17" s="34"/>
      <c r="G17" s="35"/>
      <c r="H17" s="35"/>
      <c r="I17" s="35"/>
      <c r="J17" s="35"/>
      <c r="K17" s="35"/>
      <c r="L17" s="35"/>
      <c r="M17" s="35"/>
      <c r="N17" s="35"/>
      <c r="O17" s="35"/>
      <c r="P17" s="35"/>
      <c r="Q17" s="35"/>
      <c r="R17" s="35"/>
      <c r="S17" s="35"/>
      <c r="T17" s="35"/>
      <c r="U17" s="35"/>
      <c r="V17" s="35"/>
      <c r="W17" s="36"/>
      <c r="X17" s="206" t="s">
        <v>10</v>
      </c>
      <c r="Y17" s="224"/>
      <c r="Z17" s="224"/>
      <c r="AA17" s="224"/>
      <c r="AB17" s="224"/>
      <c r="AC17" s="207"/>
      <c r="AD17" s="16"/>
      <c r="AE17" s="16"/>
      <c r="AF17" s="16"/>
      <c r="AG17" s="16"/>
      <c r="AH17" s="16"/>
      <c r="AI17" s="16"/>
    </row>
    <row r="18" spans="1:35" s="8" customFormat="1" ht="20.25" customHeight="1">
      <c r="A18" s="206">
        <v>11</v>
      </c>
      <c r="B18" s="207"/>
      <c r="C18" s="31" t="s">
        <v>108</v>
      </c>
      <c r="D18" s="32"/>
      <c r="E18" s="33"/>
      <c r="F18" s="34"/>
      <c r="G18" s="35"/>
      <c r="H18" s="35"/>
      <c r="I18" s="35"/>
      <c r="J18" s="35"/>
      <c r="K18" s="35"/>
      <c r="L18" s="35"/>
      <c r="M18" s="35"/>
      <c r="N18" s="35"/>
      <c r="O18" s="35"/>
      <c r="P18" s="35"/>
      <c r="Q18" s="35"/>
      <c r="R18" s="35"/>
      <c r="S18" s="35"/>
      <c r="T18" s="35"/>
      <c r="U18" s="35"/>
      <c r="V18" s="35"/>
      <c r="W18" s="36"/>
      <c r="X18" s="206" t="s">
        <v>10</v>
      </c>
      <c r="Y18" s="224"/>
      <c r="Z18" s="224"/>
      <c r="AA18" s="224"/>
      <c r="AB18" s="224"/>
      <c r="AC18" s="207"/>
      <c r="AD18" s="16"/>
      <c r="AE18" s="16"/>
      <c r="AF18" s="16"/>
      <c r="AG18" s="16"/>
      <c r="AH18" s="16"/>
      <c r="AI18" s="16"/>
    </row>
    <row r="19" spans="1:35" s="8" customFormat="1" ht="20.25" customHeight="1">
      <c r="A19" s="206">
        <v>12</v>
      </c>
      <c r="B19" s="207"/>
      <c r="C19" s="11" t="s">
        <v>109</v>
      </c>
      <c r="D19" s="12"/>
      <c r="E19" s="12"/>
      <c r="F19" s="50"/>
      <c r="G19" s="14"/>
      <c r="H19" s="14"/>
      <c r="I19" s="14"/>
      <c r="J19" s="14"/>
      <c r="K19" s="14"/>
      <c r="L19" s="14"/>
      <c r="M19" s="14"/>
      <c r="N19" s="14"/>
      <c r="O19" s="14"/>
      <c r="P19" s="14"/>
      <c r="Q19" s="14"/>
      <c r="R19" s="14"/>
      <c r="S19" s="14"/>
      <c r="T19" s="14"/>
      <c r="U19" s="14"/>
      <c r="V19" s="14"/>
      <c r="W19" s="15"/>
      <c r="X19" s="206" t="s">
        <v>10</v>
      </c>
      <c r="Y19" s="224"/>
      <c r="Z19" s="224"/>
      <c r="AA19" s="224"/>
      <c r="AB19" s="224"/>
      <c r="AC19" s="207"/>
      <c r="AD19" s="16"/>
      <c r="AE19" s="16"/>
      <c r="AF19" s="16"/>
      <c r="AG19" s="16"/>
      <c r="AH19" s="16"/>
      <c r="AI19" s="16"/>
    </row>
    <row r="20" spans="1:35" s="8" customFormat="1" ht="20.25" customHeight="1">
      <c r="A20" s="225">
        <v>13</v>
      </c>
      <c r="B20" s="226"/>
      <c r="C20" s="17" t="s">
        <v>110</v>
      </c>
      <c r="D20" s="18"/>
      <c r="E20" s="18"/>
      <c r="F20" s="56"/>
      <c r="G20" s="20"/>
      <c r="H20" s="20"/>
      <c r="I20" s="20"/>
      <c r="J20" s="20"/>
      <c r="K20" s="20"/>
      <c r="L20" s="20"/>
      <c r="M20" s="20"/>
      <c r="N20" s="20"/>
      <c r="O20" s="20"/>
      <c r="P20" s="20"/>
      <c r="Q20" s="20"/>
      <c r="R20" s="20"/>
      <c r="S20" s="20"/>
      <c r="T20" s="20"/>
      <c r="U20" s="20"/>
      <c r="V20" s="20"/>
      <c r="W20" s="22"/>
      <c r="X20" s="225" t="s">
        <v>10</v>
      </c>
      <c r="Y20" s="227"/>
      <c r="Z20" s="227"/>
      <c r="AA20" s="227"/>
      <c r="AB20" s="227"/>
      <c r="AC20" s="226"/>
      <c r="AD20" s="16"/>
      <c r="AE20" s="16"/>
      <c r="AF20" s="16"/>
      <c r="AG20" s="16"/>
      <c r="AH20" s="16"/>
      <c r="AI20" s="16"/>
    </row>
    <row r="21" spans="1:35" s="6" customFormat="1" ht="15">
      <c r="A21" s="5"/>
      <c r="B21" s="5"/>
      <c r="C21" s="5"/>
      <c r="D21" s="5"/>
      <c r="E21" s="5"/>
      <c r="F21" s="5"/>
      <c r="G21" s="5"/>
      <c r="H21" s="5"/>
      <c r="I21" s="5"/>
      <c r="J21" s="5"/>
      <c r="K21" s="5"/>
      <c r="L21" s="5"/>
      <c r="M21" s="5"/>
      <c r="N21" s="5"/>
      <c r="O21" s="5"/>
      <c r="P21" s="5"/>
      <c r="Q21" s="5"/>
      <c r="R21" s="5"/>
      <c r="S21" s="5"/>
      <c r="T21" s="5"/>
      <c r="U21" s="5"/>
      <c r="V21" s="5"/>
      <c r="W21" s="5"/>
      <c r="X21" s="229" t="s">
        <v>172</v>
      </c>
      <c r="Y21" s="229"/>
      <c r="Z21" s="229"/>
      <c r="AA21" s="229"/>
      <c r="AB21" s="229"/>
      <c r="AC21" s="229"/>
      <c r="AD21" s="5"/>
      <c r="AE21" s="5"/>
      <c r="AF21" s="5"/>
      <c r="AG21" s="5"/>
      <c r="AH21" s="5"/>
      <c r="AI21" s="5"/>
    </row>
    <row r="22" spans="1:35" s="6" customFormat="1" ht="15">
      <c r="A22" s="5"/>
      <c r="B22" s="5"/>
      <c r="C22" s="5"/>
      <c r="D22" s="5"/>
      <c r="E22" s="5"/>
      <c r="F22" s="5"/>
      <c r="G22" s="5"/>
      <c r="H22" s="5"/>
      <c r="I22" s="5"/>
      <c r="J22" s="5"/>
      <c r="K22" s="5"/>
      <c r="L22" s="5"/>
      <c r="M22" s="5"/>
      <c r="N22" s="5"/>
      <c r="O22" s="5"/>
      <c r="P22" s="5"/>
      <c r="Q22" s="5"/>
      <c r="R22" s="5"/>
      <c r="S22" s="5"/>
      <c r="T22" s="5"/>
      <c r="U22" s="5"/>
      <c r="V22" s="95">
        <f>12/13</f>
        <v>0.92307692307692313</v>
      </c>
      <c r="W22" s="5"/>
      <c r="X22" s="228">
        <v>92</v>
      </c>
      <c r="Y22" s="228"/>
      <c r="Z22" s="228"/>
      <c r="AA22" s="228"/>
      <c r="AB22" s="228"/>
      <c r="AC22" s="228"/>
      <c r="AD22" s="5"/>
      <c r="AE22" s="5"/>
      <c r="AF22" s="5"/>
      <c r="AG22" s="5"/>
      <c r="AH22" s="5"/>
      <c r="AI22" s="5"/>
    </row>
    <row r="23" spans="1:35" s="6" customFormat="1" ht="1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row>
    <row r="24" spans="1:35" s="6" customFormat="1" ht="1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row>
    <row r="25" spans="1:35" s="6" customFormat="1" ht="1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row>
    <row r="26" spans="1:35" s="6" customFormat="1" ht="1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row>
    <row r="27" spans="1:35" s="6" customFormat="1" ht="1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row>
    <row r="28" spans="1:35" s="6" customFormat="1" ht="1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row>
    <row r="29" spans="1:35" s="6" customFormat="1" ht="1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row>
    <row r="30" spans="1:35" s="6" customFormat="1" ht="1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row>
    <row r="31" spans="1:35" s="6" customFormat="1"/>
    <row r="32" spans="1:35" s="6" customFormat="1"/>
    <row r="33" s="6" customFormat="1"/>
    <row r="34" s="6" customFormat="1"/>
    <row r="35" s="6" customFormat="1"/>
    <row r="36" s="6" customFormat="1"/>
    <row r="37" s="6" customFormat="1"/>
    <row r="38" s="6" customFormat="1"/>
    <row r="39" s="6" customFormat="1"/>
    <row r="40" s="6" customFormat="1"/>
    <row r="41" s="6" customFormat="1"/>
    <row r="42" s="6" customFormat="1"/>
    <row r="43" s="6" customFormat="1"/>
    <row r="44" s="6" customFormat="1"/>
    <row r="45" s="6" customFormat="1"/>
    <row r="46" s="6" customFormat="1"/>
  </sheetData>
  <mergeCells count="52">
    <mergeCell ref="AE15:AV15"/>
    <mergeCell ref="AE14:AV14"/>
    <mergeCell ref="A20:B20"/>
    <mergeCell ref="X20:AC20"/>
    <mergeCell ref="X22:AC22"/>
    <mergeCell ref="A17:B17"/>
    <mergeCell ref="X17:AC17"/>
    <mergeCell ref="A18:B18"/>
    <mergeCell ref="X18:AC18"/>
    <mergeCell ref="A19:B19"/>
    <mergeCell ref="X19:AC19"/>
    <mergeCell ref="X21:AC21"/>
    <mergeCell ref="A14:B14"/>
    <mergeCell ref="X14:AC14"/>
    <mergeCell ref="A15:B15"/>
    <mergeCell ref="X15:AC15"/>
    <mergeCell ref="A16:B16"/>
    <mergeCell ref="X16:AC16"/>
    <mergeCell ref="A11:B11"/>
    <mergeCell ref="X11:AC11"/>
    <mergeCell ref="A12:B12"/>
    <mergeCell ref="X12:AC12"/>
    <mergeCell ref="A13:B13"/>
    <mergeCell ref="X13:AC13"/>
    <mergeCell ref="A8:B8"/>
    <mergeCell ref="X8:AC8"/>
    <mergeCell ref="A9:B9"/>
    <mergeCell ref="X9:AC9"/>
    <mergeCell ref="A10:B10"/>
    <mergeCell ref="X10:AC10"/>
    <mergeCell ref="X5:AC5"/>
    <mergeCell ref="A6:B6"/>
    <mergeCell ref="C6:W6"/>
    <mergeCell ref="X6:AC6"/>
    <mergeCell ref="A7:B7"/>
    <mergeCell ref="X7:AC7"/>
    <mergeCell ref="I3:V4"/>
    <mergeCell ref="A5:E5"/>
    <mergeCell ref="F5:J5"/>
    <mergeCell ref="K5:N5"/>
    <mergeCell ref="O5:S5"/>
    <mergeCell ref="T5:W5"/>
    <mergeCell ref="A1:E4"/>
    <mergeCell ref="F1:V2"/>
    <mergeCell ref="W1:W4"/>
    <mergeCell ref="F3:H4"/>
    <mergeCell ref="X1:Y1"/>
    <mergeCell ref="Z1:AA1"/>
    <mergeCell ref="AB1:AC1"/>
    <mergeCell ref="X2:Y4"/>
    <mergeCell ref="Z2:AA4"/>
    <mergeCell ref="AB2:AC4"/>
  </mergeCells>
  <conditionalFormatting sqref="X19:AC20">
    <cfRule type="containsText" dxfId="3" priority="1" operator="containsText" text="보완">
      <formula>NOT(ISERROR(SEARCH("보완",X19)))</formula>
    </cfRule>
  </conditionalFormatting>
  <pageMargins left="0.7" right="0.7" top="0.75" bottom="0.75" header="0.3" footer="0.3"/>
  <pageSetup paperSize="9"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46"/>
  <sheetViews>
    <sheetView showGridLines="0" view="pageBreakPreview" zoomScaleNormal="100" zoomScaleSheetLayoutView="100" workbookViewId="0">
      <selection activeCell="C15" sqref="C15:W15"/>
    </sheetView>
  </sheetViews>
  <sheetFormatPr defaultColWidth="3.5703125" defaultRowHeight="13.5"/>
  <cols>
    <col min="1" max="21" width="3.5703125" style="4"/>
    <col min="22" max="22" width="4.7109375" style="4" customWidth="1"/>
    <col min="23" max="23" width="3.5703125" style="4"/>
    <col min="24" max="29" width="5.7109375" style="4" customWidth="1"/>
    <col min="30" max="16384" width="3.5703125" style="4"/>
  </cols>
  <sheetData>
    <row r="1" spans="1:46" s="2" customFormat="1" ht="25.5" customHeight="1">
      <c r="A1" s="193"/>
      <c r="B1" s="194"/>
      <c r="C1" s="194"/>
      <c r="D1" s="194"/>
      <c r="E1" s="195"/>
      <c r="F1" s="202" t="s">
        <v>243</v>
      </c>
      <c r="G1" s="203"/>
      <c r="H1" s="203"/>
      <c r="I1" s="203"/>
      <c r="J1" s="203"/>
      <c r="K1" s="203"/>
      <c r="L1" s="203"/>
      <c r="M1" s="203"/>
      <c r="N1" s="203"/>
      <c r="O1" s="203"/>
      <c r="P1" s="203"/>
      <c r="Q1" s="203"/>
      <c r="R1" s="203"/>
      <c r="S1" s="203"/>
      <c r="T1" s="203"/>
      <c r="U1" s="203"/>
      <c r="V1" s="203"/>
      <c r="W1" s="204" t="s">
        <v>0</v>
      </c>
      <c r="X1" s="174" t="s">
        <v>1</v>
      </c>
      <c r="Y1" s="175"/>
      <c r="Z1" s="175" t="s">
        <v>2</v>
      </c>
      <c r="AA1" s="175"/>
      <c r="AB1" s="175" t="s">
        <v>3</v>
      </c>
      <c r="AC1" s="175"/>
      <c r="AD1" s="24"/>
      <c r="AE1" s="24"/>
      <c r="AF1" s="24"/>
      <c r="AG1" s="24"/>
      <c r="AH1" s="24"/>
      <c r="AI1" s="24"/>
      <c r="AJ1" s="57"/>
      <c r="AK1" s="24"/>
      <c r="AL1" s="24"/>
      <c r="AM1" s="24"/>
      <c r="AN1" s="24"/>
      <c r="AO1" s="24"/>
      <c r="AP1" s="24"/>
      <c r="AQ1" s="24"/>
      <c r="AR1" s="24"/>
      <c r="AS1" s="24"/>
      <c r="AT1" s="24"/>
    </row>
    <row r="2" spans="1:46" s="2" customFormat="1" ht="25.5" customHeight="1">
      <c r="A2" s="196"/>
      <c r="B2" s="197"/>
      <c r="C2" s="197"/>
      <c r="D2" s="197"/>
      <c r="E2" s="198"/>
      <c r="F2" s="203"/>
      <c r="G2" s="203"/>
      <c r="H2" s="203"/>
      <c r="I2" s="203"/>
      <c r="J2" s="203"/>
      <c r="K2" s="203"/>
      <c r="L2" s="203"/>
      <c r="M2" s="203"/>
      <c r="N2" s="203"/>
      <c r="O2" s="203"/>
      <c r="P2" s="203"/>
      <c r="Q2" s="203"/>
      <c r="R2" s="203"/>
      <c r="S2" s="203"/>
      <c r="T2" s="203"/>
      <c r="U2" s="203"/>
      <c r="V2" s="203"/>
      <c r="W2" s="204"/>
      <c r="X2" s="176" t="s">
        <v>252</v>
      </c>
      <c r="Y2" s="177"/>
      <c r="Z2" s="178"/>
      <c r="AA2" s="178"/>
      <c r="AB2" s="181" t="s">
        <v>253</v>
      </c>
      <c r="AC2" s="176"/>
      <c r="AD2" s="24"/>
      <c r="AE2" s="24"/>
      <c r="AF2" s="24"/>
      <c r="AG2" s="24"/>
      <c r="AH2" s="24"/>
      <c r="AI2" s="24"/>
      <c r="AJ2" s="57"/>
      <c r="AK2" s="24"/>
      <c r="AL2" s="24"/>
      <c r="AM2" s="24"/>
      <c r="AN2" s="24"/>
      <c r="AO2" s="24"/>
      <c r="AP2" s="24"/>
      <c r="AQ2" s="24"/>
      <c r="AR2" s="24"/>
      <c r="AS2" s="24"/>
      <c r="AT2" s="24"/>
    </row>
    <row r="3" spans="1:46" s="2" customFormat="1" ht="15.75" customHeight="1">
      <c r="A3" s="196"/>
      <c r="B3" s="197"/>
      <c r="C3" s="197"/>
      <c r="D3" s="197"/>
      <c r="E3" s="198"/>
      <c r="F3" s="175" t="s">
        <v>18</v>
      </c>
      <c r="G3" s="175"/>
      <c r="H3" s="175"/>
      <c r="I3" s="240" t="s">
        <v>111</v>
      </c>
      <c r="J3" s="183"/>
      <c r="K3" s="183"/>
      <c r="L3" s="183"/>
      <c r="M3" s="183"/>
      <c r="N3" s="183"/>
      <c r="O3" s="183"/>
      <c r="P3" s="183"/>
      <c r="Q3" s="183"/>
      <c r="R3" s="183"/>
      <c r="S3" s="183"/>
      <c r="T3" s="183"/>
      <c r="U3" s="183"/>
      <c r="V3" s="184"/>
      <c r="W3" s="204"/>
      <c r="X3" s="176"/>
      <c r="Y3" s="177"/>
      <c r="Z3" s="179"/>
      <c r="AA3" s="179"/>
      <c r="AB3" s="181"/>
      <c r="AC3" s="176"/>
      <c r="AD3" s="24"/>
      <c r="AE3" s="24"/>
      <c r="AF3" s="24"/>
      <c r="AG3" s="24"/>
      <c r="AH3" s="24"/>
      <c r="AI3" s="24"/>
      <c r="AJ3" s="57"/>
      <c r="AK3" s="24"/>
      <c r="AL3" s="24"/>
      <c r="AM3" s="24"/>
      <c r="AN3" s="24"/>
      <c r="AO3" s="24"/>
      <c r="AP3" s="24"/>
      <c r="AQ3" s="24"/>
      <c r="AR3" s="24"/>
      <c r="AS3" s="24"/>
      <c r="AT3" s="24"/>
    </row>
    <row r="4" spans="1:46" ht="15.75" customHeight="1">
      <c r="A4" s="199"/>
      <c r="B4" s="200"/>
      <c r="C4" s="200"/>
      <c r="D4" s="200"/>
      <c r="E4" s="201"/>
      <c r="F4" s="175"/>
      <c r="G4" s="175"/>
      <c r="H4" s="175"/>
      <c r="I4" s="185"/>
      <c r="J4" s="186"/>
      <c r="K4" s="186"/>
      <c r="L4" s="186"/>
      <c r="M4" s="186"/>
      <c r="N4" s="186"/>
      <c r="O4" s="186"/>
      <c r="P4" s="186"/>
      <c r="Q4" s="186"/>
      <c r="R4" s="186"/>
      <c r="S4" s="186"/>
      <c r="T4" s="186"/>
      <c r="U4" s="186"/>
      <c r="V4" s="187"/>
      <c r="W4" s="204"/>
      <c r="X4" s="176"/>
      <c r="Y4" s="177"/>
      <c r="Z4" s="180"/>
      <c r="AA4" s="180"/>
      <c r="AB4" s="181"/>
      <c r="AC4" s="176"/>
      <c r="AD4" s="3"/>
      <c r="AE4" s="3"/>
      <c r="AF4" s="3"/>
      <c r="AG4" s="3"/>
      <c r="AH4" s="3"/>
      <c r="AI4" s="3"/>
      <c r="AJ4" s="3"/>
      <c r="AK4" s="3"/>
      <c r="AL4" s="3"/>
      <c r="AM4" s="3"/>
      <c r="AN4" s="3"/>
      <c r="AO4" s="3"/>
      <c r="AP4" s="3"/>
      <c r="AQ4" s="3"/>
      <c r="AR4" s="3"/>
      <c r="AS4" s="3"/>
      <c r="AT4" s="3"/>
    </row>
    <row r="5" spans="1:46" s="6" customFormat="1" ht="18.75" customHeight="1">
      <c r="A5" s="188" t="s">
        <v>134</v>
      </c>
      <c r="B5" s="189"/>
      <c r="C5" s="189"/>
      <c r="D5" s="189"/>
      <c r="E5" s="174"/>
      <c r="F5" s="190" t="s">
        <v>174</v>
      </c>
      <c r="G5" s="191"/>
      <c r="H5" s="191"/>
      <c r="I5" s="191"/>
      <c r="J5" s="192"/>
      <c r="K5" s="188" t="s">
        <v>5</v>
      </c>
      <c r="L5" s="189"/>
      <c r="M5" s="189"/>
      <c r="N5" s="174"/>
      <c r="O5" s="190"/>
      <c r="P5" s="191"/>
      <c r="Q5" s="191"/>
      <c r="R5" s="191"/>
      <c r="S5" s="192"/>
      <c r="T5" s="188" t="s">
        <v>135</v>
      </c>
      <c r="U5" s="189"/>
      <c r="V5" s="189"/>
      <c r="W5" s="174"/>
      <c r="X5" s="177" t="s">
        <v>219</v>
      </c>
      <c r="Y5" s="214"/>
      <c r="Z5" s="214"/>
      <c r="AA5" s="214"/>
      <c r="AB5" s="214"/>
      <c r="AC5" s="181"/>
      <c r="AD5" s="5"/>
      <c r="AE5" s="5"/>
      <c r="AF5" s="5"/>
      <c r="AG5" s="5"/>
      <c r="AH5" s="5"/>
      <c r="AI5" s="5"/>
      <c r="AJ5" s="5"/>
      <c r="AK5" s="5"/>
      <c r="AL5" s="5"/>
      <c r="AM5" s="5"/>
      <c r="AN5" s="5"/>
      <c r="AO5" s="5"/>
      <c r="AP5" s="5"/>
      <c r="AQ5" s="5"/>
      <c r="AR5" s="5"/>
      <c r="AS5" s="5"/>
      <c r="AT5" s="5"/>
    </row>
    <row r="6" spans="1:46" s="6" customFormat="1" ht="21.75" customHeight="1">
      <c r="A6" s="175" t="s">
        <v>6</v>
      </c>
      <c r="B6" s="188"/>
      <c r="C6" s="188" t="s">
        <v>7</v>
      </c>
      <c r="D6" s="189"/>
      <c r="E6" s="189"/>
      <c r="F6" s="189"/>
      <c r="G6" s="189"/>
      <c r="H6" s="189"/>
      <c r="I6" s="189"/>
      <c r="J6" s="189"/>
      <c r="K6" s="189"/>
      <c r="L6" s="189"/>
      <c r="M6" s="189"/>
      <c r="N6" s="189"/>
      <c r="O6" s="189"/>
      <c r="P6" s="189"/>
      <c r="Q6" s="189"/>
      <c r="R6" s="189"/>
      <c r="S6" s="189"/>
      <c r="T6" s="189"/>
      <c r="U6" s="189"/>
      <c r="V6" s="189"/>
      <c r="W6" s="174"/>
      <c r="X6" s="174" t="s">
        <v>8</v>
      </c>
      <c r="Y6" s="175"/>
      <c r="Z6" s="175"/>
      <c r="AA6" s="175"/>
      <c r="AB6" s="175"/>
      <c r="AC6" s="175"/>
      <c r="AD6" s="5"/>
      <c r="AE6" s="5"/>
      <c r="AF6" s="5"/>
      <c r="AG6" s="5"/>
      <c r="AH6" s="5"/>
      <c r="AI6" s="5"/>
      <c r="AJ6" s="5"/>
      <c r="AK6" s="5"/>
      <c r="AL6" s="5"/>
      <c r="AM6" s="5"/>
      <c r="AN6" s="5"/>
      <c r="AO6" s="5"/>
      <c r="AP6" s="5"/>
      <c r="AQ6" s="5"/>
      <c r="AR6" s="5"/>
      <c r="AS6" s="5"/>
      <c r="AT6" s="5"/>
    </row>
    <row r="7" spans="1:46" s="8" customFormat="1" ht="20.25" customHeight="1">
      <c r="A7" s="215">
        <v>1</v>
      </c>
      <c r="B7" s="220"/>
      <c r="C7" s="26" t="s">
        <v>19</v>
      </c>
      <c r="D7" s="27"/>
      <c r="E7" s="28"/>
      <c r="F7" s="7"/>
      <c r="G7" s="29"/>
      <c r="H7" s="29"/>
      <c r="I7" s="29"/>
      <c r="J7" s="29"/>
      <c r="K7" s="29"/>
      <c r="L7" s="29"/>
      <c r="M7" s="29"/>
      <c r="N7" s="29"/>
      <c r="O7" s="29"/>
      <c r="P7" s="29"/>
      <c r="Q7" s="29"/>
      <c r="R7" s="29"/>
      <c r="S7" s="29"/>
      <c r="T7" s="29"/>
      <c r="U7" s="29"/>
      <c r="V7" s="29"/>
      <c r="W7" s="30"/>
      <c r="X7" s="220" t="s">
        <v>10</v>
      </c>
      <c r="Y7" s="220"/>
      <c r="Z7" s="220"/>
      <c r="AA7" s="220"/>
      <c r="AB7" s="220"/>
      <c r="AC7" s="216"/>
      <c r="AD7" s="16"/>
      <c r="AE7" s="16"/>
      <c r="AF7" s="16"/>
      <c r="AG7" s="16"/>
      <c r="AH7" s="16"/>
      <c r="AI7" s="16"/>
      <c r="AJ7" s="16"/>
      <c r="AK7" s="16"/>
      <c r="AL7" s="16"/>
      <c r="AM7" s="16"/>
      <c r="AN7" s="16"/>
      <c r="AO7" s="16"/>
      <c r="AP7" s="16"/>
      <c r="AQ7" s="16"/>
      <c r="AR7" s="16"/>
      <c r="AS7" s="16"/>
      <c r="AT7" s="16"/>
    </row>
    <row r="8" spans="1:46" s="8" customFormat="1" ht="20.25" customHeight="1">
      <c r="A8" s="206">
        <v>2</v>
      </c>
      <c r="B8" s="224"/>
      <c r="C8" s="11" t="s">
        <v>20</v>
      </c>
      <c r="D8" s="12"/>
      <c r="E8" s="39"/>
      <c r="F8" s="13"/>
      <c r="G8" s="14"/>
      <c r="H8" s="14"/>
      <c r="I8" s="14"/>
      <c r="J8" s="14"/>
      <c r="K8" s="14"/>
      <c r="L8" s="14"/>
      <c r="M8" s="14"/>
      <c r="N8" s="14"/>
      <c r="O8" s="14"/>
      <c r="P8" s="14"/>
      <c r="Q8" s="14"/>
      <c r="R8" s="14"/>
      <c r="S8" s="14"/>
      <c r="T8" s="14"/>
      <c r="U8" s="14"/>
      <c r="V8" s="14"/>
      <c r="W8" s="15"/>
      <c r="X8" s="206" t="s">
        <v>10</v>
      </c>
      <c r="Y8" s="224"/>
      <c r="Z8" s="224"/>
      <c r="AA8" s="224"/>
      <c r="AB8" s="224"/>
      <c r="AC8" s="207"/>
      <c r="AD8" s="16"/>
      <c r="AE8" s="16"/>
      <c r="AF8" s="16"/>
      <c r="AG8" s="16"/>
      <c r="AH8" s="16"/>
      <c r="AI8" s="16"/>
      <c r="AJ8" s="16"/>
      <c r="AK8" s="16"/>
      <c r="AL8" s="16"/>
      <c r="AM8" s="16"/>
      <c r="AN8" s="16"/>
      <c r="AO8" s="16"/>
      <c r="AP8" s="16"/>
      <c r="AQ8" s="16"/>
      <c r="AR8" s="16"/>
      <c r="AS8" s="16"/>
      <c r="AT8" s="16"/>
    </row>
    <row r="9" spans="1:46" s="8" customFormat="1" ht="20.25" customHeight="1">
      <c r="A9" s="206">
        <v>3</v>
      </c>
      <c r="B9" s="224"/>
      <c r="C9" s="11" t="s">
        <v>21</v>
      </c>
      <c r="D9" s="12"/>
      <c r="E9" s="39"/>
      <c r="F9" s="13"/>
      <c r="G9" s="14"/>
      <c r="H9" s="14"/>
      <c r="I9" s="14"/>
      <c r="J9" s="14"/>
      <c r="K9" s="14"/>
      <c r="L9" s="14"/>
      <c r="M9" s="14"/>
      <c r="N9" s="14"/>
      <c r="O9" s="14"/>
      <c r="P9" s="14"/>
      <c r="Q9" s="14"/>
      <c r="R9" s="14"/>
      <c r="S9" s="14"/>
      <c r="T9" s="14"/>
      <c r="U9" s="14"/>
      <c r="V9" s="14"/>
      <c r="W9" s="15"/>
      <c r="X9" s="206" t="s">
        <v>10</v>
      </c>
      <c r="Y9" s="224"/>
      <c r="Z9" s="224"/>
      <c r="AA9" s="224"/>
      <c r="AB9" s="224"/>
      <c r="AC9" s="207"/>
      <c r="AD9" s="16"/>
      <c r="AE9" s="16"/>
      <c r="AF9" s="16"/>
      <c r="AG9" s="16"/>
      <c r="AH9" s="16"/>
      <c r="AI9" s="16"/>
      <c r="AJ9" s="16"/>
      <c r="AK9" s="16"/>
      <c r="AL9" s="16"/>
      <c r="AM9" s="16"/>
      <c r="AN9" s="16"/>
      <c r="AO9" s="16"/>
      <c r="AP9" s="16"/>
      <c r="AQ9" s="16"/>
      <c r="AR9" s="16"/>
      <c r="AS9" s="16"/>
      <c r="AT9" s="16"/>
    </row>
    <row r="10" spans="1:46" s="8" customFormat="1" ht="20.25" customHeight="1">
      <c r="A10" s="206">
        <v>4</v>
      </c>
      <c r="B10" s="224"/>
      <c r="C10" s="11" t="s">
        <v>22</v>
      </c>
      <c r="D10" s="12"/>
      <c r="E10" s="39"/>
      <c r="F10" s="13"/>
      <c r="G10" s="14"/>
      <c r="H10" s="14"/>
      <c r="I10" s="14"/>
      <c r="J10" s="14"/>
      <c r="K10" s="14"/>
      <c r="L10" s="14"/>
      <c r="M10" s="14"/>
      <c r="N10" s="14"/>
      <c r="O10" s="14"/>
      <c r="P10" s="14"/>
      <c r="Q10" s="14"/>
      <c r="R10" s="14"/>
      <c r="S10" s="14"/>
      <c r="T10" s="14"/>
      <c r="U10" s="14"/>
      <c r="V10" s="14"/>
      <c r="W10" s="15"/>
      <c r="X10" s="206" t="s">
        <v>10</v>
      </c>
      <c r="Y10" s="224"/>
      <c r="Z10" s="224"/>
      <c r="AA10" s="224"/>
      <c r="AB10" s="224"/>
      <c r="AC10" s="207"/>
      <c r="AD10" s="16"/>
      <c r="AE10" s="16"/>
      <c r="AF10" s="16"/>
      <c r="AG10" s="16"/>
      <c r="AH10" s="16"/>
      <c r="AI10" s="16"/>
      <c r="AJ10" s="16"/>
      <c r="AK10" s="16"/>
      <c r="AL10" s="16"/>
      <c r="AM10" s="16"/>
      <c r="AN10" s="16"/>
      <c r="AO10" s="16"/>
      <c r="AP10" s="16"/>
      <c r="AQ10" s="16"/>
      <c r="AR10" s="16"/>
      <c r="AS10" s="16"/>
      <c r="AT10" s="16"/>
    </row>
    <row r="11" spans="1:46" s="8" customFormat="1" ht="20.25" customHeight="1">
      <c r="A11" s="206">
        <v>5</v>
      </c>
      <c r="B11" s="224"/>
      <c r="C11" s="11" t="s">
        <v>11</v>
      </c>
      <c r="D11" s="12"/>
      <c r="E11" s="39"/>
      <c r="F11" s="13"/>
      <c r="G11" s="14"/>
      <c r="H11" s="14"/>
      <c r="I11" s="14"/>
      <c r="J11" s="14"/>
      <c r="K11" s="14"/>
      <c r="L11" s="14"/>
      <c r="M11" s="14"/>
      <c r="N11" s="14"/>
      <c r="O11" s="14"/>
      <c r="P11" s="14"/>
      <c r="Q11" s="14"/>
      <c r="R11" s="14"/>
      <c r="S11" s="14"/>
      <c r="T11" s="14"/>
      <c r="U11" s="14"/>
      <c r="V11" s="14"/>
      <c r="W11" s="15"/>
      <c r="X11" s="206" t="s">
        <v>10</v>
      </c>
      <c r="Y11" s="224"/>
      <c r="Z11" s="224"/>
      <c r="AA11" s="224"/>
      <c r="AB11" s="224"/>
      <c r="AC11" s="207"/>
      <c r="AD11" s="59"/>
      <c r="AE11" s="16"/>
      <c r="AF11" s="16"/>
      <c r="AG11" s="16"/>
      <c r="AH11" s="16"/>
      <c r="AI11" s="16"/>
      <c r="AJ11" s="16"/>
      <c r="AK11" s="16"/>
      <c r="AL11" s="16"/>
      <c r="AM11" s="16"/>
      <c r="AN11" s="16"/>
      <c r="AO11" s="16"/>
      <c r="AP11" s="16"/>
      <c r="AQ11" s="16"/>
      <c r="AR11" s="16"/>
      <c r="AS11" s="16"/>
      <c r="AT11" s="16"/>
    </row>
    <row r="12" spans="1:46" s="8" customFormat="1" ht="20.25" customHeight="1">
      <c r="A12" s="206">
        <v>6</v>
      </c>
      <c r="B12" s="224"/>
      <c r="C12" s="11" t="s">
        <v>82</v>
      </c>
      <c r="D12" s="12"/>
      <c r="E12" s="39"/>
      <c r="F12" s="13"/>
      <c r="G12" s="14"/>
      <c r="H12" s="14"/>
      <c r="I12" s="14"/>
      <c r="J12" s="14"/>
      <c r="K12" s="14"/>
      <c r="L12" s="14"/>
      <c r="M12" s="14"/>
      <c r="N12" s="14"/>
      <c r="O12" s="14"/>
      <c r="P12" s="14"/>
      <c r="Q12" s="14"/>
      <c r="R12" s="14"/>
      <c r="S12" s="14"/>
      <c r="T12" s="14"/>
      <c r="U12" s="14"/>
      <c r="V12" s="14"/>
      <c r="W12" s="15"/>
      <c r="X12" s="206" t="s">
        <v>10</v>
      </c>
      <c r="Y12" s="224"/>
      <c r="Z12" s="224"/>
      <c r="AA12" s="224"/>
      <c r="AB12" s="224"/>
      <c r="AC12" s="207"/>
      <c r="AD12" s="16"/>
      <c r="AE12" s="16"/>
      <c r="AF12" s="16"/>
      <c r="AG12" s="16"/>
      <c r="AH12" s="16"/>
      <c r="AI12" s="16"/>
      <c r="AJ12" s="16"/>
      <c r="AK12" s="16"/>
      <c r="AL12" s="16"/>
      <c r="AM12" s="16"/>
      <c r="AN12" s="16"/>
      <c r="AO12" s="16"/>
      <c r="AP12" s="16"/>
      <c r="AQ12" s="16"/>
      <c r="AR12" s="16"/>
      <c r="AS12" s="16"/>
      <c r="AT12" s="16"/>
    </row>
    <row r="13" spans="1:46" s="8" customFormat="1" ht="20.25" customHeight="1">
      <c r="A13" s="206">
        <v>7</v>
      </c>
      <c r="B13" s="224"/>
      <c r="C13" s="11" t="s">
        <v>24</v>
      </c>
      <c r="D13" s="12"/>
      <c r="E13" s="39"/>
      <c r="F13" s="13"/>
      <c r="G13" s="14"/>
      <c r="H13" s="14"/>
      <c r="I13" s="14"/>
      <c r="J13" s="14"/>
      <c r="K13" s="14"/>
      <c r="L13" s="14"/>
      <c r="M13" s="14"/>
      <c r="N13" s="14"/>
      <c r="O13" s="14"/>
      <c r="P13" s="14"/>
      <c r="Q13" s="14"/>
      <c r="R13" s="14"/>
      <c r="S13" s="14"/>
      <c r="T13" s="14"/>
      <c r="U13" s="14"/>
      <c r="V13" s="14"/>
      <c r="W13" s="15"/>
      <c r="X13" s="206" t="s">
        <v>10</v>
      </c>
      <c r="Y13" s="224"/>
      <c r="Z13" s="224"/>
      <c r="AA13" s="224"/>
      <c r="AB13" s="224"/>
      <c r="AC13" s="207"/>
      <c r="AD13" s="16"/>
      <c r="AE13" s="16"/>
      <c r="AF13" s="16"/>
      <c r="AG13" s="16"/>
      <c r="AH13" s="16"/>
      <c r="AI13" s="16"/>
      <c r="AJ13" s="16"/>
      <c r="AK13" s="16"/>
      <c r="AL13" s="16"/>
      <c r="AM13" s="16"/>
      <c r="AN13" s="16"/>
      <c r="AO13" s="16"/>
      <c r="AP13" s="16"/>
      <c r="AQ13" s="16"/>
      <c r="AR13" s="16"/>
      <c r="AS13" s="16"/>
      <c r="AT13" s="16"/>
    </row>
    <row r="14" spans="1:46" s="8" customFormat="1" ht="20.25" customHeight="1">
      <c r="A14" s="206">
        <v>8</v>
      </c>
      <c r="B14" s="224"/>
      <c r="C14" s="11" t="s">
        <v>38</v>
      </c>
      <c r="D14" s="12"/>
      <c r="E14" s="39"/>
      <c r="F14" s="13"/>
      <c r="G14" s="14"/>
      <c r="H14" s="14"/>
      <c r="I14" s="14"/>
      <c r="J14" s="14"/>
      <c r="K14" s="14"/>
      <c r="L14" s="14"/>
      <c r="M14" s="14"/>
      <c r="N14" s="14"/>
      <c r="O14" s="14"/>
      <c r="P14" s="14"/>
      <c r="Q14" s="14"/>
      <c r="R14" s="14"/>
      <c r="S14" s="14"/>
      <c r="T14" s="14"/>
      <c r="U14" s="14"/>
      <c r="V14" s="14"/>
      <c r="W14" s="15"/>
      <c r="X14" s="206" t="s">
        <v>10</v>
      </c>
      <c r="Y14" s="224"/>
      <c r="Z14" s="224"/>
      <c r="AA14" s="224"/>
      <c r="AB14" s="224"/>
      <c r="AC14" s="207"/>
      <c r="AD14" s="16"/>
      <c r="AE14" s="16"/>
      <c r="AF14" s="16"/>
      <c r="AG14" s="16"/>
      <c r="AH14" s="16"/>
      <c r="AI14" s="16"/>
      <c r="AJ14" s="16"/>
      <c r="AK14" s="16"/>
      <c r="AL14" s="16"/>
      <c r="AM14" s="16"/>
      <c r="AN14" s="16"/>
      <c r="AO14" s="16"/>
      <c r="AP14" s="16"/>
      <c r="AQ14" s="16"/>
      <c r="AR14" s="16"/>
      <c r="AS14" s="16"/>
      <c r="AT14" s="16"/>
    </row>
    <row r="15" spans="1:46" s="8" customFormat="1" ht="20.25" customHeight="1">
      <c r="A15" s="206">
        <v>9</v>
      </c>
      <c r="B15" s="224"/>
      <c r="C15" s="11" t="s">
        <v>112</v>
      </c>
      <c r="D15" s="12"/>
      <c r="E15" s="39"/>
      <c r="F15" s="13"/>
      <c r="G15" s="14"/>
      <c r="H15" s="14"/>
      <c r="I15" s="14"/>
      <c r="J15" s="14"/>
      <c r="K15" s="14"/>
      <c r="L15" s="14"/>
      <c r="M15" s="14"/>
      <c r="N15" s="14"/>
      <c r="O15" s="14"/>
      <c r="P15" s="14"/>
      <c r="Q15" s="14"/>
      <c r="R15" s="14"/>
      <c r="S15" s="14"/>
      <c r="T15" s="14"/>
      <c r="U15" s="14"/>
      <c r="V15" s="14"/>
      <c r="W15" s="15"/>
      <c r="X15" s="206" t="s">
        <v>10</v>
      </c>
      <c r="Y15" s="224"/>
      <c r="Z15" s="224"/>
      <c r="AA15" s="224"/>
      <c r="AB15" s="224"/>
      <c r="AC15" s="207"/>
      <c r="AD15" s="16"/>
      <c r="AE15" s="16"/>
      <c r="AF15" s="16"/>
      <c r="AG15" s="16"/>
      <c r="AH15" s="16"/>
      <c r="AI15" s="16"/>
      <c r="AJ15" s="16"/>
      <c r="AK15" s="16"/>
      <c r="AL15" s="16"/>
      <c r="AM15" s="16"/>
      <c r="AN15" s="16"/>
      <c r="AO15" s="16"/>
      <c r="AP15" s="16"/>
      <c r="AQ15" s="16"/>
      <c r="AR15" s="16"/>
      <c r="AS15" s="16"/>
      <c r="AT15" s="16"/>
    </row>
    <row r="16" spans="1:46" s="8" customFormat="1" ht="20.25" customHeight="1">
      <c r="A16" s="206">
        <v>10</v>
      </c>
      <c r="B16" s="224"/>
      <c r="C16" s="11" t="s">
        <v>113</v>
      </c>
      <c r="D16" s="12"/>
      <c r="E16" s="39"/>
      <c r="F16" s="13"/>
      <c r="G16" s="14"/>
      <c r="H16" s="14"/>
      <c r="I16" s="14"/>
      <c r="J16" s="14"/>
      <c r="K16" s="14"/>
      <c r="L16" s="14"/>
      <c r="M16" s="14"/>
      <c r="N16" s="14"/>
      <c r="O16" s="14"/>
      <c r="P16" s="14"/>
      <c r="Q16" s="14"/>
      <c r="R16" s="14"/>
      <c r="S16" s="14"/>
      <c r="T16" s="14"/>
      <c r="U16" s="14"/>
      <c r="V16" s="14"/>
      <c r="W16" s="15"/>
      <c r="X16" s="206" t="s">
        <v>10</v>
      </c>
      <c r="Y16" s="224"/>
      <c r="Z16" s="224"/>
      <c r="AA16" s="224"/>
      <c r="AB16" s="224"/>
      <c r="AC16" s="207"/>
      <c r="AD16" s="16"/>
      <c r="AE16" s="16"/>
      <c r="AF16" s="16"/>
      <c r="AG16" s="16"/>
      <c r="AH16" s="16"/>
      <c r="AI16" s="16"/>
      <c r="AJ16" s="16"/>
      <c r="AK16" s="16"/>
      <c r="AL16" s="16"/>
      <c r="AM16" s="16"/>
      <c r="AN16" s="16"/>
      <c r="AO16" s="16"/>
      <c r="AP16" s="16"/>
      <c r="AQ16" s="16"/>
      <c r="AR16" s="16"/>
      <c r="AS16" s="16"/>
      <c r="AT16" s="16"/>
    </row>
    <row r="17" spans="1:46" s="8" customFormat="1" ht="20.25" customHeight="1">
      <c r="A17" s="206">
        <v>11</v>
      </c>
      <c r="B17" s="224"/>
      <c r="C17" s="11" t="s">
        <v>114</v>
      </c>
      <c r="D17" s="12"/>
      <c r="E17" s="39"/>
      <c r="F17" s="13"/>
      <c r="G17" s="14"/>
      <c r="H17" s="14"/>
      <c r="I17" s="14"/>
      <c r="J17" s="14"/>
      <c r="K17" s="14"/>
      <c r="L17" s="14"/>
      <c r="M17" s="14"/>
      <c r="N17" s="14"/>
      <c r="O17" s="14"/>
      <c r="P17" s="14"/>
      <c r="Q17" s="14"/>
      <c r="R17" s="14"/>
      <c r="S17" s="14"/>
      <c r="T17" s="14"/>
      <c r="U17" s="14"/>
      <c r="V17" s="14"/>
      <c r="W17" s="15"/>
      <c r="X17" s="206" t="s">
        <v>10</v>
      </c>
      <c r="Y17" s="224"/>
      <c r="Z17" s="224"/>
      <c r="AA17" s="224"/>
      <c r="AB17" s="224"/>
      <c r="AC17" s="207"/>
      <c r="AD17" s="16"/>
      <c r="AE17" s="16"/>
      <c r="AF17" s="16"/>
      <c r="AG17" s="16"/>
      <c r="AH17" s="16"/>
      <c r="AI17" s="16"/>
      <c r="AJ17" s="16"/>
      <c r="AK17" s="16"/>
      <c r="AL17" s="16"/>
      <c r="AM17" s="16"/>
      <c r="AN17" s="16"/>
      <c r="AO17" s="16"/>
      <c r="AP17" s="16"/>
      <c r="AQ17" s="16"/>
      <c r="AR17" s="16"/>
      <c r="AS17" s="16"/>
      <c r="AT17" s="16"/>
    </row>
    <row r="18" spans="1:46" s="8" customFormat="1" ht="20.25" customHeight="1">
      <c r="A18" s="206">
        <v>12</v>
      </c>
      <c r="B18" s="224"/>
      <c r="C18" s="11" t="s">
        <v>115</v>
      </c>
      <c r="D18" s="12"/>
      <c r="E18" s="39"/>
      <c r="F18" s="13"/>
      <c r="G18" s="14"/>
      <c r="H18" s="14"/>
      <c r="I18" s="14"/>
      <c r="J18" s="14"/>
      <c r="K18" s="14"/>
      <c r="L18" s="14"/>
      <c r="M18" s="14"/>
      <c r="N18" s="14"/>
      <c r="O18" s="14"/>
      <c r="P18" s="14"/>
      <c r="Q18" s="14"/>
      <c r="R18" s="14"/>
      <c r="S18" s="14"/>
      <c r="T18" s="14"/>
      <c r="U18" s="14"/>
      <c r="V18" s="14"/>
      <c r="W18" s="15"/>
      <c r="X18" s="206" t="s">
        <v>10</v>
      </c>
      <c r="Y18" s="224"/>
      <c r="Z18" s="224"/>
      <c r="AA18" s="224"/>
      <c r="AB18" s="224"/>
      <c r="AC18" s="207"/>
      <c r="AD18" s="16"/>
      <c r="AE18" s="16"/>
      <c r="AF18" s="16"/>
      <c r="AG18" s="16"/>
      <c r="AH18" s="16"/>
      <c r="AI18" s="16"/>
      <c r="AJ18" s="16"/>
      <c r="AK18" s="16"/>
      <c r="AL18" s="16"/>
      <c r="AM18" s="16"/>
      <c r="AN18" s="16"/>
      <c r="AO18" s="16"/>
      <c r="AP18" s="16"/>
      <c r="AQ18" s="16"/>
      <c r="AR18" s="16"/>
      <c r="AS18" s="16"/>
      <c r="AT18" s="16"/>
    </row>
    <row r="19" spans="1:46" s="8" customFormat="1" ht="20.25" customHeight="1">
      <c r="A19" s="206">
        <v>13</v>
      </c>
      <c r="B19" s="224"/>
      <c r="C19" s="11" t="s">
        <v>116</v>
      </c>
      <c r="D19" s="12"/>
      <c r="E19" s="39"/>
      <c r="F19" s="13"/>
      <c r="G19" s="14"/>
      <c r="H19" s="14"/>
      <c r="I19" s="14"/>
      <c r="J19" s="14"/>
      <c r="K19" s="14"/>
      <c r="L19" s="14"/>
      <c r="M19" s="14"/>
      <c r="N19" s="14"/>
      <c r="O19" s="14"/>
      <c r="P19" s="14"/>
      <c r="Q19" s="14"/>
      <c r="R19" s="14"/>
      <c r="S19" s="14"/>
      <c r="T19" s="14"/>
      <c r="U19" s="14"/>
      <c r="V19" s="14"/>
      <c r="W19" s="15"/>
      <c r="X19" s="206" t="s">
        <v>10</v>
      </c>
      <c r="Y19" s="224"/>
      <c r="Z19" s="224"/>
      <c r="AA19" s="224"/>
      <c r="AB19" s="224"/>
      <c r="AC19" s="207"/>
      <c r="AD19" s="16"/>
      <c r="AE19" s="16"/>
      <c r="AF19" s="16"/>
      <c r="AG19" s="16"/>
      <c r="AH19" s="16"/>
      <c r="AI19" s="16"/>
      <c r="AJ19" s="16"/>
      <c r="AK19" s="16"/>
      <c r="AL19" s="16"/>
      <c r="AM19" s="16"/>
      <c r="AN19" s="16"/>
      <c r="AO19" s="16"/>
      <c r="AP19" s="16"/>
      <c r="AQ19" s="16"/>
      <c r="AR19" s="16"/>
      <c r="AS19" s="16"/>
      <c r="AT19" s="16"/>
    </row>
    <row r="20" spans="1:46" s="8" customFormat="1" ht="20.25" customHeight="1">
      <c r="A20" s="225">
        <v>14</v>
      </c>
      <c r="B20" s="227"/>
      <c r="C20" s="17" t="s">
        <v>114</v>
      </c>
      <c r="D20" s="18"/>
      <c r="E20" s="18"/>
      <c r="F20" s="19"/>
      <c r="G20" s="20"/>
      <c r="H20" s="20"/>
      <c r="I20" s="20"/>
      <c r="J20" s="20"/>
      <c r="K20" s="20"/>
      <c r="L20" s="20"/>
      <c r="M20" s="20"/>
      <c r="N20" s="20"/>
      <c r="O20" s="20"/>
      <c r="P20" s="20"/>
      <c r="Q20" s="20"/>
      <c r="R20" s="20"/>
      <c r="S20" s="20"/>
      <c r="T20" s="20"/>
      <c r="U20" s="20"/>
      <c r="V20" s="20"/>
      <c r="W20" s="22"/>
      <c r="X20" s="225" t="s">
        <v>10</v>
      </c>
      <c r="Y20" s="227"/>
      <c r="Z20" s="227"/>
      <c r="AA20" s="227"/>
      <c r="AB20" s="227"/>
      <c r="AC20" s="226"/>
      <c r="AD20" s="16"/>
      <c r="AE20" s="16"/>
      <c r="AF20" s="16"/>
      <c r="AG20" s="16"/>
      <c r="AH20" s="16"/>
      <c r="AI20" s="16"/>
      <c r="AJ20" s="16"/>
      <c r="AK20" s="16"/>
      <c r="AL20" s="16"/>
      <c r="AM20" s="16"/>
      <c r="AN20" s="16"/>
      <c r="AO20" s="16"/>
      <c r="AP20" s="16"/>
      <c r="AQ20" s="16"/>
      <c r="AR20" s="16"/>
      <c r="AS20" s="16"/>
      <c r="AT20" s="16"/>
    </row>
    <row r="21" spans="1:46" s="6" customFormat="1" ht="15">
      <c r="A21" s="5"/>
      <c r="B21" s="5"/>
      <c r="C21" s="5"/>
      <c r="D21" s="5"/>
      <c r="E21" s="5"/>
      <c r="F21" s="5"/>
      <c r="G21" s="5"/>
      <c r="H21" s="5"/>
      <c r="I21" s="5"/>
      <c r="J21" s="5"/>
      <c r="K21" s="5"/>
      <c r="L21" s="5"/>
      <c r="M21" s="5"/>
      <c r="N21" s="5"/>
      <c r="O21" s="5"/>
      <c r="P21" s="5"/>
      <c r="Q21" s="5"/>
      <c r="R21" s="5"/>
      <c r="S21" s="5"/>
      <c r="T21" s="5"/>
      <c r="U21" s="5"/>
      <c r="V21" s="5"/>
      <c r="W21" s="5"/>
      <c r="X21" s="229" t="s">
        <v>172</v>
      </c>
      <c r="Y21" s="229"/>
      <c r="Z21" s="229"/>
      <c r="AA21" s="229"/>
      <c r="AB21" s="229"/>
      <c r="AC21" s="229"/>
      <c r="AD21" s="5"/>
      <c r="AE21" s="5"/>
      <c r="AF21" s="5"/>
      <c r="AG21" s="5"/>
      <c r="AH21" s="5"/>
      <c r="AI21" s="5"/>
      <c r="AJ21" s="5"/>
      <c r="AK21" s="5"/>
      <c r="AL21" s="5"/>
      <c r="AM21" s="5"/>
      <c r="AN21" s="5"/>
      <c r="AO21" s="5"/>
      <c r="AP21" s="5"/>
      <c r="AQ21" s="5"/>
      <c r="AR21" s="5"/>
      <c r="AS21" s="5"/>
      <c r="AT21" s="5"/>
    </row>
    <row r="22" spans="1:46" s="6" customFormat="1" ht="15">
      <c r="A22" s="5"/>
      <c r="B22" s="5"/>
      <c r="C22" s="5"/>
      <c r="D22" s="5"/>
      <c r="E22" s="5"/>
      <c r="F22" s="5"/>
      <c r="G22" s="5"/>
      <c r="H22" s="5"/>
      <c r="I22" s="5"/>
      <c r="J22" s="5"/>
      <c r="K22" s="5"/>
      <c r="L22" s="5"/>
      <c r="M22" s="5"/>
      <c r="N22" s="5"/>
      <c r="O22" s="5"/>
      <c r="P22" s="5"/>
      <c r="Q22" s="5"/>
      <c r="R22" s="5"/>
      <c r="S22" s="5"/>
      <c r="T22" s="5"/>
      <c r="U22" s="5"/>
      <c r="V22" s="48"/>
      <c r="W22" s="5"/>
      <c r="X22" s="228">
        <v>100</v>
      </c>
      <c r="Y22" s="228"/>
      <c r="Z22" s="228"/>
      <c r="AA22" s="228"/>
      <c r="AB22" s="228"/>
      <c r="AC22" s="228"/>
      <c r="AD22" s="5"/>
      <c r="AE22" s="5"/>
      <c r="AF22" s="5"/>
      <c r="AG22" s="5"/>
      <c r="AH22" s="5"/>
      <c r="AI22" s="5"/>
      <c r="AJ22" s="5"/>
      <c r="AK22" s="5"/>
      <c r="AL22" s="5"/>
      <c r="AM22" s="5"/>
      <c r="AN22" s="5"/>
      <c r="AO22" s="5"/>
      <c r="AP22" s="5"/>
      <c r="AQ22" s="5"/>
      <c r="AR22" s="5"/>
      <c r="AS22" s="5"/>
      <c r="AT22" s="5"/>
    </row>
    <row r="23" spans="1:46" s="6" customFormat="1" ht="1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row>
    <row r="24" spans="1:46" s="6" customFormat="1" ht="1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row>
    <row r="25" spans="1:46" s="6" customFormat="1" ht="1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row>
    <row r="26" spans="1:46" s="6" customFormat="1" ht="1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row>
    <row r="27" spans="1:46" s="6" customFormat="1" ht="1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row>
    <row r="28" spans="1:46" s="6" customFormat="1" ht="1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row>
    <row r="29" spans="1:46" s="6" customFormat="1" ht="1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row>
    <row r="30" spans="1:46" s="6" customFormat="1" ht="1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row>
    <row r="31" spans="1:46" s="6" customFormat="1"/>
    <row r="32" spans="1:46" s="6" customFormat="1"/>
    <row r="33" s="6" customFormat="1"/>
    <row r="34" s="6" customFormat="1"/>
    <row r="35" s="6" customFormat="1"/>
    <row r="36" s="6" customFormat="1"/>
    <row r="37" s="6" customFormat="1"/>
    <row r="38" s="6" customFormat="1"/>
    <row r="39" s="6" customFormat="1"/>
    <row r="40" s="6" customFormat="1"/>
    <row r="41" s="6" customFormat="1"/>
    <row r="42" s="6" customFormat="1"/>
    <row r="43" s="6" customFormat="1"/>
    <row r="44" s="6" customFormat="1"/>
    <row r="45" s="6" customFormat="1"/>
    <row r="46" s="6" customFormat="1"/>
  </sheetData>
  <mergeCells count="50">
    <mergeCell ref="A20:B20"/>
    <mergeCell ref="X20:AC20"/>
    <mergeCell ref="X22:AC22"/>
    <mergeCell ref="A17:B17"/>
    <mergeCell ref="X17:AC17"/>
    <mergeCell ref="A18:B18"/>
    <mergeCell ref="X18:AC18"/>
    <mergeCell ref="A19:B19"/>
    <mergeCell ref="X19:AC19"/>
    <mergeCell ref="X21:AC21"/>
    <mergeCell ref="A14:B14"/>
    <mergeCell ref="X14:AC14"/>
    <mergeCell ref="A15:B15"/>
    <mergeCell ref="X15:AC15"/>
    <mergeCell ref="A16:B16"/>
    <mergeCell ref="X16:AC16"/>
    <mergeCell ref="A11:B11"/>
    <mergeCell ref="X11:AC11"/>
    <mergeCell ref="A12:B12"/>
    <mergeCell ref="X12:AC12"/>
    <mergeCell ref="A13:B13"/>
    <mergeCell ref="X13:AC13"/>
    <mergeCell ref="A8:B8"/>
    <mergeCell ref="X8:AC8"/>
    <mergeCell ref="A9:B9"/>
    <mergeCell ref="X9:AC9"/>
    <mergeCell ref="A10:B10"/>
    <mergeCell ref="X10:AC10"/>
    <mergeCell ref="X5:AC5"/>
    <mergeCell ref="A6:B6"/>
    <mergeCell ref="C6:W6"/>
    <mergeCell ref="X6:AC6"/>
    <mergeCell ref="A7:B7"/>
    <mergeCell ref="X7:AC7"/>
    <mergeCell ref="I3:V4"/>
    <mergeCell ref="A5:E5"/>
    <mergeCell ref="F5:J5"/>
    <mergeCell ref="K5:N5"/>
    <mergeCell ref="O5:S5"/>
    <mergeCell ref="T5:W5"/>
    <mergeCell ref="A1:E4"/>
    <mergeCell ref="F1:V2"/>
    <mergeCell ref="W1:W4"/>
    <mergeCell ref="F3:H4"/>
    <mergeCell ref="X1:Y1"/>
    <mergeCell ref="Z1:AA1"/>
    <mergeCell ref="AB1:AC1"/>
    <mergeCell ref="X2:Y4"/>
    <mergeCell ref="Z2:AA4"/>
    <mergeCell ref="AB2:AC4"/>
  </mergeCells>
  <pageMargins left="0.7" right="0.7" top="0.75" bottom="0.75" header="0.3" footer="0.3"/>
  <pageSetup paperSize="9" scale="87"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T47"/>
  <sheetViews>
    <sheetView showGridLines="0" view="pageBreakPreview" zoomScaleNormal="100" zoomScaleSheetLayoutView="100" workbookViewId="0">
      <selection activeCell="C15" sqref="C15:W15"/>
    </sheetView>
  </sheetViews>
  <sheetFormatPr defaultColWidth="3.5703125" defaultRowHeight="13.5"/>
  <cols>
    <col min="1" max="20" width="3.5703125" style="4"/>
    <col min="21" max="21" width="10.85546875" style="4" bestFit="1" customWidth="1"/>
    <col min="22" max="22" width="7.85546875" style="4" bestFit="1" customWidth="1"/>
    <col min="23" max="23" width="3.5703125" style="4"/>
    <col min="24" max="29" width="5.7109375" style="4" customWidth="1"/>
    <col min="30" max="16384" width="3.5703125" style="4"/>
  </cols>
  <sheetData>
    <row r="1" spans="1:46" s="2" customFormat="1" ht="25.5" customHeight="1">
      <c r="A1" s="193"/>
      <c r="B1" s="194"/>
      <c r="C1" s="194"/>
      <c r="D1" s="194"/>
      <c r="E1" s="195"/>
      <c r="F1" s="202" t="s">
        <v>243</v>
      </c>
      <c r="G1" s="203"/>
      <c r="H1" s="203"/>
      <c r="I1" s="203"/>
      <c r="J1" s="203"/>
      <c r="K1" s="203"/>
      <c r="L1" s="203"/>
      <c r="M1" s="203"/>
      <c r="N1" s="203"/>
      <c r="O1" s="203"/>
      <c r="P1" s="203"/>
      <c r="Q1" s="203"/>
      <c r="R1" s="203"/>
      <c r="S1" s="203"/>
      <c r="T1" s="203"/>
      <c r="U1" s="203"/>
      <c r="V1" s="203"/>
      <c r="W1" s="204" t="s">
        <v>0</v>
      </c>
      <c r="X1" s="174" t="s">
        <v>1</v>
      </c>
      <c r="Y1" s="175"/>
      <c r="Z1" s="175" t="s">
        <v>2</v>
      </c>
      <c r="AA1" s="175"/>
      <c r="AB1" s="175" t="s">
        <v>3</v>
      </c>
      <c r="AC1" s="175"/>
      <c r="AD1" s="24"/>
      <c r="AE1" s="24"/>
      <c r="AF1" s="24"/>
      <c r="AG1" s="24"/>
      <c r="AH1" s="24"/>
      <c r="AI1" s="24"/>
      <c r="AJ1" s="24"/>
      <c r="AK1" s="24"/>
      <c r="AL1" s="24"/>
      <c r="AM1" s="24"/>
      <c r="AN1" s="24"/>
      <c r="AO1" s="24"/>
      <c r="AP1" s="24"/>
      <c r="AQ1" s="24"/>
      <c r="AR1" s="24"/>
      <c r="AS1" s="24"/>
      <c r="AT1" s="24"/>
    </row>
    <row r="2" spans="1:46" s="2" customFormat="1" ht="25.5" customHeight="1">
      <c r="A2" s="196"/>
      <c r="B2" s="197"/>
      <c r="C2" s="197"/>
      <c r="D2" s="197"/>
      <c r="E2" s="198"/>
      <c r="F2" s="203"/>
      <c r="G2" s="203"/>
      <c r="H2" s="203"/>
      <c r="I2" s="203"/>
      <c r="J2" s="203"/>
      <c r="K2" s="203"/>
      <c r="L2" s="203"/>
      <c r="M2" s="203"/>
      <c r="N2" s="203"/>
      <c r="O2" s="203"/>
      <c r="P2" s="203"/>
      <c r="Q2" s="203"/>
      <c r="R2" s="203"/>
      <c r="S2" s="203"/>
      <c r="T2" s="203"/>
      <c r="U2" s="203"/>
      <c r="V2" s="203"/>
      <c r="W2" s="204"/>
      <c r="X2" s="176" t="s">
        <v>252</v>
      </c>
      <c r="Y2" s="177"/>
      <c r="Z2" s="178"/>
      <c r="AA2" s="178"/>
      <c r="AB2" s="181" t="s">
        <v>253</v>
      </c>
      <c r="AC2" s="176"/>
      <c r="AD2" s="24"/>
      <c r="AE2" s="24"/>
      <c r="AF2" s="24"/>
      <c r="AG2" s="24"/>
      <c r="AH2" s="24"/>
      <c r="AI2" s="24"/>
      <c r="AJ2" s="24"/>
      <c r="AK2" s="24"/>
      <c r="AL2" s="24"/>
      <c r="AM2" s="24"/>
      <c r="AN2" s="24"/>
      <c r="AO2" s="24"/>
      <c r="AP2" s="24"/>
      <c r="AQ2" s="24"/>
      <c r="AR2" s="24"/>
      <c r="AS2" s="24"/>
      <c r="AT2" s="24"/>
    </row>
    <row r="3" spans="1:46" s="2" customFormat="1" ht="15.75" customHeight="1">
      <c r="A3" s="196"/>
      <c r="B3" s="197"/>
      <c r="C3" s="197"/>
      <c r="D3" s="197"/>
      <c r="E3" s="198"/>
      <c r="F3" s="175" t="s">
        <v>18</v>
      </c>
      <c r="G3" s="175"/>
      <c r="H3" s="175"/>
      <c r="I3" s="240" t="s">
        <v>117</v>
      </c>
      <c r="J3" s="183"/>
      <c r="K3" s="183"/>
      <c r="L3" s="183"/>
      <c r="M3" s="183"/>
      <c r="N3" s="183"/>
      <c r="O3" s="183"/>
      <c r="P3" s="183"/>
      <c r="Q3" s="183"/>
      <c r="R3" s="183"/>
      <c r="S3" s="183"/>
      <c r="T3" s="183"/>
      <c r="U3" s="183"/>
      <c r="V3" s="184"/>
      <c r="W3" s="204"/>
      <c r="X3" s="176"/>
      <c r="Y3" s="177"/>
      <c r="Z3" s="179"/>
      <c r="AA3" s="179"/>
      <c r="AB3" s="181"/>
      <c r="AC3" s="176"/>
      <c r="AD3" s="24"/>
      <c r="AE3" s="24"/>
      <c r="AF3" s="24"/>
      <c r="AG3" s="24"/>
      <c r="AH3" s="24"/>
      <c r="AI3" s="24"/>
      <c r="AJ3" s="24"/>
      <c r="AK3" s="24"/>
      <c r="AL3" s="24"/>
      <c r="AM3" s="24"/>
      <c r="AN3" s="24"/>
      <c r="AO3" s="24"/>
      <c r="AP3" s="24"/>
      <c r="AQ3" s="24"/>
      <c r="AR3" s="24"/>
      <c r="AS3" s="24"/>
      <c r="AT3" s="24"/>
    </row>
    <row r="4" spans="1:46" ht="15.75" customHeight="1">
      <c r="A4" s="199"/>
      <c r="B4" s="200"/>
      <c r="C4" s="200"/>
      <c r="D4" s="200"/>
      <c r="E4" s="201"/>
      <c r="F4" s="175"/>
      <c r="G4" s="175"/>
      <c r="H4" s="175"/>
      <c r="I4" s="185"/>
      <c r="J4" s="186"/>
      <c r="K4" s="186"/>
      <c r="L4" s="186"/>
      <c r="M4" s="186"/>
      <c r="N4" s="186"/>
      <c r="O4" s="186"/>
      <c r="P4" s="186"/>
      <c r="Q4" s="186"/>
      <c r="R4" s="186"/>
      <c r="S4" s="186"/>
      <c r="T4" s="186"/>
      <c r="U4" s="186"/>
      <c r="V4" s="187"/>
      <c r="W4" s="204"/>
      <c r="X4" s="176"/>
      <c r="Y4" s="177"/>
      <c r="Z4" s="180"/>
      <c r="AA4" s="180"/>
      <c r="AB4" s="181"/>
      <c r="AC4" s="176"/>
      <c r="AD4" s="3"/>
      <c r="AE4" s="3"/>
      <c r="AF4" s="3"/>
      <c r="AG4" s="3"/>
      <c r="AH4" s="3"/>
      <c r="AI4" s="3"/>
      <c r="AJ4" s="3"/>
      <c r="AK4" s="3"/>
      <c r="AL4" s="3"/>
      <c r="AM4" s="3"/>
      <c r="AN4" s="3"/>
      <c r="AO4" s="3"/>
      <c r="AP4" s="3"/>
      <c r="AQ4" s="3"/>
      <c r="AR4" s="3"/>
      <c r="AS4" s="3"/>
      <c r="AT4" s="3"/>
    </row>
    <row r="5" spans="1:46" s="6" customFormat="1" ht="18.75" customHeight="1">
      <c r="A5" s="188" t="s">
        <v>134</v>
      </c>
      <c r="B5" s="189"/>
      <c r="C5" s="189"/>
      <c r="D5" s="189"/>
      <c r="E5" s="174"/>
      <c r="F5" s="190" t="s">
        <v>174</v>
      </c>
      <c r="G5" s="191"/>
      <c r="H5" s="191"/>
      <c r="I5" s="191"/>
      <c r="J5" s="192"/>
      <c r="K5" s="188" t="s">
        <v>5</v>
      </c>
      <c r="L5" s="189"/>
      <c r="M5" s="189"/>
      <c r="N5" s="174"/>
      <c r="O5" s="190"/>
      <c r="P5" s="191"/>
      <c r="Q5" s="191"/>
      <c r="R5" s="191"/>
      <c r="S5" s="192"/>
      <c r="T5" s="188" t="s">
        <v>135</v>
      </c>
      <c r="U5" s="189"/>
      <c r="V5" s="189"/>
      <c r="W5" s="174"/>
      <c r="X5" s="177" t="s">
        <v>219</v>
      </c>
      <c r="Y5" s="214"/>
      <c r="Z5" s="214"/>
      <c r="AA5" s="214"/>
      <c r="AB5" s="214"/>
      <c r="AC5" s="181"/>
      <c r="AD5" s="5"/>
      <c r="AE5" s="5"/>
      <c r="AF5" s="5"/>
      <c r="AG5" s="5"/>
      <c r="AH5" s="5"/>
      <c r="AI5" s="5"/>
      <c r="AJ5" s="5"/>
      <c r="AK5" s="5"/>
      <c r="AL5" s="5"/>
      <c r="AM5" s="5"/>
      <c r="AN5" s="5"/>
      <c r="AO5" s="5"/>
      <c r="AP5" s="5"/>
      <c r="AQ5" s="5"/>
      <c r="AR5" s="5"/>
      <c r="AS5" s="5"/>
      <c r="AT5" s="5"/>
    </row>
    <row r="6" spans="1:46" s="6" customFormat="1" ht="21.75" customHeight="1">
      <c r="A6" s="175" t="s">
        <v>6</v>
      </c>
      <c r="B6" s="188"/>
      <c r="C6" s="188" t="s">
        <v>7</v>
      </c>
      <c r="D6" s="189"/>
      <c r="E6" s="189"/>
      <c r="F6" s="189"/>
      <c r="G6" s="189"/>
      <c r="H6" s="189"/>
      <c r="I6" s="189"/>
      <c r="J6" s="189"/>
      <c r="K6" s="189"/>
      <c r="L6" s="189"/>
      <c r="M6" s="189"/>
      <c r="N6" s="189"/>
      <c r="O6" s="189"/>
      <c r="P6" s="189"/>
      <c r="Q6" s="189"/>
      <c r="R6" s="189"/>
      <c r="S6" s="189"/>
      <c r="T6" s="189"/>
      <c r="U6" s="189"/>
      <c r="V6" s="189"/>
      <c r="W6" s="174"/>
      <c r="X6" s="174" t="s">
        <v>8</v>
      </c>
      <c r="Y6" s="175"/>
      <c r="Z6" s="175"/>
      <c r="AA6" s="175"/>
      <c r="AB6" s="175"/>
      <c r="AC6" s="175"/>
      <c r="AD6" s="5"/>
      <c r="AE6" s="5"/>
      <c r="AF6" s="5"/>
      <c r="AG6" s="5"/>
      <c r="AH6" s="5"/>
      <c r="AI6" s="5"/>
      <c r="AJ6" s="5"/>
      <c r="AK6" s="5"/>
      <c r="AL6" s="5"/>
      <c r="AM6" s="5"/>
      <c r="AN6" s="5"/>
      <c r="AO6" s="5"/>
      <c r="AP6" s="5"/>
      <c r="AQ6" s="5"/>
      <c r="AR6" s="5"/>
      <c r="AS6" s="5"/>
      <c r="AT6" s="5"/>
    </row>
    <row r="7" spans="1:46" s="8" customFormat="1" ht="20.25" customHeight="1">
      <c r="A7" s="215">
        <v>1</v>
      </c>
      <c r="B7" s="220"/>
      <c r="C7" s="26" t="s">
        <v>19</v>
      </c>
      <c r="D7" s="27"/>
      <c r="E7" s="28"/>
      <c r="F7" s="7"/>
      <c r="G7" s="29"/>
      <c r="H7" s="29"/>
      <c r="I7" s="29"/>
      <c r="J7" s="29"/>
      <c r="K7" s="29"/>
      <c r="L7" s="29"/>
      <c r="M7" s="29"/>
      <c r="N7" s="29"/>
      <c r="O7" s="29"/>
      <c r="P7" s="29"/>
      <c r="Q7" s="29"/>
      <c r="R7" s="29"/>
      <c r="S7" s="29"/>
      <c r="T7" s="29"/>
      <c r="U7" s="29"/>
      <c r="V7" s="29"/>
      <c r="W7" s="30"/>
      <c r="X7" s="220" t="s">
        <v>10</v>
      </c>
      <c r="Y7" s="220"/>
      <c r="Z7" s="220"/>
      <c r="AA7" s="220"/>
      <c r="AB7" s="220"/>
      <c r="AC7" s="216"/>
      <c r="AD7" s="16"/>
      <c r="AE7" s="16"/>
      <c r="AF7" s="16"/>
      <c r="AG7" s="16"/>
      <c r="AH7" s="16"/>
      <c r="AI7" s="16"/>
      <c r="AJ7" s="16"/>
      <c r="AK7" s="16"/>
      <c r="AL7" s="16"/>
      <c r="AM7" s="16"/>
      <c r="AN7" s="16"/>
      <c r="AO7" s="16"/>
      <c r="AP7" s="16"/>
      <c r="AQ7" s="16"/>
      <c r="AR7" s="16"/>
      <c r="AS7" s="16"/>
      <c r="AT7" s="16"/>
    </row>
    <row r="8" spans="1:46" s="8" customFormat="1" ht="20.25" customHeight="1">
      <c r="A8" s="206">
        <v>2</v>
      </c>
      <c r="B8" s="224"/>
      <c r="C8" s="11" t="s">
        <v>20</v>
      </c>
      <c r="D8" s="12"/>
      <c r="E8" s="39"/>
      <c r="F8" s="13"/>
      <c r="G8" s="14"/>
      <c r="H8" s="14"/>
      <c r="I8" s="14"/>
      <c r="J8" s="14"/>
      <c r="K8" s="14"/>
      <c r="L8" s="14"/>
      <c r="M8" s="14"/>
      <c r="N8" s="14"/>
      <c r="O8" s="14"/>
      <c r="P8" s="14"/>
      <c r="Q8" s="14"/>
      <c r="R8" s="14"/>
      <c r="S8" s="14"/>
      <c r="T8" s="14"/>
      <c r="U8" s="14"/>
      <c r="V8" s="14"/>
      <c r="W8" s="15"/>
      <c r="X8" s="206" t="s">
        <v>10</v>
      </c>
      <c r="Y8" s="224"/>
      <c r="Z8" s="224"/>
      <c r="AA8" s="224"/>
      <c r="AB8" s="224"/>
      <c r="AC8" s="207"/>
      <c r="AD8" s="16"/>
      <c r="AE8" s="16"/>
      <c r="AF8" s="16"/>
      <c r="AG8" s="16"/>
      <c r="AH8" s="16"/>
      <c r="AI8" s="16"/>
      <c r="AJ8" s="16"/>
      <c r="AK8" s="16"/>
      <c r="AL8" s="16"/>
      <c r="AM8" s="16"/>
      <c r="AN8" s="16"/>
      <c r="AO8" s="16"/>
      <c r="AP8" s="16"/>
      <c r="AQ8" s="16"/>
      <c r="AR8" s="16"/>
      <c r="AS8" s="16"/>
      <c r="AT8" s="16"/>
    </row>
    <row r="9" spans="1:46" s="8" customFormat="1" ht="20.25" customHeight="1">
      <c r="A9" s="206">
        <v>3</v>
      </c>
      <c r="B9" s="224"/>
      <c r="C9" s="11" t="s">
        <v>21</v>
      </c>
      <c r="D9" s="12"/>
      <c r="E9" s="39"/>
      <c r="F9" s="13"/>
      <c r="G9" s="14"/>
      <c r="H9" s="14"/>
      <c r="I9" s="14"/>
      <c r="J9" s="14"/>
      <c r="K9" s="14"/>
      <c r="L9" s="14"/>
      <c r="M9" s="14"/>
      <c r="N9" s="14"/>
      <c r="O9" s="14"/>
      <c r="P9" s="14"/>
      <c r="Q9" s="14"/>
      <c r="R9" s="14"/>
      <c r="S9" s="14"/>
      <c r="T9" s="14"/>
      <c r="U9" s="14"/>
      <c r="V9" s="14"/>
      <c r="W9" s="15"/>
      <c r="X9" s="206" t="s">
        <v>10</v>
      </c>
      <c r="Y9" s="224"/>
      <c r="Z9" s="224"/>
      <c r="AA9" s="224"/>
      <c r="AB9" s="224"/>
      <c r="AC9" s="207"/>
      <c r="AD9" s="16"/>
      <c r="AE9" s="16"/>
      <c r="AF9" s="16"/>
      <c r="AG9" s="16"/>
      <c r="AH9" s="16"/>
      <c r="AI9" s="16"/>
      <c r="AJ9" s="16"/>
      <c r="AK9" s="16"/>
      <c r="AL9" s="16"/>
      <c r="AM9" s="16"/>
      <c r="AN9" s="16"/>
      <c r="AO9" s="16"/>
      <c r="AP9" s="16"/>
      <c r="AQ9" s="16"/>
      <c r="AR9" s="16"/>
      <c r="AS9" s="16"/>
      <c r="AT9" s="16"/>
    </row>
    <row r="10" spans="1:46" s="8" customFormat="1" ht="20.25" customHeight="1">
      <c r="A10" s="206">
        <v>4</v>
      </c>
      <c r="B10" s="224"/>
      <c r="C10" s="11" t="s">
        <v>22</v>
      </c>
      <c r="D10" s="12"/>
      <c r="E10" s="39"/>
      <c r="F10" s="13"/>
      <c r="G10" s="14"/>
      <c r="H10" s="14"/>
      <c r="I10" s="14"/>
      <c r="J10" s="14"/>
      <c r="K10" s="14"/>
      <c r="L10" s="14"/>
      <c r="M10" s="14"/>
      <c r="N10" s="14"/>
      <c r="O10" s="14"/>
      <c r="P10" s="14"/>
      <c r="Q10" s="14"/>
      <c r="R10" s="14"/>
      <c r="S10" s="14"/>
      <c r="T10" s="14"/>
      <c r="U10" s="14"/>
      <c r="V10" s="14"/>
      <c r="W10" s="15"/>
      <c r="X10" s="206" t="s">
        <v>10</v>
      </c>
      <c r="Y10" s="224"/>
      <c r="Z10" s="224"/>
      <c r="AA10" s="224"/>
      <c r="AB10" s="224"/>
      <c r="AC10" s="207"/>
      <c r="AD10" s="16"/>
      <c r="AE10" s="16"/>
      <c r="AF10" s="16"/>
      <c r="AG10" s="16"/>
      <c r="AH10" s="16"/>
      <c r="AI10" s="16"/>
      <c r="AJ10" s="16"/>
      <c r="AK10" s="16"/>
      <c r="AL10" s="16"/>
      <c r="AM10" s="16"/>
      <c r="AN10" s="16"/>
      <c r="AO10" s="16"/>
      <c r="AP10" s="16"/>
      <c r="AQ10" s="16"/>
      <c r="AR10" s="16"/>
      <c r="AS10" s="16"/>
      <c r="AT10" s="16"/>
    </row>
    <row r="11" spans="1:46" s="8" customFormat="1" ht="20.25" customHeight="1">
      <c r="A11" s="206">
        <v>5</v>
      </c>
      <c r="B11" s="224"/>
      <c r="C11" s="11" t="s">
        <v>11</v>
      </c>
      <c r="D11" s="12"/>
      <c r="E11" s="39"/>
      <c r="F11" s="13"/>
      <c r="G11" s="14"/>
      <c r="H11" s="14"/>
      <c r="I11" s="14"/>
      <c r="J11" s="14"/>
      <c r="K11" s="14"/>
      <c r="L11" s="14"/>
      <c r="M11" s="14"/>
      <c r="N11" s="14"/>
      <c r="O11" s="14"/>
      <c r="P11" s="14"/>
      <c r="Q11" s="14"/>
      <c r="R11" s="14"/>
      <c r="S11" s="14"/>
      <c r="T11" s="14"/>
      <c r="U11" s="14"/>
      <c r="V11" s="14"/>
      <c r="W11" s="15"/>
      <c r="X11" s="206" t="s">
        <v>10</v>
      </c>
      <c r="Y11" s="224"/>
      <c r="Z11" s="224"/>
      <c r="AA11" s="224"/>
      <c r="AB11" s="224"/>
      <c r="AC11" s="207"/>
      <c r="AD11" s="16"/>
      <c r="AE11" s="16"/>
      <c r="AF11" s="16"/>
      <c r="AG11" s="16"/>
      <c r="AH11" s="16"/>
      <c r="AI11" s="16"/>
      <c r="AJ11" s="16"/>
      <c r="AK11" s="16"/>
      <c r="AL11" s="16"/>
      <c r="AM11" s="16"/>
      <c r="AN11" s="16"/>
      <c r="AO11" s="16"/>
      <c r="AP11" s="16"/>
      <c r="AQ11" s="16"/>
      <c r="AR11" s="16"/>
      <c r="AS11" s="16"/>
      <c r="AT11" s="16"/>
    </row>
    <row r="12" spans="1:46" s="8" customFormat="1" ht="20.25" customHeight="1">
      <c r="A12" s="206">
        <v>6</v>
      </c>
      <c r="B12" s="224"/>
      <c r="C12" s="11" t="s">
        <v>82</v>
      </c>
      <c r="D12" s="12"/>
      <c r="E12" s="39"/>
      <c r="F12" s="13"/>
      <c r="G12" s="14"/>
      <c r="H12" s="14"/>
      <c r="I12" s="14"/>
      <c r="J12" s="14"/>
      <c r="K12" s="14"/>
      <c r="L12" s="14"/>
      <c r="M12" s="14"/>
      <c r="N12" s="14"/>
      <c r="O12" s="14"/>
      <c r="P12" s="14"/>
      <c r="Q12" s="14"/>
      <c r="R12" s="14"/>
      <c r="S12" s="14"/>
      <c r="T12" s="14"/>
      <c r="U12" s="14"/>
      <c r="V12" s="14"/>
      <c r="W12" s="15"/>
      <c r="X12" s="206" t="s">
        <v>10</v>
      </c>
      <c r="Y12" s="224"/>
      <c r="Z12" s="224"/>
      <c r="AA12" s="224"/>
      <c r="AB12" s="224"/>
      <c r="AC12" s="207"/>
      <c r="AD12" s="16"/>
      <c r="AE12" s="16"/>
      <c r="AF12" s="16"/>
      <c r="AG12" s="16"/>
      <c r="AH12" s="16"/>
      <c r="AI12" s="16"/>
      <c r="AJ12" s="16"/>
      <c r="AK12" s="16"/>
      <c r="AL12" s="16"/>
      <c r="AM12" s="16"/>
      <c r="AN12" s="16"/>
      <c r="AO12" s="16"/>
      <c r="AP12" s="16"/>
      <c r="AQ12" s="16"/>
      <c r="AR12" s="16"/>
      <c r="AS12" s="16"/>
      <c r="AT12" s="16"/>
    </row>
    <row r="13" spans="1:46" s="8" customFormat="1" ht="20.25" customHeight="1">
      <c r="A13" s="206">
        <v>7</v>
      </c>
      <c r="B13" s="224"/>
      <c r="C13" s="11" t="s">
        <v>24</v>
      </c>
      <c r="D13" s="12"/>
      <c r="E13" s="39"/>
      <c r="F13" s="13"/>
      <c r="G13" s="14"/>
      <c r="H13" s="14"/>
      <c r="I13" s="14"/>
      <c r="J13" s="14"/>
      <c r="K13" s="14"/>
      <c r="L13" s="14"/>
      <c r="M13" s="14"/>
      <c r="N13" s="14"/>
      <c r="O13" s="14"/>
      <c r="P13" s="14"/>
      <c r="Q13" s="14"/>
      <c r="R13" s="14"/>
      <c r="S13" s="14"/>
      <c r="T13" s="14"/>
      <c r="U13" s="14"/>
      <c r="V13" s="14"/>
      <c r="W13" s="15"/>
      <c r="X13" s="206" t="s">
        <v>10</v>
      </c>
      <c r="Y13" s="224"/>
      <c r="Z13" s="224"/>
      <c r="AA13" s="224"/>
      <c r="AB13" s="224"/>
      <c r="AC13" s="207"/>
      <c r="AD13" s="16"/>
      <c r="AE13" s="16"/>
      <c r="AF13" s="16"/>
      <c r="AG13" s="16"/>
      <c r="AH13" s="16"/>
      <c r="AI13" s="16"/>
      <c r="AJ13" s="16"/>
      <c r="AK13" s="16"/>
      <c r="AL13" s="16"/>
      <c r="AM13" s="16"/>
      <c r="AN13" s="16"/>
      <c r="AO13" s="16"/>
      <c r="AP13" s="16"/>
      <c r="AQ13" s="16"/>
      <c r="AR13" s="16"/>
      <c r="AS13" s="16"/>
      <c r="AT13" s="16"/>
    </row>
    <row r="14" spans="1:46" s="8" customFormat="1" ht="20.25" customHeight="1">
      <c r="A14" s="206">
        <v>8</v>
      </c>
      <c r="B14" s="224"/>
      <c r="C14" s="11" t="s">
        <v>38</v>
      </c>
      <c r="D14" s="12"/>
      <c r="E14" s="39"/>
      <c r="F14" s="13"/>
      <c r="G14" s="14"/>
      <c r="H14" s="14"/>
      <c r="I14" s="14"/>
      <c r="J14" s="14"/>
      <c r="K14" s="14"/>
      <c r="L14" s="14"/>
      <c r="M14" s="14"/>
      <c r="N14" s="14"/>
      <c r="O14" s="14"/>
      <c r="P14" s="14"/>
      <c r="Q14" s="14"/>
      <c r="R14" s="14"/>
      <c r="S14" s="14"/>
      <c r="T14" s="14"/>
      <c r="U14" s="14"/>
      <c r="V14" s="14"/>
      <c r="W14" s="15"/>
      <c r="X14" s="206" t="s">
        <v>10</v>
      </c>
      <c r="Y14" s="224"/>
      <c r="Z14" s="224"/>
      <c r="AA14" s="224"/>
      <c r="AB14" s="224"/>
      <c r="AC14" s="207"/>
      <c r="AD14" s="230"/>
      <c r="AE14" s="254"/>
      <c r="AF14" s="254"/>
      <c r="AG14" s="254"/>
      <c r="AH14" s="254"/>
      <c r="AI14" s="254"/>
      <c r="AJ14" s="254"/>
      <c r="AK14" s="254"/>
      <c r="AL14" s="254"/>
      <c r="AM14" s="254"/>
      <c r="AN14" s="254"/>
      <c r="AO14" s="254"/>
      <c r="AP14" s="16"/>
      <c r="AQ14" s="16"/>
      <c r="AR14" s="16"/>
      <c r="AS14" s="16"/>
      <c r="AT14" s="16"/>
    </row>
    <row r="15" spans="1:46" s="8" customFormat="1" ht="20.25" customHeight="1">
      <c r="A15" s="206">
        <v>9</v>
      </c>
      <c r="B15" s="224"/>
      <c r="C15" s="11" t="s">
        <v>118</v>
      </c>
      <c r="D15" s="12"/>
      <c r="E15" s="39"/>
      <c r="F15" s="13"/>
      <c r="G15" s="14"/>
      <c r="H15" s="14"/>
      <c r="I15" s="14"/>
      <c r="J15" s="14"/>
      <c r="K15" s="14"/>
      <c r="L15" s="14"/>
      <c r="M15" s="14"/>
      <c r="N15" s="14"/>
      <c r="O15" s="14"/>
      <c r="P15" s="14"/>
      <c r="Q15" s="14"/>
      <c r="R15" s="14"/>
      <c r="S15" s="14"/>
      <c r="T15" s="14"/>
      <c r="U15" s="14"/>
      <c r="V15" s="14"/>
      <c r="W15" s="15"/>
      <c r="X15" s="206" t="s">
        <v>10</v>
      </c>
      <c r="Y15" s="224"/>
      <c r="Z15" s="224"/>
      <c r="AA15" s="224"/>
      <c r="AB15" s="224"/>
      <c r="AC15" s="207"/>
      <c r="AD15" s="253"/>
      <c r="AE15" s="254"/>
      <c r="AF15" s="254"/>
      <c r="AG15" s="254"/>
      <c r="AH15" s="254"/>
      <c r="AI15" s="254"/>
      <c r="AJ15" s="254"/>
      <c r="AK15" s="254"/>
      <c r="AL15" s="254"/>
      <c r="AM15" s="254"/>
      <c r="AN15" s="254"/>
      <c r="AO15" s="254"/>
      <c r="AP15" s="16"/>
      <c r="AQ15" s="16"/>
      <c r="AR15" s="16"/>
      <c r="AS15" s="16"/>
      <c r="AT15" s="16"/>
    </row>
    <row r="16" spans="1:46" s="8" customFormat="1" ht="20.25" customHeight="1">
      <c r="A16" s="206">
        <v>10</v>
      </c>
      <c r="B16" s="224"/>
      <c r="C16" s="11" t="s">
        <v>119</v>
      </c>
      <c r="D16" s="12"/>
      <c r="E16" s="39"/>
      <c r="F16" s="13"/>
      <c r="G16" s="14"/>
      <c r="H16" s="14"/>
      <c r="I16" s="14"/>
      <c r="J16" s="14"/>
      <c r="K16" s="14"/>
      <c r="L16" s="14"/>
      <c r="M16" s="14"/>
      <c r="N16" s="14"/>
      <c r="O16" s="14"/>
      <c r="P16" s="14"/>
      <c r="Q16" s="14"/>
      <c r="R16" s="14"/>
      <c r="S16" s="14"/>
      <c r="T16" s="14"/>
      <c r="U16" s="14"/>
      <c r="V16" s="14"/>
      <c r="W16" s="15"/>
      <c r="X16" s="206" t="s">
        <v>10</v>
      </c>
      <c r="Y16" s="224"/>
      <c r="Z16" s="224"/>
      <c r="AA16" s="224"/>
      <c r="AB16" s="224"/>
      <c r="AC16" s="207"/>
      <c r="AD16" s="258"/>
      <c r="AE16" s="259"/>
      <c r="AF16" s="259"/>
      <c r="AG16" s="259"/>
      <c r="AH16" s="259"/>
      <c r="AI16" s="259"/>
      <c r="AJ16" s="259"/>
      <c r="AK16" s="259"/>
      <c r="AL16" s="259"/>
      <c r="AM16" s="259"/>
      <c r="AN16" s="259"/>
      <c r="AO16" s="259"/>
      <c r="AP16" s="16"/>
      <c r="AQ16" s="16"/>
      <c r="AR16" s="16"/>
      <c r="AS16" s="16"/>
      <c r="AT16" s="16"/>
    </row>
    <row r="17" spans="1:46" s="8" customFormat="1" ht="77.25" customHeight="1">
      <c r="A17" s="225">
        <v>11</v>
      </c>
      <c r="B17" s="226"/>
      <c r="C17" s="17" t="s">
        <v>217</v>
      </c>
      <c r="D17" s="18"/>
      <c r="E17" s="47"/>
      <c r="F17" s="19"/>
      <c r="G17" s="20"/>
      <c r="H17" s="20"/>
      <c r="I17" s="20"/>
      <c r="J17" s="20"/>
      <c r="K17" s="20"/>
      <c r="L17" s="20"/>
      <c r="M17" s="20"/>
      <c r="N17" s="20"/>
      <c r="O17" s="20"/>
      <c r="P17" s="20"/>
      <c r="Q17" s="20"/>
      <c r="R17" s="20"/>
      <c r="S17" s="20"/>
      <c r="T17" s="20"/>
      <c r="U17" s="20"/>
      <c r="V17" s="20"/>
      <c r="W17" s="22"/>
      <c r="X17" s="255" t="s">
        <v>248</v>
      </c>
      <c r="Y17" s="260"/>
      <c r="Z17" s="260"/>
      <c r="AA17" s="260"/>
      <c r="AB17" s="260"/>
      <c r="AC17" s="261"/>
      <c r="AD17" s="258"/>
      <c r="AE17" s="259"/>
      <c r="AF17" s="259"/>
      <c r="AG17" s="259"/>
      <c r="AH17" s="259"/>
      <c r="AI17" s="259"/>
      <c r="AJ17" s="259"/>
      <c r="AK17" s="259"/>
      <c r="AL17" s="259"/>
      <c r="AM17" s="259"/>
      <c r="AN17" s="259"/>
      <c r="AO17" s="259"/>
      <c r="AP17" s="16"/>
      <c r="AQ17" s="16"/>
      <c r="AR17" s="16"/>
      <c r="AS17" s="16"/>
      <c r="AT17" s="16"/>
    </row>
    <row r="18" spans="1:46" s="6" customFormat="1" ht="15">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23"/>
      <c r="AD18" s="5"/>
      <c r="AE18" s="5"/>
      <c r="AF18" s="5"/>
      <c r="AG18" s="5"/>
      <c r="AH18" s="5"/>
      <c r="AI18" s="5"/>
      <c r="AJ18" s="5"/>
      <c r="AK18" s="5"/>
      <c r="AL18" s="5"/>
      <c r="AM18" s="5"/>
      <c r="AN18" s="5"/>
      <c r="AO18" s="5"/>
      <c r="AP18" s="5"/>
      <c r="AQ18" s="5"/>
      <c r="AR18" s="5"/>
      <c r="AS18" s="5"/>
      <c r="AT18" s="5"/>
    </row>
    <row r="19" spans="1:46" s="6" customFormat="1">
      <c r="X19" s="229" t="s">
        <v>172</v>
      </c>
      <c r="Y19" s="229"/>
      <c r="Z19" s="229"/>
      <c r="AA19" s="229"/>
      <c r="AB19" s="229"/>
      <c r="AC19" s="229"/>
    </row>
    <row r="20" spans="1:46" s="6" customFormat="1">
      <c r="V20" s="96">
        <f>10/11*100%</f>
        <v>0.90909090909090906</v>
      </c>
      <c r="X20" s="229">
        <v>91</v>
      </c>
      <c r="Y20" s="229"/>
      <c r="Z20" s="229"/>
      <c r="AA20" s="229"/>
      <c r="AB20" s="229"/>
      <c r="AC20" s="229"/>
    </row>
    <row r="21" spans="1:46" s="6" customFormat="1">
      <c r="U21" s="25"/>
    </row>
    <row r="22" spans="1:46" s="6" customFormat="1"/>
    <row r="23" spans="1:46" s="6" customFormat="1"/>
    <row r="24" spans="1:46" s="6" customFormat="1"/>
    <row r="25" spans="1:46" s="6" customFormat="1"/>
    <row r="26" spans="1:46" s="6" customFormat="1"/>
    <row r="27" spans="1:46" s="6" customFormat="1"/>
    <row r="28" spans="1:46" s="6" customFormat="1"/>
    <row r="29" spans="1:46" s="6" customFormat="1"/>
    <row r="30" spans="1:46" s="6" customFormat="1"/>
    <row r="31" spans="1:46" s="6" customFormat="1"/>
    <row r="32" spans="1:46" s="6" customFormat="1"/>
    <row r="33" s="6" customFormat="1"/>
    <row r="34" s="6" customFormat="1"/>
    <row r="35" s="6" customFormat="1"/>
    <row r="36" s="6" customFormat="1"/>
    <row r="37" s="6" customFormat="1"/>
    <row r="38" s="6" customFormat="1"/>
    <row r="39" s="6" customFormat="1"/>
    <row r="40" s="6" customFormat="1"/>
    <row r="41" s="6" customFormat="1"/>
    <row r="42" s="6" customFormat="1"/>
    <row r="43" s="6" customFormat="1"/>
    <row r="44" s="6" customFormat="1"/>
    <row r="45" s="6" customFormat="1"/>
    <row r="46" s="6" customFormat="1"/>
    <row r="47" s="6" customFormat="1"/>
  </sheetData>
  <mergeCells count="47">
    <mergeCell ref="AD16:AO16"/>
    <mergeCell ref="AD14:AO15"/>
    <mergeCell ref="A17:B17"/>
    <mergeCell ref="X17:AC17"/>
    <mergeCell ref="X20:AC20"/>
    <mergeCell ref="A14:B14"/>
    <mergeCell ref="X14:AC14"/>
    <mergeCell ref="A15:B15"/>
    <mergeCell ref="X15:AC15"/>
    <mergeCell ref="A16:B16"/>
    <mergeCell ref="X16:AC16"/>
    <mergeCell ref="X19:AC19"/>
    <mergeCell ref="AD17:AO17"/>
    <mergeCell ref="A11:B11"/>
    <mergeCell ref="X11:AC11"/>
    <mergeCell ref="A12:B12"/>
    <mergeCell ref="X12:AC12"/>
    <mergeCell ref="A13:B13"/>
    <mergeCell ref="X13:AC13"/>
    <mergeCell ref="A8:B8"/>
    <mergeCell ref="X8:AC8"/>
    <mergeCell ref="A9:B9"/>
    <mergeCell ref="X9:AC9"/>
    <mergeCell ref="A10:B10"/>
    <mergeCell ref="X10:AC10"/>
    <mergeCell ref="X5:AC5"/>
    <mergeCell ref="A6:B6"/>
    <mergeCell ref="C6:W6"/>
    <mergeCell ref="X6:AC6"/>
    <mergeCell ref="A7:B7"/>
    <mergeCell ref="X7:AC7"/>
    <mergeCell ref="I3:V4"/>
    <mergeCell ref="A5:E5"/>
    <mergeCell ref="F5:J5"/>
    <mergeCell ref="K5:N5"/>
    <mergeCell ref="O5:S5"/>
    <mergeCell ref="T5:W5"/>
    <mergeCell ref="A1:E4"/>
    <mergeCell ref="F1:V2"/>
    <mergeCell ref="W1:W4"/>
    <mergeCell ref="F3:H4"/>
    <mergeCell ref="X1:Y1"/>
    <mergeCell ref="Z1:AA1"/>
    <mergeCell ref="AB1:AC1"/>
    <mergeCell ref="X2:Y4"/>
    <mergeCell ref="Z2:AA4"/>
    <mergeCell ref="AB2:AC4"/>
  </mergeCells>
  <conditionalFormatting sqref="X7:AC17">
    <cfRule type="containsText" dxfId="2" priority="1" operator="containsText" text="보완">
      <formula>NOT(ISERROR(SEARCH("보완",X7)))</formula>
    </cfRule>
  </conditionalFormatting>
  <pageMargins left="0.7" right="0.7" top="0.75" bottom="0.75" header="0.3" footer="0.3"/>
  <pageSetup paperSize="9"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47"/>
  <sheetViews>
    <sheetView showGridLines="0" view="pageBreakPreview" zoomScaleNormal="100" zoomScaleSheetLayoutView="100" workbookViewId="0">
      <selection activeCell="C15" sqref="C15:W15"/>
    </sheetView>
  </sheetViews>
  <sheetFormatPr defaultColWidth="3.5703125" defaultRowHeight="13.5"/>
  <cols>
    <col min="1" max="22" width="3.5703125" style="4"/>
    <col min="23" max="23" width="4.7109375" style="4" bestFit="1" customWidth="1"/>
    <col min="24" max="29" width="5.7109375" style="4" customWidth="1"/>
    <col min="30" max="16384" width="3.5703125" style="4"/>
  </cols>
  <sheetData>
    <row r="1" spans="1:58" s="2" customFormat="1" ht="25.5" customHeight="1">
      <c r="A1" s="193"/>
      <c r="B1" s="194"/>
      <c r="C1" s="194"/>
      <c r="D1" s="194"/>
      <c r="E1" s="195"/>
      <c r="F1" s="202" t="s">
        <v>243</v>
      </c>
      <c r="G1" s="203"/>
      <c r="H1" s="203"/>
      <c r="I1" s="203"/>
      <c r="J1" s="203"/>
      <c r="K1" s="203"/>
      <c r="L1" s="203"/>
      <c r="M1" s="203"/>
      <c r="N1" s="203"/>
      <c r="O1" s="203"/>
      <c r="P1" s="203"/>
      <c r="Q1" s="203"/>
      <c r="R1" s="203"/>
      <c r="S1" s="203"/>
      <c r="T1" s="203"/>
      <c r="U1" s="203"/>
      <c r="V1" s="203"/>
      <c r="W1" s="204" t="s">
        <v>0</v>
      </c>
      <c r="X1" s="174" t="s">
        <v>1</v>
      </c>
      <c r="Y1" s="175"/>
      <c r="Z1" s="175" t="s">
        <v>2</v>
      </c>
      <c r="AA1" s="175"/>
      <c r="AB1" s="175" t="s">
        <v>3</v>
      </c>
      <c r="AC1" s="175"/>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row>
    <row r="2" spans="1:58" s="2" customFormat="1" ht="25.5" customHeight="1">
      <c r="A2" s="196"/>
      <c r="B2" s="197"/>
      <c r="C2" s="197"/>
      <c r="D2" s="197"/>
      <c r="E2" s="198"/>
      <c r="F2" s="203"/>
      <c r="G2" s="203"/>
      <c r="H2" s="203"/>
      <c r="I2" s="203"/>
      <c r="J2" s="203"/>
      <c r="K2" s="203"/>
      <c r="L2" s="203"/>
      <c r="M2" s="203"/>
      <c r="N2" s="203"/>
      <c r="O2" s="203"/>
      <c r="P2" s="203"/>
      <c r="Q2" s="203"/>
      <c r="R2" s="203"/>
      <c r="S2" s="203"/>
      <c r="T2" s="203"/>
      <c r="U2" s="203"/>
      <c r="V2" s="203"/>
      <c r="W2" s="204"/>
      <c r="X2" s="176" t="s">
        <v>252</v>
      </c>
      <c r="Y2" s="177"/>
      <c r="Z2" s="178"/>
      <c r="AA2" s="178"/>
      <c r="AB2" s="181" t="s">
        <v>253</v>
      </c>
      <c r="AC2" s="176"/>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row>
    <row r="3" spans="1:58" s="2" customFormat="1" ht="15.75" customHeight="1">
      <c r="A3" s="196"/>
      <c r="B3" s="197"/>
      <c r="C3" s="197"/>
      <c r="D3" s="197"/>
      <c r="E3" s="198"/>
      <c r="F3" s="175" t="s">
        <v>18</v>
      </c>
      <c r="G3" s="175"/>
      <c r="H3" s="175"/>
      <c r="I3" s="240" t="s">
        <v>120</v>
      </c>
      <c r="J3" s="183"/>
      <c r="K3" s="183"/>
      <c r="L3" s="183"/>
      <c r="M3" s="183"/>
      <c r="N3" s="183"/>
      <c r="O3" s="183"/>
      <c r="P3" s="183"/>
      <c r="Q3" s="183"/>
      <c r="R3" s="183"/>
      <c r="S3" s="183"/>
      <c r="T3" s="183"/>
      <c r="U3" s="183"/>
      <c r="V3" s="184"/>
      <c r="W3" s="204"/>
      <c r="X3" s="176"/>
      <c r="Y3" s="177"/>
      <c r="Z3" s="179"/>
      <c r="AA3" s="179"/>
      <c r="AB3" s="181"/>
      <c r="AC3" s="176"/>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row>
    <row r="4" spans="1:58" ht="15.75" customHeight="1">
      <c r="A4" s="199"/>
      <c r="B4" s="200"/>
      <c r="C4" s="200"/>
      <c r="D4" s="200"/>
      <c r="E4" s="201"/>
      <c r="F4" s="175"/>
      <c r="G4" s="175"/>
      <c r="H4" s="175"/>
      <c r="I4" s="185"/>
      <c r="J4" s="186"/>
      <c r="K4" s="186"/>
      <c r="L4" s="186"/>
      <c r="M4" s="186"/>
      <c r="N4" s="186"/>
      <c r="O4" s="186"/>
      <c r="P4" s="186"/>
      <c r="Q4" s="186"/>
      <c r="R4" s="186"/>
      <c r="S4" s="186"/>
      <c r="T4" s="186"/>
      <c r="U4" s="186"/>
      <c r="V4" s="187"/>
      <c r="W4" s="204"/>
      <c r="X4" s="176"/>
      <c r="Y4" s="177"/>
      <c r="Z4" s="180"/>
      <c r="AA4" s="180"/>
      <c r="AB4" s="181"/>
      <c r="AC4" s="176"/>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row>
    <row r="5" spans="1:58" s="6" customFormat="1" ht="18.75" customHeight="1">
      <c r="A5" s="188" t="s">
        <v>134</v>
      </c>
      <c r="B5" s="189"/>
      <c r="C5" s="189"/>
      <c r="D5" s="189"/>
      <c r="E5" s="174"/>
      <c r="F5" s="190" t="s">
        <v>174</v>
      </c>
      <c r="G5" s="191"/>
      <c r="H5" s="191"/>
      <c r="I5" s="191"/>
      <c r="J5" s="192"/>
      <c r="K5" s="188" t="s">
        <v>5</v>
      </c>
      <c r="L5" s="189"/>
      <c r="M5" s="189"/>
      <c r="N5" s="174"/>
      <c r="O5" s="190"/>
      <c r="P5" s="191"/>
      <c r="Q5" s="191"/>
      <c r="R5" s="191"/>
      <c r="S5" s="192"/>
      <c r="T5" s="188" t="s">
        <v>135</v>
      </c>
      <c r="U5" s="189"/>
      <c r="V5" s="189"/>
      <c r="W5" s="174"/>
      <c r="X5" s="177" t="s">
        <v>219</v>
      </c>
      <c r="Y5" s="214"/>
      <c r="Z5" s="214"/>
      <c r="AA5" s="214"/>
      <c r="AB5" s="214"/>
      <c r="AC5" s="181"/>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row>
    <row r="6" spans="1:58" s="6" customFormat="1" ht="21.75" customHeight="1">
      <c r="A6" s="175" t="s">
        <v>6</v>
      </c>
      <c r="B6" s="188"/>
      <c r="C6" s="188" t="s">
        <v>7</v>
      </c>
      <c r="D6" s="189"/>
      <c r="E6" s="189"/>
      <c r="F6" s="189"/>
      <c r="G6" s="189"/>
      <c r="H6" s="189"/>
      <c r="I6" s="189"/>
      <c r="J6" s="189"/>
      <c r="K6" s="189"/>
      <c r="L6" s="189"/>
      <c r="M6" s="189"/>
      <c r="N6" s="189"/>
      <c r="O6" s="189"/>
      <c r="P6" s="189"/>
      <c r="Q6" s="189"/>
      <c r="R6" s="189"/>
      <c r="S6" s="189"/>
      <c r="T6" s="189"/>
      <c r="U6" s="189"/>
      <c r="V6" s="189"/>
      <c r="W6" s="174"/>
      <c r="X6" s="174" t="s">
        <v>8</v>
      </c>
      <c r="Y6" s="175"/>
      <c r="Z6" s="175"/>
      <c r="AA6" s="175"/>
      <c r="AB6" s="175"/>
      <c r="AC6" s="17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row>
    <row r="7" spans="1:58" s="8" customFormat="1" ht="20.25" customHeight="1">
      <c r="A7" s="215">
        <v>1</v>
      </c>
      <c r="B7" s="220"/>
      <c r="C7" s="26" t="s">
        <v>19</v>
      </c>
      <c r="D7" s="27"/>
      <c r="E7" s="28"/>
      <c r="F7" s="7"/>
      <c r="G7" s="29"/>
      <c r="H7" s="29"/>
      <c r="I7" s="29"/>
      <c r="J7" s="29"/>
      <c r="K7" s="29"/>
      <c r="L7" s="29"/>
      <c r="M7" s="29"/>
      <c r="N7" s="29"/>
      <c r="O7" s="29"/>
      <c r="P7" s="29"/>
      <c r="Q7" s="29"/>
      <c r="R7" s="29"/>
      <c r="S7" s="29"/>
      <c r="T7" s="29"/>
      <c r="U7" s="29"/>
      <c r="V7" s="29"/>
      <c r="W7" s="30"/>
      <c r="X7" s="220" t="s">
        <v>173</v>
      </c>
      <c r="Y7" s="220"/>
      <c r="Z7" s="220"/>
      <c r="AA7" s="220"/>
      <c r="AB7" s="220"/>
      <c r="AC7" s="2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row>
    <row r="8" spans="1:58" s="8" customFormat="1" ht="20.25" customHeight="1">
      <c r="A8" s="206">
        <v>2</v>
      </c>
      <c r="B8" s="224"/>
      <c r="C8" s="11" t="s">
        <v>20</v>
      </c>
      <c r="D8" s="12"/>
      <c r="E8" s="39"/>
      <c r="F8" s="13"/>
      <c r="G8" s="14"/>
      <c r="H8" s="14"/>
      <c r="I8" s="14"/>
      <c r="J8" s="14"/>
      <c r="K8" s="14"/>
      <c r="L8" s="14"/>
      <c r="M8" s="14"/>
      <c r="N8" s="14"/>
      <c r="O8" s="14"/>
      <c r="P8" s="14"/>
      <c r="Q8" s="14"/>
      <c r="R8" s="14"/>
      <c r="S8" s="14"/>
      <c r="T8" s="14"/>
      <c r="U8" s="14"/>
      <c r="V8" s="14"/>
      <c r="W8" s="15"/>
      <c r="X8" s="206" t="s">
        <v>173</v>
      </c>
      <c r="Y8" s="224"/>
      <c r="Z8" s="224"/>
      <c r="AA8" s="224"/>
      <c r="AB8" s="224"/>
      <c r="AC8" s="207"/>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row>
    <row r="9" spans="1:58" s="8" customFormat="1" ht="20.25" customHeight="1">
      <c r="A9" s="206">
        <v>3</v>
      </c>
      <c r="B9" s="224"/>
      <c r="C9" s="11" t="s">
        <v>21</v>
      </c>
      <c r="D9" s="12"/>
      <c r="E9" s="39"/>
      <c r="F9" s="13"/>
      <c r="G9" s="14"/>
      <c r="H9" s="14"/>
      <c r="I9" s="14"/>
      <c r="J9" s="14"/>
      <c r="K9" s="14"/>
      <c r="L9" s="14"/>
      <c r="M9" s="14"/>
      <c r="N9" s="14"/>
      <c r="O9" s="14"/>
      <c r="P9" s="14"/>
      <c r="Q9" s="14"/>
      <c r="R9" s="14"/>
      <c r="S9" s="14"/>
      <c r="T9" s="14"/>
      <c r="U9" s="14"/>
      <c r="V9" s="14"/>
      <c r="W9" s="15"/>
      <c r="X9" s="206" t="s">
        <v>173</v>
      </c>
      <c r="Y9" s="224"/>
      <c r="Z9" s="224"/>
      <c r="AA9" s="224"/>
      <c r="AB9" s="224"/>
      <c r="AC9" s="207"/>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row>
    <row r="10" spans="1:58" s="8" customFormat="1" ht="20.25" customHeight="1">
      <c r="A10" s="206">
        <v>4</v>
      </c>
      <c r="B10" s="224"/>
      <c r="C10" s="11" t="s">
        <v>22</v>
      </c>
      <c r="D10" s="12"/>
      <c r="E10" s="39"/>
      <c r="F10" s="13"/>
      <c r="G10" s="14"/>
      <c r="H10" s="14"/>
      <c r="I10" s="14"/>
      <c r="J10" s="14"/>
      <c r="K10" s="14"/>
      <c r="L10" s="14"/>
      <c r="M10" s="14"/>
      <c r="N10" s="14"/>
      <c r="O10" s="14"/>
      <c r="P10" s="14"/>
      <c r="Q10" s="14"/>
      <c r="R10" s="14"/>
      <c r="S10" s="14"/>
      <c r="T10" s="14"/>
      <c r="U10" s="14"/>
      <c r="V10" s="14"/>
      <c r="W10" s="15"/>
      <c r="X10" s="206" t="s">
        <v>173</v>
      </c>
      <c r="Y10" s="224"/>
      <c r="Z10" s="224"/>
      <c r="AA10" s="224"/>
      <c r="AB10" s="224"/>
      <c r="AC10" s="207"/>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row>
    <row r="11" spans="1:58" s="8" customFormat="1" ht="20.25" customHeight="1">
      <c r="A11" s="206">
        <v>5</v>
      </c>
      <c r="B11" s="224"/>
      <c r="C11" s="11" t="s">
        <v>11</v>
      </c>
      <c r="D11" s="12"/>
      <c r="E11" s="39"/>
      <c r="F11" s="13"/>
      <c r="G11" s="14"/>
      <c r="H11" s="14"/>
      <c r="I11" s="14"/>
      <c r="J11" s="14"/>
      <c r="K11" s="14"/>
      <c r="L11" s="14"/>
      <c r="M11" s="14"/>
      <c r="N11" s="14"/>
      <c r="O11" s="14"/>
      <c r="P11" s="14"/>
      <c r="Q11" s="14"/>
      <c r="R11" s="14"/>
      <c r="S11" s="14"/>
      <c r="T11" s="14"/>
      <c r="U11" s="14"/>
      <c r="V11" s="14"/>
      <c r="W11" s="15"/>
      <c r="X11" s="206" t="s">
        <v>173</v>
      </c>
      <c r="Y11" s="224"/>
      <c r="Z11" s="224"/>
      <c r="AA11" s="224"/>
      <c r="AB11" s="224"/>
      <c r="AC11" s="207"/>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row>
    <row r="12" spans="1:58" s="8" customFormat="1" ht="20.25" customHeight="1">
      <c r="A12" s="206">
        <v>6</v>
      </c>
      <c r="B12" s="224"/>
      <c r="C12" s="11" t="s">
        <v>82</v>
      </c>
      <c r="D12" s="12"/>
      <c r="E12" s="39"/>
      <c r="F12" s="13"/>
      <c r="G12" s="14"/>
      <c r="H12" s="14"/>
      <c r="I12" s="14"/>
      <c r="J12" s="14"/>
      <c r="K12" s="14"/>
      <c r="L12" s="14"/>
      <c r="M12" s="14"/>
      <c r="N12" s="14"/>
      <c r="O12" s="14"/>
      <c r="P12" s="14"/>
      <c r="Q12" s="14"/>
      <c r="R12" s="14"/>
      <c r="S12" s="14"/>
      <c r="T12" s="14"/>
      <c r="U12" s="14"/>
      <c r="V12" s="14"/>
      <c r="W12" s="15"/>
      <c r="X12" s="206" t="s">
        <v>173</v>
      </c>
      <c r="Y12" s="224"/>
      <c r="Z12" s="224"/>
      <c r="AA12" s="224"/>
      <c r="AB12" s="224"/>
      <c r="AC12" s="207"/>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row>
    <row r="13" spans="1:58" s="8" customFormat="1" ht="20.25" customHeight="1">
      <c r="A13" s="206">
        <v>7</v>
      </c>
      <c r="B13" s="224"/>
      <c r="C13" s="11" t="s">
        <v>24</v>
      </c>
      <c r="D13" s="12"/>
      <c r="E13" s="39"/>
      <c r="F13" s="13"/>
      <c r="G13" s="14"/>
      <c r="H13" s="14"/>
      <c r="I13" s="14"/>
      <c r="J13" s="14"/>
      <c r="K13" s="14"/>
      <c r="L13" s="14"/>
      <c r="M13" s="14"/>
      <c r="N13" s="14"/>
      <c r="O13" s="14"/>
      <c r="P13" s="14"/>
      <c r="Q13" s="14"/>
      <c r="R13" s="14"/>
      <c r="S13" s="14"/>
      <c r="T13" s="14"/>
      <c r="U13" s="14"/>
      <c r="V13" s="14"/>
      <c r="W13" s="15"/>
      <c r="X13" s="206" t="s">
        <v>173</v>
      </c>
      <c r="Y13" s="224"/>
      <c r="Z13" s="224"/>
      <c r="AA13" s="224"/>
      <c r="AB13" s="224"/>
      <c r="AC13" s="207"/>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row>
    <row r="14" spans="1:58" s="8" customFormat="1" ht="20.25" customHeight="1">
      <c r="A14" s="206">
        <v>8</v>
      </c>
      <c r="B14" s="224"/>
      <c r="C14" s="11" t="s">
        <v>38</v>
      </c>
      <c r="D14" s="12"/>
      <c r="E14" s="39"/>
      <c r="F14" s="13"/>
      <c r="G14" s="14"/>
      <c r="H14" s="14"/>
      <c r="I14" s="14"/>
      <c r="J14" s="14"/>
      <c r="K14" s="14"/>
      <c r="L14" s="14"/>
      <c r="M14" s="14"/>
      <c r="N14" s="14"/>
      <c r="O14" s="14"/>
      <c r="P14" s="14"/>
      <c r="Q14" s="14"/>
      <c r="R14" s="14"/>
      <c r="S14" s="14"/>
      <c r="T14" s="14"/>
      <c r="U14" s="14"/>
      <c r="V14" s="14"/>
      <c r="W14" s="15"/>
      <c r="X14" s="206" t="s">
        <v>173</v>
      </c>
      <c r="Y14" s="224"/>
      <c r="Z14" s="224"/>
      <c r="AA14" s="224"/>
      <c r="AB14" s="224"/>
      <c r="AC14" s="207"/>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row>
    <row r="15" spans="1:58" s="8" customFormat="1" ht="20.25" customHeight="1">
      <c r="A15" s="206">
        <v>9</v>
      </c>
      <c r="B15" s="224"/>
      <c r="C15" s="11" t="s">
        <v>121</v>
      </c>
      <c r="D15" s="12"/>
      <c r="E15" s="39"/>
      <c r="F15" s="13"/>
      <c r="G15" s="14"/>
      <c r="H15" s="14"/>
      <c r="I15" s="14"/>
      <c r="J15" s="14"/>
      <c r="K15" s="14"/>
      <c r="L15" s="14"/>
      <c r="M15" s="14"/>
      <c r="N15" s="14"/>
      <c r="O15" s="14"/>
      <c r="P15" s="14"/>
      <c r="Q15" s="14"/>
      <c r="R15" s="14"/>
      <c r="S15" s="14"/>
      <c r="T15" s="14"/>
      <c r="U15" s="14"/>
      <c r="V15" s="14"/>
      <c r="W15" s="15"/>
      <c r="X15" s="206" t="s">
        <v>173</v>
      </c>
      <c r="Y15" s="224"/>
      <c r="Z15" s="224"/>
      <c r="AA15" s="224"/>
      <c r="AB15" s="224"/>
      <c r="AC15" s="207"/>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row>
    <row r="16" spans="1:58" s="8" customFormat="1" ht="20.25" customHeight="1">
      <c r="A16" s="206">
        <v>10</v>
      </c>
      <c r="B16" s="224"/>
      <c r="C16" s="11" t="s">
        <v>122</v>
      </c>
      <c r="D16" s="12"/>
      <c r="E16" s="39"/>
      <c r="F16" s="13"/>
      <c r="G16" s="14"/>
      <c r="H16" s="14"/>
      <c r="I16" s="14"/>
      <c r="J16" s="14"/>
      <c r="K16" s="14"/>
      <c r="L16" s="14"/>
      <c r="M16" s="14"/>
      <c r="N16" s="14"/>
      <c r="O16" s="14"/>
      <c r="P16" s="14"/>
      <c r="Q16" s="14"/>
      <c r="R16" s="14"/>
      <c r="S16" s="14"/>
      <c r="T16" s="14"/>
      <c r="U16" s="14"/>
      <c r="V16" s="14"/>
      <c r="W16" s="15"/>
      <c r="X16" s="206" t="s">
        <v>173</v>
      </c>
      <c r="Y16" s="224"/>
      <c r="Z16" s="224"/>
      <c r="AA16" s="224"/>
      <c r="AB16" s="224"/>
      <c r="AC16" s="207"/>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row>
    <row r="17" spans="1:58" s="8" customFormat="1" ht="20.25" customHeight="1">
      <c r="A17" s="206">
        <v>11</v>
      </c>
      <c r="B17" s="224"/>
      <c r="C17" s="11" t="s">
        <v>123</v>
      </c>
      <c r="D17" s="12"/>
      <c r="E17" s="39"/>
      <c r="F17" s="13"/>
      <c r="G17" s="14"/>
      <c r="H17" s="14"/>
      <c r="I17" s="14"/>
      <c r="J17" s="14"/>
      <c r="K17" s="14"/>
      <c r="L17" s="14"/>
      <c r="M17" s="14"/>
      <c r="N17" s="14"/>
      <c r="O17" s="14"/>
      <c r="P17" s="14"/>
      <c r="Q17" s="14"/>
      <c r="R17" s="14"/>
      <c r="S17" s="14"/>
      <c r="T17" s="14"/>
      <c r="U17" s="14"/>
      <c r="V17" s="14"/>
      <c r="W17" s="15"/>
      <c r="X17" s="206" t="s">
        <v>173</v>
      </c>
      <c r="Y17" s="224"/>
      <c r="Z17" s="224"/>
      <c r="AA17" s="224"/>
      <c r="AB17" s="224"/>
      <c r="AC17" s="207"/>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row>
    <row r="18" spans="1:58" s="8" customFormat="1" ht="20.25" customHeight="1">
      <c r="A18" s="206">
        <v>12</v>
      </c>
      <c r="B18" s="224"/>
      <c r="C18" s="11" t="s">
        <v>124</v>
      </c>
      <c r="D18" s="12"/>
      <c r="E18" s="39"/>
      <c r="F18" s="13"/>
      <c r="G18" s="14"/>
      <c r="H18" s="14"/>
      <c r="I18" s="14"/>
      <c r="J18" s="14"/>
      <c r="K18" s="14"/>
      <c r="L18" s="14"/>
      <c r="M18" s="14"/>
      <c r="N18" s="14"/>
      <c r="O18" s="14"/>
      <c r="P18" s="14"/>
      <c r="Q18" s="14"/>
      <c r="R18" s="14"/>
      <c r="S18" s="14"/>
      <c r="T18" s="14"/>
      <c r="U18" s="14"/>
      <c r="V18" s="14"/>
      <c r="W18" s="15"/>
      <c r="X18" s="206" t="s">
        <v>173</v>
      </c>
      <c r="Y18" s="224"/>
      <c r="Z18" s="224"/>
      <c r="AA18" s="224"/>
      <c r="AB18" s="224"/>
      <c r="AC18" s="207"/>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row>
    <row r="19" spans="1:58" s="8" customFormat="1" ht="20.25" customHeight="1">
      <c r="A19" s="206">
        <v>13</v>
      </c>
      <c r="B19" s="224"/>
      <c r="C19" s="37" t="s">
        <v>125</v>
      </c>
      <c r="D19" s="12"/>
      <c r="E19" s="12"/>
      <c r="F19" s="14"/>
      <c r="G19" s="14"/>
      <c r="H19" s="14"/>
      <c r="I19" s="14"/>
      <c r="J19" s="14"/>
      <c r="K19" s="14"/>
      <c r="L19" s="14"/>
      <c r="M19" s="14"/>
      <c r="N19" s="14"/>
      <c r="O19" s="14"/>
      <c r="P19" s="14"/>
      <c r="Q19" s="14"/>
      <c r="R19" s="14"/>
      <c r="S19" s="14"/>
      <c r="T19" s="14"/>
      <c r="U19" s="14"/>
      <c r="V19" s="14"/>
      <c r="W19" s="15"/>
      <c r="X19" s="206" t="s">
        <v>10</v>
      </c>
      <c r="Y19" s="224"/>
      <c r="Z19" s="224"/>
      <c r="AA19" s="224"/>
      <c r="AB19" s="224"/>
      <c r="AC19" s="207"/>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row>
    <row r="20" spans="1:58" s="8" customFormat="1" ht="20.25" customHeight="1">
      <c r="A20" s="225">
        <v>14</v>
      </c>
      <c r="B20" s="227"/>
      <c r="C20" s="17" t="s">
        <v>126</v>
      </c>
      <c r="D20" s="18"/>
      <c r="E20" s="18"/>
      <c r="F20" s="56"/>
      <c r="G20" s="20"/>
      <c r="H20" s="20"/>
      <c r="I20" s="20"/>
      <c r="J20" s="20"/>
      <c r="K20" s="20"/>
      <c r="L20" s="20"/>
      <c r="M20" s="20"/>
      <c r="N20" s="20"/>
      <c r="O20" s="20"/>
      <c r="P20" s="20"/>
      <c r="Q20" s="20"/>
      <c r="R20" s="20"/>
      <c r="S20" s="20"/>
      <c r="T20" s="20"/>
      <c r="U20" s="20"/>
      <c r="V20" s="20"/>
      <c r="W20" s="22"/>
      <c r="X20" s="225" t="s">
        <v>173</v>
      </c>
      <c r="Y20" s="227"/>
      <c r="Z20" s="227"/>
      <c r="AA20" s="227"/>
      <c r="AB20" s="227"/>
      <c r="AC20" s="22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row>
    <row r="21" spans="1:58" s="6" customFormat="1" ht="15">
      <c r="A21" s="5"/>
      <c r="B21" s="5"/>
      <c r="C21" s="5"/>
      <c r="D21" s="5"/>
      <c r="E21" s="5"/>
      <c r="F21" s="5"/>
      <c r="G21" s="5"/>
      <c r="H21" s="5"/>
      <c r="I21" s="5"/>
      <c r="J21" s="5"/>
      <c r="K21" s="5"/>
      <c r="L21" s="5"/>
      <c r="M21" s="5"/>
      <c r="N21" s="5"/>
      <c r="O21" s="5"/>
      <c r="P21" s="5"/>
      <c r="Q21" s="5"/>
      <c r="R21" s="5"/>
      <c r="S21" s="5"/>
      <c r="T21" s="5"/>
      <c r="U21" s="5"/>
      <c r="V21" s="5"/>
      <c r="W21" s="5"/>
      <c r="X21" s="229" t="s">
        <v>172</v>
      </c>
      <c r="Y21" s="229"/>
      <c r="Z21" s="229"/>
      <c r="AA21" s="229"/>
      <c r="AB21" s="229"/>
      <c r="AC21" s="229"/>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row>
    <row r="22" spans="1:58" s="6" customFormat="1" ht="15">
      <c r="A22" s="5"/>
      <c r="B22" s="5"/>
      <c r="C22" s="5"/>
      <c r="D22" s="5"/>
      <c r="E22" s="5"/>
      <c r="F22" s="5"/>
      <c r="G22" s="5"/>
      <c r="H22" s="5"/>
      <c r="I22" s="5"/>
      <c r="J22" s="5"/>
      <c r="K22" s="5"/>
      <c r="L22" s="5"/>
      <c r="M22" s="5"/>
      <c r="N22" s="5"/>
      <c r="O22" s="5"/>
      <c r="P22" s="5"/>
      <c r="Q22" s="5"/>
      <c r="R22" s="5"/>
      <c r="S22" s="5"/>
      <c r="T22" s="5"/>
      <c r="U22" s="5"/>
      <c r="V22" s="5"/>
      <c r="W22" s="5"/>
      <c r="X22" s="228">
        <v>100</v>
      </c>
      <c r="Y22" s="228"/>
      <c r="Z22" s="228"/>
      <c r="AA22" s="228"/>
      <c r="AB22" s="228"/>
      <c r="AC22" s="228"/>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row>
    <row r="23" spans="1:58" s="6" customFormat="1" ht="15">
      <c r="A23" s="5"/>
      <c r="B23" s="5"/>
      <c r="C23" s="5"/>
      <c r="D23" s="5"/>
      <c r="E23" s="5"/>
      <c r="F23" s="5"/>
      <c r="G23" s="5"/>
      <c r="H23" s="5"/>
      <c r="I23" s="5"/>
      <c r="J23" s="5"/>
      <c r="K23" s="5"/>
      <c r="L23" s="5"/>
      <c r="M23" s="5"/>
      <c r="N23" s="5"/>
      <c r="O23" s="5"/>
      <c r="P23" s="5"/>
      <c r="Q23" s="5"/>
      <c r="R23" s="5"/>
      <c r="S23" s="5"/>
      <c r="T23" s="5"/>
      <c r="U23" s="5"/>
      <c r="V23" s="5"/>
      <c r="W23" s="48"/>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row>
    <row r="24" spans="1:58" s="6" customFormat="1" ht="1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row>
    <row r="25" spans="1:58" s="6" customFormat="1" ht="1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row>
    <row r="26" spans="1:58" s="6" customFormat="1" ht="1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row>
    <row r="27" spans="1:58" s="6" customFormat="1" ht="1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row>
    <row r="28" spans="1:58" s="6" customFormat="1"/>
    <row r="29" spans="1:58" s="6" customFormat="1"/>
    <row r="30" spans="1:58" s="6" customFormat="1"/>
    <row r="31" spans="1:58" s="6" customFormat="1"/>
    <row r="32" spans="1:58" s="6" customFormat="1"/>
    <row r="33" s="6" customFormat="1"/>
    <row r="34" s="6" customFormat="1"/>
    <row r="35" s="6" customFormat="1"/>
    <row r="36" s="6" customFormat="1"/>
    <row r="37" s="6" customFormat="1"/>
    <row r="38" s="6" customFormat="1"/>
    <row r="39" s="6" customFormat="1"/>
    <row r="40" s="6" customFormat="1"/>
    <row r="41" s="6" customFormat="1"/>
    <row r="42" s="6" customFormat="1"/>
    <row r="43" s="6" customFormat="1"/>
    <row r="44" s="6" customFormat="1"/>
    <row r="45" s="6" customFormat="1"/>
    <row r="46" s="6" customFormat="1"/>
    <row r="47" s="6" customFormat="1"/>
  </sheetData>
  <mergeCells count="50">
    <mergeCell ref="A20:B20"/>
    <mergeCell ref="X20:AC20"/>
    <mergeCell ref="X22:AC22"/>
    <mergeCell ref="A17:B17"/>
    <mergeCell ref="X17:AC17"/>
    <mergeCell ref="A18:B18"/>
    <mergeCell ref="X18:AC18"/>
    <mergeCell ref="A19:B19"/>
    <mergeCell ref="X19:AC19"/>
    <mergeCell ref="X21:AC21"/>
    <mergeCell ref="A14:B14"/>
    <mergeCell ref="X14:AC14"/>
    <mergeCell ref="A15:B15"/>
    <mergeCell ref="X15:AC15"/>
    <mergeCell ref="A16:B16"/>
    <mergeCell ref="X16:AC16"/>
    <mergeCell ref="A11:B11"/>
    <mergeCell ref="X11:AC11"/>
    <mergeCell ref="A12:B12"/>
    <mergeCell ref="X12:AC12"/>
    <mergeCell ref="A13:B13"/>
    <mergeCell ref="X13:AC13"/>
    <mergeCell ref="A8:B8"/>
    <mergeCell ref="X8:AC8"/>
    <mergeCell ref="A9:B9"/>
    <mergeCell ref="X9:AC9"/>
    <mergeCell ref="A10:B10"/>
    <mergeCell ref="X10:AC10"/>
    <mergeCell ref="X5:AC5"/>
    <mergeCell ref="A6:B6"/>
    <mergeCell ref="C6:W6"/>
    <mergeCell ref="X6:AC6"/>
    <mergeCell ref="A7:B7"/>
    <mergeCell ref="X7:AC7"/>
    <mergeCell ref="I3:V4"/>
    <mergeCell ref="A5:E5"/>
    <mergeCell ref="F5:J5"/>
    <mergeCell ref="K5:N5"/>
    <mergeCell ref="O5:S5"/>
    <mergeCell ref="T5:W5"/>
    <mergeCell ref="A1:E4"/>
    <mergeCell ref="F1:V2"/>
    <mergeCell ref="W1:W4"/>
    <mergeCell ref="F3:H4"/>
    <mergeCell ref="X1:Y1"/>
    <mergeCell ref="Z1:AA1"/>
    <mergeCell ref="AB1:AC1"/>
    <mergeCell ref="X2:Y4"/>
    <mergeCell ref="Z2:AA4"/>
    <mergeCell ref="AB2:AC4"/>
  </mergeCells>
  <conditionalFormatting sqref="X7:AC20">
    <cfRule type="containsText" dxfId="1" priority="1" operator="containsText" text="보완">
      <formula>NOT(ISERROR(SEARCH("보완",X7)))</formula>
    </cfRule>
  </conditionalFormatting>
  <pageMargins left="0.7" right="0.7" top="0.75" bottom="0.75" header="0.3" footer="0.3"/>
  <pageSetup paperSize="9"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V35"/>
  <sheetViews>
    <sheetView showGridLines="0" view="pageBreakPreview" zoomScaleNormal="100" zoomScaleSheetLayoutView="100" workbookViewId="0">
      <selection activeCell="C15" sqref="C15:W15"/>
    </sheetView>
  </sheetViews>
  <sheetFormatPr defaultColWidth="3.5703125" defaultRowHeight="15"/>
  <cols>
    <col min="1" max="21" width="3.5703125" style="3"/>
    <col min="22" max="22" width="6.85546875" style="3" customWidth="1"/>
    <col min="23" max="23" width="3.5703125" style="3"/>
    <col min="24" max="28" width="5" style="3" customWidth="1"/>
    <col min="29" max="29" width="5.85546875" style="3" customWidth="1"/>
    <col min="30" max="48" width="3.5703125" style="3"/>
    <col min="49" max="16384" width="3.5703125" style="4"/>
  </cols>
  <sheetData>
    <row r="1" spans="1:48" s="2" customFormat="1" ht="25.5" customHeight="1">
      <c r="A1" s="193"/>
      <c r="B1" s="194"/>
      <c r="C1" s="194"/>
      <c r="D1" s="194"/>
      <c r="E1" s="195"/>
      <c r="F1" s="202" t="s">
        <v>243</v>
      </c>
      <c r="G1" s="203"/>
      <c r="H1" s="203"/>
      <c r="I1" s="203"/>
      <c r="J1" s="203"/>
      <c r="K1" s="203"/>
      <c r="L1" s="203"/>
      <c r="M1" s="203"/>
      <c r="N1" s="203"/>
      <c r="O1" s="203"/>
      <c r="P1" s="203"/>
      <c r="Q1" s="203"/>
      <c r="R1" s="203"/>
      <c r="S1" s="203"/>
      <c r="T1" s="203"/>
      <c r="U1" s="203"/>
      <c r="V1" s="203"/>
      <c r="W1" s="204" t="s">
        <v>0</v>
      </c>
      <c r="X1" s="174" t="s">
        <v>1</v>
      </c>
      <c r="Y1" s="175"/>
      <c r="Z1" s="175" t="s">
        <v>2</v>
      </c>
      <c r="AA1" s="175"/>
      <c r="AB1" s="175" t="s">
        <v>3</v>
      </c>
      <c r="AC1" s="175"/>
      <c r="AD1" s="24"/>
      <c r="AE1" s="24"/>
      <c r="AF1" s="24"/>
      <c r="AG1" s="24"/>
      <c r="AH1" s="24"/>
      <c r="AI1" s="24"/>
      <c r="AJ1" s="24"/>
      <c r="AK1" s="24"/>
      <c r="AL1" s="24"/>
      <c r="AM1" s="24"/>
      <c r="AN1" s="24"/>
      <c r="AO1" s="24"/>
      <c r="AP1" s="24"/>
      <c r="AQ1" s="24"/>
      <c r="AR1" s="24"/>
      <c r="AS1" s="24"/>
      <c r="AT1" s="24"/>
      <c r="AU1" s="24"/>
      <c r="AV1" s="24"/>
    </row>
    <row r="2" spans="1:48" s="2" customFormat="1" ht="25.5" customHeight="1">
      <c r="A2" s="196"/>
      <c r="B2" s="197"/>
      <c r="C2" s="197"/>
      <c r="D2" s="197"/>
      <c r="E2" s="198"/>
      <c r="F2" s="203"/>
      <c r="G2" s="203"/>
      <c r="H2" s="203"/>
      <c r="I2" s="203"/>
      <c r="J2" s="203"/>
      <c r="K2" s="203"/>
      <c r="L2" s="203"/>
      <c r="M2" s="203"/>
      <c r="N2" s="203"/>
      <c r="O2" s="203"/>
      <c r="P2" s="203"/>
      <c r="Q2" s="203"/>
      <c r="R2" s="203"/>
      <c r="S2" s="203"/>
      <c r="T2" s="203"/>
      <c r="U2" s="203"/>
      <c r="V2" s="203"/>
      <c r="W2" s="204"/>
      <c r="X2" s="176" t="s">
        <v>252</v>
      </c>
      <c r="Y2" s="177"/>
      <c r="Z2" s="178"/>
      <c r="AA2" s="178"/>
      <c r="AB2" s="181" t="s">
        <v>253</v>
      </c>
      <c r="AC2" s="176"/>
      <c r="AD2" s="24"/>
      <c r="AE2" s="24"/>
      <c r="AF2" s="24"/>
      <c r="AG2" s="24"/>
      <c r="AH2" s="24"/>
      <c r="AI2" s="24"/>
      <c r="AJ2" s="24"/>
      <c r="AK2" s="24"/>
      <c r="AL2" s="24"/>
      <c r="AM2" s="24"/>
      <c r="AN2" s="24"/>
      <c r="AO2" s="24"/>
      <c r="AP2" s="24"/>
      <c r="AQ2" s="24"/>
      <c r="AR2" s="24"/>
      <c r="AS2" s="24"/>
      <c r="AT2" s="24"/>
      <c r="AU2" s="24"/>
      <c r="AV2" s="24"/>
    </row>
    <row r="3" spans="1:48" s="2" customFormat="1" ht="15.75" customHeight="1">
      <c r="A3" s="196"/>
      <c r="B3" s="197"/>
      <c r="C3" s="197"/>
      <c r="D3" s="197"/>
      <c r="E3" s="198"/>
      <c r="F3" s="175" t="s">
        <v>18</v>
      </c>
      <c r="G3" s="175"/>
      <c r="H3" s="175"/>
      <c r="I3" s="240" t="s">
        <v>127</v>
      </c>
      <c r="J3" s="183"/>
      <c r="K3" s="183"/>
      <c r="L3" s="183"/>
      <c r="M3" s="183"/>
      <c r="N3" s="183"/>
      <c r="O3" s="183"/>
      <c r="P3" s="183"/>
      <c r="Q3" s="183"/>
      <c r="R3" s="183"/>
      <c r="S3" s="183"/>
      <c r="T3" s="183"/>
      <c r="U3" s="183"/>
      <c r="V3" s="184"/>
      <c r="W3" s="204"/>
      <c r="X3" s="176"/>
      <c r="Y3" s="177"/>
      <c r="Z3" s="179"/>
      <c r="AA3" s="179"/>
      <c r="AB3" s="181"/>
      <c r="AC3" s="176"/>
      <c r="AD3" s="24"/>
      <c r="AE3" s="24"/>
      <c r="AF3" s="24"/>
      <c r="AG3" s="24"/>
      <c r="AH3" s="24"/>
      <c r="AI3" s="24"/>
      <c r="AJ3" s="24"/>
      <c r="AK3" s="24"/>
      <c r="AL3" s="24"/>
      <c r="AM3" s="24"/>
      <c r="AN3" s="24"/>
      <c r="AO3" s="24"/>
      <c r="AP3" s="24"/>
      <c r="AQ3" s="24"/>
      <c r="AR3" s="24"/>
      <c r="AS3" s="24"/>
      <c r="AT3" s="24"/>
      <c r="AU3" s="24"/>
      <c r="AV3" s="24"/>
    </row>
    <row r="4" spans="1:48" ht="15.75" customHeight="1">
      <c r="A4" s="199"/>
      <c r="B4" s="200"/>
      <c r="C4" s="200"/>
      <c r="D4" s="200"/>
      <c r="E4" s="201"/>
      <c r="F4" s="175"/>
      <c r="G4" s="175"/>
      <c r="H4" s="175"/>
      <c r="I4" s="185"/>
      <c r="J4" s="186"/>
      <c r="K4" s="186"/>
      <c r="L4" s="186"/>
      <c r="M4" s="186"/>
      <c r="N4" s="186"/>
      <c r="O4" s="186"/>
      <c r="P4" s="186"/>
      <c r="Q4" s="186"/>
      <c r="R4" s="186"/>
      <c r="S4" s="186"/>
      <c r="T4" s="186"/>
      <c r="U4" s="186"/>
      <c r="V4" s="187"/>
      <c r="W4" s="204"/>
      <c r="X4" s="176"/>
      <c r="Y4" s="177"/>
      <c r="Z4" s="180"/>
      <c r="AA4" s="180"/>
      <c r="AB4" s="181"/>
      <c r="AC4" s="176"/>
    </row>
    <row r="5" spans="1:48" s="6" customFormat="1" ht="18.75" customHeight="1">
      <c r="A5" s="188" t="s">
        <v>134</v>
      </c>
      <c r="B5" s="189"/>
      <c r="C5" s="189"/>
      <c r="D5" s="189"/>
      <c r="E5" s="174"/>
      <c r="F5" s="190" t="s">
        <v>174</v>
      </c>
      <c r="G5" s="191"/>
      <c r="H5" s="191"/>
      <c r="I5" s="191"/>
      <c r="J5" s="192"/>
      <c r="K5" s="188" t="s">
        <v>5</v>
      </c>
      <c r="L5" s="189"/>
      <c r="M5" s="189"/>
      <c r="N5" s="174"/>
      <c r="O5" s="190"/>
      <c r="P5" s="191"/>
      <c r="Q5" s="191"/>
      <c r="R5" s="191"/>
      <c r="S5" s="192"/>
      <c r="T5" s="188" t="s">
        <v>135</v>
      </c>
      <c r="U5" s="189"/>
      <c r="V5" s="189"/>
      <c r="W5" s="174"/>
      <c r="X5" s="177" t="s">
        <v>219</v>
      </c>
      <c r="Y5" s="214"/>
      <c r="Z5" s="214"/>
      <c r="AA5" s="214"/>
      <c r="AB5" s="214"/>
      <c r="AC5" s="181"/>
      <c r="AD5" s="5"/>
      <c r="AE5" s="5"/>
      <c r="AF5" s="5"/>
      <c r="AG5" s="5"/>
      <c r="AH5" s="5"/>
      <c r="AI5" s="5"/>
      <c r="AJ5" s="5"/>
      <c r="AK5" s="5"/>
      <c r="AL5" s="5"/>
      <c r="AM5" s="5"/>
      <c r="AN5" s="5"/>
      <c r="AO5" s="5"/>
      <c r="AP5" s="5"/>
      <c r="AQ5" s="5"/>
      <c r="AR5" s="5"/>
      <c r="AS5" s="5"/>
      <c r="AT5" s="5"/>
      <c r="AU5" s="5"/>
      <c r="AV5" s="5"/>
    </row>
    <row r="6" spans="1:48" s="6" customFormat="1" ht="21.75" customHeight="1">
      <c r="A6" s="175" t="s">
        <v>6</v>
      </c>
      <c r="B6" s="188"/>
      <c r="C6" s="188" t="s">
        <v>7</v>
      </c>
      <c r="D6" s="189"/>
      <c r="E6" s="189"/>
      <c r="F6" s="189"/>
      <c r="G6" s="189"/>
      <c r="H6" s="189"/>
      <c r="I6" s="189"/>
      <c r="J6" s="189"/>
      <c r="K6" s="189"/>
      <c r="L6" s="189"/>
      <c r="M6" s="189"/>
      <c r="N6" s="189"/>
      <c r="O6" s="189"/>
      <c r="P6" s="189"/>
      <c r="Q6" s="189"/>
      <c r="R6" s="189"/>
      <c r="S6" s="189"/>
      <c r="T6" s="189"/>
      <c r="U6" s="189"/>
      <c r="V6" s="189"/>
      <c r="W6" s="174"/>
      <c r="X6" s="174" t="s">
        <v>8</v>
      </c>
      <c r="Y6" s="175"/>
      <c r="Z6" s="175"/>
      <c r="AA6" s="175"/>
      <c r="AB6" s="175"/>
      <c r="AC6" s="175"/>
      <c r="AD6" s="5"/>
      <c r="AE6" s="5"/>
      <c r="AF6" s="5"/>
      <c r="AG6" s="5"/>
      <c r="AH6" s="5"/>
      <c r="AI6" s="5"/>
      <c r="AJ6" s="5"/>
      <c r="AK6" s="5"/>
      <c r="AL6" s="5"/>
      <c r="AM6" s="5"/>
      <c r="AN6" s="5"/>
      <c r="AO6" s="5"/>
      <c r="AP6" s="5"/>
      <c r="AQ6" s="5"/>
      <c r="AR6" s="5"/>
      <c r="AS6" s="5"/>
      <c r="AT6" s="5"/>
      <c r="AU6" s="5"/>
      <c r="AV6" s="5"/>
    </row>
    <row r="7" spans="1:48" s="8" customFormat="1" ht="20.25" customHeight="1">
      <c r="A7" s="215">
        <v>1</v>
      </c>
      <c r="B7" s="220"/>
      <c r="C7" s="26" t="s">
        <v>19</v>
      </c>
      <c r="D7" s="27"/>
      <c r="E7" s="28"/>
      <c r="F7" s="7"/>
      <c r="G7" s="29"/>
      <c r="H7" s="29"/>
      <c r="I7" s="29"/>
      <c r="J7" s="29"/>
      <c r="K7" s="29"/>
      <c r="L7" s="29"/>
      <c r="M7" s="29"/>
      <c r="N7" s="29"/>
      <c r="O7" s="29"/>
      <c r="P7" s="29"/>
      <c r="Q7" s="29"/>
      <c r="R7" s="29"/>
      <c r="S7" s="29"/>
      <c r="T7" s="29"/>
      <c r="U7" s="29"/>
      <c r="V7" s="29"/>
      <c r="W7" s="30"/>
      <c r="X7" s="220" t="s">
        <v>10</v>
      </c>
      <c r="Y7" s="220"/>
      <c r="Z7" s="220"/>
      <c r="AA7" s="220"/>
      <c r="AB7" s="220"/>
      <c r="AC7" s="216"/>
      <c r="AD7" s="16"/>
      <c r="AE7" s="16"/>
      <c r="AF7" s="16"/>
      <c r="AG7" s="16"/>
      <c r="AH7" s="16"/>
      <c r="AI7" s="16"/>
      <c r="AJ7" s="16"/>
      <c r="AK7" s="16"/>
      <c r="AL7" s="16"/>
      <c r="AM7" s="16"/>
      <c r="AN7" s="16"/>
      <c r="AO7" s="16"/>
      <c r="AP7" s="16"/>
      <c r="AQ7" s="16"/>
      <c r="AR7" s="16"/>
      <c r="AS7" s="16"/>
      <c r="AT7" s="16"/>
      <c r="AU7" s="16"/>
      <c r="AV7" s="16"/>
    </row>
    <row r="8" spans="1:48" s="8" customFormat="1" ht="20.25" customHeight="1">
      <c r="A8" s="206">
        <v>2</v>
      </c>
      <c r="B8" s="224"/>
      <c r="C8" s="11" t="s">
        <v>20</v>
      </c>
      <c r="D8" s="12"/>
      <c r="E8" s="39"/>
      <c r="F8" s="13"/>
      <c r="G8" s="14"/>
      <c r="H8" s="14"/>
      <c r="I8" s="14"/>
      <c r="J8" s="14"/>
      <c r="K8" s="14"/>
      <c r="L8" s="14"/>
      <c r="M8" s="14"/>
      <c r="N8" s="14"/>
      <c r="O8" s="14"/>
      <c r="P8" s="14"/>
      <c r="Q8" s="14"/>
      <c r="R8" s="14"/>
      <c r="S8" s="14"/>
      <c r="T8" s="14"/>
      <c r="U8" s="14"/>
      <c r="V8" s="14"/>
      <c r="W8" s="15"/>
      <c r="X8" s="206" t="s">
        <v>10</v>
      </c>
      <c r="Y8" s="224"/>
      <c r="Z8" s="224"/>
      <c r="AA8" s="224"/>
      <c r="AB8" s="224"/>
      <c r="AC8" s="207"/>
      <c r="AD8" s="16"/>
      <c r="AE8" s="16"/>
      <c r="AF8" s="16"/>
      <c r="AG8" s="16"/>
      <c r="AH8" s="16"/>
      <c r="AI8" s="16"/>
      <c r="AJ8" s="16"/>
      <c r="AK8" s="16"/>
      <c r="AL8" s="16"/>
      <c r="AM8" s="16"/>
      <c r="AN8" s="16"/>
      <c r="AO8" s="16"/>
      <c r="AP8" s="16"/>
      <c r="AQ8" s="16"/>
      <c r="AR8" s="16"/>
      <c r="AS8" s="16"/>
      <c r="AT8" s="16"/>
      <c r="AU8" s="16"/>
      <c r="AV8" s="16"/>
    </row>
    <row r="9" spans="1:48" s="8" customFormat="1" ht="20.25" customHeight="1">
      <c r="A9" s="206">
        <v>3</v>
      </c>
      <c r="B9" s="224"/>
      <c r="C9" s="11" t="s">
        <v>21</v>
      </c>
      <c r="D9" s="12"/>
      <c r="E9" s="39"/>
      <c r="F9" s="13"/>
      <c r="G9" s="14"/>
      <c r="H9" s="14"/>
      <c r="I9" s="14"/>
      <c r="J9" s="14"/>
      <c r="K9" s="14"/>
      <c r="L9" s="14"/>
      <c r="M9" s="14"/>
      <c r="N9" s="14"/>
      <c r="O9" s="14"/>
      <c r="P9" s="14"/>
      <c r="Q9" s="14"/>
      <c r="R9" s="14"/>
      <c r="S9" s="14"/>
      <c r="T9" s="14"/>
      <c r="U9" s="14"/>
      <c r="V9" s="14"/>
      <c r="W9" s="15"/>
      <c r="X9" s="206" t="s">
        <v>10</v>
      </c>
      <c r="Y9" s="224"/>
      <c r="Z9" s="224"/>
      <c r="AA9" s="224"/>
      <c r="AB9" s="224"/>
      <c r="AC9" s="207"/>
      <c r="AD9" s="16"/>
      <c r="AE9" s="16"/>
      <c r="AF9" s="16"/>
      <c r="AG9" s="16"/>
      <c r="AH9" s="16"/>
      <c r="AI9" s="16"/>
      <c r="AJ9" s="16"/>
      <c r="AK9" s="16"/>
      <c r="AL9" s="16"/>
      <c r="AM9" s="16"/>
      <c r="AN9" s="16"/>
      <c r="AO9" s="16"/>
      <c r="AP9" s="16"/>
      <c r="AQ9" s="16"/>
      <c r="AR9" s="16"/>
      <c r="AS9" s="16"/>
      <c r="AT9" s="16"/>
      <c r="AU9" s="16"/>
      <c r="AV9" s="16"/>
    </row>
    <row r="10" spans="1:48" s="8" customFormat="1" ht="20.25" customHeight="1">
      <c r="A10" s="206">
        <v>4</v>
      </c>
      <c r="B10" s="224"/>
      <c r="C10" s="11" t="s">
        <v>22</v>
      </c>
      <c r="D10" s="12"/>
      <c r="E10" s="39"/>
      <c r="F10" s="13"/>
      <c r="G10" s="14"/>
      <c r="H10" s="14"/>
      <c r="I10" s="14"/>
      <c r="J10" s="14"/>
      <c r="K10" s="14"/>
      <c r="L10" s="14"/>
      <c r="M10" s="14"/>
      <c r="N10" s="14"/>
      <c r="O10" s="14"/>
      <c r="P10" s="14"/>
      <c r="Q10" s="14"/>
      <c r="R10" s="14"/>
      <c r="S10" s="14"/>
      <c r="T10" s="14"/>
      <c r="U10" s="14"/>
      <c r="V10" s="14"/>
      <c r="W10" s="15"/>
      <c r="X10" s="206" t="s">
        <v>10</v>
      </c>
      <c r="Y10" s="224"/>
      <c r="Z10" s="224"/>
      <c r="AA10" s="224"/>
      <c r="AB10" s="224"/>
      <c r="AC10" s="207"/>
      <c r="AD10" s="16"/>
      <c r="AE10" s="16"/>
      <c r="AF10" s="16"/>
      <c r="AG10" s="16"/>
      <c r="AH10" s="16"/>
      <c r="AI10" s="16"/>
      <c r="AJ10" s="16"/>
      <c r="AK10" s="16"/>
      <c r="AL10" s="16"/>
      <c r="AM10" s="16"/>
      <c r="AN10" s="16"/>
      <c r="AO10" s="16"/>
      <c r="AP10" s="16"/>
      <c r="AQ10" s="16"/>
      <c r="AR10" s="16"/>
      <c r="AS10" s="16"/>
      <c r="AT10" s="16"/>
      <c r="AU10" s="16"/>
      <c r="AV10" s="16"/>
    </row>
    <row r="11" spans="1:48" s="8" customFormat="1" ht="20.25" customHeight="1">
      <c r="A11" s="206">
        <v>5</v>
      </c>
      <c r="B11" s="224"/>
      <c r="C11" s="11" t="s">
        <v>11</v>
      </c>
      <c r="D11" s="12"/>
      <c r="E11" s="39"/>
      <c r="F11" s="13"/>
      <c r="G11" s="14"/>
      <c r="H11" s="14"/>
      <c r="I11" s="14"/>
      <c r="J11" s="14"/>
      <c r="K11" s="14"/>
      <c r="L11" s="14"/>
      <c r="M11" s="14"/>
      <c r="N11" s="14"/>
      <c r="O11" s="14"/>
      <c r="P11" s="14"/>
      <c r="Q11" s="14"/>
      <c r="R11" s="14"/>
      <c r="S11" s="14"/>
      <c r="T11" s="14"/>
      <c r="U11" s="14"/>
      <c r="V11" s="14"/>
      <c r="W11" s="15"/>
      <c r="X11" s="206" t="s">
        <v>10</v>
      </c>
      <c r="Y11" s="224"/>
      <c r="Z11" s="224"/>
      <c r="AA11" s="224"/>
      <c r="AB11" s="224"/>
      <c r="AC11" s="207"/>
      <c r="AD11" s="16"/>
      <c r="AE11" s="16"/>
      <c r="AF11" s="16"/>
      <c r="AG11" s="16"/>
      <c r="AH11" s="16"/>
      <c r="AI11" s="16"/>
      <c r="AJ11" s="16"/>
      <c r="AK11" s="16"/>
      <c r="AL11" s="16"/>
      <c r="AM11" s="16"/>
      <c r="AN11" s="16"/>
      <c r="AO11" s="16"/>
      <c r="AP11" s="16"/>
      <c r="AQ11" s="16"/>
      <c r="AR11" s="16"/>
      <c r="AS11" s="16"/>
      <c r="AT11" s="16"/>
      <c r="AU11" s="16"/>
      <c r="AV11" s="16"/>
    </row>
    <row r="12" spans="1:48" s="8" customFormat="1" ht="20.25" customHeight="1">
      <c r="A12" s="206">
        <v>6</v>
      </c>
      <c r="B12" s="224"/>
      <c r="C12" s="11" t="s">
        <v>82</v>
      </c>
      <c r="D12" s="12"/>
      <c r="E12" s="39"/>
      <c r="F12" s="13"/>
      <c r="G12" s="14"/>
      <c r="H12" s="14"/>
      <c r="I12" s="14"/>
      <c r="J12" s="14"/>
      <c r="K12" s="14"/>
      <c r="L12" s="14"/>
      <c r="M12" s="14"/>
      <c r="N12" s="14"/>
      <c r="O12" s="14"/>
      <c r="P12" s="14"/>
      <c r="Q12" s="14"/>
      <c r="R12" s="14"/>
      <c r="S12" s="14"/>
      <c r="T12" s="14"/>
      <c r="U12" s="14"/>
      <c r="V12" s="14"/>
      <c r="W12" s="15"/>
      <c r="X12" s="206" t="s">
        <v>10</v>
      </c>
      <c r="Y12" s="224"/>
      <c r="Z12" s="224"/>
      <c r="AA12" s="224"/>
      <c r="AB12" s="224"/>
      <c r="AC12" s="207"/>
      <c r="AD12" s="16"/>
      <c r="AE12" s="16"/>
      <c r="AF12" s="16"/>
      <c r="AG12" s="16"/>
      <c r="AH12" s="16"/>
      <c r="AI12" s="16"/>
      <c r="AJ12" s="16"/>
      <c r="AK12" s="16"/>
      <c r="AL12" s="16"/>
      <c r="AM12" s="16"/>
      <c r="AN12" s="16"/>
      <c r="AO12" s="16"/>
      <c r="AP12" s="16"/>
      <c r="AQ12" s="16"/>
      <c r="AR12" s="16"/>
      <c r="AS12" s="16"/>
      <c r="AT12" s="16"/>
      <c r="AU12" s="16"/>
      <c r="AV12" s="16"/>
    </row>
    <row r="13" spans="1:48" s="8" customFormat="1" ht="36.75" customHeight="1">
      <c r="A13" s="206">
        <v>7</v>
      </c>
      <c r="B13" s="224"/>
      <c r="C13" s="11" t="s">
        <v>24</v>
      </c>
      <c r="D13" s="12"/>
      <c r="E13" s="39"/>
      <c r="F13" s="13"/>
      <c r="G13" s="14"/>
      <c r="H13" s="14"/>
      <c r="I13" s="14"/>
      <c r="J13" s="14"/>
      <c r="K13" s="14"/>
      <c r="L13" s="14"/>
      <c r="M13" s="14"/>
      <c r="N13" s="14"/>
      <c r="O13" s="14"/>
      <c r="P13" s="14"/>
      <c r="Q13" s="14"/>
      <c r="R13" s="14"/>
      <c r="S13" s="14"/>
      <c r="T13" s="14"/>
      <c r="U13" s="14"/>
      <c r="V13" s="14"/>
      <c r="W13" s="15"/>
      <c r="X13" s="255" t="s">
        <v>249</v>
      </c>
      <c r="Y13" s="260"/>
      <c r="Z13" s="260"/>
      <c r="AA13" s="260"/>
      <c r="AB13" s="260"/>
      <c r="AC13" s="261"/>
      <c r="AD13" s="230"/>
      <c r="AE13" s="262"/>
      <c r="AF13" s="262"/>
      <c r="AG13" s="262"/>
      <c r="AH13" s="262"/>
      <c r="AI13" s="262"/>
      <c r="AJ13" s="262"/>
      <c r="AK13" s="262"/>
      <c r="AL13" s="262"/>
      <c r="AM13" s="262"/>
      <c r="AN13" s="262"/>
      <c r="AO13" s="262"/>
      <c r="AP13" s="262"/>
      <c r="AQ13" s="262"/>
      <c r="AR13" s="262"/>
      <c r="AS13" s="16"/>
      <c r="AT13" s="16"/>
      <c r="AU13" s="16"/>
      <c r="AV13" s="16"/>
    </row>
    <row r="14" spans="1:48" s="8" customFormat="1" ht="20.25" customHeight="1">
      <c r="A14" s="206">
        <v>8</v>
      </c>
      <c r="B14" s="224"/>
      <c r="C14" s="11" t="s">
        <v>128</v>
      </c>
      <c r="D14" s="12"/>
      <c r="E14" s="39"/>
      <c r="F14" s="13"/>
      <c r="G14" s="14"/>
      <c r="H14" s="14"/>
      <c r="I14" s="14"/>
      <c r="J14" s="14"/>
      <c r="K14" s="14"/>
      <c r="L14" s="14"/>
      <c r="M14" s="14"/>
      <c r="N14" s="14"/>
      <c r="O14" s="14"/>
      <c r="P14" s="14"/>
      <c r="Q14" s="14"/>
      <c r="R14" s="14"/>
      <c r="S14" s="14"/>
      <c r="T14" s="14"/>
      <c r="U14" s="14"/>
      <c r="V14" s="14"/>
      <c r="W14" s="15"/>
      <c r="X14" s="206" t="s">
        <v>173</v>
      </c>
      <c r="Y14" s="224"/>
      <c r="Z14" s="224"/>
      <c r="AA14" s="224"/>
      <c r="AB14" s="224"/>
      <c r="AC14" s="207"/>
      <c r="AD14" s="16"/>
      <c r="AE14" s="16"/>
      <c r="AF14" s="16"/>
      <c r="AG14" s="16"/>
      <c r="AH14" s="16"/>
      <c r="AI14" s="16"/>
      <c r="AJ14" s="16"/>
      <c r="AK14" s="16"/>
      <c r="AL14" s="16"/>
      <c r="AM14" s="16"/>
      <c r="AN14" s="16"/>
      <c r="AO14" s="16"/>
      <c r="AP14" s="16"/>
      <c r="AQ14" s="16"/>
      <c r="AR14" s="16"/>
      <c r="AS14" s="16"/>
      <c r="AT14" s="16"/>
      <c r="AU14" s="16"/>
      <c r="AV14" s="16"/>
    </row>
    <row r="15" spans="1:48" s="8" customFormat="1" ht="20.25" customHeight="1">
      <c r="A15" s="206">
        <v>9</v>
      </c>
      <c r="B15" s="224"/>
      <c r="C15" s="11" t="s">
        <v>129</v>
      </c>
      <c r="D15" s="12"/>
      <c r="E15" s="39"/>
      <c r="F15" s="13"/>
      <c r="G15" s="14"/>
      <c r="H15" s="14"/>
      <c r="I15" s="14"/>
      <c r="J15" s="14"/>
      <c r="K15" s="14"/>
      <c r="L15" s="14"/>
      <c r="M15" s="14"/>
      <c r="N15" s="14"/>
      <c r="O15" s="14"/>
      <c r="P15" s="14"/>
      <c r="Q15" s="14"/>
      <c r="R15" s="14"/>
      <c r="S15" s="14"/>
      <c r="T15" s="14"/>
      <c r="U15" s="14"/>
      <c r="V15" s="14"/>
      <c r="W15" s="15"/>
      <c r="X15" s="206" t="s">
        <v>173</v>
      </c>
      <c r="Y15" s="224"/>
      <c r="Z15" s="224"/>
      <c r="AA15" s="224"/>
      <c r="AB15" s="224"/>
      <c r="AC15" s="207"/>
      <c r="AD15" s="16"/>
      <c r="AE15" s="16"/>
      <c r="AF15" s="16"/>
      <c r="AG15" s="16"/>
      <c r="AH15" s="16"/>
      <c r="AI15" s="16"/>
      <c r="AJ15" s="16"/>
      <c r="AK15" s="16"/>
      <c r="AL15" s="16"/>
      <c r="AM15" s="16"/>
      <c r="AN15" s="16"/>
      <c r="AO15" s="16"/>
      <c r="AP15" s="16"/>
      <c r="AQ15" s="16"/>
      <c r="AR15" s="16"/>
      <c r="AS15" s="16"/>
      <c r="AT15" s="16"/>
      <c r="AU15" s="16"/>
      <c r="AV15" s="16"/>
    </row>
    <row r="16" spans="1:48" s="8" customFormat="1" ht="20.25" customHeight="1">
      <c r="A16" s="206">
        <v>10</v>
      </c>
      <c r="B16" s="224"/>
      <c r="C16" s="11" t="s">
        <v>130</v>
      </c>
      <c r="D16" s="12"/>
      <c r="E16" s="39"/>
      <c r="F16" s="13"/>
      <c r="G16" s="14"/>
      <c r="H16" s="14"/>
      <c r="I16" s="14"/>
      <c r="J16" s="14"/>
      <c r="K16" s="14"/>
      <c r="L16" s="14"/>
      <c r="M16" s="14"/>
      <c r="N16" s="14"/>
      <c r="O16" s="14"/>
      <c r="P16" s="14"/>
      <c r="Q16" s="14"/>
      <c r="R16" s="14"/>
      <c r="S16" s="14"/>
      <c r="T16" s="14"/>
      <c r="U16" s="14"/>
      <c r="V16" s="14"/>
      <c r="W16" s="15"/>
      <c r="X16" s="206" t="s">
        <v>173</v>
      </c>
      <c r="Y16" s="224"/>
      <c r="Z16" s="224"/>
      <c r="AA16" s="224"/>
      <c r="AB16" s="224"/>
      <c r="AC16" s="207"/>
      <c r="AD16" s="16"/>
      <c r="AE16" s="16"/>
      <c r="AF16" s="16"/>
      <c r="AG16" s="16"/>
      <c r="AH16" s="16"/>
      <c r="AI16" s="16"/>
      <c r="AJ16" s="16"/>
      <c r="AK16" s="16"/>
      <c r="AL16" s="16"/>
      <c r="AM16" s="16"/>
      <c r="AN16" s="16"/>
      <c r="AO16" s="16"/>
      <c r="AP16" s="16"/>
      <c r="AQ16" s="16"/>
      <c r="AR16" s="16"/>
      <c r="AS16" s="16"/>
      <c r="AT16" s="16"/>
      <c r="AU16" s="16"/>
      <c r="AV16" s="16"/>
    </row>
    <row r="17" spans="1:48" s="8" customFormat="1" ht="20.25" customHeight="1">
      <c r="A17" s="225">
        <v>11</v>
      </c>
      <c r="B17" s="226"/>
      <c r="C17" s="17" t="s">
        <v>131</v>
      </c>
      <c r="D17" s="18"/>
      <c r="E17" s="47"/>
      <c r="F17" s="19"/>
      <c r="G17" s="20"/>
      <c r="H17" s="20"/>
      <c r="I17" s="20"/>
      <c r="J17" s="20"/>
      <c r="K17" s="20"/>
      <c r="L17" s="20"/>
      <c r="M17" s="20"/>
      <c r="N17" s="20"/>
      <c r="O17" s="20"/>
      <c r="P17" s="20"/>
      <c r="Q17" s="20"/>
      <c r="R17" s="20"/>
      <c r="S17" s="20"/>
      <c r="T17" s="20"/>
      <c r="U17" s="20"/>
      <c r="V17" s="20"/>
      <c r="W17" s="22"/>
      <c r="X17" s="225" t="s">
        <v>10</v>
      </c>
      <c r="Y17" s="227"/>
      <c r="Z17" s="227"/>
      <c r="AA17" s="227"/>
      <c r="AB17" s="227"/>
      <c r="AC17" s="226"/>
      <c r="AD17" s="16"/>
      <c r="AE17" s="16"/>
      <c r="AF17" s="16"/>
      <c r="AG17" s="16"/>
      <c r="AH17" s="16"/>
      <c r="AI17" s="16"/>
      <c r="AJ17" s="16"/>
      <c r="AK17" s="16"/>
      <c r="AL17" s="16"/>
      <c r="AM17" s="16"/>
      <c r="AN17" s="16"/>
      <c r="AO17" s="16"/>
      <c r="AP17" s="16"/>
      <c r="AQ17" s="16"/>
      <c r="AR17" s="16"/>
      <c r="AS17" s="16"/>
      <c r="AT17" s="16"/>
      <c r="AU17" s="16"/>
      <c r="AV17" s="16"/>
    </row>
    <row r="18" spans="1:48" s="6" customFormat="1">
      <c r="A18" s="5"/>
      <c r="B18" s="5"/>
      <c r="C18" s="5"/>
      <c r="D18" s="5"/>
      <c r="E18" s="5"/>
      <c r="F18" s="5"/>
      <c r="G18" s="5"/>
      <c r="H18" s="5"/>
      <c r="I18" s="5"/>
      <c r="J18" s="5"/>
      <c r="K18" s="5"/>
      <c r="L18" s="5"/>
      <c r="M18" s="5"/>
      <c r="N18" s="5"/>
      <c r="O18" s="5"/>
      <c r="P18" s="5"/>
      <c r="Q18" s="5"/>
      <c r="R18" s="5"/>
      <c r="S18" s="5"/>
      <c r="T18" s="5"/>
      <c r="U18" s="5"/>
      <c r="V18" s="5"/>
      <c r="W18" s="5"/>
      <c r="X18" s="229" t="s">
        <v>172</v>
      </c>
      <c r="Y18" s="229"/>
      <c r="Z18" s="229"/>
      <c r="AA18" s="229"/>
      <c r="AB18" s="229"/>
      <c r="AC18" s="229"/>
      <c r="AD18" s="5"/>
      <c r="AE18" s="5"/>
      <c r="AF18" s="5"/>
      <c r="AG18" s="5"/>
      <c r="AH18" s="5"/>
      <c r="AI18" s="5"/>
      <c r="AJ18" s="5"/>
      <c r="AK18" s="5"/>
      <c r="AL18" s="5"/>
      <c r="AM18" s="5"/>
      <c r="AN18" s="5"/>
      <c r="AO18" s="5"/>
      <c r="AP18" s="5"/>
      <c r="AQ18" s="5"/>
      <c r="AR18" s="5"/>
      <c r="AS18" s="5"/>
      <c r="AT18" s="5"/>
      <c r="AU18" s="5"/>
      <c r="AV18" s="5"/>
    </row>
    <row r="19" spans="1:48" s="6" customFormat="1">
      <c r="A19" s="5"/>
      <c r="B19" s="5"/>
      <c r="C19" s="5"/>
      <c r="D19" s="5"/>
      <c r="E19" s="5"/>
      <c r="F19" s="5"/>
      <c r="G19" s="5"/>
      <c r="H19" s="5"/>
      <c r="I19" s="5"/>
      <c r="J19" s="5"/>
      <c r="K19" s="5"/>
      <c r="L19" s="5"/>
      <c r="M19" s="5"/>
      <c r="N19" s="5"/>
      <c r="O19" s="5"/>
      <c r="P19" s="5"/>
      <c r="Q19" s="5"/>
      <c r="R19" s="5"/>
      <c r="S19" s="5"/>
      <c r="T19" s="5"/>
      <c r="U19" s="5"/>
      <c r="V19" s="5">
        <f>10/11</f>
        <v>0.90909090909090906</v>
      </c>
      <c r="W19" s="5"/>
      <c r="X19" s="228">
        <v>91</v>
      </c>
      <c r="Y19" s="228"/>
      <c r="Z19" s="228"/>
      <c r="AA19" s="228"/>
      <c r="AB19" s="228"/>
      <c r="AC19" s="228"/>
      <c r="AD19" s="5"/>
      <c r="AE19" s="5"/>
      <c r="AF19" s="5"/>
      <c r="AG19" s="5"/>
      <c r="AH19" s="5"/>
      <c r="AI19" s="5"/>
      <c r="AJ19" s="5"/>
      <c r="AK19" s="5"/>
      <c r="AL19" s="5"/>
      <c r="AM19" s="5"/>
      <c r="AN19" s="5"/>
      <c r="AO19" s="5"/>
      <c r="AP19" s="5"/>
      <c r="AQ19" s="5"/>
      <c r="AR19" s="5"/>
      <c r="AS19" s="5"/>
      <c r="AT19" s="5"/>
      <c r="AU19" s="5"/>
      <c r="AV19" s="5"/>
    </row>
    <row r="20" spans="1:48" s="6" customFormat="1">
      <c r="A20" s="5"/>
      <c r="B20" s="5"/>
      <c r="C20" s="5"/>
      <c r="D20" s="5"/>
      <c r="E20" s="5"/>
      <c r="F20" s="5"/>
      <c r="G20" s="5"/>
      <c r="H20" s="5"/>
      <c r="I20" s="5"/>
      <c r="J20" s="5"/>
      <c r="K20" s="5"/>
      <c r="L20" s="5"/>
      <c r="M20" s="5"/>
      <c r="N20" s="5"/>
      <c r="O20" s="5"/>
      <c r="P20" s="5"/>
      <c r="Q20" s="5"/>
      <c r="R20" s="5"/>
      <c r="S20" s="5"/>
      <c r="T20" s="5"/>
      <c r="U20" s="5"/>
      <c r="V20" s="48"/>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row>
    <row r="21" spans="1:48" s="6" customFormat="1">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row>
    <row r="22" spans="1:48" s="6" customFormat="1">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row>
    <row r="23" spans="1:48" s="6" customFormat="1">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row>
    <row r="24" spans="1:48" s="6" customFormat="1">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row>
    <row r="25" spans="1:48" s="6" customFormat="1">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row>
    <row r="26" spans="1:48" s="6" customFormat="1">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row>
    <row r="27" spans="1:48" s="6" customFormat="1">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row>
    <row r="28" spans="1:48" s="6" customFormat="1">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row>
    <row r="29" spans="1:48" s="6" customFormat="1">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row>
    <row r="30" spans="1:48" s="6" customFormat="1">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row>
    <row r="31" spans="1:48" s="6" customFormat="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row>
    <row r="32" spans="1:48" s="6" customFormat="1">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row>
    <row r="33" spans="1:48" s="6" customFormat="1">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row>
    <row r="34" spans="1:48" s="6" customFormat="1">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row>
    <row r="35" spans="1:48" s="6" customFormat="1">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row>
  </sheetData>
  <mergeCells count="45">
    <mergeCell ref="AD13:AR13"/>
    <mergeCell ref="A17:B17"/>
    <mergeCell ref="X17:AC17"/>
    <mergeCell ref="X19:AC19"/>
    <mergeCell ref="A14:B14"/>
    <mergeCell ref="X14:AC14"/>
    <mergeCell ref="A15:B15"/>
    <mergeCell ref="X15:AC15"/>
    <mergeCell ref="A16:B16"/>
    <mergeCell ref="X16:AC16"/>
    <mergeCell ref="X18:AC18"/>
    <mergeCell ref="A11:B11"/>
    <mergeCell ref="X11:AC11"/>
    <mergeCell ref="A12:B12"/>
    <mergeCell ref="X12:AC12"/>
    <mergeCell ref="A13:B13"/>
    <mergeCell ref="X13:AC13"/>
    <mergeCell ref="A8:B8"/>
    <mergeCell ref="X8:AC8"/>
    <mergeCell ref="A9:B9"/>
    <mergeCell ref="X9:AC9"/>
    <mergeCell ref="A10:B10"/>
    <mergeCell ref="X10:AC10"/>
    <mergeCell ref="X5:AC5"/>
    <mergeCell ref="A6:B6"/>
    <mergeCell ref="C6:W6"/>
    <mergeCell ref="X6:AC6"/>
    <mergeCell ref="A7:B7"/>
    <mergeCell ref="X7:AC7"/>
    <mergeCell ref="I3:V4"/>
    <mergeCell ref="A5:E5"/>
    <mergeCell ref="F5:J5"/>
    <mergeCell ref="K5:N5"/>
    <mergeCell ref="O5:S5"/>
    <mergeCell ref="T5:W5"/>
    <mergeCell ref="A1:E4"/>
    <mergeCell ref="F1:V2"/>
    <mergeCell ref="W1:W4"/>
    <mergeCell ref="F3:H4"/>
    <mergeCell ref="X1:Y1"/>
    <mergeCell ref="Z1:AA1"/>
    <mergeCell ref="AB1:AC1"/>
    <mergeCell ref="X2:Y4"/>
    <mergeCell ref="Z2:AA4"/>
    <mergeCell ref="AB2:AC4"/>
  </mergeCells>
  <conditionalFormatting sqref="X7:AC17">
    <cfRule type="containsText" dxfId="0" priority="1" operator="containsText" text="보완">
      <formula>NOT(ISERROR(SEARCH("보완",X7)))</formula>
    </cfRule>
  </conditionalFormatting>
  <pageMargins left="0.7" right="0.7" top="0.75" bottom="0.75" header="0.3" footer="0.3"/>
  <pageSetup paperSize="9" scale="76"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2:AB4"/>
  <sheetViews>
    <sheetView showGridLines="0" workbookViewId="0">
      <selection activeCell="C15" sqref="C15:W15"/>
    </sheetView>
  </sheetViews>
  <sheetFormatPr defaultRowHeight="15"/>
  <sheetData>
    <row r="2" spans="9:28">
      <c r="X2" t="s">
        <v>252</v>
      </c>
      <c r="Z2" s="122"/>
      <c r="AA2" s="119"/>
      <c r="AB2" t="s">
        <v>253</v>
      </c>
    </row>
    <row r="3" spans="9:28">
      <c r="I3" s="118"/>
      <c r="J3" s="118"/>
      <c r="K3" s="118"/>
      <c r="L3" s="118"/>
      <c r="M3" s="118"/>
      <c r="N3" s="118"/>
      <c r="O3" s="118"/>
      <c r="P3" s="118"/>
      <c r="Q3" s="118"/>
      <c r="R3" s="118"/>
      <c r="S3" s="118"/>
      <c r="T3" s="118"/>
      <c r="U3" s="118"/>
      <c r="V3" s="118"/>
      <c r="Z3" s="123"/>
      <c r="AA3" s="120"/>
    </row>
    <row r="4" spans="9:28">
      <c r="I4" s="118"/>
      <c r="J4" s="118"/>
      <c r="K4" s="118"/>
      <c r="L4" s="118"/>
      <c r="M4" s="118"/>
      <c r="N4" s="118"/>
      <c r="O4" s="118"/>
      <c r="P4" s="118"/>
      <c r="Q4" s="118"/>
      <c r="R4" s="118"/>
      <c r="S4" s="118"/>
      <c r="T4" s="118"/>
      <c r="U4" s="118"/>
      <c r="V4" s="118"/>
      <c r="Z4" s="124"/>
      <c r="AA4" s="12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Lịch sử sửa đổi</vt:lpstr>
      <vt:lpstr>Tổng hợp</vt:lpstr>
      <vt:lpstr> 1. Xem lại việc quản lý</vt:lpstr>
      <vt:lpstr>2.Đánh giá nội bộ</vt:lpstr>
      <vt:lpstr> 3. phát triển sản phẩm</vt:lpstr>
      <vt:lpstr> 4. Sản xuất</vt:lpstr>
      <vt:lpstr> 5. quản lý kinh doanh</vt:lpstr>
      <vt:lpstr> 6. Sự hài lòng của khách hàng</vt:lpstr>
      <vt:lpstr>7. Quản lý mua hàng</vt:lpstr>
      <vt:lpstr>8.QLTB</vt:lpstr>
      <vt:lpstr>9.KTra và Thử nghiệm</vt:lpstr>
      <vt:lpstr> 10. đào tạo giáo dục</vt:lpstr>
      <vt:lpstr> 11. Qly thay đổi</vt:lpstr>
      <vt:lpstr> 12. quản lý tài liệu</vt:lpstr>
      <vt:lpstr> 13. sản phẩm không phù hợp</vt:lpstr>
      <vt:lpstr> 14. quản lý rủi ro</vt:lpstr>
      <vt:lpstr>Sheet1</vt:lpstr>
      <vt:lpstr>' 1. Xem lại việc quản lý'!Print_Area</vt:lpstr>
      <vt:lpstr>' 10. đào tạo giáo dục'!Print_Area</vt:lpstr>
      <vt:lpstr>' 12. quản lý tài liệu'!Print_Area</vt:lpstr>
      <vt:lpstr>' 14. quản lý rủi ro'!Print_Area</vt:lpstr>
      <vt:lpstr>' 3. phát triển sản phẩm'!Print_Area</vt:lpstr>
      <vt:lpstr>' 4. Sản xuất'!Print_Area</vt:lpstr>
      <vt:lpstr>' 5. quản lý kinh doanh'!Print_Area</vt:lpstr>
      <vt:lpstr>'2.Đánh giá nội bộ'!Print_Area</vt:lpstr>
      <vt:lpstr>'7. Quản lý mua hàng'!Print_Area</vt:lpstr>
      <vt:lpstr>'8.QLTB'!Print_Area</vt:lpstr>
      <vt:lpstr>'9.KTra và Thử nghiệm'!Print_Area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OS10</dc:creator>
  <cp:lastModifiedBy>DPC</cp:lastModifiedBy>
  <cp:lastPrinted>2022-06-03T02:42:24Z</cp:lastPrinted>
  <dcterms:created xsi:type="dcterms:W3CDTF">2022-05-28T07:31:43Z</dcterms:created>
  <dcterms:modified xsi:type="dcterms:W3CDTF">2024-04-13T02:31:49Z</dcterms:modified>
</cp:coreProperties>
</file>