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Y:\15. QC\00.Sắp xếp tài liệu mới\2.QA\0.ISO IATF\3. IATF 16949-2016\1. Tài liệu quy trình\Quy trình chung IATF\7.Quy trình tuyển dụng và đào tạo\7.3.Qui trình đào tạo và chứng nhận  năng lực\"/>
    </mc:Choice>
  </mc:AlternateContent>
  <bookViews>
    <workbookView xWindow="0" yWindow="0" windowWidth="25200" windowHeight="13170" activeTab="1"/>
  </bookViews>
  <sheets>
    <sheet name="Eng" sheetId="1" r:id="rId1"/>
    <sheet name="Vie"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9" i="2" l="1"/>
  <c r="G27" i="2"/>
  <c r="G26" i="2"/>
  <c r="G23" i="2"/>
  <c r="G21" i="2"/>
  <c r="G19" i="2"/>
  <c r="G18" i="2"/>
  <c r="G16" i="2"/>
  <c r="G14" i="2"/>
  <c r="G18" i="1" l="1"/>
  <c r="G29" i="1" l="1"/>
  <c r="G27" i="1"/>
  <c r="G26" i="1"/>
  <c r="G23" i="1"/>
  <c r="G21" i="1"/>
  <c r="G19" i="1"/>
  <c r="G16" i="1"/>
  <c r="G14" i="1"/>
</calcChain>
</file>

<file path=xl/sharedStrings.xml><?xml version="1.0" encoding="utf-8"?>
<sst xmlns="http://schemas.openxmlformats.org/spreadsheetml/2006/main" count="308" uniqueCount="165">
  <si>
    <t>No.</t>
  </si>
  <si>
    <t>QC</t>
  </si>
  <si>
    <t>Casting</t>
  </si>
  <si>
    <t>CNC</t>
  </si>
  <si>
    <t>Polishing</t>
  </si>
  <si>
    <t>Chromate</t>
  </si>
  <si>
    <t>Page 1</t>
  </si>
  <si>
    <t>07.05.2022</t>
  </si>
  <si>
    <t>No</t>
  </si>
  <si>
    <t>Version</t>
  </si>
  <si>
    <t>Date</t>
  </si>
  <si>
    <t>00</t>
  </si>
  <si>
    <t xml:space="preserve"> </t>
  </si>
  <si>
    <t xml:space="preserve"> Ware House</t>
  </si>
  <si>
    <t>IQC</t>
  </si>
  <si>
    <t>PQC</t>
  </si>
  <si>
    <t>OQC</t>
  </si>
  <si>
    <t>QUALIFICATION CERTIFICATION FOR WORKING POSITIONS</t>
  </si>
  <si>
    <t>File name</t>
  </si>
  <si>
    <t>Document No.</t>
  </si>
  <si>
    <t>Activated date</t>
  </si>
  <si>
    <t>Page number</t>
  </si>
  <si>
    <t>Qualification certification for working positions</t>
  </si>
  <si>
    <t>Dept</t>
  </si>
  <si>
    <t>Position</t>
  </si>
  <si>
    <t>Certificate type</t>
  </si>
  <si>
    <t>Description</t>
  </si>
  <si>
    <t>Cycle</t>
  </si>
  <si>
    <t>Test</t>
  </si>
  <si>
    <t>Remark</t>
  </si>
  <si>
    <t>Machine operation</t>
  </si>
  <si>
    <t>Measurement &amp; reliability QC</t>
  </si>
  <si>
    <t>Inspection</t>
  </si>
  <si>
    <t>Operation</t>
  </si>
  <si>
    <t>IQC certificate</t>
  </si>
  <si>
    <t>PQC certificate</t>
  </si>
  <si>
    <t>OQC certificate</t>
  </si>
  <si>
    <t>Measurement &amp; reliability certificate</t>
  </si>
  <si>
    <t>IQC inspection: Appearance, Dimension</t>
  </si>
  <si>
    <t>PQC inspection: Appearance, Dimension</t>
  </si>
  <si>
    <t>OQC inspection: Appearance, Dimension</t>
  </si>
  <si>
    <t>Measurement &amp; reliability, component machine operation</t>
  </si>
  <si>
    <t>6 months</t>
  </si>
  <si>
    <t>1 year</t>
  </si>
  <si>
    <t>- Product appearance test
- Measurement test</t>
  </si>
  <si>
    <t>- Measurement test
- Machine operation knowledge test</t>
  </si>
  <si>
    <t>Certify only training field of machine and tool trained</t>
  </si>
  <si>
    <t>Machine operation knowledge test</t>
  </si>
  <si>
    <t>Inspection knowledge test</t>
  </si>
  <si>
    <t>Working operation knowledge test</t>
  </si>
  <si>
    <t>Casting, trimming machine operating; machine &amp; production condition checking &amp; basic appearance inspection</t>
  </si>
  <si>
    <t>Machine operation, machine  &amp; production condition checking, assemble/disassenble product, take product out of machine</t>
  </si>
  <si>
    <t>Basic product/Jig appearance inspection, Basic dimension ( panme, tapren, Micro E)</t>
  </si>
  <si>
    <t>Machine operation  certificate</t>
  </si>
  <si>
    <t>Inspection  certificate</t>
  </si>
  <si>
    <t>Operation  certificate</t>
  </si>
  <si>
    <t>CNC/EDM/String cutting machine operating</t>
  </si>
  <si>
    <t>Mold disassembling &amp; mainterning operation</t>
  </si>
  <si>
    <t>Removing bavia, Burr &amp; appearance check</t>
  </si>
  <si>
    <t>Basic appearance inspection</t>
  </si>
  <si>
    <t>Machine operation, machine  &amp; production condition checking</t>
  </si>
  <si>
    <t>Process operation</t>
  </si>
  <si>
    <t>Assembling product and appearance check</t>
  </si>
  <si>
    <t>Arranging, loading, checking quantity</t>
  </si>
  <si>
    <t>Issue</t>
  </si>
  <si>
    <t>Approve</t>
  </si>
  <si>
    <t>Content</t>
  </si>
  <si>
    <t>Molding</t>
  </si>
  <si>
    <t>Assembly</t>
  </si>
  <si>
    <t>Injection</t>
  </si>
  <si>
    <t>Only person who was certified by Hoshiden can inspect Hoshiden product (3 years of validation)</t>
  </si>
  <si>
    <t>01</t>
  </si>
  <si>
    <t>03.07.2022</t>
  </si>
  <si>
    <t>* Notice: If one of these case happens, certification will be deprived
1. Dont attend test for extension without any acceptable reasons
2. When making errors/mistakes in work and it is not accepted by superior
3. If don't do current job for over 1 month, it's needed to re-test and re-certificate</t>
  </si>
  <si>
    <t>Revise (Certification deprivation)</t>
  </si>
  <si>
    <t>02</t>
  </si>
  <si>
    <t>11.07.2022</t>
  </si>
  <si>
    <t>Hot press</t>
  </si>
  <si>
    <t>Machine operation, machine &amp; production condition checking</t>
  </si>
  <si>
    <t xml:space="preserve"> Add Hot press process</t>
  </si>
  <si>
    <t>PIC</t>
  </si>
  <si>
    <t>Nguyen Thi Thu Ha</t>
  </si>
  <si>
    <t xml:space="preserve">Check </t>
  </si>
  <si>
    <t>Nguyen Tuan Vu</t>
  </si>
  <si>
    <t>04.08.2022</t>
  </si>
  <si>
    <t>Add  new content about requirement for appearance inspection</t>
  </si>
  <si>
    <t>Requirement for appearance inspection: not color blind, vision 10/10.</t>
  </si>
  <si>
    <t xml:space="preserve"> Kiểm tra</t>
  </si>
  <si>
    <t>Số trang</t>
  </si>
  <si>
    <t>07.11.2022</t>
  </si>
  <si>
    <t>Trang 1</t>
  </si>
  <si>
    <t>Chức vụ</t>
  </si>
  <si>
    <t>Bài kiểm tra</t>
  </si>
  <si>
    <t/>
  </si>
  <si>
    <t>Chứng nhận năng lực IQC</t>
  </si>
  <si>
    <t>Kiểm tra IQC: Ngoại quan, Kích thước</t>
  </si>
  <si>
    <t>6 tháng</t>
  </si>
  <si>
    <t>- Kiểm tra Ngoại quan sản phẩm - Kiểm tra đo lường</t>
  </si>
  <si>
    <t>Chứng nhận năng lực PQC</t>
  </si>
  <si>
    <t>Kiểm tra PQC: Ngoại quan, Kích thước</t>
  </si>
  <si>
    <t>Chứng nhận năng lực OQC</t>
  </si>
  <si>
    <t>Kiểm tra OQC: Ngoại quan, Kích thước</t>
  </si>
  <si>
    <t>Đo lường &amp; độ tin cậy QC</t>
  </si>
  <si>
    <t>Chứng nhận năng lực đo lường &amp; độ tin cậy</t>
  </si>
  <si>
    <t>1 năm</t>
  </si>
  <si>
    <t>Người vận hành máy</t>
  </si>
  <si>
    <t>Chứng nhận năng lực vận hành máy</t>
  </si>
  <si>
    <t>Chứng nhận năng lực kiểm định</t>
  </si>
  <si>
    <t>Vận hành máy cắt CNC/EDM/String</t>
  </si>
  <si>
    <t>Người thao tác</t>
  </si>
  <si>
    <t>Chứng nhận năng lực vận hành</t>
  </si>
  <si>
    <t>Thao tác tháo lắp &amp; bảo trì khuôn</t>
  </si>
  <si>
    <t>Vận hành máy, kiểm tra tình trạng máy &amp; sản xuất</t>
  </si>
  <si>
    <t>Loại bỏ bavia, Burr &amp; kiểm tra Ngoại quan</t>
  </si>
  <si>
    <t>Kiểm tra Ngoại quan cơ bản</t>
  </si>
  <si>
    <t>quy trình vận hành</t>
  </si>
  <si>
    <t>Lắp ráp sản phẩm và kiểm tra Ngoại quan</t>
  </si>
  <si>
    <t xml:space="preserve"> Kho</t>
  </si>
  <si>
    <t>Sắp xếp, bốc xếp, kiểm tra số lượng</t>
  </si>
  <si>
    <t>Không</t>
  </si>
  <si>
    <t>Phiên bản</t>
  </si>
  <si>
    <t>Ngày</t>
  </si>
  <si>
    <t>Nội dung</t>
  </si>
  <si>
    <t>Nguyễn Thị Thu Hà</t>
  </si>
  <si>
    <t>07.03.2022</t>
  </si>
  <si>
    <t>Sửa đổi (Tước chứng nhận)</t>
  </si>
  <si>
    <t>Nguyễn Tuấn Vũ</t>
  </si>
  <si>
    <t>Chất lượng</t>
  </si>
  <si>
    <t>Đúc</t>
  </si>
  <si>
    <t>Ép nhựa</t>
  </si>
  <si>
    <t>Lắp ráp</t>
  </si>
  <si>
    <t>Khuôn</t>
  </si>
  <si>
    <t>Bộ phận</t>
  </si>
  <si>
    <t>Loại chứng chỉ</t>
  </si>
  <si>
    <t>Mô tả</t>
  </si>
  <si>
    <t>Thời hạn</t>
  </si>
  <si>
    <t>Ghi chú</t>
  </si>
  <si>
    <t>QUY ĐỊNH CHỨNG NHẬN NĂNG LỰC</t>
  </si>
  <si>
    <t>Tên tài liệu</t>
  </si>
  <si>
    <t>Số tài liệu</t>
  </si>
  <si>
    <t>Ngày ban hành</t>
  </si>
  <si>
    <t>Quy định chứng nhận năng lực</t>
  </si>
  <si>
    <t>Ban hành</t>
  </si>
  <si>
    <t>Duyệt</t>
  </si>
  <si>
    <t>Chỉ người được chứng nhận bởi Hoshiden mới có thể kiểm tra sản phẩm của Hoshiden (thời hạn 3 năm)</t>
  </si>
  <si>
    <t>Vận hành máy đo &amp; độ tin cậy, kiểm tra thành phần</t>
  </si>
  <si>
    <t>Chỉ chứng nhận lĩnh vực đào tạo về máy và công cụ đã được đào tạo</t>
  </si>
  <si>
    <t>Vận hành máy đúc, máy cắt; kiểm tra tình trạng máy &amp; điều kiện sản xuất &amp; kiểm tra Ngoại quan cơ bản</t>
  </si>
  <si>
    <t>Vận hành máy, kiểm tra tình trạng máy &amp; điều kiện sản xuất, tháo lắp sản phẩm, lấy sản phẩm ra khỏi máy</t>
  </si>
  <si>
    <t>Người kiểm tra</t>
  </si>
  <si>
    <t>Chứng nhận năng lực kiểm tra</t>
  </si>
  <si>
    <t>Kiểm tra sản phẩm cơ bản/ngoại quan Jig, kích thước cơ bản ( panme, tapren, Micro E)</t>
  </si>
  <si>
    <t>- Kiểm tra đo lường - Kiểm tra hiểu biết vận hành máy</t>
  </si>
  <si>
    <t>Kiểm tra hiểu biết vận hành máy</t>
  </si>
  <si>
    <t>Kiểm tra hiểu biết kiểm tra</t>
  </si>
  <si>
    <t>Kiểm tra hiểu biết về kiểm tra</t>
  </si>
  <si>
    <t>Kiểm tra hiểu biết về tiến hành công việc</t>
  </si>
  <si>
    <t>Yêu cầu kiểm tra ngoại quan: không mù màu, thị lực 10/10.</t>
  </si>
  <si>
    <t>* Lưu ý: Nếu xảy ra một trong các trường hợp sau sẽ bị tước chứng chỉ
1. Không tham gia kiểm tra gia hạn mà không có lý do chính đáng 
2. Khi mắc lỗi/sai sót trong công việc và không được cấp trên chấp nhận
3. Không làm công việc hiện tại trên 1 tháng cần thi lại và cấp lại chứng chỉ</t>
  </si>
  <si>
    <t>Thêm công đoạn Hotpress</t>
  </si>
  <si>
    <t>Bổ sung nội dung mới về yêu cầu kiểm tra ngoại quan</t>
  </si>
  <si>
    <t>03</t>
  </si>
  <si>
    <t>Sơn/in</t>
  </si>
  <si>
    <t>Painting/Printing</t>
  </si>
  <si>
    <t>QM.03.01.01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</si>
</sst>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quot;-&quot;"/>
  </numFmts>
  <fonts count="13">
    <font>
      <sz val="11"/>
      <color theme="1"/>
      <name val="Calibri"/>
      <family val="2"/>
      <scheme val="minor"/>
    </font>
    <font>
      <b/>
      <sz val="18"/>
      <name val="Times New Roman"/>
      <family val="1"/>
    </font>
    <font>
      <sz val="10"/>
      <name val="MS UI Gothic"/>
      <family val="3"/>
      <charset val="128"/>
    </font>
    <font>
      <sz val="10"/>
      <color indexed="8"/>
      <name val="Arial"/>
      <family val="2"/>
    </font>
    <font>
      <b/>
      <sz val="12"/>
      <name val="Arial"/>
      <family val="2"/>
    </font>
    <font>
      <sz val="10"/>
      <name val="MS PGothic"/>
      <family val="3"/>
    </font>
    <font>
      <sz val="11"/>
      <color theme="1"/>
      <name val="Calibri"/>
      <family val="2"/>
      <charset val="128"/>
      <scheme val="minor"/>
    </font>
    <font>
      <sz val="11"/>
      <color theme="1"/>
      <name val="Times New Roman"/>
      <family val="1"/>
    </font>
    <font>
      <sz val="13"/>
      <color theme="1"/>
      <name val="Times New Roman"/>
      <family val="1"/>
    </font>
    <font>
      <b/>
      <sz val="13"/>
      <color theme="1"/>
      <name val="Times New Roman"/>
      <family val="1"/>
    </font>
    <font>
      <sz val="14"/>
      <name val="Times New Roman"/>
      <family val="1"/>
    </font>
    <font>
      <sz val="14"/>
      <color theme="1"/>
      <name val="Times New Roman"/>
      <family val="1"/>
    </font>
    <font>
      <sz val="12"/>
      <color theme="1"/>
      <name val="Times New Roman"/>
      <family val="1"/>
    </font>
  </fonts>
  <fills count="2">
    <fill>
      <patternFill patternType="none"/>
    </fill>
    <fill>
      <patternFill patternType="gray125"/>
    </fill>
  </fills>
  <borders count="40">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7">
    <xf numFmtId="0" fontId="0" fillId="0" borderId="0"/>
    <xf numFmtId="0" fontId="2" fillId="0" borderId="0"/>
    <xf numFmtId="164" fontId="3" fillId="0" borderId="0" applyFill="0" applyBorder="0" applyAlignment="0"/>
    <xf numFmtId="0" fontId="4" fillId="0" borderId="14" applyNumberFormat="0" applyAlignment="0" applyProtection="0">
      <alignment horizontal="left" vertical="center"/>
    </xf>
    <xf numFmtId="0" fontId="4" fillId="0" borderId="15">
      <alignment horizontal="left" vertical="center"/>
    </xf>
    <xf numFmtId="0" fontId="5" fillId="0" borderId="0"/>
    <xf numFmtId="0" fontId="6" fillId="0" borderId="0">
      <alignment vertical="center"/>
    </xf>
  </cellStyleXfs>
  <cellXfs count="72">
    <xf numFmtId="0" fontId="0" fillId="0" borderId="0" xfId="0"/>
    <xf numFmtId="0" fontId="1" fillId="0" borderId="1" xfId="0" applyFont="1" applyFill="1" applyBorder="1" applyAlignment="1">
      <alignment vertical="center" wrapText="1"/>
    </xf>
    <xf numFmtId="0" fontId="1" fillId="0" borderId="2" xfId="0" applyFont="1" applyFill="1" applyBorder="1" applyAlignment="1">
      <alignment vertical="center" wrapText="1"/>
    </xf>
    <xf numFmtId="0" fontId="1" fillId="0" borderId="3" xfId="0" applyFont="1" applyFill="1" applyBorder="1" applyAlignment="1">
      <alignment vertical="center" wrapText="1"/>
    </xf>
    <xf numFmtId="0" fontId="1" fillId="0" borderId="0" xfId="0" applyFont="1" applyFill="1" applyBorder="1" applyAlignment="1">
      <alignment vertical="center" wrapText="1"/>
    </xf>
    <xf numFmtId="0" fontId="1" fillId="0" borderId="4" xfId="0" applyFont="1" applyFill="1" applyBorder="1" applyAlignment="1">
      <alignment vertical="center" wrapText="1"/>
    </xf>
    <xf numFmtId="0" fontId="1" fillId="0" borderId="5" xfId="0" applyFont="1" applyFill="1" applyBorder="1" applyAlignment="1">
      <alignment vertical="center" wrapText="1"/>
    </xf>
    <xf numFmtId="0" fontId="7" fillId="0" borderId="0" xfId="0" applyFont="1" applyAlignment="1">
      <alignment horizontal="center" vertical="center" wrapText="1"/>
    </xf>
    <xf numFmtId="0" fontId="7" fillId="0" borderId="0" xfId="0" applyFont="1" applyAlignment="1">
      <alignment wrapText="1"/>
    </xf>
    <xf numFmtId="0" fontId="8" fillId="0" borderId="0" xfId="0" applyFont="1" applyAlignment="1">
      <alignment vertical="center" wrapText="1"/>
    </xf>
    <xf numFmtId="0" fontId="9" fillId="0" borderId="16" xfId="0" applyFont="1" applyFill="1" applyBorder="1" applyAlignment="1">
      <alignment horizontal="center" vertical="center" wrapText="1"/>
    </xf>
    <xf numFmtId="0" fontId="8" fillId="0" borderId="0" xfId="0" applyFont="1" applyAlignment="1">
      <alignment wrapText="1"/>
    </xf>
    <xf numFmtId="0" fontId="10" fillId="0" borderId="16" xfId="0" applyFont="1" applyFill="1" applyBorder="1" applyAlignment="1">
      <alignment horizontal="center" vertical="center" wrapText="1"/>
    </xf>
    <xf numFmtId="0" fontId="10" fillId="0" borderId="17" xfId="0" applyFont="1" applyFill="1" applyBorder="1" applyAlignment="1">
      <alignment horizontal="center" vertical="center" wrapText="1"/>
    </xf>
    <xf numFmtId="0" fontId="11" fillId="0" borderId="6" xfId="0" applyFont="1" applyFill="1" applyBorder="1" applyAlignment="1">
      <alignment horizontal="center" vertical="center" wrapText="1"/>
    </xf>
    <xf numFmtId="0" fontId="8" fillId="0" borderId="6" xfId="0" applyFont="1" applyFill="1" applyBorder="1" applyAlignment="1">
      <alignment horizontal="center" vertical="center" wrapText="1"/>
    </xf>
    <xf numFmtId="0" fontId="8" fillId="0" borderId="10" xfId="0" applyFont="1" applyFill="1" applyBorder="1" applyAlignment="1">
      <alignment horizontal="center" vertical="center" wrapText="1"/>
    </xf>
    <xf numFmtId="0" fontId="9" fillId="0" borderId="24" xfId="0" applyFont="1" applyFill="1" applyBorder="1" applyAlignment="1">
      <alignment horizontal="center" vertical="center" wrapText="1"/>
    </xf>
    <xf numFmtId="0" fontId="9" fillId="0" borderId="13" xfId="0" applyFont="1" applyFill="1" applyBorder="1" applyAlignment="1">
      <alignment horizontal="center" vertical="center" wrapText="1"/>
    </xf>
    <xf numFmtId="0" fontId="9" fillId="0" borderId="28" xfId="0" applyFont="1" applyFill="1" applyBorder="1" applyAlignment="1">
      <alignment horizontal="center" vertical="center" wrapText="1"/>
    </xf>
    <xf numFmtId="0" fontId="9" fillId="0" borderId="18" xfId="0" applyFont="1" applyFill="1" applyBorder="1" applyAlignment="1">
      <alignment horizontal="center" vertical="center" wrapText="1"/>
    </xf>
    <xf numFmtId="0" fontId="8" fillId="0" borderId="6" xfId="0" applyFont="1" applyFill="1" applyBorder="1" applyAlignment="1">
      <alignment vertical="center" wrapText="1"/>
    </xf>
    <xf numFmtId="0" fontId="8" fillId="0" borderId="29" xfId="0" quotePrefix="1" applyFont="1" applyFill="1" applyBorder="1" applyAlignment="1">
      <alignment horizontal="center" vertical="center" wrapText="1"/>
    </xf>
    <xf numFmtId="0" fontId="8" fillId="0" borderId="8" xfId="0" applyFont="1" applyFill="1" applyBorder="1" applyAlignment="1">
      <alignment vertical="center" wrapText="1"/>
    </xf>
    <xf numFmtId="0" fontId="8" fillId="0" borderId="8" xfId="0" applyFont="1" applyFill="1" applyBorder="1" applyAlignment="1">
      <alignment wrapText="1"/>
    </xf>
    <xf numFmtId="0" fontId="8" fillId="0" borderId="12" xfId="0" applyFont="1" applyFill="1" applyBorder="1" applyAlignment="1">
      <alignment horizontal="center" vertical="center" wrapText="1"/>
    </xf>
    <xf numFmtId="0" fontId="8" fillId="0" borderId="7" xfId="0" applyFont="1" applyFill="1" applyBorder="1" applyAlignment="1">
      <alignment horizontal="center" vertical="center" wrapText="1"/>
    </xf>
    <xf numFmtId="0" fontId="8" fillId="0" borderId="29" xfId="0" applyFont="1" applyFill="1" applyBorder="1" applyAlignment="1">
      <alignment horizontal="center" vertical="center" wrapText="1"/>
    </xf>
    <xf numFmtId="0" fontId="8" fillId="0" borderId="13" xfId="0" applyFont="1" applyFill="1" applyBorder="1" applyAlignment="1">
      <alignment horizontal="center" vertical="center" wrapText="1"/>
    </xf>
    <xf numFmtId="0" fontId="8" fillId="0" borderId="13" xfId="0" applyFont="1" applyFill="1" applyBorder="1" applyAlignment="1">
      <alignment vertical="center" wrapText="1"/>
    </xf>
    <xf numFmtId="0" fontId="8" fillId="0" borderId="18" xfId="0" applyFont="1" applyFill="1" applyBorder="1" applyAlignment="1">
      <alignment wrapText="1"/>
    </xf>
    <xf numFmtId="0" fontId="9" fillId="0" borderId="25" xfId="0" applyFont="1" applyFill="1" applyBorder="1" applyAlignment="1">
      <alignment horizontal="center" vertical="center" wrapText="1"/>
    </xf>
    <xf numFmtId="0" fontId="9" fillId="0" borderId="17" xfId="0" applyFont="1" applyFill="1" applyBorder="1" applyAlignment="1">
      <alignment horizontal="center" vertical="center" wrapText="1"/>
    </xf>
    <xf numFmtId="0" fontId="8" fillId="0" borderId="6" xfId="0" quotePrefix="1" applyFont="1" applyFill="1" applyBorder="1" applyAlignment="1">
      <alignment horizontal="center" vertical="center" wrapText="1"/>
    </xf>
    <xf numFmtId="0" fontId="12" fillId="0" borderId="8" xfId="0" applyFont="1" applyFill="1" applyBorder="1" applyAlignment="1">
      <alignment horizontal="center" vertical="center" wrapText="1"/>
    </xf>
    <xf numFmtId="0" fontId="8" fillId="0" borderId="9" xfId="0" applyFont="1" applyFill="1" applyBorder="1" applyAlignment="1">
      <alignment horizontal="center" vertical="center" wrapText="1"/>
    </xf>
    <xf numFmtId="0" fontId="8" fillId="0" borderId="11" xfId="0" applyFont="1" applyFill="1" applyBorder="1" applyAlignment="1">
      <alignment horizontal="center" vertical="center" wrapText="1"/>
    </xf>
    <xf numFmtId="0" fontId="8" fillId="0" borderId="7" xfId="0" applyFont="1" applyFill="1" applyBorder="1" applyAlignment="1">
      <alignment horizontal="center" vertical="center" wrapText="1"/>
    </xf>
    <xf numFmtId="0" fontId="8" fillId="0" borderId="6" xfId="0" applyFont="1" applyFill="1" applyBorder="1" applyAlignment="1">
      <alignment horizontal="center" vertical="center" wrapText="1"/>
    </xf>
    <xf numFmtId="0" fontId="8" fillId="0" borderId="12" xfId="0" applyFont="1" applyFill="1" applyBorder="1" applyAlignment="1">
      <alignment horizontal="center" vertical="center" wrapText="1"/>
    </xf>
    <xf numFmtId="0" fontId="8" fillId="0" borderId="13" xfId="0" applyFont="1" applyFill="1" applyBorder="1" applyAlignment="1">
      <alignment horizontal="center" vertical="center" wrapText="1"/>
    </xf>
    <xf numFmtId="0" fontId="8" fillId="0" borderId="29" xfId="0" applyFont="1" applyFill="1" applyBorder="1" applyAlignment="1">
      <alignment horizontal="left" vertical="center" wrapText="1"/>
    </xf>
    <xf numFmtId="0" fontId="8" fillId="0" borderId="15" xfId="0" applyFont="1" applyFill="1" applyBorder="1" applyAlignment="1">
      <alignment horizontal="left" vertical="center" wrapText="1"/>
    </xf>
    <xf numFmtId="0" fontId="8" fillId="0" borderId="35" xfId="0" applyFont="1" applyFill="1" applyBorder="1" applyAlignment="1">
      <alignment horizontal="left" vertical="center" wrapText="1"/>
    </xf>
    <xf numFmtId="0" fontId="8" fillId="0" borderId="31" xfId="0" applyFont="1" applyFill="1" applyBorder="1" applyAlignment="1">
      <alignment horizontal="center" vertical="center" wrapText="1"/>
    </xf>
    <xf numFmtId="0" fontId="8" fillId="0" borderId="19" xfId="0" applyFont="1" applyFill="1" applyBorder="1" applyAlignment="1">
      <alignment horizontal="center" vertical="center" wrapText="1"/>
    </xf>
    <xf numFmtId="0" fontId="8" fillId="0" borderId="34" xfId="0" applyFont="1" applyFill="1" applyBorder="1" applyAlignment="1">
      <alignment horizontal="center" vertical="center" wrapText="1"/>
    </xf>
    <xf numFmtId="0" fontId="8" fillId="0" borderId="26" xfId="0" applyFont="1" applyFill="1" applyBorder="1" applyAlignment="1">
      <alignment horizontal="left" vertical="center" wrapText="1"/>
    </xf>
    <xf numFmtId="0" fontId="8" fillId="0" borderId="19" xfId="0" applyFont="1" applyFill="1" applyBorder="1" applyAlignment="1">
      <alignment horizontal="left" vertical="center" wrapText="1"/>
    </xf>
    <xf numFmtId="0" fontId="8" fillId="0" borderId="20" xfId="0" applyFont="1" applyFill="1" applyBorder="1" applyAlignment="1">
      <alignment horizontal="left" vertical="center" wrapText="1"/>
    </xf>
    <xf numFmtId="0" fontId="9" fillId="0" borderId="30" xfId="0" applyFont="1" applyFill="1" applyBorder="1" applyAlignment="1">
      <alignment horizontal="left" vertical="center" wrapText="1"/>
    </xf>
    <xf numFmtId="0" fontId="9" fillId="0" borderId="37" xfId="0" applyFont="1" applyFill="1" applyBorder="1" applyAlignment="1">
      <alignment horizontal="left" vertical="center" wrapText="1"/>
    </xf>
    <xf numFmtId="0" fontId="9" fillId="0" borderId="36" xfId="0" applyFont="1" applyFill="1" applyBorder="1" applyAlignment="1">
      <alignment horizontal="left" vertical="center" wrapText="1"/>
    </xf>
    <xf numFmtId="0" fontId="8" fillId="0" borderId="12" xfId="0" applyFont="1" applyFill="1" applyBorder="1" applyAlignment="1">
      <alignment horizontal="center" vertical="center" wrapText="1"/>
    </xf>
    <xf numFmtId="0" fontId="8" fillId="0" borderId="33" xfId="0" applyFont="1" applyFill="1" applyBorder="1" applyAlignment="1">
      <alignment horizontal="center" vertical="center" wrapText="1"/>
    </xf>
    <xf numFmtId="0" fontId="8" fillId="0" borderId="13" xfId="0" applyFont="1" applyFill="1" applyBorder="1" applyAlignment="1">
      <alignment horizontal="center" vertical="center" wrapText="1"/>
    </xf>
    <xf numFmtId="0" fontId="8" fillId="0" borderId="27" xfId="0" applyFont="1" applyFill="1" applyBorder="1" applyAlignment="1">
      <alignment horizontal="center" vertical="center" wrapText="1"/>
    </xf>
    <xf numFmtId="0" fontId="8" fillId="0" borderId="32" xfId="0" applyFont="1" applyFill="1" applyBorder="1" applyAlignment="1">
      <alignment horizontal="center" vertical="center" wrapText="1"/>
    </xf>
    <xf numFmtId="0" fontId="8" fillId="0" borderId="24"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8" fillId="0" borderId="21" xfId="0" applyFont="1" applyFill="1" applyBorder="1" applyAlignment="1">
      <alignment horizontal="center" vertical="center" wrapText="1"/>
    </xf>
    <xf numFmtId="0" fontId="8" fillId="0" borderId="22" xfId="0" applyFont="1" applyFill="1" applyBorder="1" applyAlignment="1">
      <alignment horizontal="center" vertical="center" wrapText="1"/>
    </xf>
    <xf numFmtId="0" fontId="8" fillId="0" borderId="23" xfId="0" applyFont="1" applyFill="1" applyBorder="1" applyAlignment="1">
      <alignment horizontal="center" vertical="center" wrapText="1"/>
    </xf>
    <xf numFmtId="0" fontId="8" fillId="0" borderId="20"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8" fillId="0" borderId="7" xfId="0" applyFont="1" applyFill="1" applyBorder="1" applyAlignment="1">
      <alignment horizontal="center" vertical="center" wrapText="1"/>
    </xf>
    <xf numFmtId="0" fontId="8" fillId="0" borderId="6" xfId="0" applyFont="1" applyFill="1" applyBorder="1" applyAlignment="1">
      <alignment horizontal="center" vertical="center" wrapText="1"/>
    </xf>
    <xf numFmtId="0" fontId="8" fillId="0" borderId="38" xfId="0" applyFont="1" applyFill="1" applyBorder="1" applyAlignment="1">
      <alignment horizontal="left" vertical="center" wrapText="1"/>
    </xf>
    <xf numFmtId="0" fontId="8" fillId="0" borderId="39" xfId="0" applyFont="1" applyFill="1" applyBorder="1" applyAlignment="1">
      <alignment horizontal="left" vertical="center" wrapText="1"/>
    </xf>
  </cellXfs>
  <cellStyles count="7">
    <cellStyle name="Calc Currency (0)" xfId="2"/>
    <cellStyle name="Header1" xfId="3"/>
    <cellStyle name="Header2" xfId="4"/>
    <cellStyle name="Normal" xfId="0" builtinId="0"/>
    <cellStyle name="Normal 2" xfId="5"/>
    <cellStyle name="Normal 3" xfId="1"/>
    <cellStyle name="標準 2 2"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527829</xdr:colOff>
      <xdr:row>1</xdr:row>
      <xdr:rowOff>178077</xdr:rowOff>
    </xdr:from>
    <xdr:to>
      <xdr:col>3</xdr:col>
      <xdr:colOff>356378</xdr:colOff>
      <xdr:row>4</xdr:row>
      <xdr:rowOff>1444</xdr:rowOff>
    </xdr:to>
    <xdr:pic>
      <xdr:nvPicPr>
        <xdr:cNvPr id="2" name="그림 37"/>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374" y="316622"/>
          <a:ext cx="1646959" cy="7065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500639</xdr:colOff>
      <xdr:row>2</xdr:row>
      <xdr:rowOff>64835</xdr:rowOff>
    </xdr:from>
    <xdr:to>
      <xdr:col>7</xdr:col>
      <xdr:colOff>943731</xdr:colOff>
      <xdr:row>3</xdr:row>
      <xdr:rowOff>257904</xdr:rowOff>
    </xdr:to>
    <xdr:pic>
      <xdr:nvPicPr>
        <xdr:cNvPr id="9" name="Picture 8"/>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34496" y="500264"/>
          <a:ext cx="443092" cy="492426"/>
        </a:xfrm>
        <a:prstGeom prst="rect">
          <a:avLst/>
        </a:prstGeom>
        <a:noFill/>
        <a:ln>
          <a:noFill/>
        </a:ln>
        <a:extLst/>
      </xdr:spPr>
    </xdr:pic>
    <xdr:clientData/>
  </xdr:twoCellAnchor>
  <xdr:twoCellAnchor editAs="oneCell">
    <xdr:from>
      <xdr:col>8</xdr:col>
      <xdr:colOff>418502</xdr:colOff>
      <xdr:row>2</xdr:row>
      <xdr:rowOff>55480</xdr:rowOff>
    </xdr:from>
    <xdr:to>
      <xdr:col>8</xdr:col>
      <xdr:colOff>955877</xdr:colOff>
      <xdr:row>3</xdr:row>
      <xdr:rowOff>237893</xdr:rowOff>
    </xdr:to>
    <xdr:pic>
      <xdr:nvPicPr>
        <xdr:cNvPr id="10" name="Pictur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630788" y="490909"/>
          <a:ext cx="537375" cy="481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403412</xdr:colOff>
      <xdr:row>2</xdr:row>
      <xdr:rowOff>62238</xdr:rowOff>
    </xdr:from>
    <xdr:to>
      <xdr:col>6</xdr:col>
      <xdr:colOff>867239</xdr:colOff>
      <xdr:row>3</xdr:row>
      <xdr:rowOff>240293</xdr:rowOff>
    </xdr:to>
    <xdr:pic>
      <xdr:nvPicPr>
        <xdr:cNvPr id="11" name="Picture 10"/>
        <xdr:cNvPicPr>
          <a:picLocks noChangeAspect="1"/>
        </xdr:cNvPicPr>
      </xdr:nvPicPr>
      <xdr:blipFill>
        <a:blip xmlns:r="http://schemas.openxmlformats.org/officeDocument/2006/relationships" r:embed="rId4"/>
        <a:stretch>
          <a:fillRect/>
        </a:stretch>
      </xdr:blipFill>
      <xdr:spPr>
        <a:xfrm>
          <a:off x="8703769" y="497667"/>
          <a:ext cx="463827" cy="47741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527829</xdr:colOff>
      <xdr:row>1</xdr:row>
      <xdr:rowOff>178077</xdr:rowOff>
    </xdr:from>
    <xdr:to>
      <xdr:col>3</xdr:col>
      <xdr:colOff>356378</xdr:colOff>
      <xdr:row>4</xdr:row>
      <xdr:rowOff>1444</xdr:rowOff>
    </xdr:to>
    <xdr:pic>
      <xdr:nvPicPr>
        <xdr:cNvPr id="2" name="그림 37"/>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0704" y="311427"/>
          <a:ext cx="1657349" cy="709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500639</xdr:colOff>
      <xdr:row>2</xdr:row>
      <xdr:rowOff>64835</xdr:rowOff>
    </xdr:from>
    <xdr:to>
      <xdr:col>7</xdr:col>
      <xdr:colOff>943731</xdr:colOff>
      <xdr:row>3</xdr:row>
      <xdr:rowOff>257904</xdr:rowOff>
    </xdr:to>
    <xdr:pic>
      <xdr:nvPicPr>
        <xdr:cNvPr id="3" name="Picture 2"/>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20889" y="493460"/>
          <a:ext cx="443092" cy="488344"/>
        </a:xfrm>
        <a:prstGeom prst="rect">
          <a:avLst/>
        </a:prstGeom>
        <a:noFill/>
        <a:ln>
          <a:noFill/>
        </a:ln>
        <a:extLst/>
      </xdr:spPr>
    </xdr:pic>
    <xdr:clientData/>
  </xdr:twoCellAnchor>
  <xdr:twoCellAnchor editAs="oneCell">
    <xdr:from>
      <xdr:col>8</xdr:col>
      <xdr:colOff>418502</xdr:colOff>
      <xdr:row>2</xdr:row>
      <xdr:rowOff>55480</xdr:rowOff>
    </xdr:from>
    <xdr:to>
      <xdr:col>8</xdr:col>
      <xdr:colOff>955877</xdr:colOff>
      <xdr:row>3</xdr:row>
      <xdr:rowOff>237893</xdr:rowOff>
    </xdr:to>
    <xdr:pic>
      <xdr:nvPicPr>
        <xdr:cNvPr id="4" name="Picture 3"/>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619902" y="484105"/>
          <a:ext cx="537375" cy="4776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403412</xdr:colOff>
      <xdr:row>2</xdr:row>
      <xdr:rowOff>62238</xdr:rowOff>
    </xdr:from>
    <xdr:to>
      <xdr:col>6</xdr:col>
      <xdr:colOff>867239</xdr:colOff>
      <xdr:row>3</xdr:row>
      <xdr:rowOff>240293</xdr:rowOff>
    </xdr:to>
    <xdr:pic>
      <xdr:nvPicPr>
        <xdr:cNvPr id="5" name="Picture 4"/>
        <xdr:cNvPicPr>
          <a:picLocks noChangeAspect="1"/>
        </xdr:cNvPicPr>
      </xdr:nvPicPr>
      <xdr:blipFill>
        <a:blip xmlns:r="http://schemas.openxmlformats.org/officeDocument/2006/relationships" r:embed="rId4"/>
        <a:stretch>
          <a:fillRect/>
        </a:stretch>
      </xdr:blipFill>
      <xdr:spPr>
        <a:xfrm>
          <a:off x="8690162" y="490863"/>
          <a:ext cx="463827" cy="4733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37"/>
  <sheetViews>
    <sheetView showGridLines="0" zoomScale="70" zoomScaleNormal="70" workbookViewId="0">
      <selection activeCell="F9" sqref="F9"/>
    </sheetView>
  </sheetViews>
  <sheetFormatPr defaultRowHeight="15"/>
  <cols>
    <col min="1" max="1" width="2.140625" style="8" customWidth="1"/>
    <col min="2" max="2" width="9.140625" style="8"/>
    <col min="3" max="3" width="18.28515625" style="8" customWidth="1"/>
    <col min="4" max="4" width="19.42578125" style="7" customWidth="1"/>
    <col min="5" max="5" width="38.140625" style="8" customWidth="1"/>
    <col min="6" max="6" width="37.140625" style="8" customWidth="1"/>
    <col min="7" max="7" width="20" style="8" bestFit="1" customWidth="1"/>
    <col min="8" max="8" width="23.7109375" style="8" customWidth="1"/>
    <col min="9" max="9" width="20.5703125" style="8" customWidth="1"/>
    <col min="10" max="16384" width="9.140625" style="8"/>
  </cols>
  <sheetData>
    <row r="1" spans="2:13" ht="10.5" customHeight="1" thickBot="1"/>
    <row r="2" spans="2:13" ht="23.25" customHeight="1">
      <c r="B2" s="1"/>
      <c r="C2" s="2"/>
      <c r="D2" s="59" t="s">
        <v>17</v>
      </c>
      <c r="E2" s="59"/>
      <c r="F2" s="59"/>
      <c r="G2" s="12" t="s">
        <v>64</v>
      </c>
      <c r="H2" s="12" t="s">
        <v>82</v>
      </c>
      <c r="I2" s="13" t="s">
        <v>65</v>
      </c>
    </row>
    <row r="3" spans="2:13" ht="23.25" customHeight="1">
      <c r="B3" s="3"/>
      <c r="C3" s="4"/>
      <c r="D3" s="60"/>
      <c r="E3" s="60"/>
      <c r="F3" s="60"/>
      <c r="G3" s="66"/>
      <c r="H3" s="66"/>
      <c r="I3" s="67"/>
    </row>
    <row r="4" spans="2:13" ht="23.25" customHeight="1">
      <c r="B4" s="3"/>
      <c r="C4" s="4"/>
      <c r="D4" s="60"/>
      <c r="E4" s="60"/>
      <c r="F4" s="60"/>
      <c r="G4" s="66"/>
      <c r="H4" s="66"/>
      <c r="I4" s="67"/>
    </row>
    <row r="5" spans="2:13" ht="23.25" customHeight="1">
      <c r="B5" s="5"/>
      <c r="C5" s="6"/>
      <c r="D5" s="61"/>
      <c r="E5" s="61"/>
      <c r="F5" s="61"/>
      <c r="G5" s="14" t="s">
        <v>84</v>
      </c>
      <c r="H5" s="14" t="s">
        <v>84</v>
      </c>
      <c r="I5" s="14" t="s">
        <v>84</v>
      </c>
    </row>
    <row r="6" spans="2:13" s="9" customFormat="1" ht="18" customHeight="1">
      <c r="B6" s="62" t="s">
        <v>18</v>
      </c>
      <c r="C6" s="63"/>
      <c r="D6" s="63"/>
      <c r="E6" s="15" t="s">
        <v>19</v>
      </c>
      <c r="F6" s="15" t="s">
        <v>20</v>
      </c>
      <c r="G6" s="63" t="s">
        <v>21</v>
      </c>
      <c r="H6" s="63"/>
      <c r="I6" s="64"/>
    </row>
    <row r="7" spans="2:13" s="9" customFormat="1" ht="38.25" customHeight="1" thickBot="1">
      <c r="B7" s="47" t="s">
        <v>22</v>
      </c>
      <c r="C7" s="48"/>
      <c r="D7" s="48"/>
      <c r="E7" s="16" t="s">
        <v>164</v>
      </c>
      <c r="F7" s="16" t="s">
        <v>76</v>
      </c>
      <c r="G7" s="45" t="s">
        <v>6</v>
      </c>
      <c r="H7" s="45"/>
      <c r="I7" s="65"/>
    </row>
    <row r="8" spans="2:13" s="9" customFormat="1" ht="39.75" customHeight="1">
      <c r="B8" s="17" t="s">
        <v>0</v>
      </c>
      <c r="C8" s="18" t="s">
        <v>23</v>
      </c>
      <c r="D8" s="18" t="s">
        <v>24</v>
      </c>
      <c r="E8" s="18" t="s">
        <v>25</v>
      </c>
      <c r="F8" s="18" t="s">
        <v>26</v>
      </c>
      <c r="G8" s="18" t="s">
        <v>27</v>
      </c>
      <c r="H8" s="19" t="s">
        <v>28</v>
      </c>
      <c r="I8" s="20" t="s">
        <v>29</v>
      </c>
      <c r="M8" s="9" t="s">
        <v>12</v>
      </c>
    </row>
    <row r="9" spans="2:13" s="9" customFormat="1" ht="72.75" customHeight="1">
      <c r="B9" s="56">
        <v>1</v>
      </c>
      <c r="C9" s="53" t="s">
        <v>1</v>
      </c>
      <c r="D9" s="15" t="s">
        <v>14</v>
      </c>
      <c r="E9" s="21" t="s">
        <v>34</v>
      </c>
      <c r="F9" s="21" t="s">
        <v>38</v>
      </c>
      <c r="G9" s="15" t="s">
        <v>42</v>
      </c>
      <c r="H9" s="22" t="s">
        <v>44</v>
      </c>
      <c r="I9" s="23"/>
    </row>
    <row r="10" spans="2:13" s="11" customFormat="1" ht="72.75" customHeight="1">
      <c r="B10" s="57"/>
      <c r="C10" s="54"/>
      <c r="D10" s="15" t="s">
        <v>15</v>
      </c>
      <c r="E10" s="21" t="s">
        <v>35</v>
      </c>
      <c r="F10" s="21" t="s">
        <v>39</v>
      </c>
      <c r="G10" s="15" t="s">
        <v>42</v>
      </c>
      <c r="H10" s="22" t="s">
        <v>44</v>
      </c>
      <c r="I10" s="24"/>
    </row>
    <row r="11" spans="2:13" s="11" customFormat="1" ht="100.5" customHeight="1">
      <c r="B11" s="57"/>
      <c r="C11" s="54"/>
      <c r="D11" s="15" t="s">
        <v>16</v>
      </c>
      <c r="E11" s="21" t="s">
        <v>36</v>
      </c>
      <c r="F11" s="21" t="s">
        <v>40</v>
      </c>
      <c r="G11" s="15" t="s">
        <v>42</v>
      </c>
      <c r="H11" s="22" t="s">
        <v>44</v>
      </c>
      <c r="I11" s="24" t="s">
        <v>70</v>
      </c>
    </row>
    <row r="12" spans="2:13" s="11" customFormat="1" ht="82.5" customHeight="1">
      <c r="B12" s="58"/>
      <c r="C12" s="55"/>
      <c r="D12" s="15" t="s">
        <v>31</v>
      </c>
      <c r="E12" s="21" t="s">
        <v>37</v>
      </c>
      <c r="F12" s="21" t="s">
        <v>41</v>
      </c>
      <c r="G12" s="25" t="s">
        <v>43</v>
      </c>
      <c r="H12" s="22" t="s">
        <v>45</v>
      </c>
      <c r="I12" s="24" t="s">
        <v>46</v>
      </c>
    </row>
    <row r="13" spans="2:13" s="11" customFormat="1" ht="72.75" customHeight="1">
      <c r="B13" s="26">
        <v>2</v>
      </c>
      <c r="C13" s="15" t="s">
        <v>2</v>
      </c>
      <c r="D13" s="15" t="s">
        <v>30</v>
      </c>
      <c r="E13" s="21" t="s">
        <v>53</v>
      </c>
      <c r="F13" s="21" t="s">
        <v>50</v>
      </c>
      <c r="G13" s="25" t="s">
        <v>43</v>
      </c>
      <c r="H13" s="27" t="s">
        <v>47</v>
      </c>
      <c r="I13" s="24" t="s">
        <v>46</v>
      </c>
    </row>
    <row r="14" spans="2:13" s="11" customFormat="1" ht="72.75" customHeight="1">
      <c r="B14" s="68">
        <v>3</v>
      </c>
      <c r="C14" s="69" t="s">
        <v>3</v>
      </c>
      <c r="D14" s="15" t="s">
        <v>30</v>
      </c>
      <c r="E14" s="21" t="s">
        <v>53</v>
      </c>
      <c r="F14" s="21" t="s">
        <v>51</v>
      </c>
      <c r="G14" s="69" t="str">
        <f>$G$13</f>
        <v>1 year</v>
      </c>
      <c r="H14" s="27" t="s">
        <v>47</v>
      </c>
      <c r="I14" s="24" t="s">
        <v>46</v>
      </c>
    </row>
    <row r="15" spans="2:13" s="11" customFormat="1" ht="72.75" customHeight="1">
      <c r="B15" s="68"/>
      <c r="C15" s="69"/>
      <c r="D15" s="15" t="s">
        <v>32</v>
      </c>
      <c r="E15" s="21" t="s">
        <v>54</v>
      </c>
      <c r="F15" s="21" t="s">
        <v>52</v>
      </c>
      <c r="G15" s="69"/>
      <c r="H15" s="27" t="s">
        <v>48</v>
      </c>
      <c r="I15" s="24"/>
    </row>
    <row r="16" spans="2:13" s="11" customFormat="1" ht="72.75" customHeight="1">
      <c r="B16" s="56">
        <v>4</v>
      </c>
      <c r="C16" s="53" t="s">
        <v>67</v>
      </c>
      <c r="D16" s="15" t="s">
        <v>30</v>
      </c>
      <c r="E16" s="21" t="s">
        <v>53</v>
      </c>
      <c r="F16" s="21" t="s">
        <v>56</v>
      </c>
      <c r="G16" s="69" t="str">
        <f>$G$13</f>
        <v>1 year</v>
      </c>
      <c r="H16" s="27" t="s">
        <v>47</v>
      </c>
      <c r="I16" s="24" t="s">
        <v>46</v>
      </c>
    </row>
    <row r="17" spans="2:9" s="11" customFormat="1" ht="72.75" customHeight="1">
      <c r="B17" s="58"/>
      <c r="C17" s="55"/>
      <c r="D17" s="28" t="s">
        <v>33</v>
      </c>
      <c r="E17" s="29" t="s">
        <v>55</v>
      </c>
      <c r="F17" s="29" t="s">
        <v>57</v>
      </c>
      <c r="G17" s="69"/>
      <c r="H17" s="27" t="s">
        <v>49</v>
      </c>
      <c r="I17" s="30"/>
    </row>
    <row r="18" spans="2:9" s="11" customFormat="1" ht="72.75" customHeight="1">
      <c r="B18" s="26">
        <v>5</v>
      </c>
      <c r="C18" s="15" t="s">
        <v>77</v>
      </c>
      <c r="D18" s="28" t="s">
        <v>33</v>
      </c>
      <c r="E18" s="29" t="s">
        <v>55</v>
      </c>
      <c r="F18" s="21" t="s">
        <v>78</v>
      </c>
      <c r="G18" s="25" t="str">
        <f>$G$13</f>
        <v>1 year</v>
      </c>
      <c r="H18" s="27" t="s">
        <v>49</v>
      </c>
      <c r="I18" s="24"/>
    </row>
    <row r="19" spans="2:9" s="11" customFormat="1" ht="72.75" customHeight="1">
      <c r="B19" s="57">
        <v>6</v>
      </c>
      <c r="C19" s="54" t="s">
        <v>4</v>
      </c>
      <c r="D19" s="28" t="s">
        <v>33</v>
      </c>
      <c r="E19" s="29" t="s">
        <v>55</v>
      </c>
      <c r="F19" s="21" t="s">
        <v>58</v>
      </c>
      <c r="G19" s="53" t="str">
        <f>$G$13</f>
        <v>1 year</v>
      </c>
      <c r="H19" s="27" t="s">
        <v>49</v>
      </c>
      <c r="I19" s="24"/>
    </row>
    <row r="20" spans="2:9" s="11" customFormat="1" ht="72.75" customHeight="1">
      <c r="B20" s="58"/>
      <c r="C20" s="55"/>
      <c r="D20" s="15" t="s">
        <v>32</v>
      </c>
      <c r="E20" s="21" t="s">
        <v>54</v>
      </c>
      <c r="F20" s="21" t="s">
        <v>59</v>
      </c>
      <c r="G20" s="55"/>
      <c r="H20" s="27" t="s">
        <v>48</v>
      </c>
      <c r="I20" s="24"/>
    </row>
    <row r="21" spans="2:9" s="11" customFormat="1" ht="72.75" customHeight="1">
      <c r="B21" s="56">
        <v>7</v>
      </c>
      <c r="C21" s="53" t="s">
        <v>5</v>
      </c>
      <c r="D21" s="28" t="s">
        <v>33</v>
      </c>
      <c r="E21" s="29" t="s">
        <v>55</v>
      </c>
      <c r="F21" s="21" t="s">
        <v>60</v>
      </c>
      <c r="G21" s="53" t="str">
        <f>$G$13</f>
        <v>1 year</v>
      </c>
      <c r="H21" s="27" t="s">
        <v>49</v>
      </c>
      <c r="I21" s="24"/>
    </row>
    <row r="22" spans="2:9" s="11" customFormat="1" ht="72.75" customHeight="1">
      <c r="B22" s="58"/>
      <c r="C22" s="55"/>
      <c r="D22" s="15" t="s">
        <v>32</v>
      </c>
      <c r="E22" s="21" t="s">
        <v>54</v>
      </c>
      <c r="F22" s="21" t="s">
        <v>59</v>
      </c>
      <c r="G22" s="55"/>
      <c r="H22" s="27" t="s">
        <v>48</v>
      </c>
      <c r="I22" s="24"/>
    </row>
    <row r="23" spans="2:9" s="11" customFormat="1" ht="72.75" customHeight="1">
      <c r="B23" s="68">
        <v>8</v>
      </c>
      <c r="C23" s="69" t="s">
        <v>163</v>
      </c>
      <c r="D23" s="28" t="s">
        <v>33</v>
      </c>
      <c r="E23" s="29" t="s">
        <v>55</v>
      </c>
      <c r="F23" s="21" t="s">
        <v>61</v>
      </c>
      <c r="G23" s="69" t="str">
        <f>$G$13</f>
        <v>1 year</v>
      </c>
      <c r="H23" s="27" t="s">
        <v>49</v>
      </c>
      <c r="I23" s="24"/>
    </row>
    <row r="24" spans="2:9" s="11" customFormat="1" ht="72.75" customHeight="1">
      <c r="B24" s="68"/>
      <c r="C24" s="69"/>
      <c r="D24" s="15" t="s">
        <v>30</v>
      </c>
      <c r="E24" s="21" t="s">
        <v>53</v>
      </c>
      <c r="F24" s="21" t="s">
        <v>60</v>
      </c>
      <c r="G24" s="69"/>
      <c r="H24" s="27" t="s">
        <v>47</v>
      </c>
      <c r="I24" s="24" t="s">
        <v>46</v>
      </c>
    </row>
    <row r="25" spans="2:9" s="11" customFormat="1" ht="72.75" customHeight="1">
      <c r="B25" s="68"/>
      <c r="C25" s="69"/>
      <c r="D25" s="15" t="s">
        <v>32</v>
      </c>
      <c r="E25" s="21" t="s">
        <v>54</v>
      </c>
      <c r="F25" s="21" t="s">
        <v>59</v>
      </c>
      <c r="G25" s="69"/>
      <c r="H25" s="27" t="s">
        <v>48</v>
      </c>
      <c r="I25" s="24"/>
    </row>
    <row r="26" spans="2:9" s="11" customFormat="1" ht="72.75" customHeight="1">
      <c r="B26" s="26">
        <v>9</v>
      </c>
      <c r="C26" s="15" t="s">
        <v>68</v>
      </c>
      <c r="D26" s="28" t="s">
        <v>33</v>
      </c>
      <c r="E26" s="29" t="s">
        <v>55</v>
      </c>
      <c r="F26" s="21" t="s">
        <v>62</v>
      </c>
      <c r="G26" s="15" t="str">
        <f>$G$13</f>
        <v>1 year</v>
      </c>
      <c r="H26" s="27" t="s">
        <v>49</v>
      </c>
      <c r="I26" s="24"/>
    </row>
    <row r="27" spans="2:9" s="11" customFormat="1" ht="72.75" customHeight="1">
      <c r="B27" s="68">
        <v>10</v>
      </c>
      <c r="C27" s="69" t="s">
        <v>69</v>
      </c>
      <c r="D27" s="15" t="s">
        <v>30</v>
      </c>
      <c r="E27" s="21" t="s">
        <v>53</v>
      </c>
      <c r="F27" s="21" t="s">
        <v>60</v>
      </c>
      <c r="G27" s="69" t="str">
        <f>$G$13</f>
        <v>1 year</v>
      </c>
      <c r="H27" s="27" t="s">
        <v>47</v>
      </c>
      <c r="I27" s="24" t="s">
        <v>46</v>
      </c>
    </row>
    <row r="28" spans="2:9" s="11" customFormat="1" ht="72.75" customHeight="1">
      <c r="B28" s="68"/>
      <c r="C28" s="69"/>
      <c r="D28" s="15" t="s">
        <v>32</v>
      </c>
      <c r="E28" s="21" t="s">
        <v>54</v>
      </c>
      <c r="F28" s="21" t="s">
        <v>59</v>
      </c>
      <c r="G28" s="69"/>
      <c r="H28" s="27" t="s">
        <v>48</v>
      </c>
      <c r="I28" s="24"/>
    </row>
    <row r="29" spans="2:9" s="11" customFormat="1" ht="72.75" customHeight="1">
      <c r="B29" s="26">
        <v>11</v>
      </c>
      <c r="C29" s="15" t="s">
        <v>13</v>
      </c>
      <c r="D29" s="28" t="s">
        <v>33</v>
      </c>
      <c r="E29" s="29" t="s">
        <v>55</v>
      </c>
      <c r="F29" s="21" t="s">
        <v>63</v>
      </c>
      <c r="G29" s="15" t="str">
        <f>$G$13</f>
        <v>1 year</v>
      </c>
      <c r="H29" s="27" t="s">
        <v>49</v>
      </c>
      <c r="I29" s="24"/>
    </row>
    <row r="30" spans="2:9" s="11" customFormat="1" ht="48.75" customHeight="1">
      <c r="B30" s="70" t="s">
        <v>86</v>
      </c>
      <c r="C30" s="42"/>
      <c r="D30" s="42"/>
      <c r="E30" s="42"/>
      <c r="F30" s="42"/>
      <c r="G30" s="42"/>
      <c r="H30" s="42"/>
      <c r="I30" s="71"/>
    </row>
    <row r="31" spans="2:9" s="11" customFormat="1" ht="72.75" customHeight="1" thickBot="1">
      <c r="B31" s="47" t="s">
        <v>73</v>
      </c>
      <c r="C31" s="48"/>
      <c r="D31" s="48"/>
      <c r="E31" s="48"/>
      <c r="F31" s="48"/>
      <c r="G31" s="48"/>
      <c r="H31" s="48"/>
      <c r="I31" s="49"/>
    </row>
    <row r="32" spans="2:9" s="11" customFormat="1" ht="30" customHeight="1">
      <c r="B32" s="31" t="s">
        <v>8</v>
      </c>
      <c r="C32" s="10" t="s">
        <v>9</v>
      </c>
      <c r="D32" s="10" t="s">
        <v>10</v>
      </c>
      <c r="E32" s="50" t="s">
        <v>66</v>
      </c>
      <c r="F32" s="51"/>
      <c r="G32" s="51"/>
      <c r="H32" s="52"/>
      <c r="I32" s="32" t="s">
        <v>80</v>
      </c>
    </row>
    <row r="33" spans="2:9" s="11" customFormat="1" ht="24" customHeight="1">
      <c r="B33" s="26">
        <v>1</v>
      </c>
      <c r="C33" s="33" t="s">
        <v>11</v>
      </c>
      <c r="D33" s="15" t="s">
        <v>7</v>
      </c>
      <c r="E33" s="41" t="s">
        <v>64</v>
      </c>
      <c r="F33" s="42"/>
      <c r="G33" s="42"/>
      <c r="H33" s="43"/>
      <c r="I33" s="34" t="s">
        <v>81</v>
      </c>
    </row>
    <row r="34" spans="2:9" s="11" customFormat="1" ht="24" customHeight="1">
      <c r="B34" s="26">
        <v>2</v>
      </c>
      <c r="C34" s="33" t="s">
        <v>71</v>
      </c>
      <c r="D34" s="15" t="s">
        <v>72</v>
      </c>
      <c r="E34" s="41" t="s">
        <v>74</v>
      </c>
      <c r="F34" s="42"/>
      <c r="G34" s="42"/>
      <c r="H34" s="43"/>
      <c r="I34" s="34" t="s">
        <v>81</v>
      </c>
    </row>
    <row r="35" spans="2:9" s="11" customFormat="1" ht="24" customHeight="1">
      <c r="B35" s="26">
        <v>3</v>
      </c>
      <c r="C35" s="33" t="s">
        <v>75</v>
      </c>
      <c r="D35" s="15" t="s">
        <v>76</v>
      </c>
      <c r="E35" s="41" t="s">
        <v>79</v>
      </c>
      <c r="F35" s="42"/>
      <c r="G35" s="42"/>
      <c r="H35" s="43"/>
      <c r="I35" s="34" t="s">
        <v>83</v>
      </c>
    </row>
    <row r="36" spans="2:9" s="11" customFormat="1" ht="24" customHeight="1">
      <c r="B36" s="26">
        <v>4</v>
      </c>
      <c r="C36" s="33" t="s">
        <v>161</v>
      </c>
      <c r="D36" s="15" t="s">
        <v>84</v>
      </c>
      <c r="E36" s="41" t="s">
        <v>85</v>
      </c>
      <c r="F36" s="42"/>
      <c r="G36" s="42"/>
      <c r="H36" s="43"/>
      <c r="I36" s="34" t="s">
        <v>83</v>
      </c>
    </row>
    <row r="37" spans="2:9" s="11" customFormat="1" ht="24" customHeight="1" thickBot="1">
      <c r="B37" s="35"/>
      <c r="C37" s="16"/>
      <c r="D37" s="16"/>
      <c r="E37" s="44"/>
      <c r="F37" s="45"/>
      <c r="G37" s="45"/>
      <c r="H37" s="46"/>
      <c r="I37" s="36"/>
    </row>
  </sheetData>
  <mergeCells count="36">
    <mergeCell ref="B30:I30"/>
    <mergeCell ref="B27:B28"/>
    <mergeCell ref="C27:C28"/>
    <mergeCell ref="G27:G28"/>
    <mergeCell ref="B16:B17"/>
    <mergeCell ref="C16:C17"/>
    <mergeCell ref="G16:G17"/>
    <mergeCell ref="C19:C20"/>
    <mergeCell ref="G19:G20"/>
    <mergeCell ref="B14:B15"/>
    <mergeCell ref="C14:C15"/>
    <mergeCell ref="G14:G15"/>
    <mergeCell ref="B23:B25"/>
    <mergeCell ref="C23:C25"/>
    <mergeCell ref="G23:G25"/>
    <mergeCell ref="B19:B20"/>
    <mergeCell ref="B21:B22"/>
    <mergeCell ref="C21:C22"/>
    <mergeCell ref="G21:G22"/>
    <mergeCell ref="C9:C12"/>
    <mergeCell ref="B9:B12"/>
    <mergeCell ref="D2:F5"/>
    <mergeCell ref="B6:D6"/>
    <mergeCell ref="G6:I6"/>
    <mergeCell ref="B7:D7"/>
    <mergeCell ref="G7:I7"/>
    <mergeCell ref="G3:G4"/>
    <mergeCell ref="H3:H4"/>
    <mergeCell ref="I3:I4"/>
    <mergeCell ref="E36:H36"/>
    <mergeCell ref="E37:H37"/>
    <mergeCell ref="B31:I31"/>
    <mergeCell ref="E33:H33"/>
    <mergeCell ref="E34:H34"/>
    <mergeCell ref="E35:H35"/>
    <mergeCell ref="E32:H32"/>
  </mergeCells>
  <pageMargins left="0.7" right="0.7" top="0.75" bottom="0.75" header="0.3" footer="0.3"/>
  <pageSetup paperSize="9" scale="4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37"/>
  <sheetViews>
    <sheetView showGridLines="0" tabSelected="1" zoomScale="55" zoomScaleNormal="55" workbookViewId="0">
      <selection activeCell="F11" sqref="F11"/>
    </sheetView>
  </sheetViews>
  <sheetFormatPr defaultRowHeight="15"/>
  <cols>
    <col min="1" max="1" width="2.140625" style="8" customWidth="1"/>
    <col min="2" max="2" width="9.140625" style="8"/>
    <col min="3" max="3" width="18.28515625" style="8" customWidth="1"/>
    <col min="4" max="4" width="19.42578125" style="7" customWidth="1"/>
    <col min="5" max="5" width="38.140625" style="8" customWidth="1"/>
    <col min="6" max="6" width="64" style="8" customWidth="1"/>
    <col min="7" max="7" width="20" style="8" bestFit="1" customWidth="1"/>
    <col min="8" max="8" width="38.7109375" style="8" customWidth="1"/>
    <col min="9" max="9" width="39.5703125" style="8" customWidth="1"/>
    <col min="10" max="16384" width="9.140625" style="8"/>
  </cols>
  <sheetData>
    <row r="1" spans="2:13" ht="10.5" customHeight="1" thickBot="1"/>
    <row r="2" spans="2:13" ht="23.25" customHeight="1">
      <c r="B2" s="1"/>
      <c r="C2" s="2"/>
      <c r="D2" s="59" t="s">
        <v>137</v>
      </c>
      <c r="E2" s="59"/>
      <c r="F2" s="59"/>
      <c r="G2" s="12" t="s">
        <v>142</v>
      </c>
      <c r="H2" s="12" t="s">
        <v>87</v>
      </c>
      <c r="I2" s="13" t="s">
        <v>143</v>
      </c>
    </row>
    <row r="3" spans="2:13" ht="23.25" customHeight="1">
      <c r="B3" s="3"/>
      <c r="C3" s="4"/>
      <c r="D3" s="60"/>
      <c r="E3" s="60"/>
      <c r="F3" s="60"/>
      <c r="G3" s="66"/>
      <c r="H3" s="66"/>
      <c r="I3" s="67"/>
    </row>
    <row r="4" spans="2:13" ht="23.25" customHeight="1">
      <c r="B4" s="3"/>
      <c r="C4" s="4"/>
      <c r="D4" s="60"/>
      <c r="E4" s="60"/>
      <c r="F4" s="60"/>
      <c r="G4" s="66"/>
      <c r="H4" s="66"/>
      <c r="I4" s="67"/>
    </row>
    <row r="5" spans="2:13" ht="23.25" customHeight="1">
      <c r="B5" s="5"/>
      <c r="C5" s="6"/>
      <c r="D5" s="61"/>
      <c r="E5" s="61"/>
      <c r="F5" s="61"/>
      <c r="G5" s="14" t="s">
        <v>84</v>
      </c>
      <c r="H5" s="14" t="s">
        <v>84</v>
      </c>
      <c r="I5" s="14" t="s">
        <v>84</v>
      </c>
    </row>
    <row r="6" spans="2:13" s="9" customFormat="1" ht="18" customHeight="1">
      <c r="B6" s="62" t="s">
        <v>138</v>
      </c>
      <c r="C6" s="63"/>
      <c r="D6" s="63"/>
      <c r="E6" s="38" t="s">
        <v>139</v>
      </c>
      <c r="F6" s="38" t="s">
        <v>140</v>
      </c>
      <c r="G6" s="63" t="s">
        <v>88</v>
      </c>
      <c r="H6" s="63"/>
      <c r="I6" s="64"/>
    </row>
    <row r="7" spans="2:13" s="9" customFormat="1" ht="38.25" customHeight="1" thickBot="1">
      <c r="B7" s="47" t="s">
        <v>141</v>
      </c>
      <c r="C7" s="48"/>
      <c r="D7" s="48"/>
      <c r="E7" s="16" t="s">
        <v>164</v>
      </c>
      <c r="F7" s="16" t="s">
        <v>89</v>
      </c>
      <c r="G7" s="45" t="s">
        <v>90</v>
      </c>
      <c r="H7" s="45"/>
      <c r="I7" s="65"/>
    </row>
    <row r="8" spans="2:13" s="9" customFormat="1" ht="39.75" customHeight="1">
      <c r="B8" s="17" t="s">
        <v>8</v>
      </c>
      <c r="C8" s="18" t="s">
        <v>132</v>
      </c>
      <c r="D8" s="18" t="s">
        <v>91</v>
      </c>
      <c r="E8" s="18" t="s">
        <v>133</v>
      </c>
      <c r="F8" s="18" t="s">
        <v>134</v>
      </c>
      <c r="G8" s="18" t="s">
        <v>135</v>
      </c>
      <c r="H8" s="19" t="s">
        <v>92</v>
      </c>
      <c r="I8" s="20" t="s">
        <v>136</v>
      </c>
      <c r="M8" s="9" t="s">
        <v>93</v>
      </c>
    </row>
    <row r="9" spans="2:13" s="9" customFormat="1" ht="48" customHeight="1">
      <c r="B9" s="56">
        <v>1</v>
      </c>
      <c r="C9" s="53" t="s">
        <v>127</v>
      </c>
      <c r="D9" s="38" t="s">
        <v>14</v>
      </c>
      <c r="E9" s="21" t="s">
        <v>94</v>
      </c>
      <c r="F9" s="21" t="s">
        <v>95</v>
      </c>
      <c r="G9" s="38" t="s">
        <v>96</v>
      </c>
      <c r="H9" s="22" t="s">
        <v>97</v>
      </c>
      <c r="I9" s="23"/>
    </row>
    <row r="10" spans="2:13" s="11" customFormat="1" ht="48" customHeight="1">
      <c r="B10" s="57"/>
      <c r="C10" s="54"/>
      <c r="D10" s="38" t="s">
        <v>15</v>
      </c>
      <c r="E10" s="21" t="s">
        <v>98</v>
      </c>
      <c r="F10" s="21" t="s">
        <v>99</v>
      </c>
      <c r="G10" s="38" t="s">
        <v>96</v>
      </c>
      <c r="H10" s="22" t="s">
        <v>97</v>
      </c>
      <c r="I10" s="24"/>
    </row>
    <row r="11" spans="2:13" s="11" customFormat="1" ht="48" customHeight="1">
      <c r="B11" s="57"/>
      <c r="C11" s="54"/>
      <c r="D11" s="38" t="s">
        <v>16</v>
      </c>
      <c r="E11" s="21" t="s">
        <v>100</v>
      </c>
      <c r="F11" s="21" t="s">
        <v>101</v>
      </c>
      <c r="G11" s="38" t="s">
        <v>96</v>
      </c>
      <c r="H11" s="22" t="s">
        <v>97</v>
      </c>
      <c r="I11" s="24" t="s">
        <v>144</v>
      </c>
    </row>
    <row r="12" spans="2:13" s="11" customFormat="1" ht="48" customHeight="1">
      <c r="B12" s="58"/>
      <c r="C12" s="55"/>
      <c r="D12" s="38" t="s">
        <v>102</v>
      </c>
      <c r="E12" s="21" t="s">
        <v>103</v>
      </c>
      <c r="F12" s="21" t="s">
        <v>145</v>
      </c>
      <c r="G12" s="39" t="s">
        <v>104</v>
      </c>
      <c r="H12" s="22" t="s">
        <v>152</v>
      </c>
      <c r="I12" s="24" t="s">
        <v>146</v>
      </c>
    </row>
    <row r="13" spans="2:13" s="11" customFormat="1" ht="48" customHeight="1">
      <c r="B13" s="37">
        <v>2</v>
      </c>
      <c r="C13" s="38" t="s">
        <v>128</v>
      </c>
      <c r="D13" s="38" t="s">
        <v>105</v>
      </c>
      <c r="E13" s="21" t="s">
        <v>106</v>
      </c>
      <c r="F13" s="21" t="s">
        <v>147</v>
      </c>
      <c r="G13" s="39" t="s">
        <v>104</v>
      </c>
      <c r="H13" s="27" t="s">
        <v>153</v>
      </c>
      <c r="I13" s="24" t="s">
        <v>146</v>
      </c>
    </row>
    <row r="14" spans="2:13" s="11" customFormat="1" ht="48" customHeight="1">
      <c r="B14" s="68">
        <v>3</v>
      </c>
      <c r="C14" s="69" t="s">
        <v>3</v>
      </c>
      <c r="D14" s="38" t="s">
        <v>105</v>
      </c>
      <c r="E14" s="21" t="s">
        <v>106</v>
      </c>
      <c r="F14" s="21" t="s">
        <v>148</v>
      </c>
      <c r="G14" s="69" t="str">
        <f>$G$13</f>
        <v>1 năm</v>
      </c>
      <c r="H14" s="27" t="s">
        <v>153</v>
      </c>
      <c r="I14" s="24" t="s">
        <v>146</v>
      </c>
    </row>
    <row r="15" spans="2:13" s="11" customFormat="1" ht="48" customHeight="1">
      <c r="B15" s="68"/>
      <c r="C15" s="69"/>
      <c r="D15" s="38" t="s">
        <v>149</v>
      </c>
      <c r="E15" s="21" t="s">
        <v>150</v>
      </c>
      <c r="F15" s="21" t="s">
        <v>151</v>
      </c>
      <c r="G15" s="69"/>
      <c r="H15" s="27" t="s">
        <v>154</v>
      </c>
      <c r="I15" s="24"/>
    </row>
    <row r="16" spans="2:13" s="11" customFormat="1" ht="48" customHeight="1">
      <c r="B16" s="56">
        <v>4</v>
      </c>
      <c r="C16" s="53" t="s">
        <v>131</v>
      </c>
      <c r="D16" s="38" t="s">
        <v>105</v>
      </c>
      <c r="E16" s="21" t="s">
        <v>106</v>
      </c>
      <c r="F16" s="21" t="s">
        <v>108</v>
      </c>
      <c r="G16" s="69" t="str">
        <f>$G$13</f>
        <v>1 năm</v>
      </c>
      <c r="H16" s="27" t="s">
        <v>153</v>
      </c>
      <c r="I16" s="24" t="s">
        <v>146</v>
      </c>
    </row>
    <row r="17" spans="2:9" s="11" customFormat="1" ht="48" customHeight="1">
      <c r="B17" s="58"/>
      <c r="C17" s="55"/>
      <c r="D17" s="40" t="s">
        <v>109</v>
      </c>
      <c r="E17" s="29" t="s">
        <v>110</v>
      </c>
      <c r="F17" s="29" t="s">
        <v>111</v>
      </c>
      <c r="G17" s="69"/>
      <c r="H17" s="27" t="s">
        <v>156</v>
      </c>
      <c r="I17" s="30"/>
    </row>
    <row r="18" spans="2:9" s="11" customFormat="1" ht="48" customHeight="1">
      <c r="B18" s="37">
        <v>5</v>
      </c>
      <c r="C18" s="38" t="s">
        <v>77</v>
      </c>
      <c r="D18" s="40" t="s">
        <v>109</v>
      </c>
      <c r="E18" s="29" t="s">
        <v>110</v>
      </c>
      <c r="F18" s="21" t="s">
        <v>112</v>
      </c>
      <c r="G18" s="39" t="str">
        <f>$G$13</f>
        <v>1 năm</v>
      </c>
      <c r="H18" s="27" t="s">
        <v>156</v>
      </c>
      <c r="I18" s="24"/>
    </row>
    <row r="19" spans="2:9" s="11" customFormat="1" ht="48" customHeight="1">
      <c r="B19" s="57">
        <v>6</v>
      </c>
      <c r="C19" s="54" t="s">
        <v>4</v>
      </c>
      <c r="D19" s="40" t="s">
        <v>109</v>
      </c>
      <c r="E19" s="29" t="s">
        <v>110</v>
      </c>
      <c r="F19" s="21" t="s">
        <v>113</v>
      </c>
      <c r="G19" s="53" t="str">
        <f>$G$13</f>
        <v>1 năm</v>
      </c>
      <c r="H19" s="27" t="s">
        <v>156</v>
      </c>
      <c r="I19" s="24"/>
    </row>
    <row r="20" spans="2:9" s="11" customFormat="1" ht="48" customHeight="1">
      <c r="B20" s="58"/>
      <c r="C20" s="55"/>
      <c r="D20" s="38" t="s">
        <v>149</v>
      </c>
      <c r="E20" s="21" t="s">
        <v>107</v>
      </c>
      <c r="F20" s="21" t="s">
        <v>114</v>
      </c>
      <c r="G20" s="55"/>
      <c r="H20" s="27" t="s">
        <v>155</v>
      </c>
      <c r="I20" s="24"/>
    </row>
    <row r="21" spans="2:9" s="11" customFormat="1" ht="48" customHeight="1">
      <c r="B21" s="56">
        <v>7</v>
      </c>
      <c r="C21" s="53" t="s">
        <v>5</v>
      </c>
      <c r="D21" s="40" t="s">
        <v>109</v>
      </c>
      <c r="E21" s="29" t="s">
        <v>110</v>
      </c>
      <c r="F21" s="21" t="s">
        <v>112</v>
      </c>
      <c r="G21" s="53" t="str">
        <f>$G$13</f>
        <v>1 năm</v>
      </c>
      <c r="H21" s="27" t="s">
        <v>156</v>
      </c>
      <c r="I21" s="24"/>
    </row>
    <row r="22" spans="2:9" s="11" customFormat="1" ht="48" customHeight="1">
      <c r="B22" s="58"/>
      <c r="C22" s="55"/>
      <c r="D22" s="38" t="s">
        <v>149</v>
      </c>
      <c r="E22" s="21" t="s">
        <v>107</v>
      </c>
      <c r="F22" s="21" t="s">
        <v>114</v>
      </c>
      <c r="G22" s="55"/>
      <c r="H22" s="27" t="s">
        <v>155</v>
      </c>
      <c r="I22" s="24"/>
    </row>
    <row r="23" spans="2:9" s="11" customFormat="1" ht="48" customHeight="1">
      <c r="B23" s="68">
        <v>8</v>
      </c>
      <c r="C23" s="69" t="s">
        <v>162</v>
      </c>
      <c r="D23" s="40" t="s">
        <v>109</v>
      </c>
      <c r="E23" s="29" t="s">
        <v>110</v>
      </c>
      <c r="F23" s="21" t="s">
        <v>115</v>
      </c>
      <c r="G23" s="69" t="str">
        <f>$G$13</f>
        <v>1 năm</v>
      </c>
      <c r="H23" s="27" t="s">
        <v>156</v>
      </c>
      <c r="I23" s="24"/>
    </row>
    <row r="24" spans="2:9" s="11" customFormat="1" ht="48" customHeight="1">
      <c r="B24" s="68"/>
      <c r="C24" s="69"/>
      <c r="D24" s="38" t="s">
        <v>105</v>
      </c>
      <c r="E24" s="21" t="s">
        <v>106</v>
      </c>
      <c r="F24" s="21" t="s">
        <v>112</v>
      </c>
      <c r="G24" s="69"/>
      <c r="H24" s="27" t="s">
        <v>153</v>
      </c>
      <c r="I24" s="24" t="s">
        <v>146</v>
      </c>
    </row>
    <row r="25" spans="2:9" s="11" customFormat="1" ht="48" customHeight="1">
      <c r="B25" s="68"/>
      <c r="C25" s="69"/>
      <c r="D25" s="38" t="s">
        <v>149</v>
      </c>
      <c r="E25" s="21" t="s">
        <v>107</v>
      </c>
      <c r="F25" s="21" t="s">
        <v>114</v>
      </c>
      <c r="G25" s="69"/>
      <c r="H25" s="27" t="s">
        <v>155</v>
      </c>
      <c r="I25" s="24"/>
    </row>
    <row r="26" spans="2:9" s="11" customFormat="1" ht="48" customHeight="1">
      <c r="B26" s="37">
        <v>9</v>
      </c>
      <c r="C26" s="38" t="s">
        <v>130</v>
      </c>
      <c r="D26" s="40" t="s">
        <v>109</v>
      </c>
      <c r="E26" s="29" t="s">
        <v>110</v>
      </c>
      <c r="F26" s="21" t="s">
        <v>116</v>
      </c>
      <c r="G26" s="38" t="str">
        <f>$G$13</f>
        <v>1 năm</v>
      </c>
      <c r="H26" s="27" t="s">
        <v>156</v>
      </c>
      <c r="I26" s="24"/>
    </row>
    <row r="27" spans="2:9" s="11" customFormat="1" ht="48" customHeight="1">
      <c r="B27" s="68">
        <v>10</v>
      </c>
      <c r="C27" s="69" t="s">
        <v>129</v>
      </c>
      <c r="D27" s="38" t="s">
        <v>105</v>
      </c>
      <c r="E27" s="21" t="s">
        <v>106</v>
      </c>
      <c r="F27" s="21" t="s">
        <v>112</v>
      </c>
      <c r="G27" s="69" t="str">
        <f>$G$13</f>
        <v>1 năm</v>
      </c>
      <c r="H27" s="27" t="s">
        <v>153</v>
      </c>
      <c r="I27" s="24" t="s">
        <v>146</v>
      </c>
    </row>
    <row r="28" spans="2:9" s="11" customFormat="1" ht="48" customHeight="1">
      <c r="B28" s="68"/>
      <c r="C28" s="69"/>
      <c r="D28" s="38" t="s">
        <v>149</v>
      </c>
      <c r="E28" s="21" t="s">
        <v>107</v>
      </c>
      <c r="F28" s="21" t="s">
        <v>114</v>
      </c>
      <c r="G28" s="69"/>
      <c r="H28" s="27" t="s">
        <v>155</v>
      </c>
      <c r="I28" s="24"/>
    </row>
    <row r="29" spans="2:9" s="11" customFormat="1" ht="48" customHeight="1">
      <c r="B29" s="37">
        <v>11</v>
      </c>
      <c r="C29" s="38" t="s">
        <v>117</v>
      </c>
      <c r="D29" s="40" t="s">
        <v>109</v>
      </c>
      <c r="E29" s="29" t="s">
        <v>110</v>
      </c>
      <c r="F29" s="21" t="s">
        <v>118</v>
      </c>
      <c r="G29" s="38" t="str">
        <f>$G$13</f>
        <v>1 năm</v>
      </c>
      <c r="H29" s="27" t="s">
        <v>156</v>
      </c>
      <c r="I29" s="24"/>
    </row>
    <row r="30" spans="2:9" s="11" customFormat="1" ht="48.75" customHeight="1">
      <c r="B30" s="70" t="s">
        <v>157</v>
      </c>
      <c r="C30" s="42"/>
      <c r="D30" s="42"/>
      <c r="E30" s="42"/>
      <c r="F30" s="42"/>
      <c r="G30" s="42"/>
      <c r="H30" s="42"/>
      <c r="I30" s="71"/>
    </row>
    <row r="31" spans="2:9" s="11" customFormat="1" ht="72.75" customHeight="1" thickBot="1">
      <c r="B31" s="47" t="s">
        <v>158</v>
      </c>
      <c r="C31" s="48"/>
      <c r="D31" s="48"/>
      <c r="E31" s="48"/>
      <c r="F31" s="48"/>
      <c r="G31" s="48"/>
      <c r="H31" s="48"/>
      <c r="I31" s="49"/>
    </row>
    <row r="32" spans="2:9" s="11" customFormat="1" ht="30" customHeight="1">
      <c r="B32" s="31" t="s">
        <v>119</v>
      </c>
      <c r="C32" s="10" t="s">
        <v>120</v>
      </c>
      <c r="D32" s="10" t="s">
        <v>121</v>
      </c>
      <c r="E32" s="50" t="s">
        <v>122</v>
      </c>
      <c r="F32" s="51"/>
      <c r="G32" s="51"/>
      <c r="H32" s="52"/>
      <c r="I32" s="32" t="s">
        <v>80</v>
      </c>
    </row>
    <row r="33" spans="2:9" s="11" customFormat="1" ht="24" customHeight="1">
      <c r="B33" s="37">
        <v>1</v>
      </c>
      <c r="C33" s="33" t="s">
        <v>11</v>
      </c>
      <c r="D33" s="38" t="s">
        <v>7</v>
      </c>
      <c r="E33" s="41" t="s">
        <v>142</v>
      </c>
      <c r="F33" s="42"/>
      <c r="G33" s="42"/>
      <c r="H33" s="43"/>
      <c r="I33" s="34" t="s">
        <v>123</v>
      </c>
    </row>
    <row r="34" spans="2:9" s="11" customFormat="1" ht="24" customHeight="1">
      <c r="B34" s="37">
        <v>2</v>
      </c>
      <c r="C34" s="33" t="s">
        <v>71</v>
      </c>
      <c r="D34" s="38" t="s">
        <v>124</v>
      </c>
      <c r="E34" s="41" t="s">
        <v>125</v>
      </c>
      <c r="F34" s="42"/>
      <c r="G34" s="42"/>
      <c r="H34" s="43"/>
      <c r="I34" s="34" t="s">
        <v>123</v>
      </c>
    </row>
    <row r="35" spans="2:9" s="11" customFormat="1" ht="24" customHeight="1">
      <c r="B35" s="37">
        <v>3</v>
      </c>
      <c r="C35" s="33" t="s">
        <v>75</v>
      </c>
      <c r="D35" s="38" t="s">
        <v>89</v>
      </c>
      <c r="E35" s="41" t="s">
        <v>159</v>
      </c>
      <c r="F35" s="42"/>
      <c r="G35" s="42"/>
      <c r="H35" s="43"/>
      <c r="I35" s="34" t="s">
        <v>126</v>
      </c>
    </row>
    <row r="36" spans="2:9" s="11" customFormat="1" ht="24" customHeight="1">
      <c r="B36" s="37">
        <v>4</v>
      </c>
      <c r="C36" s="33" t="s">
        <v>161</v>
      </c>
      <c r="D36" s="38" t="s">
        <v>84</v>
      </c>
      <c r="E36" s="41" t="s">
        <v>160</v>
      </c>
      <c r="F36" s="42"/>
      <c r="G36" s="42"/>
      <c r="H36" s="43"/>
      <c r="I36" s="34" t="s">
        <v>126</v>
      </c>
    </row>
    <row r="37" spans="2:9" s="11" customFormat="1" ht="24" customHeight="1" thickBot="1">
      <c r="B37" s="35">
        <v>5</v>
      </c>
      <c r="C37" s="16"/>
      <c r="D37" s="16"/>
      <c r="E37" s="44"/>
      <c r="F37" s="45"/>
      <c r="G37" s="45"/>
      <c r="H37" s="46"/>
      <c r="I37" s="36"/>
    </row>
  </sheetData>
  <mergeCells count="36">
    <mergeCell ref="E33:H33"/>
    <mergeCell ref="E34:H34"/>
    <mergeCell ref="E35:H35"/>
    <mergeCell ref="E36:H36"/>
    <mergeCell ref="E37:H37"/>
    <mergeCell ref="E32:H32"/>
    <mergeCell ref="B21:B22"/>
    <mergeCell ref="C21:C22"/>
    <mergeCell ref="G21:G22"/>
    <mergeCell ref="B23:B25"/>
    <mergeCell ref="C23:C25"/>
    <mergeCell ref="G23:G25"/>
    <mergeCell ref="B27:B28"/>
    <mergeCell ref="C27:C28"/>
    <mergeCell ref="G27:G28"/>
    <mergeCell ref="B30:I30"/>
    <mergeCell ref="B31:I31"/>
    <mergeCell ref="B16:B17"/>
    <mergeCell ref="C16:C17"/>
    <mergeCell ref="G16:G17"/>
    <mergeCell ref="B19:B20"/>
    <mergeCell ref="C19:C20"/>
    <mergeCell ref="G19:G20"/>
    <mergeCell ref="B7:D7"/>
    <mergeCell ref="G7:I7"/>
    <mergeCell ref="B9:B12"/>
    <mergeCell ref="C9:C12"/>
    <mergeCell ref="B14:B15"/>
    <mergeCell ref="C14:C15"/>
    <mergeCell ref="G14:G15"/>
    <mergeCell ref="D2:F5"/>
    <mergeCell ref="G3:G4"/>
    <mergeCell ref="H3:H4"/>
    <mergeCell ref="I3:I4"/>
    <mergeCell ref="B6:D6"/>
    <mergeCell ref="G6:I6"/>
  </mergeCells>
  <pageMargins left="0.7" right="0.7" top="0.75" bottom="0.75" header="0.3" footer="0.3"/>
  <pageSetup paperSize="9" scale="4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Eng</vt:lpstr>
      <vt:lpstr>Vie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VPSX-QC</dc:creator>
  <cp:lastModifiedBy>DPC</cp:lastModifiedBy>
  <cp:lastPrinted>2022-05-07T08:33:38Z</cp:lastPrinted>
  <dcterms:created xsi:type="dcterms:W3CDTF">2022-05-07T06:03:26Z</dcterms:created>
  <dcterms:modified xsi:type="dcterms:W3CDTF">2024-07-15T02:04:35Z</dcterms:modified>
</cp:coreProperties>
</file>