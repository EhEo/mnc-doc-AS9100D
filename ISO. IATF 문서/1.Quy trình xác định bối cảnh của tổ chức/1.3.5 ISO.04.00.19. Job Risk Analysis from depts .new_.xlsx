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53222"/>
  <mc:AlternateContent xmlns:mc="http://schemas.openxmlformats.org/markup-compatibility/2006">
    <mc:Choice Requires="x15">
      <x15ac:absPath xmlns:x15ac="http://schemas.microsoft.com/office/spreadsheetml/2010/11/ac" url="Z:\6. ALL\01. ★AUDIT (QA)\04.Certificate audit\IATF prepare 2025\02. Tài liệu 2025\22. Risk Assessment\"/>
    </mc:Choice>
  </mc:AlternateContent>
  <bookViews>
    <workbookView xWindow="0" yWindow="0" windowWidth="17160" windowHeight="12585" tabRatio="880" activeTab="20"/>
  </bookViews>
  <sheets>
    <sheet name="KHSX" sheetId="37" r:id="rId1"/>
    <sheet name="PU" sheetId="38" r:id="rId2"/>
    <sheet name="Kho" sheetId="36" r:id="rId3"/>
    <sheet name="CNC" sheetId="35" r:id="rId4"/>
    <sheet name="Casting" sheetId="43" r:id="rId5"/>
    <sheet name="Painting" sheetId="42" r:id="rId6"/>
    <sheet name="Khuôn" sheetId="47" r:id="rId7"/>
    <sheet name="QC" sheetId="30" r:id="rId8"/>
    <sheet name="Sale" sheetId="39" r:id="rId9"/>
    <sheet name="Trimming" sheetId="19" r:id="rId10"/>
    <sheet name="QĐ 中文" sheetId="10" state="hidden" r:id="rId11"/>
    <sheet name="Polish Barrel Mai" sheetId="41" r:id="rId12"/>
    <sheet name="đúc nhựa (ok)" sheetId="23" state="hidden" r:id="rId13"/>
    <sheet name="lắp ráp (ok)" sheetId="28" state="hidden" r:id="rId14"/>
    <sheet name="Kho nguyên liệU (ok)" sheetId="25" state="hidden" r:id="rId15"/>
    <sheet name="Kho thành phẩm (OK)" sheetId="26" state="hidden" r:id="rId16"/>
    <sheet name="Nail (OK)" sheetId="27" state="hidden" r:id="rId17"/>
    <sheet name="Lông mi" sheetId="24" state="hidden" r:id="rId18"/>
    <sheet name="Cơ điện" sheetId="17" r:id="rId19"/>
    <sheet name="EHS" sheetId="52" r:id="rId20"/>
    <sheet name="RnD" sheetId="48" r:id="rId21"/>
    <sheet name="IT" sheetId="50" r:id="rId22"/>
    <sheet name="HR" sheetId="46" r:id="rId23"/>
  </sheets>
  <definedNames>
    <definedName name="_xlnm.Print_Area" localSheetId="4">Casting!$A$1:$O$36</definedName>
    <definedName name="_xlnm.Print_Area" localSheetId="3">CNC!$A$1:$M$25</definedName>
    <definedName name="_xlnm.Print_Area" localSheetId="12">'đúc nhựa (ok)'!$A$1:$N$16</definedName>
    <definedName name="_xlnm.Print_Area" localSheetId="2">Kho!$A$1:$M$25</definedName>
    <definedName name="_xlnm.Print_Area" localSheetId="14">'Kho nguyên liệU (ok)'!$A$1:$M$15</definedName>
    <definedName name="_xlnm.Print_Area" localSheetId="15">'Kho thành phẩm (OK)'!$A$1:$M$9</definedName>
    <definedName name="_xlnm.Print_Area" localSheetId="0">KHSX!$A$1:$M$16</definedName>
    <definedName name="_xlnm.Print_Area" localSheetId="13">'lắp ráp (ok)'!$A$1:$M$12</definedName>
    <definedName name="_xlnm.Print_Area" localSheetId="17">'Lông mi'!$A$1:$M$10</definedName>
    <definedName name="_xlnm.Print_Area" localSheetId="16">'Nail (OK)'!$A$1:$M$11</definedName>
    <definedName name="_xlnm.Print_Area" localSheetId="5">Painting!$A$1:$M$16</definedName>
    <definedName name="_xlnm.Print_Area" localSheetId="11">'Polish Barrel Mai'!$A$1:$M$14</definedName>
    <definedName name="_xlnm.Print_Area" localSheetId="7">QC!$A$1:$M$33</definedName>
    <definedName name="_xlnm.Print_Area" localSheetId="9">Trimming!$A$1:$M$11</definedName>
    <definedName name="_xlnm.Print_Titles" localSheetId="4">Casting!$3:$4</definedName>
    <definedName name="_xlnm.Print_Titles" localSheetId="3">CNC!$1:$2</definedName>
    <definedName name="_xlnm.Print_Titles" localSheetId="12">'đúc nhựa (ok)'!$3:$4</definedName>
    <definedName name="_xlnm.Print_Titles" localSheetId="2">Kho!$2:$3</definedName>
    <definedName name="_xlnm.Print_Titles" localSheetId="14">'Kho nguyên liệU (ok)'!$3:$4</definedName>
    <definedName name="_xlnm.Print_Titles" localSheetId="15">'Kho thành phẩm (OK)'!$3:$4</definedName>
    <definedName name="_xlnm.Print_Titles" localSheetId="0">KHSX!$3:$4</definedName>
    <definedName name="_xlnm.Print_Titles" localSheetId="13">'lắp ráp (ok)'!$3:$4</definedName>
    <definedName name="_xlnm.Print_Titles" localSheetId="17">'Lông mi'!$3:$4</definedName>
    <definedName name="_xlnm.Print_Titles" localSheetId="16">'Nail (OK)'!$3:$4</definedName>
    <definedName name="_xlnm.Print_Titles" localSheetId="5">Painting!$3:$4</definedName>
    <definedName name="_xlnm.Print_Titles" localSheetId="11">'Polish Barrel Mai'!$3:$4</definedName>
    <definedName name="_xlnm.Print_Titles" localSheetId="7">QC!$3:$4</definedName>
    <definedName name="_xlnm.Print_Titles" localSheetId="9">Trimming!$3:$4</definedName>
  </definedNames>
  <calcPr calcId="162913"/>
</workbook>
</file>

<file path=xl/calcChain.xml><?xml version="1.0" encoding="utf-8"?>
<calcChain xmlns="http://schemas.openxmlformats.org/spreadsheetml/2006/main">
  <c r="G8" i="48" l="1"/>
  <c r="N7" i="35" l="1"/>
  <c r="N16" i="35"/>
  <c r="G16" i="35"/>
  <c r="M17" i="52" l="1"/>
  <c r="H17" i="52"/>
  <c r="M16" i="52"/>
  <c r="H16" i="52"/>
  <c r="M15" i="52"/>
  <c r="H15" i="52"/>
  <c r="M14" i="52"/>
  <c r="H14" i="52"/>
  <c r="M13" i="52"/>
  <c r="H13" i="52"/>
  <c r="M12" i="52"/>
  <c r="H12" i="52"/>
  <c r="M11" i="52"/>
  <c r="H11" i="52"/>
  <c r="M10" i="52"/>
  <c r="H10" i="52"/>
  <c r="M9" i="52"/>
  <c r="H9" i="52"/>
  <c r="M8" i="52"/>
  <c r="H8" i="52"/>
  <c r="M7" i="52"/>
  <c r="H7" i="52"/>
  <c r="M6" i="52"/>
  <c r="H6" i="52"/>
  <c r="M5" i="52"/>
  <c r="L7" i="30" l="1"/>
  <c r="L8" i="30"/>
  <c r="L9" i="30"/>
  <c r="L10" i="30"/>
  <c r="L11" i="30"/>
  <c r="L12" i="30"/>
  <c r="L13" i="30"/>
  <c r="L14" i="30"/>
  <c r="L15" i="30"/>
  <c r="L16" i="30"/>
  <c r="L17" i="30"/>
  <c r="L18" i="30"/>
  <c r="M18" i="30" s="1"/>
  <c r="L19" i="30"/>
  <c r="M19" i="30" s="1"/>
  <c r="L20" i="30"/>
  <c r="M20" i="30" s="1"/>
  <c r="L21" i="30"/>
  <c r="M21" i="30" s="1"/>
  <c r="L22" i="30"/>
  <c r="M22" i="30" s="1"/>
  <c r="L23" i="30"/>
  <c r="M23" i="30" s="1"/>
  <c r="L24" i="30"/>
  <c r="L25" i="30"/>
  <c r="L26" i="30"/>
  <c r="L6" i="30"/>
  <c r="L5" i="30"/>
  <c r="K15" i="38"/>
  <c r="K14" i="38"/>
  <c r="K11" i="38"/>
  <c r="G5" i="50"/>
  <c r="G7" i="48"/>
  <c r="G6" i="48"/>
  <c r="G5" i="48"/>
  <c r="G49" i="47"/>
  <c r="G48" i="47"/>
  <c r="L44" i="47"/>
  <c r="L39" i="47"/>
  <c r="L34" i="47"/>
  <c r="L30" i="47"/>
  <c r="G30" i="47"/>
  <c r="L26" i="47"/>
  <c r="G26" i="47"/>
  <c r="L22" i="47"/>
  <c r="G22" i="47"/>
  <c r="L18" i="47"/>
  <c r="G18" i="47"/>
  <c r="L14" i="47"/>
  <c r="G14" i="47"/>
  <c r="L10" i="47"/>
  <c r="G10" i="47"/>
  <c r="L6" i="47"/>
  <c r="G6" i="47"/>
  <c r="N11" i="39"/>
  <c r="N10" i="39"/>
  <c r="N9" i="39"/>
  <c r="N8" i="39"/>
  <c r="N7" i="39"/>
  <c r="L6" i="42"/>
  <c r="L7" i="42"/>
  <c r="L8" i="42"/>
  <c r="L9" i="42"/>
  <c r="L5" i="42"/>
  <c r="G9" i="35"/>
  <c r="G8" i="35"/>
  <c r="G6" i="35"/>
  <c r="N30" i="43"/>
  <c r="O30" i="43" s="1"/>
  <c r="I30" i="43"/>
  <c r="J30" i="43" s="1"/>
  <c r="N29" i="43"/>
  <c r="O29" i="43" s="1"/>
  <c r="I29" i="43"/>
  <c r="J29" i="43" s="1"/>
  <c r="N28" i="43"/>
  <c r="O28" i="43" s="1"/>
  <c r="I28" i="43"/>
  <c r="J28" i="43"/>
  <c r="N27" i="43"/>
  <c r="O27" i="43" s="1"/>
  <c r="I27" i="43"/>
  <c r="J27" i="43" s="1"/>
  <c r="N26" i="43"/>
  <c r="O26" i="43" s="1"/>
  <c r="I26" i="43"/>
  <c r="J26" i="43" s="1"/>
  <c r="N25" i="43"/>
  <c r="O25" i="43" s="1"/>
  <c r="I25" i="43"/>
  <c r="J25" i="43" s="1"/>
  <c r="N24" i="43"/>
  <c r="O24" i="43" s="1"/>
  <c r="I24" i="43"/>
  <c r="J24" i="43" s="1"/>
  <c r="N23" i="43"/>
  <c r="O23" i="43" s="1"/>
  <c r="I23" i="43"/>
  <c r="J23" i="43"/>
  <c r="N22" i="43"/>
  <c r="O22" i="43" s="1"/>
  <c r="I22" i="43"/>
  <c r="J22" i="43" s="1"/>
  <c r="N21" i="43"/>
  <c r="O21" i="43" s="1"/>
  <c r="I21" i="43"/>
  <c r="J21" i="43"/>
  <c r="N20" i="43"/>
  <c r="O20" i="43" s="1"/>
  <c r="I20" i="43"/>
  <c r="J20" i="43" s="1"/>
  <c r="N19" i="43"/>
  <c r="O19" i="43" s="1"/>
  <c r="I19" i="43"/>
  <c r="J19" i="43" s="1"/>
  <c r="N18" i="43"/>
  <c r="O18" i="43" s="1"/>
  <c r="I18" i="43"/>
  <c r="J18" i="43"/>
  <c r="N17" i="43"/>
  <c r="O17" i="43" s="1"/>
  <c r="I17" i="43"/>
  <c r="J17" i="43" s="1"/>
  <c r="N16" i="43"/>
  <c r="O16" i="43" s="1"/>
  <c r="I16" i="43"/>
  <c r="J16" i="43"/>
  <c r="N15" i="43"/>
  <c r="O15" i="43" s="1"/>
  <c r="I15" i="43"/>
  <c r="J15" i="43" s="1"/>
  <c r="N14" i="43"/>
  <c r="O14" i="43" s="1"/>
  <c r="I14" i="43"/>
  <c r="J14" i="43"/>
  <c r="N13" i="43"/>
  <c r="O13" i="43" s="1"/>
  <c r="I13" i="43"/>
  <c r="J13" i="43" s="1"/>
  <c r="N12" i="43"/>
  <c r="O12" i="43" s="1"/>
  <c r="I12" i="43"/>
  <c r="J12" i="43" s="1"/>
  <c r="N11" i="43"/>
  <c r="O11" i="43" s="1"/>
  <c r="I11" i="43"/>
  <c r="J11" i="43" s="1"/>
  <c r="N10" i="43"/>
  <c r="O10" i="43" s="1"/>
  <c r="I10" i="43"/>
  <c r="J10" i="43" s="1"/>
  <c r="N9" i="43"/>
  <c r="O9" i="43" s="1"/>
  <c r="I9" i="43"/>
  <c r="J9" i="43"/>
  <c r="N8" i="43"/>
  <c r="O8" i="43" s="1"/>
  <c r="I8" i="43"/>
  <c r="J8" i="43" s="1"/>
  <c r="N7" i="43"/>
  <c r="O7" i="43" s="1"/>
  <c r="I7" i="43"/>
  <c r="J7" i="43" s="1"/>
  <c r="N6" i="43"/>
  <c r="O6" i="43" s="1"/>
  <c r="I6" i="43"/>
  <c r="J6" i="43" s="1"/>
  <c r="N5" i="43"/>
  <c r="O5" i="43" s="1"/>
  <c r="I5" i="43"/>
  <c r="J5" i="43"/>
  <c r="G8" i="42"/>
  <c r="G6" i="42"/>
  <c r="G5" i="42"/>
  <c r="G7" i="41"/>
  <c r="G6" i="41"/>
  <c r="G5" i="41"/>
  <c r="G26" i="30"/>
  <c r="G25" i="30"/>
  <c r="G14" i="36"/>
  <c r="L13" i="36"/>
  <c r="G13" i="36"/>
  <c r="L12" i="36"/>
  <c r="G12" i="36"/>
  <c r="L11" i="36"/>
  <c r="G11" i="36"/>
  <c r="G10" i="36"/>
  <c r="L9" i="36"/>
  <c r="G9" i="36"/>
  <c r="L8" i="36"/>
  <c r="G8" i="36"/>
  <c r="L7" i="36"/>
  <c r="G7" i="36"/>
  <c r="L6" i="36"/>
  <c r="G6" i="36"/>
  <c r="L5" i="36"/>
  <c r="G5" i="36"/>
  <c r="L4" i="36"/>
  <c r="G4" i="36"/>
  <c r="N18" i="35"/>
  <c r="G18" i="35"/>
  <c r="N17" i="35"/>
  <c r="G17" i="35"/>
  <c r="N15" i="35"/>
  <c r="G15" i="35"/>
  <c r="N14" i="35"/>
  <c r="G14" i="35"/>
  <c r="N13" i="35"/>
  <c r="G13" i="35"/>
  <c r="N12" i="35"/>
  <c r="G12" i="35"/>
  <c r="N11" i="35"/>
  <c r="G11" i="35"/>
  <c r="N10" i="35"/>
  <c r="G10" i="35"/>
  <c r="N9" i="35"/>
  <c r="N8" i="35"/>
  <c r="N6" i="35"/>
  <c r="G12" i="17"/>
  <c r="G10" i="24"/>
  <c r="G10" i="27"/>
  <c r="G24" i="30"/>
  <c r="G23" i="30"/>
  <c r="H23" i="30"/>
  <c r="G22" i="30"/>
  <c r="H22" i="30" s="1"/>
  <c r="G15" i="25"/>
  <c r="G9" i="26"/>
  <c r="H16" i="23"/>
  <c r="H15" i="23"/>
  <c r="G12" i="28"/>
  <c r="G11" i="28"/>
  <c r="G10" i="28"/>
  <c r="H14" i="23"/>
  <c r="H13" i="23"/>
  <c r="G11" i="19"/>
  <c r="G10" i="19"/>
  <c r="G21" i="30"/>
  <c r="H21" i="30" s="1"/>
  <c r="G20" i="30"/>
  <c r="H20" i="30" s="1"/>
  <c r="G19" i="30"/>
  <c r="H19" i="30"/>
  <c r="G18" i="30"/>
  <c r="H18" i="30" s="1"/>
  <c r="G17" i="30"/>
  <c r="H17" i="30" s="1"/>
  <c r="G16" i="30"/>
  <c r="G15" i="30"/>
  <c r="G14" i="30"/>
  <c r="G13" i="30"/>
  <c r="G12" i="30"/>
  <c r="G11" i="30"/>
  <c r="G10" i="30"/>
  <c r="G9" i="30"/>
  <c r="G8" i="30"/>
  <c r="G7" i="30"/>
  <c r="G6" i="30"/>
  <c r="G5" i="30"/>
  <c r="G11" i="17"/>
  <c r="G10" i="17"/>
  <c r="G9" i="17"/>
  <c r="G8" i="17"/>
  <c r="G7" i="17"/>
  <c r="G6" i="17"/>
  <c r="G9" i="28"/>
  <c r="G8" i="28"/>
  <c r="G7" i="28"/>
  <c r="G8" i="26"/>
  <c r="G7" i="26"/>
  <c r="G6" i="26"/>
  <c r="G5" i="26"/>
  <c r="G14" i="25"/>
  <c r="G13" i="25"/>
  <c r="G12" i="25"/>
  <c r="G11" i="25"/>
  <c r="G10" i="25"/>
  <c r="G9" i="25"/>
  <c r="G8" i="25"/>
  <c r="G7" i="25"/>
  <c r="G6" i="25"/>
  <c r="G5" i="25"/>
  <c r="G9" i="24"/>
  <c r="G8" i="24"/>
  <c r="G7" i="24"/>
  <c r="H12" i="23"/>
  <c r="H11" i="23"/>
  <c r="H10" i="23"/>
  <c r="H9" i="23"/>
  <c r="H7" i="23"/>
  <c r="G9" i="19"/>
  <c r="G8" i="19"/>
  <c r="G6" i="19"/>
  <c r="G5" i="19"/>
</calcChain>
</file>

<file path=xl/sharedStrings.xml><?xml version="1.0" encoding="utf-8"?>
<sst xmlns="http://schemas.openxmlformats.org/spreadsheetml/2006/main" count="1760" uniqueCount="909">
  <si>
    <t>S</t>
  </si>
  <si>
    <t>F</t>
  </si>
  <si>
    <t>STT</t>
  </si>
  <si>
    <t>Nguyên nhân / lý giải</t>
  </si>
  <si>
    <t>Đánh giá rủi ro</t>
  </si>
  <si>
    <t>Phân loại rủi ro</t>
  </si>
  <si>
    <t>Rủi ro tiềm năng</t>
  </si>
  <si>
    <t>Các biện pháp phòng ngừa/ khắc phục</t>
  </si>
  <si>
    <t>Đánh giá rủi ro
sau khi thực hiện biện pháp phòng ngừa</t>
  </si>
  <si>
    <t>Phân loại
 rủi ro</t>
  </si>
  <si>
    <t>Cao</t>
  </si>
  <si>
    <t>Rất thấp</t>
  </si>
  <si>
    <t>S*F</t>
  </si>
  <si>
    <t>MỨC ĐỘ THƯỜNG XUYÊN (F) 频率度</t>
  </si>
  <si>
    <t>MỨC ĐỘ NGHIÊM TRỌNG (S) 严重水平/ 严重度</t>
  </si>
  <si>
    <t>TIÊU CHUẨN ĐÁNH GIÁ  评估标准</t>
  </si>
  <si>
    <t xml:space="preserve"> ĐIỂM 分数 </t>
  </si>
  <si>
    <t>TÍNH NGHIÊM TRỌNG 严重性</t>
  </si>
  <si>
    <t>Nguy hiểm (rất cao)
危险</t>
  </si>
  <si>
    <t>Bình thường
平常</t>
  </si>
  <si>
    <t>Thấp
低</t>
  </si>
  <si>
    <t>TẦN SUẤT 频率</t>
  </si>
  <si>
    <t>TIÊU CHUẨN ĐÁNH GIÁ 评估标准</t>
  </si>
  <si>
    <t>XÁC SUẤT 概率</t>
  </si>
  <si>
    <t>Bình thường 平常</t>
  </si>
  <si>
    <t>- gây tổn thất cho công ty trên 10.000 $; 
公司损失超过10,000美元
  -gián đoạn thời gian sản xuất cua khách hàng hàng.
打断客户的生产时间
-  Làm mất khách hàng
失去客户</t>
  </si>
  <si>
    <t xml:space="preserve"> '-gây tổn thất cho công ty trên 5000 - 10 000 $
 公司的损失超过5000美元至10,000美元
 - gián đoạn thời gian sản xuất 1 ngày 
打断生产1天
-Khách hàng yêu cầu trả lại 100% đơn hàng
客户要求退货100％</t>
  </si>
  <si>
    <t>- gây tổn thất cho công ty trên 2500 -5000 $   
公司损失超过2500-5000美元
 - gián đoạn thời gian sản xuất 2h - 1 ngày
打断生产时间2h - 1天 
-Khách hàng yêu cầu đổi hàng lỗi  
客户要求交换货</t>
  </si>
  <si>
    <t>- gây tổn thất cho công ty trên 500-2500 $
 公司的损失超过500美元至2,500美元
 -gián đoạn thời gian sản xuất trên 1h-2h ngày
打断生产时间 1h-2h / 1天  
- Khách hàng yêu cầu góp ý về chất lượng không yêu cầu đổi trả
客户质量反馈，不需要退货</t>
  </si>
  <si>
    <t>gây tổn thất cho công ty  từ 500$ đổ lại
公司的损失500美元以下
gián đoạn thời gian sản xuất  dưới 1h ngày 
打断生产时间小于1h/一天
Khách hàng góp ý nhưng không thông qua văn bản. 
客户没有正式的反馈</t>
  </si>
  <si>
    <t>Thường xuyên
经常</t>
  </si>
  <si>
    <t>Rất thường xuyên
很多</t>
  </si>
  <si>
    <t>Ít
少</t>
  </si>
  <si>
    <t>Rất ít
很少</t>
  </si>
  <si>
    <t>xảy ra 1 ngày 1 lần 
1次/1天</t>
  </si>
  <si>
    <t>xảy ra 1 tuần 1 lần
1次/1周</t>
  </si>
  <si>
    <t>xảy ra 1 tháng 1 lần
1次/1月</t>
  </si>
  <si>
    <t>xảy ra 1 quý 1 lần
1次/3月</t>
  </si>
  <si>
    <t>xảy ra 1 năm 1 lần
1次/1年</t>
  </si>
  <si>
    <t xml:space="preserve"> ĐIỂM 分数</t>
  </si>
  <si>
    <t>xảy ra lặp lại trên 0,1% tổng số roll (thùng) (số lần thực hiện công việc)
超过总产品（工作次数）的0.1％</t>
  </si>
  <si>
    <t>xảy ra lặp lại trên 5% tổng số roll (thùng) (số lần thực hiện công việc) 
超过总产品（工作次数）的5％</t>
  </si>
  <si>
    <t>xảy ra lặp lại trên3 % tổng số roll (thùng) (số lần thực hiện công việc)
超过总产品（工作次数）的3％</t>
  </si>
  <si>
    <t>xảy ra lặp lại trên 1% tổng số roll (thùng) (số lần thực hiện công việc)
超过总产品（工作次数）的1％</t>
  </si>
  <si>
    <t>xảy ra lặp lại dưới 0,05% tổng số roll (thùng) (số lần thực hiện công việc)
超过总产品（工作次数）的0.05％</t>
  </si>
  <si>
    <t>Quá trình/Tiến trình</t>
  </si>
  <si>
    <t>B</t>
  </si>
  <si>
    <t>A</t>
  </si>
  <si>
    <t>C</t>
  </si>
  <si>
    <t>Đứt tay</t>
  </si>
  <si>
    <t>Do tiếp xúc với thanh nguyên liệu sắc cạnh</t>
  </si>
  <si>
    <t>Chuẩn bị nguyên liệu</t>
  </si>
  <si>
    <t>Đứt cáp cẩu trục</t>
  </si>
  <si>
    <t>Cẩu quá tải do cẩu vật nặng,cáp hỏng rơi vào người</t>
  </si>
  <si>
    <t>Va vào người khác khi di chuyển, ( cnv đâm vào).</t>
  </si>
  <si>
    <t xml:space="preserve">Chập cháy điện </t>
  </si>
  <si>
    <t>Lên xuống khuôn</t>
  </si>
  <si>
    <t>Bỏng Bắn nhôm vào người</t>
  </si>
  <si>
    <t xml:space="preserve">Khi máy đúc vận hành lực phun  ép lớn , có thể xảy ra bắn nhôm ra ngoài khuôn. </t>
  </si>
  <si>
    <t>Làm Tấm  chắn, vệ sinh mặt khuôn hàng ngày bằng máy bắn đá (có check sheet) trang bị bảo hộ lao động như khẩu trang,kính.</t>
  </si>
  <si>
    <t>Trượt ngã</t>
  </si>
  <si>
    <t xml:space="preserve">sàn dầu trơn trượt </t>
  </si>
  <si>
    <t>Hít phải khí ,bụi kim loại,dầu</t>
  </si>
  <si>
    <t>Không khí nhiều dầu tách khuôn ở dạng sương, degating tạo bavia và bụi kim loại</t>
  </si>
  <si>
    <t>Đeo kính, khẩu trang,nút tai,,…</t>
  </si>
  <si>
    <t>Kẹp tay khuôn dập</t>
  </si>
  <si>
    <t>Bắn bavia vào mắt</t>
  </si>
  <si>
    <t>Xịt khí, khi thao tác dập bavia bắn lên</t>
  </si>
  <si>
    <t xml:space="preserve">Đứt tay </t>
  </si>
  <si>
    <t>Đứt tay do tiếp xúc với sản phẩm sắc nhọn</t>
  </si>
  <si>
    <t>Ù tai</t>
  </si>
  <si>
    <t xml:space="preserve">Tiếng máy gây ồn lớn </t>
  </si>
  <si>
    <t>đeo nút tai chống ồn bổ sung đèn báo cháy</t>
  </si>
  <si>
    <t xml:space="preserve">Thao tác sai,để sensor ở vị trí không an toàn hoặc bị hỏng thiết bị </t>
  </si>
  <si>
    <t>Gây tổn thương tới bộ phận hô hấp ( tai, mũi , họng )</t>
  </si>
  <si>
    <t>Do bụi, hơi dầu máy cnc.</t>
  </si>
  <si>
    <t>Sử dụng tấm lọc filter trên hệ thống 
hút Mist, công nhân mang khẩu trang khi làm việc.</t>
  </si>
  <si>
    <t xml:space="preserve">Xuất nhập </t>
  </si>
  <si>
    <t>Đeo khẩu trang hoạt tính, kết hợp lắp đặt hệ thống hút bụi dưới chuyền, vệ sinh chuyền khi kết thúc ca làm việc</t>
  </si>
  <si>
    <t>Sốc nhiệt</t>
  </si>
  <si>
    <t>Nhiệt độ tỏa ra từ máy dập nóng cao</t>
  </si>
  <si>
    <t>Lắp đặt các điều hòa tại chỗ để giảm nhiệt độ</t>
  </si>
  <si>
    <t xml:space="preserve">Cháy nổ </t>
  </si>
  <si>
    <t>Do nhầm lẫn giữa các loại hóa chất</t>
  </si>
  <si>
    <t>khi làm việc phai đeo găng tay, khẩu trang, ,mặc quần áo tĩnh điện</t>
  </si>
  <si>
    <t>Tổn thương xương khớp</t>
  </si>
  <si>
    <t xml:space="preserve">Bê vác vật nặng </t>
  </si>
  <si>
    <t>Sử dụng xe chở hàng khi vận chuyển</t>
  </si>
  <si>
    <t>Vận hành, thao tác</t>
  </si>
  <si>
    <t>Có thể bị kẹp tay, bỏng</t>
  </si>
  <si>
    <t>Do công nhân thao tác không tập trung khi vận hành , thao tác</t>
  </si>
  <si>
    <t>Đào tạo công nhân trước khi vận hành, tuân thủ bảo hộ lao động đầy đủ</t>
  </si>
  <si>
    <t>Gia công</t>
  </si>
  <si>
    <t xml:space="preserve">Có thể cắt vào tay </t>
  </si>
  <si>
    <t>Do mũi dao nhọn và sắc nên rất dễ gây cắt, đâm vào tay</t>
  </si>
  <si>
    <t>Đào tạo công nhân trước khi gia công, đeo găng tay phủ đầu ngón khi thao tác.</t>
  </si>
  <si>
    <t>Quá trình vận chuyển, lên khuôn xuống khuôn</t>
  </si>
  <si>
    <t>Có thể rơi khuôn vào chân</t>
  </si>
  <si>
    <t>Do quá trình vận chuyển không tuân thủ biện pháp an toàn lao động</t>
  </si>
  <si>
    <t>Sử dụng xe dành riêng cho trở khuôn, khi vận chuyển dùng giầy bảo hộ lao động</t>
  </si>
  <si>
    <t>Sử dụng máy nước nóng</t>
  </si>
  <si>
    <t>Có thể bị bỏng do nước nóng</t>
  </si>
  <si>
    <t>Sử dụng, vận hành máy</t>
  </si>
  <si>
    <t>Môi trường ồn , ảnh hưởng đến hệ thần kinh</t>
  </si>
  <si>
    <t>Do máy móc phát ra tiếng ồn</t>
  </si>
  <si>
    <t>Quá trình đổ nhựa, vận chuyển hàng hóa</t>
  </si>
  <si>
    <t>Hít phải bụi trong quá trình làm việc</t>
  </si>
  <si>
    <t>Bụi trong nguyên vật liệu, vận chuyển hàng hóa</t>
  </si>
  <si>
    <t>Đeo khẩu trang hoạt tính</t>
  </si>
  <si>
    <t>Khởi động máy</t>
  </si>
  <si>
    <t>Hít phải mùi độc hại</t>
  </si>
  <si>
    <t>Do quá trình nóng chảy nhựa tạo mùi</t>
  </si>
  <si>
    <t>KIỂM TRA HÀNG</t>
  </si>
  <si>
    <t>GÂY NHỨC MỎI MẮT</t>
  </si>
  <si>
    <t>DO SỢI TÓC NHỎ, KIỂM HÀNG TRONG THỜI GIAN LÂU GÂY MỎI MẮT</t>
  </si>
  <si>
    <t>CÔNG ĐOẠN CUỐN ỐNG</t>
  </si>
  <si>
    <t>BỊ KẸP TAY, CÁT BẮN VÀO MẮT</t>
  </si>
  <si>
    <t>DO THAO TÁC K ĐÚNG DẪN ĐẾN KẸP TAY</t>
  </si>
  <si>
    <t>ĐÀO TẠO CÔNG NHÂN TRƯỚC KHI THAO TÁC</t>
  </si>
  <si>
    <t>CÔNG ĐOẠN MÀI HÀNG</t>
  </si>
  <si>
    <t>MÀI VÀO TAY</t>
  </si>
  <si>
    <t>DO THAO TÁC K ĐÚNG DẪN ĐẾN MÀI VÀO TAY</t>
  </si>
  <si>
    <t>SẤY HÀNG</t>
  </si>
  <si>
    <t>SƠ XUẤT SẼ CHẠM VÀO THÀNH
MÁY SẤY CÓ THỂ DẪN ĐẾN BỎNG TAY</t>
  </si>
  <si>
    <t>MÁY CÓ NHIỆT ĐỘ CAO KHI THAO TÁC LẤY HÀNG</t>
  </si>
  <si>
    <t>ĐEO GĂNG TAY KHI THAO TÁC</t>
  </si>
  <si>
    <t>SỬ DỤNG KÉO NHÍP CHO THAO TÁC</t>
  </si>
  <si>
    <t>GÂY XƯỚC HOẶC ĐỨT TAY KHI THAO TÁC, HÍT HƠI HÓA CHẤT, MỎI LƯNG ĐAU VAI GÁY, LÀ VÀO TAY</t>
  </si>
  <si>
    <t>KÉO NHÍP LÀ VẬT NHỌN DỄ GÂY HỎNG TAY KHI THAO TÁC</t>
  </si>
  <si>
    <t>BAO QUẢN ĐÚNG VỊ TRÍ
SỬ DỤNG BẢO VỆ CHO NHÍP KÉO</t>
  </si>
  <si>
    <t>Nhận và bảo quản hàng</t>
  </si>
  <si>
    <t>Yêu cầu nhà cung cấp xếp đúng tiêu chuẩn trước khi giao hàng. Kho sắp xếp hàng trong kho cũng phải theo tiêu chuẩn đã quy định.</t>
  </si>
  <si>
    <t>Xe nâng lùi va chạm vào người</t>
  </si>
  <si>
    <t>Khi di chuyển nhanh thiếu quan sát</t>
  </si>
  <si>
    <t>Va chạm vào hàng hóa sắc nhọn</t>
  </si>
  <si>
    <t>Mang găng tay khi nhận và sắp xếp hàng quá</t>
  </si>
  <si>
    <t>Nhiễm độc, hít phải khói bụi bẩn</t>
  </si>
  <si>
    <t>Hàng hóa là chất độc nguy hiểm, có bụi ảnh hưởng đến sức khỏe</t>
  </si>
  <si>
    <t>Phải được đào tạo nhận thức trước khi tiếp xúc với các loại hàng hóa có tính chất đặc biệt như sơn, hóa chất..Đeo găng tay, kính khẩu trang khi tiếp xúc trực tiếp</t>
  </si>
  <si>
    <t>Đau lưng, tay, vai gáy</t>
  </si>
  <si>
    <t>Khuân vác hàng nặng bằng tay</t>
  </si>
  <si>
    <t>Dùng xe nâng, xe đẩy chuyên dụng để kéo và di chuyển hàng hóa</t>
  </si>
  <si>
    <t>Sắp xếp hàng hóa</t>
  </si>
  <si>
    <t>Điện giật</t>
  </si>
  <si>
    <t>Dây điện hở/ chập</t>
  </si>
  <si>
    <t>Hỏa hoạn</t>
  </si>
  <si>
    <t>Do chập điện hoặc các chất dễ cháy làm phát sinh hỏa hoạn</t>
  </si>
  <si>
    <t>Dẫm phải đinh</t>
  </si>
  <si>
    <t>Các pallet gỗ bị hỏng, đinh thò ra ngoài có khả năng đâm vào chân</t>
  </si>
  <si>
    <t>Trơn trượt</t>
  </si>
  <si>
    <t>Nước bị đổ ra sàn nhà</t>
  </si>
  <si>
    <t>Vệ sinh sàn nhà ngay sau khi bị đổ/tràn nước</t>
  </si>
  <si>
    <t>Hóa chất lỏng bắn vào mắt, gây tổn thương cho da</t>
  </si>
  <si>
    <t>Khi vận chuyển và san chiết hóa chất</t>
  </si>
  <si>
    <t>Đau lưng</t>
  </si>
  <si>
    <t>Do công nhân kho thường xuyên phải bốc xếp hàng hóa trong kho, bốc hàng lên công</t>
  </si>
  <si>
    <t>Công nhân sư dụng máy móc hỗ trợ ( xe nâng). Các bộ phận khác cho người hỗ trợ kho khi phải bốc nhiều hàng lên công</t>
  </si>
  <si>
    <t>Đổ hàng hóa lên người</t>
  </si>
  <si>
    <t>Ở kho TP có các giá để hàng cao 1m6, khi xếp hàng lên giá phải dùng xe nâng cẩu hàng lên</t>
  </si>
  <si>
    <t>Công nhân quấn chặt hàng hóa bằng màng chít, đóng đai trước khi cẩu hàng lên giá</t>
  </si>
  <si>
    <t>Công nhân có thể bị kẹp chân</t>
  </si>
  <si>
    <t>Khi công nhân dùng xe nâng tay để di chuyển pallet hàng, trong trường hợp hàng hóa nhiều mà người kéo hàng không nhìn thấy người khác đứng sau pallet hàng có thể làm kẹp chân người đó.</t>
  </si>
  <si>
    <t>Công nhân đi giày bảo hộ</t>
  </si>
  <si>
    <t>Công nhân viên kho hit phải bụi ảnh hưởng đến sức khỏe</t>
  </si>
  <si>
    <t>Bụi trong kho chủ yêu do di chuyển thùng caton</t>
  </si>
  <si>
    <t>Công nhân kho đeo khẩu trang và thường xuyên quyet dọn kho</t>
  </si>
  <si>
    <t>XUẤT NHẬP HÀNG</t>
  </si>
  <si>
    <t>BÊ VÁC HÀNG NẶNG CỒNG KỀNH GÂY TỔN THƯƠNG CỘT SỐNG, XƯỚC TAY KHI VA CHẠM TRAY ĐỰNG HÀNG</t>
  </si>
  <si>
    <t>DO HÀNG NẶNG, KHÔNG CÓ VẬT DỤNG BÊ ĐỠ, TRAY ĐỰNG HÀNG CÓ CÁC CẠNH SẮC</t>
  </si>
  <si>
    <t>SỬ DỤNG XE KÉO KHI VẬN CHUYỂN HÀNG, SỬ DỤNG BAO 
NGÓN, GĂNG TAY KHI BÊ HÀNG</t>
  </si>
  <si>
    <t>CÓ THỂ DẬP PHẢI TAY KHI THAO TÁC GÂY ĐƯT HOẶC NÁT TAY</t>
  </si>
  <si>
    <t>DO ÁP LỰC CỦA MÁY LỚN, TIẾN HÀNH SAI THAO TÁC GÂY TAI NẠN  LAO ĐỘNG</t>
  </si>
  <si>
    <t>LẮP CẢM BIẾN CHO MÁY
SỬ DỤNG MÁY CÓ 2 NÚT BẤM</t>
  </si>
  <si>
    <t>QUẾT KEO PRE GLUE</t>
  </si>
  <si>
    <t>MÙI KEO CHƯA KHÔ ẢNH HƯỞNG ĐẾN THẦN KINH</t>
  </si>
  <si>
    <t>DO MÙI KEO CÓ MÙI NẶNG CÓ THỂ GÂY ĐAU ĐẦU KHI NGỬI NHIỀU</t>
  </si>
  <si>
    <t>LẮP HỆ THỐNG HÚT KHÍ CHO VỊ TRÍ THAO TÁC</t>
  </si>
  <si>
    <t>MÁY DẬP NÓNG</t>
  </si>
  <si>
    <t>GÂY BỎNG TAY</t>
  </si>
  <si>
    <t>GÂY XƯỚC HOẶC ĐỨT TAY KHI THAO TÁC</t>
  </si>
  <si>
    <t>Yếu tố trong 4M</t>
  </si>
  <si>
    <t>Con người</t>
  </si>
  <si>
    <t>Không có kiến thức ngành nghề so với công việc yêu cầu</t>
  </si>
  <si>
    <t>Quá trình đào tạo trong nhà trường cũng như kết chưa đạt yêu cầu so với nghề nghiệp, chuyên môn hoặc việc chưa đúng chuyên môn</t>
  </si>
  <si>
    <t>Đào tạo thêm về chuyên môn,kiến thưc cũng như kỹ năng nghề nghiệp</t>
  </si>
  <si>
    <t>Tình trạng sức khỏe và khả năng tư duy</t>
  </si>
  <si>
    <t>Sức khỏe yếu và kỹ năng chưa tốt dẫn tới tự gây ra tai nạn cho mình</t>
  </si>
  <si>
    <t xml:space="preserve">Làm việc và nghỉ ngơi đúng thời gian, đúng quy định theo luật và tuyển người đạt trước khi nhận </t>
  </si>
  <si>
    <t>Máy móc, thiết bị</t>
  </si>
  <si>
    <t>Làm việc với máy móc đã quá thời hạn sử dụng, máy móc chưa đạt tiêu chuẩn</t>
  </si>
  <si>
    <t>Máy đang sử dụng vượt quá thời hạn cho phép của nhà sản xuất cũng như tiêu chuẩn sủ dụng</t>
  </si>
  <si>
    <t>Kiểm định lại thiết bị và chỉ sử dụng máy vẫn trong thời hạn sử dụng</t>
  </si>
  <si>
    <t>Máy móc nguy hiểm cho con người hoặc không được kiểm tra bảo dưỡng định kỳ</t>
  </si>
  <si>
    <t>Máy móc gây nhiều nguy hiểm khi sử dụng và nhiều thiết bị đã hỏng nhưng không được bảo trì</t>
  </si>
  <si>
    <t>Thay thể robot ở các vị trí nguy hiểm, bảo dưỡng định kỳ thiết bị</t>
  </si>
  <si>
    <t>Phương pháp</t>
  </si>
  <si>
    <t>Làm việc sai quy trình so với từng công việc cụ thể</t>
  </si>
  <si>
    <t>Khi thao tác và làm việc sai các bước theo tiêu chuẩn an toàn đã được đào tạo</t>
  </si>
  <si>
    <t>Có bảng hướng dẫn thao tác và đào tạo chi tiết các bước làm việc theo từng công việc cụ thể</t>
  </si>
  <si>
    <t>Làm việc theo nhóm không đồng bộ</t>
  </si>
  <si>
    <t>Hiểu sai vấn đề và xử lý công việc trái ngược nhau dẫn đến nguy hiểm do máy móc tác động vào</t>
  </si>
  <si>
    <t>Xắp xếp theo nhóm phù hợp với công việc, sở trường của từng người cụ thể</t>
  </si>
  <si>
    <t>Vật liệu</t>
  </si>
  <si>
    <t>Vật liệu, thiết bị sửa chữa không đảm bảo chất lượng</t>
  </si>
  <si>
    <t>Vật liệu, thiết bị quá hạn hoặc kém chất lượng gây ra mất an toàn trong quá trình thay thế, sửa chữa</t>
  </si>
  <si>
    <t>Kiểm tra thiết bị, vật liệu cẩn thận trước khi sử dụng</t>
  </si>
  <si>
    <t>Sử dụng các thiết bị: máy vi tính, máy in, máy ép plastic…</t>
  </si>
  <si>
    <t>Do đường dây đi điện không đúng cách, không gọn gàng hoặc thiết bị cũ kỹ không đảm bảo an toàn.</t>
  </si>
  <si>
    <t>* Không nên tự ý kéo đường dây điện hoặc tự ý sửa chữa các thiết bị điện dẫn đến các rủi ro không lường trước
*Bố trí hợp lý các đường dây điện thoại, cáp,… Tránh lối đi lại và phải được đặt gọn gàng
*Thường xuyên kiểm tra các máy móc thiết bị trong văn phòng, tòa nhà và sửa chữa nhanh chóng các hỏng hóc để ngăn chặn rủi ro phát sinh</t>
  </si>
  <si>
    <t>Cận thị, viễn thị</t>
  </si>
  <si>
    <t>Do không đảm bảo khoảng cách với màn hình máy tính.</t>
  </si>
  <si>
    <t>Nhân viên văn phòng nên ngồi đúng tư thế, thường xuyên vận động để ngăn ngừa các bệnh do ngồi nhiều gây ra.</t>
  </si>
  <si>
    <t>Đau lưng nhức mỏi</t>
  </si>
  <si>
    <t>Các bệnh về tim mạch</t>
  </si>
  <si>
    <t>Do sử dụng máy tính làm việc kéo dài, liên tục</t>
  </si>
  <si>
    <t>Rơi đồ, té ngã</t>
  </si>
  <si>
    <t>Hồ sơ, tài liệu, vật dụng để trên cao có thể rơi trúng người, kèm theo đó là nguy cơ té ngã khi có nhu cầu lấy đồ vật từ trên cao xuống sử dụng.</t>
  </si>
  <si>
    <t>*Khi có nhu cầu lấy đồ trên cao, không nên leo trèo, với, nhón, kéo,… đặc biệt là đứng trên ghế văn phòng có bánh xe chông chênh, làm tăng nguy cơ té ngã, đổ, ngã đồ đạc.
*Giữ vệ sinh chung để đảm bảo an toàn văn phòng. Nhanh chóng lau khô khi bị đổ nước, chất lỏng,… tránh nguy cơ té vì trơn trượt. Đối với sàn nhà trải thảm phải hút bụi thường xuyên làm sạch không khí.</t>
  </si>
  <si>
    <t>đeo dày bảo hộ  chống trượt</t>
  </si>
  <si>
    <t>gây khô da va đường hô hấp khi sử dụng hóa chất &amp; cồn</t>
  </si>
  <si>
    <t xml:space="preserve">do tiếp xúc trực tiếp với cồn hoặc hóa chất      </t>
  </si>
  <si>
    <t>Quá trình đi audit nội bộ</t>
  </si>
  <si>
    <t>Dẫm phải vật liệu nhọn gây đứt chân</t>
  </si>
  <si>
    <t>Do bộ phận sản xuất 3D5S không tốt</t>
  </si>
  <si>
    <t>Đào tạo, nhắc nhở bộ phận tuân thủ 3D5S sạch sẽ.</t>
  </si>
  <si>
    <t>Đổ kiện vật liệu ( nhôm, Magie vào chân)</t>
  </si>
  <si>
    <t>Hít phải bụi kim loại, mùi độc hại</t>
  </si>
  <si>
    <t>Trong quá trình mài có nhưng phôi mài nhỏ bay trong không khí  có thể hít phải
Do quá trình nóng chảy nhựa tạo mùi</t>
  </si>
  <si>
    <t xml:space="preserve">Va chạm </t>
  </si>
  <si>
    <t xml:space="preserve">Đầu dây điện tiếp xúc ko tốt khiến các pha chạm chập. cháy nổ gây nguy hiểm </t>
  </si>
  <si>
    <t>Gãy chân.</t>
  </si>
  <si>
    <t>Làm tấm chắn xung quanh vị trí dập,Kiểm tra thiết bị trước khi vận hành.</t>
  </si>
  <si>
    <t>Vận hành máy Trimming</t>
  </si>
  <si>
    <t>Tiếng ồn do máy và khí thổi</t>
  </si>
  <si>
    <t>Thiết lập khu vực layout cho từng loại hóa chất có danh sách MSDS đi kèm. Tuân thủ quy định an toàn hóa chất. Có đầy đủ thiết bị chữa cháy lăp đặt khu vực sản xuất</t>
  </si>
  <si>
    <t>Dập vào tay</t>
  </si>
  <si>
    <t>Đeo nút tai chống ồn, bảo dưỡng máy định kỳ</t>
  </si>
  <si>
    <t>Yêu cầu bộ phận cơ điện kiểm tra nếu thấy dây điện bị rách, hở, dán cảnh báo các ổ điện, bọc an toàn dây điện</t>
  </si>
  <si>
    <t>1. Đào tạo kiến thức cơ bản về phòng chống cháy nổ, layout hàng hóa 
2. Bố trí các loại phương tiện chữa cháy tại chỗ để đối phó kịp thời</t>
  </si>
  <si>
    <t>Loại bỏ, thay thế những pallet gỗ cũ hỏng, khi khuân vác hàng háo mang giầy bảo hô lao động</t>
  </si>
  <si>
    <t>Dán tem mác cảnh báo nguy hiểm, trang bị nước rửa mắt, bảo hộ lao động</t>
  </si>
  <si>
    <t>Xuống hàng trên xe tải</t>
  </si>
  <si>
    <t>Xếp hàng</t>
  </si>
  <si>
    <t>Di chuyển hàng hóa</t>
  </si>
  <si>
    <t>Sắp sêp hàng hóa</t>
  </si>
  <si>
    <t>Vận hành mấy inpad</t>
  </si>
  <si>
    <t>Sử dụng kim tuyến</t>
  </si>
  <si>
    <t>Sơn móng</t>
  </si>
  <si>
    <t>Hít vào cơ thể,khô da</t>
  </si>
  <si>
    <t>Pha hóa chât</t>
  </si>
  <si>
    <t>Hít vào cơ thể,dính vao tay, bám vào người gây dị ứng</t>
  </si>
  <si>
    <t xml:space="preserve">Do không đeo khẩu trang,ko đeo găng tay, ko mặc quần áo tĩnh điện </t>
  </si>
  <si>
    <t>Do không đeo khẩu trang,đeo găng tay,mặc quần áo tĩnh điện</t>
  </si>
  <si>
    <t>Mùi sơn móng,hít vào cơ thể,sơn dính vào tay</t>
  </si>
  <si>
    <t>Do không tuân thủ đúng HDTT, máy thiếu thiết bị an toàn</t>
  </si>
  <si>
    <t xml:space="preserve">Tuân thủ quy định an toàn, lắp đặt hệ thống cửa an toàn cho máy
</t>
  </si>
  <si>
    <t>Mang bảo hộ lao động theo quy định thiết kế lại thông gió nhà xưởng</t>
  </si>
  <si>
    <t>Do không đeo khẩu trang,ko đeo găng tay , thông gió nhà xưởng kém</t>
  </si>
  <si>
    <t>Phai đeo găng tay,khẩu trang, mặc 
quần áo tĩnh điện, làm tủ kính thao tác</t>
  </si>
  <si>
    <t>Phai đeo găng tay,khẩu trang hoat tinh, mặc quần áo tĩnh điện</t>
  </si>
  <si>
    <t>CHO CÔNG NHÂN THƯ GIÀN NGHI NGƠI THEO THEO THOÀI GIAN HỢP LÝ, ĐỔI CÔNG CÔNG VIỆC KHÁC, TRÁNH ĐƠN ĐIỆU NHÀM CHÁN</t>
  </si>
  <si>
    <t>Đéo găng tay khi thao tác</t>
  </si>
  <si>
    <t>Trang bị đầy đủ bảo hộ lao động, layout hàng hóa hợp lý</t>
  </si>
  <si>
    <t>Hít phải khí, dầu</t>
  </si>
  <si>
    <t>Đeo găng tay khi kiểm tra hàng hóa</t>
  </si>
  <si>
    <t>Khuôn rơi vào chân</t>
  </si>
  <si>
    <t>Thay khuôn</t>
  </si>
  <si>
    <t>Trọng lượng khuôn nặng, rơi vào chân gây thương tích</t>
  </si>
  <si>
    <t>Thao tác cẩn thận khi thay khuôn</t>
  </si>
  <si>
    <t>Máy mài gây xước tay</t>
  </si>
  <si>
    <t>Trong quá trình mài nếu không sử dụng đồ
 bảo hộ sẽ gây xước tay</t>
  </si>
  <si>
    <t>Sử dụng găng tay xám</t>
  </si>
  <si>
    <t>Mài tay</t>
  </si>
  <si>
    <t xml:space="preserve">Bụi </t>
  </si>
  <si>
    <t>Bụi kim loại bắn vào mắt</t>
  </si>
  <si>
    <t>Sử dụng kính khi làm việc</t>
  </si>
  <si>
    <t>Đeo nút tai chống ồn, thường xuyên bảo dưỡng và cân chỉnh máy móc theo kế hoạch bảo dưỡng</t>
  </si>
  <si>
    <t xml:space="preserve">Trang bị đầy đủ bảo hộ lao động khi vận hành thiết bị và yêu cầu cấp phát, khẩu trang, kính... </t>
  </si>
  <si>
    <t>Nhiệt độ tỏa ra từ máy, nước nóng và bề mặt có nhiệt dộ cao</t>
  </si>
  <si>
    <t>Đeo găng tay sợi chịu nhiệt, kế hoạch bảo dưỡng định kỳ đường ống, có cảnh báo.</t>
  </si>
  <si>
    <t>Sử dụng khò
(trong trường hợp gấp)</t>
  </si>
  <si>
    <t>Gây bỏng và vật bắn vào mắt</t>
  </si>
  <si>
    <t>Sử dụng găng tay và kính bảo hộ</t>
  </si>
  <si>
    <t>Quá trình khò sẽ làm nóng bề mặt có thể gây bỏng và vật nổ bắn vào mắt</t>
  </si>
  <si>
    <t>Chập điện</t>
  </si>
  <si>
    <t>Cẩu trục</t>
  </si>
  <si>
    <t>Người vận hành phải có chứng chỉ sử dụng cẩu trục</t>
  </si>
  <si>
    <t>BAO QUẢN ĐÚNG VỊ TRÍ
SỬ DỤNG BẢO VỆ CHO NHÍP KÉO, ĐÁNH SỐ QUẢN LÝ VẬT SẮC NHỌN</t>
  </si>
  <si>
    <t>SỬ DỤNG XE ĐẨY HÀNG</t>
  </si>
  <si>
    <t>KẸP VÀO CHÂN</t>
  </si>
  <si>
    <t>SỬ DỤNG XE DI CHUYỂN TRỞ HÀNG</t>
  </si>
  <si>
    <t>DI CHUYỂN NHẸ NHÀNG</t>
  </si>
  <si>
    <t>Các pha được đấu nối bằng cầu nối,bọc dây điện bằng gen bảo vệ. Kiểm tra bảo dưỡng định kỳ , có nút dừng khẩn cấp tại máy</t>
  </si>
  <si>
    <t>ĐIỆN</t>
  </si>
  <si>
    <t>NGỒI LẮP RÁP</t>
  </si>
  <si>
    <t>CHẬP CHÁY ĐIỆN</t>
  </si>
  <si>
    <t>DÂY ĐIỆN TIẾP XÚC KHÔNG TỐT KHIẾN CÁC PHA CHẠM CHẬP, CHÁY NỔ NGUY HIỂM</t>
  </si>
  <si>
    <t>CÁC PHA ĐƯỢC ĐẤU NỐI BẰNG CẦU NỐI, BỌC DÂY ĐIỆN BẰNG GEN BẢO VỆ, KIỂM TRA BẢO DƯỠNG ĐỊNH KÌ, CÓ NÚT DỪNG KHẨN CẤP</t>
  </si>
  <si>
    <t>NGỒI MỎI LƯNG, ẢNH HƯỞNG ĐẾN CƠ XƯƠNG KHỚP</t>
  </si>
  <si>
    <t>DO NGỒI LÂU ẢNH HƯỞNG ĐẾN CƠ XƯƠNG KHỚP</t>
  </si>
  <si>
    <t>SỬ DỤNG GHẾ MỀM NGỒI LÀM VIỆC</t>
  </si>
  <si>
    <t>Hàng đổ vào người</t>
  </si>
  <si>
    <t>Xếp hàng hóa cồng kềnh, cao quá tiêu chuẩn quy định (&gt;3m)</t>
  </si>
  <si>
    <t>Di chuyển với tốc độ vừa phải, chú ý quan sát cẩn thận tránh va chạm. Công nhân khi làm việc xe nâng phải mang giày BHLD</t>
  </si>
  <si>
    <t>Hóa chất</t>
  </si>
  <si>
    <t>Các pha được đấu nối bằng cầu nối,bọc dây điện bằng gen bảo vệ. Kiểm tra bảo dưỡng định kỳ, các máy có nút dừng khẩn cẩp</t>
  </si>
  <si>
    <t xml:space="preserve">Nguồn máy tính, máy in và các thiết bị, Đầu dây điện tiếp xúc ko tốt khiến các pha chạm chập. cháy nổ gây nguy hiểm </t>
  </si>
  <si>
    <t>Thường xuyên kiểm tra và đi dây điện cho gọn gàng</t>
  </si>
  <si>
    <t>Ngồi làm việc lâu</t>
  </si>
  <si>
    <t>Xưởng sản xuất</t>
  </si>
  <si>
    <t>Dò rỉ bức xạ</t>
  </si>
  <si>
    <t>Sử dụng máy X-Ray</t>
  </si>
  <si>
    <t>Tiếp xúc với máy X-Ray ảnh hưởng đến sức khỏe</t>
  </si>
  <si>
    <t>Sử dụng liều kế cá nhân và
 mang đi kiểm tra định kì</t>
  </si>
  <si>
    <t>Máy đo nhiệt độ</t>
  </si>
  <si>
    <t>Sốc nhiệt</t>
  </si>
  <si>
    <t>Rủi ro khi lấy hàng từ máy đo nhiệt độ, độ ẩm</t>
  </si>
  <si>
    <t>Đảm bảo nhiệt độ trong phòng đo nhiệt độ 
và khu vực làm việc không chênh quá cao</t>
  </si>
  <si>
    <t>NHẬN BIẾT MỐI NGUY PHÂN TÍCH RỦI RO  
PHÒNG ĐỘT DẬP</t>
  </si>
  <si>
    <t>NHẬN BIẾT MỐI NGUY VÀ PHÂN TÍCH RỦI RO
 PHÒNG ĐÚC NHỰA</t>
  </si>
  <si>
    <t>NHẬN BIẾT MỐI NGUY VÀ PHÂN TÍCH RỦI RO 
PHÒNG LẮP RÁP</t>
  </si>
  <si>
    <t>NHẬN DIỆN MỐI NGUY VÀ PHÂN TÍCH RỦI RO 
KHO NGUYÊN LIỆU</t>
  </si>
  <si>
    <t>NHẬN DIỆN MỐI NGUY VÀ PHÂN TÍCH RỦI RO 
KHO THÀNH PHẨM</t>
  </si>
  <si>
    <t>NHẬN DIỆN MỐI NGUY VÀ PHÂN TÍCH RỦI RO 
PHÒNG NAIL</t>
  </si>
  <si>
    <t>NHẬN BIẾT NGUY  CƠ  VÀ PHÂN TÍCH RỦI RO 
PHÒNG LÔNG MI GIẢ</t>
  </si>
  <si>
    <t>NHẬN DIỆN MỐI NGUY VÀ PHÂN TÍCH RỦI RO
 PHÒNG CƠ ĐIỆN</t>
  </si>
  <si>
    <t>NHẬN DIỆN MỐI NGUY PHÂN TÍCH RỦI RO
 PHÒNG QC</t>
  </si>
  <si>
    <t>MÁY DẬP</t>
  </si>
  <si>
    <t>EHS.04.01.03 Ngày ban hành 03/01/2020</t>
  </si>
  <si>
    <t xml:space="preserve">Các tủ điện, máy in và các thiết bị, Đầu dây điện tiếp xúc ko tốt khiến các pha chạm chập. cháy nổ gây nguy hiểm </t>
  </si>
  <si>
    <t>No</t>
  </si>
  <si>
    <t xml:space="preserve">Mã số tài liệu </t>
  </si>
  <si>
    <t xml:space="preserve">Ngày ban hành </t>
  </si>
  <si>
    <t>Lần sửa đổi</t>
  </si>
  <si>
    <t>Quá trình</t>
  </si>
  <si>
    <t>Ngày ban hành</t>
  </si>
  <si>
    <t>00</t>
  </si>
  <si>
    <t>BẢNG ĐÁNH GIÁ RỦI RO PHÒNG CNC</t>
  </si>
  <si>
    <t>Quá Trình Sản Xuất Gia Công CNC</t>
  </si>
  <si>
    <t>Các Rủi Ro Có Thể Sảy Ra</t>
  </si>
  <si>
    <t>Phương pháp phòng ngừa kiểm soát rủi ro</t>
  </si>
  <si>
    <t>Hành Động Thực Hiện và khắc Phục .</t>
  </si>
  <si>
    <t>Đánh giá rủi ro
sau khi thực hiện biện pháp phòng ngừa, khắc phục</t>
  </si>
  <si>
    <t>Dung dịch dầu làm mát. Dầu bôi trơn</t>
  </si>
  <si>
    <t>Máy bơm dầu hỏng không bơm được dầu</t>
  </si>
  <si>
    <t xml:space="preserve"> Kỹ thuật viên khắc phục sửa chữa ngay lập tức nếu máy đột ngột hỏng. Đảm bảo thời gian sửa chữa nhanh nhất có thể.</t>
  </si>
  <si>
    <t>Nồng độ dầu làm mát không đúng tỷ lệ cho phép. Dầu bôi trơn hết.</t>
  </si>
  <si>
    <t>Check sheet kiểm tra theo dõi công việc bổ sung dầu làm mát. Và mức dầu bôi trơn.</t>
  </si>
  <si>
    <t>Giám xát công tác kiểm tra check sheet theo dõi điều kiện làm việc của máy.</t>
  </si>
  <si>
    <t>Máy CNC</t>
  </si>
  <si>
    <t>Hỏng do quá tải hoặc do lâu không được bảo dưỡng thay thế linh kiện.</t>
  </si>
  <si>
    <t>Vận hành máy CNC</t>
  </si>
  <si>
    <t>Vận hành máy không đúng thao tác dẫn đến sai hỏng kích thước sản phẩm.</t>
  </si>
  <si>
    <t>Lập bảng hướng dẫn thao tác vận hành sản xuất gia công. Đào tạo op định kỳ.</t>
  </si>
  <si>
    <t>Các hướng dẫn thao tác vận hàng máy được treo trên khu vực làm việc của công nhân sản xuất.</t>
  </si>
  <si>
    <t>Vận Hành sửa chữa bảo dưỡng không đúng kỹ thuật dẫn tới hỏng máy .</t>
  </si>
  <si>
    <t>Lập bảng hưỡng dẫn bảo dưỡng sửa chữa máy cnc, đào tạo kỹ thuật viên làm việc định kỳ.</t>
  </si>
  <si>
    <t>Bảng hdtt được treo trên khu vực làm việc của op bảo dưỡng.</t>
  </si>
  <si>
    <t>Công nhân viên làm việc tại Xưởng CNC</t>
  </si>
  <si>
    <t>Không đủ nhân lực làm việc dẫn tới không đạt được kế hoạch sản xuất</t>
  </si>
  <si>
    <t>Nên kế hoạch cappa sản xuất hàng ngày hàng tuần theo đơn hàng bên kế hoạch sx đưa xuống, báo cáo số lượng op làm việc hàng ngày.</t>
  </si>
  <si>
    <t>Thực hiện báo cáo vào 9h00 sáng hàng ngày.</t>
  </si>
  <si>
    <t>Không thực hiện đúng HDTT vận hành máy CNC, và các nội quy công ty đề ra.</t>
  </si>
  <si>
    <t xml:space="preserve">kế hoạch đào tạo cnv </t>
  </si>
  <si>
    <t>Thực hiện theo đúng kế hoạch và chương trình đào tạo đưa ra.</t>
  </si>
  <si>
    <t>Không đảm bảo an toàn lao động khi làm việc.</t>
  </si>
  <si>
    <t>Lập các hướng dẫn mang bảo hộ lao động trước khi làm việc.</t>
  </si>
  <si>
    <t>yêu cầu cnv mang bảo hộ lao động đầy đủ khi làm việc.</t>
  </si>
  <si>
    <t>Dụng cụ sản xuất như dao máy cnc, các vận dụng thay thế máy cnc.</t>
  </si>
  <si>
    <t>Không đủ dụng cụ làm việc như hết dao trong quá trình cài đặt máy.</t>
  </si>
  <si>
    <t>Check sheet kiểm tra theo dõi hàng ngày.Lập bảng tồn kho an toàn cho từng loại dụng cụ</t>
  </si>
  <si>
    <t>báo cáo kiểm tra tồn kho an toàn hàng ngày để có thể làm kế hoạch nhạp nguyên liệu ,dụng cụ làm việc về đúng tiến độ làm việc</t>
  </si>
  <si>
    <t>Nhiệt độ, độ ẩm xưởng CNC</t>
  </si>
  <si>
    <t>Ảnh hưởng trực tiếp đến việc bảo quản sản phẩm trước và sau gia công.</t>
  </si>
  <si>
    <t>Check sheet theo dõi hàng ngày.</t>
  </si>
  <si>
    <t>Kiểm tra check sheet hàng ngày nếu có sự cố bất thường sẽ liên hệ bên cơ điện xử lý , đảm bảo điều kiện sx được tốt nhất.</t>
  </si>
  <si>
    <t>Các dụng cụ Jig kiểm tra sản phẩm</t>
  </si>
  <si>
    <t>Ảnh hưởng trực tiếp tới độ chính xác các kích thước , đặc tính của sản phẩm sau gia công.</t>
  </si>
  <si>
    <t>Check sheet kiểm tra hàng ngày và sửa dụng tem quy định ngày hiệu chuẩn của sản phẩm.</t>
  </si>
  <si>
    <t>đảm bảo công tác kiểm tra , hiệu chuẩn các thiết bị jig kiểm tra đúng quy định giới hạn kiểm tra.</t>
  </si>
  <si>
    <t>CNC .04.03.09</t>
  </si>
  <si>
    <t>PHÂN TÍCH RỦI RO (Phòng: KHO) 
RISK ANALYSIS (Room: Warehouse)</t>
  </si>
  <si>
    <t>Quá trình/Tiến trình
Process/Progress</t>
  </si>
  <si>
    <t>Rủi ro tiềm năng / Potential risks</t>
  </si>
  <si>
    <t>Nguyên nhân / lý giải
Cause / explanation</t>
  </si>
  <si>
    <t>Đánh giá rủi ro
Risk assessment</t>
  </si>
  <si>
    <t>Các biện pháp phòng ngừa/ khắc phục
Preventive/remedial measures</t>
  </si>
  <si>
    <t>Đánh giá rủi ro
sau khi thực hiện biện pháp phòng ngừa
Risk assessment
after taking precautions</t>
  </si>
  <si>
    <t>Phân loại rủi ro
Risk classification</t>
  </si>
  <si>
    <t>Nhận và bảo quản hàng.
Receive and store goods.</t>
  </si>
  <si>
    <t>Hàng hóa đổ vào chân./ Goods poured into the foot.</t>
  </si>
  <si>
    <t>Xếp hàng hóa cồng kềnh, cao quá tiêu chuẩn quy định (&gt;1.6m). / 'Loading bulky goods, exceeding the prescribed standards (&gt;1.6m).</t>
  </si>
  <si>
    <t>Yêu cầu nhà cung cấp xếp đúng tiêu chuẩn trước khi giao hàng. Kho sắp xếp hàng trong kho cũng phải theo tiêu chuẩn đã quy định. / 
Ask the supplier to properly align before delivery. Warehouse arrangement of goods in the warehouse must also follow the prescribed standards..</t>
  </si>
  <si>
    <t>Xe nâng lùi va chạm vào người. /Back forklift collides with people</t>
  </si>
  <si>
    <t>Khi di chuyển nhanh thiếu quan sát. / When moving fast without observing</t>
  </si>
  <si>
    <t>Di chuyển với tốc độ vừa phải (5km/h), chú ý quan sát cẩn thận tránh va chạm . / Move at a moderate speed (5km/h), pay close attention to avoid collisions.</t>
  </si>
  <si>
    <t>Đứt tay. / Broken hand</t>
  </si>
  <si>
    <t>Va chạm vào hàng hóa sắc nhọn. / Collision with sharp goods.</t>
  </si>
  <si>
    <t>Mang găng tay khi nhận và sắp xếp hàng hóa. / Wear gloves when receiving and sorting goods.</t>
  </si>
  <si>
    <t>Nhiễm độc, hít phải khói bụi bẩn. / Poisoning, inhaling smoke and dust.</t>
  </si>
  <si>
    <t>Hàng hóa là chất độc nguy hiểm, có bụi ảnh hưởng đến sức khỏe. / Goods are dangerous poisons with dust affecting health.</t>
  </si>
  <si>
    <t>Phải được đào tạo nhận thức trước khi tiếp xúc với các loại hàng hóa có tính chất đặc biệt như sơn, hóa chất..Đeo găng tay, kính khẩu trang khi tiếp xúc trực tiếp. / 
Must be trained in awareness before coming into contact with goods with special properties such as paints, chemicals.. Wear gloves, glasses and masks when in direct contact.</t>
  </si>
  <si>
    <t>Đau lưng, tay, vai gáy. / Back, arm, shoulder pain</t>
  </si>
  <si>
    <t>Khuân vác hàng nặng bằng tay. / Hand-carrying heavy goods</t>
  </si>
  <si>
    <t>Dùng xe nâng, xe đẩy chuyên dụng để kéo và di chuyển hàng hóa. / Use forklifts, specialized trolleys to pull and move goods</t>
  </si>
  <si>
    <t>Sắp xếp hàng hóa.
Sorting goods.</t>
  </si>
  <si>
    <t>Điện giật / Shockwave</t>
  </si>
  <si>
    <t>Dây điện hở, chập ./ Open,shorted electrical wire</t>
  </si>
  <si>
    <t>Yêu cầu bộ phận cơ điện kiểm tra nếu thấy dây điện bị rách, hở. / Ask the electromechanical department to check if the wire is torn, open.</t>
  </si>
  <si>
    <t>Hỏa hoạn / Fire</t>
  </si>
  <si>
    <t xml:space="preserve">Do chập điện hoặc các chất dễ cháy làm phát sinh hỏa hoạn. / Due to electric shock or flammable substances causing fire. </t>
  </si>
  <si>
    <t>Dẫm phải đinh. / Step on a nail</t>
  </si>
  <si>
    <t>Các pallet gỗ bị hỏng, đinh thò ra ngoài có khả năng đâm vào chân. /Wooden pallets are damaged, nails sticking out are likely to pierce the legs</t>
  </si>
  <si>
    <t>Loại bỏ, thay thế những pallet gỗ cũ hỏng. / Remove and replace damaged old wooden pallets</t>
  </si>
  <si>
    <t>Trơn trượt . / Slippery</t>
  </si>
  <si>
    <t>Nước bị đổ ra sàn nhà. / Water spilled on the floor</t>
  </si>
  <si>
    <t>Vệ sinh sàn nhà ngay sau khi bị đổ, tràn nước . / Clean the floor immediately after spilling or spilling water</t>
  </si>
  <si>
    <t>Hóa chất lỏng bắn vào mắt, gây tổn thương cho da. / Chemical liquid splashes into the eyes, causing damage to the skin.</t>
  </si>
  <si>
    <t>Khi vận chuyển và san chiết hóa chất. / When transporting and extracting chemicals</t>
  </si>
  <si>
    <t>Trang bị vòi rửa mắt, dán tem mác cảnh báo nguy hiểm . / Equipped with eyewash faucets, with danger warning labels</t>
  </si>
  <si>
    <t>Nhập xuất sai số lượng hàng hóa dẫn đến thiếu / thừa hàng trong sản xuất..
Importing and exporting incorrect quantity of goods leads to shortage / excess in production.</t>
  </si>
  <si>
    <t>Do sai sót của công nhân viên khi nhập phiếu xuất - nhập hàng .
Due to the error of the employee when entering the export - import slip.</t>
  </si>
  <si>
    <t>Nhân viên quản lí kho căn cứ vào đơn xuất hàng, phiếu nhập kho để tiếp nhận nhập kho, kiểm tra số lượng và tình trạng hỏng hóc, kí nhận và cấp biên lai.
Warehouse management staff base on order order, receipt note to receive storage, check quantity and damage status, sign receipt and issue receipts.</t>
  </si>
  <si>
    <t xml:space="preserve">- Cấp đặt sai vị trí hàng hóa có thể dẫn đến nhầm lẫn hàng hóa.
- Vật liệu tồn kho lâu ngày không đc xử lý sẽ ảnh hưởng tới chất lượng sản phẩm sản xuất.
- Độ cao để thùng vật liệu mà vượt tiêu chuẩn cũng dẫn đến hỏng hàng hóa.
- The wrong placement of goods may lead to confusion of goods.
- Materials that have been stored for a long time without treatment will affect the quality of manufactured products.
- The height to the material box that exceeds the standard also leads to damage to the goods.D15
</t>
  </si>
  <si>
    <t>Do người công nhân viên không tuân thủ quy trình quản lý kho. / Because the employee does not follow the warehouse management process.</t>
  </si>
  <si>
    <t>- Các loại vật liệu tồn kho đều phải được phân loại rõ ràng, có nhãn mác, bảng báo cáo chính xác. 
- Vật liệu tồn kho lâu ngày phải được định kì xử lí.
- Độ cao để thùng vật liệu không vượt quá 2 mét, không quá 4 tầng, không quá 2 tầng đối với lốc khay sản phẩm.
- Materials in stock must be clearly classified, labeled and reported correctly.
- Materials in stock for a long time must be periodically handled.
- The height of the material bin must not exceed 2 meters, not more than 4 floors, not more than 2 floors for product tray block.</t>
  </si>
  <si>
    <t>- Xuất hàng không theo nguyên tắc nhập trước xuất trước có thể dẫn đến hàng cũ , hàng mới lẫn lộn .
 - Air export according to the principle of first in first out first out can lead to confusion of old and new goods.</t>
  </si>
  <si>
    <t>Do người công nhân viên không tuân thủ quy trình quản lý kho</t>
  </si>
  <si>
    <t>-Xuất hàng sản xuất phải tuân thủ nguyên tắc nhập trước xuất trước.
- The output of finished goods must comply with the principle of first in first out.</t>
  </si>
  <si>
    <t>Báo cáo tồn kho sai sẽ làm ảnh hưởng tới tiến độ sản xuất của các công đoạn sau.
 Wrong inventory reports will affect production progress of the following stages</t>
  </si>
  <si>
    <t xml:space="preserve">Do sai sót của công nhân viên khi kiểm đếm tồn  .
</t>
  </si>
  <si>
    <t>Cập nhật các báo cáo tồn trước, nhập xuất, tồn hiện tại rõ ràng theo các múi giờ trong ngày. 
Update pre-existing reports, import / export, and current existence clearly according to time zones of the day.</t>
  </si>
  <si>
    <t>Dịch bệnh /Disease</t>
  </si>
  <si>
    <t>Tiếp xúc với nhiều người từ bên ngoài vào công ty dễ lây nhiễm mầm bệnh.
Contact with many people from outside into the company easily spread germs.</t>
  </si>
  <si>
    <t>Do người công nhân viên không tuân thủ các quy định phòng chống dịch.</t>
  </si>
  <si>
    <t>Luôn tuân thủ các quy định phòng chống dịch bệnh của công ty ( sát khuẩn , đeo khẩu trang …)
Always comply with the company's disease prevention regulations (antiseptic, wear a mask ...)</t>
  </si>
  <si>
    <t>PHÂN TÍCH RỦI RO - PHÒNG KẾ HOẠCH
RISK ANALYSIS - PLANNING DEPARTMENT</t>
  </si>
  <si>
    <t>Sử dụng máy tính./ Use the computer</t>
  </si>
  <si>
    <t>Điện giật. / Shockwave</t>
  </si>
  <si>
    <t>Rò điện. / Electric leakage</t>
  </si>
  <si>
    <t>Ổ điện có nắp đậy kín, dây điện được buộc lại gọn gàng. / The electrical outlet has a tight cover, the power cord is neatly tied</t>
  </si>
  <si>
    <t>Ngồi làm việc tại chỗ. / Sitting and working on the spot</t>
  </si>
  <si>
    <t>Stress, đau xương khớp, nhức mỏi cận thị. / Stress, joint pain, myopia pain.</t>
  </si>
  <si>
    <t>Do ngồi làm việc lâu, sai tư thế . Due to sitting for a long time, wrong posture.</t>
  </si>
  <si>
    <t>Thư giãn đứng dậy đi lại mỗi 45 phút 1 lần, bổ sung đệm sau lưng, ngồi đúng tư thế. / Relax, get up and walk every 45 minutes, add cushions behind your back, sit in the right posture</t>
  </si>
  <si>
    <t>Đi lại trong bộ phận. / Travel in the department.</t>
  </si>
  <si>
    <t>Ngã ./ Fall</t>
  </si>
  <si>
    <t>Trơn trượt do sàn bị ướt. / Slippery due to wet floor</t>
  </si>
  <si>
    <t>Chú ý quan sát, có biển cảnh báo. / Pay attention, there are warning signs</t>
  </si>
  <si>
    <t>In ấn. / Printing</t>
  </si>
  <si>
    <t>Do cạnh giấy sắc. / Due to the sharp edge of the paper.</t>
  </si>
  <si>
    <t>Cần chú ý cẩn thận trong thao tác. / Care should be taken in handling</t>
  </si>
  <si>
    <t>Ngồi làm việc. / 
Sitting and working</t>
  </si>
  <si>
    <t>Khô da, nhiễm vi khuẩn./ Dry skin, bacterial infection</t>
  </si>
  <si>
    <t>Do dùng điều hòa lâu, điều hòa không được vệ sinh thường xuyên ./ Due to long-term use of the air conditioner, the air conditioner is not cleaned regularly</t>
  </si>
  <si>
    <t>Uống nhiều nước, vệ sinh điều hòa thường xuyên . / Drink lots of water, clean the air conditioner regularly</t>
  </si>
  <si>
    <t>Lập kế hoạch kế hoạch sản xuất
Planning production</t>
  </si>
  <si>
    <t xml:space="preserve">Làm kế hoạch sản xuất không phù hợp với năng lực thực tế của bộ phận.
Do the production plan does not match the actual capacity of the department.
</t>
  </si>
  <si>
    <t xml:space="preserve">Do cập nhật sai thông tin máy móc , thiết bị , nhân lực </t>
  </si>
  <si>
    <t>Thường xuyên cập nhật thông tin về cycle time, số khuôn, số máy, nhân lực để đặt kế hoạch chính xác.
Regularly update information about cycle time, number of molds, machine number, and manpower to set an accurate plan</t>
  </si>
  <si>
    <t>Kiểm soát tồn kho hàng ngày
 Daily inventory control</t>
  </si>
  <si>
    <t>Báo cáo tồn kho sai sẽ làm ảnh hưởng tới tiến độ sản xuất của các công đoạn sau.
Wrong inventory reports will affect production progress of the following stages.</t>
  </si>
  <si>
    <t>Do sai sót trong quá trình kiểm đếm hàng hóa. / Due to an error in the counting of goods.</t>
  </si>
  <si>
    <t>Cài đặt BOM trên hệ thống ERP
 Install BOM on the ERP system</t>
  </si>
  <si>
    <t>Đặt code phòng sai, làm đường BOM không đúng với Process.
Set wrong room code, make BOM not correct with Process.</t>
  </si>
  <si>
    <t>Do nhân viên gõ sai mã code . / Because the employee mistyped the code.</t>
  </si>
  <si>
    <t>Lập bảng tổng hợp code BOM, khi có model mới sẽ đặt code theo thứ tự tăng dần tránh lặp lại code đã đặt từ trước.
Make a BOM code summary table, when a new model is available, the code will be placed in ascending order to avoid repeating the code previously placed.</t>
  </si>
  <si>
    <t>Đặt nguyên vật liệu Tray/Thùng/Tape cho sản xuất
 Place Materials Tray / Barrel / Tape for production</t>
  </si>
  <si>
    <t>Đặt thừa hàng gây lãng phí va tốn diện tích đặt để trong kho. Còn nếu đặt thiếu sẽ ảnh hưởng tới sản xuất của phòng ban.
Ordering excess goods is wasteful and takes up space in storage. If the set is missing, it will affect the production of the department.</t>
  </si>
  <si>
    <t>Do kế hoạch sản xuất thay đổi đột ngột , kế hoạch xuất hàng gấp. / Due to sudden change in production plan, urgent shipment plan.</t>
  </si>
  <si>
    <t>Làm PR theo tuần dựa vào kế hoạch sản xuất thực tế. Nếu kế hoach thay đổi sẽ điều chỉnh đơn hàng cho phù hợp.
Do weekly PR based on actual production schedule. If the schedule changes, the order will be adjusted accordingly.</t>
  </si>
  <si>
    <t>Dịch bệnh (COVID-19)
Disease (COVID-19</t>
  </si>
  <si>
    <t>Nhân viên không tuân thủ quy định phòng chống dịch. / Employees do not comply with epidemic prevention regulations.</t>
  </si>
  <si>
    <t>CÔNG TY  TNHH M&amp;C ELECTROCNICS VINA</t>
  </si>
  <si>
    <t>PUR.03.00.03</t>
  </si>
  <si>
    <t>MÔ TẢ RỦI RO PHÒNG MUA HÀNG 
(RISK MANAGERMENT)</t>
  </si>
  <si>
    <t>02.01.2019</t>
  </si>
  <si>
    <t>IT</t>
  </si>
  <si>
    <t>Tình huống (Situation)</t>
  </si>
  <si>
    <t>Rủi ro có thể xảy ra (Risk involved)</t>
  </si>
  <si>
    <t>Đánh giá mức độ</t>
  </si>
  <si>
    <t>Cách thức kiểm soát rủi ro (Risk Managerment)</t>
  </si>
  <si>
    <t>Khả năng</t>
  </si>
  <si>
    <t>Tác động</t>
  </si>
  <si>
    <t>Tổng điểm</t>
  </si>
  <si>
    <t>- Chất lượng không đạt như trong quá trình khảo sát ban đầu
( Quality is not as good as in the initial survey)</t>
  </si>
  <si>
    <t>- Tìm kiếm nhiều nhà cung cấp cùng cung cấp một nhóm hàng hóa
(Search for more than one suppliers that provide a group of goods)</t>
  </si>
  <si>
    <t>- Tiến độ giao hàng không đạt như trong quá trình khảo sát ban đầu
(Delivery progress is not as good as in the initial survey)</t>
  </si>
  <si>
    <t>- Đánh giá chi tiết nhà cung cấp tiềm năng trước khi đưa vào phê duyệt sử dụng
(Evaluate details of potential suppliers carefully before putting them into Vendor Approval List)</t>
  </si>
  <si>
    <t>- Năng lực nhà cung cấp không đủ đáp ứng
(Supplier capacity is not enough sufficient)</t>
  </si>
  <si>
    <t>Chưa tìm được nguồn hàng với ưu thế vượt trội: Giá cả cạnh tranh, chất lượng đảm bảo, nguồn cung ổn định
(Not yet found a source with superior advantages: Competitive price, guaranteed quality, stable supply)</t>
  </si>
  <si>
    <t>Nghiên cứu thị trường kỹ trước khi lập kế hoạch mua hàng và mở rộng nghiên cứu sang thị trường nước ngoài (nếu cần thiết)
(Make reseach market thoroughly before making a purchase plan and expanding research to overseas markets (if necessary)</t>
  </si>
  <si>
    <t>Hàng mua không đúng chất lượng
(Products purchased are not enough quality as require)</t>
  </si>
  <si>
    <t>Kiểm tra mẫu chuẩn và lập phiếu xác nhận thông tin với nhà cung cấp trước khi đặt hàng
(Check the standard samples and make a confirmation form with the supplier before ordering)</t>
  </si>
  <si>
    <t>Hàng mua không đáp ứng được thời gian yêu cầu
(Products purchased are not meet the required time)</t>
  </si>
  <si>
    <t>Xác lập leadtime của hàng hóa, tính toán thời gian cần thiết để mua hàng
(Determine the leadtime of goods, calculate the time needed to purchase)</t>
  </si>
  <si>
    <t>Mua giá cao
(Purchase with high price)</t>
  </si>
  <si>
    <t>Xem xét ít nhất 3 bảng báo giá của 3 nhà cung cấp khác nhau
(Consider at least 3 quotes from at 3 suppliers)</t>
  </si>
  <si>
    <t>Hàng không đúng tiến độ hoặc chất lượng không đảm bảo
(The goods are not deliveried on schedule or the quality is not guaranteed)</t>
  </si>
  <si>
    <t>Thường xuyên theo dõi tiến độ giao hàng, kiểm soát chất lượng hàng theo biên bản kiểm nhận hàng
(Regularly monitor the progress of delivery, quality control of goods according to the goods receipt check record)</t>
  </si>
  <si>
    <t>Nhà cung cấp từ chối bán hàng
(Supplier refuses to sell)</t>
  </si>
  <si>
    <t>Tác động không mong muốn từ thiên tai, dịch bệnh, hỏa hoạn...
(Unexpected impacts from natural disasters and epidemics, fire incident...)</t>
  </si>
  <si>
    <t>SAL.03.00.04</t>
  </si>
  <si>
    <t>Phán định sản phẩm</t>
  </si>
  <si>
    <t>Phán định kết quả sai</t>
  </si>
  <si>
    <t>Do cá nhân chưa nắm vững nội dung đào tạo, giới hạn mẫu lỗi</t>
  </si>
  <si>
    <t>Máy móc</t>
  </si>
  <si>
    <t>Máy test hỏng do không thường xuyên kiểm tra hiện trạng và lên kế hoạch bảo dưỡng</t>
  </si>
  <si>
    <t>Checksheet máy thường xuyên để đảm bảo tình trạng vận hành tốt
Bảo dưỡng định kì, không để xảy ra hỏng hóc đột xuất</t>
  </si>
  <si>
    <t>PHÂN TÍCH RỦI RO SẢN XUẤT  (Phòng POLISHING,HOTPESS,CHROMATE)</t>
  </si>
  <si>
    <t>Chuẩn bị thiết bị, linh kiện sản xuất</t>
  </si>
  <si>
    <t>Thiếu nguyên phụ liệu để sản xuất</t>
  </si>
  <si>
    <t>Trong quá trình sản xuất không chú ý đến tồn kho, cũng như tồn an toàn</t>
  </si>
  <si>
    <t>Kiểm kê hằng ngày các nguyên phụ liệu phục vụ sản xuất để lên kế hoạch đặt hàng</t>
  </si>
  <si>
    <t>Không bảo trì bảo dưỡng máy móc thường xuyên</t>
  </si>
  <si>
    <t>Lập kế hoạch và duy trì bảo dưỡng kiểm tra máy móc đúng thời gian. Kiểm tra máy móc hàng ngày có ghi chép xác nhận  kiểm tra đầy đủ của các cấp</t>
  </si>
  <si>
    <t>Tiến hành sản xuất</t>
  </si>
  <si>
    <t>Phát sinh lỗi NG trong công đoạn</t>
  </si>
  <si>
    <t>Trong quá trình sản xuất có thể phát sinh những lỗi NG tại công đoạn</t>
  </si>
  <si>
    <t>Nghiên cứu rõ nguyên nhân NG, tách lọc riêng những sản phẩm không đúng tiêu chuẩn.Kết hợp với bộ phận phân tích tìm biện pháp cải tiến</t>
  </si>
  <si>
    <t>PCH.04.01.05</t>
  </si>
  <si>
    <t>01.01.2021</t>
  </si>
  <si>
    <t>Không rõ hoặc không đáp ứng đúng yêu cầu từ khách hàng</t>
  </si>
  <si>
    <t>Gây ảnh hưởng tới uy tín công ty, phạt hợp đồng</t>
  </si>
  <si>
    <t>- Xây dựng quy trình phát triển sản phẩm
- Lập kế hoạch, tuân thủ đúng yêu cầu deadline, chất lượng với khách hàng</t>
  </si>
  <si>
    <t>Nhân sự biến động hoặc không đáp ứng yêu cầu công việc</t>
  </si>
  <si>
    <t>Ảnh hưởng đến chất lượng làm việc
Mất nguồn lực đào tạo nhân sự
Tiến độ phê duyệt sản phẩm bị chậm so với kế hoạch</t>
  </si>
  <si>
    <t>- Có kế hoạch nhân sự dài hạn
- Tăng phúc lợi cho người lao động
- Lập kế hoạch đào tạo nâng cao năng lực của nhân viên</t>
  </si>
  <si>
    <t>Khác biệt về ngôn ngữ</t>
  </si>
  <si>
    <t>Khó khăn trong việc truyền đạt thông tin</t>
  </si>
  <si>
    <t>Thiết bị, phần mềm không đủ, không đáp ứng mong đợi</t>
  </si>
  <si>
    <t>Yêu cầu của khách hàng</t>
  </si>
  <si>
    <t>Nhân lực</t>
  </si>
  <si>
    <t>Ngôn ngữ</t>
  </si>
  <si>
    <t>Dịch bệnh</t>
  </si>
  <si>
    <t>ISO.03.02.03 Ngày ban hành 03/01/2022</t>
  </si>
  <si>
    <t>pai:03/00/03</t>
  </si>
  <si>
    <t>cho kiểm tra liệu 100% trước khi sản xuất,nếu phát hiện NG tỷ lệ cao sẽ trả lại công đoạn trước và báo cáo cấp trên</t>
  </si>
  <si>
    <t>cho kiểm tra jig trước khi sơn,cho test thử jig trước sơn xem có bị via gây thiếu sơn và tràn sơn không</t>
  </si>
  <si>
    <t>sau khi sản xuất song cho vệ sinh sạch sẽ,và  bảo dưỡng định kỳ theo kế hoạch</t>
  </si>
  <si>
    <t>hành ngày nhác nhở về an  toàn lao động,thường xuyên kiểm tra trang thiết  bị,bảo dưỡng theo kế hoạch tránh gây mất an toàn</t>
  </si>
  <si>
    <t>PHÂN TÍCH RỦI RO SẢN XUẤT (Phòng. Casting..)</t>
  </si>
  <si>
    <t>R</t>
  </si>
  <si>
    <t>Có nhiều loại nguyên liệu khác nhau như nhôm ADC12,S3Y,ADC3, Magie</t>
  </si>
  <si>
    <t>Phân công mỗi ca 1 người chuyên phụ trách cấp nguyên liệu cho các máy sản xuất, hàng ngày ghi chép vào sổ cấp nguyên liệu.
Đào tạo công nhân viên nhận biết nguyên liệu, qua team, nhãn dán, màu sắc và ký hiệu của nguyên liệu.
 layout,label rõ ràng</t>
  </si>
  <si>
    <t>Lò nung</t>
  </si>
  <si>
    <t>Sai thao tác khi Bổ sung nguyên liệu vào lò nung ( thả liêu, nhiệt độ)</t>
  </si>
  <si>
    <t>Chưa nắm bắt được thao tác bổ sung nguyên liệu, làm việc cẩu thả không tuân thủ quy định.</t>
  </si>
  <si>
    <t>Hướng dẫn thao tác thả liệu, quản lý check sheet nhiệt độ lò nung.</t>
  </si>
  <si>
    <t>Đứt dây nhiệt,hỏng cảm biến, hỏng đồng hồ đo</t>
  </si>
  <si>
    <t>Đồng hồ hiển thị sai,  sai giá trị tiêu chuẩn trong quá trình đúc dẫn đến NG sản phẩm.</t>
  </si>
  <si>
    <t>Kiểm tra, đo đạc check sheet lò nung theo định kỳ, hiệu chuẩn đối với dụng cụ đo.</t>
  </si>
  <si>
    <t>Dung dịch tách khuôn</t>
  </si>
  <si>
    <t>Hỏng máy, không bơm dung dịch tách khuôn.</t>
  </si>
  <si>
    <t>Máy hỏng bơm màng, bám bẩn , bị tắc đường dẫn, kẹt van điện từ. Dẫn tới việc sản phẩm bị dính khuôn</t>
  </si>
  <si>
    <t>Kiểm tra thường xuyên áp lực bơm, lắp đặt đồng hồ đo áp lực. Bảo dưỡng theo định kỳ.</t>
  </si>
  <si>
    <t>Máy không pha đúng tỷ lệ dung dịch</t>
  </si>
  <si>
    <t>Đường ống dẫn dầu bị tắc, van 1 chiều bẩn, điều chỉnh lượng nước và lượng dầu sai.</t>
  </si>
  <si>
    <t>Vệ sinh máy định kỳ 2 lần/1 ngày.
Kiểm tra, check sheet theo dõi nồng độ dung dịch theo tiêu chuẩn.</t>
  </si>
  <si>
    <t>Hỏng hệ thống phun sương ( vòi phun, hệ thống tạo áp lực, phanh giảm tốc, xilanh)</t>
  </si>
  <si>
    <t>Hệ thống phun sương ảnh hưởng đến việc bóc tách sản phẩm ra khỏi khuôn. Hỏng hoặc tắc sẽ ảnh hưởng kết cấu sản phẩm như cong vênh, dính vấu, gãy, nứt…</t>
  </si>
  <si>
    <t>Vệ sinh hệ thống vòi phun theo định kỳ, bảo dưỡng, sửa chữa dự phòng xi lanh và sensor giảm tốc)</t>
  </si>
  <si>
    <t>Hỏng nút bấm, máy ngắt zơ le cảm biến</t>
  </si>
  <si>
    <t>Ảnh hưởng đến việc thay thế khuôn, cẩu nguyên vật liệu, cẩu phế…</t>
  </si>
  <si>
    <t xml:space="preserve">Hướng dẫn vận hành cẩu trục, kiểm tra bảo dưỡng hệ thống cẩu trục định kỳ. </t>
  </si>
  <si>
    <t>Rơi khuôn khi đang vận hành…</t>
  </si>
  <si>
    <t>Do quá trình lắp đặt sai, ốc gá khuôn hỏng, do kẹt trục đẩy làm hỏng , gãy ốc gá khuôn.</t>
  </si>
  <si>
    <t>kiểm tra thiết bị thường xuyên, kiểm tra gá khuôn và thay thế theo định kỳ.</t>
  </si>
  <si>
    <t>Do không kiểm tra trước khi lắp đặt khuôn, việc chuẩn bị công cụ dụng cụ phù hợp trước khi lên khuôn chưa tốt. / gây hậu quả mất thời gian làm lại, không sản xuất đúng tiến độ.</t>
  </si>
  <si>
    <t>Đào tạo công nhân viên làm đúng thao tác, kiểm tra trước khi lên khuôn. Chuẩn bị đầy đủ công cụ dụng cụ trước khi lên khuôn.</t>
  </si>
  <si>
    <t>Vận hành máy đúc</t>
  </si>
  <si>
    <t>Thiếu vật tư dự phòng cho sản xuất ( dầu mỡ, công cụ,dụng cụ, sơn….).</t>
  </si>
  <si>
    <t>Do quản lý vật tư tồn kho chưa chính xác, thời gian đặt hàng về chậm phê duyệt đơn chậm. 1 số vật tư chưa có dự phòng</t>
  </si>
  <si>
    <t>Quản lý công cụ dụng cụ, lập bảng theo dõi vật tư trang thiết bị. Hàng tháng kiểm kê lại vật tư, trang thiết bị trong xưởng. Luôn có tồn kho an toàn</t>
  </si>
  <si>
    <t xml:space="preserve">Hỏng dây dẫn dầu </t>
  </si>
  <si>
    <t>Do bắn nguyên liệu vào đường dây, do va chạm mài mòn, dây dẫn nhanh hỏng do nhiệt độ cao.</t>
  </si>
  <si>
    <t>Cải tiến đường dây dẫn dầu</t>
  </si>
  <si>
    <t>Hỏng thiết bị</t>
  </si>
  <si>
    <t>Hỏng 1 số chi tiết trong máy đúc như bơm, robot gắp sản phẩm, robot múc liệu, van điện từ….</t>
  </si>
  <si>
    <t xml:space="preserve"> Cài đặt sai tiêu chuẩn thao tác dẫn đến sản phẩm NG</t>
  </si>
  <si>
    <t>Mỗi sản phẩm có tiêu chuẩn thao tác riêng, kỹ sư thực hiện cài đặt    không làm theo tiêu chuẩn  công việc đã lập ra.</t>
  </si>
  <si>
    <t xml:space="preserve"> Có Hướng dẫn vận hành máy đúc, treo thao tác trên máy và đào tạo công nhân viên  thực hiện đúng tiêu chuẩn công việc.</t>
  </si>
  <si>
    <t>Máy điều khiển nhiệt độ khuôn</t>
  </si>
  <si>
    <t>Hỏng máy khi đang vận hành</t>
  </si>
  <si>
    <t>Máy bị cháy do move điểm kết nối, rò dầu. Hỏng atomat</t>
  </si>
  <si>
    <t>Kiểm tra bảo dưỡng ,check sheet theo định kỳ.</t>
  </si>
  <si>
    <t>Hết dầu</t>
  </si>
  <si>
    <t>Máy hết dầu không hoạt động</t>
  </si>
  <si>
    <t xml:space="preserve">Kiểm tra maiso và dầu theo định kỳ </t>
  </si>
  <si>
    <t>robot múc nhôm</t>
  </si>
  <si>
    <t>hỏng cảm biến</t>
  </si>
  <si>
    <t>Môi trường nóng nên cảm biến bị hỏng</t>
  </si>
  <si>
    <t xml:space="preserve"> bảo dưỡng thiết bị, mua vật tư dự phòng để  thay thế.</t>
  </si>
  <si>
    <t>kẹt bi đứt dây xích</t>
  </si>
  <si>
    <t>Làm việc môi trường nóng, khô dầu mỡ ở các ổ bi</t>
  </si>
  <si>
    <t>Bơm mỡ theo định kỳ 1 tháng/ 1 lần</t>
  </si>
  <si>
    <t>Bơm dầu tip</t>
  </si>
  <si>
    <t>Hỏng bơm, kẹt bi, tắc đường dẫn dầu</t>
  </si>
  <si>
    <t>Nguyên nhân do dầu bẩn, mạt nhôm vào trong bơm</t>
  </si>
  <si>
    <t>cải tiến đường ống hút, thùng chứa dầu, kiểm tra sửa chữa bảo dưỡng bơm,lò xo,bi…</t>
  </si>
  <si>
    <t>Băng truyền</t>
  </si>
  <si>
    <t>Hỏng băng truyền khi vận hành( kẹt băng truyền, hỏng motor,quạt làm mát, hộp số)</t>
  </si>
  <si>
    <t>vận hành máy chưa tuân thủ kỹ thuật vận hành, do thời gian bảo dưỡng định kỳ quá dài.</t>
  </si>
  <si>
    <t>Kiểm ra hàng ngày, rút ngắn thời gian bảo dưỡng sửa chữa định kỳ từ 3 tháng xuống 1 tháng.</t>
  </si>
  <si>
    <t>sản phẩm</t>
  </si>
  <si>
    <t>Va đập, đâm dập giữa các sản phẩm</t>
  </si>
  <si>
    <t>Do sản phẩm trên truyền bị ùn, thao tác làm va đập sản phẩm vào nhau</t>
  </si>
  <si>
    <t>điều chỉnh tốc độ băng truyền, đào tạo giám sát công nhân viên thao tác làm việc.</t>
  </si>
  <si>
    <t>Nhầm lẫn  mã , công đoạn sản phẩm</t>
  </si>
  <si>
    <t>Do công nhân chưa được đào tạo phân loại, để sản phẩm không đúng quy định</t>
  </si>
  <si>
    <t>layout rõ khu vực để sản phẩm, ghi team rõ ràng, đào tạo công nhân 3D,5s.</t>
  </si>
  <si>
    <t>đổ rơi làm biến dạng sản phẩm</t>
  </si>
  <si>
    <t>Để sai dụng cụ đựng sản phẩm, sắp xếp hàng hóa không chắc chắn, sai quy định  khi vận chuyển hàng hóa .</t>
  </si>
  <si>
    <t>Sử dụng xe ,dụng cụ chuyên dụng , quy định số lượng hàng hóa khi  vận chuyển.</t>
  </si>
  <si>
    <t>NG kính thước, ngoại quan, phát sinh bất thường đối với sản phẩm</t>
  </si>
  <si>
    <t>Đào tạo công nhân viên tuân thủ hướng dẫn công việc.
Dừng máy tìm hiểu nguyên nhân và báo cáo cho quản lý cùng xác nhận. Kiểm tra lại toàn bộ quá trình sản xuất và xác nhận nguyên nhân xảy ra.</t>
  </si>
  <si>
    <t>trimming</t>
  </si>
  <si>
    <t>gãy ,rơi khuôn</t>
  </si>
  <si>
    <t>Lỏng gá khuôn, lỏng ốc định vị</t>
  </si>
  <si>
    <t>kiểm tra hàng ngày vị trí ốc bắt khuôn, check sheet.</t>
  </si>
  <si>
    <t xml:space="preserve">sensor cảm biến hỏng </t>
  </si>
  <si>
    <t>Bụi bám vào mặt kính, hỏng thiết bị điện nguồn sensor</t>
  </si>
  <si>
    <t>kiểm tra  an toàn thiêt bị hàng ngày.</t>
  </si>
  <si>
    <t>thao tác sai dẫn đến hỏng khuôn, hỏng sản phẩm</t>
  </si>
  <si>
    <t>đào tạo hướng dẫn thao tác cho cnv</t>
  </si>
  <si>
    <t>CTT .03.02.07</t>
  </si>
  <si>
    <t>R': Rủi ro.</t>
  </si>
  <si>
    <t xml:space="preserve"> S: Hậu quả nếu xảy ra.</t>
  </si>
  <si>
    <t>Vận hành cẩu trục</t>
  </si>
  <si>
    <t>Do thao tác sai</t>
  </si>
  <si>
    <t>Kế hoạch kiểm tra bảo dưỡng định kỳ. Đảm bảo vật tư dự phòng thay thế an toàn tối thiểu.</t>
  </si>
  <si>
    <t>các kỹ thuật viên thực hiện kiểm tra bảo dưỡng sửa chữa máy định kỳ, khắc phục máy hỏng đột suất và lưu lại hồ sơ kiểm tra sửa chữa bảo dưỡng.</t>
  </si>
  <si>
    <t xml:space="preserve">
- Nhân lực biến động mạnh, không gắn bó làm việc lâu dài với công ty. Đặc biệt thời điểm sau các ngày nghỉ lễ lớn như Tết cổ truyền của Việt Nam. Strong changeable human resources, not work for a long time with company especially after traditional Tet holiday of Vietnam
</t>
  </si>
  <si>
    <t xml:space="preserve">Có kế hoạch nhân sự dài hạn hơn
- Tăng cường chế độ lương, thưởng,  phúc lợi cho người lao động, tăng tiền thưởng cuối năm và thâm niên gắn bó làm việc lâu dài tại công ty.
- Ký hợp đồng với công ty cung ứng nhân lực để giải quyết nguồn nhân lực thiếu tạm thời khi chưa kịp tuyển vào chính thức trong thời gian ngắn.
Set-up the long term human resources
Push up the regime of salary, allowance and others welfare for the employees especially add some more bonus at the end of year based on their seniority working time.
Signing contract with human resource company to supply laborer in short time while company haven’t recruited enough manpowers
</t>
  </si>
  <si>
    <t xml:space="preserve">Đào tạo đội ngũ kế cận để không bị động khi có người nghỉ việc.
Training the new staff for compensate person who stop working.
- Khảo sát và xây dựng các chế độ lương thưởng phù hợp, đảm bảo mức sống  của người lao động.
Make survey &amp; set-up the C&amp;B in suitable to ensure for the employees’ living level.
</t>
  </si>
  <si>
    <t xml:space="preserve">Có sự khác biệt về ngôn ngữ và văn hóa
Difference of language &amp; culture
</t>
  </si>
  <si>
    <t xml:space="preserve">Dịch bệnh, thiên tai
Natural disaster, epidemic disease
</t>
  </si>
  <si>
    <t>ĐÁNH GIÁ KIỂM SOÁT RỦI RO VÀ CƠ HỘI PHÒNG NHÂN SỰ</t>
  </si>
  <si>
    <r>
      <t xml:space="preserve">Tắc đường ống dẫn nước,dầu, gãy  hỏng đường ống dẫn, sai kích thước </t>
    </r>
    <r>
      <rPr>
        <sz val="12"/>
        <color indexed="8"/>
        <rFont val="Times New Roman"/>
        <family val="1"/>
      </rPr>
      <t>ø bạc liệu.</t>
    </r>
  </si>
  <si>
    <t xml:space="preserve">Đào tạo công nhân viên làm đúng quy trình vận hành, lập kế hoạch và bảo dưỡng thiết bị định kỳ. </t>
  </si>
  <si>
    <t>ĐÁNH GÍA RỦI RO PHÒNG SƠN</t>
  </si>
  <si>
    <t>ISO.04.01.03 Ngày ban hành 03/01/2020</t>
  </si>
  <si>
    <t>Số sửa đổi</t>
  </si>
  <si>
    <t>Người lập</t>
  </si>
  <si>
    <t xml:space="preserve">Nội dung </t>
  </si>
  <si>
    <t>Lập mới</t>
  </si>
  <si>
    <t>Mr Viết</t>
  </si>
  <si>
    <t>Nhầm lẫn nguyên liệu</t>
  </si>
  <si>
    <t>Các rủi ro có thể</t>
  </si>
  <si>
    <t>Quá trình trao đổi thông tin với khách hàng
The process of exchanging information with customers</t>
  </si>
  <si>
    <t>Hàng hóa NG tỷ lệ cao ảnh hưởng đến tình trạng xuất hàng
High ratio of NG goods affects the shipment status</t>
  </si>
  <si>
    <t>Lẫn linh kiện trong quá trình giao hàng đến khách hàng
Mixed components during delivery to customers</t>
  </si>
  <si>
    <t>Hàng NG để lọt đến khách hàng
NG goods to reach customers</t>
  </si>
  <si>
    <t>Yêu cầu các bộ phận có kế hoạch cái tiến và đối sách gửi đến khách hàng
Request the department to have a plan for improvement and countermeasure to send to customers</t>
  </si>
  <si>
    <t>Kiểm soát tồn kho hằng ngày
Daily inventory control</t>
  </si>
  <si>
    <t>Báo cáo tồn kho sai dẫn đến lập kế hoạch xuất hàng không đáp ứng 
Wrong inventory reports lead to unresponsive shipping planning</t>
  </si>
  <si>
    <t>Qúa trình nhập hệ thống ERP
The process of importing the ERP system</t>
  </si>
  <si>
    <t>Đặt sai Code, tên hàng, mã hàng dẫn đến tình trạng xuất hệ thống sai
Wrong code, product name, item code is placed, resulting in the wrong system output</t>
  </si>
  <si>
    <t>Yêu cầu các bộ phận kiểm soát hàng hóa tại công đoạn 
Thông tin với bên khách hàng để delay kế hoạch giao hàng trong thời gian nhất định
Request the goods control department at the stage
Communicate with customers to delay the delivery plan in a certain time (Báo cáo tình hình bán hàng/Sales Daily report)</t>
  </si>
  <si>
    <t>Yêu cầu các bộ phận sản xuất có laybel rõ ràng cho những lo hàng sau, tránh tình trạng lẫn linh kiện đến khách hàng
Request production units to have a clear laybel for the following cargo, to avoid mixing parts with customers
 (Báo cáo tình hình bán hàng/Sales Daily report)</t>
  </si>
  <si>
    <t>Trước khi làm hệ thống cần kiểm tra lại code, tên hàng, mã hàng và giá thánh của sản phẩm
Cần kiểm tra lại hệ thống sau khi nhập
Before implementing the system, it is necessary to check the product's code, product name, item code and cross
Need to check the system again after importing
 (Báo cáo tình hình bán hàng/Sales Daily report)</t>
  </si>
  <si>
    <t>Tiến hành kiểm tra và check thực tế hàng tồn kho tại kho và công đoạn để lập kế hoạch xuất hàng
Conduct physical inspection and check of inventory at the warehouse and stage to plan the shipment 
(Báo cáo tình hình bán hàng/Sales Daily report)</t>
  </si>
  <si>
    <t>Ms Phương</t>
  </si>
  <si>
    <t xml:space="preserve">Lần sửa đổi </t>
  </si>
  <si>
    <t xml:space="preserve">MÔ TẢ RỦI RO PHÒNG KINH DOANH </t>
  </si>
  <si>
    <t>Đánh giá
sau khi thực hiện biện pháp</t>
  </si>
  <si>
    <t>Đánh giá sau khi thực hiện biện pháp</t>
  </si>
  <si>
    <t>Vấn đề</t>
  </si>
  <si>
    <t>Sau thời gian nghỉ Tết thường nguồn nhân lực thiếu hụt vì mọi người kết thúc một năm làm việc, đã được hưởng đầy đủ mọi chế độ quyền lợi ở công ty cũ. Họ thường muốn chuyển đổi, tìm kiếm sang công ty khác gần nhà, lương thưởng, chế độ đãi ngộ tốt hơn, công việc thích hợp. Hậu quả của việc này là làm ảnh hưởng rất lớn đến tình hình sản xuất kinh doanh cũng như chất lượng tay  nghề người lao động và chất lượng sản phẩm hàng hóa</t>
  </si>
  <si>
    <t>Nguồn nhân lực có tay nghề, kỹ thuật thường có nhiều cơ hội việc làm tại các công ty cùng lĩnh vực ngành nghề, xảy ra tình trạng cạnh tranh khốc liệt vì vấn đề chế độ đãi ngộ, lương thưởng, môi trường, cơ hội thăng tiến</t>
  </si>
  <si>
    <t xml:space="preserve">Khó khăn trong giao tiếp và truyền đạt thông tin, thường NLĐ phải thông qua phiên dịch để hiểu và thực hiện được các yêu cầu của Ban giám đốc.
Người lao động Việt Nam nói chung chưa được đào tạo và có nền tảng giao tiếp tốt  </t>
  </si>
  <si>
    <t>Do môi trường sống, sinh hoạt ô nhiễm, nguồn nước thải, khí thải…dẫn đến biến đổi khí hậu, thời tiết khắc nghiệt sẽ nảy sinh ra vấn đề dịch bệnh, thiên tai…không mong muốn. Do vậy, khi dịch bệnh, thiên tai, các trường hợp bất khả kháng xảy ra thì sẽ có thiệt hại rất lớn. Nguồn nhân lực không đủ để đáp ứng sản xuất kinh doanh đặc biệt các công ty phải sử dụng lực lượng lao động lớn thay vì máy máy. 
Vì dụ trong đại dịch Covid toàn cầu xảy ra đã làm ảnh hưởng đến tất cả các yếu tố trong chuỗi sản xuất, cung ứng từ con người, máy máy, nguyên vật liệu...</t>
  </si>
  <si>
    <t>Ms Hằng</t>
  </si>
  <si>
    <t>Bổ sung thêm hạng  mục bệnh dịch ,thiên tai</t>
  </si>
  <si>
    <t>Mã số văn bản</t>
  </si>
  <si>
    <t>NHẬN BIẾT MỐI NGUY - PHÂN TÍCH RỦI RO MÔI TRƯỜNG, 
AN TOÀN LAO ĐỘNG VÀ SỨC KHỎE NGHỀ NGHIỆP - PHÒNG KHUÔN</t>
  </si>
  <si>
    <t>Mã số</t>
  </si>
  <si>
    <t>ISO.04.00.19</t>
  </si>
  <si>
    <t>01.09.2019</t>
  </si>
  <si>
    <t>Các biện pháp 
phòng ngừa/ khắc phục</t>
  </si>
  <si>
    <t>Quy trình bảo dưỡng và quy trình sửa chữa khuôn (chung)</t>
  </si>
  <si>
    <t>Khuôn nóng gây bỏng</t>
  </si>
  <si>
    <t>Do mới dừng sản xuất, nhiệt độ cao gây bỏng khi tiếp xúc</t>
  </si>
  <si>
    <t>(1)Dùng xích cẩu để hạ khuôn
Mở khuôn bằng xà beng
(2)Sử dụng 2 lớp găng tay sợi loại dày
 khi thao tác</t>
  </si>
  <si>
    <t>Khuôn rơi vào chân</t>
  </si>
  <si>
    <t>Trọng lượng khuôn nặng rơi vào chân, tay gây thương tích</t>
  </si>
  <si>
    <t xml:space="preserve">(1)Dùng xích cẩu loại 2 dây và nam chân điện tử khi nâng/hạ khuôn
(2)Công-nhân viên thao tác bắt buộc sử dụng giày mũi sắt và sử dụng găng tay dày 2 lớp khi làm việc </t>
  </si>
  <si>
    <t>Đóng khuôn vào tay gây tai nạn lao động</t>
  </si>
  <si>
    <t>Chày đồng sử dụng đóng khuôn nặng cộng với sức đóng khuôn mạnh, bệ mặt khuôn trơn do dầu chống gỉ gây trượt khi đóng gây tai nạn lao động</t>
  </si>
  <si>
    <t>(1) Xây dựng hướng dẫn thao tác bảo dưỡng , sửa chữa khuôn tại khu vực làm việc, đóng khuôn bằng 1 tay, lau bề mặt khi đóng khuôn
(2) Sử dụng 2 lớp găng tay sợi dày</t>
  </si>
  <si>
    <t>Quy trình bảo dưỡng khuôn</t>
  </si>
  <si>
    <t>Phun cát gây bụi, rơi vào mắt
Áp lực phun cao gây xước, rát  hoặc đứt tay</t>
  </si>
  <si>
    <t>Cát gây bụi hoặc rơi vào mắt, áp lực máy phun cát cao</t>
  </si>
  <si>
    <t xml:space="preserve">(1)Thực hiện thao tác ở tủ phun dạng kín
(2) Sử dụng kính, khẩu trang, găng tay chuyên dụng cho máy phun cát
</t>
  </si>
  <si>
    <t>Sử dụng dầu ngâm khuôn gây
 ảnh hưởng đến da, mắt khi tiếp xúc</t>
  </si>
  <si>
    <t>Dầu ngâm khuôn thuộc hóa chất gây bỏng rát nếu tiếp xúc trực tiếp với bề mặt da</t>
  </si>
  <si>
    <t>(1)Thực hiện thao tác ở bể ngâm dầu chuyên dùng thiết kế chống tràn, đổ
(2) Sử dụng khẩu trang, găng tay cao su khi thực hiện thao tác</t>
  </si>
  <si>
    <t>Quy trình sửa chữa khuôn</t>
  </si>
  <si>
    <t>Máy mài gây bụi kim loại</t>
  </si>
  <si>
    <t>Bụi kim loại phát sinh trong thao tác máy</t>
  </si>
  <si>
    <t>(1) Sử dụng nam châm ở bàn 
thao tác
(2) Bắt buộc sử dụng kính, khẩu trang</t>
  </si>
  <si>
    <t>Quy trình sửa khuôn</t>
  </si>
  <si>
    <t xml:space="preserve">Trục máy phay quay vào tay gây tai nạn lao động </t>
  </si>
  <si>
    <t>Trục máy phay quay cuốn tay vào theo hướng chuyển động gây tai nạn lao động</t>
  </si>
  <si>
    <t>(1) Đào tạo, xây dựng quy trình hướng dẫn vận hành an toàn tại máy
(2) Treo cảnh báo không sử dụng găng tay sợi để thao tác máy, không dùng tay để giữ sản phẩm khi phay</t>
  </si>
  <si>
    <t>Máy xung điện gây cháy nổ</t>
  </si>
  <si>
    <t>Tia lửa điện trong quá trình thao tác có thể gây cháy nổ</t>
  </si>
  <si>
    <t>(1) Thiết kế máng đựng dầu chống cháy xung quanh vị trí thao tác
(2) Sử dụng vòi tưới nguội ở vị trí thao tác
(3) Treo cảnh báo cấm lửa ở khu vực máy xung</t>
  </si>
  <si>
    <t>Tia hàn, khí hàn ở máy hàn gây ảnh hưởng đến mặt và da tiếp xúc</t>
  </si>
  <si>
    <t>Tia hàn bắn ra khi thao tác gây tổn thương mắt, khí (hơi) hàn gây nóng rát vùng da hở</t>
  </si>
  <si>
    <t>(1) Bắt buộc sử dụng mũ hàn khi thao tác
(2) Dùng vách ngăn khu vực máy hàn với các khu vực còn lại
(3) Sử dụng vòi tưới nguội ở vị trí thao tác</t>
  </si>
  <si>
    <t>Tiếng ồn và bụi kim loại trong quá trình làm việc gây ảnh hưởng mắt và tai</t>
  </si>
  <si>
    <t>Tiếng ồn gây ra bởi động cơ các loại máy và bụi khí phát sinh trong quá trình làm việc gây ảnh hưởng mắt và tai</t>
  </si>
  <si>
    <t>(1) Bắt buộc sử dụng nút tai chống ồn
(2) Sử dụng kính bảo hộ
(3) Đeo khẩu trang trong quá trình làm việc</t>
  </si>
  <si>
    <t>Đào tạo công nhân viên quy trình vận hành cẩu trục.
Công nhân mang bảo hộ lao động đầy đủ</t>
  </si>
  <si>
    <t>Va vào người khác khi di chuyển, ( công nhân viên đâm vào).</t>
  </si>
  <si>
    <t>Rủi ro máy tính và  thiết bị hỏng hóc</t>
  </si>
  <si>
    <t>Khó khăn trong nghiên cứu, thiết kế khuôn, jig, đo đạc sản phẩm</t>
  </si>
  <si>
    <t>- Lập kế hoạch bảo trì bảo dưỡng thiết bị, máy móc của phòng
- Mua bản quyền phần mềm, cập nhật những phiên bản mới nhất</t>
  </si>
  <si>
    <t xml:space="preserve">
NHẬN DIỆN MỐI NGUY VÀ PHÂN TÍCH RỦI RO 
PHÒNG R&amp;D VÀ KHỐI VĂN PHÒNG</t>
  </si>
  <si>
    <t>Kiểm soát thiếu Nguyên vật liệu 
Raw material shortage control</t>
  </si>
  <si>
    <t>Nhà Cung cấp giao chậm NVL làm ảnh hưởng tới KHSX .
Supplier slow delivery of raw materials affects production.</t>
  </si>
  <si>
    <t>Do xảy ra vấn đề từ bên nhà cung cấp NVL nên không giao kịp tiến độ sản xuất 
Due to a problem from the NVL supplier, the production schedule could not be delivered on time</t>
  </si>
  <si>
    <t xml:space="preserve">Yêu cầu Bên Mua hàng làm việc với bên nhà cung cấp NVL phải thực hiện đúng lịch trình giao hàng , không làm ảnh hưởng tới KHSX
Require the Purchaser to work with the raw material supplier to comply with the delivery schedule, without affecting the customer's production. </t>
  </si>
  <si>
    <t>Cơ sở hạ tầng</t>
  </si>
  <si>
    <t>- Thường xuyên kiểm tra tình trạng cơ sở hạ tầng như: Cột, tường, nền, mái….
- Khắc phục bất thường tức thì khi có vấn đề</t>
  </si>
  <si>
    <t>.- Tuyển dụng nhân lực staff up có thể giao tiếp bằng ngôn ngữ tiếng anh
- Mỗi bộ phận có 1 phiên dịch viên tiếng Hàn
- Dạy tiếng Việt cho quản lý người Hàn Quốc</t>
  </si>
  <si>
    <t>Kế hoạch đào tạo cnv bảo dưỡng. Kế hoạch kiểm tra bảo dưỡng định kỳ. Đảm bảo vật tư dự phòng thay thế an toàn tối thiểu.</t>
  </si>
  <si>
    <t>Mr Đức</t>
  </si>
  <si>
    <t>Nội dung</t>
  </si>
  <si>
    <t>Làm mới</t>
  </si>
  <si>
    <t>Bổ sung thêm nội dung</t>
  </si>
  <si>
    <t>PHÂN TÍCH RỦI RO - PHÒNG CÔNG NGHỆ THÔNG TIN
RISK ANALYSIS - IT DEPARTMENT</t>
  </si>
  <si>
    <t>An ninh mạng, máy tính-Hack và virus, trojan, worm, mã độc./ IT Security-Hacking and virus, trojan horse, worm, ransomware</t>
  </si>
  <si>
    <t>Mất dữ liệu. / Lost data</t>
  </si>
  <si>
    <t>Máy tính, hệ thống mạng nhiễm virus, bị hacker tấn công / Computer, network system effect virus, trojan, hacking</t>
  </si>
  <si>
    <r>
      <rPr>
        <b/>
        <sz val="14"/>
        <rFont val="Times New Roman"/>
        <family val="1"/>
      </rPr>
      <t>Phòng ngừa:</t>
    </r>
    <r>
      <rPr>
        <sz val="14"/>
        <rFont val="Times New Roman"/>
        <family val="1"/>
      </rPr>
      <t xml:space="preserve">
</t>
    </r>
    <r>
      <rPr>
        <b/>
        <sz val="14"/>
        <rFont val="Times New Roman"/>
        <family val="1"/>
      </rPr>
      <t>Bộ phận IT:</t>
    </r>
    <r>
      <rPr>
        <sz val="14"/>
        <rFont val="Times New Roman"/>
        <family val="1"/>
      </rPr>
      <t xml:space="preserve"> quản lý phần cứng, phần mềm, hệ thống máy chủ, xây dụng hệ thống an ninh mạng như: tường lửa, phân quyền, antivirus. Luôn luôn sao lưu dữ liệu thường xuyên
</t>
    </r>
    <r>
      <rPr>
        <b/>
        <sz val="14"/>
        <rFont val="Times New Roman"/>
        <family val="1"/>
      </rPr>
      <t>Nhân viên:</t>
    </r>
    <r>
      <rPr>
        <sz val="14"/>
        <rFont val="Times New Roman"/>
        <family val="1"/>
      </rPr>
      <t xml:space="preserve"> tuân thủ theo quy định Policy trong công ty..
</t>
    </r>
    <r>
      <rPr>
        <b/>
        <sz val="14"/>
        <rFont val="Times New Roman"/>
        <family val="1"/>
      </rPr>
      <t>Preventive:</t>
    </r>
    <r>
      <rPr>
        <sz val="14"/>
        <rFont val="Times New Roman"/>
        <family val="1"/>
      </rPr>
      <t xml:space="preserve">
</t>
    </r>
    <r>
      <rPr>
        <b/>
        <sz val="14"/>
        <rFont val="Times New Roman"/>
        <family val="1"/>
      </rPr>
      <t>IT Dept:</t>
    </r>
    <r>
      <rPr>
        <sz val="14"/>
        <rFont val="Times New Roman"/>
        <family val="1"/>
      </rPr>
      <t xml:space="preserve"> always check Hardware, Software, Server, System. Building system security like: Firewall, Access Permission, AntiVirus, Update software.
Always backup importal data: File Share, ERP
</t>
    </r>
    <r>
      <rPr>
        <b/>
        <sz val="14"/>
        <rFont val="Times New Roman"/>
        <family val="1"/>
      </rPr>
      <t>User:</t>
    </r>
    <r>
      <rPr>
        <sz val="14"/>
        <rFont val="Times New Roman"/>
        <family val="1"/>
      </rPr>
      <t xml:space="preserve"> follow by rule, policy of IT department.
</t>
    </r>
    <r>
      <rPr>
        <b/>
        <sz val="14"/>
        <rFont val="Times New Roman"/>
        <family val="1"/>
      </rPr>
      <t xml:space="preserve">Khắc phục:
IT Dept: </t>
    </r>
    <r>
      <rPr>
        <sz val="14"/>
        <rFont val="Times New Roman"/>
        <family val="1"/>
      </rPr>
      <t>always</t>
    </r>
    <r>
      <rPr>
        <b/>
        <sz val="14"/>
        <rFont val="Times New Roman"/>
        <family val="1"/>
      </rPr>
      <t xml:space="preserve"> </t>
    </r>
    <r>
      <rPr>
        <sz val="14"/>
        <rFont val="Times New Roman"/>
        <family val="1"/>
      </rPr>
      <t>check log data, quarantine Device effect virus, hacking. Check status and fix it. Restore data</t>
    </r>
    <r>
      <rPr>
        <b/>
        <sz val="14"/>
        <rFont val="Times New Roman"/>
        <family val="1"/>
      </rPr>
      <t xml:space="preserve">
</t>
    </r>
  </si>
  <si>
    <t>Sao lưu và phục hồi dữ liệu. / Backup and Restore data</t>
  </si>
  <si>
    <t>Mất hoặc lỗi dữ liệu / Lost or corrupt data</t>
  </si>
  <si>
    <t>Do nhiễm virus hoặc lỗi ổ cứng/Effect virus, broken hard drive, corupt data</t>
  </si>
  <si>
    <t>Sao lưu dữ liệu thường xuyên qua ổ cứng gắn ngoài / Daily backup to HDD Portable drive</t>
  </si>
  <si>
    <t>Rủi ro thiết bị hỏng/ risk broken device</t>
  </si>
  <si>
    <t>Hỏng thiết bị  do chập cháy.. /Broken hard drive, corupt data</t>
  </si>
  <si>
    <t xml:space="preserve">Phần cứng: 1 có thiết bị dự phòng (trong công ty hoặc nhà cung cấp) / hardware : have 1 backup device
phần mềm: có sao lưu cấu hình/ Software : Back up data, configuration 
Dữ liệu: có sao lưu hàng ngày   / Backup data                   </t>
  </si>
  <si>
    <t>F: Khả năng xảy ra.</t>
  </si>
  <si>
    <t>Rủi ro được đo bằng công thức: R = F x S, trong đó:</t>
  </si>
  <si>
    <t xml:space="preserve"> F: Khả năng xảy ra.</t>
  </si>
  <si>
    <t>Lựa chọn nhà cung cấp mới
(Select new suppliers)</t>
  </si>
  <si>
    <t>- Đối với NCC mới: Tiến hành thực hiện các hợp đồng nhỏ nhằm khảo sát chất lượng, dịch vụ trước khi đưa vào phê duyệt sử dụng
(New Vendor: Conduct small contracts to survey quality and services before putting them into Vendor Approval List)
- Trong trường hợp NCC đang sử dụng năng lực đáp ứng không còn phù hợp, tiến hành phân tích đến nhóm nhà cung cấp dự phòng, thay thế (cập nhật theo danh sách NCC)
(In case the NCC that is using the response capacity is no longer suitable, conduct the analysis to the backup/replace vendor)(Update as vendor list)</t>
  </si>
  <si>
    <t>Kế hoạch mua hàng bị thay đổi đột xuất
(Forcast to order change Immidiatedly)</t>
  </si>
  <si>
    <t>Giá mua hàng tăng đột biến 
(Price change unplaned)</t>
  </si>
  <si>
    <t>Giao hàng bị chậm trễ
(Delivery)</t>
  </si>
  <si>
    <t>Thiếu hàng trong quá trình sản xuất
(There are no goods to produce)</t>
  </si>
  <si>
    <t>Luôn có nhà cung cấp dự phòng, mỗi mặt hàng tìm 2 nhà cung cấp trở lên (cập nhật theo danh sách NCC)
(There is always a backup vendor, always looking at least 2 vendor with each of category of goods ) (Update as vendor list)</t>
  </si>
  <si>
    <t>Không có hoặc thiếu hàng để sản xuất do đứt gãy chuỗi cung ứng
(There are no goods to produce)</t>
  </si>
  <si>
    <t>Luôn có nhà cung cấp dự phòng, mỗi mặt hàng tìm 2 nhà cung cấp trở lên (cả trong nước và nước ngoài) (cập nhật theo danh sách NCC)
(There is always a backup vendor, always looking at least 2 vendor with each of category of goods, apply for all domestics and oversea vendor ) (Update as vendor list)</t>
  </si>
  <si>
    <t>R: Rủi ro.</t>
  </si>
  <si>
    <t xml:space="preserve">sửa đổi </t>
  </si>
  <si>
    <t>PP.04.01.05</t>
  </si>
  <si>
    <t>Sửa đổi</t>
  </si>
  <si>
    <t>0</t>
  </si>
  <si>
    <t>WH.04.01.09</t>
  </si>
  <si>
    <t>Mr Duy</t>
  </si>
  <si>
    <t>Ms Thủy</t>
  </si>
  <si>
    <t xml:space="preserve">Ban hành </t>
  </si>
  <si>
    <t>Mr Thanh</t>
  </si>
  <si>
    <t>PAI.03.00.09</t>
  </si>
  <si>
    <t>ISO.04.01.03</t>
  </si>
  <si>
    <t>03.01.2020</t>
  </si>
  <si>
    <t>Mrs Hậu</t>
  </si>
  <si>
    <t>TRI.04.01.03 Ngày ban hành 03/01/2020</t>
  </si>
  <si>
    <t>Mr Mạnh</t>
  </si>
  <si>
    <t>TRI.04.01.03</t>
  </si>
  <si>
    <t>Mr Đạt</t>
  </si>
  <si>
    <t>Mr Hoàn</t>
  </si>
  <si>
    <t>EHS.04.01.03</t>
  </si>
  <si>
    <t>S: Hậu quả nếu xảy ra.</t>
  </si>
  <si>
    <t>03.01.2022</t>
  </si>
  <si>
    <t>Mr Long</t>
  </si>
  <si>
    <t>IT.05.05.2022</t>
  </si>
  <si>
    <t>Mr Hùng</t>
  </si>
  <si>
    <t xml:space="preserve">Nhân lực ( People) </t>
  </si>
  <si>
    <t>Thiếu nhân lực dẫn đến ảnh hưởng tới sản xuất.
Lack of manpower affects production.</t>
  </si>
  <si>
    <t>Người lao động nghỉ việc , nghỉ ốm , nghỉ tự do ...
Employees take leave, sick leave, free leave.....</t>
  </si>
  <si>
    <t>Sắp xếp lại kế hoạch ưu tiên những mã hàng có kế hoạch xuất hàng gần nhất thông báo bộ phận sản xuất để sắp nhân lực . 
Yêu cầu bộ phận Nhân sự tuyển bù số lượng người nghỉ việc nhanh chóng . 
Rearrange the plan to prioritize the products with the nearest shipment plan to notify the production department to arrange human resources.
Request the Human Resources department to quickly compensate for the number of people leaving jobs.</t>
  </si>
  <si>
    <t>Đánh giá rủi ro
sau khi thực hiện biện pháp phòng ngừa 
Risk assessment
after taking precautions</t>
  </si>
  <si>
    <t>Duy trì đào tạo người mới trước khi vào làm việc
Hằng năm xây dựng chương trình đào tạo và tiến hành đào tạo nâng cao năng lực
Tiến hành đào tạo ngay khi có model mới và lỗi phát sinh</t>
  </si>
  <si>
    <t>Ms Thư</t>
  </si>
  <si>
    <t>Máy hỏng, không test/không đo được</t>
  </si>
  <si>
    <t>1</t>
  </si>
  <si>
    <t>Mrs Hà</t>
  </si>
  <si>
    <t>25.05.2022</t>
  </si>
  <si>
    <t>Bổ sung thêm quản lý dự phòng vật tư thay thế khi máy hỏng/bảo dưỡng</t>
  </si>
  <si>
    <t>Bị cạnh tranh về nguồn nhân lực kỹ thuật và lực lượng lao động cấp cao với các Doanh nghiệp khác trong khu vực
Be compatitive technical manpower and high skillful laborers with other companies surrounding nearhere</t>
  </si>
  <si>
    <t xml:space="preserve">Tuyển dụng nhân lực có trình độ  có thể giao tiếp bằng ngôn ngữ tiếng anh, tiếng Hàn, tiếng Trung
Employ human resources that can speak English, Korean, Chinese
- Mỗi bộ phận có 1 phiên dịch viên tiếng Hàn
Each dept has 01 Korean translator
- Dạy tiếng Việt cho quản lý người Hàn Quốc
Teaching Vietnamese language for the Korean experts
</t>
  </si>
  <si>
    <t>Thêm  nội dung máy hỏng không đo được</t>
  </si>
  <si>
    <t>MOL.03.00.09</t>
  </si>
  <si>
    <t xml:space="preserve">Phát triển thêm các nhà cung cấp nhân sự để giảm sự ảnh hưởng, khắc phục tình trạng khi có bệnh dịch, thiên tai xảy ra đột xuất, bất ngờ, hạn chế tối đa ảnh hưởng đến tình hình sản xuất
Find some more supplier of HR to decrease the bad influence
</t>
  </si>
  <si>
    <t>NHẬN DIỆN MỐI NGUY VÀ PHÂN TÍCH RỦI RO
 PHÒNG EHS</t>
  </si>
  <si>
    <t>Quá trình đào tạo cũng như kết quả chưa đạt yêu cầu so với đặc thù nghề nghiệp, chuyên môn hoặc bố trí công việc chưa đúng chuyên môn</t>
  </si>
  <si>
    <t>Đào tạo thêm về chuyên môn, kiến thức cũng như kỹ năng nghề nghiệp</t>
  </si>
  <si>
    <t>- Làm việc và nghỉ ngơi đúng thời gian, đúng quy định theo luật.
- Thường xuyên tổ chức các buổi nâng cao kỹ năng nghề nghiệp trong nội bộ</t>
  </si>
  <si>
    <t>Máy đang sử dụng vượt quá thời hạn cho phép của nhà sản xuất cũng như tiêu chuẩn sử dụng</t>
  </si>
  <si>
    <t>Kiểm định lại thiết bị và chỉ sử dụng máy vẫn trong thời hạn sử dụng. Nếu máy móc bị hỏng hóc cần sửa chữa lại. Sau khi sửa chữa cần đánh giá lại xem máy móc có đảm bảo an toàn không trước khi sử dụng lại.</t>
  </si>
  <si>
    <t>Không kiểm tra và bảo dưỡng máy móc thường xuyên dẫn đến sự cố mất an toàn</t>
  </si>
  <si>
    <t>- Định kỳ kiểm tra máy móc hàng ngày, hàng tháng, hàng năm.
- Lên kế hoạch bảo trì, bảo dưỡng máy móc, thiết bị để giảm thiểu rủi ro gây mất an toàn trong quá trình sử dụng.</t>
  </si>
  <si>
    <t>Làm việc trên cao</t>
  </si>
  <si>
    <t>Rơi, ngã từ trên cao trong quá trình làm việc</t>
  </si>
  <si>
    <t>- Không tuân thủ tiêu chuẩn an toàn khi làm việc trên cao.
- Không trang bị đầy đủ đồ bảo hộ lao động khi làm việc
- Không kiểm tra thiết bị và đánh giá rủi ro trước khi tiến hành công việc</t>
  </si>
  <si>
    <t>- Tuân thủ tiêu chuẩn an toàn khi làm việc trên cao.
- Trang bị đầy đủ đồ BHLĐ khi làm việc trên cao.
- Kiểm tra thiết bị và đánh giá rủi ro trước khi tiến hành công việc.</t>
  </si>
  <si>
    <t>Quản lý chất thải nguy hại</t>
  </si>
  <si>
    <t>Phơi nhiễm độc chất, vi sinh vật gây bệnh</t>
  </si>
  <si>
    <t>- Không tuân thủ quy định sử dụng đồ bảo hộ lao động khi tiếp xúc với chất thải nguy hại.
- Không chú ý các biển cảnh báo, biển chi dẫn tại khu vực lưu trữ chất thải nguy hại.</t>
  </si>
  <si>
    <t>- Tuân thủ quy định BHLĐ khi tiếp xúc với chất thải nguy hại
- Chú ý các biển cảnh báo, biển chỉ dẫn
- Đào tạo kiến thức an toàn hóa chất và ứng phó sự cố hóa chất định kỳ.</t>
  </si>
  <si>
    <t>Hóa chất</t>
  </si>
  <si>
    <t>Mất an toàn khi tiếp xúc với hóa chất</t>
  </si>
  <si>
    <t>- Không trang bị đầy đủ đồ BHLĐ khi tiếp xúc với hóa chất.
- Không chú ý và tuân thủ các quy định đối với mỗi loại hóa chất đã được bố trí MSDS và hình đồ cảnh báo GHS.</t>
  </si>
  <si>
    <t>- Tuân thủ quy định BHLĐ khi tiếp xúc với chất thải nguy hại
- Chú ý các biển cảnh báo, biển chỉ dẫn
- Trang bị đầy đủ thiết bị ứng phó sự cố hóa chất
- Bố trí thiết bị tắm, rửa mắt khẩn cấp
- Đào tạo kiến thức an toàn hóa chất và ứng phó sự cố hóa chất định kỳ.</t>
  </si>
  <si>
    <t>Hàn, cắt</t>
  </si>
  <si>
    <t>- Chảy nổ
- Văng, bắn vật cắt
- Điện giật
- Cắt vào tay</t>
  </si>
  <si>
    <t>- Không nắm được quy trình vận hành thiết bị an toàn.
- Không trang bị đầy đủ đồ bảo hộ lao động khi làm việc.
- Không trang bị phương tiện chữa cháy tại chỗ khi làm việc
- Thiết bị thiếu cover, không đảm bảo an toàn</t>
  </si>
  <si>
    <t>- Kiểm tra máy móc, thiết bị có đảm bảo an toàn không trước khi vận hành
- Trang bị đầy đủ đồ BHLĐ khi làm việc
- Trang bị đầy đủ phương tiện chữa cháy tại chỗ khi làm việc.</t>
  </si>
  <si>
    <t>Chữa cháy</t>
  </si>
  <si>
    <t>- Bỏng, ngạt khói
- Tai nạn trong quá trình chữa cháy</t>
  </si>
  <si>
    <t>- Không trang bị đầy đủ đồ bảo hộ khi tham gia chữa cháy.
- Thiếu kiến thức về an toàn khi tham gia chữa cháy và cứu hộ cứu nạn.</t>
  </si>
  <si>
    <t>- Trang bị đẩy đủ đồ BHLĐ khi tham gia chữa cháy
- Kiểm tra vật liệu cháy và sử dụng các phương tiện chữa cháy phù hợp.
- Thường xuyên tổ chức các buổi đào tạo, diễn tập PCCC &amp; CNCH nội bộ và tham gia phối hợp với Công an PCCC &amp; CNCH.
- Trang bị đầy đủ các phương tiện chữa cháy, phương tiện ứng phó sự cố khẩn cấp tại các khu vực rủi ro cháy nổ cao</t>
  </si>
  <si>
    <t>Kết cấu kỹ thuật xuống cấp</t>
  </si>
  <si>
    <t>Kết cấu kỹ thuật của cơ sở hạ tầng nhà máy bị xuống cấp nhưng chưa được bảo trì, bảo dưỡng kịp thời.</t>
  </si>
  <si>
    <t>Tiếp xúc với nhiều người trong quá trình làm việc</t>
  </si>
  <si>
    <t>- Không tuân thủ các quy định phòng chống dịch</t>
  </si>
  <si>
    <t>- Tuân thủ các quy định phòng chống dịch (Sát khuẩn, đeo khẩu trang,…)
- Thường xuyên cập nhật thông tin về các dịch bệnh theo mùa</t>
  </si>
  <si>
    <t>RnD.03.02.03</t>
  </si>
  <si>
    <t>HR.04.03.03</t>
  </si>
  <si>
    <t xml:space="preserve">Thiết bị lọc dầu Skimmer bị hỏng </t>
  </si>
  <si>
    <t>Dụng cụ Tool dao không đúng chủng loại , kích thước yêu cầu, chất lượng kém , tuổi thọ giảm so với yêu cầu đề ra.</t>
  </si>
  <si>
    <t>Kiểm tra kích thước đầu vào khi nhập dao. Check sheet kiểm tra theo dõi hàng ngày đối với tuổi thọ của dao</t>
  </si>
  <si>
    <t xml:space="preserve">Sản phẩm  NG </t>
  </si>
  <si>
    <t>Nhập liệu đầu vào</t>
  </si>
  <si>
    <t>Nhập jig sơn</t>
  </si>
  <si>
    <t>Súng robot</t>
  </si>
  <si>
    <t>Mất an toàn lao động</t>
  </si>
  <si>
    <t>Jig có bavia các vị trí jig không khớp với sản phẩm gây ra tràn sơn,thiếu sơn</t>
  </si>
  <si>
    <t>Liệu NG hàng loạt</t>
  </si>
  <si>
    <t>Không kiểm tra kỹ liệu trươc khi đưa vào sản xuất</t>
  </si>
  <si>
    <t>Khi nhập jig không kiểm tra jig xem jig via,có khớp với sản phẩm không</t>
  </si>
  <si>
    <t>Không cho vệ sinh bảo dưỡng dịnh kỳ,vệ sinh sau  khi sơn song</t>
  </si>
  <si>
    <t>Không thường suyên đào tạo nhắc nhở hàng ngày</t>
  </si>
  <si>
    <t>Rủi ro gián đoạn nguồn cung cấp bên ngoài</t>
  </si>
  <si>
    <t>Gây không xuất hàng mẫu đúng lịch cho khách hàng</t>
  </si>
  <si>
    <t>Do thiếu nguyên vật liệu, máy móc hỏng,...từ nhà cung cấp</t>
  </si>
  <si>
    <t>-Đàm phán trước nhà cung cấp, dự trù các nguyên vật liệu và máy móc thay thế
- Xây dựng kế hoạch xuất hàng sớm
- Có phương án dự phòng nhân lực</t>
  </si>
  <si>
    <t>Rủi ro hư hỏng cơ sở hạ tầng</t>
  </si>
  <si>
    <t>Gây ảnh hưởng đến môi trường làm việc</t>
  </si>
  <si>
    <t>Bóng đèn, quạt cháy hỏng. Trần nhà bị dột</t>
  </si>
  <si>
    <t xml:space="preserve">- Lập kế hoạch bảo trì bảo dưỡng thiết bị, cơ sở hạ tầng
</t>
  </si>
  <si>
    <t>Rủi ro tấn công mạng</t>
  </si>
  <si>
    <t>Gây mất hết các dữ liệu quan trọng của phòng ban</t>
  </si>
  <si>
    <t xml:space="preserve">Do các virrus và các hacker mạng </t>
  </si>
  <si>
    <t>-Mua bản quyền các phần mềm quan trọng như autocard, Nx,…
-Chặn các trang wed không liên quan đến công việc để hạn chế virut</t>
  </si>
  <si>
    <t>Nhập nguyên lệu sơn/mực</t>
  </si>
  <si>
    <t>Sơn/mực in hết hạn</t>
  </si>
  <si>
    <t>trước khi nhập sơn/mực vào sản xuất phải kiêm tra xem iqc đã kiểm tra và pass dấu chưa.pass dấu ok mới được nhập vào sản xuất</t>
  </si>
  <si>
    <t>Không kiểm tra hạn sử dụng của sơn/mực trước khi nhập vào sản xuất</t>
  </si>
  <si>
    <t>Súng không được vệ sinh có thể gây mụn sơn  hàng loạt ro cặn sơn trong súng</t>
  </si>
  <si>
    <t>1. Đào tạo kiến thức cơ bản về phòng chống cháy nổ
2. Bố trí các loại phương tiện chữa cháy tại chỗ để đối phó kịp thời
1. Training on basic knowledge of fire and explosion prevention
2. Arrange all kinds of fire fighting means on the spot for timely response</t>
  </si>
  <si>
    <t>Loại rủi ro</t>
  </si>
  <si>
    <t>Nguyên nhân</t>
  </si>
  <si>
    <t>Hậu quả</t>
  </si>
  <si>
    <t>Biện pháp giảm thiểu</t>
  </si>
  <si>
    <t>Rủi ro về thị trường</t>
  </si>
  <si>
    <t>Nghiên cứu thị trường không chính xác, sai nhu cầu khách hàng</t>
  </si>
  <si>
    <t>Sản phẩm không bán được, lãng phí nguồn lực</t>
  </si>
  <si>
    <t>Làm khảo sát kỹ, MVP test thị trường trước khi đầu tư phát triển lớn</t>
  </si>
  <si>
    <t>Rủi ro về kỹ thuật</t>
  </si>
  <si>
    <t>Công nghệ không phù hợp, không đủ năng lực kỹ thuật</t>
  </si>
  <si>
    <t>Chậm tiến độ, lỗi sản phẩm, không khả thi triển khai</t>
  </si>
  <si>
    <t>Lên kế hoạch công nghệ rõ ràng, tuyển đúng người, tư vấn chuyên gia</t>
  </si>
  <si>
    <t>Rủi ro về tiến độ</t>
  </si>
  <si>
    <t>Ước lượng sai thời gian, quản lý dự án yếu, thiếu tài nguyên</t>
  </si>
  <si>
    <t>Trễ deadline, ảnh hưởng uy tín với đối tác và khách hàng</t>
  </si>
  <si>
    <t>Dùng công cụ quản lý dự án, theo dõi tiến độ sát sao, cập nhật thường xuyên</t>
  </si>
  <si>
    <t>Rủi ro về ngân sách</t>
  </si>
  <si>
    <t>Chi phí vượt dự kiến, thay đổi yêu cầu liên tục</t>
  </si>
  <si>
    <t>Thiếu vốn, phải dừng giữa chừng, ảnh hưởng tài chính công ty</t>
  </si>
  <si>
    <t>Dự trù ngân sách +20-30%, kiểm soát thay đổi yêu cầu nghiêm ngặt</t>
  </si>
  <si>
    <t>Rủi ro pháp lý</t>
  </si>
  <si>
    <t>Không tuân thủ quy định (bản quyền, bảo mật, tiêu chuẩn sản phẩm...)</t>
  </si>
  <si>
    <t>Bị phạt, kiện cáo, phải ngừng sản phẩm</t>
  </si>
  <si>
    <t>Luôn có kiểm tra pháp lý, tham vấn luật sư trong quá trình phát triển</t>
  </si>
  <si>
    <t>Rủi ro nhân sự</t>
  </si>
  <si>
    <t>Nhân sự nghỉ đột ngột, thiếu nhân sự chất lượng</t>
  </si>
  <si>
    <t>Gián đoạn tiến độ, giảm chất lượng sản phẩm</t>
  </si>
  <si>
    <t>Xây dựng đội ngũ dự phòng, phân bổ nhiệm vụ rõ ràng</t>
  </si>
  <si>
    <t>Rủi ro từ đối tác</t>
  </si>
  <si>
    <t>Đối tác chậm trễ, thay đổi điều kiện hợp tác, thiếu tin cậy</t>
  </si>
  <si>
    <t>Ảnh hưởng chuỗi cung ứng, mất niềm tin khách hàng</t>
  </si>
  <si>
    <t>Kiểm tra uy tín đối tác, có hợp đồng rõ ràng, luôn có phương án thay thế</t>
  </si>
  <si>
    <t>Rủi ro bảo mật và dữ liệu</t>
  </si>
  <si>
    <t>Rò rỉ thông tin khách hàng, mất dữ liệu</t>
  </si>
  <si>
    <t>Mất uy tín, tổn thất tài chính, rủi ro pháp lý</t>
  </si>
  <si>
    <t>Mã hóa dữ liệu, sao lưu định kỳ, bảo mật hệ thống nghiêm ngặt</t>
  </si>
  <si>
    <t>Rủi ro về trải nghiệm người dùng (UX/UI)</t>
  </si>
  <si>
    <t>Thiết kế khó dùng, không trực quan, không phù hợp với hành vi người dùng</t>
  </si>
  <si>
    <t>Sản phẩm khó tiếp cận, tỷ lệ giữ chân thấp</t>
  </si>
  <si>
    <t>Test giao diện sớm, lấy phản hồi người dùng thực tế liên tục</t>
  </si>
  <si>
    <t>Rủi ro về sự thay đổi thị trường</t>
  </si>
  <si>
    <t>Xu hướng thay đổi nhanh, công nghệ mới thay thế</t>
  </si>
  <si>
    <t>Sản phẩm lỗi thời nhanh, mất thị phần</t>
  </si>
  <si>
    <t>Cập nhật xu hướng thường xuyên, linh hoạt điều chỉnh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</si>
</sst>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font>
      <sz val="10"/>
      <name val="Arial"/>
      <family val="2"/>
    </font>
    <font>
      <sz val="10"/>
      <name val="Arial"/>
      <family val="2"/>
    </font>
    <font>
      <sz val="14"/>
      <name val="Times New Roman"/>
      <family val="1"/>
    </font>
    <font>
      <b/>
      <sz val="18"/>
      <name val="Times New Roman"/>
      <family val="1"/>
    </font>
    <font>
      <sz val="12"/>
      <name val="Times New Roman"/>
      <family val="1"/>
    </font>
    <font>
      <b/>
      <sz val="14"/>
      <name val="Times New Roman"/>
      <family val="1"/>
    </font>
    <font>
      <b/>
      <sz val="16"/>
      <name val="Times New Roman"/>
      <family val="1"/>
    </font>
    <font>
      <b/>
      <sz val="12"/>
      <name val="Times New Roman"/>
      <family val="1"/>
    </font>
    <font>
      <b/>
      <sz val="24"/>
      <name val="Times New Roman"/>
      <family val="1"/>
    </font>
    <font>
      <b/>
      <sz val="22"/>
      <name val="Times New Roman"/>
      <family val="1"/>
    </font>
    <font>
      <sz val="10"/>
      <name val="Times New Roman"/>
      <family val="1"/>
    </font>
    <font>
      <b/>
      <sz val="20"/>
      <name val="Times New Roman"/>
      <family val="1"/>
    </font>
    <font>
      <sz val="12"/>
      <color indexed="8"/>
      <name val="Times New Roman"/>
      <family val="1"/>
    </font>
    <font>
      <b/>
      <sz val="11"/>
      <name val="Times New Roman"/>
      <family val="1"/>
    </font>
    <font>
      <sz val="11"/>
      <name val="Times New Roman"/>
      <family val="1"/>
    </font>
    <font>
      <b/>
      <sz val="10"/>
      <name val="Times New Roman"/>
      <family val="1"/>
    </font>
    <font>
      <sz val="11"/>
      <name val="ＭＳ Ｐゴシック"/>
      <family val="3"/>
      <charset val="128"/>
    </font>
    <font>
      <sz val="10"/>
      <name val="Calibri Light"/>
      <family val="1"/>
      <charset val="163"/>
      <scheme val="major"/>
    </font>
    <font>
      <b/>
      <sz val="12"/>
      <name val="Calibri Light"/>
      <family val="1"/>
      <charset val="163"/>
      <scheme val="major"/>
    </font>
    <font>
      <sz val="12"/>
      <name val="Calibri Light"/>
      <family val="1"/>
      <charset val="163"/>
      <scheme val="major"/>
    </font>
    <font>
      <sz val="11"/>
      <color theme="1"/>
      <name val="Times New Roman"/>
      <family val="1"/>
    </font>
    <font>
      <sz val="12"/>
      <color theme="1"/>
      <name val="Times New Roman"/>
      <family val="1"/>
    </font>
    <font>
      <b/>
      <sz val="20"/>
      <color theme="1"/>
      <name val="Times New Roman"/>
      <family val="1"/>
    </font>
    <font>
      <b/>
      <sz val="12"/>
      <color theme="1"/>
      <name val="Times New Roman"/>
      <family val="1"/>
    </font>
    <font>
      <b/>
      <sz val="26"/>
      <color theme="1"/>
      <name val="Times New Roman"/>
      <family val="1"/>
    </font>
    <font>
      <b/>
      <i/>
      <sz val="12"/>
      <color theme="1"/>
      <name val="Times New Roman"/>
      <family val="1"/>
    </font>
    <font>
      <b/>
      <sz val="11"/>
      <color theme="1"/>
      <name val="Times New Roman"/>
      <family val="1"/>
    </font>
    <font>
      <b/>
      <sz val="22"/>
      <color theme="1"/>
      <name val="Times New Roman"/>
      <family val="1"/>
    </font>
    <font>
      <b/>
      <sz val="14"/>
      <name val="Calibri Light"/>
      <family val="1"/>
      <charset val="163"/>
      <scheme val="major"/>
    </font>
    <font>
      <sz val="18"/>
      <name val="Times New Roman"/>
      <family val="1"/>
    </font>
    <font>
      <b/>
      <sz val="10"/>
      <color theme="1"/>
      <name val="Times New Roman"/>
      <family val="1"/>
    </font>
    <font>
      <sz val="10"/>
      <color theme="1"/>
      <name val="Times New Roman"/>
      <family val="1"/>
    </font>
    <font>
      <sz val="9"/>
      <name val="Arial"/>
      <family val="2"/>
    </font>
    <font>
      <sz val="9"/>
      <color theme="1"/>
      <name val="Times New Roman"/>
      <family val="1"/>
    </font>
    <font>
      <b/>
      <sz val="1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8"/>
      </right>
      <top/>
      <bottom/>
      <diagonal/>
    </border>
    <border>
      <left style="thin">
        <color indexed="8"/>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style="thin">
        <color indexed="64"/>
      </right>
      <top/>
      <bottom style="hair">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1" fillId="0" borderId="0"/>
    <xf numFmtId="0" fontId="16" fillId="0" borderId="0">
      <alignment vertical="center"/>
    </xf>
  </cellStyleXfs>
  <cellXfs count="813">
    <xf numFmtId="0" fontId="1" fillId="0" borderId="0" xfId="0" applyFont="1"/>
    <xf numFmtId="0" fontId="17" fillId="0" borderId="0" xfId="0" applyFont="1"/>
    <xf numFmtId="0" fontId="18" fillId="0" borderId="1" xfId="0" applyFont="1" applyBorder="1" applyAlignment="1">
      <alignment horizontal="center" vertical="center" wrapText="1"/>
    </xf>
    <xf numFmtId="0" fontId="19" fillId="0" borderId="1" xfId="0" applyFont="1" applyBorder="1" applyAlignment="1">
      <alignment vertical="center" wrapText="1"/>
    </xf>
    <xf numFmtId="0" fontId="17" fillId="0" borderId="0" xfId="0" applyFont="1" applyAlignment="1">
      <alignment horizontal="left"/>
    </xf>
    <xf numFmtId="0" fontId="18" fillId="0" borderId="1" xfId="0" applyFont="1" applyBorder="1" applyAlignment="1">
      <alignment horizontal="left" vertical="center" wrapText="1"/>
    </xf>
    <xf numFmtId="0" fontId="19" fillId="0" borderId="1" xfId="0" quotePrefix="1"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2" xfId="0" quotePrefix="1" applyFont="1" applyBorder="1" applyAlignment="1">
      <alignment vertical="center" wrapText="1"/>
    </xf>
    <xf numFmtId="0" fontId="17" fillId="0" borderId="0" xfId="0" applyFont="1" applyAlignment="1">
      <alignment horizontal="center"/>
    </xf>
    <xf numFmtId="0" fontId="2" fillId="0" borderId="0" xfId="0" applyFont="1" applyBorder="1" applyAlignment="1">
      <alignment horizontal="left" wrapText="1"/>
    </xf>
    <xf numFmtId="0" fontId="2" fillId="0" borderId="0" xfId="0" applyFont="1" applyBorder="1" applyAlignment="1">
      <alignment horizontal="left" vertical="center"/>
    </xf>
    <xf numFmtId="0" fontId="2" fillId="0" borderId="0" xfId="0" applyFont="1" applyBorder="1" applyAlignment="1">
      <alignment vertical="center"/>
    </xf>
    <xf numFmtId="0" fontId="2" fillId="0" borderId="3" xfId="0" applyFont="1" applyBorder="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0" xfId="0" applyFont="1" applyFill="1" applyBorder="1" applyAlignment="1">
      <alignment horizontal="left" wrapText="1"/>
    </xf>
    <xf numFmtId="0" fontId="2" fillId="0" borderId="0" xfId="0" applyFont="1" applyFill="1" applyBorder="1" applyAlignment="1">
      <alignment horizontal="left" vertical="center" wrapText="1"/>
    </xf>
    <xf numFmtId="0" fontId="2" fillId="0" borderId="0" xfId="0" applyFont="1" applyFill="1" applyBorder="1" applyAlignment="1">
      <alignment vertical="center"/>
    </xf>
    <xf numFmtId="0" fontId="2" fillId="0" borderId="0" xfId="0" quotePrefix="1" applyFont="1" applyFill="1" applyBorder="1" applyAlignment="1">
      <alignment vertical="center"/>
    </xf>
    <xf numFmtId="0" fontId="2" fillId="0" borderId="5" xfId="0" applyFont="1" applyFill="1" applyBorder="1" applyAlignment="1">
      <alignment horizontal="left" wrapText="1"/>
    </xf>
    <xf numFmtId="0" fontId="2" fillId="0" borderId="5" xfId="0" applyFont="1" applyFill="1" applyBorder="1" applyAlignment="1">
      <alignment horizontal="left" vertical="center"/>
    </xf>
    <xf numFmtId="0" fontId="2" fillId="0" borderId="5" xfId="0" applyFont="1" applyFill="1" applyBorder="1" applyAlignment="1">
      <alignment vertical="center"/>
    </xf>
    <xf numFmtId="0" fontId="2" fillId="0" borderId="6" xfId="0" applyFont="1" applyFill="1" applyBorder="1" applyAlignment="1">
      <alignment horizontal="left" vertical="center"/>
    </xf>
    <xf numFmtId="0" fontId="2" fillId="0" borderId="6" xfId="0" applyFont="1" applyFill="1" applyBorder="1" applyAlignment="1">
      <alignment vertical="center"/>
    </xf>
    <xf numFmtId="0" fontId="2" fillId="0" borderId="7" xfId="0" applyFont="1" applyFill="1" applyBorder="1" applyAlignment="1">
      <alignment horizontal="left" wrapText="1"/>
    </xf>
    <xf numFmtId="0" fontId="2" fillId="0" borderId="8" xfId="0" applyFont="1" applyFill="1" applyBorder="1" applyAlignment="1">
      <alignment horizontal="left" vertical="center"/>
    </xf>
    <xf numFmtId="0" fontId="2" fillId="0" borderId="8" xfId="0" applyFont="1" applyFill="1" applyBorder="1" applyAlignment="1">
      <alignment vertical="center"/>
    </xf>
    <xf numFmtId="0" fontId="2" fillId="0" borderId="0" xfId="0" applyFont="1" applyFill="1" applyAlignment="1">
      <alignment horizontal="left" wrapText="1"/>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Font="1" applyAlignment="1">
      <alignment horizontal="left" wrapText="1"/>
    </xf>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Border="1" applyAlignment="1">
      <alignment horizontal="center"/>
    </xf>
    <xf numFmtId="0" fontId="2" fillId="0" borderId="0" xfId="0" applyFont="1"/>
    <xf numFmtId="0" fontId="2" fillId="0" borderId="0" xfId="0" applyFont="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xf>
    <xf numFmtId="0" fontId="2" fillId="0" borderId="0" xfId="0" applyFont="1" applyFill="1" applyBorder="1" applyAlignment="1">
      <alignment horizontal="center"/>
    </xf>
    <xf numFmtId="0" fontId="2" fillId="0" borderId="0" xfId="0" applyFont="1" applyFill="1" applyBorder="1"/>
    <xf numFmtId="0" fontId="2" fillId="0" borderId="0" xfId="0" applyFont="1" applyFill="1" applyBorder="1" applyAlignment="1">
      <alignment horizontal="center" wrapText="1"/>
    </xf>
    <xf numFmtId="0" fontId="2" fillId="0" borderId="6" xfId="0" applyFont="1" applyFill="1" applyBorder="1" applyAlignment="1">
      <alignment horizontal="center"/>
    </xf>
    <xf numFmtId="0" fontId="2" fillId="0" borderId="5" xfId="0" applyFont="1" applyFill="1" applyBorder="1" applyAlignment="1">
      <alignment horizontal="center"/>
    </xf>
    <xf numFmtId="0" fontId="2" fillId="0" borderId="0" xfId="0" applyFont="1" applyFill="1"/>
    <xf numFmtId="0" fontId="2" fillId="0" borderId="8"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Alignment="1">
      <alignment horizontal="center" wrapText="1"/>
    </xf>
    <xf numFmtId="0" fontId="2" fillId="0" borderId="0" xfId="0" applyFont="1" applyFill="1" applyAlignment="1">
      <alignment horizontal="center"/>
    </xf>
    <xf numFmtId="0" fontId="2" fillId="0" borderId="0" xfId="0" applyFont="1" applyAlignment="1">
      <alignment horizont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0" xfId="0" applyFont="1" applyFill="1" applyAlignment="1">
      <alignment horizontal="center" vertical="center"/>
    </xf>
    <xf numFmtId="0" fontId="4"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2" fillId="0" borderId="5" xfId="0" applyFont="1" applyFill="1" applyBorder="1" applyAlignment="1">
      <alignment horizontal="center" wrapText="1"/>
    </xf>
    <xf numFmtId="0" fontId="2" fillId="0" borderId="7" xfId="0" applyFont="1" applyFill="1" applyBorder="1" applyAlignment="1">
      <alignment horizontal="center" wrapText="1"/>
    </xf>
    <xf numFmtId="0" fontId="4" fillId="0" borderId="1" xfId="0" applyFont="1" applyBorder="1" applyAlignment="1">
      <alignment horizontal="center" vertical="center" wrapText="1"/>
    </xf>
    <xf numFmtId="0" fontId="2" fillId="0" borderId="1" xfId="0" quotePrefix="1" applyFont="1" applyBorder="1" applyAlignment="1">
      <alignment horizontal="left" vertical="center" wrapText="1"/>
    </xf>
    <xf numFmtId="0" fontId="2" fillId="0" borderId="1" xfId="0" quotePrefix="1"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quotePrefix="1" applyFont="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horizontal="center" vertical="center"/>
    </xf>
    <xf numFmtId="0" fontId="2" fillId="0" borderId="0" xfId="0" applyFont="1" applyBorder="1"/>
    <xf numFmtId="0" fontId="2" fillId="0" borderId="10" xfId="0" applyFont="1" applyBorder="1" applyAlignment="1">
      <alignment horizontal="center" vertical="center" wrapText="1"/>
    </xf>
    <xf numFmtId="0" fontId="2" fillId="0" borderId="3" xfId="0" applyFont="1" applyBorder="1" applyAlignment="1">
      <alignment horizontal="center"/>
    </xf>
    <xf numFmtId="0" fontId="4" fillId="0" borderId="0" xfId="0" applyFont="1" applyBorder="1" applyAlignment="1">
      <alignment horizont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0" xfId="0" applyFont="1" applyFill="1" applyBorder="1" applyAlignment="1">
      <alignment horizontal="center"/>
    </xf>
    <xf numFmtId="0" fontId="4" fillId="0" borderId="0" xfId="0" applyFont="1" applyFill="1" applyAlignment="1">
      <alignment horizontal="center" wrapText="1"/>
    </xf>
    <xf numFmtId="0" fontId="4" fillId="0" borderId="0" xfId="0" applyFont="1" applyFill="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4" fillId="0" borderId="0" xfId="0" applyFont="1" applyBorder="1" applyAlignment="1">
      <alignment horizontal="center" wrapText="1"/>
    </xf>
    <xf numFmtId="0" fontId="4" fillId="0" borderId="0" xfId="0" applyFont="1" applyBorder="1" applyAlignment="1">
      <alignment horizontal="center" vertical="center"/>
    </xf>
    <xf numFmtId="0" fontId="4" fillId="0" borderId="3" xfId="0" quotePrefix="1" applyFont="1" applyBorder="1" applyAlignment="1">
      <alignment horizontal="center" vertical="center" wrapText="1"/>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0" fontId="4"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0" borderId="6"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Border="1" applyAlignment="1">
      <alignment horizontal="center" wrapText="1"/>
    </xf>
    <xf numFmtId="0" fontId="2" fillId="0" borderId="3" xfId="0" quotePrefix="1" applyFont="1" applyBorder="1" applyAlignment="1">
      <alignment horizontal="center" vertic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3" xfId="0" quotePrefix="1" applyFont="1" applyBorder="1" applyAlignment="1">
      <alignment horizontal="center" wrapText="1"/>
    </xf>
    <xf numFmtId="0" fontId="2" fillId="0" borderId="0" xfId="0" quotePrefix="1" applyFont="1" applyFill="1" applyBorder="1" applyAlignment="1">
      <alignment horizontal="center"/>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2" fillId="0" borderId="10" xfId="0" applyFont="1" applyBorder="1" applyAlignment="1">
      <alignment horizontal="left" vertical="center" wrapText="1"/>
    </xf>
    <xf numFmtId="0" fontId="4" fillId="2" borderId="1" xfId="0" applyFont="1" applyFill="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Fill="1" applyBorder="1" applyAlignment="1">
      <alignment vertical="center" wrapText="1"/>
    </xf>
    <xf numFmtId="0" fontId="2" fillId="0" borderId="11" xfId="0" applyFont="1" applyBorder="1"/>
    <xf numFmtId="0" fontId="2" fillId="0" borderId="11" xfId="0" applyFont="1" applyBorder="1" applyAlignment="1">
      <alignment horizontal="center"/>
    </xf>
    <xf numFmtId="0" fontId="2" fillId="0" borderId="12" xfId="0" applyFont="1" applyBorder="1"/>
    <xf numFmtId="0" fontId="4" fillId="0" borderId="13" xfId="0" applyFont="1" applyBorder="1" applyAlignment="1">
      <alignment horizontal="center" vertical="center"/>
    </xf>
    <xf numFmtId="0" fontId="4" fillId="0" borderId="3" xfId="0" applyFont="1" applyBorder="1" applyAlignment="1">
      <alignment horizontal="left" vertical="center" wrapText="1"/>
    </xf>
    <xf numFmtId="0" fontId="4" fillId="0" borderId="3" xfId="0" quotePrefix="1" applyFont="1" applyBorder="1" applyAlignment="1">
      <alignment vertical="center" wrapText="1"/>
    </xf>
    <xf numFmtId="0" fontId="4" fillId="0" borderId="15" xfId="0" applyFont="1" applyBorder="1" applyAlignment="1">
      <alignment horizontal="center" vertical="center"/>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2" borderId="1" xfId="0" quotePrefix="1"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0" borderId="18" xfId="0" applyFont="1" applyBorder="1" applyAlignment="1">
      <alignment horizontal="center" vertical="center"/>
    </xf>
    <xf numFmtId="0" fontId="4" fillId="0" borderId="19" xfId="0" applyFont="1" applyBorder="1" applyAlignment="1">
      <alignment horizontal="left" vertical="center" wrapText="1"/>
    </xf>
    <xf numFmtId="0" fontId="4" fillId="0" borderId="19" xfId="0" applyFont="1" applyBorder="1" applyAlignment="1">
      <alignment vertical="center" wrapText="1"/>
    </xf>
    <xf numFmtId="0" fontId="4" fillId="0" borderId="19" xfId="0" applyFont="1" applyBorder="1" applyAlignment="1">
      <alignment horizontal="center" vertical="center"/>
    </xf>
    <xf numFmtId="0" fontId="4" fillId="0" borderId="19" xfId="0" applyFont="1" applyBorder="1" applyAlignment="1">
      <alignment horizontal="center" vertical="center" wrapText="1"/>
    </xf>
    <xf numFmtId="0" fontId="4" fillId="2" borderId="20" xfId="0" applyFont="1" applyFill="1" applyBorder="1" applyAlignment="1">
      <alignment horizontal="left" vertical="center" wrapText="1"/>
    </xf>
    <xf numFmtId="0" fontId="21" fillId="0" borderId="1" xfId="0" quotePrefix="1" applyFont="1" applyBorder="1" applyAlignment="1">
      <alignment vertical="center" wrapText="1"/>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22" xfId="0" applyFont="1" applyBorder="1" applyAlignment="1">
      <alignment horizontal="center" vertical="center" wrapText="1"/>
    </xf>
    <xf numFmtId="0" fontId="0" fillId="0" borderId="0" xfId="0"/>
    <xf numFmtId="0" fontId="2" fillId="0" borderId="23"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9" xfId="0" applyFont="1" applyBorder="1" applyAlignment="1">
      <alignment horizontal="center" vertical="center" wrapText="1"/>
    </xf>
    <xf numFmtId="0" fontId="5" fillId="0" borderId="0" xfId="0" applyFont="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9" xfId="0" applyFont="1" applyBorder="1" applyAlignment="1">
      <alignment horizontal="center" vertical="center" wrapText="1"/>
    </xf>
    <xf numFmtId="0" fontId="2" fillId="0" borderId="24" xfId="0" applyFont="1" applyBorder="1"/>
    <xf numFmtId="0" fontId="2" fillId="0" borderId="25" xfId="0" applyFont="1" applyBorder="1" applyAlignment="1">
      <alignment horizontal="left" wrapText="1"/>
    </xf>
    <xf numFmtId="0" fontId="2" fillId="0" borderId="25" xfId="0" applyFont="1" applyBorder="1" applyAlignment="1">
      <alignment horizontal="left" vertical="center"/>
    </xf>
    <xf numFmtId="0" fontId="2" fillId="0" borderId="25" xfId="0" applyFont="1" applyBorder="1" applyAlignment="1">
      <alignment vertical="center"/>
    </xf>
    <xf numFmtId="0" fontId="0" fillId="0" borderId="24" xfId="0" applyBorder="1"/>
    <xf numFmtId="0" fontId="0" fillId="0" borderId="25" xfId="0" applyBorder="1"/>
    <xf numFmtId="0" fontId="0" fillId="0" borderId="26" xfId="0" applyBorder="1"/>
    <xf numFmtId="0" fontId="0" fillId="0" borderId="0" xfId="0" applyBorder="1"/>
    <xf numFmtId="0" fontId="0" fillId="0" borderId="27" xfId="0" applyBorder="1"/>
    <xf numFmtId="0" fontId="0" fillId="0" borderId="28" xfId="0" applyBorder="1"/>
    <xf numFmtId="0" fontId="2" fillId="0" borderId="24" xfId="0" applyFont="1" applyBorder="1" applyAlignment="1">
      <alignment horizontal="center"/>
    </xf>
    <xf numFmtId="0" fontId="2" fillId="0" borderId="25" xfId="0" applyFont="1" applyBorder="1" applyAlignment="1">
      <alignment vertical="center" wrapText="1"/>
    </xf>
    <xf numFmtId="0" fontId="2" fillId="0" borderId="25" xfId="0" applyFont="1" applyBorder="1" applyAlignment="1">
      <alignment horizontal="center" vertical="center"/>
    </xf>
    <xf numFmtId="0" fontId="2" fillId="0" borderId="25" xfId="0" applyFont="1" applyBorder="1"/>
    <xf numFmtId="0" fontId="2" fillId="0" borderId="29" xfId="0" applyFont="1" applyBorder="1"/>
    <xf numFmtId="0" fontId="2" fillId="0" borderId="0" xfId="0" applyFont="1" applyBorder="1" applyAlignment="1">
      <alignment wrapText="1"/>
    </xf>
    <xf numFmtId="0" fontId="8" fillId="0" borderId="0" xfId="0" applyFont="1" applyBorder="1" applyAlignment="1">
      <alignment vertical="center" wrapText="1"/>
    </xf>
    <xf numFmtId="0" fontId="6" fillId="0" borderId="28" xfId="0" applyFont="1" applyBorder="1" applyAlignment="1">
      <alignment vertical="center"/>
    </xf>
    <xf numFmtId="0" fontId="2" fillId="0" borderId="17" xfId="0" applyFont="1" applyBorder="1" applyAlignment="1">
      <alignment horizontal="center" vertical="center" wrapText="1"/>
    </xf>
    <xf numFmtId="0" fontId="2" fillId="0" borderId="2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0" borderId="28" xfId="0" applyFont="1" applyBorder="1" applyAlignment="1">
      <alignment horizontal="center"/>
    </xf>
    <xf numFmtId="0" fontId="2" fillId="2" borderId="2" xfId="0" applyFont="1" applyFill="1" applyBorder="1" applyAlignment="1">
      <alignment horizontal="center" vertical="center" wrapText="1"/>
    </xf>
    <xf numFmtId="0" fontId="4" fillId="0" borderId="23" xfId="0" applyFont="1" applyBorder="1" applyAlignment="1">
      <alignment horizontal="center" vertical="center"/>
    </xf>
    <xf numFmtId="0" fontId="4" fillId="0" borderId="23" xfId="0" applyFont="1" applyBorder="1" applyAlignment="1">
      <alignment horizontal="center" vertical="center" wrapText="1"/>
    </xf>
    <xf numFmtId="0" fontId="2" fillId="0" borderId="25" xfId="0" applyFont="1" applyBorder="1" applyAlignment="1">
      <alignment horizontal="center"/>
    </xf>
    <xf numFmtId="0" fontId="2" fillId="0" borderId="26" xfId="0" applyFont="1" applyBorder="1" applyAlignment="1">
      <alignment horizontal="center"/>
    </xf>
    <xf numFmtId="0" fontId="2" fillId="0" borderId="30" xfId="0" applyFont="1" applyBorder="1" applyAlignment="1">
      <alignment horizontal="left" vertical="center" wrapText="1"/>
    </xf>
    <xf numFmtId="0" fontId="2" fillId="0" borderId="11" xfId="0" applyFont="1" applyBorder="1" applyAlignment="1">
      <alignment horizontal="left"/>
    </xf>
    <xf numFmtId="0" fontId="2" fillId="0" borderId="0" xfId="0" applyFont="1" applyAlignment="1">
      <alignment horizontal="left"/>
    </xf>
    <xf numFmtId="0" fontId="4" fillId="0" borderId="23" xfId="0" applyFont="1" applyBorder="1" applyAlignment="1">
      <alignment vertical="center" wrapText="1"/>
    </xf>
    <xf numFmtId="0" fontId="4" fillId="0" borderId="1" xfId="0" applyFont="1" applyBorder="1" applyAlignment="1">
      <alignment vertical="center" wrapText="1"/>
    </xf>
    <xf numFmtId="0" fontId="10" fillId="0" borderId="0" xfId="0" applyFont="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0" xfId="0" applyFont="1" applyFill="1" applyAlignment="1">
      <alignment vertical="center" wrapText="1"/>
    </xf>
    <xf numFmtId="0" fontId="4" fillId="0" borderId="1" xfId="0" quotePrefix="1" applyFont="1" applyFill="1" applyBorder="1" applyAlignment="1">
      <alignment horizontal="left" vertical="center" wrapText="1"/>
    </xf>
    <xf numFmtId="0" fontId="4" fillId="0" borderId="0" xfId="0" applyFont="1" applyFill="1"/>
    <xf numFmtId="0" fontId="4" fillId="0" borderId="23" xfId="0" applyFont="1" applyFill="1" applyBorder="1" applyAlignment="1">
      <alignment vertical="center" wrapText="1"/>
    </xf>
    <xf numFmtId="0" fontId="4" fillId="0" borderId="1" xfId="0" applyFont="1" applyFill="1" applyBorder="1" applyAlignment="1">
      <alignment vertical="center" wrapText="1"/>
    </xf>
    <xf numFmtId="0" fontId="4" fillId="0" borderId="0" xfId="0" applyFont="1" applyFill="1" applyAlignment="1">
      <alignment vertical="center"/>
    </xf>
    <xf numFmtId="0" fontId="4" fillId="0" borderId="1" xfId="0" applyFont="1" applyFill="1" applyBorder="1" applyAlignment="1">
      <alignment horizontal="left" wrapText="1"/>
    </xf>
    <xf numFmtId="0" fontId="4" fillId="0" borderId="0" xfId="0" applyFont="1" applyFill="1" applyAlignment="1">
      <alignment wrapText="1"/>
    </xf>
    <xf numFmtId="0" fontId="4" fillId="0" borderId="1" xfId="0" applyFont="1" applyFill="1" applyBorder="1" applyAlignment="1">
      <alignment horizontal="left" vertical="top" wrapText="1"/>
    </xf>
    <xf numFmtId="0" fontId="4" fillId="0" borderId="0" xfId="0" applyFont="1" applyFill="1" applyBorder="1"/>
    <xf numFmtId="0" fontId="21" fillId="0" borderId="1" xfId="0" applyFont="1" applyBorder="1" applyAlignment="1">
      <alignment horizontal="center"/>
    </xf>
    <xf numFmtId="0" fontId="4" fillId="0" borderId="1" xfId="0" applyFont="1" applyBorder="1"/>
    <xf numFmtId="0" fontId="4" fillId="0" borderId="1" xfId="0" applyFont="1" applyFill="1" applyBorder="1" applyAlignment="1">
      <alignment horizontal="center"/>
    </xf>
    <xf numFmtId="0" fontId="4" fillId="0" borderId="2" xfId="0" applyFont="1" applyFill="1" applyBorder="1" applyAlignment="1">
      <alignment horizontal="left" vertical="center" wrapText="1"/>
    </xf>
    <xf numFmtId="0" fontId="4" fillId="0" borderId="0" xfId="0" applyFont="1" applyFill="1" applyAlignment="1">
      <alignment horizontal="left"/>
    </xf>
    <xf numFmtId="0" fontId="4" fillId="0" borderId="0" xfId="0" applyFont="1" applyFill="1" applyBorder="1" applyAlignment="1">
      <alignment horizontal="left" wrapText="1"/>
    </xf>
    <xf numFmtId="0" fontId="4" fillId="0" borderId="0" xfId="0" applyFont="1" applyFill="1" applyAlignment="1">
      <alignment horizontal="left" wrapText="1"/>
    </xf>
    <xf numFmtId="0" fontId="21" fillId="0" borderId="0" xfId="0" applyFont="1" applyFill="1" applyAlignment="1">
      <alignment horizontal="left" wrapText="1"/>
    </xf>
    <xf numFmtId="0" fontId="21" fillId="0" borderId="0" xfId="0" applyFont="1" applyFill="1" applyAlignment="1">
      <alignment horizontal="left" vertical="center"/>
    </xf>
    <xf numFmtId="0" fontId="21" fillId="0" borderId="0" xfId="0" applyFont="1" applyFill="1" applyAlignment="1">
      <alignment vertical="center"/>
    </xf>
    <xf numFmtId="0" fontId="21" fillId="0" borderId="0" xfId="0" applyFont="1" applyFill="1" applyAlignment="1">
      <alignment horizontal="left" vertical="center" wrapText="1"/>
    </xf>
    <xf numFmtId="0" fontId="4" fillId="0" borderId="0" xfId="0" applyFont="1" applyBorder="1" applyAlignment="1">
      <alignment horizontal="left" wrapText="1"/>
    </xf>
    <xf numFmtId="0" fontId="4" fillId="0" borderId="0" xfId="0" applyFont="1"/>
    <xf numFmtId="0" fontId="7" fillId="0" borderId="28" xfId="0" applyFont="1" applyBorder="1" applyAlignment="1">
      <alignment vertical="center"/>
    </xf>
    <xf numFmtId="0" fontId="7" fillId="0" borderId="28" xfId="0" applyFont="1" applyBorder="1" applyAlignment="1">
      <alignment horizontal="center"/>
    </xf>
    <xf numFmtId="0" fontId="4" fillId="0" borderId="17"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quotePrefix="1" applyFont="1" applyBorder="1" applyAlignment="1">
      <alignment vertical="center" wrapText="1"/>
    </xf>
    <xf numFmtId="0" fontId="4" fillId="0" borderId="1" xfId="0" quotePrefix="1" applyFont="1" applyFill="1" applyBorder="1" applyAlignment="1">
      <alignment horizontal="center"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vertical="center"/>
    </xf>
    <xf numFmtId="0" fontId="4" fillId="0" borderId="0" xfId="0" applyFont="1" applyFill="1" applyBorder="1" applyAlignment="1">
      <alignment horizontal="left" vertical="center"/>
    </xf>
    <xf numFmtId="0" fontId="4" fillId="0" borderId="0" xfId="0" applyFont="1" applyFill="1" applyBorder="1" applyAlignment="1">
      <alignment horizontal="center" wrapText="1"/>
    </xf>
    <xf numFmtId="0" fontId="4" fillId="0" borderId="0" xfId="0" quotePrefix="1" applyFont="1" applyFill="1" applyBorder="1" applyAlignment="1">
      <alignment vertical="center"/>
    </xf>
    <xf numFmtId="0" fontId="4" fillId="0" borderId="6" xfId="0" applyFont="1" applyFill="1" applyBorder="1" applyAlignment="1">
      <alignment horizontal="center"/>
    </xf>
    <xf numFmtId="0" fontId="4" fillId="0" borderId="5" xfId="0" applyFont="1" applyFill="1" applyBorder="1" applyAlignment="1">
      <alignment horizontal="left" wrapText="1"/>
    </xf>
    <xf numFmtId="0" fontId="4" fillId="0" borderId="5" xfId="0" applyFont="1" applyFill="1" applyBorder="1" applyAlignment="1">
      <alignment horizontal="left" vertical="center"/>
    </xf>
    <xf numFmtId="0" fontId="4" fillId="0" borderId="5" xfId="0" applyFont="1" applyFill="1" applyBorder="1" applyAlignment="1">
      <alignment vertical="center"/>
    </xf>
    <xf numFmtId="0" fontId="4" fillId="0" borderId="5" xfId="0" applyFont="1" applyFill="1" applyBorder="1" applyAlignment="1">
      <alignment horizontal="center"/>
    </xf>
    <xf numFmtId="0" fontId="4" fillId="0" borderId="6" xfId="0" applyFont="1" applyFill="1" applyBorder="1" applyAlignment="1">
      <alignment horizontal="left" vertical="center"/>
    </xf>
    <xf numFmtId="0" fontId="4" fillId="0" borderId="6" xfId="0" applyFont="1" applyFill="1" applyBorder="1" applyAlignment="1">
      <alignment vertical="center"/>
    </xf>
    <xf numFmtId="0" fontId="4" fillId="0" borderId="8" xfId="0" applyFont="1" applyFill="1" applyBorder="1" applyAlignment="1">
      <alignment horizontal="center"/>
    </xf>
    <xf numFmtId="0" fontId="4" fillId="0" borderId="7" xfId="0" applyFont="1" applyFill="1" applyBorder="1" applyAlignment="1">
      <alignment horizontal="left" wrapText="1"/>
    </xf>
    <xf numFmtId="0" fontId="4" fillId="0" borderId="8" xfId="0" applyFont="1" applyFill="1" applyBorder="1" applyAlignment="1">
      <alignment horizontal="left" vertical="center"/>
    </xf>
    <xf numFmtId="0" fontId="4" fillId="0" borderId="8" xfId="0" applyFont="1" applyFill="1" applyBorder="1" applyAlignment="1">
      <alignment vertical="center"/>
    </xf>
    <xf numFmtId="0" fontId="4" fillId="0" borderId="7" xfId="0" applyFont="1" applyFill="1" applyBorder="1" applyAlignment="1">
      <alignment horizontal="center"/>
    </xf>
    <xf numFmtId="0" fontId="4" fillId="0" borderId="0" xfId="0" applyFont="1" applyFill="1"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wrapText="1"/>
    </xf>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left" vertical="center" wrapText="1"/>
    </xf>
    <xf numFmtId="0" fontId="4" fillId="0" borderId="31" xfId="0" applyFont="1" applyBorder="1" applyAlignment="1">
      <alignment horizontal="center"/>
    </xf>
    <xf numFmtId="0" fontId="4" fillId="0" borderId="11" xfId="0" applyFont="1" applyBorder="1" applyAlignment="1">
      <alignment horizontal="left" wrapText="1"/>
    </xf>
    <xf numFmtId="0" fontId="4" fillId="0" borderId="11" xfId="0" applyFont="1" applyBorder="1" applyAlignment="1">
      <alignment horizontal="left" vertical="center"/>
    </xf>
    <xf numFmtId="0" fontId="4" fillId="0" borderId="11" xfId="0" applyFont="1" applyBorder="1" applyAlignment="1">
      <alignment vertical="center"/>
    </xf>
    <xf numFmtId="0" fontId="4" fillId="0" borderId="11" xfId="0" applyFont="1" applyBorder="1" applyAlignment="1">
      <alignment horizontal="center"/>
    </xf>
    <xf numFmtId="0" fontId="4" fillId="0" borderId="12" xfId="0" applyFont="1" applyBorder="1" applyAlignment="1">
      <alignment horizontal="center"/>
    </xf>
    <xf numFmtId="0" fontId="7" fillId="0" borderId="32" xfId="0" applyFont="1" applyBorder="1" applyAlignment="1">
      <alignment vertical="center" wrapText="1"/>
    </xf>
    <xf numFmtId="0" fontId="7" fillId="0" borderId="11" xfId="0" applyFont="1" applyBorder="1" applyAlignment="1">
      <alignment vertical="center"/>
    </xf>
    <xf numFmtId="0" fontId="4" fillId="0" borderId="12" xfId="0" applyFont="1" applyBorder="1"/>
    <xf numFmtId="0" fontId="9" fillId="0" borderId="0" xfId="0" applyFont="1" applyFill="1" applyBorder="1" applyAlignment="1">
      <alignment vertical="center"/>
    </xf>
    <xf numFmtId="0" fontId="2" fillId="0" borderId="28" xfId="0" applyFont="1" applyBorder="1" applyAlignment="1"/>
    <xf numFmtId="0" fontId="11" fillId="0" borderId="33" xfId="0" applyFont="1" applyBorder="1" applyAlignment="1">
      <alignment wrapText="1"/>
    </xf>
    <xf numFmtId="0" fontId="11" fillId="0" borderId="28" xfId="0" applyFont="1" applyBorder="1" applyAlignment="1">
      <alignment wrapText="1"/>
    </xf>
    <xf numFmtId="0" fontId="22" fillId="0" borderId="0" xfId="0" applyFont="1" applyBorder="1" applyAlignment="1">
      <alignment vertical="center" wrapText="1"/>
    </xf>
    <xf numFmtId="0" fontId="2" fillId="0" borderId="0" xfId="0" applyFont="1" applyBorder="1" applyAlignment="1"/>
    <xf numFmtId="0" fontId="4" fillId="0" borderId="1" xfId="0" applyFont="1" applyBorder="1" applyAlignment="1">
      <alignment horizontal="left"/>
    </xf>
    <xf numFmtId="0" fontId="22" fillId="0" borderId="29" xfId="0" applyFont="1" applyBorder="1" applyAlignment="1">
      <alignment vertical="center" wrapText="1"/>
    </xf>
    <xf numFmtId="0" fontId="2" fillId="0" borderId="27" xfId="0" applyFont="1" applyBorder="1" applyAlignment="1"/>
    <xf numFmtId="0" fontId="0" fillId="0" borderId="33" xfId="0" applyBorder="1"/>
    <xf numFmtId="0" fontId="22" fillId="0" borderId="28" xfId="0" applyFont="1" applyBorder="1" applyAlignment="1">
      <alignment vertical="center" wrapText="1"/>
    </xf>
    <xf numFmtId="0" fontId="2" fillId="0" borderId="34" xfId="0" applyFont="1" applyBorder="1" applyAlignment="1"/>
    <xf numFmtId="0" fontId="2" fillId="0" borderId="4" xfId="1" applyFont="1" applyBorder="1" applyAlignment="1">
      <alignment horizontal="center" vertical="center" wrapText="1"/>
    </xf>
    <xf numFmtId="0" fontId="2" fillId="2" borderId="1" xfId="1"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0" borderId="35" xfId="1" applyFont="1" applyBorder="1" applyAlignment="1">
      <alignment horizontal="center" vertical="center" wrapText="1"/>
    </xf>
    <xf numFmtId="0" fontId="2" fillId="2" borderId="2" xfId="1" applyFont="1" applyFill="1" applyBorder="1" applyAlignment="1">
      <alignment horizontal="center" vertical="center" wrapText="1"/>
    </xf>
    <xf numFmtId="0" fontId="0" fillId="0" borderId="29" xfId="0" applyBorder="1"/>
    <xf numFmtId="0" fontId="2" fillId="0" borderId="27" xfId="0" applyFont="1" applyBorder="1" applyAlignment="1">
      <alignment horizontal="center"/>
    </xf>
    <xf numFmtId="0" fontId="2" fillId="0" borderId="34" xfId="0" applyFont="1" applyBorder="1" applyAlignment="1">
      <alignment horizontal="center"/>
    </xf>
    <xf numFmtId="0" fontId="4" fillId="0" borderId="1" xfId="0" applyFont="1" applyBorder="1" applyAlignment="1">
      <alignment horizontal="left" wrapText="1"/>
    </xf>
    <xf numFmtId="0" fontId="2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21" fillId="0" borderId="0" xfId="0" applyFont="1" applyBorder="1" applyAlignment="1">
      <alignment vertical="center" wrapText="1"/>
    </xf>
    <xf numFmtId="0" fontId="21" fillId="0" borderId="0" xfId="0" applyFont="1" applyBorder="1" applyAlignment="1">
      <alignment vertical="center"/>
    </xf>
    <xf numFmtId="0" fontId="24" fillId="0" borderId="25" xfId="0" applyFont="1" applyBorder="1" applyAlignment="1">
      <alignment vertical="center" wrapText="1"/>
    </xf>
    <xf numFmtId="0" fontId="24" fillId="0" borderId="0" xfId="0" applyFont="1" applyBorder="1" applyAlignment="1">
      <alignment vertical="center" wrapText="1"/>
    </xf>
    <xf numFmtId="0" fontId="4" fillId="0" borderId="1" xfId="0" applyFont="1" applyFill="1" applyBorder="1" applyAlignment="1"/>
    <xf numFmtId="0" fontId="21" fillId="0" borderId="25" xfId="0" applyFont="1" applyBorder="1" applyAlignment="1">
      <alignment vertical="center"/>
    </xf>
    <xf numFmtId="0" fontId="21" fillId="0" borderId="25" xfId="0" applyFont="1" applyBorder="1" applyAlignment="1">
      <alignment vertical="center" wrapText="1"/>
    </xf>
    <xf numFmtId="0" fontId="21" fillId="0" borderId="26" xfId="0" applyFont="1" applyBorder="1" applyAlignment="1">
      <alignment vertical="center"/>
    </xf>
    <xf numFmtId="0" fontId="21" fillId="0" borderId="27" xfId="0" applyFont="1" applyBorder="1" applyAlignment="1">
      <alignment vertical="center"/>
    </xf>
    <xf numFmtId="0" fontId="21" fillId="0" borderId="27" xfId="0" quotePrefix="1" applyFont="1" applyBorder="1" applyAlignment="1">
      <alignment vertical="center"/>
    </xf>
    <xf numFmtId="0" fontId="21" fillId="0" borderId="28" xfId="0" applyFont="1" applyBorder="1" applyAlignment="1">
      <alignment vertical="center" wrapText="1"/>
    </xf>
    <xf numFmtId="16" fontId="21" fillId="0" borderId="34" xfId="0" quotePrefix="1" applyNumberFormat="1" applyFont="1" applyBorder="1" applyAlignment="1">
      <alignment vertical="center"/>
    </xf>
    <xf numFmtId="0" fontId="21" fillId="0" borderId="17" xfId="0" applyFont="1" applyBorder="1" applyAlignment="1">
      <alignment vertical="center"/>
    </xf>
    <xf numFmtId="0" fontId="21" fillId="0" borderId="36" xfId="0" applyFont="1" applyBorder="1" applyAlignment="1">
      <alignment vertical="center"/>
    </xf>
    <xf numFmtId="0" fontId="21" fillId="0" borderId="36" xfId="0" applyFont="1" applyBorder="1" applyAlignment="1">
      <alignment vertical="center" wrapText="1"/>
    </xf>
    <xf numFmtId="0" fontId="21" fillId="0" borderId="36" xfId="0" applyFont="1" applyBorder="1" applyAlignment="1">
      <alignment horizontal="center" vertical="center"/>
    </xf>
    <xf numFmtId="0" fontId="21" fillId="0" borderId="22" xfId="0" applyFont="1" applyBorder="1" applyAlignment="1">
      <alignment vertical="center"/>
    </xf>
    <xf numFmtId="0" fontId="2" fillId="0" borderId="30" xfId="0" applyFont="1" applyBorder="1" applyAlignment="1">
      <alignment horizontal="center" vertical="center" wrapText="1"/>
    </xf>
    <xf numFmtId="0" fontId="0" fillId="0" borderId="34" xfId="0" applyBorder="1"/>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0" xfId="0" applyFont="1" applyAlignment="1">
      <alignment horizontal="center" vertical="center"/>
    </xf>
    <xf numFmtId="0" fontId="13" fillId="0" borderId="9" xfId="0" applyFont="1" applyBorder="1" applyAlignment="1">
      <alignment horizontal="center" vertical="center" wrapText="1"/>
    </xf>
    <xf numFmtId="0" fontId="4" fillId="0" borderId="0" xfId="1" applyFont="1" applyBorder="1" applyAlignment="1">
      <alignment horizontal="center"/>
    </xf>
    <xf numFmtId="0" fontId="4" fillId="0" borderId="0" xfId="1" applyFont="1" applyBorder="1" applyAlignment="1">
      <alignment horizontal="left" wrapText="1"/>
    </xf>
    <xf numFmtId="0" fontId="4" fillId="0" borderId="0" xfId="1" applyFont="1" applyBorder="1" applyAlignment="1">
      <alignment horizontal="left" vertical="center"/>
    </xf>
    <xf numFmtId="0" fontId="4" fillId="0" borderId="0" xfId="1" applyFont="1" applyBorder="1" applyAlignment="1">
      <alignment vertical="center"/>
    </xf>
    <xf numFmtId="0" fontId="4" fillId="0" borderId="0" xfId="1" applyFont="1"/>
    <xf numFmtId="0" fontId="7" fillId="0" borderId="0" xfId="1" applyFont="1" applyBorder="1" applyAlignment="1">
      <alignment vertical="center"/>
    </xf>
    <xf numFmtId="0" fontId="4" fillId="0" borderId="0" xfId="1" applyFont="1" applyAlignment="1">
      <alignment horizontal="center"/>
    </xf>
    <xf numFmtId="0" fontId="7" fillId="0" borderId="37" xfId="1" applyFont="1" applyBorder="1" applyAlignment="1">
      <alignment horizontal="center" vertical="center" wrapText="1"/>
    </xf>
    <xf numFmtId="0" fontId="7" fillId="0" borderId="37" xfId="1" applyFont="1" applyBorder="1" applyAlignment="1">
      <alignment vertical="center" wrapText="1"/>
    </xf>
    <xf numFmtId="0" fontId="4" fillId="0" borderId="0" xfId="1" applyFont="1" applyAlignment="1">
      <alignment horizontal="center" vertical="center"/>
    </xf>
    <xf numFmtId="0" fontId="7" fillId="0" borderId="2" xfId="1" applyFont="1" applyBorder="1" applyAlignment="1">
      <alignment horizontal="center" vertical="center" wrapText="1"/>
    </xf>
    <xf numFmtId="0" fontId="7" fillId="0" borderId="2" xfId="1" applyFont="1" applyBorder="1" applyAlignment="1">
      <alignment horizontal="center" vertical="center"/>
    </xf>
    <xf numFmtId="0" fontId="7" fillId="0" borderId="38" xfId="1" applyFont="1" applyBorder="1" applyAlignment="1">
      <alignment horizontal="center" vertical="center" wrapText="1"/>
    </xf>
    <xf numFmtId="0" fontId="4" fillId="0" borderId="39" xfId="1" applyFont="1" applyBorder="1" applyAlignment="1">
      <alignment horizontal="center" vertical="center"/>
    </xf>
    <xf numFmtId="0" fontId="4" fillId="0" borderId="39" xfId="1" applyFont="1" applyBorder="1" applyAlignment="1">
      <alignment horizontal="center" vertical="center" wrapText="1"/>
    </xf>
    <xf numFmtId="0" fontId="4" fillId="0" borderId="30" xfId="1" applyFont="1" applyBorder="1" applyAlignment="1">
      <alignment horizontal="left" vertical="center" wrapText="1"/>
    </xf>
    <xf numFmtId="0" fontId="4" fillId="0" borderId="4" xfId="1" applyFont="1" applyBorder="1" applyAlignment="1">
      <alignment horizontal="center" vertical="center"/>
    </xf>
    <xf numFmtId="0" fontId="4" fillId="0" borderId="4" xfId="1" applyFont="1" applyBorder="1" applyAlignment="1">
      <alignment horizontal="center" vertical="center" wrapText="1"/>
    </xf>
    <xf numFmtId="0" fontId="4" fillId="0" borderId="40" xfId="1" applyFont="1" applyBorder="1" applyAlignment="1">
      <alignment horizontal="left" vertical="center" wrapText="1"/>
    </xf>
    <xf numFmtId="0" fontId="4" fillId="0" borderId="40" xfId="1" quotePrefix="1" applyFont="1" applyBorder="1" applyAlignment="1">
      <alignment horizontal="center" vertical="center" wrapText="1"/>
    </xf>
    <xf numFmtId="0" fontId="4" fillId="0" borderId="35" xfId="1" applyFont="1" applyBorder="1" applyAlignment="1">
      <alignment horizontal="center" vertical="center"/>
    </xf>
    <xf numFmtId="0" fontId="4" fillId="0" borderId="35" xfId="1" applyFont="1" applyBorder="1" applyAlignment="1">
      <alignment horizontal="center" vertical="center" wrapText="1"/>
    </xf>
    <xf numFmtId="0" fontId="4" fillId="0" borderId="19" xfId="1" applyFont="1" applyBorder="1" applyAlignment="1">
      <alignment horizontal="left" vertical="center" wrapText="1"/>
    </xf>
    <xf numFmtId="0" fontId="4" fillId="0" borderId="19" xfId="1" applyFont="1" applyBorder="1" applyAlignment="1">
      <alignment vertical="center" wrapText="1"/>
    </xf>
    <xf numFmtId="0" fontId="4" fillId="0" borderId="19" xfId="1" applyFont="1" applyBorder="1" applyAlignment="1">
      <alignment horizontal="center" vertical="center"/>
    </xf>
    <xf numFmtId="0" fontId="4" fillId="0" borderId="19" xfId="1" applyFont="1" applyBorder="1" applyAlignment="1">
      <alignment horizontal="center" vertical="center" wrapText="1"/>
    </xf>
    <xf numFmtId="0" fontId="4" fillId="0" borderId="4" xfId="1" applyFont="1" applyBorder="1" applyAlignment="1">
      <alignment horizontal="left" vertical="center" wrapText="1"/>
    </xf>
    <xf numFmtId="0" fontId="4" fillId="0" borderId="4" xfId="1" applyFont="1" applyBorder="1" applyAlignment="1">
      <alignment vertical="center" wrapText="1"/>
    </xf>
    <xf numFmtId="0" fontId="4" fillId="0" borderId="19" xfId="1" applyFont="1" applyBorder="1" applyAlignment="1">
      <alignment horizontal="left" vertical="center"/>
    </xf>
    <xf numFmtId="0" fontId="4" fillId="0" borderId="19" xfId="1" applyFont="1" applyBorder="1" applyAlignment="1">
      <alignment horizontal="center"/>
    </xf>
    <xf numFmtId="0" fontId="4" fillId="0" borderId="39" xfId="1" applyFont="1" applyBorder="1" applyAlignment="1">
      <alignment horizontal="left" vertical="center" wrapText="1"/>
    </xf>
    <xf numFmtId="0" fontId="4" fillId="0" borderId="39" xfId="1" applyFont="1" applyBorder="1" applyAlignment="1">
      <alignment horizontal="center"/>
    </xf>
    <xf numFmtId="0" fontId="4" fillId="0" borderId="41" xfId="1" applyFont="1" applyBorder="1" applyAlignment="1">
      <alignment horizontal="center"/>
    </xf>
    <xf numFmtId="0" fontId="4" fillId="0" borderId="42" xfId="1" applyFont="1" applyBorder="1" applyAlignment="1">
      <alignment horizontal="center"/>
    </xf>
    <xf numFmtId="0" fontId="4" fillId="0" borderId="30" xfId="1" applyFont="1" applyBorder="1" applyAlignment="1">
      <alignment horizontal="center"/>
    </xf>
    <xf numFmtId="0" fontId="4" fillId="0" borderId="30" xfId="1" applyFont="1" applyBorder="1" applyAlignment="1">
      <alignment horizontal="center" vertical="center"/>
    </xf>
    <xf numFmtId="0" fontId="4" fillId="0" borderId="43" xfId="1" applyFont="1" applyBorder="1" applyAlignment="1">
      <alignment horizontal="center"/>
    </xf>
    <xf numFmtId="0" fontId="4" fillId="0" borderId="44" xfId="1" applyFont="1" applyBorder="1" applyAlignment="1">
      <alignment horizontal="center"/>
    </xf>
    <xf numFmtId="0" fontId="4" fillId="0" borderId="4" xfId="1" applyFont="1" applyBorder="1" applyAlignment="1">
      <alignment horizontal="center"/>
    </xf>
    <xf numFmtId="0" fontId="4" fillId="0" borderId="45" xfId="1" applyFont="1" applyBorder="1" applyAlignment="1">
      <alignment horizontal="center"/>
    </xf>
    <xf numFmtId="0" fontId="4" fillId="0" borderId="46" xfId="1" applyFont="1" applyBorder="1" applyAlignment="1">
      <alignment horizontal="center"/>
    </xf>
    <xf numFmtId="0" fontId="4" fillId="0" borderId="35" xfId="1" applyFont="1" applyBorder="1" applyAlignment="1">
      <alignment horizontal="left" vertical="center" wrapText="1"/>
    </xf>
    <xf numFmtId="0" fontId="4" fillId="0" borderId="35" xfId="1" applyFont="1" applyBorder="1" applyAlignment="1">
      <alignment vertical="center" wrapText="1"/>
    </xf>
    <xf numFmtId="0" fontId="4" fillId="0" borderId="35" xfId="1" applyFont="1" applyBorder="1" applyAlignment="1">
      <alignment horizontal="center"/>
    </xf>
    <xf numFmtId="0" fontId="4" fillId="0" borderId="47" xfId="1" applyFont="1" applyBorder="1" applyAlignment="1">
      <alignment horizontal="center"/>
    </xf>
    <xf numFmtId="0" fontId="4" fillId="0" borderId="48" xfId="1" applyFont="1" applyBorder="1" applyAlignment="1">
      <alignment horizontal="center"/>
    </xf>
    <xf numFmtId="0" fontId="4" fillId="0" borderId="49" xfId="1" applyFont="1" applyBorder="1" applyAlignment="1">
      <alignment vertical="center"/>
    </xf>
    <xf numFmtId="0" fontId="4" fillId="0" borderId="50" xfId="1" applyFont="1" applyFill="1" applyBorder="1" applyAlignment="1">
      <alignment horizontal="center" vertical="center" wrapText="1"/>
    </xf>
    <xf numFmtId="0" fontId="4" fillId="0" borderId="50" xfId="1" applyFont="1" applyFill="1" applyBorder="1" applyAlignment="1">
      <alignment horizontal="left" vertical="center" wrapText="1"/>
    </xf>
    <xf numFmtId="0" fontId="4" fillId="0" borderId="50" xfId="1" applyFont="1" applyFill="1" applyBorder="1" applyAlignment="1">
      <alignment horizontal="center" vertical="center"/>
    </xf>
    <xf numFmtId="0" fontId="4" fillId="0" borderId="51" xfId="1" applyFont="1" applyFill="1" applyBorder="1" applyAlignment="1">
      <alignment horizontal="center" vertical="center" wrapText="1"/>
    </xf>
    <xf numFmtId="0" fontId="4" fillId="0" borderId="0" xfId="1" applyFont="1" applyFill="1"/>
    <xf numFmtId="0" fontId="4" fillId="0" borderId="0" xfId="1" applyFont="1" applyAlignment="1">
      <alignment horizontal="left" wrapText="1"/>
    </xf>
    <xf numFmtId="0" fontId="4" fillId="0" borderId="0" xfId="1" applyFont="1" applyAlignment="1">
      <alignment horizontal="left" vertical="center"/>
    </xf>
    <xf numFmtId="0" fontId="4" fillId="0" borderId="0" xfId="1" applyFont="1" applyAlignment="1">
      <alignment vertical="center"/>
    </xf>
    <xf numFmtId="0" fontId="4" fillId="0" borderId="0" xfId="1" applyFont="1" applyAlignment="1">
      <alignment horizontal="left" vertical="center" wrapText="1"/>
    </xf>
    <xf numFmtId="0" fontId="4" fillId="0" borderId="0" xfId="1" applyFont="1" applyAlignment="1">
      <alignment vertical="center" wrapText="1"/>
    </xf>
    <xf numFmtId="0" fontId="4" fillId="0" borderId="0" xfId="1" applyFont="1" applyBorder="1" applyAlignment="1">
      <alignment horizontal="center" vertical="center"/>
    </xf>
    <xf numFmtId="0" fontId="4" fillId="0" borderId="21" xfId="1" applyFont="1" applyBorder="1" applyAlignment="1">
      <alignment horizontal="center" vertical="center"/>
    </xf>
    <xf numFmtId="0" fontId="4" fillId="0" borderId="52" xfId="1" applyFont="1" applyBorder="1" applyAlignment="1">
      <alignment horizontal="center" vertical="center"/>
    </xf>
    <xf numFmtId="0" fontId="4" fillId="0" borderId="53" xfId="1" applyFont="1" applyBorder="1" applyAlignment="1">
      <alignment horizontal="center" vertical="center"/>
    </xf>
    <xf numFmtId="0" fontId="4" fillId="0" borderId="16" xfId="1" applyFont="1" applyBorder="1" applyAlignment="1">
      <alignment horizontal="center" vertical="center"/>
    </xf>
    <xf numFmtId="0" fontId="4" fillId="0" borderId="54" xfId="1" applyFont="1" applyBorder="1" applyAlignment="1">
      <alignment horizontal="center" vertical="center"/>
    </xf>
    <xf numFmtId="0" fontId="4" fillId="0" borderId="52"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54" xfId="1" applyFont="1" applyBorder="1" applyAlignment="1">
      <alignment horizontal="center" vertical="center" wrapText="1"/>
    </xf>
    <xf numFmtId="0" fontId="4" fillId="0" borderId="21" xfId="1" applyFont="1" applyBorder="1" applyAlignment="1">
      <alignment horizontal="center" vertical="center" wrapText="1"/>
    </xf>
    <xf numFmtId="0" fontId="10" fillId="0" borderId="0" xfId="0" applyFont="1"/>
    <xf numFmtId="0" fontId="15"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xf>
    <xf numFmtId="0" fontId="10" fillId="0" borderId="4" xfId="0" applyFont="1" applyBorder="1" applyAlignment="1">
      <alignment horizontal="left" vertical="center" wrapText="1"/>
    </xf>
    <xf numFmtId="0" fontId="10" fillId="0" borderId="4" xfId="0" quotePrefix="1" applyFont="1" applyBorder="1" applyAlignment="1">
      <alignment horizontal="left" vertical="center" wrapText="1"/>
    </xf>
    <xf numFmtId="0" fontId="10" fillId="0" borderId="0" xfId="0" applyFont="1" applyAlignment="1">
      <alignment horizontal="left" vertical="center"/>
    </xf>
    <xf numFmtId="14" fontId="20" fillId="0" borderId="1" xfId="0" applyNumberFormat="1" applyFont="1" applyBorder="1" applyAlignment="1">
      <alignment horizontal="left"/>
    </xf>
    <xf numFmtId="0" fontId="2" fillId="0" borderId="31" xfId="0" applyFont="1" applyBorder="1" applyAlignment="1">
      <alignment horizontal="center"/>
    </xf>
    <xf numFmtId="0" fontId="2" fillId="0" borderId="11" xfId="0" applyFont="1" applyBorder="1" applyAlignment="1">
      <alignment horizontal="left" wrapText="1"/>
    </xf>
    <xf numFmtId="0" fontId="2" fillId="0" borderId="11" xfId="0" applyFont="1" applyBorder="1" applyAlignment="1">
      <alignment horizontal="left" vertical="center"/>
    </xf>
    <xf numFmtId="0" fontId="2" fillId="0" borderId="11" xfId="0" applyFont="1" applyBorder="1" applyAlignment="1">
      <alignment vertical="center"/>
    </xf>
    <xf numFmtId="0" fontId="2" fillId="0" borderId="12" xfId="0" applyFont="1" applyBorder="1" applyAlignment="1">
      <alignment horizontal="center"/>
    </xf>
    <xf numFmtId="0" fontId="9" fillId="0" borderId="32" xfId="0" applyFont="1" applyBorder="1" applyAlignment="1">
      <alignment vertical="center" wrapText="1"/>
    </xf>
    <xf numFmtId="0" fontId="9" fillId="0" borderId="11" xfId="0" applyFont="1" applyBorder="1" applyAlignment="1">
      <alignment vertical="center"/>
    </xf>
    <xf numFmtId="0" fontId="2" fillId="0" borderId="13" xfId="0" applyFont="1" applyBorder="1" applyAlignment="1">
      <alignment horizontal="center" vertical="center"/>
    </xf>
    <xf numFmtId="0" fontId="2" fillId="0" borderId="3" xfId="0" applyFont="1" applyBorder="1" applyAlignment="1">
      <alignment horizontal="left" vertical="top" wrapText="1"/>
    </xf>
    <xf numFmtId="0" fontId="2" fillId="0" borderId="14" xfId="0" applyFont="1" applyBorder="1" applyAlignment="1">
      <alignment vertical="center" wrapText="1"/>
    </xf>
    <xf numFmtId="0" fontId="2" fillId="0" borderId="15" xfId="0" applyFont="1" applyBorder="1" applyAlignment="1">
      <alignment horizontal="center" vertical="center"/>
    </xf>
    <xf numFmtId="0" fontId="2" fillId="0" borderId="55" xfId="0" applyFont="1" applyBorder="1" applyAlignment="1">
      <alignment horizontal="center" vertical="center"/>
    </xf>
    <xf numFmtId="0" fontId="2" fillId="0" borderId="30" xfId="0" quotePrefix="1" applyFont="1" applyBorder="1" applyAlignment="1">
      <alignment vertical="center" wrapText="1"/>
    </xf>
    <xf numFmtId="0" fontId="2" fillId="0" borderId="30" xfId="0" applyFont="1" applyBorder="1" applyAlignment="1">
      <alignment horizontal="center" vertical="center"/>
    </xf>
    <xf numFmtId="0" fontId="2" fillId="0" borderId="30" xfId="0" applyFont="1" applyBorder="1" applyAlignment="1">
      <alignment horizontal="left" vertical="top" wrapText="1"/>
    </xf>
    <xf numFmtId="0" fontId="23"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21" fillId="0" borderId="1" xfId="0" quotePrefix="1" applyFont="1" applyFill="1" applyBorder="1" applyAlignment="1">
      <alignment vertical="center" wrapText="1"/>
    </xf>
    <xf numFmtId="0" fontId="1" fillId="0" borderId="0" xfId="0" applyFont="1" applyFill="1"/>
    <xf numFmtId="0" fontId="20" fillId="0" borderId="29" xfId="0" applyFont="1" applyBorder="1" applyAlignment="1">
      <alignment horizontal="center" vertical="center"/>
    </xf>
    <xf numFmtId="0" fontId="20" fillId="0" borderId="0" xfId="0" applyFont="1" applyFill="1" applyBorder="1" applyAlignment="1">
      <alignment horizontal="center" vertical="center" wrapText="1"/>
    </xf>
    <xf numFmtId="0" fontId="4" fillId="0" borderId="56" xfId="1" applyFont="1" applyBorder="1" applyAlignment="1">
      <alignment vertical="center"/>
    </xf>
    <xf numFmtId="0" fontId="4" fillId="0" borderId="2" xfId="1" applyFont="1" applyFill="1" applyBorder="1" applyAlignment="1">
      <alignment horizontal="center" vertical="center" wrapText="1"/>
    </xf>
    <xf numFmtId="0" fontId="4" fillId="0" borderId="2" xfId="1" applyFont="1" applyFill="1" applyBorder="1" applyAlignment="1">
      <alignment horizontal="left" vertical="center" wrapText="1"/>
    </xf>
    <xf numFmtId="0" fontId="4" fillId="0" borderId="2" xfId="1" applyFont="1" applyFill="1" applyBorder="1" applyAlignment="1">
      <alignment horizontal="center" vertical="center"/>
    </xf>
    <xf numFmtId="0" fontId="4" fillId="0" borderId="38" xfId="1" applyFont="1" applyFill="1" applyBorder="1" applyAlignment="1">
      <alignment horizontal="center" vertical="center" wrapText="1"/>
    </xf>
    <xf numFmtId="0" fontId="2" fillId="0" borderId="35" xfId="0" applyFont="1" applyBorder="1" applyAlignment="1">
      <alignment horizontal="center" vertical="center" wrapText="1"/>
    </xf>
    <xf numFmtId="0" fontId="2" fillId="0" borderId="35"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57" xfId="0" applyFont="1" applyBorder="1" applyAlignment="1">
      <alignment horizontal="center" vertical="center"/>
    </xf>
    <xf numFmtId="0" fontId="2" fillId="0" borderId="19" xfId="0" applyFont="1" applyBorder="1" applyAlignment="1">
      <alignment horizontal="left" vertical="center" wrapText="1"/>
    </xf>
    <xf numFmtId="0" fontId="2" fillId="0" borderId="19" xfId="0" applyFont="1" applyBorder="1" applyAlignment="1">
      <alignment vertical="center" wrapText="1"/>
    </xf>
    <xf numFmtId="0" fontId="2" fillId="0" borderId="19" xfId="0" applyFont="1" applyBorder="1" applyAlignment="1">
      <alignment horizontal="center" vertical="center"/>
    </xf>
    <xf numFmtId="0" fontId="2" fillId="0" borderId="58" xfId="0" applyFont="1" applyBorder="1" applyAlignment="1">
      <alignment horizontal="center" vertical="center"/>
    </xf>
    <xf numFmtId="0" fontId="2" fillId="0" borderId="19"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vertical="center" wrapText="1"/>
    </xf>
    <xf numFmtId="0" fontId="2" fillId="0" borderId="56" xfId="0" applyFont="1" applyBorder="1" applyAlignment="1">
      <alignment horizontal="center" vertical="center"/>
    </xf>
    <xf numFmtId="0" fontId="2" fillId="0" borderId="35" xfId="0" applyFont="1" applyBorder="1" applyAlignment="1">
      <alignment vertical="center" wrapText="1"/>
    </xf>
    <xf numFmtId="0" fontId="2" fillId="0" borderId="35" xfId="0" applyFont="1" applyBorder="1" applyAlignment="1">
      <alignment horizontal="center" vertical="center"/>
    </xf>
    <xf numFmtId="0" fontId="2" fillId="0" borderId="38" xfId="0" applyFont="1" applyBorder="1" applyAlignment="1">
      <alignment vertical="center" wrapText="1"/>
    </xf>
    <xf numFmtId="0" fontId="2" fillId="3" borderId="4"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Border="1" applyAlignment="1">
      <alignment horizontal="center" vertical="center"/>
    </xf>
    <xf numFmtId="0" fontId="29" fillId="0" borderId="0" xfId="0" applyFont="1" applyFill="1"/>
    <xf numFmtId="0" fontId="3" fillId="0" borderId="33" xfId="0" applyFont="1" applyFill="1" applyBorder="1" applyAlignment="1">
      <alignment vertical="center"/>
    </xf>
    <xf numFmtId="0" fontId="3" fillId="0" borderId="28" xfId="0" applyFont="1" applyFill="1" applyBorder="1" applyAlignment="1">
      <alignment vertical="center"/>
    </xf>
    <xf numFmtId="0" fontId="3" fillId="0" borderId="34" xfId="0" applyFont="1" applyFill="1" applyBorder="1" applyAlignment="1">
      <alignment vertical="center"/>
    </xf>
    <xf numFmtId="0" fontId="15" fillId="0" borderId="24" xfId="0" applyFont="1" applyFill="1" applyBorder="1" applyAlignment="1">
      <alignment vertical="center"/>
    </xf>
    <xf numFmtId="0" fontId="15" fillId="0" borderId="25" xfId="0" applyFont="1" applyFill="1" applyBorder="1" applyAlignment="1">
      <alignment vertical="center"/>
    </xf>
    <xf numFmtId="0" fontId="15" fillId="0" borderId="26" xfId="0" applyFont="1" applyFill="1" applyBorder="1" applyAlignment="1">
      <alignment vertical="center"/>
    </xf>
    <xf numFmtId="0" fontId="10" fillId="0" borderId="0" xfId="0" applyFont="1" applyFill="1"/>
    <xf numFmtId="0" fontId="10" fillId="0" borderId="0" xfId="0" applyFont="1" applyFill="1" applyAlignment="1">
      <alignment horizontal="center" vertical="center"/>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Border="1" applyAlignment="1">
      <alignment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1" xfId="0" applyFont="1" applyFill="1" applyBorder="1" applyAlignment="1">
      <alignment vertical="center" wrapText="1"/>
    </xf>
    <xf numFmtId="0" fontId="10" fillId="0" borderId="0" xfId="0" applyFont="1" applyFill="1" applyAlignment="1">
      <alignment horizontal="left"/>
    </xf>
    <xf numFmtId="0" fontId="10" fillId="0" borderId="1" xfId="0" applyFont="1" applyBorder="1" applyAlignment="1">
      <alignment horizontal="center"/>
    </xf>
    <xf numFmtId="0" fontId="31" fillId="0" borderId="1" xfId="0" applyFont="1" applyBorder="1" applyAlignment="1">
      <alignment horizontal="center"/>
    </xf>
    <xf numFmtId="0" fontId="10" fillId="0" borderId="1" xfId="0" applyFont="1" applyBorder="1"/>
    <xf numFmtId="0" fontId="10" fillId="0" borderId="1" xfId="0" applyFont="1" applyFill="1" applyBorder="1" applyAlignment="1">
      <alignment horizontal="center"/>
    </xf>
    <xf numFmtId="0" fontId="10" fillId="0" borderId="0" xfId="0" applyFont="1" applyFill="1" applyBorder="1"/>
    <xf numFmtId="0" fontId="31" fillId="0" borderId="0" xfId="0" applyFont="1" applyFill="1" applyAlignment="1">
      <alignment horizontal="left" vertical="center"/>
    </xf>
    <xf numFmtId="0" fontId="31" fillId="0" borderId="0" xfId="0" applyFont="1" applyFill="1" applyAlignment="1">
      <alignment vertical="center"/>
    </xf>
    <xf numFmtId="0" fontId="10" fillId="0" borderId="0" xfId="0" applyFont="1" applyFill="1" applyBorder="1" applyAlignment="1">
      <alignment horizontal="center"/>
    </xf>
    <xf numFmtId="0" fontId="10" fillId="0" borderId="0" xfId="0" applyFont="1" applyFill="1" applyAlignment="1">
      <alignment horizontal="left" wrapText="1"/>
    </xf>
    <xf numFmtId="0" fontId="10" fillId="0" borderId="0" xfId="0" applyFont="1" applyFill="1" applyAlignment="1">
      <alignment horizontal="center"/>
    </xf>
    <xf numFmtId="0" fontId="31" fillId="0" borderId="0" xfId="0" applyFont="1" applyFill="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10" fillId="0" borderId="1" xfId="0" applyFont="1" applyBorder="1" applyAlignment="1">
      <alignment horizontal="center"/>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2" xfId="0" quotePrefix="1" applyFont="1" applyBorder="1" applyAlignment="1">
      <alignment horizontal="left" vertical="center" wrapText="1"/>
    </xf>
    <xf numFmtId="0" fontId="2" fillId="0" borderId="58" xfId="0" applyFont="1" applyBorder="1" applyAlignment="1">
      <alignment horizontal="left" vertical="center" wrapText="1"/>
    </xf>
    <xf numFmtId="0" fontId="2" fillId="0" borderId="58" xfId="0" quotePrefix="1" applyFont="1" applyBorder="1" applyAlignment="1">
      <alignment vertical="center" wrapText="1"/>
    </xf>
    <xf numFmtId="0" fontId="2" fillId="0" borderId="58" xfId="0" quotePrefix="1" applyFont="1" applyBorder="1" applyAlignment="1">
      <alignment horizontal="left" vertical="center" wrapText="1"/>
    </xf>
    <xf numFmtId="0" fontId="2" fillId="0" borderId="0" xfId="0" applyFont="1" applyBorder="1" applyAlignment="1">
      <alignment horizontal="left" vertical="center" wrapText="1"/>
    </xf>
    <xf numFmtId="0" fontId="0" fillId="0" borderId="29" xfId="0" applyBorder="1" applyAlignment="1">
      <alignment vertical="center"/>
    </xf>
    <xf numFmtId="0" fontId="4" fillId="0" borderId="1" xfId="0" applyFont="1" applyBorder="1" applyAlignment="1">
      <alignment horizontal="left" vertical="center"/>
    </xf>
    <xf numFmtId="0" fontId="0" fillId="0" borderId="33" xfId="0" applyBorder="1" applyAlignment="1">
      <alignment vertical="center"/>
    </xf>
    <xf numFmtId="0" fontId="20" fillId="0"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2" fillId="0" borderId="0" xfId="0" applyFont="1" applyFill="1" applyAlignment="1">
      <alignment horizontal="center" vertical="center"/>
    </xf>
    <xf numFmtId="0" fontId="10"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0" fillId="0" borderId="1" xfId="0" applyFont="1" applyFill="1" applyBorder="1" applyAlignment="1">
      <alignment horizontal="left" vertical="center" wrapText="1"/>
    </xf>
    <xf numFmtId="0" fontId="32" fillId="0" borderId="24" xfId="0" applyFont="1" applyBorder="1"/>
    <xf numFmtId="0" fontId="32" fillId="0" borderId="29" xfId="0" applyFont="1" applyBorder="1"/>
    <xf numFmtId="0" fontId="32" fillId="0" borderId="33" xfId="0" applyFont="1" applyBorder="1"/>
    <xf numFmtId="0" fontId="33" fillId="0" borderId="0" xfId="0" applyFont="1" applyFill="1" applyBorder="1" applyAlignment="1">
      <alignment horizontal="left" vertical="center" wrapText="1"/>
    </xf>
    <xf numFmtId="0" fontId="20" fillId="0" borderId="0" xfId="0" applyFont="1" applyFill="1" applyBorder="1" applyAlignment="1">
      <alignment horizontal="left" vertical="center" wrapText="1"/>
    </xf>
    <xf numFmtId="0" fontId="32" fillId="0" borderId="0" xfId="0" applyFont="1" applyBorder="1" applyAlignment="1">
      <alignment horizontal="left"/>
    </xf>
    <xf numFmtId="0" fontId="0" fillId="0" borderId="0" xfId="0" applyBorder="1" applyAlignment="1">
      <alignment horizontal="left"/>
    </xf>
    <xf numFmtId="0" fontId="32" fillId="0" borderId="28" xfId="0" applyFont="1" applyBorder="1" applyAlignment="1">
      <alignment horizontal="left"/>
    </xf>
    <xf numFmtId="0" fontId="0" fillId="0" borderId="28" xfId="0" applyBorder="1" applyAlignment="1">
      <alignment horizontal="left"/>
    </xf>
    <xf numFmtId="0" fontId="20" fillId="0" borderId="1" xfId="0" applyFont="1" applyBorder="1" applyAlignment="1">
      <alignment horizontal="left"/>
    </xf>
    <xf numFmtId="0" fontId="2" fillId="0" borderId="0" xfId="0" applyFont="1" applyFill="1" applyAlignment="1">
      <alignment horizontal="left"/>
    </xf>
    <xf numFmtId="0" fontId="4" fillId="0" borderId="0" xfId="0" applyFont="1" applyFill="1" applyBorder="1" applyAlignment="1">
      <alignment horizontal="center"/>
    </xf>
    <xf numFmtId="0" fontId="4" fillId="0" borderId="0" xfId="0" applyFont="1" applyFill="1" applyAlignment="1">
      <alignment horizontal="center"/>
    </xf>
    <xf numFmtId="0" fontId="4" fillId="0" borderId="17" xfId="0" applyFont="1" applyBorder="1" applyAlignment="1">
      <alignment horizontal="center"/>
    </xf>
    <xf numFmtId="0" fontId="4" fillId="0" borderId="36" xfId="0" applyFont="1" applyBorder="1" applyAlignment="1">
      <alignment horizontal="center"/>
    </xf>
    <xf numFmtId="0" fontId="4" fillId="0" borderId="17" xfId="0" applyFont="1" applyFill="1" applyBorder="1" applyAlignment="1">
      <alignment horizontal="center"/>
    </xf>
    <xf numFmtId="0" fontId="4" fillId="0" borderId="36" xfId="0" applyFont="1" applyFill="1" applyBorder="1" applyAlignment="1">
      <alignment horizontal="center"/>
    </xf>
    <xf numFmtId="0" fontId="4" fillId="0" borderId="28" xfId="0" applyFont="1" applyFill="1" applyBorder="1" applyAlignment="1">
      <alignment horizontal="center"/>
    </xf>
    <xf numFmtId="0" fontId="4" fillId="0" borderId="34" xfId="0" applyFont="1" applyFill="1" applyBorder="1" applyAlignment="1">
      <alignment horizontal="center"/>
    </xf>
    <xf numFmtId="14" fontId="4" fillId="0" borderId="17" xfId="0" quotePrefix="1" applyNumberFormat="1" applyFont="1" applyBorder="1" applyAlignment="1">
      <alignment horizontal="center"/>
    </xf>
    <xf numFmtId="14" fontId="4" fillId="0" borderId="36" xfId="0" applyNumberFormat="1" applyFont="1" applyBorder="1" applyAlignment="1">
      <alignment horizontal="center"/>
    </xf>
    <xf numFmtId="0" fontId="4" fillId="0" borderId="22" xfId="0" applyFont="1" applyFill="1" applyBorder="1" applyAlignment="1">
      <alignment horizontal="center"/>
    </xf>
    <xf numFmtId="14" fontId="4" fillId="0" borderId="17" xfId="0" applyNumberFormat="1" applyFont="1" applyBorder="1" applyAlignment="1">
      <alignment horizontal="center"/>
    </xf>
    <xf numFmtId="0" fontId="4" fillId="0" borderId="22" xfId="0" applyFont="1" applyBorder="1" applyAlignment="1">
      <alignment horizontal="center"/>
    </xf>
    <xf numFmtId="0" fontId="4" fillId="0" borderId="1" xfId="0" applyFont="1" applyFill="1" applyBorder="1" applyAlignment="1">
      <alignment horizontal="center" wrapText="1"/>
    </xf>
    <xf numFmtId="0" fontId="9" fillId="0" borderId="60"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7"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1" xfId="0" applyFont="1" applyBorder="1" applyAlignment="1">
      <alignment horizontal="center" vertical="center"/>
    </xf>
    <xf numFmtId="0" fontId="21" fillId="0" borderId="2" xfId="0" applyFont="1" applyBorder="1" applyAlignment="1">
      <alignment horizontal="center" vertical="center"/>
    </xf>
    <xf numFmtId="0" fontId="21" fillId="0" borderId="40" xfId="0" applyFont="1" applyBorder="1" applyAlignment="1">
      <alignment horizontal="center" vertical="center"/>
    </xf>
    <xf numFmtId="0" fontId="21" fillId="0" borderId="23" xfId="0" applyFont="1" applyBorder="1" applyAlignment="1">
      <alignment horizontal="center" vertical="center"/>
    </xf>
    <xf numFmtId="0" fontId="21" fillId="0" borderId="2" xfId="0" applyFont="1" applyFill="1" applyBorder="1" applyAlignment="1">
      <alignment horizontal="center" vertical="center"/>
    </xf>
    <xf numFmtId="0" fontId="21" fillId="0" borderId="40" xfId="0" applyFont="1" applyFill="1" applyBorder="1" applyAlignment="1">
      <alignment horizontal="center" vertical="center"/>
    </xf>
    <xf numFmtId="0" fontId="21" fillId="0" borderId="23" xfId="0" applyFont="1" applyFill="1" applyBorder="1" applyAlignment="1">
      <alignment horizontal="center" vertical="center"/>
    </xf>
    <xf numFmtId="0" fontId="21" fillId="0" borderId="2" xfId="0" applyFont="1" applyFill="1" applyBorder="1" applyAlignment="1">
      <alignment horizontal="center" vertical="center" wrapText="1"/>
    </xf>
    <xf numFmtId="0" fontId="21" fillId="0" borderId="40" xfId="0" applyFont="1" applyFill="1" applyBorder="1" applyAlignment="1">
      <alignment horizontal="center" vertical="center" wrapText="1"/>
    </xf>
    <xf numFmtId="0" fontId="21" fillId="0" borderId="23"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40" xfId="0" applyFont="1" applyBorder="1" applyAlignment="1">
      <alignment horizontal="center" vertical="center" wrapText="1"/>
    </xf>
    <xf numFmtId="0" fontId="21" fillId="0" borderId="23"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0"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28" xfId="0" applyFont="1" applyBorder="1" applyAlignment="1">
      <alignment horizontal="center" vertical="center" wrapText="1"/>
    </xf>
    <xf numFmtId="0" fontId="21" fillId="0" borderId="24" xfId="0" applyFont="1" applyBorder="1" applyAlignment="1">
      <alignment horizontal="center" vertical="center"/>
    </xf>
    <xf numFmtId="0" fontId="21" fillId="0" borderId="26" xfId="0" applyFont="1" applyBorder="1" applyAlignment="1">
      <alignment horizontal="center" vertical="center"/>
    </xf>
    <xf numFmtId="0" fontId="21" fillId="0" borderId="29" xfId="0" applyFont="1" applyBorder="1" applyAlignment="1">
      <alignment horizontal="center" vertical="center"/>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4" xfId="0" applyFont="1" applyBorder="1" applyAlignment="1">
      <alignment horizontal="center" vertical="center"/>
    </xf>
    <xf numFmtId="0" fontId="23" fillId="5" borderId="1" xfId="0" applyFont="1" applyFill="1" applyBorder="1" applyAlignment="1">
      <alignment horizontal="center" vertical="center"/>
    </xf>
    <xf numFmtId="0" fontId="23" fillId="5" borderId="1" xfId="0" applyFont="1" applyFill="1" applyBorder="1" applyAlignment="1">
      <alignment horizontal="center" vertical="center" wrapText="1"/>
    </xf>
    <xf numFmtId="0" fontId="25" fillId="0" borderId="17" xfId="0" applyFont="1" applyBorder="1" applyAlignment="1">
      <alignment horizontal="center" vertical="center"/>
    </xf>
    <xf numFmtId="0" fontId="25" fillId="0" borderId="36" xfId="0" applyFont="1" applyBorder="1"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8" fillId="0" borderId="32" xfId="0" applyFont="1" applyBorder="1" applyAlignment="1">
      <alignment horizontal="center" vertical="center" wrapText="1"/>
    </xf>
    <xf numFmtId="0" fontId="8" fillId="0" borderId="60" xfId="0" applyFont="1" applyBorder="1" applyAlignment="1">
      <alignment horizontal="center" vertical="center" wrapText="1"/>
    </xf>
    <xf numFmtId="0" fontId="5" fillId="0" borderId="6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7"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62" xfId="0" applyFont="1" applyBorder="1" applyAlignment="1">
      <alignment horizontal="center" vertical="center" wrapText="1"/>
    </xf>
    <xf numFmtId="0" fontId="27" fillId="0" borderId="63"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0" borderId="64" xfId="0" applyFont="1" applyFill="1" applyBorder="1" applyAlignment="1">
      <alignment horizontal="center" vertical="center" wrapText="1"/>
    </xf>
    <xf numFmtId="0" fontId="27" fillId="0" borderId="28" xfId="0" applyFont="1" applyFill="1" applyBorder="1" applyAlignment="1">
      <alignment horizontal="center" vertical="center" wrapText="1"/>
    </xf>
    <xf numFmtId="0" fontId="20" fillId="0" borderId="1" xfId="0" applyFont="1" applyBorder="1" applyAlignment="1">
      <alignment horizontal="center"/>
    </xf>
    <xf numFmtId="0" fontId="20" fillId="0" borderId="1" xfId="0" quotePrefix="1" applyFont="1" applyBorder="1" applyAlignment="1">
      <alignment horizontal="center" vertical="center"/>
    </xf>
    <xf numFmtId="0" fontId="20" fillId="0" borderId="1"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20" fillId="0" borderId="17" xfId="0" applyFont="1" applyBorder="1" applyAlignment="1">
      <alignment horizontal="center"/>
    </xf>
    <xf numFmtId="0" fontId="20" fillId="0" borderId="22" xfId="0" applyFont="1" applyBorder="1" applyAlignment="1">
      <alignment horizontal="center"/>
    </xf>
    <xf numFmtId="0" fontId="20" fillId="0" borderId="36" xfId="0" applyFont="1" applyBorder="1" applyAlignment="1">
      <alignment horizontal="center"/>
    </xf>
    <xf numFmtId="0" fontId="20" fillId="0" borderId="1" xfId="0" applyFont="1" applyFill="1" applyBorder="1" applyAlignment="1">
      <alignment horizontal="center" vertical="center" wrapText="1"/>
    </xf>
    <xf numFmtId="0" fontId="2" fillId="0" borderId="0" xfId="0" applyFont="1" applyFill="1" applyAlignment="1">
      <alignment horizontal="center"/>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34" xfId="0" applyFont="1" applyBorder="1" applyAlignment="1">
      <alignment horizontal="center" vertical="center" wrapText="1"/>
    </xf>
    <xf numFmtId="0" fontId="26"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20" fillId="3" borderId="17" xfId="0" applyFont="1" applyFill="1" applyBorder="1" applyAlignment="1">
      <alignment horizontal="left" vertical="center" wrapText="1"/>
    </xf>
    <xf numFmtId="0" fontId="20" fillId="3" borderId="22" xfId="0" applyFont="1" applyFill="1" applyBorder="1" applyAlignment="1">
      <alignment horizontal="left" vertical="center" wrapText="1"/>
    </xf>
    <xf numFmtId="0" fontId="2" fillId="0" borderId="0" xfId="0" applyFont="1" applyFill="1" applyBorder="1" applyAlignment="1">
      <alignment horizontal="center"/>
    </xf>
    <xf numFmtId="0" fontId="20" fillId="3" borderId="1" xfId="0" applyFont="1" applyFill="1" applyBorder="1" applyAlignment="1">
      <alignment horizontal="left" vertical="center" wrapText="1"/>
    </xf>
    <xf numFmtId="0" fontId="9" fillId="0" borderId="28" xfId="0" applyFont="1" applyFill="1" applyBorder="1" applyAlignment="1">
      <alignment horizontal="center" vertical="center"/>
    </xf>
    <xf numFmtId="0" fontId="23" fillId="0" borderId="1" xfId="0" applyFont="1" applyFill="1" applyBorder="1" applyAlignment="1">
      <alignment horizontal="center" vertical="center" wrapText="1"/>
    </xf>
    <xf numFmtId="0" fontId="23"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0"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1" fillId="0" borderId="22"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1" xfId="0" applyFont="1" applyBorder="1" applyAlignment="1">
      <alignment horizontal="center"/>
    </xf>
    <xf numFmtId="14" fontId="4" fillId="0" borderId="1" xfId="0" applyNumberFormat="1" applyFont="1" applyBorder="1" applyAlignment="1">
      <alignment horizontal="center"/>
    </xf>
    <xf numFmtId="0" fontId="4" fillId="0" borderId="17" xfId="0" quotePrefix="1" applyFont="1" applyBorder="1" applyAlignment="1">
      <alignment horizontal="center" vertical="center"/>
    </xf>
    <xf numFmtId="0" fontId="4" fillId="0" borderId="22" xfId="0" quotePrefix="1" applyFont="1" applyBorder="1" applyAlignment="1">
      <alignment horizontal="center" vertical="center"/>
    </xf>
    <xf numFmtId="0" fontId="4" fillId="0" borderId="17" xfId="0" applyFont="1" applyFill="1" applyBorder="1" applyAlignment="1">
      <alignment horizontal="center" wrapText="1"/>
    </xf>
    <xf numFmtId="0" fontId="4" fillId="0" borderId="36" xfId="0" applyFont="1" applyFill="1" applyBorder="1" applyAlignment="1">
      <alignment horizontal="center" wrapText="1"/>
    </xf>
    <xf numFmtId="0" fontId="4" fillId="0" borderId="22" xfId="0" applyFont="1" applyFill="1" applyBorder="1" applyAlignment="1">
      <alignment horizontal="center" wrapText="1"/>
    </xf>
    <xf numFmtId="0" fontId="11" fillId="0" borderId="29"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4" fillId="0" borderId="29" xfId="0" applyFont="1" applyFill="1" applyBorder="1" applyAlignment="1">
      <alignment horizontal="left" wrapText="1"/>
    </xf>
    <xf numFmtId="0" fontId="4" fillId="0" borderId="0" xfId="0" applyFont="1" applyFill="1" applyBorder="1" applyAlignment="1">
      <alignment horizontal="left" wrapText="1"/>
    </xf>
    <xf numFmtId="0" fontId="4" fillId="0" borderId="27" xfId="0" applyFont="1" applyFill="1" applyBorder="1" applyAlignment="1">
      <alignment horizontal="left" wrapText="1"/>
    </xf>
    <xf numFmtId="0" fontId="4" fillId="0" borderId="33" xfId="0" applyFont="1" applyFill="1" applyBorder="1" applyAlignment="1">
      <alignment horizontal="left" wrapText="1"/>
    </xf>
    <xf numFmtId="0" fontId="4" fillId="0" borderId="28" xfId="0" applyFont="1" applyFill="1" applyBorder="1" applyAlignment="1">
      <alignment horizontal="left" wrapText="1"/>
    </xf>
    <xf numFmtId="0" fontId="4" fillId="0" borderId="34" xfId="0" applyFont="1" applyFill="1" applyBorder="1" applyAlignment="1">
      <alignment horizontal="left"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7" xfId="0" applyFont="1" applyBorder="1" applyAlignment="1">
      <alignment horizontal="center" vertical="center"/>
    </xf>
    <xf numFmtId="0" fontId="4" fillId="0" borderId="24" xfId="0" applyFont="1" applyFill="1" applyBorder="1" applyAlignment="1">
      <alignment horizontal="left" wrapText="1"/>
    </xf>
    <xf numFmtId="0" fontId="4" fillId="0" borderId="25" xfId="0" applyFont="1" applyFill="1" applyBorder="1" applyAlignment="1">
      <alignment horizontal="left" wrapText="1"/>
    </xf>
    <xf numFmtId="0" fontId="4" fillId="0" borderId="26" xfId="0" applyFont="1" applyFill="1" applyBorder="1" applyAlignment="1">
      <alignment horizontal="left" wrapText="1"/>
    </xf>
    <xf numFmtId="0" fontId="4" fillId="0" borderId="29" xfId="0" quotePrefix="1" applyFont="1" applyFill="1" applyBorder="1" applyAlignment="1">
      <alignment horizontal="left" wrapText="1"/>
    </xf>
    <xf numFmtId="0" fontId="4" fillId="0" borderId="0" xfId="0" quotePrefix="1" applyFont="1" applyFill="1" applyBorder="1" applyAlignment="1">
      <alignment horizontal="left" wrapText="1"/>
    </xf>
    <xf numFmtId="0" fontId="4" fillId="0" borderId="27" xfId="0" quotePrefix="1" applyFont="1" applyFill="1" applyBorder="1" applyAlignment="1">
      <alignment horizontal="left" wrapText="1"/>
    </xf>
    <xf numFmtId="0" fontId="4" fillId="0" borderId="0" xfId="1" applyFont="1" applyFill="1" applyAlignment="1">
      <alignment horizontal="center"/>
    </xf>
    <xf numFmtId="0" fontId="4" fillId="0" borderId="73" xfId="1" applyFont="1" applyBorder="1" applyAlignment="1">
      <alignment horizontal="center" vertical="center"/>
    </xf>
    <xf numFmtId="0" fontId="4" fillId="0" borderId="74" xfId="1" applyFont="1" applyBorder="1" applyAlignment="1">
      <alignment horizontal="center" vertical="center"/>
    </xf>
    <xf numFmtId="0" fontId="4" fillId="0" borderId="75" xfId="1" applyFont="1" applyBorder="1" applyAlignment="1">
      <alignment horizontal="center" vertical="center"/>
    </xf>
    <xf numFmtId="0" fontId="4" fillId="0" borderId="72" xfId="1" applyFont="1" applyBorder="1" applyAlignment="1">
      <alignment horizontal="center" vertical="center" wrapText="1"/>
    </xf>
    <xf numFmtId="0" fontId="4" fillId="0" borderId="40" xfId="1" applyFont="1" applyBorder="1" applyAlignment="1">
      <alignment horizontal="center" vertical="center" wrapText="1"/>
    </xf>
    <xf numFmtId="0" fontId="4" fillId="0" borderId="20" xfId="1" applyFont="1" applyBorder="1" applyAlignment="1">
      <alignment horizontal="center" vertical="center" wrapText="1"/>
    </xf>
    <xf numFmtId="0" fontId="4" fillId="0" borderId="72" xfId="1" applyFont="1" applyBorder="1" applyAlignment="1">
      <alignment horizontal="left" vertical="center" wrapText="1"/>
    </xf>
    <xf numFmtId="0" fontId="4" fillId="0" borderId="40" xfId="1" applyFont="1" applyBorder="1" applyAlignment="1">
      <alignment horizontal="left" vertical="center" wrapText="1"/>
    </xf>
    <xf numFmtId="0" fontId="4" fillId="0" borderId="30" xfId="1" applyFont="1" applyBorder="1" applyAlignment="1">
      <alignment horizontal="left" vertical="center" wrapText="1"/>
    </xf>
    <xf numFmtId="0" fontId="4" fillId="0" borderId="30" xfId="1" applyFont="1" applyBorder="1" applyAlignment="1">
      <alignment horizontal="center" vertical="center" wrapText="1"/>
    </xf>
    <xf numFmtId="0" fontId="4" fillId="0" borderId="72" xfId="1" applyFont="1" applyBorder="1" applyAlignment="1">
      <alignment vertical="center" wrapText="1"/>
    </xf>
    <xf numFmtId="0" fontId="4" fillId="0" borderId="40" xfId="1" applyFont="1" applyBorder="1" applyAlignment="1">
      <alignment vertical="center" wrapText="1"/>
    </xf>
    <xf numFmtId="0" fontId="4" fillId="0" borderId="20" xfId="1" applyFont="1" applyBorder="1" applyAlignment="1">
      <alignment vertical="center" wrapText="1"/>
    </xf>
    <xf numFmtId="0" fontId="4" fillId="0" borderId="50" xfId="1" applyFont="1" applyFill="1" applyBorder="1" applyAlignment="1">
      <alignment horizontal="center" vertical="center" wrapText="1"/>
    </xf>
    <xf numFmtId="0" fontId="4" fillId="0" borderId="2" xfId="1" applyFont="1" applyFill="1" applyBorder="1" applyAlignment="1">
      <alignment horizontal="center" vertical="center" wrapText="1"/>
    </xf>
    <xf numFmtId="0" fontId="4" fillId="0" borderId="72" xfId="1" applyFont="1" applyFill="1" applyBorder="1" applyAlignment="1">
      <alignment horizontal="left" vertical="center" wrapText="1"/>
    </xf>
    <xf numFmtId="0" fontId="4" fillId="0" borderId="40" xfId="1" applyFont="1" applyFill="1" applyBorder="1" applyAlignment="1">
      <alignment horizontal="left" vertical="center" wrapText="1"/>
    </xf>
    <xf numFmtId="0" fontId="4" fillId="0" borderId="1" xfId="1" quotePrefix="1" applyFont="1" applyBorder="1" applyAlignment="1">
      <alignment vertical="center" wrapText="1"/>
    </xf>
    <xf numFmtId="0" fontId="4" fillId="0" borderId="2" xfId="1" quotePrefix="1" applyFont="1" applyBorder="1" applyAlignment="1">
      <alignment vertical="center" wrapText="1"/>
    </xf>
    <xf numFmtId="0" fontId="4" fillId="0" borderId="72" xfId="1" quotePrefix="1" applyFont="1" applyBorder="1" applyAlignment="1">
      <alignment vertical="center" wrapText="1"/>
    </xf>
    <xf numFmtId="0" fontId="4" fillId="0" borderId="40" xfId="1" quotePrefix="1" applyFont="1" applyBorder="1" applyAlignment="1">
      <alignment vertical="center" wrapText="1"/>
    </xf>
    <xf numFmtId="0" fontId="4" fillId="0" borderId="20" xfId="1" quotePrefix="1" applyFont="1" applyBorder="1" applyAlignment="1">
      <alignment vertical="center" wrapText="1"/>
    </xf>
    <xf numFmtId="0" fontId="4" fillId="0" borderId="72" xfId="1" quotePrefix="1" applyFont="1" applyBorder="1" applyAlignment="1">
      <alignment horizontal="center" vertical="center" wrapText="1"/>
    </xf>
    <xf numFmtId="0" fontId="4" fillId="0" borderId="30" xfId="1" quotePrefix="1" applyFont="1" applyBorder="1" applyAlignment="1">
      <alignment horizontal="center" vertical="center" wrapText="1"/>
    </xf>
    <xf numFmtId="0" fontId="3" fillId="0" borderId="0" xfId="1" applyFont="1" applyBorder="1" applyAlignment="1">
      <alignment horizontal="left" vertical="center" wrapText="1"/>
    </xf>
    <xf numFmtId="0" fontId="7" fillId="0" borderId="65" xfId="1" applyFont="1" applyBorder="1" applyAlignment="1">
      <alignment horizontal="center" vertical="center"/>
    </xf>
    <xf numFmtId="0" fontId="7" fillId="0" borderId="66" xfId="1" applyFont="1" applyBorder="1" applyAlignment="1">
      <alignment horizontal="center" vertical="center"/>
    </xf>
    <xf numFmtId="0" fontId="7" fillId="0" borderId="67" xfId="1" applyFont="1" applyBorder="1" applyAlignment="1">
      <alignment horizontal="center" vertical="center" wrapText="1"/>
    </xf>
    <xf numFmtId="0" fontId="7" fillId="0" borderId="68" xfId="1" applyFont="1" applyBorder="1" applyAlignment="1">
      <alignment horizontal="center" vertical="center" wrapText="1"/>
    </xf>
    <xf numFmtId="0" fontId="7" fillId="0" borderId="66" xfId="1" applyFont="1" applyBorder="1" applyAlignment="1">
      <alignment horizontal="center" vertical="center" wrapText="1"/>
    </xf>
    <xf numFmtId="0" fontId="7" fillId="0" borderId="67" xfId="1" quotePrefix="1" applyFont="1" applyBorder="1" applyAlignment="1">
      <alignment horizontal="center" vertical="center" wrapText="1"/>
    </xf>
    <xf numFmtId="0" fontId="7" fillId="0" borderId="69" xfId="1" applyFont="1" applyBorder="1" applyAlignment="1">
      <alignment horizontal="center" vertical="center" wrapText="1"/>
    </xf>
    <xf numFmtId="0" fontId="7" fillId="0" borderId="70" xfId="1" applyFont="1" applyBorder="1" applyAlignment="1">
      <alignment horizontal="center" vertical="center"/>
    </xf>
    <xf numFmtId="0" fontId="7" fillId="0" borderId="71" xfId="1" applyFont="1" applyBorder="1" applyAlignment="1">
      <alignment horizontal="center" vertical="center"/>
    </xf>
    <xf numFmtId="0" fontId="7" fillId="0" borderId="50" xfId="1" applyFont="1" applyBorder="1" applyAlignment="1">
      <alignment horizontal="center" vertical="center" wrapText="1"/>
    </xf>
    <xf numFmtId="0" fontId="7" fillId="0" borderId="2" xfId="1" applyFont="1" applyBorder="1" applyAlignment="1">
      <alignment horizontal="center" vertical="center" wrapText="1"/>
    </xf>
    <xf numFmtId="0" fontId="7" fillId="0" borderId="2" xfId="1" applyFont="1" applyBorder="1" applyAlignment="1">
      <alignment horizontal="center" vertical="center"/>
    </xf>
    <xf numFmtId="0" fontId="7" fillId="0" borderId="50" xfId="1" applyFont="1" applyBorder="1" applyAlignment="1">
      <alignment horizontal="center" vertical="center"/>
    </xf>
    <xf numFmtId="0" fontId="7" fillId="0" borderId="72" xfId="1" applyFont="1" applyBorder="1" applyAlignment="1">
      <alignment horizontal="center" vertical="center" wrapText="1"/>
    </xf>
    <xf numFmtId="0" fontId="7" fillId="0" borderId="20" xfId="1" applyFont="1" applyBorder="1" applyAlignment="1">
      <alignment horizontal="center" vertical="center"/>
    </xf>
    <xf numFmtId="0" fontId="7" fillId="0" borderId="51" xfId="1" applyFont="1" applyBorder="1" applyAlignment="1">
      <alignment horizontal="center" vertical="center"/>
    </xf>
    <xf numFmtId="0" fontId="2" fillId="0" borderId="35" xfId="0" applyFont="1" applyBorder="1" applyAlignment="1">
      <alignment horizontal="left" vertical="center" wrapText="1"/>
    </xf>
    <xf numFmtId="0" fontId="2" fillId="0" borderId="40" xfId="0" applyFont="1" applyBorder="1" applyAlignment="1">
      <alignment horizontal="left" vertical="center" wrapText="1"/>
    </xf>
    <xf numFmtId="0" fontId="2" fillId="0" borderId="30" xfId="0" applyFont="1" applyBorder="1" applyAlignment="1">
      <alignment horizontal="left" vertical="center" wrapText="1"/>
    </xf>
    <xf numFmtId="0" fontId="2" fillId="0" borderId="2"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5" xfId="0" applyFont="1" applyBorder="1" applyAlignment="1">
      <alignment horizontal="center" vertical="center"/>
    </xf>
    <xf numFmtId="0" fontId="2" fillId="0" borderId="35" xfId="0" applyFont="1" applyBorder="1" applyAlignment="1">
      <alignment horizontal="center" vertical="center" wrapText="1"/>
    </xf>
    <xf numFmtId="0" fontId="5" fillId="0" borderId="1" xfId="0" applyFont="1" applyBorder="1" applyAlignment="1">
      <alignment vertical="center" wrapText="1"/>
    </xf>
    <xf numFmtId="0" fontId="7" fillId="4" borderId="24" xfId="0" applyFont="1" applyFill="1" applyBorder="1" applyAlignment="1">
      <alignment horizontal="center" vertical="center" wrapText="1"/>
    </xf>
    <xf numFmtId="0" fontId="7" fillId="4" borderId="26"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7" fillId="4" borderId="34"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4" fillId="0" borderId="17" xfId="0" applyFont="1" applyFill="1" applyBorder="1" applyAlignment="1">
      <alignment horizontal="left"/>
    </xf>
    <xf numFmtId="0" fontId="4" fillId="0" borderId="36" xfId="0" applyFont="1" applyFill="1" applyBorder="1" applyAlignment="1">
      <alignment horizontal="left"/>
    </xf>
    <xf numFmtId="0" fontId="4" fillId="0" borderId="22" xfId="0" applyFont="1" applyFill="1" applyBorder="1" applyAlignment="1">
      <alignment horizontal="left"/>
    </xf>
    <xf numFmtId="0" fontId="22" fillId="0" borderId="0"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23" fillId="4" borderId="17" xfId="0" applyFont="1" applyFill="1" applyBorder="1" applyAlignment="1">
      <alignment horizontal="center" vertical="center"/>
    </xf>
    <xf numFmtId="0" fontId="23" fillId="4" borderId="36" xfId="0" applyFont="1" applyFill="1" applyBorder="1" applyAlignment="1">
      <alignment horizontal="center" vertical="center"/>
    </xf>
    <xf numFmtId="0" fontId="23" fillId="4" borderId="22" xfId="0" applyFont="1" applyFill="1" applyBorder="1" applyAlignment="1">
      <alignment horizontal="center" vertical="center"/>
    </xf>
    <xf numFmtId="0" fontId="4" fillId="0" borderId="17" xfId="0" applyFont="1" applyBorder="1" applyAlignment="1">
      <alignment horizontal="left"/>
    </xf>
    <xf numFmtId="0" fontId="4" fillId="0" borderId="36" xfId="0" applyFont="1" applyBorder="1" applyAlignment="1">
      <alignment horizontal="left"/>
    </xf>
    <xf numFmtId="0" fontId="4" fillId="0" borderId="22" xfId="0" applyFont="1" applyBorder="1" applyAlignment="1">
      <alignment horizontal="left"/>
    </xf>
    <xf numFmtId="14" fontId="4" fillId="0" borderId="17" xfId="0" applyNumberFormat="1" applyFont="1" applyBorder="1" applyAlignment="1">
      <alignment horizontal="left"/>
    </xf>
    <xf numFmtId="0" fontId="4" fillId="0" borderId="17" xfId="0" applyFont="1" applyFill="1" applyBorder="1" applyAlignment="1">
      <alignment horizontal="left" wrapText="1"/>
    </xf>
    <xf numFmtId="0" fontId="4" fillId="0" borderId="36" xfId="0" applyFont="1" applyFill="1" applyBorder="1" applyAlignment="1">
      <alignment horizontal="left" wrapText="1"/>
    </xf>
    <xf numFmtId="0" fontId="4" fillId="0" borderId="22" xfId="0" applyFont="1" applyFill="1" applyBorder="1" applyAlignment="1">
      <alignment horizontal="left" wrapText="1"/>
    </xf>
    <xf numFmtId="0" fontId="5" fillId="0" borderId="23" xfId="0" applyFont="1" applyBorder="1" applyAlignment="1">
      <alignment horizontal="center" vertical="center" wrapText="1"/>
    </xf>
    <xf numFmtId="0" fontId="5" fillId="0" borderId="23" xfId="0" applyFont="1" applyBorder="1" applyAlignment="1">
      <alignment horizontal="center" vertical="center"/>
    </xf>
    <xf numFmtId="0" fontId="2" fillId="0" borderId="0" xfId="0" applyFont="1" applyAlignment="1">
      <alignment horizontal="center" vertical="center"/>
    </xf>
    <xf numFmtId="0" fontId="3" fillId="0" borderId="17" xfId="0" applyFont="1" applyBorder="1" applyAlignment="1">
      <alignment horizontal="center" vertical="center" wrapText="1"/>
    </xf>
    <xf numFmtId="0" fontId="3" fillId="0" borderId="36" xfId="0" applyFont="1" applyBorder="1" applyAlignment="1">
      <alignment horizontal="center" vertical="center"/>
    </xf>
    <xf numFmtId="0" fontId="2" fillId="0" borderId="36"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8" fillId="0" borderId="28" xfId="0" applyFont="1" applyBorder="1" applyAlignment="1">
      <alignment horizontal="center"/>
    </xf>
    <xf numFmtId="0" fontId="28" fillId="0" borderId="0" xfId="0" applyFont="1" applyBorder="1" applyAlignment="1">
      <alignment horizontal="center"/>
    </xf>
    <xf numFmtId="0" fontId="8" fillId="0" borderId="29" xfId="0" applyFont="1" applyBorder="1" applyAlignment="1">
      <alignment horizontal="center" vertical="center" wrapText="1"/>
    </xf>
    <xf numFmtId="0" fontId="8" fillId="0" borderId="0"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7" xfId="0" applyFont="1" applyBorder="1" applyAlignment="1">
      <alignment horizontal="center" vertical="center"/>
    </xf>
    <xf numFmtId="0" fontId="2" fillId="0" borderId="2" xfId="0" applyFont="1" applyBorder="1" applyAlignment="1">
      <alignment horizontal="center" vertical="center"/>
    </xf>
    <xf numFmtId="0" fontId="2" fillId="0" borderId="23" xfId="0" applyFont="1" applyBorder="1" applyAlignment="1">
      <alignment horizontal="center" vertical="center"/>
    </xf>
    <xf numFmtId="0" fontId="3" fillId="0" borderId="28" xfId="0" applyFont="1" applyBorder="1" applyAlignment="1">
      <alignment horizontal="center" vertical="center" wrapText="1"/>
    </xf>
    <xf numFmtId="0" fontId="2" fillId="0" borderId="28" xfId="0" quotePrefix="1" applyFont="1" applyBorder="1" applyAlignment="1">
      <alignment horizontal="center" vertical="center" wrapText="1"/>
    </xf>
    <xf numFmtId="0" fontId="5" fillId="0" borderId="2" xfId="0" applyFont="1" applyBorder="1" applyAlignment="1">
      <alignment horizontal="center" vertical="center"/>
    </xf>
    <xf numFmtId="0" fontId="4" fillId="0" borderId="2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3" xfId="0" applyFont="1" applyBorder="1" applyAlignment="1">
      <alignment horizontal="center" vertical="center"/>
    </xf>
    <xf numFmtId="0" fontId="4" fillId="0" borderId="23" xfId="0" applyFont="1" applyBorder="1" applyAlignment="1">
      <alignment horizontal="center" vertical="center" wrapText="1"/>
    </xf>
    <xf numFmtId="0" fontId="2" fillId="0" borderId="28" xfId="0" applyFont="1" applyBorder="1" applyAlignment="1">
      <alignment horizontal="center" vertical="center"/>
    </xf>
    <xf numFmtId="0" fontId="2" fillId="0" borderId="28" xfId="0" applyFont="1" applyBorder="1" applyAlignment="1">
      <alignment horizont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4" fillId="0" borderId="28" xfId="0" applyFont="1" applyBorder="1" applyAlignment="1">
      <alignment horizontal="center"/>
    </xf>
    <xf numFmtId="0" fontId="4" fillId="0" borderId="0" xfId="0" applyFont="1" applyBorder="1" applyAlignment="1">
      <alignment horizontal="center" vertical="center"/>
    </xf>
    <xf numFmtId="0" fontId="2" fillId="0" borderId="71" xfId="0" applyFont="1" applyBorder="1" applyAlignment="1">
      <alignment horizontal="center" vertical="center"/>
    </xf>
    <xf numFmtId="0" fontId="2" fillId="0" borderId="76" xfId="0" applyFont="1" applyBorder="1" applyAlignment="1">
      <alignment horizontal="center" vertical="center"/>
    </xf>
    <xf numFmtId="0" fontId="3" fillId="0" borderId="33" xfId="0" applyFont="1" applyBorder="1" applyAlignment="1">
      <alignment horizontal="center" vertical="center" wrapText="1"/>
    </xf>
    <xf numFmtId="0" fontId="2" fillId="0" borderId="34" xfId="0" applyFont="1" applyBorder="1" applyAlignment="1">
      <alignment horizontal="center" vertical="center"/>
    </xf>
    <xf numFmtId="0" fontId="2" fillId="0" borderId="25" xfId="0" applyFont="1" applyBorder="1" applyAlignment="1">
      <alignment horizontal="center"/>
    </xf>
    <xf numFmtId="0" fontId="2" fillId="0" borderId="26" xfId="0" applyFont="1" applyBorder="1" applyAlignment="1">
      <alignment horizontal="center"/>
    </xf>
    <xf numFmtId="0" fontId="5" fillId="0" borderId="76" xfId="0" applyFont="1" applyBorder="1" applyAlignment="1">
      <alignment horizontal="center" vertical="center"/>
    </xf>
    <xf numFmtId="0" fontId="5" fillId="0" borderId="77" xfId="0" applyFont="1" applyBorder="1" applyAlignment="1">
      <alignment horizontal="center" vertical="center"/>
    </xf>
    <xf numFmtId="0" fontId="2" fillId="0" borderId="0" xfId="0" applyFont="1" applyBorder="1" applyAlignment="1">
      <alignment horizontal="right" vertical="center"/>
    </xf>
    <xf numFmtId="0" fontId="2" fillId="0" borderId="50" xfId="0" applyFont="1" applyBorder="1" applyAlignment="1">
      <alignment horizontal="center" vertical="center"/>
    </xf>
    <xf numFmtId="0" fontId="2" fillId="0" borderId="50" xfId="0" applyFont="1" applyBorder="1" applyAlignment="1">
      <alignment horizontal="center" vertical="center" wrapText="1"/>
    </xf>
    <xf numFmtId="0" fontId="2" fillId="0" borderId="0" xfId="0" applyFont="1" applyFill="1" applyAlignment="1">
      <alignment horizontal="center" vertical="center"/>
    </xf>
    <xf numFmtId="0" fontId="9" fillId="0" borderId="78" xfId="0" applyFont="1" applyBorder="1" applyAlignment="1">
      <alignment horizontal="center" vertical="center" wrapText="1"/>
    </xf>
    <xf numFmtId="0" fontId="9" fillId="0" borderId="79" xfId="0" applyFont="1" applyBorder="1" applyAlignment="1">
      <alignment horizontal="center" vertical="center" wrapText="1"/>
    </xf>
    <xf numFmtId="0" fontId="9" fillId="0" borderId="80" xfId="0" applyFont="1" applyBorder="1" applyAlignment="1">
      <alignment horizontal="center" vertical="center" wrapText="1"/>
    </xf>
    <xf numFmtId="0" fontId="4" fillId="0" borderId="24" xfId="0" applyFont="1" applyFill="1" applyBorder="1" applyAlignment="1">
      <alignment horizontal="left" vertical="center" wrapText="1"/>
    </xf>
    <xf numFmtId="0" fontId="4" fillId="0" borderId="25" xfId="0" applyFont="1" applyFill="1" applyBorder="1" applyAlignment="1">
      <alignment horizontal="left" vertical="center" wrapText="1"/>
    </xf>
    <xf numFmtId="0" fontId="4" fillId="0" borderId="26" xfId="0" applyFont="1" applyFill="1" applyBorder="1" applyAlignment="1">
      <alignment horizontal="left" vertical="center" wrapText="1"/>
    </xf>
    <xf numFmtId="0" fontId="4" fillId="0" borderId="29" xfId="0" quotePrefix="1" applyFont="1" applyFill="1" applyBorder="1" applyAlignment="1">
      <alignment horizontal="left" vertical="center" wrapText="1"/>
    </xf>
    <xf numFmtId="0" fontId="4" fillId="0" borderId="0" xfId="0" quotePrefix="1" applyFont="1" applyFill="1" applyBorder="1" applyAlignment="1">
      <alignment horizontal="left" vertical="center" wrapText="1"/>
    </xf>
    <xf numFmtId="0" fontId="4" fillId="0" borderId="27" xfId="0" quotePrefix="1" applyFont="1" applyFill="1" applyBorder="1" applyAlignment="1">
      <alignment horizontal="left" vertical="center" wrapText="1"/>
    </xf>
    <xf numFmtId="0" fontId="4" fillId="0" borderId="29"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27" xfId="0" applyFont="1" applyFill="1" applyBorder="1" applyAlignment="1">
      <alignment horizontal="left" vertical="center" wrapText="1"/>
    </xf>
    <xf numFmtId="0" fontId="4" fillId="0" borderId="33" xfId="0" applyFont="1" applyFill="1" applyBorder="1" applyAlignment="1">
      <alignment horizontal="left" vertical="center" wrapText="1"/>
    </xf>
    <xf numFmtId="0" fontId="4" fillId="0" borderId="28" xfId="0" applyFont="1" applyFill="1" applyBorder="1" applyAlignment="1">
      <alignment horizontal="left" vertical="center" wrapText="1"/>
    </xf>
    <xf numFmtId="0" fontId="4" fillId="0" borderId="34" xfId="0" applyFont="1" applyFill="1" applyBorder="1" applyAlignment="1">
      <alignment horizontal="left" vertical="center" wrapText="1"/>
    </xf>
    <xf numFmtId="0" fontId="4" fillId="0" borderId="36" xfId="0" applyFont="1" applyBorder="1" applyAlignment="1">
      <alignment horizontal="center" vertical="center"/>
    </xf>
    <xf numFmtId="0" fontId="4" fillId="0" borderId="17" xfId="0" applyFont="1" applyFill="1" applyBorder="1" applyAlignment="1">
      <alignment horizontal="center" vertical="center"/>
    </xf>
    <xf numFmtId="0" fontId="4" fillId="0" borderId="36"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34" xfId="0" applyFont="1" applyFill="1" applyBorder="1" applyAlignment="1">
      <alignment horizontal="center" vertical="center"/>
    </xf>
    <xf numFmtId="14" fontId="4" fillId="0" borderId="17" xfId="0" quotePrefix="1" applyNumberFormat="1" applyFont="1" applyBorder="1" applyAlignment="1">
      <alignment horizontal="center" vertical="center"/>
    </xf>
    <xf numFmtId="14" fontId="4" fillId="0" borderId="36" xfId="0" applyNumberFormat="1" applyFont="1" applyBorder="1" applyAlignment="1">
      <alignment horizontal="center" vertical="center"/>
    </xf>
    <xf numFmtId="0" fontId="4" fillId="0" borderId="22" xfId="0" applyFont="1" applyFill="1" applyBorder="1" applyAlignment="1">
      <alignment horizontal="center" vertical="center"/>
    </xf>
    <xf numFmtId="14" fontId="4" fillId="0" borderId="17" xfId="0" applyNumberFormat="1" applyFont="1" applyBorder="1" applyAlignment="1">
      <alignment horizontal="center" vertical="center"/>
    </xf>
    <xf numFmtId="0" fontId="4" fillId="0" borderId="22" xfId="0" applyFont="1" applyBorder="1" applyAlignment="1">
      <alignment horizontal="center" vertical="center"/>
    </xf>
    <xf numFmtId="0" fontId="10" fillId="0" borderId="0" xfId="0" applyFont="1" applyAlignment="1">
      <alignment horizontal="center" vertical="center"/>
    </xf>
    <xf numFmtId="0" fontId="10" fillId="0" borderId="28" xfId="0"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7" fillId="0" borderId="17"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62" xfId="0" applyFont="1" applyBorder="1" applyAlignment="1">
      <alignment horizontal="center" vertical="center" wrapText="1"/>
    </xf>
    <xf numFmtId="0" fontId="7" fillId="0" borderId="61" xfId="0" applyFont="1" applyBorder="1" applyAlignment="1">
      <alignment horizontal="center" vertical="center"/>
    </xf>
    <xf numFmtId="0" fontId="15" fillId="0" borderId="2" xfId="0" applyFont="1" applyFill="1" applyBorder="1" applyAlignment="1">
      <alignment horizontal="center" vertical="center" wrapText="1"/>
    </xf>
    <xf numFmtId="0" fontId="15" fillId="0" borderId="23"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30" fillId="0" borderId="1" xfId="0" applyFont="1" applyFill="1" applyBorder="1" applyAlignment="1">
      <alignment horizontal="center" vertical="center"/>
    </xf>
    <xf numFmtId="0" fontId="31" fillId="3" borderId="17" xfId="0" applyFont="1" applyFill="1" applyBorder="1" applyAlignment="1">
      <alignment horizontal="left" vertical="center" wrapText="1"/>
    </xf>
    <xf numFmtId="0" fontId="31" fillId="3" borderId="22" xfId="0" applyFont="1" applyFill="1" applyBorder="1" applyAlignment="1">
      <alignment horizontal="left" vertical="center" wrapText="1"/>
    </xf>
    <xf numFmtId="0" fontId="10" fillId="0" borderId="1" xfId="0" applyFont="1" applyBorder="1" applyAlignment="1">
      <alignment horizontal="center"/>
    </xf>
    <xf numFmtId="0" fontId="10" fillId="0" borderId="17" xfId="0" applyFont="1" applyFill="1" applyBorder="1" applyAlignment="1">
      <alignment horizontal="center" wrapText="1"/>
    </xf>
    <xf numFmtId="0" fontId="10" fillId="0" borderId="36" xfId="0" applyFont="1" applyFill="1" applyBorder="1" applyAlignment="1">
      <alignment horizontal="center" wrapText="1"/>
    </xf>
    <xf numFmtId="0" fontId="10" fillId="0" borderId="22" xfId="0" applyFont="1" applyFill="1" applyBorder="1" applyAlignment="1">
      <alignment horizontal="center" wrapText="1"/>
    </xf>
    <xf numFmtId="0" fontId="10" fillId="0" borderId="17" xfId="0" applyFont="1" applyFill="1" applyBorder="1" applyAlignment="1">
      <alignment horizontal="center"/>
    </xf>
    <xf numFmtId="0" fontId="10" fillId="0" borderId="36" xfId="0" applyFont="1" applyFill="1" applyBorder="1" applyAlignment="1">
      <alignment horizontal="center"/>
    </xf>
    <xf numFmtId="0" fontId="10" fillId="0" borderId="22" xfId="0" applyFont="1" applyFill="1" applyBorder="1" applyAlignment="1">
      <alignment horizontal="center"/>
    </xf>
    <xf numFmtId="0" fontId="10" fillId="0" borderId="24" xfId="0" applyFont="1" applyFill="1" applyBorder="1" applyAlignment="1">
      <alignment horizontal="left" wrapText="1"/>
    </xf>
    <xf numFmtId="0" fontId="10" fillId="0" borderId="25" xfId="0" applyFont="1" applyFill="1" applyBorder="1" applyAlignment="1">
      <alignment horizontal="left" wrapText="1"/>
    </xf>
    <xf numFmtId="0" fontId="10" fillId="0" borderId="26" xfId="0" applyFont="1" applyFill="1" applyBorder="1" applyAlignment="1">
      <alignment horizontal="left" wrapText="1"/>
    </xf>
    <xf numFmtId="0" fontId="10" fillId="0" borderId="29" xfId="0" quotePrefix="1" applyFont="1" applyFill="1" applyBorder="1" applyAlignment="1">
      <alignment horizontal="left" wrapText="1"/>
    </xf>
    <xf numFmtId="0" fontId="10" fillId="0" borderId="0" xfId="0" quotePrefix="1" applyFont="1" applyFill="1" applyBorder="1" applyAlignment="1">
      <alignment horizontal="left" wrapText="1"/>
    </xf>
    <xf numFmtId="0" fontId="10" fillId="0" borderId="27" xfId="0" quotePrefix="1" applyFont="1" applyFill="1" applyBorder="1" applyAlignment="1">
      <alignment horizontal="left" wrapText="1"/>
    </xf>
    <xf numFmtId="0" fontId="10" fillId="0" borderId="29" xfId="0" applyFont="1" applyFill="1" applyBorder="1" applyAlignment="1">
      <alignment horizontal="left" wrapText="1"/>
    </xf>
    <xf numFmtId="0" fontId="10" fillId="0" borderId="0" xfId="0" applyFont="1" applyFill="1" applyBorder="1" applyAlignment="1">
      <alignment horizontal="left" wrapText="1"/>
    </xf>
    <xf numFmtId="0" fontId="10" fillId="0" borderId="27" xfId="0" applyFont="1" applyFill="1" applyBorder="1" applyAlignment="1">
      <alignment horizontal="left" wrapText="1"/>
    </xf>
    <xf numFmtId="0" fontId="31" fillId="0" borderId="17" xfId="0" applyFont="1" applyFill="1" applyBorder="1" applyAlignment="1">
      <alignment horizontal="left" vertical="center" wrapText="1"/>
    </xf>
    <xf numFmtId="0" fontId="31" fillId="0" borderId="22" xfId="0" applyFont="1" applyFill="1" applyBorder="1" applyAlignment="1">
      <alignment horizontal="left" vertical="center" wrapText="1"/>
    </xf>
    <xf numFmtId="0" fontId="30" fillId="0" borderId="1" xfId="0" applyFont="1" applyFill="1" applyBorder="1" applyAlignment="1">
      <alignment horizontal="center" vertical="center" wrapText="1"/>
    </xf>
    <xf numFmtId="0" fontId="10" fillId="0" borderId="33" xfId="0" applyFont="1" applyFill="1" applyBorder="1" applyAlignment="1">
      <alignment horizontal="left" wrapText="1"/>
    </xf>
    <xf numFmtId="0" fontId="10" fillId="0" borderId="28" xfId="0" applyFont="1" applyFill="1" applyBorder="1" applyAlignment="1">
      <alignment horizontal="left" wrapText="1"/>
    </xf>
    <xf numFmtId="0" fontId="10" fillId="0" borderId="34" xfId="0" applyFont="1" applyFill="1" applyBorder="1" applyAlignment="1">
      <alignment horizontal="left" wrapText="1"/>
    </xf>
    <xf numFmtId="0" fontId="10" fillId="0" borderId="0" xfId="0" applyFont="1" applyFill="1" applyBorder="1" applyAlignment="1">
      <alignment horizontal="center"/>
    </xf>
    <xf numFmtId="0" fontId="10" fillId="0" borderId="0" xfId="0" applyFont="1" applyFill="1" applyAlignment="1">
      <alignment horizontal="center"/>
    </xf>
    <xf numFmtId="14" fontId="10" fillId="0" borderId="1" xfId="0" applyNumberFormat="1" applyFont="1" applyBorder="1" applyAlignment="1">
      <alignment horizontal="center"/>
    </xf>
    <xf numFmtId="0" fontId="10" fillId="0" borderId="17" xfId="0" quotePrefix="1" applyFont="1" applyBorder="1" applyAlignment="1">
      <alignment horizontal="center" vertical="center"/>
    </xf>
    <xf numFmtId="0" fontId="10" fillId="0" borderId="22" xfId="0" quotePrefix="1" applyFont="1" applyBorder="1" applyAlignment="1">
      <alignment horizontal="center" vertical="center"/>
    </xf>
    <xf numFmtId="0" fontId="34" fillId="0" borderId="0" xfId="0" applyFont="1" applyAlignment="1">
      <alignment horizontal="center" vertical="center" wrapText="1"/>
    </xf>
    <xf numFmtId="0" fontId="0" fillId="0" borderId="0" xfId="0" applyFont="1" applyAlignment="1">
      <alignment vertical="center" wrapText="1"/>
    </xf>
  </cellXfs>
  <cellStyles count="3">
    <cellStyle name="Normal" xfId="0" builtinId="0"/>
    <cellStyle name="Normal 2" xfId="1"/>
    <cellStyle name="Normal 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emf"/><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3.jpeg"/><Relationship Id="rId6" Type="http://schemas.openxmlformats.org/officeDocument/2006/relationships/image" Target="../media/image1.png"/><Relationship Id="rId5" Type="http://schemas.openxmlformats.org/officeDocument/2006/relationships/image" Target="../media/image22.png"/><Relationship Id="rId4"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5.emf"/></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6.emf"/></Relationships>
</file>

<file path=xl/drawings/_rels/drawing2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1</xdr:row>
      <xdr:rowOff>95250</xdr:rowOff>
    </xdr:from>
    <xdr:to>
      <xdr:col>1</xdr:col>
      <xdr:colOff>1362075</xdr:colOff>
      <xdr:row>1</xdr:row>
      <xdr:rowOff>914400</xdr:rowOff>
    </xdr:to>
    <xdr:pic>
      <xdr:nvPicPr>
        <xdr:cNvPr id="33473"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19075"/>
          <a:ext cx="15049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3038475</xdr:colOff>
      <xdr:row>1</xdr:row>
      <xdr:rowOff>95250</xdr:rowOff>
    </xdr:from>
    <xdr:to>
      <xdr:col>12</xdr:col>
      <xdr:colOff>1524000</xdr:colOff>
      <xdr:row>1</xdr:row>
      <xdr:rowOff>1143000</xdr:rowOff>
    </xdr:to>
    <xdr:pic>
      <xdr:nvPicPr>
        <xdr:cNvPr id="33474"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0" y="219075"/>
          <a:ext cx="29813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1333500</xdr:colOff>
      <xdr:row>2</xdr:row>
      <xdr:rowOff>314325</xdr:rowOff>
    </xdr:to>
    <xdr:pic>
      <xdr:nvPicPr>
        <xdr:cNvPr id="34448" name="Picture 1" descr="C:\Users\Administrator\AppData\Local\Microsoft\Windows\Temporary Internet Files\Temporary Compressed Files\down\M&amp;C-Logo(최종).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771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5000625</xdr:colOff>
      <xdr:row>1</xdr:row>
      <xdr:rowOff>0</xdr:rowOff>
    </xdr:from>
    <xdr:to>
      <xdr:col>11</xdr:col>
      <xdr:colOff>1352550</xdr:colOff>
      <xdr:row>4</xdr:row>
      <xdr:rowOff>28575</xdr:rowOff>
    </xdr:to>
    <xdr:pic>
      <xdr:nvPicPr>
        <xdr:cNvPr id="34449"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01625" y="257175"/>
          <a:ext cx="31146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95250</xdr:rowOff>
    </xdr:from>
    <xdr:to>
      <xdr:col>1</xdr:col>
      <xdr:colOff>1409700</xdr:colOff>
      <xdr:row>0</xdr:row>
      <xdr:rowOff>914400</xdr:rowOff>
    </xdr:to>
    <xdr:pic>
      <xdr:nvPicPr>
        <xdr:cNvPr id="32406"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95250"/>
          <a:ext cx="17049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1457325</xdr:colOff>
      <xdr:row>0</xdr:row>
      <xdr:rowOff>95250</xdr:rowOff>
    </xdr:from>
    <xdr:to>
      <xdr:col>12</xdr:col>
      <xdr:colOff>695325</xdr:colOff>
      <xdr:row>0</xdr:row>
      <xdr:rowOff>1562100</xdr:rowOff>
    </xdr:to>
    <xdr:pic>
      <xdr:nvPicPr>
        <xdr:cNvPr id="32407"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58675" y="95250"/>
          <a:ext cx="418147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304800</xdr:colOff>
      <xdr:row>1</xdr:row>
      <xdr:rowOff>190500</xdr:rowOff>
    </xdr:to>
    <xdr:pic>
      <xdr:nvPicPr>
        <xdr:cNvPr id="4381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097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1552575</xdr:colOff>
      <xdr:row>0</xdr:row>
      <xdr:rowOff>0</xdr:rowOff>
    </xdr:from>
    <xdr:to>
      <xdr:col>14</xdr:col>
      <xdr:colOff>476250</xdr:colOff>
      <xdr:row>1</xdr:row>
      <xdr:rowOff>190500</xdr:rowOff>
    </xdr:to>
    <xdr:grpSp>
      <xdr:nvGrpSpPr>
        <xdr:cNvPr id="43816" name="Group 2"/>
        <xdr:cNvGrpSpPr>
          <a:grpSpLocks/>
        </xdr:cNvGrpSpPr>
      </xdr:nvGrpSpPr>
      <xdr:grpSpPr bwMode="auto">
        <a:xfrm>
          <a:off x="9108362" y="0"/>
          <a:ext cx="2669461" cy="1003871"/>
          <a:chOff x="9861586" y="487060"/>
          <a:chExt cx="2669247" cy="1000767"/>
        </a:xfrm>
      </xdr:grpSpPr>
      <xdr:pic>
        <xdr:nvPicPr>
          <xdr:cNvPr id="43817"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1586" y="487060"/>
            <a:ext cx="2669247" cy="1000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43818" name="Group 1"/>
          <xdr:cNvGrpSpPr>
            <a:grpSpLocks/>
          </xdr:cNvGrpSpPr>
        </xdr:nvGrpSpPr>
        <xdr:grpSpPr bwMode="auto">
          <a:xfrm>
            <a:off x="10009170" y="946721"/>
            <a:ext cx="2212047" cy="419100"/>
            <a:chOff x="10009170" y="946721"/>
            <a:chExt cx="2212047" cy="419100"/>
          </a:xfrm>
        </xdr:grpSpPr>
        <xdr:pic>
          <xdr:nvPicPr>
            <xdr:cNvPr id="43819" name="Picture 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670587" y="1003871"/>
              <a:ext cx="55063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820" name="Picture 1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009170" y="946721"/>
              <a:ext cx="64588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821" name="Picture 1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864600" y="965771"/>
              <a:ext cx="615487"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161925</xdr:colOff>
      <xdr:row>0</xdr:row>
      <xdr:rowOff>85725</xdr:rowOff>
    </xdr:from>
    <xdr:to>
      <xdr:col>2</xdr:col>
      <xdr:colOff>228600</xdr:colOff>
      <xdr:row>1</xdr:row>
      <xdr:rowOff>400050</xdr:rowOff>
    </xdr:to>
    <xdr:pic>
      <xdr:nvPicPr>
        <xdr:cNvPr id="39333"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85725"/>
          <a:ext cx="14097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2066925</xdr:colOff>
      <xdr:row>0</xdr:row>
      <xdr:rowOff>66675</xdr:rowOff>
    </xdr:from>
    <xdr:to>
      <xdr:col>14</xdr:col>
      <xdr:colOff>590550</xdr:colOff>
      <xdr:row>1</xdr:row>
      <xdr:rowOff>638175</xdr:rowOff>
    </xdr:to>
    <xdr:pic>
      <xdr:nvPicPr>
        <xdr:cNvPr id="39334"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44300" y="66675"/>
          <a:ext cx="35337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2343150</xdr:colOff>
      <xdr:row>1</xdr:row>
      <xdr:rowOff>533400</xdr:rowOff>
    </xdr:to>
    <xdr:pic>
      <xdr:nvPicPr>
        <xdr:cNvPr id="38324" name="图片 2" descr="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57150"/>
          <a:ext cx="26003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1952625</xdr:colOff>
      <xdr:row>0</xdr:row>
      <xdr:rowOff>114300</xdr:rowOff>
    </xdr:from>
    <xdr:to>
      <xdr:col>12</xdr:col>
      <xdr:colOff>771525</xdr:colOff>
      <xdr:row>1</xdr:row>
      <xdr:rowOff>619125</xdr:rowOff>
    </xdr:to>
    <xdr:pic>
      <xdr:nvPicPr>
        <xdr:cNvPr id="38325" name="Picture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73000" y="114300"/>
          <a:ext cx="31051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1819275</xdr:colOff>
      <xdr:row>0</xdr:row>
      <xdr:rowOff>0</xdr:rowOff>
    </xdr:from>
    <xdr:to>
      <xdr:col>12</xdr:col>
      <xdr:colOff>876300</xdr:colOff>
      <xdr:row>1</xdr:row>
      <xdr:rowOff>1000125</xdr:rowOff>
    </xdr:to>
    <xdr:pic>
      <xdr:nvPicPr>
        <xdr:cNvPr id="4424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0"/>
          <a:ext cx="28289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219075</xdr:rowOff>
    </xdr:from>
    <xdr:to>
      <xdr:col>1</xdr:col>
      <xdr:colOff>962025</xdr:colOff>
      <xdr:row>1</xdr:row>
      <xdr:rowOff>466725</xdr:rowOff>
    </xdr:to>
    <xdr:pic>
      <xdr:nvPicPr>
        <xdr:cNvPr id="44243" name="图片 2" descr="logo.jp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219075"/>
          <a:ext cx="12192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1362075</xdr:colOff>
      <xdr:row>1</xdr:row>
      <xdr:rowOff>123825</xdr:rowOff>
    </xdr:from>
    <xdr:to>
      <xdr:col>12</xdr:col>
      <xdr:colOff>257175</xdr:colOff>
      <xdr:row>1</xdr:row>
      <xdr:rowOff>1428750</xdr:rowOff>
    </xdr:to>
    <xdr:pic>
      <xdr:nvPicPr>
        <xdr:cNvPr id="18901"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542925"/>
          <a:ext cx="462915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390525</xdr:rowOff>
    </xdr:from>
    <xdr:to>
      <xdr:col>2</xdr:col>
      <xdr:colOff>400050</xdr:colOff>
      <xdr:row>1</xdr:row>
      <xdr:rowOff>695325</xdr:rowOff>
    </xdr:to>
    <xdr:pic>
      <xdr:nvPicPr>
        <xdr:cNvPr id="18902" name="图片 2" descr="logo.jp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390525"/>
          <a:ext cx="17430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228600</xdr:colOff>
      <xdr:row>0</xdr:row>
      <xdr:rowOff>57150</xdr:rowOff>
    </xdr:from>
    <xdr:to>
      <xdr:col>2</xdr:col>
      <xdr:colOff>1229530</xdr:colOff>
      <xdr:row>2</xdr:row>
      <xdr:rowOff>352425</xdr:rowOff>
    </xdr:to>
    <xdr:pic>
      <xdr:nvPicPr>
        <xdr:cNvPr id="35319" name="图片 2" descr="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57150"/>
          <a:ext cx="18002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2257425</xdr:colOff>
      <xdr:row>0</xdr:row>
      <xdr:rowOff>0</xdr:rowOff>
    </xdr:from>
    <xdr:to>
      <xdr:col>13</xdr:col>
      <xdr:colOff>432114</xdr:colOff>
      <xdr:row>3</xdr:row>
      <xdr:rowOff>104775</xdr:rowOff>
    </xdr:to>
    <xdr:pic>
      <xdr:nvPicPr>
        <xdr:cNvPr id="35320"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0" y="0"/>
          <a:ext cx="2876550" cy="1123950"/>
        </a:xfrm>
        <a:prstGeom prst="rect">
          <a:avLst/>
        </a:prstGeom>
        <a:noFill/>
        <a:ln w="9525">
          <a:solidFill>
            <a:srgbClr val="000000">
              <a:alpha val="98822"/>
            </a:srgbClr>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2</xdr:col>
      <xdr:colOff>200025</xdr:colOff>
      <xdr:row>1</xdr:row>
      <xdr:rowOff>790575</xdr:rowOff>
    </xdr:to>
    <xdr:pic>
      <xdr:nvPicPr>
        <xdr:cNvPr id="2102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42900"/>
          <a:ext cx="15430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390525</xdr:colOff>
      <xdr:row>1</xdr:row>
      <xdr:rowOff>114300</xdr:rowOff>
    </xdr:from>
    <xdr:to>
      <xdr:col>12</xdr:col>
      <xdr:colOff>600075</xdr:colOff>
      <xdr:row>1</xdr:row>
      <xdr:rowOff>1781175</xdr:rowOff>
    </xdr:to>
    <xdr:pic>
      <xdr:nvPicPr>
        <xdr:cNvPr id="21026"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00050"/>
          <a:ext cx="47053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547846</xdr:colOff>
      <xdr:row>14</xdr:row>
      <xdr:rowOff>103967</xdr:rowOff>
    </xdr:from>
    <xdr:to>
      <xdr:col>8</xdr:col>
      <xdr:colOff>574042</xdr:colOff>
      <xdr:row>44</xdr:row>
      <xdr:rowOff>78276</xdr:rowOff>
    </xdr:to>
    <xdr:sp macro="" textlink="">
      <xdr:nvSpPr>
        <xdr:cNvPr id="2" name="TextBox 1">
          <a:extLst/>
        </xdr:cNvPr>
        <xdr:cNvSpPr txBox="1"/>
      </xdr:nvSpPr>
      <xdr:spPr>
        <a:xfrm>
          <a:off x="654844" y="8944596"/>
          <a:ext cx="8751093" cy="498571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ctr"/>
          <a:endParaRPr lang="en-US" sz="1500" b="1">
            <a:solidFill>
              <a:schemeClr val="dk1"/>
            </a:solidFill>
            <a:effectLst/>
            <a:latin typeface="Times New Roman" panose="02020603050405020304" pitchFamily="18" charset="0"/>
            <a:ea typeface="+mn-ea"/>
            <a:cs typeface="Times New Roman" panose="02020603050405020304" pitchFamily="18" charset="0"/>
          </a:endParaRPr>
        </a:p>
        <a:p>
          <a:pPr lvl="1" algn="ctr"/>
          <a:r>
            <a:rPr lang="en-US" sz="1500" b="1">
              <a:solidFill>
                <a:schemeClr val="dk1"/>
              </a:solidFill>
              <a:effectLst/>
              <a:latin typeface="Times New Roman" panose="02020603050405020304" pitchFamily="18" charset="0"/>
              <a:ea typeface="+mn-ea"/>
              <a:cs typeface="Times New Roman" panose="02020603050405020304" pitchFamily="18" charset="0"/>
            </a:rPr>
            <a:t>ĐÁNH GIÁ RỦI RO:</a:t>
          </a:r>
          <a:r>
            <a:rPr lang="zh-CN" altLang="en-US" sz="1500" b="1">
              <a:solidFill>
                <a:schemeClr val="dk1"/>
              </a:solidFill>
              <a:effectLst/>
              <a:latin typeface="Times New Roman" panose="02020603050405020304" pitchFamily="18" charset="0"/>
              <a:ea typeface="+mn-ea"/>
              <a:cs typeface="Times New Roman" panose="02020603050405020304" pitchFamily="18" charset="0"/>
            </a:rPr>
            <a:t>  风险评估</a:t>
          </a:r>
          <a:endParaRPr lang="en-SG" sz="1500" b="1">
            <a:solidFill>
              <a:schemeClr val="dk1"/>
            </a:solidFill>
            <a:effectLst/>
            <a:latin typeface="Times New Roman" panose="02020603050405020304" pitchFamily="18" charset="0"/>
            <a:ea typeface="+mn-ea"/>
            <a:cs typeface="Times New Roman" panose="02020603050405020304" pitchFamily="18" charset="0"/>
          </a:endParaRPr>
        </a:p>
        <a:p>
          <a:r>
            <a:rPr lang="en-US" sz="1500">
              <a:solidFill>
                <a:schemeClr val="dk1"/>
              </a:solidFill>
              <a:effectLst/>
              <a:latin typeface="Times New Roman" panose="02020603050405020304" pitchFamily="18" charset="0"/>
              <a:ea typeface="+mn-ea"/>
              <a:cs typeface="Times New Roman" panose="02020603050405020304" pitchFamily="18" charset="0"/>
            </a:rPr>
            <a:t> </a:t>
          </a:r>
          <a:endParaRPr lang="en-SG" sz="15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b="1">
              <a:solidFill>
                <a:schemeClr val="dk1"/>
              </a:solidFill>
              <a:effectLst/>
              <a:latin typeface="Times New Roman" panose="02020603050405020304" pitchFamily="18" charset="0"/>
              <a:ea typeface="+mn-ea"/>
              <a:cs typeface="Times New Roman" panose="02020603050405020304" pitchFamily="18" charset="0"/>
            </a:rPr>
            <a:t>Rủi ro  = mức độ nguy hiểm X mức độ thường xuyên</a:t>
          </a:r>
        </a:p>
        <a:p>
          <a:endParaRPr lang="en-SG" sz="1400" b="1">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Rủi ro có thể được chia ra làm 3 loại:</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endParaRPr lang="en-US" altLang="zh-CN" sz="1400">
            <a:solidFill>
              <a:schemeClr val="dk1"/>
            </a:solidFill>
            <a:effectLst/>
            <a:latin typeface="Times New Roman" panose="02020603050405020304" pitchFamily="18" charset="0"/>
            <a:ea typeface="+mn-ea"/>
            <a:cs typeface="Times New Roman" panose="02020603050405020304" pitchFamily="18" charset="0"/>
          </a:endParaRPr>
        </a:p>
        <a:p>
          <a:r>
            <a:rPr lang="zh-CN" altLang="en-US" sz="1400">
              <a:solidFill>
                <a:schemeClr val="dk1"/>
              </a:solidFill>
              <a:effectLst/>
              <a:latin typeface="Times New Roman" panose="02020603050405020304" pitchFamily="18" charset="0"/>
              <a:ea typeface="+mn-ea"/>
              <a:cs typeface="Times New Roman" panose="02020603050405020304" pitchFamily="18" charset="0"/>
            </a:rPr>
            <a:t>          </a:t>
          </a:r>
          <a:endParaRPr lang="en-US" sz="1400">
            <a:solidFill>
              <a:schemeClr val="dk1"/>
            </a:solidFill>
            <a:effectLst/>
            <a:latin typeface="Times New Roman" panose="02020603050405020304" pitchFamily="18" charset="0"/>
            <a:ea typeface="+mn-ea"/>
            <a:cs typeface="Times New Roman" panose="02020603050405020304" pitchFamily="18" charset="0"/>
          </a:endParaRPr>
        </a:p>
        <a:p>
          <a:endParaRPr lang="en-SG"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1-5 = Được Chấp Nhận Rộng Rãi  </a:t>
          </a:r>
          <a:r>
            <a:rPr lang="en-US" sz="1400" b="1">
              <a:solidFill>
                <a:srgbClr val="FF0000"/>
              </a:solidFill>
              <a:effectLst/>
              <a:latin typeface="Times New Roman" panose="02020603050405020304" pitchFamily="18" charset="0"/>
              <a:ea typeface="+mn-ea"/>
              <a:cs typeface="Times New Roman" panose="02020603050405020304" pitchFamily="18" charset="0"/>
            </a:rPr>
            <a:t>( loại A)</a:t>
          </a:r>
        </a:p>
        <a:p>
          <a:endParaRPr lang="en-SG" sz="1400" b="1">
            <a:solidFill>
              <a:srgbClr val="FF0000"/>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Mức độ rủi ro rất thấp, không đáng kể khi so sánh với các loại rủi ro khác trên phương diện đánh giá lợi ích của việc sử dụng 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 </a:t>
          </a:r>
          <a:r>
            <a:rPr lang="en-US" sz="1400">
              <a:solidFill>
                <a:schemeClr val="dk1"/>
              </a:solidFill>
              <a:effectLst/>
              <a:latin typeface="Times New Roman" panose="02020603050405020304" pitchFamily="18" charset="0"/>
              <a:ea typeface="+mn-ea"/>
              <a:cs typeface="Times New Roman" panose="02020603050405020304" pitchFamily="18" charset="0"/>
            </a:rPr>
            <a:t>Trong những trường hợp này, rủi ro được chấp nhận và các biện pháp xử lý rủi không nhất thiết phải được tiến hành</a:t>
          </a:r>
        </a:p>
        <a:p>
          <a:endParaRPr lang="en-SG"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(b)</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6-10 =  Có thể Chấp Nhận Được </a:t>
          </a:r>
          <a:r>
            <a:rPr lang="en-US" sz="1400" b="1">
              <a:solidFill>
                <a:srgbClr val="FF0000"/>
              </a:solidFill>
              <a:effectLst/>
              <a:latin typeface="Times New Roman" panose="02020603050405020304" pitchFamily="18" charset="0"/>
              <a:ea typeface="+mn-ea"/>
              <a:cs typeface="Times New Roman" panose="02020603050405020304" pitchFamily="18" charset="0"/>
            </a:rPr>
            <a:t>( loại B) </a:t>
          </a:r>
        </a:p>
        <a:p>
          <a:endParaRPr lang="en-SG" sz="1400" b="1">
            <a:solidFill>
              <a:srgbClr val="FF0000"/>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Rủi ro liên quan đến chất</a:t>
          </a:r>
          <a:r>
            <a:rPr lang="en-US" sz="1400" baseline="0">
              <a:solidFill>
                <a:schemeClr val="dk1"/>
              </a:solidFill>
              <a:effectLst/>
              <a:latin typeface="Times New Roman" panose="02020603050405020304" pitchFamily="18" charset="0"/>
              <a:ea typeface="+mn-ea"/>
              <a:cs typeface="Times New Roman" panose="02020603050405020304" pitchFamily="18" charset="0"/>
            </a:rPr>
            <a:t> lượng chung của </a:t>
          </a:r>
          <a:r>
            <a:rPr lang="en-US" sz="1400">
              <a:solidFill>
                <a:schemeClr val="dk1"/>
              </a:solidFill>
              <a:effectLst/>
              <a:latin typeface="Times New Roman" panose="02020603050405020304" pitchFamily="18" charset="0"/>
              <a:ea typeface="+mn-ea"/>
              <a:cs typeface="Times New Roman" panose="02020603050405020304" pitchFamily="18" charset="0"/>
            </a:rPr>
            <a:t>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 </a:t>
          </a:r>
          <a:r>
            <a:rPr lang="en-US" sz="1400">
              <a:solidFill>
                <a:schemeClr val="dk1"/>
              </a:solidFill>
              <a:effectLst/>
              <a:latin typeface="Times New Roman" panose="02020603050405020304" pitchFamily="18" charset="0"/>
              <a:ea typeface="+mn-ea"/>
              <a:cs typeface="Times New Roman" panose="02020603050405020304" pitchFamily="18" charset="0"/>
            </a:rPr>
            <a:t>và có thể chập nhận được nếu như người sử dụng có dự phòng tốt. Tuy nhiên không thể sử dụng 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a:t>
          </a:r>
          <a:r>
            <a:rPr lang="en-US" sz="1400">
              <a:solidFill>
                <a:schemeClr val="dk1"/>
              </a:solidFill>
              <a:effectLst/>
              <a:latin typeface="Times New Roman" panose="02020603050405020304" pitchFamily="18" charset="0"/>
              <a:ea typeface="+mn-ea"/>
              <a:cs typeface="Times New Roman" panose="02020603050405020304" pitchFamily="18" charset="0"/>
            </a:rPr>
            <a:t> có rủi ro ở một tỷ lệ nhất định. Các biện pháp xử lý rủi ro nên được tiến hành để giảm thiểu tỷ lệ rủi ro ở mức có thể chấp nhận được và để tránh gặp phải rủi ro</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(c)</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11-25 = Không Thể Chấp Nhận Được  </a:t>
          </a:r>
          <a:r>
            <a:rPr lang="en-US" sz="1400" b="1">
              <a:solidFill>
                <a:srgbClr val="FF0000"/>
              </a:solidFill>
              <a:effectLst/>
              <a:latin typeface="Times New Roman" panose="02020603050405020304" pitchFamily="18" charset="0"/>
              <a:ea typeface="+mn-ea"/>
              <a:cs typeface="Times New Roman" panose="02020603050405020304" pitchFamily="18" charset="0"/>
            </a:rPr>
            <a:t>( loại C)</a:t>
          </a:r>
        </a:p>
        <a:p>
          <a:endParaRPr lang="en-SG" sz="1400" b="1">
            <a:solidFill>
              <a:srgbClr val="FF0000"/>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Rủi ro rất lớn không thể hạn chế được, các biện pháp xử lý rủi ro sẽ được thực hiện để giảm thiểu rủi ro</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endParaRPr lang="en-SG" sz="1100">
            <a:latin typeface="Times New Roman" panose="02020603050405020304" pitchFamily="18" charset="0"/>
            <a:cs typeface="Times New Roman" panose="02020603050405020304" pitchFamily="18" charset="0"/>
          </a:endParaRPr>
        </a:p>
      </xdr:txBody>
    </xdr:sp>
    <xdr:clientData/>
  </xdr:twoCellAnchor>
  <xdr:twoCellAnchor>
    <xdr:from>
      <xdr:col>1</xdr:col>
      <xdr:colOff>550227</xdr:colOff>
      <xdr:row>46</xdr:row>
      <xdr:rowOff>3002</xdr:rowOff>
    </xdr:from>
    <xdr:to>
      <xdr:col>8</xdr:col>
      <xdr:colOff>592303</xdr:colOff>
      <xdr:row>77</xdr:row>
      <xdr:rowOff>53972</xdr:rowOff>
    </xdr:to>
    <xdr:sp macro="" textlink="">
      <xdr:nvSpPr>
        <xdr:cNvPr id="3" name="TextBox 2">
          <a:extLst/>
        </xdr:cNvPr>
        <xdr:cNvSpPr txBox="1"/>
      </xdr:nvSpPr>
      <xdr:spPr>
        <a:xfrm>
          <a:off x="666750" y="14350033"/>
          <a:ext cx="8751093" cy="521193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ctr"/>
          <a:endParaRPr lang="en-US" sz="1500" b="1">
            <a:solidFill>
              <a:schemeClr val="dk1"/>
            </a:solidFill>
            <a:effectLst/>
            <a:latin typeface="Times New Roman" panose="02020603050405020304" pitchFamily="18" charset="0"/>
            <a:ea typeface="+mn-ea"/>
            <a:cs typeface="Times New Roman" panose="02020603050405020304" pitchFamily="18" charset="0"/>
          </a:endParaRPr>
        </a:p>
        <a:p>
          <a:pPr lvl="1" algn="ctr">
            <a:lnSpc>
              <a:spcPts val="1900"/>
            </a:lnSpc>
          </a:pPr>
          <a:r>
            <a:rPr lang="en-US" sz="1500" b="1">
              <a:solidFill>
                <a:schemeClr val="dk1"/>
              </a:solidFill>
              <a:effectLst/>
              <a:latin typeface="Times New Roman" panose="02020603050405020304" pitchFamily="18" charset="0"/>
              <a:ea typeface="+mn-ea"/>
              <a:cs typeface="Times New Roman" panose="02020603050405020304" pitchFamily="18" charset="0"/>
            </a:rPr>
            <a:t>ĐÁNH GIÁ RỦI RO:</a:t>
          </a:r>
          <a:r>
            <a:rPr lang="zh-CN" altLang="en-US" sz="1500" b="1">
              <a:solidFill>
                <a:schemeClr val="dk1"/>
              </a:solidFill>
              <a:effectLst/>
              <a:latin typeface="Times New Roman" panose="02020603050405020304" pitchFamily="18" charset="0"/>
              <a:ea typeface="+mn-ea"/>
              <a:cs typeface="Times New Roman" panose="02020603050405020304" pitchFamily="18" charset="0"/>
            </a:rPr>
            <a:t>  风险评估</a:t>
          </a:r>
          <a:endParaRPr lang="en-SG" sz="1500" b="1">
            <a:solidFill>
              <a:schemeClr val="dk1"/>
            </a:solidFill>
            <a:effectLst/>
            <a:latin typeface="Times New Roman" panose="02020603050405020304" pitchFamily="18" charset="0"/>
            <a:ea typeface="+mn-ea"/>
            <a:cs typeface="Times New Roman" panose="02020603050405020304" pitchFamily="18" charset="0"/>
          </a:endParaRPr>
        </a:p>
        <a:p>
          <a:r>
            <a:rPr lang="en-US" sz="1500">
              <a:solidFill>
                <a:schemeClr val="dk1"/>
              </a:solidFill>
              <a:effectLst/>
              <a:latin typeface="Times New Roman" panose="02020603050405020304" pitchFamily="18" charset="0"/>
              <a:ea typeface="+mn-ea"/>
              <a:cs typeface="Times New Roman" panose="02020603050405020304" pitchFamily="18" charset="0"/>
            </a:rPr>
            <a:t> </a:t>
          </a:r>
          <a:endParaRPr lang="en-SG" sz="15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b="1">
              <a:solidFill>
                <a:schemeClr val="dk1"/>
              </a:solidFill>
              <a:effectLst/>
              <a:latin typeface="Times New Roman" panose="02020603050405020304" pitchFamily="18" charset="0"/>
              <a:ea typeface="+mn-ea"/>
              <a:cs typeface="Times New Roman" panose="02020603050405020304" pitchFamily="18" charset="0"/>
            </a:rPr>
            <a:t>Rủi ro  = mức độ nguy hiểm X mức độ thường xuyên</a:t>
          </a:r>
        </a:p>
        <a:p>
          <a:endParaRPr lang="en-SG" sz="1400" b="1">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Rủi ro có thể được chia ra làm 3 loại:</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endParaRPr lang="en-US" altLang="zh-CN" sz="1400">
            <a:solidFill>
              <a:schemeClr val="dk1"/>
            </a:solidFill>
            <a:effectLst/>
            <a:latin typeface="Times New Roman" panose="02020603050405020304" pitchFamily="18" charset="0"/>
            <a:ea typeface="+mn-ea"/>
            <a:cs typeface="Times New Roman" panose="02020603050405020304" pitchFamily="18" charset="0"/>
          </a:endParaRPr>
        </a:p>
        <a:p>
          <a:r>
            <a:rPr lang="zh-CN" altLang="en-US" sz="1400">
              <a:solidFill>
                <a:schemeClr val="dk1"/>
              </a:solidFill>
              <a:effectLst/>
              <a:latin typeface="Times New Roman" panose="02020603050405020304" pitchFamily="18" charset="0"/>
              <a:ea typeface="+mn-ea"/>
              <a:cs typeface="Times New Roman" panose="02020603050405020304" pitchFamily="18" charset="0"/>
            </a:rPr>
            <a:t>          风险可以分成</a:t>
          </a:r>
          <a:r>
            <a:rPr lang="en-US" altLang="zh-CN" sz="1400">
              <a:solidFill>
                <a:schemeClr val="dk1"/>
              </a:solidFill>
              <a:effectLst/>
              <a:latin typeface="Times New Roman" panose="02020603050405020304" pitchFamily="18" charset="0"/>
              <a:ea typeface="+mn-ea"/>
              <a:cs typeface="Times New Roman" panose="02020603050405020304" pitchFamily="18" charset="0"/>
            </a:rPr>
            <a:t>3</a:t>
          </a:r>
          <a:r>
            <a:rPr lang="zh-CN" altLang="en-US" sz="1400">
              <a:solidFill>
                <a:schemeClr val="dk1"/>
              </a:solidFill>
              <a:effectLst/>
              <a:latin typeface="Times New Roman" panose="02020603050405020304" pitchFamily="18" charset="0"/>
              <a:ea typeface="+mn-ea"/>
              <a:cs typeface="Times New Roman" panose="02020603050405020304" pitchFamily="18" charset="0"/>
            </a:rPr>
            <a:t>类</a:t>
          </a:r>
          <a:endParaRPr lang="en-US"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1-5 = Được Chấp Nhận Rộng Rãi  </a:t>
          </a:r>
          <a:r>
            <a:rPr lang="en-US" sz="1400" b="1">
              <a:solidFill>
                <a:srgbClr val="FF0000"/>
              </a:solidFill>
              <a:effectLst/>
              <a:latin typeface="Times New Roman" panose="02020603050405020304" pitchFamily="18" charset="0"/>
              <a:ea typeface="+mn-ea"/>
              <a:cs typeface="Times New Roman" panose="02020603050405020304" pitchFamily="18" charset="0"/>
            </a:rPr>
            <a:t>( loại A)</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a:t>
          </a:r>
          <a:r>
            <a:rPr lang="en-US" altLang="zh-CN" sz="1400" b="1">
              <a:solidFill>
                <a:srgbClr val="FF0000"/>
              </a:solidFill>
              <a:effectLst/>
              <a:latin typeface="Times New Roman" panose="02020603050405020304" pitchFamily="18" charset="0"/>
              <a:ea typeface="+mn-ea"/>
              <a:cs typeface="Times New Roman" panose="02020603050405020304" pitchFamily="18" charset="0"/>
            </a:rPr>
            <a:t>A</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类）</a:t>
          </a:r>
          <a:endParaRPr lang="en-US" sz="1400" b="1">
            <a:solidFill>
              <a:srgbClr val="FF0000"/>
            </a:solidFill>
            <a:effectLst/>
            <a:latin typeface="Times New Roman" panose="02020603050405020304" pitchFamily="18" charset="0"/>
            <a:ea typeface="+mn-ea"/>
            <a:cs typeface="Times New Roman" panose="02020603050405020304" pitchFamily="18" charset="0"/>
          </a:endParaRPr>
        </a:p>
        <a:p>
          <a:r>
            <a:rPr lang="zh-CN" altLang="en-US" sz="1400" b="1">
              <a:solidFill>
                <a:srgbClr val="FF0000"/>
              </a:solidFill>
              <a:effectLst/>
              <a:latin typeface="Times New Roman" panose="02020603050405020304" pitchFamily="18" charset="0"/>
              <a:ea typeface="+mn-ea"/>
              <a:cs typeface="Times New Roman" panose="02020603050405020304" pitchFamily="18" charset="0"/>
            </a:rPr>
            <a:t>       </a:t>
          </a:r>
          <a:r>
            <a:rPr lang="en-US" altLang="zh-CN" sz="1400" b="1">
              <a:solidFill>
                <a:srgbClr val="FF0000"/>
              </a:solidFill>
              <a:effectLst/>
              <a:latin typeface="Times New Roman" panose="02020603050405020304" pitchFamily="18" charset="0"/>
              <a:ea typeface="+mn-ea"/>
              <a:cs typeface="Times New Roman" panose="02020603050405020304" pitchFamily="18" charset="0"/>
            </a:rPr>
            <a:t>1-5</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可以接受 </a:t>
          </a:r>
          <a:endParaRPr lang="en-US" sz="1400" b="1">
            <a:solidFill>
              <a:srgbClr val="FF0000"/>
            </a:solidFill>
            <a:effectLst/>
            <a:latin typeface="Times New Roman" panose="02020603050405020304" pitchFamily="18" charset="0"/>
            <a:ea typeface="+mn-ea"/>
            <a:cs typeface="Times New Roman" panose="02020603050405020304" pitchFamily="18" charset="0"/>
          </a:endParaRPr>
        </a:p>
        <a:p>
          <a:endParaRPr lang="en-SG" sz="1400" b="1">
            <a:solidFill>
              <a:srgbClr val="FF0000"/>
            </a:solidFill>
            <a:effectLst/>
            <a:latin typeface="Times New Roman" panose="02020603050405020304" pitchFamily="18" charset="0"/>
            <a:ea typeface="+mn-ea"/>
            <a:cs typeface="Times New Roman" panose="02020603050405020304" pitchFamily="18" charset="0"/>
          </a:endParaRPr>
        </a:p>
        <a:p>
          <a:pPr>
            <a:lnSpc>
              <a:spcPts val="1500"/>
            </a:lnSpc>
          </a:pPr>
          <a:r>
            <a:rPr lang="en-US" sz="1400">
              <a:solidFill>
                <a:schemeClr val="dk1"/>
              </a:solidFill>
              <a:effectLst/>
              <a:latin typeface="Times New Roman" panose="02020603050405020304" pitchFamily="18" charset="0"/>
              <a:ea typeface="+mn-ea"/>
              <a:cs typeface="Times New Roman" panose="02020603050405020304" pitchFamily="18" charset="0"/>
            </a:rPr>
            <a:t>Mức độ rủi ro rất thấp, không đáng kể khi so sánh với các loại rủi ro khác trên phương diện đánh giá lợi ích của việc sử dụng 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 </a:t>
          </a:r>
          <a:r>
            <a:rPr lang="en-US" sz="1400">
              <a:solidFill>
                <a:schemeClr val="dk1"/>
              </a:solidFill>
              <a:effectLst/>
              <a:latin typeface="Times New Roman" panose="02020603050405020304" pitchFamily="18" charset="0"/>
              <a:ea typeface="+mn-ea"/>
              <a:cs typeface="Times New Roman" panose="02020603050405020304" pitchFamily="18" charset="0"/>
            </a:rPr>
            <a:t>Trong những trường hợp này, rủi ro được chấp nhận và các biện pháp xử lý rủi không nhất thiết phải được tiến hành</a:t>
          </a:r>
        </a:p>
        <a:p>
          <a:endParaRPr lang="en-SG" sz="14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Times New Roman" panose="02020603050405020304" pitchFamily="18" charset="0"/>
              <a:ea typeface="+mn-ea"/>
              <a:cs typeface="Times New Roman" panose="02020603050405020304" pitchFamily="18" charset="0"/>
            </a:rPr>
            <a:t> (b)</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6-10 =  Có thể Chấp Nhận Được </a:t>
          </a:r>
          <a:r>
            <a:rPr lang="en-US" sz="1400" b="1">
              <a:solidFill>
                <a:srgbClr val="FF0000"/>
              </a:solidFill>
              <a:effectLst/>
              <a:latin typeface="Times New Roman" panose="02020603050405020304" pitchFamily="18" charset="0"/>
              <a:ea typeface="+mn-ea"/>
              <a:cs typeface="Times New Roman" panose="02020603050405020304" pitchFamily="18" charset="0"/>
            </a:rPr>
            <a:t>( loại B) </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a:t>
          </a:r>
          <a:r>
            <a:rPr lang="zh-CN" altLang="en-US" sz="1100" b="1">
              <a:solidFill>
                <a:schemeClr val="dk1"/>
              </a:solidFill>
              <a:effectLst/>
              <a:latin typeface="+mn-lt"/>
              <a:ea typeface="+mn-ea"/>
              <a:cs typeface="+mn-cs"/>
            </a:rPr>
            <a:t>可以接受  （</a:t>
          </a:r>
          <a:r>
            <a:rPr lang="en-US" altLang="zh-CN" sz="1100" b="1">
              <a:solidFill>
                <a:schemeClr val="dk1"/>
              </a:solidFill>
              <a:effectLst/>
              <a:latin typeface="+mn-lt"/>
              <a:ea typeface="+mn-ea"/>
              <a:cs typeface="+mn-cs"/>
            </a:rPr>
            <a:t>B</a:t>
          </a:r>
          <a:r>
            <a:rPr lang="zh-CN" altLang="en-US" sz="1100" b="1">
              <a:solidFill>
                <a:schemeClr val="dk1"/>
              </a:solidFill>
              <a:effectLst/>
              <a:latin typeface="+mn-lt"/>
              <a:ea typeface="+mn-ea"/>
              <a:cs typeface="+mn-cs"/>
            </a:rPr>
            <a:t> 类）</a:t>
          </a:r>
          <a:endParaRPr lang="vi-VN" sz="1400">
            <a:effectLst/>
          </a:endParaRPr>
        </a:p>
        <a:p>
          <a:r>
            <a:rPr lang="zh-CN" altLang="en-US" sz="1400" b="1">
              <a:solidFill>
                <a:srgbClr val="FF0000"/>
              </a:solidFill>
              <a:effectLst/>
              <a:latin typeface="Times New Roman" panose="02020603050405020304" pitchFamily="18" charset="0"/>
              <a:ea typeface="+mn-ea"/>
              <a:cs typeface="Times New Roman" panose="02020603050405020304" pitchFamily="18" charset="0"/>
            </a:rPr>
            <a:t> </a:t>
          </a:r>
          <a:endParaRPr lang="en-US" sz="1400" b="1">
            <a:solidFill>
              <a:srgbClr val="FF0000"/>
            </a:solidFill>
            <a:effectLst/>
            <a:latin typeface="Times New Roman" panose="02020603050405020304" pitchFamily="18" charset="0"/>
            <a:ea typeface="+mn-ea"/>
            <a:cs typeface="Times New Roman" panose="02020603050405020304" pitchFamily="18" charset="0"/>
          </a:endParaRPr>
        </a:p>
        <a:p>
          <a:r>
            <a:rPr lang="zh-CN" altLang="en-US" sz="1100" b="1">
              <a:solidFill>
                <a:schemeClr val="dk1"/>
              </a:solidFill>
              <a:effectLst/>
              <a:latin typeface="+mn-lt"/>
              <a:ea typeface="+mn-ea"/>
              <a:cs typeface="+mn-cs"/>
            </a:rPr>
            <a:t>可以接受</a:t>
          </a:r>
          <a:endParaRPr lang="en-SG" sz="1400" b="1">
            <a:solidFill>
              <a:srgbClr val="FF0000"/>
            </a:solidFill>
            <a:effectLst/>
            <a:latin typeface="Times New Roman" panose="02020603050405020304" pitchFamily="18" charset="0"/>
            <a:ea typeface="+mn-ea"/>
            <a:cs typeface="Times New Roman" panose="02020603050405020304" pitchFamily="18" charset="0"/>
          </a:endParaRPr>
        </a:p>
        <a:p>
          <a:pPr>
            <a:lnSpc>
              <a:spcPts val="1500"/>
            </a:lnSpc>
          </a:pPr>
          <a:r>
            <a:rPr lang="en-US" sz="1400">
              <a:solidFill>
                <a:schemeClr val="dk1"/>
              </a:solidFill>
              <a:effectLst/>
              <a:latin typeface="Times New Roman" panose="02020603050405020304" pitchFamily="18" charset="0"/>
              <a:ea typeface="+mn-ea"/>
              <a:cs typeface="Times New Roman" panose="02020603050405020304" pitchFamily="18" charset="0"/>
            </a:rPr>
            <a:t>Rủi ro liên quan đến chất</a:t>
          </a:r>
          <a:r>
            <a:rPr lang="en-US" sz="1400" baseline="0">
              <a:solidFill>
                <a:schemeClr val="dk1"/>
              </a:solidFill>
              <a:effectLst/>
              <a:latin typeface="Times New Roman" panose="02020603050405020304" pitchFamily="18" charset="0"/>
              <a:ea typeface="+mn-ea"/>
              <a:cs typeface="Times New Roman" panose="02020603050405020304" pitchFamily="18" charset="0"/>
            </a:rPr>
            <a:t> lượng chung của </a:t>
          </a:r>
          <a:r>
            <a:rPr lang="en-US" sz="1400">
              <a:solidFill>
                <a:schemeClr val="dk1"/>
              </a:solidFill>
              <a:effectLst/>
              <a:latin typeface="Times New Roman" panose="02020603050405020304" pitchFamily="18" charset="0"/>
              <a:ea typeface="+mn-ea"/>
              <a:cs typeface="Times New Roman" panose="02020603050405020304" pitchFamily="18" charset="0"/>
            </a:rPr>
            <a:t>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 </a:t>
          </a:r>
          <a:r>
            <a:rPr lang="en-US" sz="1400">
              <a:solidFill>
                <a:schemeClr val="dk1"/>
              </a:solidFill>
              <a:effectLst/>
              <a:latin typeface="Times New Roman" panose="02020603050405020304" pitchFamily="18" charset="0"/>
              <a:ea typeface="+mn-ea"/>
              <a:cs typeface="Times New Roman" panose="02020603050405020304" pitchFamily="18" charset="0"/>
            </a:rPr>
            <a:t>và có thể chập nhận được nếu như người sử dụng có dự phòng tốt. Tuy nhiên không thể sử dụng sản</a:t>
          </a:r>
          <a:r>
            <a:rPr lang="en-US" sz="1400" baseline="0">
              <a:solidFill>
                <a:schemeClr val="dk1"/>
              </a:solidFill>
              <a:effectLst/>
              <a:latin typeface="Times New Roman" panose="02020603050405020304" pitchFamily="18" charset="0"/>
              <a:ea typeface="+mn-ea"/>
              <a:cs typeface="Times New Roman" panose="02020603050405020304" pitchFamily="18" charset="0"/>
            </a:rPr>
            <a:t> phẩm</a:t>
          </a:r>
          <a:r>
            <a:rPr lang="en-US" sz="1400">
              <a:solidFill>
                <a:schemeClr val="dk1"/>
              </a:solidFill>
              <a:effectLst/>
              <a:latin typeface="Times New Roman" panose="02020603050405020304" pitchFamily="18" charset="0"/>
              <a:ea typeface="+mn-ea"/>
              <a:cs typeface="Times New Roman" panose="02020603050405020304" pitchFamily="18" charset="0"/>
            </a:rPr>
            <a:t> có rủi ro ở một tỷ lệ nhất định. Các biện pháp xử lý rủi ro nên được tiến hành để giảm thiểu tỷ lệ rủi ro ở mức có thể chấp nhận được và để tránh gặp phải rủi ro</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pPr>
            <a:lnSpc>
              <a:spcPts val="1600"/>
            </a:lnSpc>
          </a:pPr>
          <a:r>
            <a:rPr lang="en-US" sz="1400">
              <a:solidFill>
                <a:schemeClr val="dk1"/>
              </a:solidFill>
              <a:effectLst/>
              <a:latin typeface="Times New Roman" panose="02020603050405020304" pitchFamily="18" charset="0"/>
              <a:ea typeface="+mn-ea"/>
              <a:cs typeface="Times New Roman" panose="02020603050405020304" pitchFamily="18" charset="0"/>
            </a:rPr>
            <a:t>(c)</a:t>
          </a:r>
          <a:r>
            <a:rPr lang="zh-CN" altLang="en-US" sz="140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11-25 = Không Thể Chấp Nhận Được  </a:t>
          </a:r>
          <a:r>
            <a:rPr lang="en-US" sz="1400" b="1">
              <a:solidFill>
                <a:srgbClr val="FF0000"/>
              </a:solidFill>
              <a:effectLst/>
              <a:latin typeface="Times New Roman" panose="02020603050405020304" pitchFamily="18" charset="0"/>
              <a:ea typeface="+mn-ea"/>
              <a:cs typeface="Times New Roman" panose="02020603050405020304" pitchFamily="18" charset="0"/>
            </a:rPr>
            <a:t>( loại C)</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不可接受 （</a:t>
          </a:r>
          <a:r>
            <a:rPr lang="en-US" altLang="zh-CN" sz="1400" b="1">
              <a:solidFill>
                <a:srgbClr val="FF0000"/>
              </a:solidFill>
              <a:effectLst/>
              <a:latin typeface="Times New Roman" panose="02020603050405020304" pitchFamily="18" charset="0"/>
              <a:ea typeface="+mn-ea"/>
              <a:cs typeface="Times New Roman" panose="02020603050405020304" pitchFamily="18" charset="0"/>
            </a:rPr>
            <a:t>C</a:t>
          </a:r>
          <a:r>
            <a:rPr lang="zh-CN" altLang="en-US" sz="1400" b="1">
              <a:solidFill>
                <a:srgbClr val="FF0000"/>
              </a:solidFill>
              <a:effectLst/>
              <a:latin typeface="Times New Roman" panose="02020603050405020304" pitchFamily="18" charset="0"/>
              <a:ea typeface="+mn-ea"/>
              <a:cs typeface="Times New Roman" panose="02020603050405020304" pitchFamily="18" charset="0"/>
            </a:rPr>
            <a:t> 类）</a:t>
          </a:r>
          <a:endParaRPr lang="en-US" sz="1400" b="1">
            <a:solidFill>
              <a:srgbClr val="FF0000"/>
            </a:solidFill>
            <a:effectLst/>
            <a:latin typeface="Times New Roman" panose="02020603050405020304" pitchFamily="18" charset="0"/>
            <a:ea typeface="+mn-ea"/>
            <a:cs typeface="Times New Roman" panose="02020603050405020304" pitchFamily="18" charset="0"/>
          </a:endParaRPr>
        </a:p>
        <a:p>
          <a:r>
            <a:rPr lang="zh-CN" altLang="en-US" sz="1400" b="1">
              <a:solidFill>
                <a:srgbClr val="FF0000"/>
              </a:solidFill>
              <a:effectLst/>
              <a:latin typeface="Times New Roman" panose="02020603050405020304" pitchFamily="18" charset="0"/>
              <a:ea typeface="+mn-ea"/>
              <a:cs typeface="Times New Roman" panose="02020603050405020304" pitchFamily="18" charset="0"/>
            </a:rPr>
            <a:t>不能接受</a:t>
          </a:r>
          <a:endParaRPr lang="en-SG" sz="1400" b="1">
            <a:solidFill>
              <a:srgbClr val="FF0000"/>
            </a:solidFill>
            <a:effectLst/>
            <a:latin typeface="Times New Roman" panose="02020603050405020304" pitchFamily="18" charset="0"/>
            <a:ea typeface="+mn-ea"/>
            <a:cs typeface="Times New Roman" panose="02020603050405020304" pitchFamily="18" charset="0"/>
          </a:endParaRPr>
        </a:p>
        <a:p>
          <a:pPr>
            <a:lnSpc>
              <a:spcPts val="1400"/>
            </a:lnSpc>
          </a:pPr>
          <a:r>
            <a:rPr lang="en-US" sz="1400">
              <a:solidFill>
                <a:schemeClr val="dk1"/>
              </a:solidFill>
              <a:effectLst/>
              <a:latin typeface="Times New Roman" panose="02020603050405020304" pitchFamily="18" charset="0"/>
              <a:ea typeface="+mn-ea"/>
              <a:cs typeface="Times New Roman" panose="02020603050405020304" pitchFamily="18" charset="0"/>
            </a:rPr>
            <a:t>Rủi ro rất lớn không thể hạn chế được, các biện pháp xử lý rủi ro sẽ được thực hiện để giảm thiểu rủi ro</a:t>
          </a:r>
          <a:endParaRPr lang="en-SG" sz="1400">
            <a:solidFill>
              <a:schemeClr val="dk1"/>
            </a:solidFill>
            <a:effectLst/>
            <a:latin typeface="Times New Roman" panose="02020603050405020304" pitchFamily="18" charset="0"/>
            <a:ea typeface="+mn-ea"/>
            <a:cs typeface="Times New Roman" panose="02020603050405020304" pitchFamily="18" charset="0"/>
          </a:endParaRPr>
        </a:p>
        <a:p>
          <a:pPr>
            <a:lnSpc>
              <a:spcPts val="1100"/>
            </a:lnSpc>
          </a:pPr>
          <a:endParaRPr lang="en-SG" sz="1100">
            <a:latin typeface="Times New Roman" panose="02020603050405020304" pitchFamily="18" charset="0"/>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0</xdr:row>
      <xdr:rowOff>161925</xdr:rowOff>
    </xdr:from>
    <xdr:to>
      <xdr:col>2</xdr:col>
      <xdr:colOff>0</xdr:colOff>
      <xdr:row>1</xdr:row>
      <xdr:rowOff>638175</xdr:rowOff>
    </xdr:to>
    <xdr:pic>
      <xdr:nvPicPr>
        <xdr:cNvPr id="50373" name="图片 2" descr="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61925"/>
          <a:ext cx="12858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171450</xdr:colOff>
      <xdr:row>0</xdr:row>
      <xdr:rowOff>85725</xdr:rowOff>
    </xdr:from>
    <xdr:to>
      <xdr:col>12</xdr:col>
      <xdr:colOff>1047750</xdr:colOff>
      <xdr:row>1</xdr:row>
      <xdr:rowOff>695325</xdr:rowOff>
    </xdr:to>
    <xdr:pic>
      <xdr:nvPicPr>
        <xdr:cNvPr id="5037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87050" y="85725"/>
          <a:ext cx="5162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485775</xdr:colOff>
      <xdr:row>0</xdr:row>
      <xdr:rowOff>571500</xdr:rowOff>
    </xdr:from>
    <xdr:to>
      <xdr:col>8</xdr:col>
      <xdr:colOff>1838325</xdr:colOff>
      <xdr:row>1</xdr:row>
      <xdr:rowOff>657225</xdr:rowOff>
    </xdr:to>
    <xdr:pic>
      <xdr:nvPicPr>
        <xdr:cNvPr id="50375" name="Picture 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01375" y="571500"/>
          <a:ext cx="13525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2286000</xdr:colOff>
      <xdr:row>1</xdr:row>
      <xdr:rowOff>66675</xdr:rowOff>
    </xdr:from>
    <xdr:to>
      <xdr:col>10</xdr:col>
      <xdr:colOff>38100</xdr:colOff>
      <xdr:row>1</xdr:row>
      <xdr:rowOff>552450</xdr:rowOff>
    </xdr:to>
    <xdr:pic>
      <xdr:nvPicPr>
        <xdr:cNvPr id="5037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801600" y="657225"/>
          <a:ext cx="12382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104775</xdr:colOff>
      <xdr:row>1</xdr:row>
      <xdr:rowOff>0</xdr:rowOff>
    </xdr:from>
    <xdr:to>
      <xdr:col>12</xdr:col>
      <xdr:colOff>809625</xdr:colOff>
      <xdr:row>1</xdr:row>
      <xdr:rowOff>619125</xdr:rowOff>
    </xdr:to>
    <xdr:pic>
      <xdr:nvPicPr>
        <xdr:cNvPr id="50377" name="Picture 3"/>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487525" y="590550"/>
          <a:ext cx="11239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0</xdr:row>
      <xdr:rowOff>95250</xdr:rowOff>
    </xdr:from>
    <xdr:to>
      <xdr:col>2</xdr:col>
      <xdr:colOff>1638300</xdr:colOff>
      <xdr:row>1</xdr:row>
      <xdr:rowOff>238125</xdr:rowOff>
    </xdr:to>
    <xdr:pic>
      <xdr:nvPicPr>
        <xdr:cNvPr id="50378" name="Picture 4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47800" y="95250"/>
          <a:ext cx="15335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123825</xdr:colOff>
      <xdr:row>0</xdr:row>
      <xdr:rowOff>285750</xdr:rowOff>
    </xdr:from>
    <xdr:to>
      <xdr:col>13</xdr:col>
      <xdr:colOff>200025</xdr:colOff>
      <xdr:row>1</xdr:row>
      <xdr:rowOff>1914525</xdr:rowOff>
    </xdr:to>
    <xdr:pic>
      <xdr:nvPicPr>
        <xdr:cNvPr id="22838"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285750"/>
          <a:ext cx="5362575" cy="192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409575</xdr:colOff>
      <xdr:row>0</xdr:row>
      <xdr:rowOff>266700</xdr:rowOff>
    </xdr:from>
    <xdr:to>
      <xdr:col>11</xdr:col>
      <xdr:colOff>438150</xdr:colOff>
      <xdr:row>1</xdr:row>
      <xdr:rowOff>1933575</xdr:rowOff>
    </xdr:to>
    <xdr:pic>
      <xdr:nvPicPr>
        <xdr:cNvPr id="2386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15225" y="266700"/>
          <a:ext cx="534352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200025</xdr:colOff>
      <xdr:row>1</xdr:row>
      <xdr:rowOff>66675</xdr:rowOff>
    </xdr:from>
    <xdr:to>
      <xdr:col>12</xdr:col>
      <xdr:colOff>276225</xdr:colOff>
      <xdr:row>1</xdr:row>
      <xdr:rowOff>2019300</xdr:rowOff>
    </xdr:to>
    <xdr:pic>
      <xdr:nvPicPr>
        <xdr:cNvPr id="24886"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2300" y="323850"/>
          <a:ext cx="5362575"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95250</xdr:colOff>
      <xdr:row>1</xdr:row>
      <xdr:rowOff>76200</xdr:rowOff>
    </xdr:from>
    <xdr:to>
      <xdr:col>12</xdr:col>
      <xdr:colOff>85725</xdr:colOff>
      <xdr:row>1</xdr:row>
      <xdr:rowOff>2019300</xdr:rowOff>
    </xdr:to>
    <xdr:pic>
      <xdr:nvPicPr>
        <xdr:cNvPr id="2898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2375" y="457200"/>
          <a:ext cx="53625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257175</xdr:colOff>
      <xdr:row>1</xdr:row>
      <xdr:rowOff>47625</xdr:rowOff>
    </xdr:from>
    <xdr:to>
      <xdr:col>12</xdr:col>
      <xdr:colOff>342900</xdr:colOff>
      <xdr:row>1</xdr:row>
      <xdr:rowOff>1981200</xdr:rowOff>
    </xdr:to>
    <xdr:pic>
      <xdr:nvPicPr>
        <xdr:cNvPr id="1362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29450" y="409575"/>
          <a:ext cx="5372100"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457200</xdr:colOff>
      <xdr:row>1</xdr:row>
      <xdr:rowOff>57150</xdr:rowOff>
    </xdr:from>
    <xdr:to>
      <xdr:col>11</xdr:col>
      <xdr:colOff>495300</xdr:colOff>
      <xdr:row>1</xdr:row>
      <xdr:rowOff>2000250</xdr:rowOff>
    </xdr:to>
    <xdr:pic>
      <xdr:nvPicPr>
        <xdr:cNvPr id="25910"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76250"/>
          <a:ext cx="535305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533400</xdr:colOff>
      <xdr:row>1</xdr:row>
      <xdr:rowOff>123825</xdr:rowOff>
    </xdr:from>
    <xdr:to>
      <xdr:col>12</xdr:col>
      <xdr:colOff>619125</xdr:colOff>
      <xdr:row>1</xdr:row>
      <xdr:rowOff>1790700</xdr:rowOff>
    </xdr:to>
    <xdr:pic>
      <xdr:nvPicPr>
        <xdr:cNvPr id="16809"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81925" y="466725"/>
          <a:ext cx="458152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1</xdr:row>
      <xdr:rowOff>9525</xdr:rowOff>
    </xdr:from>
    <xdr:to>
      <xdr:col>2</xdr:col>
      <xdr:colOff>142875</xdr:colOff>
      <xdr:row>1</xdr:row>
      <xdr:rowOff>676275</xdr:rowOff>
    </xdr:to>
    <xdr:pic>
      <xdr:nvPicPr>
        <xdr:cNvPr id="16810" name="Picture 4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352425"/>
          <a:ext cx="14001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408214</xdr:colOff>
      <xdr:row>1</xdr:row>
      <xdr:rowOff>244928</xdr:rowOff>
    </xdr:from>
    <xdr:to>
      <xdr:col>3</xdr:col>
      <xdr:colOff>278384</xdr:colOff>
      <xdr:row>1</xdr:row>
      <xdr:rowOff>1102177</xdr:rowOff>
    </xdr:to>
    <xdr:pic>
      <xdr:nvPicPr>
        <xdr:cNvPr id="3"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678" y="612321"/>
          <a:ext cx="1802384"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2177144</xdr:colOff>
      <xdr:row>1</xdr:row>
      <xdr:rowOff>204107</xdr:rowOff>
    </xdr:from>
    <xdr:to>
      <xdr:col>13</xdr:col>
      <xdr:colOff>667657</xdr:colOff>
      <xdr:row>1</xdr:row>
      <xdr:rowOff>1428750</xdr:rowOff>
    </xdr:to>
    <xdr:pic>
      <xdr:nvPicPr>
        <xdr:cNvPr id="8" name="Picture 7"/>
        <xdr:cNvPicPr>
          <a:picLocks noChangeAspect="1"/>
        </xdr:cNvPicPr>
      </xdr:nvPicPr>
      <xdr:blipFill rotWithShape="1">
        <a:blip xmlns:r="http://schemas.openxmlformats.org/officeDocument/2006/relationships" r:embed="rId2"/>
        <a:srcRect t="1100"/>
        <a:stretch/>
      </xdr:blipFill>
      <xdr:spPr>
        <a:xfrm>
          <a:off x="12777108" y="571500"/>
          <a:ext cx="3620406" cy="122464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1571625</xdr:colOff>
      <xdr:row>1</xdr:row>
      <xdr:rowOff>9525</xdr:rowOff>
    </xdr:from>
    <xdr:to>
      <xdr:col>12</xdr:col>
      <xdr:colOff>314325</xdr:colOff>
      <xdr:row>1</xdr:row>
      <xdr:rowOff>1228725</xdr:rowOff>
    </xdr:to>
    <xdr:pic>
      <xdr:nvPicPr>
        <xdr:cNvPr id="4526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4975" y="266700"/>
          <a:ext cx="300037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228600</xdr:rowOff>
    </xdr:from>
    <xdr:to>
      <xdr:col>1</xdr:col>
      <xdr:colOff>933450</xdr:colOff>
      <xdr:row>1</xdr:row>
      <xdr:rowOff>476250</xdr:rowOff>
    </xdr:to>
    <xdr:pic>
      <xdr:nvPicPr>
        <xdr:cNvPr id="45262" name="Picture 4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228600"/>
          <a:ext cx="10668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3295650</xdr:colOff>
      <xdr:row>1</xdr:row>
      <xdr:rowOff>28575</xdr:rowOff>
    </xdr:from>
    <xdr:to>
      <xdr:col>12</xdr:col>
      <xdr:colOff>1247774</xdr:colOff>
      <xdr:row>1</xdr:row>
      <xdr:rowOff>1171575</xdr:rowOff>
    </xdr:to>
    <xdr:pic>
      <xdr:nvPicPr>
        <xdr:cNvPr id="48297"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4800" y="152400"/>
          <a:ext cx="3771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xdr:row>
      <xdr:rowOff>171450</xdr:rowOff>
    </xdr:from>
    <xdr:to>
      <xdr:col>1</xdr:col>
      <xdr:colOff>1285875</xdr:colOff>
      <xdr:row>1</xdr:row>
      <xdr:rowOff>885825</xdr:rowOff>
    </xdr:to>
    <xdr:pic>
      <xdr:nvPicPr>
        <xdr:cNvPr id="48298" name="Picture 4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295275"/>
          <a:ext cx="15144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257175</xdr:colOff>
      <xdr:row>0</xdr:row>
      <xdr:rowOff>342900</xdr:rowOff>
    </xdr:from>
    <xdr:to>
      <xdr:col>2</xdr:col>
      <xdr:colOff>1724025</xdr:colOff>
      <xdr:row>1</xdr:row>
      <xdr:rowOff>800100</xdr:rowOff>
    </xdr:to>
    <xdr:pic>
      <xdr:nvPicPr>
        <xdr:cNvPr id="42229"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342900"/>
          <a:ext cx="17907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4042931</xdr:colOff>
      <xdr:row>0</xdr:row>
      <xdr:rowOff>0</xdr:rowOff>
    </xdr:from>
    <xdr:to>
      <xdr:col>13</xdr:col>
      <xdr:colOff>659823</xdr:colOff>
      <xdr:row>1</xdr:row>
      <xdr:rowOff>865909</xdr:rowOff>
    </xdr:to>
    <xdr:pic>
      <xdr:nvPicPr>
        <xdr:cNvPr id="42231"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77431" y="0"/>
          <a:ext cx="3336347" cy="1264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M75"/>
  <sheetViews>
    <sheetView showGridLines="0" topLeftCell="A10" zoomScale="70" zoomScaleNormal="70" zoomScaleSheetLayoutView="89" workbookViewId="0">
      <selection activeCell="D15" sqref="D15"/>
    </sheetView>
  </sheetViews>
  <sheetFormatPr defaultColWidth="11.5703125" defaultRowHeight="15.75"/>
  <cols>
    <col min="1" max="1" width="4.85546875" style="208" customWidth="1"/>
    <col min="2" max="2" width="23.28515625" style="234" customWidth="1"/>
    <col min="3" max="3" width="29.42578125" style="235" customWidth="1"/>
    <col min="4" max="4" width="35.42578125" style="236" customWidth="1"/>
    <col min="5" max="5" width="4.5703125" style="208" customWidth="1"/>
    <col min="6" max="6" width="5" style="208" customWidth="1"/>
    <col min="7" max="7" width="6.85546875" style="208" customWidth="1"/>
    <col min="8" max="8" width="14.42578125" style="208" customWidth="1"/>
    <col min="9" max="9" width="49.140625" style="91" customWidth="1"/>
    <col min="10" max="11" width="5.42578125" style="91" customWidth="1"/>
    <col min="12" max="12" width="7.42578125" style="91" customWidth="1"/>
    <col min="13" max="13" width="24.42578125" style="208" customWidth="1"/>
    <col min="14" max="16384" width="11.5703125" style="208"/>
  </cols>
  <sheetData>
    <row r="1" spans="1:13" ht="9.75" customHeight="1" thickBot="1">
      <c r="A1" s="238"/>
      <c r="B1" s="239"/>
      <c r="C1" s="240"/>
      <c r="D1" s="241"/>
      <c r="E1" s="242"/>
      <c r="F1" s="242"/>
      <c r="G1" s="242"/>
      <c r="H1" s="242"/>
      <c r="I1" s="242"/>
      <c r="J1" s="242"/>
      <c r="K1" s="242"/>
      <c r="L1" s="242"/>
      <c r="M1" s="243"/>
    </row>
    <row r="2" spans="1:13" ht="100.5" customHeight="1">
      <c r="A2" s="244"/>
      <c r="B2" s="245"/>
      <c r="C2" s="502" t="s">
        <v>436</v>
      </c>
      <c r="D2" s="502"/>
      <c r="E2" s="502"/>
      <c r="F2" s="502"/>
      <c r="G2" s="502"/>
      <c r="H2" s="502"/>
      <c r="I2" s="242"/>
      <c r="J2" s="242"/>
      <c r="K2" s="242"/>
      <c r="L2" s="242"/>
      <c r="M2" s="246"/>
    </row>
    <row r="3" spans="1:13" s="293" customFormat="1" ht="85.5" customHeight="1">
      <c r="A3" s="508" t="s">
        <v>2</v>
      </c>
      <c r="B3" s="503" t="s">
        <v>382</v>
      </c>
      <c r="C3" s="503" t="s">
        <v>383</v>
      </c>
      <c r="D3" s="503" t="s">
        <v>384</v>
      </c>
      <c r="E3" s="503" t="s">
        <v>385</v>
      </c>
      <c r="F3" s="504"/>
      <c r="G3" s="504"/>
      <c r="H3" s="504"/>
      <c r="I3" s="503" t="s">
        <v>386</v>
      </c>
      <c r="J3" s="505" t="s">
        <v>785</v>
      </c>
      <c r="K3" s="506"/>
      <c r="L3" s="506"/>
      <c r="M3" s="507"/>
    </row>
    <row r="4" spans="1:13" s="293" customFormat="1" ht="82.5" customHeight="1">
      <c r="A4" s="508"/>
      <c r="B4" s="504"/>
      <c r="C4" s="504"/>
      <c r="D4" s="504"/>
      <c r="E4" s="292" t="s">
        <v>0</v>
      </c>
      <c r="F4" s="292" t="s">
        <v>1</v>
      </c>
      <c r="G4" s="292" t="s">
        <v>12</v>
      </c>
      <c r="H4" s="291" t="s">
        <v>388</v>
      </c>
      <c r="I4" s="504"/>
      <c r="J4" s="291" t="s">
        <v>0</v>
      </c>
      <c r="K4" s="292" t="s">
        <v>1</v>
      </c>
      <c r="L4" s="292" t="s">
        <v>12</v>
      </c>
      <c r="M4" s="294" t="s">
        <v>388</v>
      </c>
    </row>
    <row r="5" spans="1:13" s="83" customFormat="1" ht="79.5" customHeight="1">
      <c r="A5" s="383">
        <v>1</v>
      </c>
      <c r="B5" s="74" t="s">
        <v>437</v>
      </c>
      <c r="C5" s="16" t="s">
        <v>438</v>
      </c>
      <c r="D5" s="75" t="s">
        <v>439</v>
      </c>
      <c r="E5" s="45">
        <v>5</v>
      </c>
      <c r="F5" s="45">
        <v>1</v>
      </c>
      <c r="G5" s="45">
        <v>5</v>
      </c>
      <c r="H5" s="46" t="s">
        <v>47</v>
      </c>
      <c r="I5" s="46" t="s">
        <v>440</v>
      </c>
      <c r="J5" s="46">
        <v>5</v>
      </c>
      <c r="K5" s="45">
        <v>0</v>
      </c>
      <c r="L5" s="45">
        <v>0</v>
      </c>
      <c r="M5" s="385"/>
    </row>
    <row r="6" spans="1:13" s="83" customFormat="1" ht="79.5" customHeight="1">
      <c r="A6" s="386">
        <v>2</v>
      </c>
      <c r="B6" s="16" t="s">
        <v>441</v>
      </c>
      <c r="C6" s="16" t="s">
        <v>442</v>
      </c>
      <c r="D6" s="17" t="s">
        <v>443</v>
      </c>
      <c r="E6" s="47">
        <v>1</v>
      </c>
      <c r="F6" s="47">
        <v>1</v>
      </c>
      <c r="G6" s="45">
        <v>1</v>
      </c>
      <c r="H6" s="48" t="s">
        <v>47</v>
      </c>
      <c r="I6" s="48" t="s">
        <v>444</v>
      </c>
      <c r="J6" s="46">
        <v>1</v>
      </c>
      <c r="K6" s="45">
        <v>0</v>
      </c>
      <c r="L6" s="45">
        <v>0</v>
      </c>
      <c r="M6" s="385"/>
    </row>
    <row r="7" spans="1:13" s="83" customFormat="1" ht="79.5" customHeight="1">
      <c r="A7" s="386">
        <v>3</v>
      </c>
      <c r="B7" s="16" t="s">
        <v>445</v>
      </c>
      <c r="C7" s="16" t="s">
        <v>446</v>
      </c>
      <c r="D7" s="17" t="s">
        <v>447</v>
      </c>
      <c r="E7" s="47">
        <v>2</v>
      </c>
      <c r="F7" s="47">
        <v>1</v>
      </c>
      <c r="G7" s="45">
        <v>2</v>
      </c>
      <c r="H7" s="48" t="s">
        <v>47</v>
      </c>
      <c r="I7" s="48" t="s">
        <v>448</v>
      </c>
      <c r="J7" s="44">
        <v>2</v>
      </c>
      <c r="K7" s="46">
        <v>0</v>
      </c>
      <c r="L7" s="45">
        <v>0</v>
      </c>
      <c r="M7" s="385"/>
    </row>
    <row r="8" spans="1:13" s="83" customFormat="1" ht="37.5">
      <c r="A8" s="386">
        <v>4</v>
      </c>
      <c r="B8" s="16" t="s">
        <v>449</v>
      </c>
      <c r="C8" s="16" t="s">
        <v>396</v>
      </c>
      <c r="D8" s="17" t="s">
        <v>450</v>
      </c>
      <c r="E8" s="47">
        <v>1</v>
      </c>
      <c r="F8" s="47">
        <v>1</v>
      </c>
      <c r="G8" s="45">
        <v>1</v>
      </c>
      <c r="H8" s="48" t="s">
        <v>47</v>
      </c>
      <c r="I8" s="48" t="s">
        <v>451</v>
      </c>
      <c r="J8" s="46">
        <v>1</v>
      </c>
      <c r="K8" s="45">
        <v>0</v>
      </c>
      <c r="L8" s="45">
        <v>0</v>
      </c>
      <c r="M8" s="385"/>
    </row>
    <row r="9" spans="1:13" s="83" customFormat="1" ht="112.5">
      <c r="A9" s="386">
        <v>5</v>
      </c>
      <c r="B9" s="16" t="s">
        <v>452</v>
      </c>
      <c r="C9" s="16" t="s">
        <v>453</v>
      </c>
      <c r="D9" s="17" t="s">
        <v>454</v>
      </c>
      <c r="E9" s="47">
        <v>2</v>
      </c>
      <c r="F9" s="47">
        <v>1</v>
      </c>
      <c r="G9" s="45">
        <v>2</v>
      </c>
      <c r="H9" s="48" t="s">
        <v>47</v>
      </c>
      <c r="I9" s="48" t="s">
        <v>455</v>
      </c>
      <c r="J9" s="46">
        <v>2</v>
      </c>
      <c r="K9" s="45">
        <v>0</v>
      </c>
      <c r="L9" s="45">
        <v>0</v>
      </c>
      <c r="M9" s="385"/>
    </row>
    <row r="10" spans="1:13" s="83" customFormat="1" ht="150">
      <c r="A10" s="386">
        <v>6</v>
      </c>
      <c r="B10" s="16" t="s">
        <v>456</v>
      </c>
      <c r="C10" s="16" t="s">
        <v>457</v>
      </c>
      <c r="D10" s="17" t="s">
        <v>458</v>
      </c>
      <c r="E10" s="47">
        <v>2</v>
      </c>
      <c r="F10" s="47">
        <v>2</v>
      </c>
      <c r="G10" s="45">
        <v>4</v>
      </c>
      <c r="H10" s="48" t="s">
        <v>47</v>
      </c>
      <c r="I10" s="48" t="s">
        <v>459</v>
      </c>
      <c r="J10" s="46">
        <v>2</v>
      </c>
      <c r="K10" s="45">
        <v>0</v>
      </c>
      <c r="L10" s="45">
        <v>0</v>
      </c>
      <c r="M10" s="385"/>
    </row>
    <row r="11" spans="1:13" s="83" customFormat="1" ht="126" customHeight="1">
      <c r="A11" s="386">
        <v>7</v>
      </c>
      <c r="B11" s="16" t="s">
        <v>460</v>
      </c>
      <c r="C11" s="16" t="s">
        <v>461</v>
      </c>
      <c r="D11" s="17" t="s">
        <v>462</v>
      </c>
      <c r="E11" s="47">
        <v>1</v>
      </c>
      <c r="F11" s="47">
        <v>2</v>
      </c>
      <c r="G11" s="45">
        <v>2</v>
      </c>
      <c r="H11" s="48" t="s">
        <v>47</v>
      </c>
      <c r="I11" s="48" t="s">
        <v>431</v>
      </c>
      <c r="J11" s="46">
        <v>1</v>
      </c>
      <c r="K11" s="45">
        <v>0</v>
      </c>
      <c r="L11" s="45">
        <v>0</v>
      </c>
      <c r="M11" s="385"/>
    </row>
    <row r="12" spans="1:13" s="83" customFormat="1" ht="126" customHeight="1">
      <c r="A12" s="386">
        <v>8</v>
      </c>
      <c r="B12" s="16" t="s">
        <v>463</v>
      </c>
      <c r="C12" s="16" t="s">
        <v>464</v>
      </c>
      <c r="D12" s="17" t="s">
        <v>465</v>
      </c>
      <c r="E12" s="47">
        <v>1</v>
      </c>
      <c r="F12" s="47">
        <v>2</v>
      </c>
      <c r="G12" s="45">
        <v>2</v>
      </c>
      <c r="H12" s="48" t="s">
        <v>47</v>
      </c>
      <c r="I12" s="48" t="s">
        <v>466</v>
      </c>
      <c r="J12" s="46">
        <v>1</v>
      </c>
      <c r="K12" s="45">
        <v>0</v>
      </c>
      <c r="L12" s="45">
        <v>0</v>
      </c>
      <c r="M12" s="385"/>
    </row>
    <row r="13" spans="1:13" s="83" customFormat="1" ht="126" customHeight="1">
      <c r="A13" s="386">
        <v>9</v>
      </c>
      <c r="B13" s="16" t="s">
        <v>467</v>
      </c>
      <c r="C13" s="16" t="s">
        <v>468</v>
      </c>
      <c r="D13" s="17" t="s">
        <v>469</v>
      </c>
      <c r="E13" s="47">
        <v>1</v>
      </c>
      <c r="F13" s="47">
        <v>2</v>
      </c>
      <c r="G13" s="45">
        <v>2</v>
      </c>
      <c r="H13" s="48" t="s">
        <v>47</v>
      </c>
      <c r="I13" s="48" t="s">
        <v>470</v>
      </c>
      <c r="J13" s="46">
        <v>1</v>
      </c>
      <c r="K13" s="45">
        <v>0</v>
      </c>
      <c r="L13" s="45">
        <v>0</v>
      </c>
      <c r="M13" s="385"/>
    </row>
    <row r="14" spans="1:13" s="83" customFormat="1" ht="126" customHeight="1">
      <c r="A14" s="415">
        <v>10</v>
      </c>
      <c r="B14" s="404" t="s">
        <v>720</v>
      </c>
      <c r="C14" s="404" t="s">
        <v>721</v>
      </c>
      <c r="D14" s="416" t="s">
        <v>722</v>
      </c>
      <c r="E14" s="417">
        <v>4</v>
      </c>
      <c r="F14" s="417">
        <v>4</v>
      </c>
      <c r="G14" s="406">
        <v>16</v>
      </c>
      <c r="H14" s="403" t="s">
        <v>48</v>
      </c>
      <c r="I14" s="403" t="s">
        <v>723</v>
      </c>
      <c r="J14" s="405">
        <v>4</v>
      </c>
      <c r="K14" s="406">
        <v>0</v>
      </c>
      <c r="L14" s="406">
        <v>0</v>
      </c>
      <c r="M14" s="418"/>
    </row>
    <row r="15" spans="1:13" s="83" customFormat="1" ht="126" customHeight="1">
      <c r="A15" s="415">
        <v>11</v>
      </c>
      <c r="B15" s="404" t="s">
        <v>471</v>
      </c>
      <c r="C15" s="404" t="s">
        <v>433</v>
      </c>
      <c r="D15" s="416" t="s">
        <v>472</v>
      </c>
      <c r="E15" s="417">
        <v>3</v>
      </c>
      <c r="F15" s="417">
        <v>4</v>
      </c>
      <c r="G15" s="406">
        <v>12</v>
      </c>
      <c r="H15" s="403" t="s">
        <v>48</v>
      </c>
      <c r="I15" s="403" t="s">
        <v>435</v>
      </c>
      <c r="J15" s="405">
        <v>1</v>
      </c>
      <c r="K15" s="406">
        <v>1</v>
      </c>
      <c r="L15" s="406">
        <v>1</v>
      </c>
      <c r="M15" s="418" t="s">
        <v>47</v>
      </c>
    </row>
    <row r="16" spans="1:13" s="83" customFormat="1" ht="126" customHeight="1" thickBot="1">
      <c r="A16" s="407">
        <v>12</v>
      </c>
      <c r="B16" s="408" t="s">
        <v>781</v>
      </c>
      <c r="C16" s="408" t="s">
        <v>782</v>
      </c>
      <c r="D16" s="409" t="s">
        <v>783</v>
      </c>
      <c r="E16" s="410">
        <v>3</v>
      </c>
      <c r="F16" s="410">
        <v>4</v>
      </c>
      <c r="G16" s="411">
        <v>12</v>
      </c>
      <c r="H16" s="412" t="s">
        <v>48</v>
      </c>
      <c r="I16" s="412" t="s">
        <v>784</v>
      </c>
      <c r="J16" s="413">
        <v>1</v>
      </c>
      <c r="K16" s="411">
        <v>1</v>
      </c>
      <c r="L16" s="411">
        <v>1</v>
      </c>
      <c r="M16" s="414" t="s">
        <v>47</v>
      </c>
    </row>
    <row r="17" spans="1:13" s="139" customFormat="1" ht="12.75" customHeight="1">
      <c r="A17" s="154"/>
      <c r="B17" s="154"/>
      <c r="C17" s="155"/>
      <c r="D17" s="155"/>
      <c r="E17" s="155"/>
      <c r="F17" s="155"/>
      <c r="G17" s="155"/>
      <c r="H17" s="155"/>
      <c r="I17" s="155"/>
      <c r="J17" s="155"/>
      <c r="K17" s="155"/>
      <c r="L17" s="155"/>
      <c r="M17" s="156"/>
    </row>
    <row r="18" spans="1:13" s="139" customFormat="1" ht="12.75" customHeight="1">
      <c r="A18" s="265"/>
      <c r="B18" s="265" t="s">
        <v>745</v>
      </c>
      <c r="C18" s="157"/>
      <c r="D18" s="157"/>
      <c r="E18" s="157"/>
      <c r="F18" s="157"/>
      <c r="G18" s="157"/>
      <c r="H18" s="157"/>
      <c r="I18" s="157"/>
      <c r="J18" s="157"/>
      <c r="K18" s="157"/>
      <c r="L18" s="157"/>
      <c r="M18" s="158"/>
    </row>
    <row r="19" spans="1:13" s="139" customFormat="1" ht="12.75" customHeight="1">
      <c r="A19" s="265"/>
      <c r="B19" s="265" t="s">
        <v>756</v>
      </c>
      <c r="C19" s="157"/>
      <c r="D19" s="157"/>
      <c r="E19" s="157"/>
      <c r="F19" s="157"/>
      <c r="G19" s="157"/>
      <c r="H19" s="157"/>
      <c r="I19" s="157"/>
      <c r="J19" s="157"/>
      <c r="K19" s="157"/>
      <c r="L19" s="157"/>
      <c r="M19" s="158"/>
    </row>
    <row r="20" spans="1:13" s="139" customFormat="1" ht="12.75" customHeight="1">
      <c r="A20" s="265"/>
      <c r="B20" s="265" t="s">
        <v>744</v>
      </c>
      <c r="C20" s="157"/>
      <c r="D20" s="157"/>
      <c r="E20" s="157"/>
      <c r="F20" s="157"/>
      <c r="G20" s="157"/>
      <c r="H20" s="157"/>
      <c r="I20" s="157"/>
      <c r="J20" s="157"/>
      <c r="K20" s="157"/>
      <c r="L20" s="157"/>
      <c r="M20" s="158"/>
    </row>
    <row r="21" spans="1:13" s="139" customFormat="1" ht="12.75" customHeight="1">
      <c r="A21" s="265"/>
      <c r="B21" s="256" t="s">
        <v>627</v>
      </c>
      <c r="C21" s="159"/>
      <c r="D21" s="159"/>
      <c r="E21" s="159"/>
      <c r="F21" s="159"/>
      <c r="G21" s="159"/>
      <c r="H21" s="159"/>
      <c r="I21" s="159"/>
      <c r="J21" s="159"/>
      <c r="K21" s="159"/>
      <c r="L21" s="159"/>
      <c r="M21" s="290"/>
    </row>
    <row r="22" spans="1:13" s="195" customFormat="1" ht="28.5" customHeight="1">
      <c r="A22" s="265"/>
      <c r="B22" s="268" t="s">
        <v>330</v>
      </c>
      <c r="C22" s="253" t="s">
        <v>331</v>
      </c>
      <c r="D22" s="253" t="s">
        <v>335</v>
      </c>
      <c r="E22" s="490" t="s">
        <v>759</v>
      </c>
      <c r="F22" s="491"/>
      <c r="G22" s="492" t="s">
        <v>644</v>
      </c>
      <c r="H22" s="493"/>
      <c r="I22" s="494"/>
      <c r="J22" s="494"/>
      <c r="K22" s="495"/>
      <c r="L22" s="501" t="s">
        <v>643</v>
      </c>
      <c r="M22" s="501"/>
    </row>
    <row r="23" spans="1:13" s="195" customFormat="1" ht="28.5" customHeight="1">
      <c r="A23" s="265"/>
      <c r="B23" s="268">
        <v>0</v>
      </c>
      <c r="C23" s="253" t="s">
        <v>758</v>
      </c>
      <c r="D23" s="253" t="s">
        <v>476</v>
      </c>
      <c r="E23" s="496" t="s">
        <v>760</v>
      </c>
      <c r="F23" s="497"/>
      <c r="G23" s="492" t="s">
        <v>645</v>
      </c>
      <c r="H23" s="493"/>
      <c r="I23" s="493"/>
      <c r="J23" s="493"/>
      <c r="K23" s="498"/>
      <c r="L23" s="501" t="s">
        <v>763</v>
      </c>
      <c r="M23" s="501"/>
    </row>
    <row r="24" spans="1:13" s="195" customFormat="1" ht="28.5" customHeight="1">
      <c r="A24" s="256"/>
      <c r="B24" s="212"/>
      <c r="C24" s="253"/>
      <c r="D24" s="253"/>
      <c r="E24" s="499"/>
      <c r="F24" s="497"/>
      <c r="G24" s="490"/>
      <c r="H24" s="491"/>
      <c r="I24" s="491"/>
      <c r="J24" s="491"/>
      <c r="K24" s="500"/>
      <c r="L24" s="501"/>
      <c r="M24" s="501"/>
    </row>
    <row r="25" spans="1:13" s="195" customFormat="1" ht="66.75" customHeight="1">
      <c r="A25" s="88"/>
      <c r="B25" s="201"/>
      <c r="C25" s="215"/>
      <c r="D25" s="219"/>
      <c r="E25" s="88"/>
      <c r="F25" s="88"/>
      <c r="G25" s="88"/>
      <c r="H25" s="88"/>
      <c r="I25" s="218"/>
      <c r="J25" s="88"/>
      <c r="K25" s="88"/>
      <c r="L25" s="88"/>
      <c r="M25" s="88"/>
    </row>
    <row r="26" spans="1:13" s="195" customFormat="1" ht="94.5" customHeight="1">
      <c r="A26" s="88"/>
      <c r="B26" s="201"/>
      <c r="C26" s="215"/>
      <c r="D26" s="219"/>
      <c r="E26" s="88"/>
      <c r="F26" s="88"/>
      <c r="G26" s="88"/>
      <c r="H26" s="88"/>
      <c r="I26" s="218"/>
      <c r="J26" s="88"/>
      <c r="K26" s="88"/>
      <c r="L26" s="88"/>
      <c r="M26" s="88"/>
    </row>
    <row r="27" spans="1:13" s="195" customFormat="1" ht="92.25" customHeight="1">
      <c r="A27" s="88"/>
      <c r="B27" s="201"/>
      <c r="C27" s="215"/>
      <c r="D27" s="219"/>
      <c r="E27" s="88"/>
      <c r="F27" s="88"/>
      <c r="G27" s="88"/>
      <c r="H27" s="88"/>
      <c r="I27" s="218"/>
      <c r="J27" s="88"/>
      <c r="K27" s="88"/>
      <c r="L27" s="88"/>
      <c r="M27" s="88"/>
    </row>
    <row r="28" spans="1:13" s="195" customFormat="1" ht="58.5" customHeight="1">
      <c r="A28" s="88"/>
      <c r="B28" s="201"/>
      <c r="C28" s="215"/>
      <c r="D28" s="219"/>
      <c r="E28" s="88"/>
      <c r="F28" s="88"/>
      <c r="G28" s="88"/>
      <c r="H28" s="88"/>
      <c r="I28" s="218"/>
      <c r="J28" s="88"/>
      <c r="K28" s="88"/>
      <c r="L28" s="88"/>
      <c r="M28" s="88"/>
    </row>
    <row r="29" spans="1:13" s="188" customFormat="1" hidden="1">
      <c r="A29" s="220"/>
      <c r="B29" s="221"/>
      <c r="C29" s="222"/>
      <c r="D29" s="223"/>
      <c r="E29" s="224"/>
      <c r="F29" s="224"/>
      <c r="G29" s="220"/>
      <c r="H29" s="224"/>
      <c r="I29" s="224"/>
      <c r="J29" s="224"/>
      <c r="K29" s="224"/>
      <c r="L29" s="224"/>
      <c r="M29" s="224"/>
    </row>
    <row r="30" spans="1:13" s="188" customFormat="1" hidden="1">
      <c r="A30" s="220"/>
      <c r="B30" s="221"/>
      <c r="C30" s="222"/>
      <c r="D30" s="223"/>
      <c r="E30" s="224"/>
      <c r="F30" s="224"/>
      <c r="G30" s="220"/>
      <c r="H30" s="224"/>
      <c r="I30" s="224"/>
      <c r="J30" s="224"/>
      <c r="K30" s="224"/>
      <c r="L30" s="224"/>
      <c r="M30" s="224"/>
    </row>
    <row r="31" spans="1:13" s="188" customFormat="1" hidden="1">
      <c r="A31" s="220"/>
      <c r="B31" s="221"/>
      <c r="C31" s="222"/>
      <c r="D31" s="223"/>
      <c r="E31" s="224"/>
      <c r="F31" s="224"/>
      <c r="G31" s="220"/>
      <c r="H31" s="224"/>
      <c r="I31" s="224"/>
      <c r="J31" s="224"/>
      <c r="K31" s="224"/>
      <c r="L31" s="224"/>
      <c r="M31" s="224"/>
    </row>
    <row r="32" spans="1:13" s="188" customFormat="1" hidden="1">
      <c r="A32" s="220"/>
      <c r="B32" s="221"/>
      <c r="C32" s="222"/>
      <c r="D32" s="223"/>
      <c r="E32" s="224"/>
      <c r="F32" s="224"/>
      <c r="G32" s="220"/>
      <c r="H32" s="224"/>
      <c r="I32" s="224"/>
      <c r="J32" s="224"/>
      <c r="K32" s="224"/>
      <c r="L32" s="224"/>
      <c r="M32" s="224"/>
    </row>
    <row r="33" spans="1:13" s="188" customFormat="1" hidden="1">
      <c r="A33" s="220"/>
      <c r="B33" s="221"/>
      <c r="C33" s="222"/>
      <c r="D33" s="223"/>
      <c r="E33" s="224"/>
      <c r="F33" s="224"/>
      <c r="G33" s="220"/>
      <c r="H33" s="224"/>
      <c r="I33" s="224"/>
      <c r="J33" s="224"/>
      <c r="K33" s="224"/>
      <c r="L33" s="224"/>
      <c r="M33" s="224"/>
    </row>
    <row r="34" spans="1:13" s="188" customFormat="1" hidden="1">
      <c r="A34" s="220"/>
      <c r="B34" s="221"/>
      <c r="C34" s="222"/>
      <c r="D34" s="223"/>
      <c r="E34" s="224"/>
      <c r="F34" s="224"/>
      <c r="G34" s="220"/>
      <c r="H34" s="224"/>
      <c r="I34" s="224"/>
      <c r="J34" s="224"/>
      <c r="K34" s="224"/>
      <c r="L34" s="224"/>
      <c r="M34" s="224"/>
    </row>
    <row r="35" spans="1:13" s="188" customFormat="1" hidden="1">
      <c r="A35" s="220"/>
      <c r="B35" s="221"/>
      <c r="C35" s="222"/>
      <c r="D35" s="223"/>
      <c r="E35" s="224"/>
      <c r="F35" s="224"/>
      <c r="G35" s="220"/>
      <c r="H35" s="224"/>
      <c r="I35" s="224"/>
      <c r="J35" s="224"/>
      <c r="K35" s="224"/>
      <c r="L35" s="224"/>
      <c r="M35" s="224"/>
    </row>
    <row r="36" spans="1:13" s="188" customFormat="1" hidden="1">
      <c r="A36" s="220"/>
      <c r="B36" s="221"/>
      <c r="C36" s="222"/>
      <c r="D36" s="223"/>
      <c r="E36" s="224"/>
      <c r="F36" s="224"/>
      <c r="G36" s="220"/>
      <c r="H36" s="224"/>
      <c r="I36" s="224"/>
      <c r="J36" s="224"/>
      <c r="K36" s="224"/>
      <c r="L36" s="224"/>
      <c r="M36" s="224"/>
    </row>
    <row r="37" spans="1:13" s="188" customFormat="1" hidden="1">
      <c r="A37" s="220"/>
      <c r="B37" s="221"/>
      <c r="C37" s="222"/>
      <c r="D37" s="223"/>
      <c r="E37" s="224"/>
      <c r="F37" s="224"/>
      <c r="G37" s="220"/>
      <c r="H37" s="224"/>
      <c r="I37" s="224"/>
      <c r="J37" s="224"/>
      <c r="K37" s="224"/>
      <c r="L37" s="224"/>
      <c r="M37" s="224"/>
    </row>
    <row r="38" spans="1:13" s="188" customFormat="1" hidden="1">
      <c r="A38" s="220"/>
      <c r="B38" s="221"/>
      <c r="C38" s="222"/>
      <c r="D38" s="223"/>
      <c r="E38" s="224"/>
      <c r="F38" s="224"/>
      <c r="G38" s="220"/>
      <c r="H38" s="224"/>
      <c r="I38" s="224"/>
      <c r="J38" s="224"/>
      <c r="K38" s="224"/>
      <c r="L38" s="224"/>
      <c r="M38" s="224"/>
    </row>
    <row r="39" spans="1:13" s="188" customFormat="1" hidden="1">
      <c r="A39" s="220"/>
      <c r="B39" s="221"/>
      <c r="C39" s="225"/>
      <c r="D39" s="226"/>
      <c r="E39" s="224"/>
      <c r="F39" s="224"/>
      <c r="G39" s="220"/>
      <c r="H39" s="224"/>
      <c r="I39" s="224"/>
      <c r="J39" s="224"/>
      <c r="K39" s="224"/>
      <c r="L39" s="224"/>
      <c r="M39" s="224"/>
    </row>
    <row r="40" spans="1:13" s="188" customFormat="1" hidden="1">
      <c r="A40" s="220"/>
      <c r="B40" s="221"/>
      <c r="C40" s="225"/>
      <c r="D40" s="226"/>
      <c r="E40" s="224"/>
      <c r="F40" s="224"/>
      <c r="G40" s="220"/>
      <c r="H40" s="224"/>
      <c r="I40" s="224"/>
      <c r="J40" s="224"/>
      <c r="K40" s="224"/>
      <c r="L40" s="224"/>
      <c r="M40" s="224"/>
    </row>
    <row r="41" spans="1:13" s="188" customFormat="1" hidden="1">
      <c r="A41" s="220"/>
      <c r="B41" s="221"/>
      <c r="C41" s="225"/>
      <c r="D41" s="226"/>
      <c r="E41" s="224"/>
      <c r="F41" s="224"/>
      <c r="G41" s="220"/>
      <c r="H41" s="224"/>
      <c r="I41" s="224"/>
      <c r="J41" s="224"/>
      <c r="K41" s="224"/>
      <c r="L41" s="224"/>
      <c r="M41" s="224"/>
    </row>
    <row r="42" spans="1:13" s="188" customFormat="1" hidden="1">
      <c r="A42" s="220"/>
      <c r="B42" s="221"/>
      <c r="C42" s="225"/>
      <c r="D42" s="226"/>
      <c r="E42" s="224"/>
      <c r="F42" s="224"/>
      <c r="G42" s="220"/>
      <c r="H42" s="224"/>
      <c r="I42" s="224"/>
      <c r="J42" s="224"/>
      <c r="K42" s="224"/>
      <c r="L42" s="224"/>
      <c r="M42" s="224"/>
    </row>
    <row r="43" spans="1:13" s="188" customFormat="1" hidden="1">
      <c r="A43" s="220"/>
      <c r="B43" s="221"/>
      <c r="C43" s="225"/>
      <c r="D43" s="226"/>
      <c r="E43" s="224"/>
      <c r="F43" s="224"/>
      <c r="G43" s="220"/>
      <c r="H43" s="224"/>
      <c r="I43" s="224"/>
      <c r="J43" s="224"/>
      <c r="K43" s="224"/>
      <c r="L43" s="224"/>
      <c r="M43" s="224"/>
    </row>
    <row r="44" spans="1:13" s="188" customFormat="1" hidden="1">
      <c r="A44" s="227"/>
      <c r="B44" s="228"/>
      <c r="C44" s="229"/>
      <c r="D44" s="230"/>
      <c r="E44" s="231"/>
      <c r="F44" s="231"/>
      <c r="G44" s="220"/>
      <c r="H44" s="231"/>
      <c r="I44" s="231"/>
      <c r="J44" s="231"/>
      <c r="K44" s="231"/>
      <c r="L44" s="231"/>
      <c r="M44" s="231"/>
    </row>
    <row r="45" spans="1:13" s="188" customFormat="1">
      <c r="A45" s="488"/>
      <c r="B45" s="488"/>
      <c r="C45" s="488"/>
      <c r="D45" s="488"/>
      <c r="E45" s="488"/>
      <c r="F45" s="488"/>
      <c r="G45" s="488"/>
      <c r="H45" s="488"/>
      <c r="I45" s="488"/>
      <c r="J45" s="488"/>
      <c r="K45" s="488"/>
      <c r="L45" s="488"/>
      <c r="M45" s="488"/>
    </row>
    <row r="46" spans="1:13" s="188" customFormat="1">
      <c r="A46" s="88"/>
      <c r="B46" s="201"/>
      <c r="C46" s="215"/>
      <c r="D46" s="216"/>
      <c r="E46" s="88"/>
      <c r="F46" s="88"/>
      <c r="G46" s="88"/>
      <c r="H46" s="88"/>
      <c r="I46" s="88"/>
      <c r="J46" s="88"/>
      <c r="K46" s="88"/>
      <c r="L46" s="88"/>
      <c r="M46" s="88"/>
    </row>
    <row r="47" spans="1:13" s="188" customFormat="1">
      <c r="B47" s="202"/>
      <c r="C47" s="232"/>
      <c r="D47" s="186"/>
      <c r="G47" s="88"/>
      <c r="I47" s="89"/>
      <c r="J47" s="90"/>
      <c r="K47" s="90"/>
      <c r="L47" s="90"/>
    </row>
    <row r="48" spans="1:13" s="188" customFormat="1">
      <c r="B48" s="202"/>
      <c r="C48" s="233"/>
      <c r="D48" s="191"/>
      <c r="G48" s="88"/>
      <c r="I48" s="90"/>
      <c r="J48" s="90"/>
      <c r="K48" s="90"/>
      <c r="L48" s="90"/>
    </row>
    <row r="49" spans="1:13" s="188" customFormat="1">
      <c r="B49" s="202"/>
      <c r="C49" s="233"/>
      <c r="D49" s="191"/>
      <c r="G49" s="88"/>
      <c r="I49" s="90"/>
      <c r="J49" s="90"/>
      <c r="K49" s="90"/>
      <c r="L49" s="90"/>
    </row>
    <row r="50" spans="1:13" s="188" customFormat="1">
      <c r="B50" s="202"/>
      <c r="C50" s="233"/>
      <c r="D50" s="191"/>
      <c r="G50" s="88"/>
      <c r="I50" s="90"/>
      <c r="J50" s="90"/>
      <c r="K50" s="90"/>
      <c r="L50" s="90"/>
    </row>
    <row r="51" spans="1:13" s="188" customFormat="1">
      <c r="B51" s="202"/>
      <c r="C51" s="233"/>
      <c r="D51" s="191"/>
      <c r="G51" s="88"/>
      <c r="I51" s="90"/>
      <c r="J51" s="90"/>
      <c r="K51" s="90"/>
      <c r="L51" s="90"/>
    </row>
    <row r="52" spans="1:13" s="188" customFormat="1">
      <c r="B52" s="202"/>
      <c r="C52" s="233"/>
      <c r="D52" s="191"/>
      <c r="G52" s="88"/>
      <c r="I52" s="89"/>
      <c r="J52" s="90"/>
      <c r="K52" s="90"/>
      <c r="L52" s="90"/>
    </row>
    <row r="53" spans="1:13" s="188" customFormat="1">
      <c r="B53" s="202"/>
      <c r="C53" s="232"/>
      <c r="D53" s="191"/>
      <c r="G53" s="88"/>
      <c r="I53" s="89"/>
      <c r="J53" s="90"/>
      <c r="K53" s="90"/>
      <c r="L53" s="90"/>
    </row>
    <row r="54" spans="1:13" s="188" customFormat="1">
      <c r="B54" s="202"/>
      <c r="C54" s="232"/>
      <c r="D54" s="191"/>
      <c r="G54" s="88"/>
      <c r="I54" s="89"/>
      <c r="J54" s="90"/>
      <c r="K54" s="90"/>
      <c r="L54" s="90"/>
    </row>
    <row r="55" spans="1:13" s="188" customFormat="1">
      <c r="B55" s="202"/>
      <c r="C55" s="232"/>
      <c r="D55" s="191"/>
      <c r="G55" s="88"/>
      <c r="I55" s="90"/>
      <c r="J55" s="90"/>
      <c r="K55" s="90"/>
      <c r="L55" s="90"/>
    </row>
    <row r="56" spans="1:13" s="188" customFormat="1">
      <c r="B56" s="202"/>
      <c r="C56" s="232"/>
      <c r="D56" s="191"/>
      <c r="G56" s="88"/>
      <c r="I56" s="90"/>
      <c r="J56" s="90"/>
      <c r="K56" s="90"/>
      <c r="L56" s="90"/>
    </row>
    <row r="57" spans="1:13" s="188" customFormat="1">
      <c r="B57" s="202"/>
      <c r="C57" s="232"/>
      <c r="D57" s="191"/>
      <c r="G57" s="88"/>
      <c r="I57" s="89"/>
      <c r="J57" s="90"/>
      <c r="K57" s="90"/>
      <c r="L57" s="90"/>
    </row>
    <row r="58" spans="1:13" s="188" customFormat="1">
      <c r="A58" s="488"/>
      <c r="B58" s="488"/>
      <c r="C58" s="488"/>
      <c r="D58" s="488"/>
      <c r="E58" s="488"/>
      <c r="F58" s="488"/>
      <c r="G58" s="488"/>
      <c r="H58" s="488"/>
      <c r="I58" s="488"/>
      <c r="J58" s="488"/>
      <c r="K58" s="488"/>
      <c r="L58" s="488"/>
      <c r="M58" s="488"/>
    </row>
    <row r="59" spans="1:13" s="188" customFormat="1">
      <c r="B59" s="202"/>
      <c r="C59" s="232"/>
      <c r="D59" s="191"/>
      <c r="G59" s="88"/>
      <c r="I59" s="90"/>
      <c r="J59" s="90"/>
      <c r="K59" s="90"/>
      <c r="L59" s="90"/>
    </row>
    <row r="60" spans="1:13" s="188" customFormat="1">
      <c r="B60" s="202"/>
      <c r="C60" s="233"/>
      <c r="D60" s="191"/>
      <c r="G60" s="88"/>
      <c r="I60" s="90"/>
      <c r="J60" s="90"/>
      <c r="K60" s="90"/>
      <c r="L60" s="90"/>
    </row>
    <row r="61" spans="1:13" s="188" customFormat="1">
      <c r="B61" s="202"/>
      <c r="C61" s="233"/>
      <c r="D61" s="191"/>
      <c r="G61" s="88"/>
      <c r="I61" s="90"/>
      <c r="J61" s="90"/>
      <c r="K61" s="90"/>
      <c r="L61" s="90"/>
    </row>
    <row r="62" spans="1:13" s="188" customFormat="1">
      <c r="B62" s="202"/>
      <c r="C62" s="233"/>
      <c r="D62" s="191"/>
      <c r="G62" s="88"/>
      <c r="I62" s="90"/>
      <c r="J62" s="90"/>
      <c r="K62" s="90"/>
      <c r="L62" s="90"/>
    </row>
    <row r="63" spans="1:13">
      <c r="G63" s="81"/>
    </row>
    <row r="64" spans="1:13">
      <c r="C64" s="237"/>
      <c r="G64" s="81"/>
    </row>
    <row r="65" spans="1:13">
      <c r="C65" s="237"/>
      <c r="G65" s="81"/>
    </row>
    <row r="66" spans="1:13">
      <c r="C66" s="237"/>
      <c r="G66" s="81"/>
    </row>
    <row r="67" spans="1:13">
      <c r="C67" s="237"/>
      <c r="G67" s="81"/>
      <c r="I67" s="92"/>
    </row>
    <row r="68" spans="1:13">
      <c r="C68" s="237"/>
      <c r="G68" s="81"/>
      <c r="I68" s="92"/>
    </row>
    <row r="69" spans="1:13">
      <c r="G69" s="81"/>
    </row>
    <row r="70" spans="1:13" s="188" customFormat="1">
      <c r="A70" s="489"/>
      <c r="B70" s="489"/>
      <c r="C70" s="489"/>
      <c r="D70" s="489"/>
      <c r="E70" s="489"/>
      <c r="F70" s="489"/>
      <c r="G70" s="489"/>
      <c r="H70" s="489"/>
      <c r="I70" s="489"/>
      <c r="J70" s="489"/>
      <c r="K70" s="489"/>
      <c r="L70" s="489"/>
      <c r="M70" s="489"/>
    </row>
    <row r="71" spans="1:13">
      <c r="C71" s="237"/>
      <c r="G71" s="81"/>
    </row>
    <row r="72" spans="1:13">
      <c r="G72" s="81"/>
    </row>
    <row r="73" spans="1:13">
      <c r="G73" s="81"/>
    </row>
    <row r="74" spans="1:13">
      <c r="G74" s="81"/>
    </row>
    <row r="75" spans="1:13">
      <c r="G75" s="81"/>
    </row>
  </sheetData>
  <mergeCells count="20">
    <mergeCell ref="C2:H2"/>
    <mergeCell ref="I3:I4"/>
    <mergeCell ref="J3:M3"/>
    <mergeCell ref="A3:A4"/>
    <mergeCell ref="B3:B4"/>
    <mergeCell ref="C3:C4"/>
    <mergeCell ref="D3:D4"/>
    <mergeCell ref="E3:H3"/>
    <mergeCell ref="A45:M45"/>
    <mergeCell ref="A58:M58"/>
    <mergeCell ref="A70:M70"/>
    <mergeCell ref="E22:F22"/>
    <mergeCell ref="G22:K22"/>
    <mergeCell ref="E23:F23"/>
    <mergeCell ref="G23:K23"/>
    <mergeCell ref="E24:F24"/>
    <mergeCell ref="G24:K24"/>
    <mergeCell ref="L22:M22"/>
    <mergeCell ref="L24:M24"/>
    <mergeCell ref="L23:M23"/>
  </mergeCells>
  <pageMargins left="0.44" right="0.16" top="0.33" bottom="0.16" header="0.36" footer="0.23"/>
  <pageSetup scale="57" fitToHeight="0" orientation="landscape" useFirstPageNumber="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24"/>
  <sheetViews>
    <sheetView showGridLines="0" topLeftCell="A7" zoomScale="75" zoomScaleNormal="75" workbookViewId="0">
      <selection activeCell="C38" sqref="C38"/>
    </sheetView>
  </sheetViews>
  <sheetFormatPr defaultRowHeight="12.75"/>
  <cols>
    <col min="1" max="1" width="6.5703125" customWidth="1"/>
    <col min="2" max="2" width="30.140625" customWidth="1"/>
    <col min="3" max="3" width="51.140625" customWidth="1"/>
    <col min="4" max="4" width="9" customWidth="1"/>
    <col min="5" max="7" width="7.7109375" customWidth="1"/>
    <col min="8" max="8" width="78.28515625" customWidth="1"/>
    <col min="9" max="11" width="7.7109375" customWidth="1"/>
    <col min="12" max="12" width="20.5703125" customWidth="1"/>
  </cols>
  <sheetData>
    <row r="1" spans="1:12" ht="20.25" customHeight="1">
      <c r="A1" s="527"/>
      <c r="B1" s="528"/>
      <c r="C1" s="535" t="s">
        <v>473</v>
      </c>
      <c r="D1" s="536"/>
      <c r="E1" s="536"/>
      <c r="F1" s="536"/>
      <c r="G1" s="536"/>
      <c r="H1" s="536"/>
      <c r="I1" s="277"/>
      <c r="J1" s="274"/>
      <c r="K1" s="278"/>
      <c r="L1" s="279"/>
    </row>
    <row r="2" spans="1:12" ht="15.75" customHeight="1">
      <c r="A2" s="529"/>
      <c r="B2" s="530"/>
      <c r="C2" s="521" t="s">
        <v>475</v>
      </c>
      <c r="D2" s="522"/>
      <c r="E2" s="522"/>
      <c r="F2" s="522"/>
      <c r="G2" s="522"/>
      <c r="H2" s="522"/>
      <c r="I2" s="273"/>
      <c r="J2" s="275"/>
      <c r="K2" s="272"/>
      <c r="L2" s="280"/>
    </row>
    <row r="3" spans="1:12" ht="36" customHeight="1">
      <c r="A3" s="529"/>
      <c r="B3" s="530"/>
      <c r="C3" s="523"/>
      <c r="D3" s="524"/>
      <c r="E3" s="524"/>
      <c r="F3" s="524"/>
      <c r="G3" s="524"/>
      <c r="H3" s="524"/>
      <c r="I3" s="275"/>
      <c r="J3" s="275"/>
      <c r="K3" s="272"/>
      <c r="L3" s="281"/>
    </row>
    <row r="4" spans="1:12" ht="36" customHeight="1">
      <c r="A4" s="531"/>
      <c r="B4" s="532"/>
      <c r="C4" s="525"/>
      <c r="D4" s="526"/>
      <c r="E4" s="526"/>
      <c r="F4" s="526"/>
      <c r="G4" s="526"/>
      <c r="H4" s="526"/>
      <c r="I4" s="282"/>
      <c r="J4" s="282"/>
      <c r="K4" s="282"/>
      <c r="L4" s="283"/>
    </row>
    <row r="5" spans="1:12" ht="15.75">
      <c r="A5" s="284"/>
      <c r="B5" s="285"/>
      <c r="C5" s="286"/>
      <c r="D5" s="287"/>
      <c r="E5" s="287"/>
      <c r="F5" s="287"/>
      <c r="G5" s="287"/>
      <c r="H5" s="285"/>
      <c r="I5" s="285"/>
      <c r="J5" s="285"/>
      <c r="K5" s="285"/>
      <c r="L5" s="288"/>
    </row>
    <row r="6" spans="1:12" ht="15.75" customHeight="1">
      <c r="A6" s="533" t="s">
        <v>477</v>
      </c>
      <c r="B6" s="533" t="s">
        <v>478</v>
      </c>
      <c r="C6" s="534" t="s">
        <v>479</v>
      </c>
      <c r="D6" s="533" t="s">
        <v>4</v>
      </c>
      <c r="E6" s="533"/>
      <c r="F6" s="533"/>
      <c r="G6" s="533"/>
      <c r="H6" s="533" t="s">
        <v>481</v>
      </c>
      <c r="I6" s="537" t="s">
        <v>666</v>
      </c>
      <c r="J6" s="538"/>
      <c r="K6" s="538"/>
      <c r="L6" s="538"/>
    </row>
    <row r="7" spans="1:12" ht="47.25">
      <c r="A7" s="533"/>
      <c r="B7" s="533"/>
      <c r="C7" s="534"/>
      <c r="D7" s="391" t="s">
        <v>482</v>
      </c>
      <c r="E7" s="391" t="s">
        <v>483</v>
      </c>
      <c r="F7" s="391" t="s">
        <v>484</v>
      </c>
      <c r="G7" s="391" t="s">
        <v>5</v>
      </c>
      <c r="H7" s="533"/>
      <c r="I7" s="392" t="s">
        <v>0</v>
      </c>
      <c r="J7" s="393" t="s">
        <v>1</v>
      </c>
      <c r="K7" s="393" t="s">
        <v>12</v>
      </c>
      <c r="L7" s="392" t="s">
        <v>9</v>
      </c>
    </row>
    <row r="8" spans="1:12" ht="56.25" customHeight="1">
      <c r="A8" s="509">
        <v>1</v>
      </c>
      <c r="B8" s="518" t="s">
        <v>747</v>
      </c>
      <c r="C8" s="135" t="s">
        <v>485</v>
      </c>
      <c r="D8" s="509">
        <v>3</v>
      </c>
      <c r="E8" s="509">
        <v>3</v>
      </c>
      <c r="F8" s="509">
        <v>9</v>
      </c>
      <c r="G8" s="509" t="s">
        <v>46</v>
      </c>
      <c r="H8" s="135" t="s">
        <v>486</v>
      </c>
      <c r="I8" s="509">
        <v>2</v>
      </c>
      <c r="J8" s="518">
        <v>2</v>
      </c>
      <c r="K8" s="518">
        <v>4</v>
      </c>
      <c r="L8" s="509" t="s">
        <v>47</v>
      </c>
    </row>
    <row r="9" spans="1:12" ht="47.25">
      <c r="A9" s="510"/>
      <c r="B9" s="519"/>
      <c r="C9" s="135" t="s">
        <v>487</v>
      </c>
      <c r="D9" s="510"/>
      <c r="E9" s="510"/>
      <c r="F9" s="510"/>
      <c r="G9" s="510"/>
      <c r="H9" s="135" t="s">
        <v>488</v>
      </c>
      <c r="I9" s="510"/>
      <c r="J9" s="510"/>
      <c r="K9" s="510"/>
      <c r="L9" s="510"/>
    </row>
    <row r="10" spans="1:12" ht="159" customHeight="1">
      <c r="A10" s="511"/>
      <c r="B10" s="520"/>
      <c r="C10" s="135" t="s">
        <v>489</v>
      </c>
      <c r="D10" s="511"/>
      <c r="E10" s="511"/>
      <c r="F10" s="511"/>
      <c r="G10" s="511"/>
      <c r="H10" s="135" t="s">
        <v>748</v>
      </c>
      <c r="I10" s="511"/>
      <c r="J10" s="511"/>
      <c r="K10" s="511"/>
      <c r="L10" s="511"/>
    </row>
    <row r="11" spans="1:12" s="395" customFormat="1" ht="77.25" customHeight="1">
      <c r="A11" s="512">
        <v>2</v>
      </c>
      <c r="B11" s="515" t="s">
        <v>749</v>
      </c>
      <c r="C11" s="394" t="s">
        <v>490</v>
      </c>
      <c r="D11" s="512">
        <v>3</v>
      </c>
      <c r="E11" s="512">
        <v>3</v>
      </c>
      <c r="F11" s="512">
        <v>9</v>
      </c>
      <c r="G11" s="512" t="s">
        <v>46</v>
      </c>
      <c r="H11" s="394" t="s">
        <v>491</v>
      </c>
      <c r="I11" s="515">
        <v>2</v>
      </c>
      <c r="J11" s="515">
        <v>2</v>
      </c>
      <c r="K11" s="515">
        <f>+J11+I11</f>
        <v>4</v>
      </c>
      <c r="L11" s="512" t="s">
        <v>47</v>
      </c>
    </row>
    <row r="12" spans="1:12" s="395" customFormat="1" ht="63">
      <c r="A12" s="513"/>
      <c r="B12" s="516"/>
      <c r="C12" s="394" t="s">
        <v>492</v>
      </c>
      <c r="D12" s="513"/>
      <c r="E12" s="513"/>
      <c r="F12" s="513"/>
      <c r="G12" s="513" t="s">
        <v>46</v>
      </c>
      <c r="H12" s="394" t="s">
        <v>493</v>
      </c>
      <c r="I12" s="513"/>
      <c r="J12" s="513"/>
      <c r="K12" s="513"/>
      <c r="L12" s="513"/>
    </row>
    <row r="13" spans="1:12" s="395" customFormat="1" ht="67.5" customHeight="1">
      <c r="A13" s="514"/>
      <c r="B13" s="517"/>
      <c r="C13" s="394" t="s">
        <v>494</v>
      </c>
      <c r="D13" s="514"/>
      <c r="E13" s="514"/>
      <c r="F13" s="514"/>
      <c r="G13" s="514"/>
      <c r="H13" s="394" t="s">
        <v>495</v>
      </c>
      <c r="I13" s="514"/>
      <c r="J13" s="514"/>
      <c r="K13" s="514"/>
      <c r="L13" s="514"/>
    </row>
    <row r="14" spans="1:12" ht="31.5">
      <c r="A14" s="136">
        <v>3</v>
      </c>
      <c r="B14" s="137" t="s">
        <v>750</v>
      </c>
      <c r="C14" s="135" t="s">
        <v>496</v>
      </c>
      <c r="D14" s="136">
        <v>5</v>
      </c>
      <c r="E14" s="138">
        <v>3</v>
      </c>
      <c r="F14" s="138">
        <v>15</v>
      </c>
      <c r="G14" s="138" t="s">
        <v>48</v>
      </c>
      <c r="H14" s="135" t="s">
        <v>497</v>
      </c>
      <c r="I14" s="138">
        <v>2</v>
      </c>
      <c r="J14" s="138">
        <v>2</v>
      </c>
      <c r="K14" s="137">
        <f>+I14+J14</f>
        <v>4</v>
      </c>
      <c r="L14" s="137" t="s">
        <v>47</v>
      </c>
    </row>
    <row r="15" spans="1:12" ht="63">
      <c r="A15" s="136">
        <v>4</v>
      </c>
      <c r="B15" s="137" t="s">
        <v>751</v>
      </c>
      <c r="C15" s="135" t="s">
        <v>498</v>
      </c>
      <c r="D15" s="136">
        <v>5</v>
      </c>
      <c r="E15" s="138">
        <v>3</v>
      </c>
      <c r="F15" s="138">
        <v>15</v>
      </c>
      <c r="G15" s="138" t="s">
        <v>48</v>
      </c>
      <c r="H15" s="135" t="s">
        <v>499</v>
      </c>
      <c r="I15" s="138">
        <v>2</v>
      </c>
      <c r="J15" s="138">
        <v>2</v>
      </c>
      <c r="K15" s="137">
        <f>+I15+J15</f>
        <v>4</v>
      </c>
      <c r="L15" s="137" t="s">
        <v>47</v>
      </c>
    </row>
    <row r="16" spans="1:12" ht="63">
      <c r="A16" s="136">
        <v>5</v>
      </c>
      <c r="B16" s="137" t="s">
        <v>500</v>
      </c>
      <c r="C16" s="135" t="s">
        <v>752</v>
      </c>
      <c r="D16" s="136">
        <v>2</v>
      </c>
      <c r="E16" s="138">
        <v>3</v>
      </c>
      <c r="F16" s="138">
        <v>6</v>
      </c>
      <c r="G16" s="138" t="s">
        <v>46</v>
      </c>
      <c r="H16" s="135" t="s">
        <v>753</v>
      </c>
      <c r="I16" s="138">
        <v>1</v>
      </c>
      <c r="J16" s="138">
        <v>3</v>
      </c>
      <c r="K16" s="137">
        <v>3</v>
      </c>
      <c r="L16" s="137" t="s">
        <v>47</v>
      </c>
    </row>
    <row r="17" spans="1:12" ht="101.25" customHeight="1">
      <c r="A17" s="136">
        <v>6</v>
      </c>
      <c r="B17" s="137" t="s">
        <v>501</v>
      </c>
      <c r="C17" s="135" t="s">
        <v>754</v>
      </c>
      <c r="D17" s="136">
        <v>2</v>
      </c>
      <c r="E17" s="138">
        <v>3</v>
      </c>
      <c r="F17" s="138">
        <v>6</v>
      </c>
      <c r="G17" s="138" t="s">
        <v>46</v>
      </c>
      <c r="H17" s="135" t="s">
        <v>755</v>
      </c>
      <c r="I17" s="138">
        <v>1</v>
      </c>
      <c r="J17" s="138">
        <v>3</v>
      </c>
      <c r="K17" s="137">
        <v>3</v>
      </c>
      <c r="L17" s="137" t="s">
        <v>47</v>
      </c>
    </row>
    <row r="18" spans="1:12" s="139" customFormat="1" ht="12.75" customHeight="1">
      <c r="A18" s="154"/>
      <c r="B18" s="154" t="s">
        <v>745</v>
      </c>
      <c r="C18" s="155"/>
      <c r="D18" s="155"/>
      <c r="E18" s="155"/>
      <c r="F18" s="155"/>
      <c r="G18" s="155"/>
      <c r="H18" s="155"/>
      <c r="I18" s="155"/>
      <c r="J18" s="155"/>
      <c r="K18" s="155"/>
      <c r="L18" s="156"/>
    </row>
    <row r="19" spans="1:12" s="139" customFormat="1" ht="12.75" customHeight="1">
      <c r="A19" s="265"/>
      <c r="B19" s="265" t="s">
        <v>756</v>
      </c>
      <c r="C19" s="157"/>
      <c r="D19" s="157"/>
      <c r="E19" s="157"/>
      <c r="F19" s="157"/>
      <c r="G19" s="157"/>
      <c r="H19" s="157"/>
      <c r="I19" s="157"/>
      <c r="J19" s="157"/>
      <c r="K19" s="157"/>
      <c r="L19" s="158"/>
    </row>
    <row r="20" spans="1:12" s="139" customFormat="1" ht="12.75" customHeight="1">
      <c r="A20" s="265"/>
      <c r="B20" s="265" t="s">
        <v>744</v>
      </c>
      <c r="C20" s="157"/>
      <c r="D20" s="157"/>
      <c r="E20" s="157"/>
      <c r="F20" s="157"/>
      <c r="G20" s="157"/>
      <c r="H20" s="157"/>
      <c r="I20" s="157"/>
      <c r="J20" s="157"/>
      <c r="K20" s="157"/>
      <c r="L20" s="158"/>
    </row>
    <row r="21" spans="1:12" s="139" customFormat="1" ht="12.75" customHeight="1">
      <c r="A21" s="265"/>
      <c r="B21" s="256" t="s">
        <v>627</v>
      </c>
      <c r="C21" s="159"/>
      <c r="D21" s="159"/>
      <c r="E21" s="159"/>
      <c r="F21" s="159"/>
      <c r="G21" s="159"/>
      <c r="H21" s="159"/>
      <c r="I21" s="159"/>
      <c r="J21" s="159"/>
      <c r="K21" s="159"/>
      <c r="L21" s="290"/>
    </row>
    <row r="22" spans="1:12" s="195" customFormat="1" ht="28.5" customHeight="1">
      <c r="A22" s="265"/>
      <c r="B22" s="268" t="s">
        <v>330</v>
      </c>
      <c r="C22" s="253" t="s">
        <v>331</v>
      </c>
      <c r="D22" s="253" t="s">
        <v>757</v>
      </c>
      <c r="E22" s="490" t="s">
        <v>332</v>
      </c>
      <c r="F22" s="491"/>
      <c r="G22" s="492" t="s">
        <v>644</v>
      </c>
      <c r="H22" s="493"/>
      <c r="I22" s="493"/>
      <c r="J22" s="493"/>
      <c r="K22" s="498"/>
      <c r="L22" s="192" t="s">
        <v>643</v>
      </c>
    </row>
    <row r="23" spans="1:12" s="195" customFormat="1" ht="28.5" customHeight="1">
      <c r="A23" s="265"/>
      <c r="B23" s="268">
        <v>0</v>
      </c>
      <c r="C23" s="253" t="s">
        <v>474</v>
      </c>
      <c r="D23" s="253">
        <v>0</v>
      </c>
      <c r="E23" s="499" t="s">
        <v>476</v>
      </c>
      <c r="F23" s="497"/>
      <c r="G23" s="492" t="s">
        <v>645</v>
      </c>
      <c r="H23" s="493"/>
      <c r="I23" s="493"/>
      <c r="J23" s="493"/>
      <c r="K23" s="498"/>
      <c r="L23" s="192" t="s">
        <v>662</v>
      </c>
    </row>
    <row r="24" spans="1:12" s="195" customFormat="1" ht="28.5" customHeight="1">
      <c r="A24" s="256"/>
      <c r="B24" s="212"/>
      <c r="C24" s="253"/>
      <c r="D24" s="253"/>
      <c r="E24" s="499"/>
      <c r="F24" s="497"/>
      <c r="G24" s="490"/>
      <c r="H24" s="491"/>
      <c r="I24" s="491"/>
      <c r="J24" s="491"/>
      <c r="K24" s="500"/>
      <c r="L24" s="276"/>
    </row>
  </sheetData>
  <mergeCells count="35">
    <mergeCell ref="I6:L6"/>
    <mergeCell ref="E22:F22"/>
    <mergeCell ref="E23:F23"/>
    <mergeCell ref="E24:F24"/>
    <mergeCell ref="G23:K23"/>
    <mergeCell ref="G24:K24"/>
    <mergeCell ref="G22:K22"/>
    <mergeCell ref="I11:I13"/>
    <mergeCell ref="J11:J13"/>
    <mergeCell ref="G11:G13"/>
    <mergeCell ref="I8:I10"/>
    <mergeCell ref="G8:G10"/>
    <mergeCell ref="K11:K13"/>
    <mergeCell ref="L11:L13"/>
    <mergeCell ref="J8:J10"/>
    <mergeCell ref="K8:K10"/>
    <mergeCell ref="C2:H4"/>
    <mergeCell ref="A1:B4"/>
    <mergeCell ref="A6:A7"/>
    <mergeCell ref="B6:B7"/>
    <mergeCell ref="C6:C7"/>
    <mergeCell ref="H6:H7"/>
    <mergeCell ref="C1:H1"/>
    <mergeCell ref="D6:G6"/>
    <mergeCell ref="L8:L10"/>
    <mergeCell ref="A11:A13"/>
    <mergeCell ref="B11:B13"/>
    <mergeCell ref="D11:D13"/>
    <mergeCell ref="E11:E13"/>
    <mergeCell ref="F11:F13"/>
    <mergeCell ref="A8:A10"/>
    <mergeCell ref="B8:B10"/>
    <mergeCell ref="D8:D10"/>
    <mergeCell ref="E8:E10"/>
    <mergeCell ref="F8:F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25"/>
  <sheetViews>
    <sheetView showGridLines="0" view="pageBreakPreview" topLeftCell="A8" zoomScale="89" zoomScaleNormal="89" zoomScaleSheetLayoutView="89" workbookViewId="0">
      <selection activeCell="O10" sqref="O10"/>
    </sheetView>
  </sheetViews>
  <sheetFormatPr defaultColWidth="11.5703125" defaultRowHeight="18.75"/>
  <cols>
    <col min="1" max="1" width="5.5703125" style="40" customWidth="1"/>
    <col min="2" max="2" width="23.42578125" style="35" customWidth="1"/>
    <col min="3" max="3" width="58" style="36" customWidth="1"/>
    <col min="4" max="4" width="45.28515625" style="37" customWidth="1"/>
    <col min="5" max="5" width="4.5703125" style="40" customWidth="1"/>
    <col min="6" max="6" width="5" style="40" customWidth="1"/>
    <col min="7" max="7" width="6.85546875" style="40" customWidth="1"/>
    <col min="8" max="8" width="13.28515625" style="40" customWidth="1"/>
    <col min="9" max="9" width="58" style="180" customWidth="1"/>
    <col min="10" max="10" width="4.7109375" style="41" customWidth="1"/>
    <col min="11" max="11" width="4.85546875" style="41" customWidth="1"/>
    <col min="12" max="12" width="6.5703125" style="41" customWidth="1"/>
    <col min="13" max="13" width="14" style="40" customWidth="1"/>
    <col min="14" max="16384" width="11.5703125" style="40"/>
  </cols>
  <sheetData>
    <row r="1" spans="1:13" ht="127.5" customHeight="1">
      <c r="A1" s="539" t="s">
        <v>381</v>
      </c>
      <c r="B1" s="540"/>
      <c r="C1" s="540"/>
      <c r="D1" s="540"/>
      <c r="E1" s="540"/>
      <c r="F1" s="540"/>
      <c r="G1" s="540"/>
      <c r="H1" s="118"/>
      <c r="I1" s="179"/>
      <c r="J1" s="119"/>
      <c r="K1" s="119"/>
      <c r="L1" s="119"/>
      <c r="M1" s="120"/>
    </row>
    <row r="2" spans="1:13" s="44" customFormat="1" ht="101.25" customHeight="1">
      <c r="A2" s="541" t="s">
        <v>2</v>
      </c>
      <c r="B2" s="542" t="s">
        <v>382</v>
      </c>
      <c r="C2" s="542" t="s">
        <v>383</v>
      </c>
      <c r="D2" s="542" t="s">
        <v>384</v>
      </c>
      <c r="E2" s="542" t="s">
        <v>385</v>
      </c>
      <c r="F2" s="543"/>
      <c r="G2" s="543"/>
      <c r="H2" s="543"/>
      <c r="I2" s="544" t="s">
        <v>386</v>
      </c>
      <c r="J2" s="546" t="s">
        <v>387</v>
      </c>
      <c r="K2" s="547"/>
      <c r="L2" s="547"/>
      <c r="M2" s="548"/>
    </row>
    <row r="3" spans="1:13" s="44" customFormat="1" ht="64.5" customHeight="1">
      <c r="A3" s="541"/>
      <c r="B3" s="542"/>
      <c r="C3" s="543"/>
      <c r="D3" s="543"/>
      <c r="E3" s="144" t="s">
        <v>0</v>
      </c>
      <c r="F3" s="144" t="s">
        <v>1</v>
      </c>
      <c r="G3" s="144" t="s">
        <v>12</v>
      </c>
      <c r="H3" s="142" t="s">
        <v>388</v>
      </c>
      <c r="I3" s="545"/>
      <c r="J3" s="143" t="s">
        <v>0</v>
      </c>
      <c r="K3" s="144" t="s">
        <v>1</v>
      </c>
      <c r="L3" s="144" t="s">
        <v>12</v>
      </c>
      <c r="M3" s="149" t="s">
        <v>388</v>
      </c>
    </row>
    <row r="4" spans="1:13" s="44" customFormat="1" ht="112.5" customHeight="1">
      <c r="A4" s="121">
        <v>1</v>
      </c>
      <c r="B4" s="122" t="s">
        <v>389</v>
      </c>
      <c r="C4" s="122" t="s">
        <v>390</v>
      </c>
      <c r="D4" s="123" t="s">
        <v>391</v>
      </c>
      <c r="E4" s="84">
        <v>1</v>
      </c>
      <c r="F4" s="84">
        <v>3</v>
      </c>
      <c r="G4" s="84">
        <f>E4*F4</f>
        <v>3</v>
      </c>
      <c r="H4" s="85" t="s">
        <v>47</v>
      </c>
      <c r="I4" s="122" t="s">
        <v>392</v>
      </c>
      <c r="J4" s="85">
        <v>1</v>
      </c>
      <c r="K4" s="84">
        <v>0</v>
      </c>
      <c r="L4" s="84">
        <f>J4*K4</f>
        <v>0</v>
      </c>
      <c r="M4" s="85" t="s">
        <v>47</v>
      </c>
    </row>
    <row r="5" spans="1:13" s="44" customFormat="1" ht="54" customHeight="1">
      <c r="A5" s="124">
        <v>2</v>
      </c>
      <c r="B5" s="122" t="s">
        <v>389</v>
      </c>
      <c r="C5" s="125" t="s">
        <v>393</v>
      </c>
      <c r="D5" s="126" t="s">
        <v>394</v>
      </c>
      <c r="E5" s="86">
        <v>2</v>
      </c>
      <c r="F5" s="86">
        <v>2</v>
      </c>
      <c r="G5" s="86">
        <f>E5*F5</f>
        <v>4</v>
      </c>
      <c r="H5" s="87" t="s">
        <v>47</v>
      </c>
      <c r="I5" s="125" t="s">
        <v>395</v>
      </c>
      <c r="J5" s="87">
        <v>2</v>
      </c>
      <c r="K5" s="86">
        <v>0</v>
      </c>
      <c r="L5" s="86">
        <f>J5*K5</f>
        <v>0</v>
      </c>
      <c r="M5" s="87" t="s">
        <v>47</v>
      </c>
    </row>
    <row r="6" spans="1:13" s="44" customFormat="1" ht="65.25" customHeight="1">
      <c r="A6" s="121">
        <v>3</v>
      </c>
      <c r="B6" s="122" t="s">
        <v>389</v>
      </c>
      <c r="C6" s="125" t="s">
        <v>396</v>
      </c>
      <c r="D6" s="126" t="s">
        <v>397</v>
      </c>
      <c r="E6" s="86">
        <v>1</v>
      </c>
      <c r="F6" s="86">
        <v>5</v>
      </c>
      <c r="G6" s="86">
        <f t="shared" ref="G6:G12" si="0">E6*F6</f>
        <v>5</v>
      </c>
      <c r="H6" s="87" t="s">
        <v>47</v>
      </c>
      <c r="I6" s="125" t="s">
        <v>398</v>
      </c>
      <c r="J6" s="87">
        <v>1</v>
      </c>
      <c r="K6" s="86">
        <v>0</v>
      </c>
      <c r="L6" s="86">
        <f t="shared" ref="L6:L12" si="1">J6*K6</f>
        <v>0</v>
      </c>
      <c r="M6" s="87" t="s">
        <v>47</v>
      </c>
    </row>
    <row r="7" spans="1:13" s="44" customFormat="1" ht="114" customHeight="1">
      <c r="A7" s="124">
        <v>4</v>
      </c>
      <c r="B7" s="122" t="s">
        <v>389</v>
      </c>
      <c r="C7" s="125" t="s">
        <v>399</v>
      </c>
      <c r="D7" s="126" t="s">
        <v>400</v>
      </c>
      <c r="E7" s="86">
        <v>3</v>
      </c>
      <c r="F7" s="86">
        <v>3</v>
      </c>
      <c r="G7" s="86">
        <f t="shared" si="0"/>
        <v>9</v>
      </c>
      <c r="H7" s="87" t="s">
        <v>46</v>
      </c>
      <c r="I7" s="125" t="s">
        <v>401</v>
      </c>
      <c r="J7" s="87">
        <v>3</v>
      </c>
      <c r="K7" s="86">
        <v>0</v>
      </c>
      <c r="L7" s="86">
        <f t="shared" si="1"/>
        <v>0</v>
      </c>
      <c r="M7" s="87" t="s">
        <v>46</v>
      </c>
    </row>
    <row r="8" spans="1:13" s="44" customFormat="1" ht="84.75" customHeight="1">
      <c r="A8" s="121">
        <v>5</v>
      </c>
      <c r="B8" s="122" t="s">
        <v>389</v>
      </c>
      <c r="C8" s="125" t="s">
        <v>402</v>
      </c>
      <c r="D8" s="126" t="s">
        <v>403</v>
      </c>
      <c r="E8" s="86">
        <v>1</v>
      </c>
      <c r="F8" s="86">
        <v>4</v>
      </c>
      <c r="G8" s="86">
        <f t="shared" si="0"/>
        <v>4</v>
      </c>
      <c r="H8" s="87" t="s">
        <v>47</v>
      </c>
      <c r="I8" s="125" t="s">
        <v>404</v>
      </c>
      <c r="J8" s="87">
        <v>1</v>
      </c>
      <c r="K8" s="86">
        <v>0</v>
      </c>
      <c r="L8" s="86">
        <f t="shared" si="1"/>
        <v>0</v>
      </c>
      <c r="M8" s="87" t="s">
        <v>47</v>
      </c>
    </row>
    <row r="9" spans="1:13" s="44" customFormat="1" ht="69.75" customHeight="1">
      <c r="A9" s="124">
        <v>6</v>
      </c>
      <c r="B9" s="125" t="s">
        <v>405</v>
      </c>
      <c r="C9" s="125" t="s">
        <v>406</v>
      </c>
      <c r="D9" s="126" t="s">
        <v>407</v>
      </c>
      <c r="E9" s="86">
        <v>5</v>
      </c>
      <c r="F9" s="86">
        <v>1</v>
      </c>
      <c r="G9" s="86">
        <f t="shared" si="0"/>
        <v>5</v>
      </c>
      <c r="H9" s="87" t="s">
        <v>47</v>
      </c>
      <c r="I9" s="125" t="s">
        <v>408</v>
      </c>
      <c r="J9" s="87">
        <v>5</v>
      </c>
      <c r="K9" s="44">
        <v>0</v>
      </c>
      <c r="L9" s="86">
        <f>J9*K10</f>
        <v>0</v>
      </c>
      <c r="M9" s="87" t="s">
        <v>47</v>
      </c>
    </row>
    <row r="10" spans="1:13" s="44" customFormat="1" ht="111.75" customHeight="1">
      <c r="A10" s="121">
        <v>7</v>
      </c>
      <c r="B10" s="125" t="s">
        <v>405</v>
      </c>
      <c r="C10" s="125" t="s">
        <v>409</v>
      </c>
      <c r="D10" s="126" t="s">
        <v>410</v>
      </c>
      <c r="E10" s="86">
        <v>5</v>
      </c>
      <c r="F10" s="86">
        <v>1</v>
      </c>
      <c r="G10" s="86">
        <f t="shared" si="0"/>
        <v>5</v>
      </c>
      <c r="H10" s="87" t="s">
        <v>47</v>
      </c>
      <c r="I10" s="125" t="s">
        <v>864</v>
      </c>
      <c r="J10" s="87">
        <v>5</v>
      </c>
      <c r="K10" s="86">
        <v>0</v>
      </c>
      <c r="L10" s="86">
        <v>0</v>
      </c>
      <c r="M10" s="87" t="s">
        <v>47</v>
      </c>
    </row>
    <row r="11" spans="1:13" s="44" customFormat="1" ht="68.25" customHeight="1">
      <c r="A11" s="124">
        <v>8</v>
      </c>
      <c r="B11" s="125" t="s">
        <v>405</v>
      </c>
      <c r="C11" s="125" t="s">
        <v>411</v>
      </c>
      <c r="D11" s="126" t="s">
        <v>412</v>
      </c>
      <c r="E11" s="86">
        <v>1</v>
      </c>
      <c r="F11" s="86">
        <v>3</v>
      </c>
      <c r="G11" s="86">
        <f t="shared" si="0"/>
        <v>3</v>
      </c>
      <c r="H11" s="87" t="s">
        <v>47</v>
      </c>
      <c r="I11" s="125" t="s">
        <v>413</v>
      </c>
      <c r="J11" s="87">
        <v>1</v>
      </c>
      <c r="K11" s="86">
        <v>0</v>
      </c>
      <c r="L11" s="86">
        <f t="shared" si="1"/>
        <v>0</v>
      </c>
      <c r="M11" s="87" t="s">
        <v>47</v>
      </c>
    </row>
    <row r="12" spans="1:13" s="44" customFormat="1" ht="68.25" customHeight="1">
      <c r="A12" s="121">
        <v>9</v>
      </c>
      <c r="B12" s="125" t="s">
        <v>405</v>
      </c>
      <c r="C12" s="125" t="s">
        <v>414</v>
      </c>
      <c r="D12" s="126" t="s">
        <v>415</v>
      </c>
      <c r="E12" s="86">
        <v>1</v>
      </c>
      <c r="F12" s="86">
        <v>3</v>
      </c>
      <c r="G12" s="86">
        <f t="shared" si="0"/>
        <v>3</v>
      </c>
      <c r="H12" s="87" t="s">
        <v>47</v>
      </c>
      <c r="I12" s="125" t="s">
        <v>416</v>
      </c>
      <c r="J12" s="87">
        <v>1</v>
      </c>
      <c r="K12" s="86">
        <v>0</v>
      </c>
      <c r="L12" s="86">
        <f t="shared" si="1"/>
        <v>0</v>
      </c>
      <c r="M12" s="87" t="s">
        <v>47</v>
      </c>
    </row>
    <row r="13" spans="1:13" s="44" customFormat="1" ht="60.75" customHeight="1">
      <c r="A13" s="124">
        <v>10</v>
      </c>
      <c r="B13" s="125" t="s">
        <v>405</v>
      </c>
      <c r="C13" s="126" t="s">
        <v>417</v>
      </c>
      <c r="D13" s="126" t="s">
        <v>418</v>
      </c>
      <c r="E13" s="86">
        <v>5</v>
      </c>
      <c r="F13" s="86">
        <v>5</v>
      </c>
      <c r="G13" s="86">
        <f>E13*F13</f>
        <v>25</v>
      </c>
      <c r="H13" s="87" t="s">
        <v>48</v>
      </c>
      <c r="I13" s="125" t="s">
        <v>419</v>
      </c>
      <c r="J13" s="87">
        <v>5</v>
      </c>
      <c r="K13" s="86">
        <v>0</v>
      </c>
      <c r="L13" s="86">
        <f>J13*K13</f>
        <v>0</v>
      </c>
      <c r="M13" s="87" t="s">
        <v>48</v>
      </c>
    </row>
    <row r="14" spans="1:13" s="44" customFormat="1" ht="106.5" customHeight="1">
      <c r="A14" s="124">
        <v>11</v>
      </c>
      <c r="B14" s="125" t="s">
        <v>405</v>
      </c>
      <c r="C14" s="126" t="s">
        <v>420</v>
      </c>
      <c r="D14" s="126" t="s">
        <v>421</v>
      </c>
      <c r="E14" s="86">
        <v>5</v>
      </c>
      <c r="F14" s="86">
        <v>5</v>
      </c>
      <c r="G14" s="86">
        <f>E14*F14</f>
        <v>25</v>
      </c>
      <c r="H14" s="87" t="s">
        <v>48</v>
      </c>
      <c r="I14" s="125" t="s">
        <v>422</v>
      </c>
      <c r="J14" s="87">
        <v>5</v>
      </c>
      <c r="K14" s="86">
        <v>0</v>
      </c>
      <c r="L14" s="86">
        <v>0</v>
      </c>
      <c r="M14" s="87" t="s">
        <v>48</v>
      </c>
    </row>
    <row r="15" spans="1:13" s="44" customFormat="1" ht="198.75" customHeight="1">
      <c r="A15" s="124">
        <v>12</v>
      </c>
      <c r="B15" s="125" t="s">
        <v>405</v>
      </c>
      <c r="C15" s="126" t="s">
        <v>423</v>
      </c>
      <c r="D15" s="126" t="s">
        <v>424</v>
      </c>
      <c r="E15" s="86">
        <v>1</v>
      </c>
      <c r="F15" s="86">
        <v>2</v>
      </c>
      <c r="G15" s="86">
        <v>2</v>
      </c>
      <c r="H15" s="87" t="s">
        <v>47</v>
      </c>
      <c r="I15" s="125" t="s">
        <v>425</v>
      </c>
      <c r="J15" s="87">
        <v>1</v>
      </c>
      <c r="K15" s="86">
        <v>0</v>
      </c>
      <c r="L15" s="86">
        <v>0</v>
      </c>
      <c r="M15" s="87" t="s">
        <v>47</v>
      </c>
    </row>
    <row r="16" spans="1:13" s="44" customFormat="1" ht="75" customHeight="1">
      <c r="A16" s="121">
        <v>13</v>
      </c>
      <c r="B16" s="125" t="s">
        <v>405</v>
      </c>
      <c r="C16" s="125" t="s">
        <v>426</v>
      </c>
      <c r="D16" s="126" t="s">
        <v>427</v>
      </c>
      <c r="E16" s="86">
        <v>2</v>
      </c>
      <c r="F16" s="86">
        <v>2</v>
      </c>
      <c r="G16" s="86">
        <v>4</v>
      </c>
      <c r="H16" s="87" t="s">
        <v>47</v>
      </c>
      <c r="I16" s="127" t="s">
        <v>428</v>
      </c>
      <c r="J16" s="87">
        <v>2</v>
      </c>
      <c r="K16" s="86">
        <v>0</v>
      </c>
      <c r="L16" s="86">
        <v>0</v>
      </c>
      <c r="M16" s="87" t="s">
        <v>47</v>
      </c>
    </row>
    <row r="17" spans="1:13" s="44" customFormat="1" ht="75" customHeight="1">
      <c r="A17" s="124">
        <v>14</v>
      </c>
      <c r="B17" s="122" t="s">
        <v>389</v>
      </c>
      <c r="C17" s="125" t="s">
        <v>429</v>
      </c>
      <c r="D17" s="126" t="s">
        <v>430</v>
      </c>
      <c r="E17" s="86">
        <v>2</v>
      </c>
      <c r="F17" s="86">
        <v>2</v>
      </c>
      <c r="G17" s="86">
        <v>4</v>
      </c>
      <c r="H17" s="87" t="s">
        <v>47</v>
      </c>
      <c r="I17" s="128" t="s">
        <v>431</v>
      </c>
      <c r="J17" s="87">
        <v>2</v>
      </c>
      <c r="K17" s="86">
        <v>0</v>
      </c>
      <c r="L17" s="86">
        <v>0</v>
      </c>
      <c r="M17" s="87" t="s">
        <v>47</v>
      </c>
    </row>
    <row r="18" spans="1:13" s="44" customFormat="1" ht="75" customHeight="1" thickBot="1">
      <c r="A18" s="129">
        <v>15</v>
      </c>
      <c r="B18" s="130" t="s">
        <v>432</v>
      </c>
      <c r="C18" s="130" t="s">
        <v>433</v>
      </c>
      <c r="D18" s="131" t="s">
        <v>434</v>
      </c>
      <c r="E18" s="132">
        <v>3</v>
      </c>
      <c r="F18" s="132">
        <v>3</v>
      </c>
      <c r="G18" s="132">
        <v>6</v>
      </c>
      <c r="H18" s="133" t="s">
        <v>46</v>
      </c>
      <c r="I18" s="134" t="s">
        <v>435</v>
      </c>
      <c r="J18" s="133">
        <v>1</v>
      </c>
      <c r="K18" s="132">
        <v>1</v>
      </c>
      <c r="L18" s="132">
        <v>1</v>
      </c>
      <c r="M18" s="87" t="s">
        <v>47</v>
      </c>
    </row>
    <row r="19" spans="1:13" s="139" customFormat="1" ht="12.75" customHeight="1">
      <c r="A19" s="265"/>
      <c r="B19" s="265" t="s">
        <v>745</v>
      </c>
      <c r="C19" s="157"/>
      <c r="D19" s="157"/>
      <c r="E19" s="157"/>
      <c r="F19" s="157"/>
      <c r="G19" s="157"/>
      <c r="H19" s="157"/>
      <c r="I19" s="157"/>
      <c r="J19" s="157"/>
      <c r="K19" s="157"/>
      <c r="L19" s="157"/>
      <c r="M19" s="158"/>
    </row>
    <row r="20" spans="1:13" s="139" customFormat="1" ht="12.75" customHeight="1">
      <c r="A20" s="265"/>
      <c r="B20" s="265" t="s">
        <v>756</v>
      </c>
      <c r="C20" s="157"/>
      <c r="D20" s="157"/>
      <c r="E20" s="157"/>
      <c r="F20" s="157"/>
      <c r="G20" s="157"/>
      <c r="H20" s="157"/>
      <c r="I20" s="157"/>
      <c r="J20" s="157"/>
      <c r="K20" s="157"/>
      <c r="L20" s="157"/>
      <c r="M20" s="158"/>
    </row>
    <row r="21" spans="1:13" s="139" customFormat="1" ht="12.75" customHeight="1">
      <c r="A21" s="265"/>
      <c r="B21" s="265" t="s">
        <v>744</v>
      </c>
      <c r="C21" s="157"/>
      <c r="D21" s="157"/>
      <c r="E21" s="157"/>
      <c r="F21" s="157"/>
      <c r="G21" s="157"/>
      <c r="H21" s="157"/>
      <c r="I21" s="157"/>
      <c r="J21" s="157"/>
      <c r="K21" s="157"/>
      <c r="L21" s="157"/>
      <c r="M21" s="158"/>
    </row>
    <row r="22" spans="1:13" s="139" customFormat="1" ht="12.75" customHeight="1">
      <c r="A22" s="265"/>
      <c r="B22" s="256" t="s">
        <v>627</v>
      </c>
      <c r="C22" s="159"/>
      <c r="D22" s="159"/>
      <c r="E22" s="159"/>
      <c r="F22" s="159"/>
      <c r="G22" s="159"/>
      <c r="H22" s="159"/>
      <c r="I22" s="159"/>
      <c r="J22" s="159"/>
      <c r="K22" s="159"/>
      <c r="L22" s="159"/>
      <c r="M22" s="290"/>
    </row>
    <row r="23" spans="1:13" s="195" customFormat="1" ht="15.75" customHeight="1">
      <c r="A23" s="265"/>
      <c r="B23" s="268" t="s">
        <v>330</v>
      </c>
      <c r="C23" s="253" t="s">
        <v>331</v>
      </c>
      <c r="D23" s="253" t="s">
        <v>335</v>
      </c>
      <c r="E23" s="490" t="s">
        <v>759</v>
      </c>
      <c r="F23" s="491"/>
      <c r="G23" s="492" t="s">
        <v>644</v>
      </c>
      <c r="H23" s="493"/>
      <c r="I23" s="494"/>
      <c r="J23" s="494"/>
      <c r="K23" s="495"/>
      <c r="L23" s="501" t="s">
        <v>643</v>
      </c>
      <c r="M23" s="501"/>
    </row>
    <row r="24" spans="1:13" s="195" customFormat="1" ht="15.75" customHeight="1">
      <c r="A24" s="265"/>
      <c r="B24" s="268">
        <v>0</v>
      </c>
      <c r="C24" s="253" t="s">
        <v>761</v>
      </c>
      <c r="D24" s="253" t="s">
        <v>476</v>
      </c>
      <c r="E24" s="496" t="s">
        <v>760</v>
      </c>
      <c r="F24" s="497"/>
      <c r="G24" s="492" t="s">
        <v>645</v>
      </c>
      <c r="H24" s="493"/>
      <c r="I24" s="493"/>
      <c r="J24" s="493"/>
      <c r="K24" s="498"/>
      <c r="L24" s="501" t="s">
        <v>762</v>
      </c>
      <c r="M24" s="501"/>
    </row>
    <row r="25" spans="1:13" s="195" customFormat="1" ht="15.75" customHeight="1">
      <c r="A25" s="256"/>
      <c r="B25" s="212"/>
      <c r="C25" s="253"/>
      <c r="D25" s="253"/>
      <c r="E25" s="499"/>
      <c r="F25" s="497"/>
      <c r="G25" s="490"/>
      <c r="H25" s="491"/>
      <c r="I25" s="491"/>
      <c r="J25" s="491"/>
      <c r="K25" s="500"/>
      <c r="L25" s="501"/>
      <c r="M25" s="501"/>
    </row>
  </sheetData>
  <mergeCells count="17">
    <mergeCell ref="E25:F25"/>
    <mergeCell ref="G25:K25"/>
    <mergeCell ref="L25:M25"/>
    <mergeCell ref="I2:I3"/>
    <mergeCell ref="J2:M2"/>
    <mergeCell ref="L23:M23"/>
    <mergeCell ref="E24:F24"/>
    <mergeCell ref="G24:K24"/>
    <mergeCell ref="L24:M24"/>
    <mergeCell ref="E23:F23"/>
    <mergeCell ref="G23:K23"/>
    <mergeCell ref="A1:G1"/>
    <mergeCell ref="A2:A3"/>
    <mergeCell ref="B2:B3"/>
    <mergeCell ref="C2:C3"/>
    <mergeCell ref="D2:D3"/>
    <mergeCell ref="E2:H2"/>
  </mergeCells>
  <pageMargins left="0.43307086614173229" right="0.15748031496062992" top="0.15748031496062992" bottom="0.15748031496062992" header="0.15748031496062992" footer="0.23622047244094491"/>
  <pageSetup scale="53" fitToHeight="0" orientation="landscape" useFirstPageNumber="1"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O52"/>
  <sheetViews>
    <sheetView showGridLines="0" topLeftCell="A13" zoomScale="89" zoomScaleNormal="89" zoomScaleSheetLayoutView="82" workbookViewId="0">
      <selection activeCell="J24" sqref="J23:O24"/>
    </sheetView>
  </sheetViews>
  <sheetFormatPr defaultColWidth="11.5703125" defaultRowHeight="18.75"/>
  <cols>
    <col min="1" max="1" width="6" style="55" customWidth="1"/>
    <col min="2" max="2" width="11" style="30" customWidth="1"/>
    <col min="3" max="3" width="22.7109375" style="33" customWidth="1"/>
    <col min="4" max="4" width="11.5703125" style="33" customWidth="1"/>
    <col min="5" max="8" width="7.5703125" style="55" customWidth="1"/>
    <col min="9" max="9" width="10.7109375" style="30" customWidth="1"/>
    <col min="10" max="10" width="21" style="487" customWidth="1"/>
    <col min="11" max="11" width="33.5703125" style="487" customWidth="1"/>
    <col min="12" max="13" width="7.5703125" style="59" customWidth="1"/>
    <col min="14" max="15" width="7.5703125" style="55" customWidth="1"/>
    <col min="16" max="16384" width="11.5703125" style="55"/>
  </cols>
  <sheetData>
    <row r="1" spans="1:15" s="63" customFormat="1" ht="63.75" customHeight="1">
      <c r="A1" s="549" t="s">
        <v>337</v>
      </c>
      <c r="B1" s="550"/>
      <c r="C1" s="550"/>
      <c r="D1" s="550"/>
      <c r="E1" s="550"/>
      <c r="F1" s="550"/>
      <c r="G1" s="550"/>
      <c r="H1" s="550"/>
      <c r="I1" s="550"/>
      <c r="J1" s="550"/>
      <c r="K1" s="550"/>
      <c r="L1" s="550"/>
      <c r="M1" s="550"/>
      <c r="N1" s="550"/>
      <c r="O1" s="550"/>
    </row>
    <row r="2" spans="1:15" s="63" customFormat="1" ht="45.75" customHeight="1">
      <c r="A2" s="549"/>
      <c r="B2" s="550"/>
      <c r="C2" s="550"/>
      <c r="D2" s="550"/>
      <c r="E2" s="550"/>
      <c r="F2" s="550"/>
      <c r="G2" s="550"/>
      <c r="H2" s="550"/>
      <c r="I2" s="550"/>
      <c r="J2" s="550"/>
      <c r="K2" s="550"/>
      <c r="L2" s="550"/>
      <c r="M2" s="550"/>
      <c r="N2" s="550"/>
      <c r="O2" s="550"/>
    </row>
    <row r="3" spans="1:15" s="63" customFormat="1" ht="45.75" customHeight="1">
      <c r="A3" s="551"/>
      <c r="B3" s="552"/>
      <c r="C3" s="552"/>
      <c r="D3" s="552"/>
      <c r="E3" s="552"/>
      <c r="F3" s="552"/>
      <c r="G3" s="552"/>
      <c r="H3" s="552"/>
      <c r="I3" s="552"/>
      <c r="J3" s="552"/>
      <c r="K3" s="552"/>
      <c r="L3" s="552"/>
      <c r="M3" s="552"/>
      <c r="N3" s="552"/>
      <c r="O3" s="552"/>
    </row>
    <row r="4" spans="1:15" s="63" customFormat="1" ht="48.75" customHeight="1">
      <c r="A4" s="570" t="s">
        <v>2</v>
      </c>
      <c r="B4" s="571" t="s">
        <v>338</v>
      </c>
      <c r="C4" s="572" t="s">
        <v>339</v>
      </c>
      <c r="D4" s="572"/>
      <c r="E4" s="573" t="s">
        <v>4</v>
      </c>
      <c r="F4" s="573"/>
      <c r="G4" s="573"/>
      <c r="H4" s="573"/>
      <c r="I4" s="556" t="s">
        <v>340</v>
      </c>
      <c r="J4" s="556"/>
      <c r="K4" s="556" t="s">
        <v>341</v>
      </c>
      <c r="L4" s="562" t="s">
        <v>342</v>
      </c>
      <c r="M4" s="563"/>
      <c r="N4" s="563"/>
      <c r="O4" s="563"/>
    </row>
    <row r="5" spans="1:15" s="63" customFormat="1" ht="48.75" customHeight="1">
      <c r="A5" s="570"/>
      <c r="B5" s="571"/>
      <c r="C5" s="572"/>
      <c r="D5" s="572"/>
      <c r="E5" s="66" t="s">
        <v>0</v>
      </c>
      <c r="F5" s="66" t="s">
        <v>1</v>
      </c>
      <c r="G5" s="66" t="s">
        <v>12</v>
      </c>
      <c r="H5" s="147" t="s">
        <v>5</v>
      </c>
      <c r="I5" s="556"/>
      <c r="J5" s="556"/>
      <c r="K5" s="556"/>
      <c r="L5" s="147" t="s">
        <v>0</v>
      </c>
      <c r="M5" s="148" t="s">
        <v>1</v>
      </c>
      <c r="N5" s="148" t="s">
        <v>12</v>
      </c>
      <c r="O5" s="147" t="s">
        <v>9</v>
      </c>
    </row>
    <row r="6" spans="1:15" s="63" customFormat="1" ht="66" customHeight="1">
      <c r="A6" s="115">
        <v>1</v>
      </c>
      <c r="B6" s="560" t="s">
        <v>343</v>
      </c>
      <c r="C6" s="555" t="s">
        <v>344</v>
      </c>
      <c r="D6" s="555"/>
      <c r="E6" s="468">
        <v>5</v>
      </c>
      <c r="F6" s="468">
        <v>1</v>
      </c>
      <c r="G6" s="468">
        <f>+E6*F6</f>
        <v>5</v>
      </c>
      <c r="H6" s="468" t="s">
        <v>47</v>
      </c>
      <c r="I6" s="555" t="s">
        <v>630</v>
      </c>
      <c r="J6" s="555"/>
      <c r="K6" s="476" t="s">
        <v>345</v>
      </c>
      <c r="L6" s="116">
        <v>2</v>
      </c>
      <c r="M6" s="115">
        <v>1</v>
      </c>
      <c r="N6" s="115">
        <f>+L6*M6</f>
        <v>2</v>
      </c>
      <c r="O6" s="115" t="s">
        <v>47</v>
      </c>
    </row>
    <row r="7" spans="1:15" s="472" customFormat="1" ht="66" customHeight="1">
      <c r="A7" s="115"/>
      <c r="B7" s="560"/>
      <c r="C7" s="574" t="s">
        <v>833</v>
      </c>
      <c r="D7" s="575"/>
      <c r="E7" s="468">
        <v>5</v>
      </c>
      <c r="F7" s="468">
        <v>3</v>
      </c>
      <c r="G7" s="468">
        <v>15</v>
      </c>
      <c r="H7" s="468" t="s">
        <v>48</v>
      </c>
      <c r="I7" s="574" t="s">
        <v>630</v>
      </c>
      <c r="J7" s="575"/>
      <c r="K7" s="476" t="s">
        <v>345</v>
      </c>
      <c r="L7" s="470">
        <v>2</v>
      </c>
      <c r="M7" s="115">
        <v>1</v>
      </c>
      <c r="N7" s="115">
        <f>+L7*M7</f>
        <v>2</v>
      </c>
      <c r="O7" s="115" t="s">
        <v>47</v>
      </c>
    </row>
    <row r="8" spans="1:15" s="63" customFormat="1" ht="66" customHeight="1">
      <c r="A8" s="115">
        <v>2</v>
      </c>
      <c r="B8" s="560"/>
      <c r="C8" s="555" t="s">
        <v>346</v>
      </c>
      <c r="D8" s="555"/>
      <c r="E8" s="468">
        <v>3</v>
      </c>
      <c r="F8" s="468">
        <v>3</v>
      </c>
      <c r="G8" s="468">
        <f>+E8*F8</f>
        <v>9</v>
      </c>
      <c r="H8" s="468" t="s">
        <v>46</v>
      </c>
      <c r="I8" s="555" t="s">
        <v>347</v>
      </c>
      <c r="J8" s="555"/>
      <c r="K8" s="476" t="s">
        <v>348</v>
      </c>
      <c r="L8" s="116">
        <v>2</v>
      </c>
      <c r="M8" s="115">
        <v>1</v>
      </c>
      <c r="N8" s="115">
        <f t="shared" ref="N8:N18" si="0">+L8*M8</f>
        <v>2</v>
      </c>
      <c r="O8" s="115" t="s">
        <v>47</v>
      </c>
    </row>
    <row r="9" spans="1:15" s="63" customFormat="1" ht="66" customHeight="1">
      <c r="A9" s="115">
        <v>3</v>
      </c>
      <c r="B9" s="468" t="s">
        <v>349</v>
      </c>
      <c r="C9" s="555" t="s">
        <v>350</v>
      </c>
      <c r="D9" s="555"/>
      <c r="E9" s="468">
        <v>5</v>
      </c>
      <c r="F9" s="468">
        <v>2</v>
      </c>
      <c r="G9" s="468">
        <f>+E9*F9</f>
        <v>10</v>
      </c>
      <c r="H9" s="468" t="s">
        <v>46</v>
      </c>
      <c r="I9" s="555" t="s">
        <v>727</v>
      </c>
      <c r="J9" s="555"/>
      <c r="K9" s="476" t="s">
        <v>631</v>
      </c>
      <c r="L9" s="116">
        <v>1</v>
      </c>
      <c r="M9" s="115">
        <v>1</v>
      </c>
      <c r="N9" s="115">
        <f t="shared" si="0"/>
        <v>1</v>
      </c>
      <c r="O9" s="115" t="s">
        <v>47</v>
      </c>
    </row>
    <row r="10" spans="1:15" s="63" customFormat="1" ht="66" customHeight="1">
      <c r="A10" s="115">
        <v>4</v>
      </c>
      <c r="B10" s="560" t="s">
        <v>351</v>
      </c>
      <c r="C10" s="555" t="s">
        <v>352</v>
      </c>
      <c r="D10" s="555"/>
      <c r="E10" s="468">
        <v>5</v>
      </c>
      <c r="F10" s="468">
        <v>3</v>
      </c>
      <c r="G10" s="468">
        <f t="shared" ref="G10:G18" si="1">+E10*F10</f>
        <v>15</v>
      </c>
      <c r="H10" s="468" t="s">
        <v>48</v>
      </c>
      <c r="I10" s="555" t="s">
        <v>353</v>
      </c>
      <c r="J10" s="555"/>
      <c r="K10" s="476" t="s">
        <v>354</v>
      </c>
      <c r="L10" s="116">
        <v>3</v>
      </c>
      <c r="M10" s="115">
        <v>1</v>
      </c>
      <c r="N10" s="115">
        <f t="shared" si="0"/>
        <v>3</v>
      </c>
      <c r="O10" s="115" t="s">
        <v>47</v>
      </c>
    </row>
    <row r="11" spans="1:15" s="63" customFormat="1" ht="66" customHeight="1">
      <c r="A11" s="115">
        <v>5</v>
      </c>
      <c r="B11" s="560"/>
      <c r="C11" s="555" t="s">
        <v>355</v>
      </c>
      <c r="D11" s="555"/>
      <c r="E11" s="468">
        <v>5</v>
      </c>
      <c r="F11" s="468">
        <v>3</v>
      </c>
      <c r="G11" s="468">
        <f t="shared" si="1"/>
        <v>15</v>
      </c>
      <c r="H11" s="468" t="s">
        <v>48</v>
      </c>
      <c r="I11" s="555" t="s">
        <v>356</v>
      </c>
      <c r="J11" s="555"/>
      <c r="K11" s="476" t="s">
        <v>357</v>
      </c>
      <c r="L11" s="116">
        <v>2</v>
      </c>
      <c r="M11" s="115">
        <v>1</v>
      </c>
      <c r="N11" s="115">
        <f t="shared" si="0"/>
        <v>2</v>
      </c>
      <c r="O11" s="115" t="s">
        <v>47</v>
      </c>
    </row>
    <row r="12" spans="1:15" s="63" customFormat="1" ht="66" customHeight="1">
      <c r="A12" s="115">
        <v>6</v>
      </c>
      <c r="B12" s="560" t="s">
        <v>358</v>
      </c>
      <c r="C12" s="555" t="s">
        <v>359</v>
      </c>
      <c r="D12" s="555"/>
      <c r="E12" s="468">
        <v>3</v>
      </c>
      <c r="F12" s="468">
        <v>2</v>
      </c>
      <c r="G12" s="468">
        <f t="shared" si="1"/>
        <v>6</v>
      </c>
      <c r="H12" s="468" t="s">
        <v>46</v>
      </c>
      <c r="I12" s="555" t="s">
        <v>360</v>
      </c>
      <c r="J12" s="555"/>
      <c r="K12" s="476" t="s">
        <v>361</v>
      </c>
      <c r="L12" s="116">
        <v>1</v>
      </c>
      <c r="M12" s="115">
        <v>0</v>
      </c>
      <c r="N12" s="115">
        <f>+L12*M12</f>
        <v>0</v>
      </c>
      <c r="O12" s="115" t="s">
        <v>47</v>
      </c>
    </row>
    <row r="13" spans="1:15" s="63" customFormat="1" ht="66" customHeight="1">
      <c r="A13" s="115">
        <v>7</v>
      </c>
      <c r="B13" s="560"/>
      <c r="C13" s="555" t="s">
        <v>362</v>
      </c>
      <c r="D13" s="555"/>
      <c r="E13" s="468">
        <v>2</v>
      </c>
      <c r="F13" s="468">
        <v>3</v>
      </c>
      <c r="G13" s="468">
        <f t="shared" si="1"/>
        <v>6</v>
      </c>
      <c r="H13" s="468" t="s">
        <v>46</v>
      </c>
      <c r="I13" s="555" t="s">
        <v>363</v>
      </c>
      <c r="J13" s="555"/>
      <c r="K13" s="476" t="s">
        <v>364</v>
      </c>
      <c r="L13" s="116">
        <v>1</v>
      </c>
      <c r="M13" s="115">
        <v>0</v>
      </c>
      <c r="N13" s="115">
        <f t="shared" si="0"/>
        <v>0</v>
      </c>
      <c r="O13" s="115" t="s">
        <v>47</v>
      </c>
    </row>
    <row r="14" spans="1:15" s="63" customFormat="1" ht="66" customHeight="1">
      <c r="A14" s="115">
        <v>8</v>
      </c>
      <c r="B14" s="560"/>
      <c r="C14" s="555" t="s">
        <v>365</v>
      </c>
      <c r="D14" s="555"/>
      <c r="E14" s="468">
        <v>5</v>
      </c>
      <c r="F14" s="468">
        <v>2</v>
      </c>
      <c r="G14" s="468">
        <f t="shared" si="1"/>
        <v>10</v>
      </c>
      <c r="H14" s="468" t="s">
        <v>46</v>
      </c>
      <c r="I14" s="555" t="s">
        <v>366</v>
      </c>
      <c r="J14" s="555"/>
      <c r="K14" s="476" t="s">
        <v>367</v>
      </c>
      <c r="L14" s="116">
        <v>1</v>
      </c>
      <c r="M14" s="115">
        <v>0</v>
      </c>
      <c r="N14" s="115">
        <f t="shared" si="0"/>
        <v>0</v>
      </c>
      <c r="O14" s="115" t="s">
        <v>47</v>
      </c>
    </row>
    <row r="15" spans="1:15" s="63" customFormat="1" ht="66" customHeight="1">
      <c r="A15" s="115">
        <v>10</v>
      </c>
      <c r="B15" s="560" t="s">
        <v>368</v>
      </c>
      <c r="C15" s="555" t="s">
        <v>369</v>
      </c>
      <c r="D15" s="555"/>
      <c r="E15" s="468">
        <v>2</v>
      </c>
      <c r="F15" s="468">
        <v>3</v>
      </c>
      <c r="G15" s="468">
        <f t="shared" si="1"/>
        <v>6</v>
      </c>
      <c r="H15" s="468" t="s">
        <v>46</v>
      </c>
      <c r="I15" s="555" t="s">
        <v>370</v>
      </c>
      <c r="J15" s="555"/>
      <c r="K15" s="555" t="s">
        <v>371</v>
      </c>
      <c r="L15" s="116">
        <v>1</v>
      </c>
      <c r="M15" s="115">
        <v>1</v>
      </c>
      <c r="N15" s="115">
        <f t="shared" si="0"/>
        <v>1</v>
      </c>
      <c r="O15" s="115" t="s">
        <v>47</v>
      </c>
    </row>
    <row r="16" spans="1:15" s="472" customFormat="1" ht="66" customHeight="1">
      <c r="A16" s="115"/>
      <c r="B16" s="560"/>
      <c r="C16" s="577" t="s">
        <v>834</v>
      </c>
      <c r="D16" s="577"/>
      <c r="E16" s="469">
        <v>2</v>
      </c>
      <c r="F16" s="469">
        <v>3</v>
      </c>
      <c r="G16" s="469">
        <f t="shared" si="1"/>
        <v>6</v>
      </c>
      <c r="H16" s="469" t="s">
        <v>46</v>
      </c>
      <c r="I16" s="577" t="s">
        <v>835</v>
      </c>
      <c r="J16" s="577"/>
      <c r="K16" s="555"/>
      <c r="L16" s="470">
        <v>1</v>
      </c>
      <c r="M16" s="115">
        <v>1</v>
      </c>
      <c r="N16" s="115">
        <f t="shared" si="0"/>
        <v>1</v>
      </c>
      <c r="O16" s="115" t="s">
        <v>47</v>
      </c>
    </row>
    <row r="17" spans="1:15" s="63" customFormat="1" ht="66" customHeight="1">
      <c r="A17" s="115">
        <v>12</v>
      </c>
      <c r="B17" s="117" t="s">
        <v>372</v>
      </c>
      <c r="C17" s="555" t="s">
        <v>373</v>
      </c>
      <c r="D17" s="555"/>
      <c r="E17" s="468">
        <v>3</v>
      </c>
      <c r="F17" s="468">
        <v>3</v>
      </c>
      <c r="G17" s="468">
        <f t="shared" si="1"/>
        <v>9</v>
      </c>
      <c r="H17" s="468" t="s">
        <v>46</v>
      </c>
      <c r="I17" s="555" t="s">
        <v>374</v>
      </c>
      <c r="J17" s="555"/>
      <c r="K17" s="476" t="s">
        <v>375</v>
      </c>
      <c r="L17" s="116">
        <v>2</v>
      </c>
      <c r="M17" s="115">
        <v>1</v>
      </c>
      <c r="N17" s="115">
        <f t="shared" si="0"/>
        <v>2</v>
      </c>
      <c r="O17" s="115" t="s">
        <v>47</v>
      </c>
    </row>
    <row r="18" spans="1:15" ht="66" customHeight="1">
      <c r="A18" s="115">
        <v>13</v>
      </c>
      <c r="B18" s="117" t="s">
        <v>376</v>
      </c>
      <c r="C18" s="555" t="s">
        <v>377</v>
      </c>
      <c r="D18" s="555"/>
      <c r="E18" s="468">
        <v>5</v>
      </c>
      <c r="F18" s="468">
        <v>2</v>
      </c>
      <c r="G18" s="468">
        <f t="shared" si="1"/>
        <v>10</v>
      </c>
      <c r="H18" s="468" t="s">
        <v>46</v>
      </c>
      <c r="I18" s="555" t="s">
        <v>378</v>
      </c>
      <c r="J18" s="555"/>
      <c r="K18" s="476" t="s">
        <v>379</v>
      </c>
      <c r="L18" s="116">
        <v>2</v>
      </c>
      <c r="M18" s="115">
        <v>0</v>
      </c>
      <c r="N18" s="115">
        <f t="shared" si="0"/>
        <v>0</v>
      </c>
      <c r="O18" s="115" t="s">
        <v>47</v>
      </c>
    </row>
    <row r="19" spans="1:15" ht="15.75" customHeight="1">
      <c r="A19" s="396"/>
      <c r="B19" s="477" t="s">
        <v>745</v>
      </c>
      <c r="C19" s="480"/>
      <c r="D19" s="481"/>
      <c r="E19" s="397"/>
      <c r="F19" s="397"/>
      <c r="G19" s="397"/>
      <c r="H19" s="397"/>
      <c r="I19" s="481"/>
      <c r="J19" s="481"/>
      <c r="K19" s="564"/>
      <c r="L19" s="564"/>
      <c r="M19" s="564"/>
      <c r="N19" s="564"/>
      <c r="O19" s="565"/>
    </row>
    <row r="20" spans="1:15" s="139" customFormat="1" ht="12.75" customHeight="1">
      <c r="A20" s="265"/>
      <c r="B20" s="478" t="s">
        <v>756</v>
      </c>
      <c r="C20" s="482"/>
      <c r="D20" s="483"/>
      <c r="E20" s="157"/>
      <c r="F20" s="157"/>
      <c r="G20" s="157"/>
      <c r="H20" s="157"/>
      <c r="I20" s="483"/>
      <c r="J20" s="483"/>
      <c r="K20" s="566"/>
      <c r="L20" s="566"/>
      <c r="M20" s="566"/>
      <c r="N20" s="566"/>
      <c r="O20" s="567"/>
    </row>
    <row r="21" spans="1:15" s="139" customFormat="1" ht="12.75" customHeight="1">
      <c r="A21" s="265"/>
      <c r="B21" s="478" t="s">
        <v>744</v>
      </c>
      <c r="C21" s="482"/>
      <c r="D21" s="483"/>
      <c r="E21" s="157"/>
      <c r="F21" s="157"/>
      <c r="G21" s="157"/>
      <c r="H21" s="157"/>
      <c r="I21" s="483"/>
      <c r="J21" s="483"/>
      <c r="K21" s="566"/>
      <c r="L21" s="566"/>
      <c r="M21" s="566"/>
      <c r="N21" s="566"/>
      <c r="O21" s="567"/>
    </row>
    <row r="22" spans="1:15" s="139" customFormat="1" ht="12.75" customHeight="1">
      <c r="A22" s="265"/>
      <c r="B22" s="479" t="s">
        <v>627</v>
      </c>
      <c r="C22" s="484"/>
      <c r="D22" s="485"/>
      <c r="E22" s="159"/>
      <c r="F22" s="159"/>
      <c r="G22" s="159"/>
      <c r="H22" s="159"/>
      <c r="I22" s="485"/>
      <c r="J22" s="485"/>
      <c r="K22" s="568"/>
      <c r="L22" s="568"/>
      <c r="M22" s="568"/>
      <c r="N22" s="568"/>
      <c r="O22" s="569"/>
    </row>
    <row r="23" spans="1:15" ht="15.75" customHeight="1">
      <c r="A23" s="116" t="s">
        <v>330</v>
      </c>
      <c r="B23" s="553" t="s">
        <v>331</v>
      </c>
      <c r="C23" s="553"/>
      <c r="D23" s="486" t="s">
        <v>764</v>
      </c>
      <c r="E23" s="557" t="s">
        <v>333</v>
      </c>
      <c r="F23" s="558"/>
      <c r="G23" s="557" t="s">
        <v>643</v>
      </c>
      <c r="H23" s="559"/>
      <c r="I23" s="558"/>
      <c r="J23" s="553" t="s">
        <v>729</v>
      </c>
      <c r="K23" s="553"/>
      <c r="L23" s="553"/>
      <c r="M23" s="553"/>
      <c r="N23" s="553"/>
      <c r="O23" s="553"/>
    </row>
    <row r="24" spans="1:15" ht="15.75" customHeight="1">
      <c r="A24" s="116">
        <v>1</v>
      </c>
      <c r="B24" s="553" t="s">
        <v>380</v>
      </c>
      <c r="C24" s="553"/>
      <c r="D24" s="375">
        <v>43832</v>
      </c>
      <c r="E24" s="557">
        <v>0</v>
      </c>
      <c r="F24" s="558"/>
      <c r="G24" s="557" t="s">
        <v>728</v>
      </c>
      <c r="H24" s="559"/>
      <c r="I24" s="558"/>
      <c r="J24" s="554" t="s">
        <v>730</v>
      </c>
      <c r="K24" s="554"/>
      <c r="L24" s="554"/>
      <c r="M24" s="554"/>
      <c r="N24" s="554"/>
      <c r="O24" s="554"/>
    </row>
    <row r="25" spans="1:15" ht="15.75" customHeight="1">
      <c r="A25" s="116">
        <v>2</v>
      </c>
      <c r="B25" s="553" t="s">
        <v>380</v>
      </c>
      <c r="C25" s="553"/>
      <c r="D25" s="375">
        <v>44705</v>
      </c>
      <c r="E25" s="557">
        <v>1</v>
      </c>
      <c r="F25" s="558"/>
      <c r="G25" s="557" t="s">
        <v>728</v>
      </c>
      <c r="H25" s="559"/>
      <c r="I25" s="558"/>
      <c r="J25" s="553" t="s">
        <v>731</v>
      </c>
      <c r="K25" s="553"/>
      <c r="L25" s="553"/>
      <c r="M25" s="553"/>
      <c r="N25" s="553"/>
      <c r="O25" s="553"/>
    </row>
    <row r="26" spans="1:15" s="40" customFormat="1">
      <c r="A26" s="154"/>
      <c r="B26" s="35"/>
      <c r="C26" s="38"/>
      <c r="D26" s="36"/>
      <c r="G26" s="39"/>
      <c r="I26" s="180"/>
      <c r="J26" s="180"/>
      <c r="K26" s="180"/>
      <c r="L26" s="41"/>
    </row>
    <row r="27" spans="1:15" s="40" customFormat="1">
      <c r="A27" s="265"/>
      <c r="B27" s="35"/>
      <c r="C27" s="36"/>
      <c r="D27" s="36"/>
      <c r="G27" s="39"/>
      <c r="I27" s="180"/>
      <c r="J27" s="180"/>
      <c r="K27" s="180"/>
      <c r="L27" s="41"/>
    </row>
    <row r="28" spans="1:15" s="40" customFormat="1">
      <c r="A28" s="265"/>
      <c r="B28" s="35"/>
      <c r="C28" s="36"/>
      <c r="D28" s="36"/>
      <c r="G28" s="39"/>
      <c r="I28" s="180"/>
      <c r="J28" s="180"/>
      <c r="K28" s="180"/>
      <c r="L28" s="41"/>
    </row>
    <row r="29" spans="1:15" s="40" customFormat="1">
      <c r="A29" s="256"/>
      <c r="B29" s="35"/>
      <c r="C29" s="36"/>
      <c r="D29" s="36"/>
      <c r="G29" s="39"/>
      <c r="I29" s="180"/>
      <c r="J29" s="180"/>
      <c r="K29" s="180"/>
      <c r="L29" s="41"/>
    </row>
    <row r="30" spans="1:15">
      <c r="C30" s="31"/>
      <c r="G30" s="50"/>
    </row>
    <row r="31" spans="1:15">
      <c r="C31" s="31"/>
      <c r="G31" s="50"/>
    </row>
    <row r="32" spans="1:15">
      <c r="C32" s="31"/>
      <c r="G32" s="50"/>
    </row>
    <row r="33" spans="1:13">
      <c r="C33" s="31"/>
      <c r="G33" s="50"/>
    </row>
    <row r="34" spans="1:13">
      <c r="C34" s="31"/>
      <c r="G34" s="50"/>
    </row>
    <row r="35" spans="1:13">
      <c r="A35" s="576"/>
      <c r="B35" s="576"/>
      <c r="C35" s="576"/>
      <c r="D35" s="576"/>
      <c r="E35" s="576"/>
      <c r="F35" s="576"/>
      <c r="G35" s="576"/>
      <c r="H35" s="576"/>
      <c r="I35" s="576"/>
      <c r="J35" s="576"/>
      <c r="K35" s="576"/>
      <c r="L35" s="576"/>
      <c r="M35" s="576"/>
    </row>
    <row r="36" spans="1:13">
      <c r="C36" s="31"/>
      <c r="G36" s="50"/>
    </row>
    <row r="37" spans="1:13">
      <c r="G37" s="50"/>
    </row>
    <row r="38" spans="1:13">
      <c r="G38" s="50"/>
    </row>
    <row r="39" spans="1:13">
      <c r="G39" s="50"/>
    </row>
    <row r="40" spans="1:13">
      <c r="G40" s="50"/>
    </row>
    <row r="41" spans="1:13">
      <c r="C41" s="31"/>
      <c r="G41" s="50"/>
    </row>
    <row r="42" spans="1:13">
      <c r="C42" s="31"/>
      <c r="G42" s="50"/>
    </row>
    <row r="43" spans="1:13">
      <c r="C43" s="31"/>
      <c r="G43" s="50"/>
    </row>
    <row r="44" spans="1:13">
      <c r="C44" s="31"/>
      <c r="G44" s="50"/>
    </row>
    <row r="45" spans="1:13">
      <c r="C45" s="31"/>
      <c r="G45" s="50"/>
    </row>
    <row r="46" spans="1:13">
      <c r="G46" s="50"/>
    </row>
    <row r="47" spans="1:13">
      <c r="A47" s="561"/>
      <c r="B47" s="561"/>
      <c r="C47" s="561"/>
      <c r="D47" s="561"/>
      <c r="E47" s="561"/>
      <c r="F47" s="561"/>
      <c r="G47" s="561"/>
      <c r="H47" s="561"/>
      <c r="I47" s="561"/>
      <c r="J47" s="561"/>
      <c r="K47" s="561"/>
      <c r="L47" s="561"/>
      <c r="M47" s="561"/>
    </row>
    <row r="48" spans="1:13">
      <c r="C48" s="31"/>
      <c r="G48" s="50"/>
    </row>
    <row r="49" spans="7:7">
      <c r="G49" s="50"/>
    </row>
    <row r="50" spans="7:7">
      <c r="G50" s="50"/>
    </row>
    <row r="51" spans="7:7">
      <c r="G51" s="50"/>
    </row>
    <row r="52" spans="7:7">
      <c r="G52" s="50"/>
    </row>
  </sheetData>
  <mergeCells count="54">
    <mergeCell ref="C11:D11"/>
    <mergeCell ref="I11:J11"/>
    <mergeCell ref="C14:D14"/>
    <mergeCell ref="E25:F25"/>
    <mergeCell ref="G25:I25"/>
    <mergeCell ref="C16:D16"/>
    <mergeCell ref="I16:J16"/>
    <mergeCell ref="A35:M35"/>
    <mergeCell ref="B15:B16"/>
    <mergeCell ref="C15:D15"/>
    <mergeCell ref="I15:J15"/>
    <mergeCell ref="K15:K16"/>
    <mergeCell ref="B6:B8"/>
    <mergeCell ref="I10:J10"/>
    <mergeCell ref="A4:A5"/>
    <mergeCell ref="B4:B5"/>
    <mergeCell ref="C4:D5"/>
    <mergeCell ref="E4:H4"/>
    <mergeCell ref="I4:J5"/>
    <mergeCell ref="C10:D10"/>
    <mergeCell ref="C7:D7"/>
    <mergeCell ref="I7:J7"/>
    <mergeCell ref="A47:M47"/>
    <mergeCell ref="I14:J14"/>
    <mergeCell ref="I13:J13"/>
    <mergeCell ref="L4:O4"/>
    <mergeCell ref="C9:D9"/>
    <mergeCell ref="I9:J9"/>
    <mergeCell ref="B25:C25"/>
    <mergeCell ref="J25:O25"/>
    <mergeCell ref="C17:D17"/>
    <mergeCell ref="I17:J17"/>
    <mergeCell ref="C18:D18"/>
    <mergeCell ref="K19:O22"/>
    <mergeCell ref="C6:D6"/>
    <mergeCell ref="J23:O23"/>
    <mergeCell ref="E24:F24"/>
    <mergeCell ref="I8:J8"/>
    <mergeCell ref="A1:O3"/>
    <mergeCell ref="B24:C24"/>
    <mergeCell ref="J24:O24"/>
    <mergeCell ref="C12:D12"/>
    <mergeCell ref="I12:J12"/>
    <mergeCell ref="C13:D13"/>
    <mergeCell ref="K4:K5"/>
    <mergeCell ref="B23:C23"/>
    <mergeCell ref="E23:F23"/>
    <mergeCell ref="G23:I23"/>
    <mergeCell ref="G24:I24"/>
    <mergeCell ref="B12:B14"/>
    <mergeCell ref="I18:J18"/>
    <mergeCell ref="B10:B11"/>
    <mergeCell ref="I6:J6"/>
    <mergeCell ref="C8:D8"/>
  </mergeCells>
  <pageMargins left="0.69" right="0.16" top="0.74" bottom="0.16" header="0.36" footer="0.23"/>
  <pageSetup scale="62" fitToHeight="0" orientation="landscape" useFirstPageNumber="1" horizontalDpi="300" verticalDpi="300" r:id="rId1"/>
  <headerFooter alignWithMargins="0"/>
  <rowBreaks count="1" manualBreakCount="1">
    <brk id="14" max="1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60"/>
  <sheetViews>
    <sheetView showGridLines="0" topLeftCell="A31" zoomScale="77" zoomScaleNormal="77" zoomScaleSheetLayoutView="82" workbookViewId="0">
      <selection activeCell="K5" sqref="K5"/>
    </sheetView>
  </sheetViews>
  <sheetFormatPr defaultColWidth="11.5703125" defaultRowHeight="15.75"/>
  <cols>
    <col min="1" max="1" width="4.85546875" style="188" customWidth="1"/>
    <col min="2" max="2" width="15.28515625" style="202" customWidth="1"/>
    <col min="3" max="3" width="7" style="203" customWidth="1"/>
    <col min="4" max="4" width="31.5703125" style="204" customWidth="1"/>
    <col min="5" max="5" width="13.5703125" style="204" customWidth="1"/>
    <col min="6" max="6" width="34.5703125" style="205" customWidth="1"/>
    <col min="7" max="9" width="7.85546875" style="188" customWidth="1"/>
    <col min="10" max="10" width="11.7109375" style="188" customWidth="1"/>
    <col min="11" max="11" width="53.7109375" style="202" customWidth="1"/>
    <col min="12" max="14" width="7.140625" style="96" customWidth="1"/>
    <col min="15" max="15" width="11.42578125" style="90" customWidth="1"/>
    <col min="16" max="16384" width="11.5703125" style="188"/>
  </cols>
  <sheetData>
    <row r="1" spans="1:15" ht="30.75" customHeight="1">
      <c r="A1" s="247"/>
      <c r="B1" s="247"/>
      <c r="C1" s="247"/>
      <c r="D1" s="247"/>
      <c r="E1" s="247"/>
      <c r="F1" s="247"/>
      <c r="G1" s="247"/>
      <c r="H1" s="247"/>
      <c r="I1" s="247"/>
      <c r="J1" s="247"/>
      <c r="K1" s="247"/>
      <c r="L1" s="247"/>
      <c r="M1" s="247"/>
      <c r="N1" s="247"/>
      <c r="O1" s="247"/>
    </row>
    <row r="2" spans="1:15" ht="60" customHeight="1">
      <c r="A2" s="247"/>
      <c r="B2" s="247"/>
      <c r="C2" s="578" t="s">
        <v>541</v>
      </c>
      <c r="D2" s="578"/>
      <c r="E2" s="578"/>
      <c r="F2" s="578"/>
      <c r="G2" s="578"/>
      <c r="H2" s="578"/>
      <c r="I2" s="578"/>
      <c r="J2" s="578"/>
      <c r="K2" s="247"/>
      <c r="L2" s="247"/>
      <c r="M2" s="247"/>
      <c r="N2" s="247"/>
      <c r="O2" s="247"/>
    </row>
    <row r="3" spans="1:15" s="96" customFormat="1" ht="44.25" customHeight="1">
      <c r="A3" s="563" t="s">
        <v>2</v>
      </c>
      <c r="B3" s="562" t="s">
        <v>45</v>
      </c>
      <c r="C3" s="579" t="s">
        <v>6</v>
      </c>
      <c r="D3" s="579"/>
      <c r="E3" s="580" t="s">
        <v>3</v>
      </c>
      <c r="F3" s="580"/>
      <c r="G3" s="563" t="s">
        <v>4</v>
      </c>
      <c r="H3" s="563"/>
      <c r="I3" s="563"/>
      <c r="J3" s="563"/>
      <c r="K3" s="581" t="s">
        <v>7</v>
      </c>
      <c r="L3" s="562" t="s">
        <v>8</v>
      </c>
      <c r="M3" s="563"/>
      <c r="N3" s="563"/>
      <c r="O3" s="563"/>
    </row>
    <row r="4" spans="1:15" s="96" customFormat="1" ht="32.25" customHeight="1">
      <c r="A4" s="563"/>
      <c r="B4" s="562"/>
      <c r="C4" s="579"/>
      <c r="D4" s="579"/>
      <c r="E4" s="580"/>
      <c r="F4" s="580"/>
      <c r="G4" s="147" t="s">
        <v>1</v>
      </c>
      <c r="H4" s="147" t="s">
        <v>0</v>
      </c>
      <c r="I4" s="148" t="s">
        <v>542</v>
      </c>
      <c r="J4" s="147" t="s">
        <v>5</v>
      </c>
      <c r="K4" s="581"/>
      <c r="L4" s="147" t="s">
        <v>1</v>
      </c>
      <c r="M4" s="147" t="s">
        <v>0</v>
      </c>
      <c r="N4" s="148" t="s">
        <v>542</v>
      </c>
      <c r="O4" s="147" t="s">
        <v>9</v>
      </c>
    </row>
    <row r="5" spans="1:15" s="96" customFormat="1" ht="116.25" customHeight="1">
      <c r="A5" s="184">
        <v>1</v>
      </c>
      <c r="B5" s="64" t="s">
        <v>51</v>
      </c>
      <c r="C5" s="582" t="s">
        <v>647</v>
      </c>
      <c r="D5" s="582"/>
      <c r="E5" s="583" t="s">
        <v>543</v>
      </c>
      <c r="F5" s="583"/>
      <c r="G5" s="184">
        <v>2</v>
      </c>
      <c r="H5" s="184">
        <v>5</v>
      </c>
      <c r="I5" s="184">
        <f>G5*H5</f>
        <v>10</v>
      </c>
      <c r="J5" s="64" t="str">
        <f>IF(I5&lt;=5,"A",IF(I5&lt;=10,"B",IF(I5&lt;=25,"C",)))</f>
        <v>B</v>
      </c>
      <c r="K5" s="185" t="s">
        <v>544</v>
      </c>
      <c r="L5" s="64">
        <v>1</v>
      </c>
      <c r="M5" s="184">
        <v>5</v>
      </c>
      <c r="N5" s="184">
        <f>L5*M5</f>
        <v>5</v>
      </c>
      <c r="O5" s="64" t="str">
        <f>IF(N5&lt;=5,"A",IF(N5&lt;=10,"B",IF(N5&lt;=25,"C",)))</f>
        <v>A</v>
      </c>
    </row>
    <row r="6" spans="1:15" s="96" customFormat="1" ht="61.5" customHeight="1">
      <c r="A6" s="184">
        <v>2</v>
      </c>
      <c r="B6" s="584" t="s">
        <v>545</v>
      </c>
      <c r="C6" s="583" t="s">
        <v>546</v>
      </c>
      <c r="D6" s="583"/>
      <c r="E6" s="583" t="s">
        <v>547</v>
      </c>
      <c r="F6" s="583"/>
      <c r="G6" s="184">
        <v>4</v>
      </c>
      <c r="H6" s="184">
        <v>3</v>
      </c>
      <c r="I6" s="184">
        <f>G6*H6</f>
        <v>12</v>
      </c>
      <c r="J6" s="64" t="str">
        <f t="shared" ref="J6:J30" si="0">IF(I6&lt;=5,"A",IF(I6&lt;=10,"B",IF(I6&lt;=25,"C",)))</f>
        <v>C</v>
      </c>
      <c r="K6" s="185" t="s">
        <v>548</v>
      </c>
      <c r="L6" s="64">
        <v>2</v>
      </c>
      <c r="M6" s="184">
        <v>3</v>
      </c>
      <c r="N6" s="184">
        <f>L6*M6</f>
        <v>6</v>
      </c>
      <c r="O6" s="64" t="str">
        <f t="shared" ref="O6:O30" si="1">IF(N6&lt;=5,"A",IF(N6&lt;=10,"B",IF(N6&lt;=25,"C",)))</f>
        <v>B</v>
      </c>
    </row>
    <row r="7" spans="1:15" s="96" customFormat="1" ht="61.5" customHeight="1">
      <c r="A7" s="184">
        <v>3</v>
      </c>
      <c r="B7" s="584"/>
      <c r="C7" s="583" t="s">
        <v>549</v>
      </c>
      <c r="D7" s="583"/>
      <c r="E7" s="583" t="s">
        <v>550</v>
      </c>
      <c r="F7" s="583"/>
      <c r="G7" s="184">
        <v>3</v>
      </c>
      <c r="H7" s="184">
        <v>4</v>
      </c>
      <c r="I7" s="184">
        <f t="shared" ref="I7:I27" si="2">G7*H7</f>
        <v>12</v>
      </c>
      <c r="J7" s="64" t="str">
        <f t="shared" si="0"/>
        <v>C</v>
      </c>
      <c r="K7" s="185" t="s">
        <v>551</v>
      </c>
      <c r="L7" s="64">
        <v>1</v>
      </c>
      <c r="M7" s="184">
        <v>4</v>
      </c>
      <c r="N7" s="184">
        <f t="shared" ref="N7:N27" si="3">L7*M7</f>
        <v>4</v>
      </c>
      <c r="O7" s="64" t="str">
        <f t="shared" si="1"/>
        <v>A</v>
      </c>
    </row>
    <row r="8" spans="1:15" s="96" customFormat="1" ht="61.5" customHeight="1">
      <c r="A8" s="184">
        <v>4</v>
      </c>
      <c r="B8" s="585" t="s">
        <v>552</v>
      </c>
      <c r="C8" s="588" t="s">
        <v>553</v>
      </c>
      <c r="D8" s="589"/>
      <c r="E8" s="588" t="s">
        <v>554</v>
      </c>
      <c r="F8" s="589"/>
      <c r="G8" s="184">
        <v>5</v>
      </c>
      <c r="H8" s="184">
        <v>3</v>
      </c>
      <c r="I8" s="184">
        <f t="shared" si="2"/>
        <v>15</v>
      </c>
      <c r="J8" s="64" t="str">
        <f t="shared" si="0"/>
        <v>C</v>
      </c>
      <c r="K8" s="199" t="s">
        <v>555</v>
      </c>
      <c r="L8" s="64">
        <v>2</v>
      </c>
      <c r="M8" s="184">
        <v>3</v>
      </c>
      <c r="N8" s="184">
        <f t="shared" si="3"/>
        <v>6</v>
      </c>
      <c r="O8" s="64" t="str">
        <f t="shared" si="1"/>
        <v>B</v>
      </c>
    </row>
    <row r="9" spans="1:15" s="96" customFormat="1" ht="61.5" customHeight="1">
      <c r="A9" s="184">
        <v>5</v>
      </c>
      <c r="B9" s="586"/>
      <c r="C9" s="588" t="s">
        <v>556</v>
      </c>
      <c r="D9" s="589"/>
      <c r="E9" s="588" t="s">
        <v>557</v>
      </c>
      <c r="F9" s="589"/>
      <c r="G9" s="184">
        <v>5</v>
      </c>
      <c r="H9" s="184">
        <v>2</v>
      </c>
      <c r="I9" s="184">
        <f t="shared" si="2"/>
        <v>10</v>
      </c>
      <c r="J9" s="64" t="str">
        <f t="shared" si="0"/>
        <v>B</v>
      </c>
      <c r="K9" s="185" t="s">
        <v>558</v>
      </c>
      <c r="L9" s="64">
        <v>2</v>
      </c>
      <c r="M9" s="184">
        <v>2</v>
      </c>
      <c r="N9" s="184">
        <f t="shared" si="3"/>
        <v>4</v>
      </c>
      <c r="O9" s="64" t="str">
        <f t="shared" si="1"/>
        <v>A</v>
      </c>
    </row>
    <row r="10" spans="1:15" s="96" customFormat="1" ht="61.5" customHeight="1">
      <c r="A10" s="184">
        <v>6</v>
      </c>
      <c r="B10" s="587"/>
      <c r="C10" s="590" t="s">
        <v>559</v>
      </c>
      <c r="D10" s="591"/>
      <c r="E10" s="590" t="s">
        <v>560</v>
      </c>
      <c r="F10" s="591"/>
      <c r="G10" s="184">
        <v>3</v>
      </c>
      <c r="H10" s="184">
        <v>4</v>
      </c>
      <c r="I10" s="184">
        <f t="shared" si="2"/>
        <v>12</v>
      </c>
      <c r="J10" s="64" t="str">
        <f t="shared" si="0"/>
        <v>C</v>
      </c>
      <c r="K10" s="185" t="s">
        <v>561</v>
      </c>
      <c r="L10" s="64">
        <v>1</v>
      </c>
      <c r="M10" s="184">
        <v>4</v>
      </c>
      <c r="N10" s="184">
        <f t="shared" si="3"/>
        <v>4</v>
      </c>
      <c r="O10" s="64" t="str">
        <f t="shared" si="1"/>
        <v>A</v>
      </c>
    </row>
    <row r="11" spans="1:15" s="96" customFormat="1" ht="61.5" customHeight="1">
      <c r="A11" s="184">
        <v>7</v>
      </c>
      <c r="B11" s="190" t="s">
        <v>628</v>
      </c>
      <c r="C11" s="590" t="s">
        <v>562</v>
      </c>
      <c r="D11" s="591"/>
      <c r="E11" s="590" t="s">
        <v>563</v>
      </c>
      <c r="F11" s="591"/>
      <c r="G11" s="184">
        <v>3</v>
      </c>
      <c r="H11" s="184">
        <v>3</v>
      </c>
      <c r="I11" s="184">
        <f t="shared" si="2"/>
        <v>9</v>
      </c>
      <c r="J11" s="64" t="str">
        <f t="shared" si="0"/>
        <v>B</v>
      </c>
      <c r="K11" s="185" t="s">
        <v>564</v>
      </c>
      <c r="L11" s="64">
        <v>1</v>
      </c>
      <c r="M11" s="184">
        <v>2</v>
      </c>
      <c r="N11" s="184">
        <f t="shared" si="3"/>
        <v>2</v>
      </c>
      <c r="O11" s="64" t="str">
        <f t="shared" si="1"/>
        <v>A</v>
      </c>
    </row>
    <row r="12" spans="1:15" s="96" customFormat="1" ht="61.5" customHeight="1">
      <c r="A12" s="184">
        <v>8</v>
      </c>
      <c r="B12" s="585" t="s">
        <v>56</v>
      </c>
      <c r="C12" s="590" t="s">
        <v>565</v>
      </c>
      <c r="D12" s="591"/>
      <c r="E12" s="590" t="s">
        <v>566</v>
      </c>
      <c r="F12" s="591"/>
      <c r="G12" s="184">
        <v>2</v>
      </c>
      <c r="H12" s="184">
        <v>4</v>
      </c>
      <c r="I12" s="184">
        <f t="shared" si="2"/>
        <v>8</v>
      </c>
      <c r="J12" s="64" t="str">
        <f t="shared" si="0"/>
        <v>B</v>
      </c>
      <c r="K12" s="185" t="s">
        <v>567</v>
      </c>
      <c r="L12" s="64">
        <v>1</v>
      </c>
      <c r="M12" s="184">
        <v>4</v>
      </c>
      <c r="N12" s="184">
        <f t="shared" si="3"/>
        <v>4</v>
      </c>
      <c r="O12" s="64" t="str">
        <f t="shared" si="1"/>
        <v>A</v>
      </c>
    </row>
    <row r="13" spans="1:15" s="96" customFormat="1" ht="61.5" customHeight="1">
      <c r="A13" s="184">
        <v>9</v>
      </c>
      <c r="B13" s="587"/>
      <c r="C13" s="590" t="s">
        <v>638</v>
      </c>
      <c r="D13" s="591"/>
      <c r="E13" s="590" t="s">
        <v>568</v>
      </c>
      <c r="F13" s="591"/>
      <c r="G13" s="184">
        <v>3</v>
      </c>
      <c r="H13" s="184">
        <v>4</v>
      </c>
      <c r="I13" s="184">
        <f t="shared" si="2"/>
        <v>12</v>
      </c>
      <c r="J13" s="64" t="str">
        <f t="shared" si="0"/>
        <v>C</v>
      </c>
      <c r="K13" s="185" t="s">
        <v>569</v>
      </c>
      <c r="L13" s="64">
        <v>1</v>
      </c>
      <c r="M13" s="184">
        <v>4</v>
      </c>
      <c r="N13" s="184">
        <f t="shared" si="3"/>
        <v>4</v>
      </c>
      <c r="O13" s="64" t="str">
        <f t="shared" si="1"/>
        <v>A</v>
      </c>
    </row>
    <row r="14" spans="1:15" s="96" customFormat="1" ht="70.5" customHeight="1">
      <c r="A14" s="184"/>
      <c r="B14" s="585" t="s">
        <v>570</v>
      </c>
      <c r="C14" s="590" t="s">
        <v>571</v>
      </c>
      <c r="D14" s="591"/>
      <c r="E14" s="590" t="s">
        <v>572</v>
      </c>
      <c r="F14" s="591"/>
      <c r="G14" s="184">
        <v>3</v>
      </c>
      <c r="H14" s="184">
        <v>4</v>
      </c>
      <c r="I14" s="184">
        <f t="shared" si="2"/>
        <v>12</v>
      </c>
      <c r="J14" s="471" t="str">
        <f t="shared" si="0"/>
        <v>C</v>
      </c>
      <c r="K14" s="185" t="s">
        <v>573</v>
      </c>
      <c r="L14" s="64">
        <v>1</v>
      </c>
      <c r="M14" s="184">
        <v>4</v>
      </c>
      <c r="N14" s="184">
        <f t="shared" si="3"/>
        <v>4</v>
      </c>
      <c r="O14" s="64" t="str">
        <f t="shared" si="1"/>
        <v>A</v>
      </c>
    </row>
    <row r="15" spans="1:15" s="96" customFormat="1" ht="70.5" customHeight="1">
      <c r="A15" s="184"/>
      <c r="B15" s="586"/>
      <c r="C15" s="590" t="s">
        <v>574</v>
      </c>
      <c r="D15" s="591"/>
      <c r="E15" s="590" t="s">
        <v>575</v>
      </c>
      <c r="F15" s="591"/>
      <c r="G15" s="184">
        <v>3</v>
      </c>
      <c r="H15" s="184">
        <v>3</v>
      </c>
      <c r="I15" s="184">
        <f t="shared" si="2"/>
        <v>9</v>
      </c>
      <c r="J15" s="64" t="str">
        <f t="shared" si="0"/>
        <v>B</v>
      </c>
      <c r="K15" s="185" t="s">
        <v>576</v>
      </c>
      <c r="L15" s="64">
        <v>2</v>
      </c>
      <c r="M15" s="184">
        <v>3</v>
      </c>
      <c r="N15" s="184">
        <f t="shared" si="3"/>
        <v>6</v>
      </c>
      <c r="O15" s="64" t="str">
        <f t="shared" si="1"/>
        <v>B</v>
      </c>
    </row>
    <row r="16" spans="1:15" s="96" customFormat="1" ht="70.5" customHeight="1">
      <c r="A16" s="184">
        <v>10</v>
      </c>
      <c r="B16" s="586"/>
      <c r="C16" s="590" t="s">
        <v>577</v>
      </c>
      <c r="D16" s="591"/>
      <c r="E16" s="590" t="s">
        <v>578</v>
      </c>
      <c r="F16" s="591"/>
      <c r="G16" s="184">
        <v>4</v>
      </c>
      <c r="H16" s="184">
        <v>5</v>
      </c>
      <c r="I16" s="184">
        <f t="shared" si="2"/>
        <v>20</v>
      </c>
      <c r="J16" s="64" t="str">
        <f t="shared" si="0"/>
        <v>C</v>
      </c>
      <c r="K16" s="185" t="s">
        <v>639</v>
      </c>
      <c r="L16" s="64">
        <v>1</v>
      </c>
      <c r="M16" s="184">
        <v>5</v>
      </c>
      <c r="N16" s="184">
        <f t="shared" si="3"/>
        <v>5</v>
      </c>
      <c r="O16" s="64" t="str">
        <f t="shared" si="1"/>
        <v>A</v>
      </c>
    </row>
    <row r="17" spans="1:15" s="186" customFormat="1" ht="70.5" customHeight="1">
      <c r="A17" s="184">
        <v>11</v>
      </c>
      <c r="B17" s="587"/>
      <c r="C17" s="590" t="s">
        <v>579</v>
      </c>
      <c r="D17" s="591"/>
      <c r="E17" s="590" t="s">
        <v>580</v>
      </c>
      <c r="F17" s="591"/>
      <c r="G17" s="64">
        <v>4</v>
      </c>
      <c r="H17" s="64">
        <v>4</v>
      </c>
      <c r="I17" s="64">
        <f t="shared" si="2"/>
        <v>16</v>
      </c>
      <c r="J17" s="64" t="str">
        <f t="shared" si="0"/>
        <v>C</v>
      </c>
      <c r="K17" s="185" t="s">
        <v>581</v>
      </c>
      <c r="L17" s="64">
        <v>2</v>
      </c>
      <c r="M17" s="64">
        <v>4</v>
      </c>
      <c r="N17" s="64">
        <f t="shared" si="3"/>
        <v>8</v>
      </c>
      <c r="O17" s="64" t="str">
        <f t="shared" si="1"/>
        <v>B</v>
      </c>
    </row>
    <row r="18" spans="1:15" s="96" customFormat="1" ht="70.5" customHeight="1">
      <c r="A18" s="184">
        <v>12</v>
      </c>
      <c r="B18" s="585" t="s">
        <v>582</v>
      </c>
      <c r="C18" s="590" t="s">
        <v>583</v>
      </c>
      <c r="D18" s="591"/>
      <c r="E18" s="590" t="s">
        <v>584</v>
      </c>
      <c r="F18" s="591"/>
      <c r="G18" s="184">
        <v>4</v>
      </c>
      <c r="H18" s="184">
        <v>2</v>
      </c>
      <c r="I18" s="184">
        <f t="shared" si="2"/>
        <v>8</v>
      </c>
      <c r="J18" s="64" t="str">
        <f t="shared" si="0"/>
        <v>B</v>
      </c>
      <c r="K18" s="187" t="s">
        <v>585</v>
      </c>
      <c r="L18" s="184">
        <v>2</v>
      </c>
      <c r="M18" s="184">
        <v>2</v>
      </c>
      <c r="N18" s="184">
        <f t="shared" si="3"/>
        <v>4</v>
      </c>
      <c r="O18" s="64" t="str">
        <f t="shared" si="1"/>
        <v>A</v>
      </c>
    </row>
    <row r="19" spans="1:15" ht="70.5" customHeight="1">
      <c r="A19" s="184">
        <v>13</v>
      </c>
      <c r="B19" s="587"/>
      <c r="C19" s="590" t="s">
        <v>586</v>
      </c>
      <c r="D19" s="591"/>
      <c r="E19" s="590" t="s">
        <v>587</v>
      </c>
      <c r="F19" s="591"/>
      <c r="G19" s="184">
        <v>4</v>
      </c>
      <c r="H19" s="184">
        <v>3</v>
      </c>
      <c r="I19" s="184">
        <f t="shared" si="2"/>
        <v>12</v>
      </c>
      <c r="J19" s="64" t="str">
        <f t="shared" si="0"/>
        <v>C</v>
      </c>
      <c r="K19" s="187" t="s">
        <v>588</v>
      </c>
      <c r="L19" s="184">
        <v>1</v>
      </c>
      <c r="M19" s="184">
        <v>3</v>
      </c>
      <c r="N19" s="184">
        <f t="shared" si="3"/>
        <v>3</v>
      </c>
      <c r="O19" s="64" t="str">
        <f t="shared" si="1"/>
        <v>A</v>
      </c>
    </row>
    <row r="20" spans="1:15" ht="70.5" customHeight="1">
      <c r="A20" s="184">
        <v>14</v>
      </c>
      <c r="B20" s="585" t="s">
        <v>589</v>
      </c>
      <c r="C20" s="590" t="s">
        <v>590</v>
      </c>
      <c r="D20" s="591"/>
      <c r="E20" s="590" t="s">
        <v>591</v>
      </c>
      <c r="F20" s="591"/>
      <c r="G20" s="184">
        <v>2</v>
      </c>
      <c r="H20" s="184">
        <v>3</v>
      </c>
      <c r="I20" s="184">
        <f t="shared" si="2"/>
        <v>6</v>
      </c>
      <c r="J20" s="64" t="str">
        <f t="shared" si="0"/>
        <v>B</v>
      </c>
      <c r="K20" s="187" t="s">
        <v>592</v>
      </c>
      <c r="L20" s="184">
        <v>1</v>
      </c>
      <c r="M20" s="184">
        <v>3</v>
      </c>
      <c r="N20" s="184">
        <f t="shared" si="3"/>
        <v>3</v>
      </c>
      <c r="O20" s="64" t="str">
        <f t="shared" si="1"/>
        <v>A</v>
      </c>
    </row>
    <row r="21" spans="1:15" ht="70.5" customHeight="1">
      <c r="A21" s="184">
        <v>15</v>
      </c>
      <c r="B21" s="587"/>
      <c r="C21" s="590" t="s">
        <v>593</v>
      </c>
      <c r="D21" s="591"/>
      <c r="E21" s="590" t="s">
        <v>594</v>
      </c>
      <c r="F21" s="591"/>
      <c r="G21" s="184">
        <v>4</v>
      </c>
      <c r="H21" s="184">
        <v>3</v>
      </c>
      <c r="I21" s="184">
        <f t="shared" si="2"/>
        <v>12</v>
      </c>
      <c r="J21" s="64" t="str">
        <f t="shared" si="0"/>
        <v>C</v>
      </c>
      <c r="K21" s="187" t="s">
        <v>595</v>
      </c>
      <c r="L21" s="184">
        <v>2</v>
      </c>
      <c r="M21" s="184">
        <v>3</v>
      </c>
      <c r="N21" s="184">
        <f t="shared" si="3"/>
        <v>6</v>
      </c>
      <c r="O21" s="64" t="str">
        <f t="shared" si="1"/>
        <v>B</v>
      </c>
    </row>
    <row r="22" spans="1:15" ht="70.5" customHeight="1">
      <c r="A22" s="184">
        <v>16</v>
      </c>
      <c r="B22" s="189" t="s">
        <v>596</v>
      </c>
      <c r="C22" s="590" t="s">
        <v>597</v>
      </c>
      <c r="D22" s="591"/>
      <c r="E22" s="590" t="s">
        <v>598</v>
      </c>
      <c r="F22" s="591"/>
      <c r="G22" s="184">
        <v>4</v>
      </c>
      <c r="H22" s="184">
        <v>2</v>
      </c>
      <c r="I22" s="184">
        <f t="shared" si="2"/>
        <v>8</v>
      </c>
      <c r="J22" s="64" t="str">
        <f t="shared" si="0"/>
        <v>B</v>
      </c>
      <c r="K22" s="187" t="s">
        <v>599</v>
      </c>
      <c r="L22" s="184">
        <v>2</v>
      </c>
      <c r="M22" s="184">
        <v>2</v>
      </c>
      <c r="N22" s="184">
        <f t="shared" si="3"/>
        <v>4</v>
      </c>
      <c r="O22" s="64" t="str">
        <f t="shared" si="1"/>
        <v>A</v>
      </c>
    </row>
    <row r="23" spans="1:15" s="191" customFormat="1" ht="70.5" customHeight="1">
      <c r="A23" s="184">
        <v>17</v>
      </c>
      <c r="B23" s="190" t="s">
        <v>600</v>
      </c>
      <c r="C23" s="590" t="s">
        <v>601</v>
      </c>
      <c r="D23" s="591"/>
      <c r="E23" s="590" t="s">
        <v>602</v>
      </c>
      <c r="F23" s="591"/>
      <c r="G23" s="184">
        <v>3</v>
      </c>
      <c r="H23" s="184">
        <v>3</v>
      </c>
      <c r="I23" s="184">
        <f t="shared" si="2"/>
        <v>9</v>
      </c>
      <c r="J23" s="64" t="str">
        <f t="shared" si="0"/>
        <v>B</v>
      </c>
      <c r="K23" s="185" t="s">
        <v>603</v>
      </c>
      <c r="L23" s="184">
        <v>1</v>
      </c>
      <c r="M23" s="184">
        <v>3</v>
      </c>
      <c r="N23" s="184">
        <f t="shared" si="3"/>
        <v>3</v>
      </c>
      <c r="O23" s="64" t="str">
        <f t="shared" si="1"/>
        <v>A</v>
      </c>
    </row>
    <row r="24" spans="1:15" s="193" customFormat="1" ht="70.5" customHeight="1">
      <c r="A24" s="184">
        <v>18</v>
      </c>
      <c r="B24" s="585" t="s">
        <v>604</v>
      </c>
      <c r="C24" s="590" t="s">
        <v>605</v>
      </c>
      <c r="D24" s="591"/>
      <c r="E24" s="590" t="s">
        <v>606</v>
      </c>
      <c r="F24" s="591"/>
      <c r="G24" s="64">
        <v>3</v>
      </c>
      <c r="H24" s="64">
        <v>3</v>
      </c>
      <c r="I24" s="64">
        <f t="shared" si="2"/>
        <v>9</v>
      </c>
      <c r="J24" s="64" t="str">
        <f t="shared" si="0"/>
        <v>B</v>
      </c>
      <c r="K24" s="192" t="s">
        <v>607</v>
      </c>
      <c r="L24" s="64">
        <v>1</v>
      </c>
      <c r="M24" s="64">
        <v>3</v>
      </c>
      <c r="N24" s="64">
        <f t="shared" si="3"/>
        <v>3</v>
      </c>
      <c r="O24" s="64" t="str">
        <f t="shared" si="1"/>
        <v>A</v>
      </c>
    </row>
    <row r="25" spans="1:15" s="191" customFormat="1" ht="70.5" customHeight="1">
      <c r="A25" s="184">
        <v>19</v>
      </c>
      <c r="B25" s="586"/>
      <c r="C25" s="590" t="s">
        <v>608</v>
      </c>
      <c r="D25" s="591"/>
      <c r="E25" s="590" t="s">
        <v>609</v>
      </c>
      <c r="F25" s="591"/>
      <c r="G25" s="184">
        <v>4</v>
      </c>
      <c r="H25" s="184">
        <v>3</v>
      </c>
      <c r="I25" s="184">
        <f t="shared" si="2"/>
        <v>12</v>
      </c>
      <c r="J25" s="64" t="str">
        <f t="shared" si="0"/>
        <v>C</v>
      </c>
      <c r="K25" s="185" t="s">
        <v>610</v>
      </c>
      <c r="L25" s="184">
        <v>1</v>
      </c>
      <c r="M25" s="184">
        <v>3</v>
      </c>
      <c r="N25" s="184">
        <f t="shared" si="3"/>
        <v>3</v>
      </c>
      <c r="O25" s="64" t="str">
        <f t="shared" si="1"/>
        <v>A</v>
      </c>
    </row>
    <row r="26" spans="1:15" ht="70.5" customHeight="1">
      <c r="A26" s="184">
        <v>20</v>
      </c>
      <c r="B26" s="586"/>
      <c r="C26" s="590" t="s">
        <v>611</v>
      </c>
      <c r="D26" s="591"/>
      <c r="E26" s="590" t="s">
        <v>612</v>
      </c>
      <c r="F26" s="591"/>
      <c r="G26" s="184">
        <v>4</v>
      </c>
      <c r="H26" s="184">
        <v>2</v>
      </c>
      <c r="I26" s="184">
        <f t="shared" si="2"/>
        <v>8</v>
      </c>
      <c r="J26" s="64" t="str">
        <f t="shared" si="0"/>
        <v>B</v>
      </c>
      <c r="K26" s="194" t="s">
        <v>613</v>
      </c>
      <c r="L26" s="184">
        <v>1</v>
      </c>
      <c r="M26" s="184">
        <v>2</v>
      </c>
      <c r="N26" s="184">
        <f t="shared" si="3"/>
        <v>2</v>
      </c>
      <c r="O26" s="64" t="str">
        <f t="shared" si="1"/>
        <v>A</v>
      </c>
    </row>
    <row r="27" spans="1:15" ht="70.5" customHeight="1">
      <c r="A27" s="184">
        <v>21</v>
      </c>
      <c r="B27" s="587"/>
      <c r="C27" s="590" t="s">
        <v>836</v>
      </c>
      <c r="D27" s="591"/>
      <c r="E27" s="590" t="s">
        <v>614</v>
      </c>
      <c r="F27" s="591"/>
      <c r="G27" s="184">
        <v>5</v>
      </c>
      <c r="H27" s="184">
        <v>3</v>
      </c>
      <c r="I27" s="184">
        <f t="shared" si="2"/>
        <v>15</v>
      </c>
      <c r="J27" s="64" t="str">
        <f t="shared" si="0"/>
        <v>C</v>
      </c>
      <c r="K27" s="194" t="s">
        <v>615</v>
      </c>
      <c r="L27" s="184">
        <v>2</v>
      </c>
      <c r="M27" s="184">
        <v>3</v>
      </c>
      <c r="N27" s="184">
        <f t="shared" si="3"/>
        <v>6</v>
      </c>
      <c r="O27" s="64" t="str">
        <f t="shared" si="1"/>
        <v>B</v>
      </c>
    </row>
    <row r="28" spans="1:15" s="195" customFormat="1" ht="70.5" customHeight="1">
      <c r="A28" s="184">
        <v>22</v>
      </c>
      <c r="B28" s="585" t="s">
        <v>616</v>
      </c>
      <c r="C28" s="590" t="s">
        <v>617</v>
      </c>
      <c r="D28" s="591"/>
      <c r="E28" s="590" t="s">
        <v>618</v>
      </c>
      <c r="F28" s="591"/>
      <c r="G28" s="184">
        <v>2</v>
      </c>
      <c r="H28" s="184">
        <v>4</v>
      </c>
      <c r="I28" s="184">
        <f>G28*H28</f>
        <v>8</v>
      </c>
      <c r="J28" s="64" t="str">
        <f t="shared" si="0"/>
        <v>B</v>
      </c>
      <c r="K28" s="185" t="s">
        <v>619</v>
      </c>
      <c r="L28" s="184">
        <v>1</v>
      </c>
      <c r="M28" s="184">
        <v>4</v>
      </c>
      <c r="N28" s="184">
        <f>L28*M28</f>
        <v>4</v>
      </c>
      <c r="O28" s="64" t="str">
        <f t="shared" si="1"/>
        <v>A</v>
      </c>
    </row>
    <row r="29" spans="1:15" s="195" customFormat="1" ht="70.5" customHeight="1">
      <c r="A29" s="184">
        <v>23</v>
      </c>
      <c r="B29" s="586"/>
      <c r="C29" s="590" t="s">
        <v>620</v>
      </c>
      <c r="D29" s="591"/>
      <c r="E29" s="590" t="s">
        <v>621</v>
      </c>
      <c r="F29" s="591"/>
      <c r="G29" s="184">
        <v>2</v>
      </c>
      <c r="H29" s="184">
        <v>4</v>
      </c>
      <c r="I29" s="184">
        <f>G29*H29</f>
        <v>8</v>
      </c>
      <c r="J29" s="64" t="str">
        <f t="shared" si="0"/>
        <v>B</v>
      </c>
      <c r="K29" s="185" t="s">
        <v>622</v>
      </c>
      <c r="L29" s="184">
        <v>1</v>
      </c>
      <c r="M29" s="184">
        <v>4</v>
      </c>
      <c r="N29" s="184">
        <f>L29*M29</f>
        <v>4</v>
      </c>
      <c r="O29" s="64" t="str">
        <f t="shared" si="1"/>
        <v>A</v>
      </c>
    </row>
    <row r="30" spans="1:15" s="195" customFormat="1" ht="70.5" customHeight="1">
      <c r="A30" s="184">
        <v>24</v>
      </c>
      <c r="B30" s="587"/>
      <c r="C30" s="590" t="s">
        <v>623</v>
      </c>
      <c r="D30" s="591"/>
      <c r="E30" s="590" t="s">
        <v>629</v>
      </c>
      <c r="F30" s="591"/>
      <c r="G30" s="184">
        <v>3</v>
      </c>
      <c r="H30" s="184">
        <v>3</v>
      </c>
      <c r="I30" s="184">
        <f>G30*H30</f>
        <v>9</v>
      </c>
      <c r="J30" s="64" t="str">
        <f t="shared" si="0"/>
        <v>B</v>
      </c>
      <c r="K30" s="185" t="s">
        <v>624</v>
      </c>
      <c r="L30" s="184">
        <v>1</v>
      </c>
      <c r="M30" s="184">
        <v>3</v>
      </c>
      <c r="N30" s="184">
        <f>L30*M30</f>
        <v>3</v>
      </c>
      <c r="O30" s="64" t="str">
        <f t="shared" si="1"/>
        <v>A</v>
      </c>
    </row>
    <row r="31" spans="1:15" s="55" customFormat="1" ht="15.75" customHeight="1">
      <c r="A31" s="396"/>
      <c r="B31" s="154" t="s">
        <v>745</v>
      </c>
      <c r="C31" s="397"/>
      <c r="D31" s="397"/>
      <c r="E31" s="397"/>
      <c r="F31" s="397"/>
      <c r="G31" s="397"/>
      <c r="H31" s="397"/>
      <c r="I31" s="397"/>
      <c r="J31" s="397"/>
      <c r="K31" s="564"/>
      <c r="L31" s="564"/>
      <c r="M31" s="564"/>
      <c r="N31" s="564"/>
      <c r="O31" s="565"/>
    </row>
    <row r="32" spans="1:15" s="139" customFormat="1" ht="12.75" customHeight="1">
      <c r="A32" s="265"/>
      <c r="B32" s="265" t="s">
        <v>756</v>
      </c>
      <c r="C32" s="157"/>
      <c r="D32" s="157"/>
      <c r="E32" s="157"/>
      <c r="F32" s="157"/>
      <c r="G32" s="157"/>
      <c r="H32" s="157"/>
      <c r="I32" s="157"/>
      <c r="J32" s="157"/>
      <c r="K32" s="566"/>
      <c r="L32" s="566"/>
      <c r="M32" s="566"/>
      <c r="N32" s="566"/>
      <c r="O32" s="567"/>
    </row>
    <row r="33" spans="1:15" s="139" customFormat="1" ht="12.75" customHeight="1">
      <c r="A33" s="265"/>
      <c r="B33" s="265" t="s">
        <v>744</v>
      </c>
      <c r="C33" s="157"/>
      <c r="D33" s="157"/>
      <c r="E33" s="157"/>
      <c r="F33" s="157"/>
      <c r="G33" s="157"/>
      <c r="H33" s="157"/>
      <c r="I33" s="157"/>
      <c r="J33" s="157"/>
      <c r="K33" s="566"/>
      <c r="L33" s="566"/>
      <c r="M33" s="566"/>
      <c r="N33" s="566"/>
      <c r="O33" s="567"/>
    </row>
    <row r="34" spans="1:15" s="139" customFormat="1" ht="12.75" customHeight="1">
      <c r="A34" s="265"/>
      <c r="B34" s="256" t="s">
        <v>627</v>
      </c>
      <c r="C34" s="159"/>
      <c r="D34" s="159"/>
      <c r="E34" s="159"/>
      <c r="F34" s="159"/>
      <c r="G34" s="159"/>
      <c r="H34" s="159"/>
      <c r="I34" s="159"/>
      <c r="J34" s="159"/>
      <c r="K34" s="568"/>
      <c r="L34" s="568"/>
      <c r="M34" s="568"/>
      <c r="N34" s="568"/>
      <c r="O34" s="569"/>
    </row>
    <row r="35" spans="1:15" s="195" customFormat="1" ht="24" customHeight="1">
      <c r="A35" s="69" t="s">
        <v>330</v>
      </c>
      <c r="B35" s="592" t="s">
        <v>331</v>
      </c>
      <c r="C35" s="592"/>
      <c r="D35" s="592"/>
      <c r="E35" s="196" t="s">
        <v>642</v>
      </c>
      <c r="F35" s="592" t="s">
        <v>332</v>
      </c>
      <c r="G35" s="592"/>
      <c r="H35" s="197" t="s">
        <v>333</v>
      </c>
      <c r="I35" s="198"/>
      <c r="J35" s="492" t="s">
        <v>644</v>
      </c>
      <c r="K35" s="493"/>
      <c r="L35" s="498"/>
      <c r="M35" s="596" t="s">
        <v>643</v>
      </c>
      <c r="N35" s="597"/>
      <c r="O35" s="598"/>
    </row>
    <row r="36" spans="1:15" s="195" customFormat="1" ht="24" customHeight="1">
      <c r="A36" s="69">
        <v>1</v>
      </c>
      <c r="B36" s="592" t="s">
        <v>625</v>
      </c>
      <c r="C36" s="592"/>
      <c r="D36" s="592"/>
      <c r="E36" s="196">
        <v>0</v>
      </c>
      <c r="F36" s="593">
        <v>43191</v>
      </c>
      <c r="G36" s="592"/>
      <c r="H36" s="594">
        <v>0</v>
      </c>
      <c r="I36" s="595"/>
      <c r="J36" s="492" t="s">
        <v>645</v>
      </c>
      <c r="K36" s="493"/>
      <c r="L36" s="498"/>
      <c r="M36" s="596" t="s">
        <v>646</v>
      </c>
      <c r="N36" s="597"/>
      <c r="O36" s="598"/>
    </row>
    <row r="37" spans="1:15" s="195" customFormat="1" ht="24" customHeight="1">
      <c r="A37" s="69">
        <v>2</v>
      </c>
      <c r="B37" s="592" t="s">
        <v>625</v>
      </c>
      <c r="C37" s="592"/>
      <c r="D37" s="592"/>
      <c r="E37" s="196">
        <v>1</v>
      </c>
      <c r="F37" s="593">
        <v>44705</v>
      </c>
      <c r="G37" s="592"/>
      <c r="H37" s="594">
        <v>1</v>
      </c>
      <c r="I37" s="595"/>
      <c r="J37" s="492" t="s">
        <v>792</v>
      </c>
      <c r="K37" s="493"/>
      <c r="L37" s="498"/>
      <c r="M37" s="596" t="s">
        <v>646</v>
      </c>
      <c r="N37" s="597"/>
      <c r="O37" s="598"/>
    </row>
    <row r="38" spans="1:15">
      <c r="D38" s="206"/>
      <c r="E38" s="206"/>
      <c r="I38" s="88"/>
    </row>
    <row r="39" spans="1:15">
      <c r="D39" s="206"/>
      <c r="E39" s="206"/>
      <c r="I39" s="88"/>
    </row>
    <row r="40" spans="1:15">
      <c r="D40" s="206"/>
      <c r="E40" s="206"/>
      <c r="I40" s="88"/>
    </row>
    <row r="41" spans="1:15">
      <c r="D41" s="206"/>
      <c r="E41" s="206"/>
      <c r="I41" s="88"/>
    </row>
    <row r="42" spans="1:15">
      <c r="D42" s="206"/>
      <c r="E42" s="206"/>
      <c r="I42" s="88"/>
    </row>
    <row r="43" spans="1:15">
      <c r="A43" s="488"/>
      <c r="B43" s="488"/>
      <c r="C43" s="488"/>
      <c r="D43" s="488"/>
      <c r="E43" s="488"/>
      <c r="F43" s="488"/>
      <c r="G43" s="488"/>
      <c r="H43" s="488"/>
      <c r="I43" s="488"/>
      <c r="J43" s="488"/>
      <c r="K43" s="488"/>
      <c r="L43" s="488"/>
      <c r="M43" s="488"/>
      <c r="N43" s="488"/>
      <c r="O43" s="488"/>
    </row>
    <row r="44" spans="1:15">
      <c r="D44" s="206"/>
      <c r="E44" s="206"/>
      <c r="I44" s="88"/>
    </row>
    <row r="45" spans="1:15">
      <c r="I45" s="88"/>
    </row>
    <row r="46" spans="1:15">
      <c r="I46" s="88"/>
    </row>
    <row r="47" spans="1:15">
      <c r="I47" s="88"/>
    </row>
    <row r="48" spans="1:15">
      <c r="I48" s="88"/>
    </row>
    <row r="49" spans="1:15">
      <c r="D49" s="206"/>
      <c r="E49" s="206"/>
      <c r="I49" s="88"/>
    </row>
    <row r="50" spans="1:15">
      <c r="D50" s="206"/>
      <c r="E50" s="206"/>
      <c r="I50" s="88"/>
    </row>
    <row r="51" spans="1:15">
      <c r="D51" s="206"/>
      <c r="E51" s="206"/>
      <c r="I51" s="88"/>
    </row>
    <row r="52" spans="1:15">
      <c r="D52" s="206"/>
      <c r="E52" s="206"/>
      <c r="I52" s="88"/>
    </row>
    <row r="53" spans="1:15">
      <c r="D53" s="206"/>
      <c r="E53" s="206"/>
      <c r="I53" s="88"/>
    </row>
    <row r="54" spans="1:15">
      <c r="I54" s="88"/>
    </row>
    <row r="55" spans="1:15">
      <c r="A55" s="489"/>
      <c r="B55" s="489"/>
      <c r="C55" s="489"/>
      <c r="D55" s="489"/>
      <c r="E55" s="489"/>
      <c r="F55" s="489"/>
      <c r="G55" s="489"/>
      <c r="H55" s="489"/>
      <c r="I55" s="489"/>
      <c r="J55" s="489"/>
      <c r="K55" s="489"/>
      <c r="L55" s="489"/>
      <c r="M55" s="489"/>
      <c r="N55" s="489"/>
      <c r="O55" s="489"/>
    </row>
    <row r="56" spans="1:15">
      <c r="D56" s="206"/>
      <c r="E56" s="206"/>
      <c r="I56" s="88"/>
    </row>
    <row r="57" spans="1:15">
      <c r="I57" s="88"/>
    </row>
    <row r="58" spans="1:15">
      <c r="I58" s="88"/>
    </row>
    <row r="59" spans="1:15">
      <c r="I59" s="88"/>
    </row>
    <row r="60" spans="1:15">
      <c r="I60" s="88"/>
    </row>
  </sheetData>
  <mergeCells count="85">
    <mergeCell ref="B37:D37"/>
    <mergeCell ref="A43:O43"/>
    <mergeCell ref="A55:O55"/>
    <mergeCell ref="B35:D35"/>
    <mergeCell ref="F35:G35"/>
    <mergeCell ref="B36:D36"/>
    <mergeCell ref="F36:G36"/>
    <mergeCell ref="H36:I36"/>
    <mergeCell ref="J35:L35"/>
    <mergeCell ref="F37:G37"/>
    <mergeCell ref="H37:I37"/>
    <mergeCell ref="M35:O35"/>
    <mergeCell ref="M36:O36"/>
    <mergeCell ref="J36:L36"/>
    <mergeCell ref="J37:L37"/>
    <mergeCell ref="M37:O37"/>
    <mergeCell ref="K31:O34"/>
    <mergeCell ref="B28:B30"/>
    <mergeCell ref="C28:D28"/>
    <mergeCell ref="E28:F28"/>
    <mergeCell ref="C29:D29"/>
    <mergeCell ref="E29:F29"/>
    <mergeCell ref="C30:D30"/>
    <mergeCell ref="E30:F30"/>
    <mergeCell ref="C22:D22"/>
    <mergeCell ref="E22:F22"/>
    <mergeCell ref="C23:D23"/>
    <mergeCell ref="E23:F23"/>
    <mergeCell ref="B24:B27"/>
    <mergeCell ref="C24:D24"/>
    <mergeCell ref="E24:F24"/>
    <mergeCell ref="C25:D25"/>
    <mergeCell ref="E25:F25"/>
    <mergeCell ref="C26:D26"/>
    <mergeCell ref="E26:F26"/>
    <mergeCell ref="C27:D27"/>
    <mergeCell ref="E27:F27"/>
    <mergeCell ref="B18:B19"/>
    <mergeCell ref="C18:D18"/>
    <mergeCell ref="E18:F18"/>
    <mergeCell ref="C19:D19"/>
    <mergeCell ref="E19:F19"/>
    <mergeCell ref="B20:B21"/>
    <mergeCell ref="C20:D20"/>
    <mergeCell ref="E20:F20"/>
    <mergeCell ref="C21:D21"/>
    <mergeCell ref="E21:F21"/>
    <mergeCell ref="B14:B17"/>
    <mergeCell ref="C14:D14"/>
    <mergeCell ref="E14:F14"/>
    <mergeCell ref="C15:D15"/>
    <mergeCell ref="E15:F15"/>
    <mergeCell ref="C16:D16"/>
    <mergeCell ref="E16:F16"/>
    <mergeCell ref="C17:D17"/>
    <mergeCell ref="E17:F17"/>
    <mergeCell ref="C11:D11"/>
    <mergeCell ref="E11:F11"/>
    <mergeCell ref="B12:B13"/>
    <mergeCell ref="C12:D12"/>
    <mergeCell ref="E12:F12"/>
    <mergeCell ref="C13:D13"/>
    <mergeCell ref="E13:F13"/>
    <mergeCell ref="B8:B10"/>
    <mergeCell ref="C8:D8"/>
    <mergeCell ref="E8:F8"/>
    <mergeCell ref="C9:D9"/>
    <mergeCell ref="E9:F9"/>
    <mergeCell ref="C10:D10"/>
    <mergeCell ref="E10:F10"/>
    <mergeCell ref="C5:D5"/>
    <mergeCell ref="E5:F5"/>
    <mergeCell ref="B6:B7"/>
    <mergeCell ref="C6:D6"/>
    <mergeCell ref="E6:F6"/>
    <mergeCell ref="C7:D7"/>
    <mergeCell ref="E7:F7"/>
    <mergeCell ref="L3:O3"/>
    <mergeCell ref="C2:J2"/>
    <mergeCell ref="A3:A4"/>
    <mergeCell ref="B3:B4"/>
    <mergeCell ref="C3:D4"/>
    <mergeCell ref="E3:F4"/>
    <mergeCell ref="G3:J3"/>
    <mergeCell ref="K3:K4"/>
  </mergeCells>
  <pageMargins left="0.69" right="0.16" top="0.74" bottom="0.16" header="0.36" footer="0.23"/>
  <pageSetup scale="62" fitToHeight="0" orientation="landscape" useFirstPageNumber="1" horizontalDpi="300" verticalDpi="300" r:id="rId1"/>
  <headerFooter alignWithMargins="0"/>
  <rowBreaks count="1" manualBreakCount="1">
    <brk id="15"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68"/>
  <sheetViews>
    <sheetView view="pageBreakPreview" zoomScale="77" zoomScaleNormal="89" zoomScaleSheetLayoutView="77" workbookViewId="0">
      <selection activeCell="C1" sqref="C1:M2"/>
    </sheetView>
  </sheetViews>
  <sheetFormatPr defaultColWidth="11.5703125" defaultRowHeight="15.75"/>
  <cols>
    <col min="1" max="1" width="4.85546875" style="208" customWidth="1"/>
    <col min="2" max="2" width="36.28515625" style="234" customWidth="1"/>
    <col min="3" max="3" width="43" style="235" customWidth="1"/>
    <col min="4" max="4" width="42" style="236" customWidth="1"/>
    <col min="5" max="6" width="7.28515625" style="208" customWidth="1"/>
    <col min="7" max="7" width="6.85546875" style="208" customWidth="1"/>
    <col min="8" max="8" width="11.7109375" style="208" customWidth="1"/>
    <col min="9" max="9" width="45.85546875" style="91" customWidth="1"/>
    <col min="10" max="10" width="6.42578125" style="91" customWidth="1"/>
    <col min="11" max="11" width="5.7109375" style="91" customWidth="1"/>
    <col min="12" max="12" width="6.28515625" style="91" customWidth="1"/>
    <col min="13" max="13" width="12" style="208" customWidth="1"/>
    <col min="14" max="14" width="16.5703125" style="208" customWidth="1"/>
    <col min="15" max="16384" width="11.5703125" style="208"/>
  </cols>
  <sheetData>
    <row r="1" spans="1:13" ht="46.5" customHeight="1">
      <c r="A1" s="81"/>
      <c r="B1" s="207"/>
      <c r="C1" s="599" t="s">
        <v>640</v>
      </c>
      <c r="D1" s="600"/>
      <c r="E1" s="600"/>
      <c r="F1" s="600"/>
      <c r="G1" s="600"/>
      <c r="H1" s="600"/>
      <c r="I1" s="600"/>
      <c r="J1" s="600"/>
      <c r="K1" s="600"/>
      <c r="L1" s="600"/>
      <c r="M1" s="600"/>
    </row>
    <row r="2" spans="1:13" ht="63" customHeight="1">
      <c r="A2" s="209"/>
      <c r="B2" s="210" t="s">
        <v>536</v>
      </c>
      <c r="C2" s="601"/>
      <c r="D2" s="602"/>
      <c r="E2" s="602"/>
      <c r="F2" s="602"/>
      <c r="G2" s="602"/>
      <c r="H2" s="602"/>
      <c r="I2" s="602"/>
      <c r="J2" s="602"/>
      <c r="K2" s="602"/>
      <c r="L2" s="602"/>
      <c r="M2" s="602"/>
    </row>
    <row r="3" spans="1:13" s="83" customFormat="1" ht="54" customHeight="1">
      <c r="A3" s="610" t="s">
        <v>2</v>
      </c>
      <c r="B3" s="609" t="s">
        <v>45</v>
      </c>
      <c r="C3" s="609" t="s">
        <v>6</v>
      </c>
      <c r="D3" s="610" t="s">
        <v>3</v>
      </c>
      <c r="E3" s="610" t="s">
        <v>4</v>
      </c>
      <c r="F3" s="610"/>
      <c r="G3" s="610"/>
      <c r="H3" s="611"/>
      <c r="I3" s="609" t="s">
        <v>7</v>
      </c>
      <c r="J3" s="609" t="s">
        <v>8</v>
      </c>
      <c r="K3" s="610"/>
      <c r="L3" s="610"/>
      <c r="M3" s="610"/>
    </row>
    <row r="4" spans="1:13" s="83" customFormat="1" ht="40.5" customHeight="1">
      <c r="A4" s="610"/>
      <c r="B4" s="609"/>
      <c r="C4" s="610"/>
      <c r="D4" s="610"/>
      <c r="E4" s="82" t="s">
        <v>0</v>
      </c>
      <c r="F4" s="82" t="s">
        <v>1</v>
      </c>
      <c r="G4" s="82" t="s">
        <v>12</v>
      </c>
      <c r="H4" s="211" t="s">
        <v>5</v>
      </c>
      <c r="I4" s="610"/>
      <c r="J4" s="69" t="s">
        <v>0</v>
      </c>
      <c r="K4" s="82" t="s">
        <v>1</v>
      </c>
      <c r="L4" s="82" t="s">
        <v>12</v>
      </c>
      <c r="M4" s="69" t="s">
        <v>9</v>
      </c>
    </row>
    <row r="5" spans="1:13" s="83" customFormat="1" ht="57.75" customHeight="1">
      <c r="A5" s="82">
        <v>1</v>
      </c>
      <c r="B5" s="212" t="s">
        <v>859</v>
      </c>
      <c r="C5" s="212" t="s">
        <v>860</v>
      </c>
      <c r="D5" s="213" t="s">
        <v>862</v>
      </c>
      <c r="E5" s="82">
        <v>1</v>
      </c>
      <c r="F5" s="82">
        <v>5</v>
      </c>
      <c r="G5" s="82">
        <f>E5*F5</f>
        <v>5</v>
      </c>
      <c r="H5" s="69" t="s">
        <v>47</v>
      </c>
      <c r="I5" s="175" t="s">
        <v>861</v>
      </c>
      <c r="J5" s="175">
        <v>1</v>
      </c>
      <c r="K5" s="174">
        <v>1</v>
      </c>
      <c r="L5" s="174">
        <f>K5*J5</f>
        <v>1</v>
      </c>
      <c r="M5" s="181" t="s">
        <v>47</v>
      </c>
    </row>
    <row r="6" spans="1:13" s="83" customFormat="1" ht="57.75" customHeight="1">
      <c r="A6" s="82">
        <v>2</v>
      </c>
      <c r="B6" s="212" t="s">
        <v>837</v>
      </c>
      <c r="C6" s="212" t="s">
        <v>842</v>
      </c>
      <c r="D6" s="182" t="s">
        <v>843</v>
      </c>
      <c r="E6" s="82">
        <v>1</v>
      </c>
      <c r="F6" s="82">
        <v>5</v>
      </c>
      <c r="G6" s="82">
        <f>E6*F6</f>
        <v>5</v>
      </c>
      <c r="H6" s="69" t="s">
        <v>47</v>
      </c>
      <c r="I6" s="69" t="s">
        <v>537</v>
      </c>
      <c r="J6" s="69">
        <v>1</v>
      </c>
      <c r="K6" s="82">
        <v>2</v>
      </c>
      <c r="L6" s="174">
        <f>K6*J6</f>
        <v>2</v>
      </c>
      <c r="M6" s="181" t="s">
        <v>47</v>
      </c>
    </row>
    <row r="7" spans="1:13" s="83" customFormat="1" ht="57.75" customHeight="1">
      <c r="A7" s="82">
        <v>3</v>
      </c>
      <c r="B7" s="212" t="s">
        <v>838</v>
      </c>
      <c r="C7" s="212" t="s">
        <v>841</v>
      </c>
      <c r="D7" s="182" t="s">
        <v>844</v>
      </c>
      <c r="E7" s="82">
        <v>3</v>
      </c>
      <c r="F7" s="82">
        <v>5</v>
      </c>
      <c r="G7" s="82">
        <v>5</v>
      </c>
      <c r="H7" s="69" t="s">
        <v>48</v>
      </c>
      <c r="I7" s="69" t="s">
        <v>538</v>
      </c>
      <c r="J7" s="69">
        <v>1</v>
      </c>
      <c r="K7" s="82">
        <v>3</v>
      </c>
      <c r="L7" s="174">
        <f>K7*J7</f>
        <v>3</v>
      </c>
      <c r="M7" s="181" t="s">
        <v>47</v>
      </c>
    </row>
    <row r="8" spans="1:13" s="83" customFormat="1" ht="57.75" customHeight="1">
      <c r="A8" s="82">
        <v>4</v>
      </c>
      <c r="B8" s="212" t="s">
        <v>839</v>
      </c>
      <c r="C8" s="212" t="s">
        <v>863</v>
      </c>
      <c r="D8" s="182" t="s">
        <v>845</v>
      </c>
      <c r="E8" s="82">
        <v>5</v>
      </c>
      <c r="F8" s="82">
        <v>1</v>
      </c>
      <c r="G8" s="82">
        <f>E8*F8</f>
        <v>5</v>
      </c>
      <c r="H8" s="69" t="s">
        <v>47</v>
      </c>
      <c r="I8" s="214" t="s">
        <v>539</v>
      </c>
      <c r="J8" s="69">
        <v>2</v>
      </c>
      <c r="K8" s="82">
        <v>1</v>
      </c>
      <c r="L8" s="174">
        <f>K8*J8</f>
        <v>2</v>
      </c>
      <c r="M8" s="181" t="s">
        <v>47</v>
      </c>
    </row>
    <row r="9" spans="1:13" s="83" customFormat="1" ht="57.75" customHeight="1">
      <c r="A9" s="82">
        <v>5</v>
      </c>
      <c r="B9" s="182" t="s">
        <v>181</v>
      </c>
      <c r="C9" s="212" t="s">
        <v>840</v>
      </c>
      <c r="D9" s="182" t="s">
        <v>846</v>
      </c>
      <c r="E9" s="82">
        <v>2</v>
      </c>
      <c r="F9" s="82">
        <v>5</v>
      </c>
      <c r="G9" s="82">
        <v>5</v>
      </c>
      <c r="H9" s="69" t="s">
        <v>47</v>
      </c>
      <c r="I9" s="69" t="s">
        <v>540</v>
      </c>
      <c r="J9" s="69">
        <v>1</v>
      </c>
      <c r="K9" s="82">
        <v>1</v>
      </c>
      <c r="L9" s="174">
        <f>K9*J9</f>
        <v>1</v>
      </c>
      <c r="M9" s="181" t="s">
        <v>47</v>
      </c>
    </row>
    <row r="10" spans="1:13" s="200" customFormat="1" ht="17.25" customHeight="1">
      <c r="A10" s="612" t="s">
        <v>745</v>
      </c>
      <c r="B10" s="613"/>
      <c r="C10" s="613"/>
      <c r="D10" s="613"/>
      <c r="E10" s="613"/>
      <c r="F10" s="613"/>
      <c r="G10" s="613"/>
      <c r="H10" s="613"/>
      <c r="I10" s="613"/>
      <c r="J10" s="613"/>
      <c r="K10" s="613"/>
      <c r="L10" s="613"/>
      <c r="M10" s="614"/>
    </row>
    <row r="11" spans="1:13" s="200" customFormat="1" ht="17.25" customHeight="1">
      <c r="A11" s="615" t="s">
        <v>626</v>
      </c>
      <c r="B11" s="616"/>
      <c r="C11" s="616"/>
      <c r="D11" s="616"/>
      <c r="E11" s="616"/>
      <c r="F11" s="616"/>
      <c r="G11" s="616"/>
      <c r="H11" s="616"/>
      <c r="I11" s="616"/>
      <c r="J11" s="616"/>
      <c r="K11" s="616"/>
      <c r="L11" s="616"/>
      <c r="M11" s="617"/>
    </row>
    <row r="12" spans="1:13" s="200" customFormat="1" ht="17.25" customHeight="1">
      <c r="A12" s="603" t="s">
        <v>744</v>
      </c>
      <c r="B12" s="604"/>
      <c r="C12" s="604"/>
      <c r="D12" s="604"/>
      <c r="E12" s="604"/>
      <c r="F12" s="604"/>
      <c r="G12" s="604"/>
      <c r="H12" s="604"/>
      <c r="I12" s="604"/>
      <c r="J12" s="604"/>
      <c r="K12" s="604"/>
      <c r="L12" s="604"/>
      <c r="M12" s="605"/>
    </row>
    <row r="13" spans="1:13" s="200" customFormat="1" ht="17.25" customHeight="1">
      <c r="A13" s="606" t="s">
        <v>627</v>
      </c>
      <c r="B13" s="607"/>
      <c r="C13" s="607"/>
      <c r="D13" s="607"/>
      <c r="E13" s="607"/>
      <c r="F13" s="607"/>
      <c r="G13" s="607"/>
      <c r="H13" s="607"/>
      <c r="I13" s="607"/>
      <c r="J13" s="607"/>
      <c r="K13" s="607"/>
      <c r="L13" s="607"/>
      <c r="M13" s="608"/>
    </row>
    <row r="14" spans="1:13" s="195" customFormat="1" ht="15.75" customHeight="1">
      <c r="A14" s="265"/>
      <c r="B14" s="268" t="s">
        <v>330</v>
      </c>
      <c r="C14" s="253" t="s">
        <v>331</v>
      </c>
      <c r="D14" s="253" t="s">
        <v>335</v>
      </c>
      <c r="E14" s="490" t="s">
        <v>759</v>
      </c>
      <c r="F14" s="491"/>
      <c r="G14" s="492" t="s">
        <v>644</v>
      </c>
      <c r="H14" s="493"/>
      <c r="I14" s="494"/>
      <c r="J14" s="494"/>
      <c r="K14" s="495"/>
      <c r="L14" s="501" t="s">
        <v>643</v>
      </c>
      <c r="M14" s="501"/>
    </row>
    <row r="15" spans="1:13" s="195" customFormat="1" ht="15.75" customHeight="1">
      <c r="A15" s="265"/>
      <c r="B15" s="268">
        <v>0</v>
      </c>
      <c r="C15" s="253" t="s">
        <v>766</v>
      </c>
      <c r="D15" s="253" t="s">
        <v>476</v>
      </c>
      <c r="E15" s="496" t="s">
        <v>760</v>
      </c>
      <c r="F15" s="497"/>
      <c r="G15" s="492" t="s">
        <v>645</v>
      </c>
      <c r="H15" s="493"/>
      <c r="I15" s="493"/>
      <c r="J15" s="493"/>
      <c r="K15" s="498"/>
      <c r="L15" s="501" t="s">
        <v>765</v>
      </c>
      <c r="M15" s="501"/>
    </row>
    <row r="16" spans="1:13" s="195" customFormat="1" ht="15.75" customHeight="1">
      <c r="A16" s="256"/>
      <c r="B16" s="212"/>
      <c r="C16" s="253"/>
      <c r="D16" s="253"/>
      <c r="E16" s="499"/>
      <c r="F16" s="497"/>
      <c r="G16" s="490"/>
      <c r="H16" s="491"/>
      <c r="I16" s="491"/>
      <c r="J16" s="491"/>
      <c r="K16" s="500"/>
      <c r="L16" s="501"/>
      <c r="M16" s="501"/>
    </row>
    <row r="17" spans="1:13" s="195" customFormat="1" ht="15.75" customHeight="1">
      <c r="A17" s="88"/>
      <c r="B17" s="201"/>
      <c r="C17" s="217"/>
      <c r="D17" s="219"/>
      <c r="E17" s="88"/>
      <c r="F17" s="88"/>
      <c r="G17" s="88"/>
      <c r="H17" s="88"/>
      <c r="I17" s="88"/>
      <c r="J17" s="88"/>
      <c r="K17" s="88"/>
      <c r="L17" s="88"/>
      <c r="M17" s="88"/>
    </row>
    <row r="18" spans="1:13" s="195" customFormat="1" ht="66.75" customHeight="1">
      <c r="A18" s="88"/>
      <c r="B18" s="201"/>
      <c r="C18" s="215"/>
      <c r="D18" s="219"/>
      <c r="E18" s="88"/>
      <c r="F18" s="88"/>
      <c r="G18" s="88"/>
      <c r="H18" s="88"/>
      <c r="I18" s="218"/>
      <c r="J18" s="88"/>
      <c r="K18" s="88"/>
      <c r="L18" s="88"/>
      <c r="M18" s="88"/>
    </row>
    <row r="19" spans="1:13" s="195" customFormat="1" ht="94.5" customHeight="1">
      <c r="A19" s="88"/>
      <c r="B19" s="201"/>
      <c r="C19" s="215"/>
      <c r="D19" s="219"/>
      <c r="E19" s="88"/>
      <c r="F19" s="88"/>
      <c r="G19" s="88"/>
      <c r="H19" s="88"/>
      <c r="I19" s="218"/>
      <c r="J19" s="88"/>
      <c r="K19" s="88"/>
      <c r="L19" s="88"/>
      <c r="M19" s="88"/>
    </row>
    <row r="20" spans="1:13" s="195" customFormat="1" ht="92.25" customHeight="1">
      <c r="A20" s="88"/>
      <c r="B20" s="201"/>
      <c r="C20" s="215"/>
      <c r="D20" s="219"/>
      <c r="E20" s="88"/>
      <c r="F20" s="88"/>
      <c r="G20" s="88"/>
      <c r="H20" s="88"/>
      <c r="I20" s="218"/>
      <c r="J20" s="88"/>
      <c r="K20" s="88"/>
      <c r="L20" s="88"/>
      <c r="M20" s="88"/>
    </row>
    <row r="21" spans="1:13" s="195" customFormat="1" ht="58.5" customHeight="1">
      <c r="A21" s="88"/>
      <c r="B21" s="201"/>
      <c r="C21" s="215"/>
      <c r="D21" s="219"/>
      <c r="E21" s="88"/>
      <c r="F21" s="88"/>
      <c r="G21" s="88"/>
      <c r="H21" s="88"/>
      <c r="I21" s="218"/>
      <c r="J21" s="88"/>
      <c r="K21" s="88"/>
      <c r="L21" s="88"/>
      <c r="M21" s="88"/>
    </row>
    <row r="22" spans="1:13" s="188" customFormat="1" hidden="1">
      <c r="A22" s="220"/>
      <c r="B22" s="221"/>
      <c r="C22" s="222"/>
      <c r="D22" s="223"/>
      <c r="E22" s="224"/>
      <c r="F22" s="224"/>
      <c r="G22" s="220"/>
      <c r="H22" s="224"/>
      <c r="I22" s="224"/>
      <c r="J22" s="224"/>
      <c r="K22" s="224"/>
      <c r="L22" s="224"/>
      <c r="M22" s="224"/>
    </row>
    <row r="23" spans="1:13" s="188" customFormat="1" hidden="1">
      <c r="A23" s="220"/>
      <c r="B23" s="221"/>
      <c r="C23" s="222"/>
      <c r="D23" s="223"/>
      <c r="E23" s="224"/>
      <c r="F23" s="224"/>
      <c r="G23" s="220"/>
      <c r="H23" s="224"/>
      <c r="I23" s="224"/>
      <c r="J23" s="224"/>
      <c r="K23" s="224"/>
      <c r="L23" s="224"/>
      <c r="M23" s="224"/>
    </row>
    <row r="24" spans="1:13" s="188" customFormat="1" hidden="1">
      <c r="A24" s="220"/>
      <c r="B24" s="221"/>
      <c r="C24" s="222"/>
      <c r="D24" s="223"/>
      <c r="E24" s="224"/>
      <c r="F24" s="224"/>
      <c r="G24" s="220"/>
      <c r="H24" s="224"/>
      <c r="I24" s="224"/>
      <c r="J24" s="224"/>
      <c r="K24" s="224"/>
      <c r="L24" s="224"/>
      <c r="M24" s="224"/>
    </row>
    <row r="25" spans="1:13" s="188" customFormat="1" hidden="1">
      <c r="A25" s="220"/>
      <c r="B25" s="221"/>
      <c r="C25" s="222"/>
      <c r="D25" s="223"/>
      <c r="E25" s="224"/>
      <c r="F25" s="224"/>
      <c r="G25" s="220"/>
      <c r="H25" s="224"/>
      <c r="I25" s="224"/>
      <c r="J25" s="224"/>
      <c r="K25" s="224"/>
      <c r="L25" s="224"/>
      <c r="M25" s="224"/>
    </row>
    <row r="26" spans="1:13" s="188" customFormat="1" hidden="1">
      <c r="A26" s="220"/>
      <c r="B26" s="221"/>
      <c r="C26" s="222"/>
      <c r="D26" s="223"/>
      <c r="E26" s="224"/>
      <c r="F26" s="224"/>
      <c r="G26" s="220"/>
      <c r="H26" s="224"/>
      <c r="I26" s="224"/>
      <c r="J26" s="224"/>
      <c r="K26" s="224"/>
      <c r="L26" s="224"/>
      <c r="M26" s="224"/>
    </row>
    <row r="27" spans="1:13" s="188" customFormat="1" hidden="1">
      <c r="A27" s="220"/>
      <c r="B27" s="221"/>
      <c r="C27" s="222"/>
      <c r="D27" s="223"/>
      <c r="E27" s="224"/>
      <c r="F27" s="224"/>
      <c r="G27" s="220"/>
      <c r="H27" s="224"/>
      <c r="I27" s="224"/>
      <c r="J27" s="224"/>
      <c r="K27" s="224"/>
      <c r="L27" s="224"/>
      <c r="M27" s="224"/>
    </row>
    <row r="28" spans="1:13" s="188" customFormat="1" hidden="1">
      <c r="A28" s="220"/>
      <c r="B28" s="221"/>
      <c r="C28" s="222"/>
      <c r="D28" s="223"/>
      <c r="E28" s="224"/>
      <c r="F28" s="224"/>
      <c r="G28" s="220"/>
      <c r="H28" s="224"/>
      <c r="I28" s="224"/>
      <c r="J28" s="224"/>
      <c r="K28" s="224"/>
      <c r="L28" s="224"/>
      <c r="M28" s="224"/>
    </row>
    <row r="29" spans="1:13" s="188" customFormat="1" hidden="1">
      <c r="A29" s="220"/>
      <c r="B29" s="221"/>
      <c r="C29" s="222"/>
      <c r="D29" s="223"/>
      <c r="E29" s="224"/>
      <c r="F29" s="224"/>
      <c r="G29" s="220"/>
      <c r="H29" s="224"/>
      <c r="I29" s="224"/>
      <c r="J29" s="224"/>
      <c r="K29" s="224"/>
      <c r="L29" s="224"/>
      <c r="M29" s="224"/>
    </row>
    <row r="30" spans="1:13" s="188" customFormat="1" hidden="1">
      <c r="A30" s="220"/>
      <c r="B30" s="221"/>
      <c r="C30" s="222"/>
      <c r="D30" s="223"/>
      <c r="E30" s="224"/>
      <c r="F30" s="224"/>
      <c r="G30" s="220"/>
      <c r="H30" s="224"/>
      <c r="I30" s="224"/>
      <c r="J30" s="224"/>
      <c r="K30" s="224"/>
      <c r="L30" s="224"/>
      <c r="M30" s="224"/>
    </row>
    <row r="31" spans="1:13" s="188" customFormat="1" hidden="1">
      <c r="A31" s="220"/>
      <c r="B31" s="221"/>
      <c r="C31" s="222"/>
      <c r="D31" s="223"/>
      <c r="E31" s="224"/>
      <c r="F31" s="224"/>
      <c r="G31" s="220"/>
      <c r="H31" s="224"/>
      <c r="I31" s="224"/>
      <c r="J31" s="224"/>
      <c r="K31" s="224"/>
      <c r="L31" s="224"/>
      <c r="M31" s="224"/>
    </row>
    <row r="32" spans="1:13" s="188" customFormat="1" hidden="1">
      <c r="A32" s="220"/>
      <c r="B32" s="221"/>
      <c r="C32" s="225"/>
      <c r="D32" s="226"/>
      <c r="E32" s="224"/>
      <c r="F32" s="224"/>
      <c r="G32" s="220"/>
      <c r="H32" s="224"/>
      <c r="I32" s="224"/>
      <c r="J32" s="224"/>
      <c r="K32" s="224"/>
      <c r="L32" s="224"/>
      <c r="M32" s="224"/>
    </row>
    <row r="33" spans="1:13" s="188" customFormat="1" hidden="1">
      <c r="A33" s="220"/>
      <c r="B33" s="221"/>
      <c r="C33" s="225"/>
      <c r="D33" s="226"/>
      <c r="E33" s="224"/>
      <c r="F33" s="224"/>
      <c r="G33" s="220"/>
      <c r="H33" s="224"/>
      <c r="I33" s="224"/>
      <c r="J33" s="224"/>
      <c r="K33" s="224"/>
      <c r="L33" s="224"/>
      <c r="M33" s="224"/>
    </row>
    <row r="34" spans="1:13" s="188" customFormat="1" hidden="1">
      <c r="A34" s="220"/>
      <c r="B34" s="221"/>
      <c r="C34" s="225"/>
      <c r="D34" s="226"/>
      <c r="E34" s="224"/>
      <c r="F34" s="224"/>
      <c r="G34" s="220"/>
      <c r="H34" s="224"/>
      <c r="I34" s="224"/>
      <c r="J34" s="224"/>
      <c r="K34" s="224"/>
      <c r="L34" s="224"/>
      <c r="M34" s="224"/>
    </row>
    <row r="35" spans="1:13" s="188" customFormat="1" hidden="1">
      <c r="A35" s="220"/>
      <c r="B35" s="221"/>
      <c r="C35" s="225"/>
      <c r="D35" s="226"/>
      <c r="E35" s="224"/>
      <c r="F35" s="224"/>
      <c r="G35" s="220"/>
      <c r="H35" s="224"/>
      <c r="I35" s="224"/>
      <c r="J35" s="224"/>
      <c r="K35" s="224"/>
      <c r="L35" s="224"/>
      <c r="M35" s="224"/>
    </row>
    <row r="36" spans="1:13" s="188" customFormat="1" hidden="1">
      <c r="A36" s="220"/>
      <c r="B36" s="221"/>
      <c r="C36" s="225"/>
      <c r="D36" s="226"/>
      <c r="E36" s="224"/>
      <c r="F36" s="224"/>
      <c r="G36" s="220"/>
      <c r="H36" s="224"/>
      <c r="I36" s="224"/>
      <c r="J36" s="224"/>
      <c r="K36" s="224"/>
      <c r="L36" s="224"/>
      <c r="M36" s="224"/>
    </row>
    <row r="37" spans="1:13" s="188" customFormat="1" hidden="1">
      <c r="A37" s="227"/>
      <c r="B37" s="228"/>
      <c r="C37" s="229"/>
      <c r="D37" s="230"/>
      <c r="E37" s="231"/>
      <c r="F37" s="231"/>
      <c r="G37" s="220"/>
      <c r="H37" s="231"/>
      <c r="I37" s="231"/>
      <c r="J37" s="231"/>
      <c r="K37" s="231"/>
      <c r="L37" s="231"/>
      <c r="M37" s="231"/>
    </row>
    <row r="38" spans="1:13" s="188" customFormat="1">
      <c r="A38" s="488"/>
      <c r="B38" s="488"/>
      <c r="C38" s="488"/>
      <c r="D38" s="488"/>
      <c r="E38" s="488"/>
      <c r="F38" s="488"/>
      <c r="G38" s="488"/>
      <c r="H38" s="488"/>
      <c r="I38" s="488"/>
      <c r="J38" s="488"/>
      <c r="K38" s="488"/>
      <c r="L38" s="488"/>
      <c r="M38" s="488"/>
    </row>
    <row r="39" spans="1:13" s="188" customFormat="1">
      <c r="A39" s="88"/>
      <c r="B39" s="201"/>
      <c r="C39" s="215"/>
      <c r="D39" s="216"/>
      <c r="E39" s="88"/>
      <c r="F39" s="88"/>
      <c r="G39" s="88"/>
      <c r="H39" s="88"/>
      <c r="I39" s="88"/>
      <c r="J39" s="88"/>
      <c r="K39" s="88"/>
      <c r="L39" s="88"/>
      <c r="M39" s="88"/>
    </row>
    <row r="40" spans="1:13" s="188" customFormat="1">
      <c r="B40" s="202"/>
      <c r="C40" s="232"/>
      <c r="D40" s="186"/>
      <c r="G40" s="88"/>
      <c r="I40" s="89"/>
      <c r="J40" s="90"/>
      <c r="K40" s="90"/>
      <c r="L40" s="90"/>
    </row>
    <row r="41" spans="1:13" s="188" customFormat="1">
      <c r="B41" s="202"/>
      <c r="C41" s="233"/>
      <c r="D41" s="191"/>
      <c r="G41" s="88"/>
      <c r="I41" s="90"/>
      <c r="J41" s="90"/>
      <c r="K41" s="90"/>
      <c r="L41" s="90"/>
    </row>
    <row r="42" spans="1:13" s="188" customFormat="1">
      <c r="B42" s="202"/>
      <c r="C42" s="233"/>
      <c r="D42" s="191"/>
      <c r="G42" s="88"/>
      <c r="I42" s="90"/>
      <c r="J42" s="90"/>
      <c r="K42" s="90"/>
      <c r="L42" s="90"/>
    </row>
    <row r="43" spans="1:13" s="188" customFormat="1">
      <c r="B43" s="202"/>
      <c r="C43" s="233"/>
      <c r="D43" s="191"/>
      <c r="G43" s="88"/>
      <c r="I43" s="90"/>
      <c r="J43" s="90"/>
      <c r="K43" s="90"/>
      <c r="L43" s="90"/>
    </row>
    <row r="44" spans="1:13" s="188" customFormat="1">
      <c r="B44" s="202"/>
      <c r="C44" s="233"/>
      <c r="D44" s="191"/>
      <c r="G44" s="88"/>
      <c r="I44" s="90"/>
      <c r="J44" s="90"/>
      <c r="K44" s="90"/>
      <c r="L44" s="90"/>
    </row>
    <row r="45" spans="1:13" s="188" customFormat="1">
      <c r="B45" s="202"/>
      <c r="C45" s="233"/>
      <c r="D45" s="191"/>
      <c r="G45" s="88"/>
      <c r="I45" s="89"/>
      <c r="J45" s="90"/>
      <c r="K45" s="90"/>
      <c r="L45" s="90"/>
    </row>
    <row r="46" spans="1:13" s="188" customFormat="1">
      <c r="B46" s="202"/>
      <c r="C46" s="232"/>
      <c r="D46" s="191"/>
      <c r="G46" s="88"/>
      <c r="I46" s="89"/>
      <c r="J46" s="90"/>
      <c r="K46" s="90"/>
      <c r="L46" s="90"/>
    </row>
    <row r="47" spans="1:13" s="188" customFormat="1">
      <c r="B47" s="202"/>
      <c r="C47" s="232"/>
      <c r="D47" s="191"/>
      <c r="G47" s="88"/>
      <c r="I47" s="89"/>
      <c r="J47" s="90"/>
      <c r="K47" s="90"/>
      <c r="L47" s="90"/>
    </row>
    <row r="48" spans="1:13" s="188" customFormat="1">
      <c r="B48" s="202"/>
      <c r="C48" s="232"/>
      <c r="D48" s="191"/>
      <c r="G48" s="88"/>
      <c r="I48" s="90"/>
      <c r="J48" s="90"/>
      <c r="K48" s="90"/>
      <c r="L48" s="90"/>
    </row>
    <row r="49" spans="1:13" s="188" customFormat="1">
      <c r="B49" s="202"/>
      <c r="C49" s="232"/>
      <c r="D49" s="191"/>
      <c r="G49" s="88"/>
      <c r="I49" s="90"/>
      <c r="J49" s="90"/>
      <c r="K49" s="90"/>
      <c r="L49" s="90"/>
    </row>
    <row r="50" spans="1:13" s="188" customFormat="1">
      <c r="B50" s="202"/>
      <c r="C50" s="232"/>
      <c r="D50" s="191"/>
      <c r="G50" s="88"/>
      <c r="I50" s="89"/>
      <c r="J50" s="90"/>
      <c r="K50" s="90"/>
      <c r="L50" s="90"/>
    </row>
    <row r="51" spans="1:13" s="188" customFormat="1">
      <c r="A51" s="488"/>
      <c r="B51" s="488"/>
      <c r="C51" s="488"/>
      <c r="D51" s="488"/>
      <c r="E51" s="488"/>
      <c r="F51" s="488"/>
      <c r="G51" s="488"/>
      <c r="H51" s="488"/>
      <c r="I51" s="488"/>
      <c r="J51" s="488"/>
      <c r="K51" s="488"/>
      <c r="L51" s="488"/>
      <c r="M51" s="488"/>
    </row>
    <row r="52" spans="1:13" s="188" customFormat="1">
      <c r="B52" s="202"/>
      <c r="C52" s="232"/>
      <c r="D52" s="191"/>
      <c r="G52" s="88"/>
      <c r="I52" s="90"/>
      <c r="J52" s="90"/>
      <c r="K52" s="90"/>
      <c r="L52" s="90"/>
    </row>
    <row r="53" spans="1:13" s="188" customFormat="1">
      <c r="B53" s="202"/>
      <c r="C53" s="233"/>
      <c r="D53" s="191"/>
      <c r="G53" s="88"/>
      <c r="I53" s="90"/>
      <c r="J53" s="90"/>
      <c r="K53" s="90"/>
      <c r="L53" s="90"/>
    </row>
    <row r="54" spans="1:13" s="188" customFormat="1">
      <c r="B54" s="202"/>
      <c r="C54" s="233"/>
      <c r="D54" s="191"/>
      <c r="G54" s="88"/>
      <c r="I54" s="90"/>
      <c r="J54" s="90"/>
      <c r="K54" s="90"/>
      <c r="L54" s="90"/>
    </row>
    <row r="55" spans="1:13" s="188" customFormat="1">
      <c r="B55" s="202"/>
      <c r="C55" s="233"/>
      <c r="D55" s="191"/>
      <c r="G55" s="88"/>
      <c r="I55" s="90"/>
      <c r="J55" s="90"/>
      <c r="K55" s="90"/>
      <c r="L55" s="90"/>
    </row>
    <row r="56" spans="1:13">
      <c r="G56" s="81"/>
    </row>
    <row r="57" spans="1:13">
      <c r="C57" s="237"/>
      <c r="G57" s="81"/>
    </row>
    <row r="58" spans="1:13">
      <c r="C58" s="237"/>
      <c r="G58" s="81"/>
    </row>
    <row r="59" spans="1:13">
      <c r="C59" s="237"/>
      <c r="G59" s="81"/>
    </row>
    <row r="60" spans="1:13">
      <c r="C60" s="237"/>
      <c r="G60" s="81"/>
      <c r="I60" s="92"/>
    </row>
    <row r="61" spans="1:13">
      <c r="C61" s="237"/>
      <c r="G61" s="81"/>
      <c r="I61" s="92"/>
    </row>
    <row r="62" spans="1:13">
      <c r="G62" s="81"/>
    </row>
    <row r="63" spans="1:13" s="188" customFormat="1">
      <c r="A63" s="489"/>
      <c r="B63" s="489"/>
      <c r="C63" s="489"/>
      <c r="D63" s="489"/>
      <c r="E63" s="489"/>
      <c r="F63" s="489"/>
      <c r="G63" s="489"/>
      <c r="H63" s="489"/>
      <c r="I63" s="489"/>
      <c r="J63" s="489"/>
      <c r="K63" s="489"/>
      <c r="L63" s="489"/>
      <c r="M63" s="489"/>
    </row>
    <row r="64" spans="1:13">
      <c r="C64" s="237"/>
      <c r="G64" s="81"/>
    </row>
    <row r="65" spans="7:7">
      <c r="G65" s="81"/>
    </row>
    <row r="66" spans="7:7">
      <c r="G66" s="81"/>
    </row>
    <row r="67" spans="7:7">
      <c r="G67" s="81"/>
    </row>
    <row r="68" spans="7:7">
      <c r="G68" s="81"/>
    </row>
  </sheetData>
  <mergeCells count="24">
    <mergeCell ref="A63:M63"/>
    <mergeCell ref="A3:A4"/>
    <mergeCell ref="B3:B4"/>
    <mergeCell ref="C3:C4"/>
    <mergeCell ref="D3:D4"/>
    <mergeCell ref="E3:H3"/>
    <mergeCell ref="A10:M10"/>
    <mergeCell ref="A11:M11"/>
    <mergeCell ref="G16:K16"/>
    <mergeCell ref="L16:M16"/>
    <mergeCell ref="E14:F14"/>
    <mergeCell ref="E15:F15"/>
    <mergeCell ref="C1:M2"/>
    <mergeCell ref="A51:M51"/>
    <mergeCell ref="A12:M12"/>
    <mergeCell ref="A13:M13"/>
    <mergeCell ref="I3:I4"/>
    <mergeCell ref="J3:M3"/>
    <mergeCell ref="A38:M38"/>
    <mergeCell ref="E16:F16"/>
    <mergeCell ref="G14:K14"/>
    <mergeCell ref="L14:M14"/>
    <mergeCell ref="G15:K15"/>
    <mergeCell ref="L15:M15"/>
  </mergeCells>
  <printOptions horizontalCentered="1"/>
  <pageMargins left="0.44" right="0.16" top="0.74" bottom="0.16" header="0.36" footer="0.23"/>
  <pageSetup paperSize="9" scale="52" fitToHeight="0" orientation="landscape" useFirstPageNumber="1"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65"/>
  <sheetViews>
    <sheetView showGridLines="0" topLeftCell="A25" zoomScale="75" zoomScaleNormal="75" workbookViewId="0">
      <selection activeCell="I22" sqref="I22:I25"/>
    </sheetView>
  </sheetViews>
  <sheetFormatPr defaultColWidth="11.5703125" defaultRowHeight="15.75"/>
  <cols>
    <col min="1" max="1" width="5.7109375" style="299" customWidth="1"/>
    <col min="2" max="2" width="15.28515625" style="347" customWidth="1"/>
    <col min="3" max="3" width="31.5703125" style="348" customWidth="1"/>
    <col min="4" max="4" width="45.28515625" style="349" customWidth="1"/>
    <col min="5" max="5" width="4.5703125" style="299" customWidth="1"/>
    <col min="6" max="6" width="5" style="299" customWidth="1"/>
    <col min="7" max="7" width="6.85546875" style="299" customWidth="1"/>
    <col min="8" max="8" width="11.7109375" style="299" customWidth="1"/>
    <col min="9" max="9" width="40.42578125" style="349" customWidth="1"/>
    <col min="10" max="10" width="4.7109375" style="301" customWidth="1"/>
    <col min="11" max="11" width="4.85546875" style="301" customWidth="1"/>
    <col min="12" max="12" width="6.5703125" style="301" customWidth="1"/>
    <col min="13" max="13" width="13.5703125" style="304" customWidth="1"/>
    <col min="14" max="16384" width="11.5703125" style="299"/>
  </cols>
  <sheetData>
    <row r="1" spans="1:13" ht="19.5" customHeight="1">
      <c r="A1" s="295"/>
      <c r="B1" s="296"/>
      <c r="C1" s="297"/>
      <c r="D1" s="298"/>
      <c r="E1" s="295"/>
      <c r="F1" s="295"/>
      <c r="G1" s="295"/>
      <c r="H1" s="295"/>
      <c r="I1" s="298"/>
      <c r="J1" s="295"/>
      <c r="K1" s="295"/>
      <c r="L1" s="295"/>
      <c r="M1" s="352"/>
    </row>
    <row r="2" spans="1:13" ht="82.5" customHeight="1" thickBot="1">
      <c r="A2" s="300"/>
      <c r="B2" s="300"/>
      <c r="C2" s="643" t="s">
        <v>675</v>
      </c>
      <c r="D2" s="643"/>
      <c r="E2" s="643"/>
      <c r="F2" s="643"/>
      <c r="G2" s="643"/>
      <c r="H2" s="643"/>
      <c r="I2" s="643"/>
    </row>
    <row r="3" spans="1:13" ht="24.75" customHeight="1" thickBot="1">
      <c r="A3" s="644" t="s">
        <v>676</v>
      </c>
      <c r="B3" s="645"/>
      <c r="C3" s="302" t="s">
        <v>677</v>
      </c>
      <c r="D3" s="302" t="s">
        <v>335</v>
      </c>
      <c r="E3" s="646" t="s">
        <v>678</v>
      </c>
      <c r="F3" s="647"/>
      <c r="G3" s="647"/>
      <c r="H3" s="648"/>
      <c r="I3" s="303" t="s">
        <v>333</v>
      </c>
      <c r="J3" s="649" t="s">
        <v>336</v>
      </c>
      <c r="K3" s="647"/>
      <c r="L3" s="647"/>
      <c r="M3" s="650"/>
    </row>
    <row r="4" spans="1:13" s="304" customFormat="1" ht="48" customHeight="1">
      <c r="A4" s="651" t="s">
        <v>2</v>
      </c>
      <c r="B4" s="653" t="s">
        <v>45</v>
      </c>
      <c r="C4" s="653" t="s">
        <v>6</v>
      </c>
      <c r="D4" s="656" t="s">
        <v>3</v>
      </c>
      <c r="E4" s="656" t="s">
        <v>4</v>
      </c>
      <c r="F4" s="656"/>
      <c r="G4" s="656"/>
      <c r="H4" s="656"/>
      <c r="I4" s="657" t="s">
        <v>679</v>
      </c>
      <c r="J4" s="653" t="s">
        <v>8</v>
      </c>
      <c r="K4" s="656"/>
      <c r="L4" s="656"/>
      <c r="M4" s="659"/>
    </row>
    <row r="5" spans="1:13" s="304" customFormat="1" ht="37.5" customHeight="1" thickBot="1">
      <c r="A5" s="652"/>
      <c r="B5" s="654"/>
      <c r="C5" s="655"/>
      <c r="D5" s="655"/>
      <c r="E5" s="306" t="s">
        <v>0</v>
      </c>
      <c r="F5" s="306" t="s">
        <v>1</v>
      </c>
      <c r="G5" s="306" t="s">
        <v>12</v>
      </c>
      <c r="H5" s="305" t="s">
        <v>5</v>
      </c>
      <c r="I5" s="658"/>
      <c r="J5" s="305" t="s">
        <v>0</v>
      </c>
      <c r="K5" s="306" t="s">
        <v>1</v>
      </c>
      <c r="L5" s="306" t="s">
        <v>12</v>
      </c>
      <c r="M5" s="307" t="s">
        <v>9</v>
      </c>
    </row>
    <row r="6" spans="1:13" s="304" customFormat="1" ht="20.25" customHeight="1">
      <c r="A6" s="619">
        <v>1</v>
      </c>
      <c r="B6" s="622" t="s">
        <v>680</v>
      </c>
      <c r="C6" s="625" t="s">
        <v>681</v>
      </c>
      <c r="D6" s="641" t="s">
        <v>682</v>
      </c>
      <c r="E6" s="308">
        <v>2</v>
      </c>
      <c r="F6" s="308">
        <v>5</v>
      </c>
      <c r="G6" s="308">
        <f>E6*F6</f>
        <v>10</v>
      </c>
      <c r="H6" s="309" t="s">
        <v>46</v>
      </c>
      <c r="I6" s="629" t="s">
        <v>683</v>
      </c>
      <c r="J6" s="309">
        <v>1</v>
      </c>
      <c r="K6" s="308">
        <v>1</v>
      </c>
      <c r="L6" s="308">
        <f>J6*K6</f>
        <v>1</v>
      </c>
      <c r="M6" s="358" t="s">
        <v>47</v>
      </c>
    </row>
    <row r="7" spans="1:13" s="304" customFormat="1" ht="20.25" customHeight="1">
      <c r="A7" s="620"/>
      <c r="B7" s="623"/>
      <c r="C7" s="627"/>
      <c r="D7" s="642"/>
      <c r="E7" s="311"/>
      <c r="F7" s="311"/>
      <c r="G7" s="311"/>
      <c r="H7" s="312"/>
      <c r="I7" s="630"/>
      <c r="J7" s="312"/>
      <c r="K7" s="311"/>
      <c r="L7" s="311"/>
      <c r="M7" s="359"/>
    </row>
    <row r="8" spans="1:13" s="304" customFormat="1" ht="20.25" customHeight="1">
      <c r="A8" s="620"/>
      <c r="B8" s="623"/>
      <c r="C8" s="313"/>
      <c r="D8" s="314"/>
      <c r="E8" s="315"/>
      <c r="F8" s="315"/>
      <c r="G8" s="315"/>
      <c r="H8" s="316"/>
      <c r="I8" s="630"/>
      <c r="J8" s="316"/>
      <c r="K8" s="315"/>
      <c r="L8" s="315"/>
      <c r="M8" s="360"/>
    </row>
    <row r="9" spans="1:13" s="304" customFormat="1" ht="20.25" customHeight="1" thickBot="1">
      <c r="A9" s="621"/>
      <c r="B9" s="624"/>
      <c r="C9" s="317"/>
      <c r="D9" s="318"/>
      <c r="E9" s="319"/>
      <c r="F9" s="319"/>
      <c r="G9" s="319"/>
      <c r="H9" s="320"/>
      <c r="I9" s="631"/>
      <c r="J9" s="320"/>
      <c r="K9" s="319"/>
      <c r="L9" s="319"/>
      <c r="M9" s="361"/>
    </row>
    <row r="10" spans="1:13" s="304" customFormat="1" ht="20.25" customHeight="1">
      <c r="A10" s="619">
        <v>2</v>
      </c>
      <c r="B10" s="622" t="s">
        <v>680</v>
      </c>
      <c r="C10" s="625" t="s">
        <v>684</v>
      </c>
      <c r="D10" s="622" t="s">
        <v>685</v>
      </c>
      <c r="E10" s="308">
        <v>3</v>
      </c>
      <c r="F10" s="308">
        <v>5</v>
      </c>
      <c r="G10" s="308">
        <f>E10*F10</f>
        <v>15</v>
      </c>
      <c r="H10" s="309" t="s">
        <v>48</v>
      </c>
      <c r="I10" s="629" t="s">
        <v>686</v>
      </c>
      <c r="J10" s="309">
        <v>1</v>
      </c>
      <c r="K10" s="308">
        <v>2</v>
      </c>
      <c r="L10" s="308">
        <f>J10*K10</f>
        <v>2</v>
      </c>
      <c r="M10" s="358" t="s">
        <v>47</v>
      </c>
    </row>
    <row r="11" spans="1:13" s="304" customFormat="1" ht="20.25" customHeight="1">
      <c r="A11" s="620"/>
      <c r="B11" s="623"/>
      <c r="C11" s="627"/>
      <c r="D11" s="628"/>
      <c r="E11" s="311"/>
      <c r="F11" s="311"/>
      <c r="G11" s="311"/>
      <c r="H11" s="312"/>
      <c r="I11" s="630"/>
      <c r="J11" s="312"/>
      <c r="K11" s="311"/>
      <c r="L11" s="311"/>
      <c r="M11" s="359"/>
    </row>
    <row r="12" spans="1:13" s="304" customFormat="1" ht="20.25" customHeight="1">
      <c r="A12" s="620"/>
      <c r="B12" s="623"/>
      <c r="C12" s="321"/>
      <c r="D12" s="322"/>
      <c r="E12" s="311"/>
      <c r="F12" s="311"/>
      <c r="G12" s="311"/>
      <c r="H12" s="312"/>
      <c r="I12" s="630"/>
      <c r="J12" s="312"/>
      <c r="K12" s="311"/>
      <c r="L12" s="311"/>
      <c r="M12" s="359"/>
    </row>
    <row r="13" spans="1:13" s="304" customFormat="1" ht="20.25" customHeight="1" thickBot="1">
      <c r="A13" s="621"/>
      <c r="B13" s="624"/>
      <c r="C13" s="317"/>
      <c r="D13" s="318"/>
      <c r="E13" s="319"/>
      <c r="F13" s="319"/>
      <c r="G13" s="319"/>
      <c r="H13" s="320"/>
      <c r="I13" s="631"/>
      <c r="J13" s="320"/>
      <c r="K13" s="319"/>
      <c r="L13" s="319"/>
      <c r="M13" s="361"/>
    </row>
    <row r="14" spans="1:13" s="304" customFormat="1" ht="20.25" customHeight="1">
      <c r="A14" s="619">
        <v>3</v>
      </c>
      <c r="B14" s="622" t="s">
        <v>680</v>
      </c>
      <c r="C14" s="622" t="s">
        <v>687</v>
      </c>
      <c r="D14" s="622" t="s">
        <v>688</v>
      </c>
      <c r="E14" s="308">
        <v>5</v>
      </c>
      <c r="F14" s="308">
        <v>5</v>
      </c>
      <c r="G14" s="308">
        <f>E14*F14</f>
        <v>25</v>
      </c>
      <c r="H14" s="309" t="s">
        <v>48</v>
      </c>
      <c r="I14" s="629" t="s">
        <v>689</v>
      </c>
      <c r="J14" s="309">
        <v>3</v>
      </c>
      <c r="K14" s="308">
        <v>2</v>
      </c>
      <c r="L14" s="308">
        <f>J14*K14</f>
        <v>6</v>
      </c>
      <c r="M14" s="358" t="s">
        <v>47</v>
      </c>
    </row>
    <row r="15" spans="1:13" s="304" customFormat="1" ht="20.25" customHeight="1">
      <c r="A15" s="620"/>
      <c r="B15" s="623"/>
      <c r="C15" s="623"/>
      <c r="D15" s="623"/>
      <c r="E15" s="311"/>
      <c r="F15" s="311"/>
      <c r="G15" s="311"/>
      <c r="H15" s="312"/>
      <c r="I15" s="630"/>
      <c r="J15" s="312"/>
      <c r="K15" s="311"/>
      <c r="L15" s="311"/>
      <c r="M15" s="359"/>
    </row>
    <row r="16" spans="1:13" s="304" customFormat="1" ht="20.25" customHeight="1">
      <c r="A16" s="620"/>
      <c r="B16" s="623"/>
      <c r="C16" s="623"/>
      <c r="D16" s="623"/>
      <c r="E16" s="311"/>
      <c r="F16" s="311"/>
      <c r="G16" s="311"/>
      <c r="H16" s="312"/>
      <c r="I16" s="630"/>
      <c r="J16" s="312"/>
      <c r="K16" s="311"/>
      <c r="L16" s="311"/>
      <c r="M16" s="359"/>
    </row>
    <row r="17" spans="1:13" s="304" customFormat="1" ht="20.25" customHeight="1" thickBot="1">
      <c r="A17" s="621"/>
      <c r="B17" s="623"/>
      <c r="C17" s="623"/>
      <c r="D17" s="623"/>
      <c r="E17" s="311"/>
      <c r="F17" s="311"/>
      <c r="G17" s="311"/>
      <c r="H17" s="312"/>
      <c r="I17" s="630"/>
      <c r="J17" s="312"/>
      <c r="K17" s="311"/>
      <c r="L17" s="311"/>
      <c r="M17" s="359"/>
    </row>
    <row r="18" spans="1:13" s="304" customFormat="1" ht="20.25" customHeight="1">
      <c r="A18" s="619">
        <v>4</v>
      </c>
      <c r="B18" s="622" t="s">
        <v>690</v>
      </c>
      <c r="C18" s="625" t="s">
        <v>691</v>
      </c>
      <c r="D18" s="622" t="s">
        <v>692</v>
      </c>
      <c r="E18" s="308">
        <v>2</v>
      </c>
      <c r="F18" s="308">
        <v>2</v>
      </c>
      <c r="G18" s="308">
        <f>E18*F18</f>
        <v>4</v>
      </c>
      <c r="H18" s="309" t="s">
        <v>47</v>
      </c>
      <c r="I18" s="629" t="s">
        <v>693</v>
      </c>
      <c r="J18" s="309">
        <v>1</v>
      </c>
      <c r="K18" s="308">
        <v>1</v>
      </c>
      <c r="L18" s="308">
        <f>J18*K18</f>
        <v>1</v>
      </c>
      <c r="M18" s="358" t="s">
        <v>47</v>
      </c>
    </row>
    <row r="19" spans="1:13" s="304" customFormat="1" ht="20.25" customHeight="1">
      <c r="A19" s="620"/>
      <c r="B19" s="623"/>
      <c r="C19" s="626"/>
      <c r="D19" s="623"/>
      <c r="E19" s="311"/>
      <c r="F19" s="311"/>
      <c r="G19" s="311"/>
      <c r="H19" s="312"/>
      <c r="I19" s="630"/>
      <c r="J19" s="312"/>
      <c r="K19" s="311"/>
      <c r="L19" s="311"/>
      <c r="M19" s="359"/>
    </row>
    <row r="20" spans="1:13" s="304" customFormat="1" ht="20.25" customHeight="1">
      <c r="A20" s="620"/>
      <c r="B20" s="623"/>
      <c r="C20" s="627"/>
      <c r="D20" s="628"/>
      <c r="E20" s="311"/>
      <c r="F20" s="311"/>
      <c r="G20" s="311"/>
      <c r="H20" s="312"/>
      <c r="I20" s="630"/>
      <c r="J20" s="312"/>
      <c r="K20" s="311"/>
      <c r="L20" s="311"/>
      <c r="M20" s="359"/>
    </row>
    <row r="21" spans="1:13" s="304" customFormat="1" ht="20.25" customHeight="1" thickBot="1">
      <c r="A21" s="621"/>
      <c r="B21" s="624"/>
      <c r="C21" s="323"/>
      <c r="D21" s="318"/>
      <c r="E21" s="319"/>
      <c r="F21" s="319"/>
      <c r="G21" s="319"/>
      <c r="H21" s="320"/>
      <c r="I21" s="631"/>
      <c r="J21" s="320"/>
      <c r="K21" s="319"/>
      <c r="L21" s="319"/>
      <c r="M21" s="361"/>
    </row>
    <row r="22" spans="1:13" s="304" customFormat="1" ht="20.25" customHeight="1">
      <c r="A22" s="619">
        <v>5</v>
      </c>
      <c r="B22" s="622" t="s">
        <v>690</v>
      </c>
      <c r="C22" s="625" t="s">
        <v>694</v>
      </c>
      <c r="D22" s="622" t="s">
        <v>695</v>
      </c>
      <c r="E22" s="308">
        <v>2</v>
      </c>
      <c r="F22" s="308">
        <v>2</v>
      </c>
      <c r="G22" s="308">
        <f>E22*F22</f>
        <v>4</v>
      </c>
      <c r="H22" s="309" t="s">
        <v>47</v>
      </c>
      <c r="I22" s="629" t="s">
        <v>696</v>
      </c>
      <c r="J22" s="309">
        <v>1</v>
      </c>
      <c r="K22" s="308">
        <v>2</v>
      </c>
      <c r="L22" s="308">
        <f>J22*K22</f>
        <v>2</v>
      </c>
      <c r="M22" s="358" t="s">
        <v>47</v>
      </c>
    </row>
    <row r="23" spans="1:13" s="304" customFormat="1" ht="26.25" customHeight="1">
      <c r="A23" s="620"/>
      <c r="B23" s="623"/>
      <c r="C23" s="627"/>
      <c r="D23" s="628"/>
      <c r="E23" s="311"/>
      <c r="F23" s="311"/>
      <c r="G23" s="311"/>
      <c r="H23" s="312"/>
      <c r="I23" s="630"/>
      <c r="J23" s="312"/>
      <c r="K23" s="311"/>
      <c r="L23" s="311"/>
      <c r="M23" s="359"/>
    </row>
    <row r="24" spans="1:13" s="304" customFormat="1" ht="20.25" customHeight="1">
      <c r="A24" s="620"/>
      <c r="B24" s="623"/>
      <c r="C24" s="321"/>
      <c r="D24" s="322"/>
      <c r="E24" s="311"/>
      <c r="F24" s="311"/>
      <c r="G24" s="311"/>
      <c r="H24" s="312"/>
      <c r="I24" s="630"/>
      <c r="J24" s="312"/>
      <c r="K24" s="311"/>
      <c r="L24" s="311"/>
      <c r="M24" s="359"/>
    </row>
    <row r="25" spans="1:13" ht="20.25" customHeight="1" thickBot="1">
      <c r="A25" s="621"/>
      <c r="B25" s="624"/>
      <c r="C25" s="317"/>
      <c r="D25" s="318"/>
      <c r="E25" s="324"/>
      <c r="F25" s="324"/>
      <c r="G25" s="319"/>
      <c r="H25" s="324"/>
      <c r="I25" s="630"/>
      <c r="J25" s="324"/>
      <c r="K25" s="324"/>
      <c r="L25" s="319"/>
      <c r="M25" s="353"/>
    </row>
    <row r="26" spans="1:13" ht="20.25" customHeight="1">
      <c r="A26" s="619">
        <v>6</v>
      </c>
      <c r="B26" s="622" t="s">
        <v>697</v>
      </c>
      <c r="C26" s="325" t="s">
        <v>698</v>
      </c>
      <c r="D26" s="625" t="s">
        <v>699</v>
      </c>
      <c r="E26" s="326">
        <v>2</v>
      </c>
      <c r="F26" s="326">
        <v>5</v>
      </c>
      <c r="G26" s="308">
        <f>E26*F26</f>
        <v>10</v>
      </c>
      <c r="H26" s="327" t="s">
        <v>46</v>
      </c>
      <c r="I26" s="636" t="s">
        <v>700</v>
      </c>
      <c r="J26" s="328">
        <v>1</v>
      </c>
      <c r="K26" s="326">
        <v>2</v>
      </c>
      <c r="L26" s="308">
        <f>J26*K26</f>
        <v>2</v>
      </c>
      <c r="M26" s="354" t="s">
        <v>47</v>
      </c>
    </row>
    <row r="27" spans="1:13" ht="20.25" customHeight="1">
      <c r="A27" s="620"/>
      <c r="B27" s="623"/>
      <c r="C27" s="310"/>
      <c r="D27" s="627"/>
      <c r="E27" s="329"/>
      <c r="F27" s="329"/>
      <c r="G27" s="330"/>
      <c r="H27" s="331"/>
      <c r="I27" s="636"/>
      <c r="J27" s="332"/>
      <c r="K27" s="329"/>
      <c r="L27" s="330"/>
      <c r="M27" s="355"/>
    </row>
    <row r="28" spans="1:13" ht="20.25" customHeight="1">
      <c r="A28" s="620"/>
      <c r="B28" s="623"/>
      <c r="C28" s="321"/>
      <c r="D28" s="322"/>
      <c r="E28" s="333"/>
      <c r="F28" s="333"/>
      <c r="G28" s="311"/>
      <c r="H28" s="334"/>
      <c r="I28" s="636"/>
      <c r="J28" s="335"/>
      <c r="K28" s="333"/>
      <c r="L28" s="311"/>
      <c r="M28" s="356"/>
    </row>
    <row r="29" spans="1:13" ht="20.25" customHeight="1" thickBot="1">
      <c r="A29" s="620"/>
      <c r="B29" s="623"/>
      <c r="C29" s="336"/>
      <c r="D29" s="337"/>
      <c r="E29" s="338"/>
      <c r="F29" s="338"/>
      <c r="G29" s="315"/>
      <c r="H29" s="339"/>
      <c r="I29" s="637"/>
      <c r="J29" s="340"/>
      <c r="K29" s="338"/>
      <c r="L29" s="315"/>
      <c r="M29" s="357"/>
    </row>
    <row r="30" spans="1:13" ht="20.25" customHeight="1">
      <c r="A30" s="619">
        <v>7</v>
      </c>
      <c r="B30" s="622" t="s">
        <v>701</v>
      </c>
      <c r="C30" s="625" t="s">
        <v>702</v>
      </c>
      <c r="D30" s="622" t="s">
        <v>703</v>
      </c>
      <c r="E30" s="326">
        <v>5</v>
      </c>
      <c r="F30" s="326">
        <v>5</v>
      </c>
      <c r="G30" s="308">
        <f>E30*F30</f>
        <v>25</v>
      </c>
      <c r="H30" s="326" t="s">
        <v>48</v>
      </c>
      <c r="I30" s="638" t="s">
        <v>704</v>
      </c>
      <c r="J30" s="326">
        <v>5</v>
      </c>
      <c r="K30" s="326">
        <v>1</v>
      </c>
      <c r="L30" s="308">
        <f>J30*K30</f>
        <v>5</v>
      </c>
      <c r="M30" s="354" t="s">
        <v>47</v>
      </c>
    </row>
    <row r="31" spans="1:13" ht="20.25" customHeight="1">
      <c r="A31" s="620"/>
      <c r="B31" s="623"/>
      <c r="C31" s="627"/>
      <c r="D31" s="628"/>
      <c r="E31" s="333"/>
      <c r="F31" s="333"/>
      <c r="G31" s="311"/>
      <c r="H31" s="333"/>
      <c r="I31" s="639"/>
      <c r="J31" s="333"/>
      <c r="K31" s="333"/>
      <c r="L31" s="311"/>
      <c r="M31" s="356"/>
    </row>
    <row r="32" spans="1:13" ht="20.25" customHeight="1">
      <c r="A32" s="620"/>
      <c r="B32" s="623"/>
      <c r="C32" s="321"/>
      <c r="D32" s="322"/>
      <c r="E32" s="333"/>
      <c r="F32" s="333"/>
      <c r="G32" s="311"/>
      <c r="H32" s="333"/>
      <c r="I32" s="639"/>
      <c r="J32" s="333"/>
      <c r="K32" s="333"/>
      <c r="L32" s="311"/>
      <c r="M32" s="356"/>
    </row>
    <row r="33" spans="1:13" ht="20.25" customHeight="1" thickBot="1">
      <c r="A33" s="621"/>
      <c r="B33" s="624"/>
      <c r="C33" s="317"/>
      <c r="D33" s="318"/>
      <c r="E33" s="324"/>
      <c r="F33" s="324"/>
      <c r="G33" s="319"/>
      <c r="H33" s="324"/>
      <c r="I33" s="640"/>
      <c r="J33" s="324"/>
      <c r="K33" s="324"/>
      <c r="L33" s="319"/>
      <c r="M33" s="353"/>
    </row>
    <row r="34" spans="1:13" ht="20.25" customHeight="1">
      <c r="A34" s="619">
        <v>8</v>
      </c>
      <c r="B34" s="622" t="s">
        <v>701</v>
      </c>
      <c r="C34" s="625" t="s">
        <v>705</v>
      </c>
      <c r="D34" s="625" t="s">
        <v>706</v>
      </c>
      <c r="E34" s="326">
        <v>3</v>
      </c>
      <c r="F34" s="326">
        <v>5</v>
      </c>
      <c r="G34" s="308">
        <v>15</v>
      </c>
      <c r="H34" s="326" t="s">
        <v>48</v>
      </c>
      <c r="I34" s="629" t="s">
        <v>707</v>
      </c>
      <c r="J34" s="326">
        <v>1</v>
      </c>
      <c r="K34" s="326">
        <v>1</v>
      </c>
      <c r="L34" s="308">
        <f>J34*K34</f>
        <v>1</v>
      </c>
      <c r="M34" s="354" t="s">
        <v>47</v>
      </c>
    </row>
    <row r="35" spans="1:13" ht="20.25" customHeight="1">
      <c r="A35" s="620"/>
      <c r="B35" s="623"/>
      <c r="C35" s="627"/>
      <c r="D35" s="627"/>
      <c r="E35" s="333"/>
      <c r="F35" s="333"/>
      <c r="G35" s="311"/>
      <c r="H35" s="333"/>
      <c r="I35" s="630"/>
      <c r="J35" s="333"/>
      <c r="K35" s="333"/>
      <c r="L35" s="311"/>
      <c r="M35" s="356"/>
    </row>
    <row r="36" spans="1:13" ht="20.25" customHeight="1">
      <c r="A36" s="620"/>
      <c r="B36" s="623"/>
      <c r="C36" s="321"/>
      <c r="D36" s="322"/>
      <c r="E36" s="333"/>
      <c r="F36" s="333"/>
      <c r="G36" s="311"/>
      <c r="H36" s="333"/>
      <c r="I36" s="630"/>
      <c r="J36" s="333"/>
      <c r="K36" s="333"/>
      <c r="L36" s="311"/>
      <c r="M36" s="356"/>
    </row>
    <row r="37" spans="1:13" ht="20.25" customHeight="1">
      <c r="A37" s="620"/>
      <c r="B37" s="623"/>
      <c r="C37" s="321"/>
      <c r="D37" s="322"/>
      <c r="E37" s="333"/>
      <c r="F37" s="333"/>
      <c r="G37" s="311"/>
      <c r="H37" s="333"/>
      <c r="I37" s="630"/>
      <c r="J37" s="333"/>
      <c r="K37" s="333"/>
      <c r="L37" s="311"/>
      <c r="M37" s="356"/>
    </row>
    <row r="38" spans="1:13" ht="20.25" customHeight="1" thickBot="1">
      <c r="A38" s="621"/>
      <c r="B38" s="624"/>
      <c r="C38" s="317"/>
      <c r="D38" s="318"/>
      <c r="E38" s="324"/>
      <c r="F38" s="324"/>
      <c r="G38" s="319"/>
      <c r="H38" s="324"/>
      <c r="I38" s="631"/>
      <c r="J38" s="324"/>
      <c r="K38" s="324"/>
      <c r="L38" s="319"/>
      <c r="M38" s="353"/>
    </row>
    <row r="39" spans="1:13" ht="20.25" customHeight="1">
      <c r="A39" s="619">
        <v>9</v>
      </c>
      <c r="B39" s="622" t="s">
        <v>701</v>
      </c>
      <c r="C39" s="625" t="s">
        <v>708</v>
      </c>
      <c r="D39" s="622" t="s">
        <v>709</v>
      </c>
      <c r="E39" s="326">
        <v>2</v>
      </c>
      <c r="F39" s="326">
        <v>5</v>
      </c>
      <c r="G39" s="308">
        <v>10</v>
      </c>
      <c r="H39" s="326" t="s">
        <v>46</v>
      </c>
      <c r="I39" s="629" t="s">
        <v>710</v>
      </c>
      <c r="J39" s="326">
        <v>1</v>
      </c>
      <c r="K39" s="326">
        <v>1</v>
      </c>
      <c r="L39" s="308">
        <f>J39*K39</f>
        <v>1</v>
      </c>
      <c r="M39" s="354" t="s">
        <v>47</v>
      </c>
    </row>
    <row r="40" spans="1:13" ht="20.25" customHeight="1">
      <c r="A40" s="620"/>
      <c r="B40" s="623"/>
      <c r="C40" s="626"/>
      <c r="D40" s="623"/>
      <c r="E40" s="333"/>
      <c r="F40" s="333"/>
      <c r="G40" s="311"/>
      <c r="H40" s="333"/>
      <c r="I40" s="630"/>
      <c r="J40" s="333"/>
      <c r="K40" s="333"/>
      <c r="L40" s="311"/>
      <c r="M40" s="356"/>
    </row>
    <row r="41" spans="1:13" ht="20.25" customHeight="1">
      <c r="A41" s="620"/>
      <c r="B41" s="623"/>
      <c r="C41" s="627"/>
      <c r="D41" s="628"/>
      <c r="E41" s="333"/>
      <c r="F41" s="333"/>
      <c r="G41" s="311"/>
      <c r="H41" s="333"/>
      <c r="I41" s="630"/>
      <c r="J41" s="333"/>
      <c r="K41" s="333"/>
      <c r="L41" s="311"/>
      <c r="M41" s="356"/>
    </row>
    <row r="42" spans="1:13" ht="20.25" customHeight="1">
      <c r="A42" s="620"/>
      <c r="B42" s="623"/>
      <c r="C42" s="321"/>
      <c r="D42" s="322"/>
      <c r="E42" s="333"/>
      <c r="F42" s="333"/>
      <c r="G42" s="311"/>
      <c r="H42" s="333"/>
      <c r="I42" s="630"/>
      <c r="J42" s="333"/>
      <c r="K42" s="333"/>
      <c r="L42" s="311"/>
      <c r="M42" s="356"/>
    </row>
    <row r="43" spans="1:13" ht="20.25" customHeight="1" thickBot="1">
      <c r="A43" s="621"/>
      <c r="B43" s="624"/>
      <c r="C43" s="317"/>
      <c r="D43" s="318"/>
      <c r="E43" s="324"/>
      <c r="F43" s="324"/>
      <c r="G43" s="319"/>
      <c r="H43" s="324"/>
      <c r="I43" s="631"/>
      <c r="J43" s="324"/>
      <c r="K43" s="324"/>
      <c r="L43" s="319"/>
      <c r="M43" s="353"/>
    </row>
    <row r="44" spans="1:13" ht="20.25" customHeight="1">
      <c r="A44" s="619">
        <v>10</v>
      </c>
      <c r="B44" s="622" t="s">
        <v>680</v>
      </c>
      <c r="C44" s="625" t="s">
        <v>711</v>
      </c>
      <c r="D44" s="622" t="s">
        <v>712</v>
      </c>
      <c r="E44" s="326"/>
      <c r="F44" s="326"/>
      <c r="G44" s="308"/>
      <c r="H44" s="326"/>
      <c r="I44" s="629" t="s">
        <v>713</v>
      </c>
      <c r="J44" s="326">
        <v>1</v>
      </c>
      <c r="K44" s="326">
        <v>1</v>
      </c>
      <c r="L44" s="308">
        <f>J44*K44</f>
        <v>1</v>
      </c>
      <c r="M44" s="354" t="s">
        <v>47</v>
      </c>
    </row>
    <row r="45" spans="1:13" ht="20.25" customHeight="1">
      <c r="A45" s="620"/>
      <c r="B45" s="623"/>
      <c r="C45" s="626"/>
      <c r="D45" s="623"/>
      <c r="E45" s="333">
        <v>1</v>
      </c>
      <c r="F45" s="333">
        <v>5</v>
      </c>
      <c r="G45" s="311">
        <v>5</v>
      </c>
      <c r="H45" s="333" t="s">
        <v>47</v>
      </c>
      <c r="I45" s="630"/>
      <c r="J45" s="333"/>
      <c r="K45" s="333"/>
      <c r="L45" s="311"/>
      <c r="M45" s="356"/>
    </row>
    <row r="46" spans="1:13" ht="20.25" customHeight="1">
      <c r="A46" s="620"/>
      <c r="B46" s="623"/>
      <c r="C46" s="627"/>
      <c r="D46" s="628"/>
      <c r="E46" s="333"/>
      <c r="F46" s="333"/>
      <c r="G46" s="311"/>
      <c r="H46" s="333"/>
      <c r="I46" s="630"/>
      <c r="J46" s="333"/>
      <c r="K46" s="333"/>
      <c r="L46" s="311"/>
      <c r="M46" s="356"/>
    </row>
    <row r="47" spans="1:13" ht="20.25" customHeight="1" thickBot="1">
      <c r="A47" s="621"/>
      <c r="B47" s="624"/>
      <c r="C47" s="317"/>
      <c r="D47" s="318"/>
      <c r="E47" s="324"/>
      <c r="F47" s="324"/>
      <c r="G47" s="319"/>
      <c r="H47" s="324"/>
      <c r="I47" s="631"/>
      <c r="J47" s="324"/>
      <c r="K47" s="324"/>
      <c r="L47" s="319"/>
      <c r="M47" s="353"/>
    </row>
    <row r="48" spans="1:13" ht="41.25" customHeight="1">
      <c r="A48" s="341">
        <v>11</v>
      </c>
      <c r="B48" s="632" t="s">
        <v>680</v>
      </c>
      <c r="C48" s="343" t="s">
        <v>52</v>
      </c>
      <c r="D48" s="343" t="s">
        <v>53</v>
      </c>
      <c r="E48" s="344">
        <v>5</v>
      </c>
      <c r="F48" s="344">
        <v>1</v>
      </c>
      <c r="G48" s="344">
        <f>E48*F48</f>
        <v>5</v>
      </c>
      <c r="H48" s="342" t="s">
        <v>47</v>
      </c>
      <c r="I48" s="634" t="s">
        <v>714</v>
      </c>
      <c r="J48" s="342">
        <v>4</v>
      </c>
      <c r="K48" s="344">
        <v>1</v>
      </c>
      <c r="L48" s="344">
        <v>4</v>
      </c>
      <c r="M48" s="345" t="s">
        <v>47</v>
      </c>
    </row>
    <row r="49" spans="1:13" ht="41.25" customHeight="1">
      <c r="A49" s="398"/>
      <c r="B49" s="633"/>
      <c r="C49" s="400" t="s">
        <v>228</v>
      </c>
      <c r="D49" s="400" t="s">
        <v>715</v>
      </c>
      <c r="E49" s="401">
        <v>5</v>
      </c>
      <c r="F49" s="401">
        <v>2</v>
      </c>
      <c r="G49" s="401">
        <f>E49*F49</f>
        <v>10</v>
      </c>
      <c r="H49" s="399" t="s">
        <v>47</v>
      </c>
      <c r="I49" s="635"/>
      <c r="J49" s="399">
        <v>3</v>
      </c>
      <c r="K49" s="401">
        <v>1</v>
      </c>
      <c r="L49" s="401">
        <v>3</v>
      </c>
      <c r="M49" s="402" t="s">
        <v>47</v>
      </c>
    </row>
    <row r="50" spans="1:13" s="200" customFormat="1" ht="14.25" customHeight="1">
      <c r="A50" s="612" t="s">
        <v>745</v>
      </c>
      <c r="B50" s="613"/>
      <c r="C50" s="613"/>
      <c r="D50" s="613"/>
      <c r="E50" s="613"/>
      <c r="F50" s="613"/>
      <c r="G50" s="613"/>
      <c r="H50" s="613"/>
      <c r="I50" s="613"/>
      <c r="J50" s="613"/>
      <c r="K50" s="613"/>
      <c r="L50" s="613"/>
      <c r="M50" s="614"/>
    </row>
    <row r="51" spans="1:13" s="200" customFormat="1" ht="14.25" customHeight="1">
      <c r="A51" s="615" t="s">
        <v>626</v>
      </c>
      <c r="B51" s="616"/>
      <c r="C51" s="616"/>
      <c r="D51" s="616"/>
      <c r="E51" s="616"/>
      <c r="F51" s="616"/>
      <c r="G51" s="616"/>
      <c r="H51" s="616"/>
      <c r="I51" s="616"/>
      <c r="J51" s="616"/>
      <c r="K51" s="616"/>
      <c r="L51" s="616"/>
      <c r="M51" s="617"/>
    </row>
    <row r="52" spans="1:13" s="200" customFormat="1" ht="14.25" customHeight="1">
      <c r="A52" s="603" t="s">
        <v>744</v>
      </c>
      <c r="B52" s="604"/>
      <c r="C52" s="604"/>
      <c r="D52" s="604"/>
      <c r="E52" s="604"/>
      <c r="F52" s="604"/>
      <c r="G52" s="604"/>
      <c r="H52" s="604"/>
      <c r="I52" s="604"/>
      <c r="J52" s="604"/>
      <c r="K52" s="604"/>
      <c r="L52" s="604"/>
      <c r="M52" s="605"/>
    </row>
    <row r="53" spans="1:13" s="200" customFormat="1" ht="14.25" customHeight="1">
      <c r="A53" s="606" t="s">
        <v>627</v>
      </c>
      <c r="B53" s="607"/>
      <c r="C53" s="607"/>
      <c r="D53" s="607"/>
      <c r="E53" s="607"/>
      <c r="F53" s="607"/>
      <c r="G53" s="607"/>
      <c r="H53" s="607"/>
      <c r="I53" s="607"/>
      <c r="J53" s="607"/>
      <c r="K53" s="607"/>
      <c r="L53" s="607"/>
      <c r="M53" s="608"/>
    </row>
    <row r="54" spans="1:13" s="195" customFormat="1" ht="15.75" customHeight="1">
      <c r="A54" s="265"/>
      <c r="B54" s="268" t="s">
        <v>330</v>
      </c>
      <c r="C54" s="253" t="s">
        <v>331</v>
      </c>
      <c r="D54" s="253" t="s">
        <v>335</v>
      </c>
      <c r="E54" s="490" t="s">
        <v>759</v>
      </c>
      <c r="F54" s="491"/>
      <c r="G54" s="492" t="s">
        <v>644</v>
      </c>
      <c r="H54" s="493"/>
      <c r="I54" s="494"/>
      <c r="J54" s="494"/>
      <c r="K54" s="495"/>
      <c r="L54" s="501" t="s">
        <v>643</v>
      </c>
      <c r="M54" s="501"/>
    </row>
    <row r="55" spans="1:13" s="195" customFormat="1" ht="15.75" customHeight="1">
      <c r="A55" s="265"/>
      <c r="B55" s="268">
        <v>0</v>
      </c>
      <c r="C55" s="253" t="s">
        <v>796</v>
      </c>
      <c r="D55" s="253" t="s">
        <v>476</v>
      </c>
      <c r="E55" s="496" t="s">
        <v>760</v>
      </c>
      <c r="F55" s="497"/>
      <c r="G55" s="492" t="s">
        <v>645</v>
      </c>
      <c r="H55" s="493"/>
      <c r="I55" s="493"/>
      <c r="J55" s="493"/>
      <c r="K55" s="498"/>
      <c r="L55" s="501" t="s">
        <v>787</v>
      </c>
      <c r="M55" s="501"/>
    </row>
    <row r="56" spans="1:13" s="195" customFormat="1" ht="15.75" customHeight="1">
      <c r="A56" s="256"/>
      <c r="B56" s="212"/>
      <c r="C56" s="253"/>
      <c r="D56" s="253"/>
      <c r="E56" s="499"/>
      <c r="F56" s="497"/>
      <c r="G56" s="490"/>
      <c r="H56" s="491"/>
      <c r="I56" s="491"/>
      <c r="J56" s="491"/>
      <c r="K56" s="500"/>
      <c r="L56" s="501"/>
      <c r="M56" s="501"/>
    </row>
    <row r="57" spans="1:13">
      <c r="C57" s="350"/>
      <c r="G57" s="295"/>
      <c r="I57" s="351"/>
    </row>
    <row r="58" spans="1:13">
      <c r="C58" s="350"/>
      <c r="G58" s="295"/>
      <c r="I58" s="351"/>
    </row>
    <row r="59" spans="1:13">
      <c r="G59" s="295"/>
    </row>
    <row r="60" spans="1:13" s="346" customFormat="1">
      <c r="A60" s="618"/>
      <c r="B60" s="618"/>
      <c r="C60" s="618"/>
      <c r="D60" s="618"/>
      <c r="E60" s="618"/>
      <c r="F60" s="618"/>
      <c r="G60" s="618"/>
      <c r="H60" s="618"/>
      <c r="I60" s="618"/>
      <c r="J60" s="618"/>
      <c r="K60" s="618"/>
      <c r="L60" s="618"/>
      <c r="M60" s="618"/>
    </row>
    <row r="61" spans="1:13">
      <c r="C61" s="350"/>
      <c r="G61" s="295"/>
    </row>
    <row r="62" spans="1:13">
      <c r="G62" s="295"/>
    </row>
    <row r="63" spans="1:13">
      <c r="G63" s="295"/>
    </row>
    <row r="64" spans="1:13">
      <c r="G64" s="295"/>
    </row>
    <row r="65" spans="7:7">
      <c r="G65" s="295"/>
    </row>
  </sheetData>
  <mergeCells count="76">
    <mergeCell ref="C2:I2"/>
    <mergeCell ref="A3:B3"/>
    <mergeCell ref="E3:H3"/>
    <mergeCell ref="J3:M3"/>
    <mergeCell ref="A4:A5"/>
    <mergeCell ref="B4:B5"/>
    <mergeCell ref="C4:C5"/>
    <mergeCell ref="D4:D5"/>
    <mergeCell ref="E4:H4"/>
    <mergeCell ref="I4:I5"/>
    <mergeCell ref="J4:M4"/>
    <mergeCell ref="A6:A9"/>
    <mergeCell ref="B6:B9"/>
    <mergeCell ref="C6:C7"/>
    <mergeCell ref="D6:D7"/>
    <mergeCell ref="I6:I9"/>
    <mergeCell ref="A14:A17"/>
    <mergeCell ref="B14:B17"/>
    <mergeCell ref="C14:C17"/>
    <mergeCell ref="D14:D17"/>
    <mergeCell ref="I14:I17"/>
    <mergeCell ref="A10:A13"/>
    <mergeCell ref="B10:B13"/>
    <mergeCell ref="C10:C11"/>
    <mergeCell ref="D10:D11"/>
    <mergeCell ref="I10:I13"/>
    <mergeCell ref="A22:A25"/>
    <mergeCell ref="B22:B25"/>
    <mergeCell ref="C22:C23"/>
    <mergeCell ref="D22:D23"/>
    <mergeCell ref="I22:I25"/>
    <mergeCell ref="A18:A21"/>
    <mergeCell ref="B18:B21"/>
    <mergeCell ref="C18:C20"/>
    <mergeCell ref="D18:D20"/>
    <mergeCell ref="I18:I21"/>
    <mergeCell ref="A26:A29"/>
    <mergeCell ref="B26:B29"/>
    <mergeCell ref="D26:D27"/>
    <mergeCell ref="I26:I29"/>
    <mergeCell ref="A30:A33"/>
    <mergeCell ref="B30:B33"/>
    <mergeCell ref="C30:C31"/>
    <mergeCell ref="D30:D31"/>
    <mergeCell ref="I30:I33"/>
    <mergeCell ref="A39:A43"/>
    <mergeCell ref="B39:B43"/>
    <mergeCell ref="C39:C41"/>
    <mergeCell ref="D39:D41"/>
    <mergeCell ref="I39:I43"/>
    <mergeCell ref="A34:A38"/>
    <mergeCell ref="B34:B38"/>
    <mergeCell ref="C34:C35"/>
    <mergeCell ref="D34:D35"/>
    <mergeCell ref="I34:I38"/>
    <mergeCell ref="A60:M60"/>
    <mergeCell ref="A44:A47"/>
    <mergeCell ref="B44:B47"/>
    <mergeCell ref="C44:C46"/>
    <mergeCell ref="D44:D46"/>
    <mergeCell ref="I44:I47"/>
    <mergeCell ref="B48:B49"/>
    <mergeCell ref="I48:I49"/>
    <mergeCell ref="E56:F56"/>
    <mergeCell ref="G56:K56"/>
    <mergeCell ref="L56:M56"/>
    <mergeCell ref="E54:F54"/>
    <mergeCell ref="G54:K54"/>
    <mergeCell ref="L54:M54"/>
    <mergeCell ref="A50:M50"/>
    <mergeCell ref="A51:M51"/>
    <mergeCell ref="E55:F55"/>
    <mergeCell ref="G55:K55"/>
    <mergeCell ref="L55:M55"/>
    <mergeCell ref="A52:M52"/>
    <mergeCell ref="A53:M5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33"/>
  <sheetViews>
    <sheetView showGridLines="0" view="pageBreakPreview" zoomScale="70" zoomScaleNormal="89" zoomScaleSheetLayoutView="70" workbookViewId="0">
      <pane ySplit="1" topLeftCell="A15" activePane="bottomLeft" state="frozen"/>
      <selection activeCell="G6" sqref="G6"/>
      <selection pane="bottomLeft" activeCell="K24" sqref="K24"/>
    </sheetView>
  </sheetViews>
  <sheetFormatPr defaultColWidth="11.5703125" defaultRowHeight="18.75"/>
  <cols>
    <col min="1" max="1" width="4.85546875" style="164" customWidth="1"/>
    <col min="2" max="2" width="18" style="76" customWidth="1"/>
    <col min="3" max="3" width="31.5703125" style="77" customWidth="1"/>
    <col min="4" max="4" width="49.140625" style="77" customWidth="1"/>
    <col min="5" max="5" width="4.5703125" style="77" customWidth="1"/>
    <col min="6" max="6" width="5" style="77" customWidth="1"/>
    <col min="7" max="7" width="6.85546875" style="77" customWidth="1"/>
    <col min="8" max="8" width="11.7109375" style="77" customWidth="1"/>
    <col min="9" max="9" width="69.85546875" style="13" customWidth="1"/>
    <col min="10" max="10" width="4.7109375" style="39" customWidth="1"/>
    <col min="11" max="11" width="4.85546875" style="39" customWidth="1"/>
    <col min="12" max="12" width="6.5703125" style="39" customWidth="1"/>
    <col min="13" max="13" width="11.42578125" style="39" customWidth="1"/>
    <col min="14" max="16384" width="11.5703125" style="78"/>
  </cols>
  <sheetData>
    <row r="1" spans="1:13" s="163" customFormat="1" ht="33" customHeight="1">
      <c r="A1" s="160"/>
      <c r="B1" s="161"/>
      <c r="C1" s="162"/>
      <c r="D1" s="162"/>
      <c r="E1" s="666" t="s">
        <v>641</v>
      </c>
      <c r="F1" s="666"/>
      <c r="G1" s="666"/>
      <c r="H1" s="666"/>
      <c r="I1" s="666"/>
      <c r="J1" s="666"/>
      <c r="K1" s="666"/>
      <c r="L1" s="666"/>
      <c r="M1" s="666"/>
    </row>
    <row r="2" spans="1:13" ht="164.45" customHeight="1">
      <c r="A2" s="249"/>
      <c r="B2" s="250"/>
      <c r="C2" s="602" t="s">
        <v>326</v>
      </c>
      <c r="D2" s="602"/>
      <c r="E2" s="602"/>
      <c r="F2" s="602"/>
      <c r="G2" s="602"/>
      <c r="H2" s="602"/>
      <c r="I2" s="248"/>
      <c r="J2" s="248"/>
      <c r="K2" s="248"/>
      <c r="L2" s="248"/>
      <c r="M2" s="248"/>
    </row>
    <row r="3" spans="1:13" s="77" customFormat="1" ht="63.75" customHeight="1">
      <c r="A3" s="543" t="s">
        <v>2</v>
      </c>
      <c r="B3" s="668" t="s">
        <v>45</v>
      </c>
      <c r="C3" s="542" t="s">
        <v>6</v>
      </c>
      <c r="D3" s="543" t="s">
        <v>3</v>
      </c>
      <c r="E3" s="543" t="s">
        <v>4</v>
      </c>
      <c r="F3" s="543"/>
      <c r="G3" s="543"/>
      <c r="H3" s="543"/>
      <c r="I3" s="542" t="s">
        <v>7</v>
      </c>
      <c r="J3" s="542" t="s">
        <v>8</v>
      </c>
      <c r="K3" s="543"/>
      <c r="L3" s="543"/>
      <c r="M3" s="543"/>
    </row>
    <row r="4" spans="1:13" s="77" customFormat="1" ht="59.25" customHeight="1">
      <c r="A4" s="543"/>
      <c r="B4" s="668"/>
      <c r="C4" s="543"/>
      <c r="D4" s="543"/>
      <c r="E4" s="144" t="s">
        <v>0</v>
      </c>
      <c r="F4" s="144" t="s">
        <v>1</v>
      </c>
      <c r="G4" s="144" t="s">
        <v>12</v>
      </c>
      <c r="H4" s="143" t="s">
        <v>5</v>
      </c>
      <c r="I4" s="543"/>
      <c r="J4" s="143" t="s">
        <v>0</v>
      </c>
      <c r="K4" s="144" t="s">
        <v>1</v>
      </c>
      <c r="L4" s="144" t="s">
        <v>12</v>
      </c>
      <c r="M4" s="143" t="s">
        <v>9</v>
      </c>
    </row>
    <row r="5" spans="1:13" s="77" customFormat="1" ht="155.25" customHeight="1">
      <c r="A5" s="45">
        <v>1</v>
      </c>
      <c r="B5" s="663" t="s">
        <v>206</v>
      </c>
      <c r="C5" s="48" t="s">
        <v>143</v>
      </c>
      <c r="D5" s="48" t="s">
        <v>207</v>
      </c>
      <c r="E5" s="48">
        <v>5</v>
      </c>
      <c r="F5" s="48">
        <v>1</v>
      </c>
      <c r="G5" s="48">
        <f>E5*F5</f>
        <v>5</v>
      </c>
      <c r="H5" s="48" t="s">
        <v>47</v>
      </c>
      <c r="I5" s="16" t="s">
        <v>208</v>
      </c>
      <c r="J5" s="48">
        <v>2</v>
      </c>
      <c r="K5" s="48">
        <v>0</v>
      </c>
      <c r="L5" s="48">
        <f>J5*K5</f>
        <v>0</v>
      </c>
      <c r="M5" s="48"/>
    </row>
    <row r="6" spans="1:13" s="77" customFormat="1" ht="37.5" customHeight="1">
      <c r="A6" s="47">
        <v>2</v>
      </c>
      <c r="B6" s="664"/>
      <c r="C6" s="48" t="s">
        <v>209</v>
      </c>
      <c r="D6" s="48" t="s">
        <v>210</v>
      </c>
      <c r="E6" s="48">
        <v>2</v>
      </c>
      <c r="F6" s="48">
        <v>5</v>
      </c>
      <c r="G6" s="48">
        <f>E6*F6</f>
        <v>10</v>
      </c>
      <c r="H6" s="48" t="s">
        <v>46</v>
      </c>
      <c r="I6" s="660" t="s">
        <v>211</v>
      </c>
      <c r="J6" s="48">
        <v>1</v>
      </c>
      <c r="K6" s="48">
        <v>1</v>
      </c>
      <c r="L6" s="48">
        <f>J6*K6</f>
        <v>1</v>
      </c>
      <c r="M6" s="48" t="s">
        <v>47</v>
      </c>
    </row>
    <row r="7" spans="1:13" s="77" customFormat="1">
      <c r="A7" s="45">
        <v>3</v>
      </c>
      <c r="B7" s="664"/>
      <c r="C7" s="48" t="s">
        <v>212</v>
      </c>
      <c r="D7" s="48" t="s">
        <v>308</v>
      </c>
      <c r="E7" s="48">
        <v>1</v>
      </c>
      <c r="F7" s="48">
        <v>5</v>
      </c>
      <c r="G7" s="48">
        <f t="shared" ref="G7:G12" si="0">E7*F7</f>
        <v>5</v>
      </c>
      <c r="H7" s="48" t="s">
        <v>47</v>
      </c>
      <c r="I7" s="661"/>
      <c r="J7" s="48">
        <v>1</v>
      </c>
      <c r="K7" s="48">
        <v>3</v>
      </c>
      <c r="L7" s="48">
        <f t="shared" ref="L7:L26" si="1">J7*K7</f>
        <v>3</v>
      </c>
      <c r="M7" s="48" t="s">
        <v>47</v>
      </c>
    </row>
    <row r="8" spans="1:13" s="77" customFormat="1" ht="37.5">
      <c r="A8" s="47">
        <v>4</v>
      </c>
      <c r="B8" s="665"/>
      <c r="C8" s="48" t="s">
        <v>213</v>
      </c>
      <c r="D8" s="48" t="s">
        <v>214</v>
      </c>
      <c r="E8" s="48">
        <v>1</v>
      </c>
      <c r="F8" s="48">
        <v>5</v>
      </c>
      <c r="G8" s="48">
        <f t="shared" si="0"/>
        <v>5</v>
      </c>
      <c r="H8" s="48" t="s">
        <v>47</v>
      </c>
      <c r="I8" s="662"/>
      <c r="J8" s="48">
        <v>1</v>
      </c>
      <c r="K8" s="48">
        <v>1</v>
      </c>
      <c r="L8" s="48">
        <f t="shared" si="1"/>
        <v>1</v>
      </c>
      <c r="M8" s="48" t="s">
        <v>47</v>
      </c>
    </row>
    <row r="9" spans="1:13" s="77" customFormat="1" ht="139.5" customHeight="1">
      <c r="A9" s="45">
        <v>5</v>
      </c>
      <c r="B9" s="667" t="s">
        <v>221</v>
      </c>
      <c r="C9" s="48" t="s">
        <v>215</v>
      </c>
      <c r="D9" s="48" t="s">
        <v>216</v>
      </c>
      <c r="E9" s="48">
        <v>2</v>
      </c>
      <c r="F9" s="48">
        <v>5</v>
      </c>
      <c r="G9" s="48">
        <f t="shared" si="0"/>
        <v>10</v>
      </c>
      <c r="H9" s="48" t="s">
        <v>46</v>
      </c>
      <c r="I9" s="16" t="s">
        <v>217</v>
      </c>
      <c r="J9" s="48">
        <v>2</v>
      </c>
      <c r="K9" s="48">
        <v>1</v>
      </c>
      <c r="L9" s="48">
        <f t="shared" si="1"/>
        <v>2</v>
      </c>
      <c r="M9" s="48" t="s">
        <v>47</v>
      </c>
    </row>
    <row r="10" spans="1:13" s="77" customFormat="1">
      <c r="A10" s="45">
        <v>6</v>
      </c>
      <c r="B10" s="664"/>
      <c r="C10" s="48" t="s">
        <v>49</v>
      </c>
      <c r="D10" s="48" t="s">
        <v>50</v>
      </c>
      <c r="E10" s="48">
        <v>2</v>
      </c>
      <c r="F10" s="48">
        <v>4</v>
      </c>
      <c r="G10" s="48">
        <f t="shared" si="0"/>
        <v>8</v>
      </c>
      <c r="H10" s="48" t="s">
        <v>46</v>
      </c>
      <c r="I10" s="16" t="s">
        <v>261</v>
      </c>
      <c r="J10" s="48">
        <v>1</v>
      </c>
      <c r="K10" s="48">
        <v>2</v>
      </c>
      <c r="L10" s="48">
        <f t="shared" si="1"/>
        <v>2</v>
      </c>
      <c r="M10" s="48" t="s">
        <v>47</v>
      </c>
    </row>
    <row r="11" spans="1:13" s="77" customFormat="1">
      <c r="A11" s="47">
        <v>7</v>
      </c>
      <c r="B11" s="664"/>
      <c r="C11" s="48" t="s">
        <v>230</v>
      </c>
      <c r="D11" s="48" t="s">
        <v>225</v>
      </c>
      <c r="E11" s="48">
        <v>4</v>
      </c>
      <c r="F11" s="48">
        <v>1</v>
      </c>
      <c r="G11" s="48">
        <f t="shared" si="0"/>
        <v>4</v>
      </c>
      <c r="H11" s="48" t="s">
        <v>47</v>
      </c>
      <c r="I11" s="16" t="s">
        <v>262</v>
      </c>
      <c r="J11" s="48">
        <v>1</v>
      </c>
      <c r="K11" s="48">
        <v>1</v>
      </c>
      <c r="L11" s="48">
        <f t="shared" si="1"/>
        <v>1</v>
      </c>
      <c r="M11" s="48" t="s">
        <v>47</v>
      </c>
    </row>
    <row r="12" spans="1:13" ht="56.25">
      <c r="A12" s="45">
        <v>8</v>
      </c>
      <c r="B12" s="664"/>
      <c r="C12" s="48" t="s">
        <v>57</v>
      </c>
      <c r="D12" s="48" t="s">
        <v>58</v>
      </c>
      <c r="E12" s="48">
        <v>5</v>
      </c>
      <c r="F12" s="48">
        <v>1</v>
      </c>
      <c r="G12" s="48">
        <f t="shared" si="0"/>
        <v>5</v>
      </c>
      <c r="H12" s="48" t="s">
        <v>47</v>
      </c>
      <c r="I12" s="16" t="s">
        <v>59</v>
      </c>
      <c r="J12" s="48">
        <v>1</v>
      </c>
      <c r="K12" s="48">
        <v>1</v>
      </c>
      <c r="L12" s="48">
        <f t="shared" si="1"/>
        <v>1</v>
      </c>
      <c r="M12" s="48" t="s">
        <v>47</v>
      </c>
    </row>
    <row r="13" spans="1:13" s="14" customFormat="1">
      <c r="A13" s="47">
        <v>9</v>
      </c>
      <c r="B13" s="664"/>
      <c r="C13" s="48" t="s">
        <v>60</v>
      </c>
      <c r="D13" s="48" t="s">
        <v>61</v>
      </c>
      <c r="E13" s="48">
        <v>1</v>
      </c>
      <c r="F13" s="48">
        <v>4</v>
      </c>
      <c r="G13" s="48">
        <f t="shared" ref="G13:G21" si="2">E13*F13</f>
        <v>4</v>
      </c>
      <c r="H13" s="48" t="s">
        <v>47</v>
      </c>
      <c r="I13" s="16" t="s">
        <v>218</v>
      </c>
      <c r="J13" s="48">
        <v>1</v>
      </c>
      <c r="K13" s="48">
        <v>1</v>
      </c>
      <c r="L13" s="48">
        <f t="shared" si="1"/>
        <v>1</v>
      </c>
      <c r="M13" s="48" t="s">
        <v>47</v>
      </c>
    </row>
    <row r="14" spans="1:13" ht="37.5">
      <c r="A14" s="45">
        <v>10</v>
      </c>
      <c r="B14" s="664"/>
      <c r="C14" s="48" t="s">
        <v>263</v>
      </c>
      <c r="D14" s="48" t="s">
        <v>63</v>
      </c>
      <c r="E14" s="48">
        <v>2</v>
      </c>
      <c r="F14" s="48">
        <v>3</v>
      </c>
      <c r="G14" s="48">
        <f t="shared" si="2"/>
        <v>6</v>
      </c>
      <c r="H14" s="48" t="s">
        <v>46</v>
      </c>
      <c r="I14" s="16" t="s">
        <v>64</v>
      </c>
      <c r="J14" s="48">
        <v>1</v>
      </c>
      <c r="K14" s="48">
        <v>2</v>
      </c>
      <c r="L14" s="48">
        <f t="shared" si="1"/>
        <v>2</v>
      </c>
      <c r="M14" s="48" t="s">
        <v>47</v>
      </c>
    </row>
    <row r="15" spans="1:13">
      <c r="A15" s="45">
        <v>11</v>
      </c>
      <c r="B15" s="664"/>
      <c r="C15" s="48" t="s">
        <v>68</v>
      </c>
      <c r="D15" s="48" t="s">
        <v>69</v>
      </c>
      <c r="E15" s="48">
        <v>1</v>
      </c>
      <c r="F15" s="48">
        <v>4</v>
      </c>
      <c r="G15" s="48">
        <f t="shared" si="2"/>
        <v>4</v>
      </c>
      <c r="H15" s="48" t="s">
        <v>47</v>
      </c>
      <c r="I15" s="178" t="s">
        <v>264</v>
      </c>
      <c r="J15" s="48">
        <v>1</v>
      </c>
      <c r="K15" s="48">
        <v>2</v>
      </c>
      <c r="L15" s="48">
        <f t="shared" si="1"/>
        <v>2</v>
      </c>
      <c r="M15" s="48" t="s">
        <v>47</v>
      </c>
    </row>
    <row r="16" spans="1:13">
      <c r="A16" s="47">
        <v>12</v>
      </c>
      <c r="B16" s="664"/>
      <c r="C16" s="48" t="s">
        <v>70</v>
      </c>
      <c r="D16" s="48" t="s">
        <v>71</v>
      </c>
      <c r="E16" s="48">
        <v>2</v>
      </c>
      <c r="F16" s="48">
        <v>4</v>
      </c>
      <c r="G16" s="48">
        <f t="shared" si="2"/>
        <v>8</v>
      </c>
      <c r="H16" s="48" t="s">
        <v>46</v>
      </c>
      <c r="I16" s="16" t="s">
        <v>72</v>
      </c>
      <c r="J16" s="48">
        <v>1</v>
      </c>
      <c r="K16" s="48">
        <v>2</v>
      </c>
      <c r="L16" s="48">
        <f t="shared" si="1"/>
        <v>2</v>
      </c>
      <c r="M16" s="48" t="s">
        <v>47</v>
      </c>
    </row>
    <row r="17" spans="1:13" ht="56.25">
      <c r="A17" s="45">
        <v>13</v>
      </c>
      <c r="B17" s="664"/>
      <c r="C17" s="48" t="s">
        <v>74</v>
      </c>
      <c r="D17" s="48" t="s">
        <v>75</v>
      </c>
      <c r="E17" s="48">
        <v>2</v>
      </c>
      <c r="F17" s="48">
        <v>4</v>
      </c>
      <c r="G17" s="48">
        <f t="shared" si="2"/>
        <v>8</v>
      </c>
      <c r="H17" s="48" t="str">
        <f t="shared" ref="H17:H23" si="3">IF(G17&lt;=5,"A",IF(AND(G17&gt;6,G17&lt;=10),"B","C"))</f>
        <v>B</v>
      </c>
      <c r="I17" s="16" t="s">
        <v>76</v>
      </c>
      <c r="J17" s="48">
        <v>1</v>
      </c>
      <c r="K17" s="48">
        <v>2</v>
      </c>
      <c r="L17" s="48">
        <f t="shared" si="1"/>
        <v>2</v>
      </c>
      <c r="M17" s="48" t="s">
        <v>47</v>
      </c>
    </row>
    <row r="18" spans="1:13" ht="56.25">
      <c r="A18" s="47">
        <v>14</v>
      </c>
      <c r="B18" s="664"/>
      <c r="C18" s="48" t="s">
        <v>226</v>
      </c>
      <c r="D18" s="48" t="s">
        <v>227</v>
      </c>
      <c r="E18" s="48">
        <v>1</v>
      </c>
      <c r="F18" s="48">
        <v>3</v>
      </c>
      <c r="G18" s="48">
        <f t="shared" si="2"/>
        <v>3</v>
      </c>
      <c r="H18" s="48" t="str">
        <f t="shared" si="3"/>
        <v>A</v>
      </c>
      <c r="I18" s="16" t="s">
        <v>78</v>
      </c>
      <c r="J18" s="48">
        <v>1</v>
      </c>
      <c r="K18" s="48">
        <v>0</v>
      </c>
      <c r="L18" s="48">
        <f t="shared" si="1"/>
        <v>0</v>
      </c>
      <c r="M18" s="48" t="str">
        <f t="shared" ref="M18:M23" si="4">IF(L18&lt;=5,"A",IF(AND(L18&gt;6,L18&lt;=10),"B","C"))</f>
        <v>A</v>
      </c>
    </row>
    <row r="19" spans="1:13">
      <c r="A19" s="45">
        <v>15</v>
      </c>
      <c r="B19" s="664"/>
      <c r="C19" s="48" t="s">
        <v>79</v>
      </c>
      <c r="D19" s="48" t="s">
        <v>80</v>
      </c>
      <c r="E19" s="48">
        <v>1</v>
      </c>
      <c r="F19" s="48">
        <v>3</v>
      </c>
      <c r="G19" s="48">
        <f t="shared" si="2"/>
        <v>3</v>
      </c>
      <c r="H19" s="48" t="str">
        <f t="shared" si="3"/>
        <v>A</v>
      </c>
      <c r="I19" s="16" t="s">
        <v>81</v>
      </c>
      <c r="J19" s="48">
        <v>1</v>
      </c>
      <c r="K19" s="48">
        <v>0</v>
      </c>
      <c r="L19" s="48">
        <f t="shared" si="1"/>
        <v>0</v>
      </c>
      <c r="M19" s="48" t="str">
        <f t="shared" si="4"/>
        <v>A</v>
      </c>
    </row>
    <row r="20" spans="1:13" ht="56.25">
      <c r="A20" s="45">
        <v>16</v>
      </c>
      <c r="B20" s="664"/>
      <c r="C20" s="48" t="s">
        <v>219</v>
      </c>
      <c r="D20" s="48" t="s">
        <v>220</v>
      </c>
      <c r="E20" s="48">
        <v>1</v>
      </c>
      <c r="F20" s="48">
        <v>1</v>
      </c>
      <c r="G20" s="48">
        <f t="shared" si="2"/>
        <v>1</v>
      </c>
      <c r="H20" s="48" t="str">
        <f t="shared" si="3"/>
        <v>A</v>
      </c>
      <c r="I20" s="16" t="s">
        <v>84</v>
      </c>
      <c r="J20" s="48">
        <v>1</v>
      </c>
      <c r="K20" s="48">
        <v>0</v>
      </c>
      <c r="L20" s="48">
        <f t="shared" si="1"/>
        <v>0</v>
      </c>
      <c r="M20" s="48" t="str">
        <f t="shared" si="4"/>
        <v>A</v>
      </c>
    </row>
    <row r="21" spans="1:13" ht="37.5">
      <c r="A21" s="47">
        <v>17</v>
      </c>
      <c r="B21" s="46" t="s">
        <v>309</v>
      </c>
      <c r="C21" s="48" t="s">
        <v>222</v>
      </c>
      <c r="D21" s="48" t="s">
        <v>223</v>
      </c>
      <c r="E21" s="48">
        <v>2</v>
      </c>
      <c r="F21" s="48">
        <v>2</v>
      </c>
      <c r="G21" s="48">
        <f t="shared" si="2"/>
        <v>4</v>
      </c>
      <c r="H21" s="48" t="str">
        <f t="shared" si="3"/>
        <v>A</v>
      </c>
      <c r="I21" s="16" t="s">
        <v>224</v>
      </c>
      <c r="J21" s="48">
        <v>1</v>
      </c>
      <c r="K21" s="48">
        <v>0</v>
      </c>
      <c r="L21" s="48">
        <f t="shared" si="1"/>
        <v>0</v>
      </c>
      <c r="M21" s="48" t="str">
        <f t="shared" si="4"/>
        <v>A</v>
      </c>
    </row>
    <row r="22" spans="1:13" ht="40.5" customHeight="1">
      <c r="A22" s="45">
        <v>18</v>
      </c>
      <c r="B22" s="48" t="s">
        <v>311</v>
      </c>
      <c r="C22" s="47" t="s">
        <v>310</v>
      </c>
      <c r="D22" s="48" t="s">
        <v>312</v>
      </c>
      <c r="E22" s="48">
        <v>2</v>
      </c>
      <c r="F22" s="48">
        <v>4</v>
      </c>
      <c r="G22" s="48">
        <f>E22*F22</f>
        <v>8</v>
      </c>
      <c r="H22" s="48" t="str">
        <f t="shared" si="3"/>
        <v>B</v>
      </c>
      <c r="I22" s="16" t="s">
        <v>313</v>
      </c>
      <c r="J22" s="48">
        <v>1</v>
      </c>
      <c r="K22" s="48">
        <v>0</v>
      </c>
      <c r="L22" s="48">
        <f t="shared" si="1"/>
        <v>0</v>
      </c>
      <c r="M22" s="48" t="str">
        <f t="shared" si="4"/>
        <v>A</v>
      </c>
    </row>
    <row r="23" spans="1:13" ht="50.45" customHeight="1">
      <c r="A23" s="47">
        <v>19</v>
      </c>
      <c r="B23" s="48" t="s">
        <v>314</v>
      </c>
      <c r="C23" s="47" t="s">
        <v>315</v>
      </c>
      <c r="D23" s="47" t="s">
        <v>316</v>
      </c>
      <c r="E23" s="48">
        <v>2</v>
      </c>
      <c r="F23" s="48">
        <v>4</v>
      </c>
      <c r="G23" s="48">
        <f>E23*F23</f>
        <v>8</v>
      </c>
      <c r="H23" s="48" t="str">
        <f t="shared" si="3"/>
        <v>B</v>
      </c>
      <c r="I23" s="16" t="s">
        <v>317</v>
      </c>
      <c r="J23" s="48">
        <v>1</v>
      </c>
      <c r="K23" s="48">
        <v>0</v>
      </c>
      <c r="L23" s="48">
        <f t="shared" si="1"/>
        <v>0</v>
      </c>
      <c r="M23" s="48" t="str">
        <f t="shared" si="4"/>
        <v>A</v>
      </c>
    </row>
    <row r="24" spans="1:13" ht="72" customHeight="1">
      <c r="A24" s="45">
        <v>20</v>
      </c>
      <c r="B24" s="48" t="s">
        <v>304</v>
      </c>
      <c r="C24" s="48" t="s">
        <v>82</v>
      </c>
      <c r="D24" s="48" t="s">
        <v>83</v>
      </c>
      <c r="E24" s="47">
        <v>5</v>
      </c>
      <c r="F24" s="47">
        <v>1</v>
      </c>
      <c r="G24" s="47">
        <f>E24*F24</f>
        <v>5</v>
      </c>
      <c r="H24" s="48" t="s">
        <v>47</v>
      </c>
      <c r="I24" s="16" t="s">
        <v>234</v>
      </c>
      <c r="J24" s="48">
        <v>1</v>
      </c>
      <c r="K24" s="48">
        <v>0</v>
      </c>
      <c r="L24" s="48">
        <f t="shared" si="1"/>
        <v>0</v>
      </c>
      <c r="M24" s="48" t="s">
        <v>47</v>
      </c>
    </row>
    <row r="25" spans="1:13" s="165" customFormat="1" ht="84.6" customHeight="1">
      <c r="A25" s="46"/>
      <c r="B25" s="48" t="s">
        <v>503</v>
      </c>
      <c r="C25" s="48" t="s">
        <v>504</v>
      </c>
      <c r="D25" s="48" t="s">
        <v>505</v>
      </c>
      <c r="E25" s="47">
        <v>5</v>
      </c>
      <c r="F25" s="47">
        <v>1</v>
      </c>
      <c r="G25" s="47">
        <f>E25*F25</f>
        <v>5</v>
      </c>
      <c r="H25" s="48" t="s">
        <v>47</v>
      </c>
      <c r="I25" s="16" t="s">
        <v>786</v>
      </c>
      <c r="J25" s="48">
        <v>1</v>
      </c>
      <c r="K25" s="48">
        <v>0</v>
      </c>
      <c r="L25" s="48">
        <f t="shared" si="1"/>
        <v>0</v>
      </c>
      <c r="M25" s="48" t="s">
        <v>47</v>
      </c>
    </row>
    <row r="26" spans="1:13" ht="84.6" customHeight="1">
      <c r="A26" s="45"/>
      <c r="B26" s="419" t="s">
        <v>506</v>
      </c>
      <c r="C26" s="419" t="s">
        <v>788</v>
      </c>
      <c r="D26" s="419" t="s">
        <v>507</v>
      </c>
      <c r="E26" s="47">
        <v>5</v>
      </c>
      <c r="F26" s="47">
        <v>1</v>
      </c>
      <c r="G26" s="47">
        <f>E26*F26</f>
        <v>5</v>
      </c>
      <c r="H26" s="48" t="s">
        <v>47</v>
      </c>
      <c r="I26" s="16" t="s">
        <v>508</v>
      </c>
      <c r="J26" s="48">
        <v>1</v>
      </c>
      <c r="K26" s="48">
        <v>0</v>
      </c>
      <c r="L26" s="48">
        <f t="shared" si="1"/>
        <v>0</v>
      </c>
      <c r="M26" s="48" t="s">
        <v>47</v>
      </c>
    </row>
    <row r="27" spans="1:13" s="200" customFormat="1" ht="17.25" customHeight="1">
      <c r="A27" s="612" t="s">
        <v>745</v>
      </c>
      <c r="B27" s="613"/>
      <c r="C27" s="613"/>
      <c r="D27" s="613"/>
      <c r="E27" s="613"/>
      <c r="F27" s="613"/>
      <c r="G27" s="613"/>
      <c r="H27" s="613"/>
      <c r="I27" s="613"/>
      <c r="J27" s="613"/>
      <c r="K27" s="613"/>
      <c r="L27" s="613"/>
      <c r="M27" s="613"/>
    </row>
    <row r="28" spans="1:13" s="200" customFormat="1" ht="17.25" customHeight="1">
      <c r="A28" s="615" t="s">
        <v>626</v>
      </c>
      <c r="B28" s="616"/>
      <c r="C28" s="616"/>
      <c r="D28" s="616"/>
      <c r="E28" s="616"/>
      <c r="F28" s="616"/>
      <c r="G28" s="616"/>
      <c r="H28" s="616"/>
      <c r="I28" s="616"/>
      <c r="J28" s="616"/>
      <c r="K28" s="616"/>
      <c r="L28" s="616"/>
      <c r="M28" s="616"/>
    </row>
    <row r="29" spans="1:13" s="200" customFormat="1" ht="17.25" customHeight="1">
      <c r="A29" s="603" t="s">
        <v>744</v>
      </c>
      <c r="B29" s="604"/>
      <c r="C29" s="604"/>
      <c r="D29" s="604"/>
      <c r="E29" s="604"/>
      <c r="F29" s="604"/>
      <c r="G29" s="604"/>
      <c r="H29" s="604"/>
      <c r="I29" s="604"/>
      <c r="J29" s="604"/>
      <c r="K29" s="604"/>
      <c r="L29" s="604"/>
      <c r="M29" s="604"/>
    </row>
    <row r="30" spans="1:13" s="200" customFormat="1" ht="17.25" customHeight="1">
      <c r="A30" s="606" t="s">
        <v>627</v>
      </c>
      <c r="B30" s="607"/>
      <c r="C30" s="607"/>
      <c r="D30" s="607"/>
      <c r="E30" s="607"/>
      <c r="F30" s="607"/>
      <c r="G30" s="607"/>
      <c r="H30" s="607"/>
      <c r="I30" s="607"/>
      <c r="J30" s="607"/>
      <c r="K30" s="607"/>
      <c r="L30" s="607"/>
      <c r="M30" s="607"/>
    </row>
    <row r="31" spans="1:13" s="195" customFormat="1" ht="15.75" customHeight="1">
      <c r="A31" s="265"/>
      <c r="B31" s="268" t="s">
        <v>330</v>
      </c>
      <c r="C31" s="253" t="s">
        <v>331</v>
      </c>
      <c r="D31" s="253" t="s">
        <v>335</v>
      </c>
      <c r="E31" s="490" t="s">
        <v>759</v>
      </c>
      <c r="F31" s="491"/>
      <c r="G31" s="492" t="s">
        <v>644</v>
      </c>
      <c r="H31" s="493"/>
      <c r="I31" s="494"/>
      <c r="J31" s="494"/>
      <c r="K31" s="495"/>
      <c r="L31" s="501" t="s">
        <v>643</v>
      </c>
      <c r="M31" s="501"/>
    </row>
    <row r="32" spans="1:13" s="195" customFormat="1" ht="15.75" customHeight="1">
      <c r="A32" s="265"/>
      <c r="B32" s="268">
        <v>0</v>
      </c>
      <c r="C32" s="253" t="s">
        <v>767</v>
      </c>
      <c r="D32" s="253" t="s">
        <v>768</v>
      </c>
      <c r="E32" s="496" t="s">
        <v>760</v>
      </c>
      <c r="F32" s="497"/>
      <c r="G32" s="492" t="s">
        <v>645</v>
      </c>
      <c r="H32" s="493"/>
      <c r="I32" s="493"/>
      <c r="J32" s="493"/>
      <c r="K32" s="498"/>
      <c r="L32" s="501" t="s">
        <v>769</v>
      </c>
      <c r="M32" s="501"/>
    </row>
    <row r="33" spans="1:13" s="195" customFormat="1" ht="15.75" customHeight="1">
      <c r="A33" s="256"/>
      <c r="B33" s="268">
        <v>0</v>
      </c>
      <c r="C33" s="253" t="s">
        <v>767</v>
      </c>
      <c r="D33" s="253" t="s">
        <v>791</v>
      </c>
      <c r="E33" s="496" t="s">
        <v>789</v>
      </c>
      <c r="F33" s="497"/>
      <c r="G33" s="490" t="s">
        <v>795</v>
      </c>
      <c r="H33" s="491"/>
      <c r="I33" s="491"/>
      <c r="J33" s="491"/>
      <c r="K33" s="500"/>
      <c r="L33" s="501" t="s">
        <v>790</v>
      </c>
      <c r="M33" s="501"/>
    </row>
  </sheetData>
  <mergeCells count="25">
    <mergeCell ref="C2:H2"/>
    <mergeCell ref="E1:M1"/>
    <mergeCell ref="B9:B20"/>
    <mergeCell ref="A3:A4"/>
    <mergeCell ref="B3:B4"/>
    <mergeCell ref="C3:C4"/>
    <mergeCell ref="D3:D4"/>
    <mergeCell ref="E3:H3"/>
    <mergeCell ref="A27:M27"/>
    <mergeCell ref="A28:M28"/>
    <mergeCell ref="A29:M29"/>
    <mergeCell ref="A30:M30"/>
    <mergeCell ref="I3:I4"/>
    <mergeCell ref="J3:M3"/>
    <mergeCell ref="I6:I8"/>
    <mergeCell ref="B5:B8"/>
    <mergeCell ref="E33:F33"/>
    <mergeCell ref="G33:K33"/>
    <mergeCell ref="L33:M33"/>
    <mergeCell ref="E31:F31"/>
    <mergeCell ref="G31:K31"/>
    <mergeCell ref="L31:M31"/>
    <mergeCell ref="E32:F32"/>
    <mergeCell ref="G32:K32"/>
    <mergeCell ref="L32:M32"/>
  </mergeCells>
  <pageMargins left="0.44" right="0.16" top="0.74" bottom="0.16" header="0.36" footer="0.23"/>
  <pageSetup scale="58" fitToHeight="0" orientation="landscape" useFirstPageNumber="1" r:id="rId1"/>
  <headerFooter alignWithMargins="0"/>
  <rowBreaks count="1" manualBreakCount="1">
    <brk id="11" max="1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19"/>
  <sheetViews>
    <sheetView showGridLines="0" topLeftCell="A7" zoomScale="71" zoomScaleNormal="71" workbookViewId="0">
      <selection activeCell="I8" sqref="I8:K8"/>
    </sheetView>
  </sheetViews>
  <sheetFormatPr defaultRowHeight="18.75"/>
  <cols>
    <col min="1" max="1" width="9.140625" style="139"/>
    <col min="2" max="2" width="12.140625" style="139" customWidth="1"/>
    <col min="3" max="3" width="20.42578125" style="139" customWidth="1"/>
    <col min="4" max="4" width="38.85546875" style="139" customWidth="1"/>
    <col min="5" max="8" width="8.7109375" style="139" customWidth="1"/>
    <col min="9" max="9" width="11.5703125" style="139" customWidth="1"/>
    <col min="10" max="10" width="11.85546875" style="139" customWidth="1"/>
    <col min="11" max="11" width="53.5703125" style="139" customWidth="1"/>
    <col min="12" max="15" width="8.42578125" style="39" customWidth="1"/>
    <col min="16" max="16384" width="9.140625" style="139"/>
  </cols>
  <sheetData>
    <row r="1" spans="2:15" ht="12.75">
      <c r="B1" s="154"/>
      <c r="C1" s="155"/>
      <c r="D1" s="155"/>
      <c r="E1" s="155"/>
      <c r="F1" s="155"/>
      <c r="G1" s="155"/>
      <c r="H1" s="155"/>
      <c r="I1" s="155"/>
      <c r="J1" s="155"/>
      <c r="K1" s="155"/>
      <c r="L1" s="155"/>
      <c r="M1" s="155"/>
      <c r="N1" s="155"/>
      <c r="O1" s="156"/>
    </row>
    <row r="2" spans="2:15" ht="22.5" customHeight="1">
      <c r="B2" s="254"/>
      <c r="C2" s="251"/>
      <c r="D2" s="251"/>
      <c r="E2" s="251"/>
      <c r="F2" s="251"/>
      <c r="G2" s="251"/>
      <c r="H2" s="251"/>
      <c r="I2" s="251"/>
      <c r="J2" s="251"/>
      <c r="K2" s="251"/>
      <c r="L2" s="251"/>
      <c r="M2" s="252"/>
      <c r="N2" s="252"/>
      <c r="O2" s="255"/>
    </row>
    <row r="3" spans="2:15" ht="45" customHeight="1">
      <c r="B3" s="254"/>
      <c r="C3" s="251"/>
      <c r="D3" s="679" t="s">
        <v>664</v>
      </c>
      <c r="E3" s="679"/>
      <c r="F3" s="679"/>
      <c r="G3" s="679"/>
      <c r="H3" s="679"/>
      <c r="I3" s="679"/>
      <c r="J3" s="679"/>
      <c r="K3" s="679"/>
      <c r="L3" s="251"/>
      <c r="M3" s="157"/>
      <c r="N3" s="157"/>
      <c r="O3" s="158"/>
    </row>
    <row r="4" spans="2:15" ht="15.75" customHeight="1">
      <c r="B4" s="256"/>
      <c r="C4" s="159"/>
      <c r="D4" s="159"/>
      <c r="E4" s="159"/>
      <c r="F4" s="159"/>
      <c r="G4" s="159"/>
      <c r="H4" s="159"/>
      <c r="I4" s="159"/>
      <c r="J4" s="159"/>
      <c r="K4" s="159"/>
      <c r="L4" s="257"/>
      <c r="M4" s="248"/>
      <c r="N4" s="248"/>
      <c r="O4" s="258"/>
    </row>
    <row r="5" spans="2:15" ht="44.25" customHeight="1">
      <c r="B5" s="669" t="s">
        <v>334</v>
      </c>
      <c r="C5" s="670"/>
      <c r="D5" s="680" t="s">
        <v>648</v>
      </c>
      <c r="E5" s="682" t="s">
        <v>480</v>
      </c>
      <c r="F5" s="683"/>
      <c r="G5" s="683"/>
      <c r="H5" s="684"/>
      <c r="I5" s="680" t="s">
        <v>7</v>
      </c>
      <c r="J5" s="680"/>
      <c r="K5" s="680"/>
      <c r="L5" s="680" t="s">
        <v>665</v>
      </c>
      <c r="M5" s="681"/>
      <c r="N5" s="681"/>
      <c r="O5" s="681"/>
    </row>
    <row r="6" spans="2:15" ht="50.25" customHeight="1">
      <c r="B6" s="671"/>
      <c r="C6" s="672"/>
      <c r="D6" s="680"/>
      <c r="E6" s="269" t="s">
        <v>482</v>
      </c>
      <c r="F6" s="269" t="s">
        <v>483</v>
      </c>
      <c r="G6" s="269" t="s">
        <v>484</v>
      </c>
      <c r="H6" s="269" t="s">
        <v>5</v>
      </c>
      <c r="I6" s="680"/>
      <c r="J6" s="680"/>
      <c r="K6" s="680"/>
      <c r="L6" s="270" t="s">
        <v>0</v>
      </c>
      <c r="M6" s="271" t="s">
        <v>1</v>
      </c>
      <c r="N6" s="271" t="s">
        <v>12</v>
      </c>
      <c r="O6" s="270" t="s">
        <v>9</v>
      </c>
    </row>
    <row r="7" spans="2:15" ht="129.75" customHeight="1">
      <c r="B7" s="114">
        <v>1</v>
      </c>
      <c r="C7" s="673" t="s">
        <v>649</v>
      </c>
      <c r="D7" s="171" t="s">
        <v>650</v>
      </c>
      <c r="E7" s="170">
        <v>3</v>
      </c>
      <c r="F7" s="170">
        <v>3</v>
      </c>
      <c r="G7" s="170">
        <v>9</v>
      </c>
      <c r="H7" s="170" t="s">
        <v>46</v>
      </c>
      <c r="I7" s="674" t="s">
        <v>658</v>
      </c>
      <c r="J7" s="674"/>
      <c r="K7" s="674"/>
      <c r="L7" s="259">
        <v>1</v>
      </c>
      <c r="M7" s="259">
        <v>2</v>
      </c>
      <c r="N7" s="259">
        <f>M7*L7</f>
        <v>2</v>
      </c>
      <c r="O7" s="260" t="s">
        <v>47</v>
      </c>
    </row>
    <row r="8" spans="2:15" ht="102.75" customHeight="1">
      <c r="B8" s="114">
        <v>2</v>
      </c>
      <c r="C8" s="673"/>
      <c r="D8" s="171" t="s">
        <v>651</v>
      </c>
      <c r="E8" s="170">
        <v>3</v>
      </c>
      <c r="F8" s="170">
        <v>3</v>
      </c>
      <c r="G8" s="170">
        <v>9</v>
      </c>
      <c r="H8" s="170" t="s">
        <v>46</v>
      </c>
      <c r="I8" s="674" t="s">
        <v>659</v>
      </c>
      <c r="J8" s="674"/>
      <c r="K8" s="674"/>
      <c r="L8" s="259">
        <v>1</v>
      </c>
      <c r="M8" s="259">
        <v>2</v>
      </c>
      <c r="N8" s="259">
        <f t="shared" ref="N8:N11" si="0">M8*L8</f>
        <v>2</v>
      </c>
      <c r="O8" s="260" t="s">
        <v>47</v>
      </c>
    </row>
    <row r="9" spans="2:15" ht="111" customHeight="1">
      <c r="B9" s="114">
        <v>3</v>
      </c>
      <c r="C9" s="673"/>
      <c r="D9" s="171" t="s">
        <v>652</v>
      </c>
      <c r="E9" s="170">
        <v>3</v>
      </c>
      <c r="F9" s="170">
        <v>3</v>
      </c>
      <c r="G9" s="170">
        <v>9</v>
      </c>
      <c r="H9" s="170" t="s">
        <v>46</v>
      </c>
      <c r="I9" s="674" t="s">
        <v>653</v>
      </c>
      <c r="J9" s="674"/>
      <c r="K9" s="674"/>
      <c r="L9" s="259">
        <v>1</v>
      </c>
      <c r="M9" s="259">
        <v>2</v>
      </c>
      <c r="N9" s="259">
        <f t="shared" si="0"/>
        <v>2</v>
      </c>
      <c r="O9" s="260" t="s">
        <v>47</v>
      </c>
    </row>
    <row r="10" spans="2:15" ht="113.25" customHeight="1">
      <c r="B10" s="114">
        <v>4</v>
      </c>
      <c r="C10" s="171" t="s">
        <v>654</v>
      </c>
      <c r="D10" s="171" t="s">
        <v>655</v>
      </c>
      <c r="E10" s="170">
        <v>2</v>
      </c>
      <c r="F10" s="170">
        <v>3</v>
      </c>
      <c r="G10" s="170">
        <v>5</v>
      </c>
      <c r="H10" s="170" t="s">
        <v>47</v>
      </c>
      <c r="I10" s="674" t="s">
        <v>661</v>
      </c>
      <c r="J10" s="674"/>
      <c r="K10" s="674"/>
      <c r="L10" s="259">
        <v>1</v>
      </c>
      <c r="M10" s="259">
        <v>2</v>
      </c>
      <c r="N10" s="259">
        <f t="shared" si="0"/>
        <v>2</v>
      </c>
      <c r="O10" s="260" t="s">
        <v>47</v>
      </c>
    </row>
    <row r="11" spans="2:15" ht="146.25" customHeight="1">
      <c r="B11" s="261">
        <v>5</v>
      </c>
      <c r="C11" s="262" t="s">
        <v>656</v>
      </c>
      <c r="D11" s="262" t="s">
        <v>657</v>
      </c>
      <c r="E11" s="173">
        <v>1</v>
      </c>
      <c r="F11" s="173">
        <v>1</v>
      </c>
      <c r="G11" s="173">
        <v>2</v>
      </c>
      <c r="H11" s="173" t="s">
        <v>47</v>
      </c>
      <c r="I11" s="675" t="s">
        <v>660</v>
      </c>
      <c r="J11" s="675"/>
      <c r="K11" s="675"/>
      <c r="L11" s="263">
        <v>1</v>
      </c>
      <c r="M11" s="263">
        <v>0</v>
      </c>
      <c r="N11" s="263">
        <f t="shared" si="0"/>
        <v>0</v>
      </c>
      <c r="O11" s="264" t="s">
        <v>47</v>
      </c>
    </row>
    <row r="12" spans="2:15" ht="15" customHeight="1">
      <c r="B12" s="154"/>
      <c r="C12" s="155"/>
      <c r="D12" s="155"/>
      <c r="E12" s="155"/>
      <c r="F12" s="155"/>
      <c r="G12" s="155"/>
      <c r="H12" s="155"/>
      <c r="I12" s="155"/>
      <c r="J12" s="155"/>
      <c r="K12" s="155"/>
      <c r="L12" s="176"/>
      <c r="M12" s="176"/>
      <c r="N12" s="176"/>
      <c r="O12" s="177"/>
    </row>
    <row r="13" spans="2:15" ht="12.75" customHeight="1">
      <c r="B13" s="265" t="s">
        <v>745</v>
      </c>
      <c r="C13" s="157"/>
      <c r="D13" s="157"/>
      <c r="E13" s="157"/>
      <c r="F13" s="157"/>
      <c r="G13" s="157"/>
      <c r="H13" s="157"/>
      <c r="I13" s="157"/>
      <c r="J13" s="157"/>
      <c r="K13" s="157"/>
      <c r="O13" s="266"/>
    </row>
    <row r="14" spans="2:15" ht="12.75" customHeight="1">
      <c r="B14" s="265" t="s">
        <v>626</v>
      </c>
      <c r="C14" s="157"/>
      <c r="D14" s="157"/>
      <c r="E14" s="157"/>
      <c r="F14" s="157"/>
      <c r="G14" s="157"/>
      <c r="H14" s="157"/>
      <c r="I14" s="157"/>
      <c r="J14" s="157"/>
      <c r="K14" s="157"/>
      <c r="O14" s="266"/>
    </row>
    <row r="15" spans="2:15" ht="12.75" customHeight="1">
      <c r="B15" s="265" t="s">
        <v>744</v>
      </c>
      <c r="C15" s="157"/>
      <c r="D15" s="157"/>
      <c r="E15" s="157"/>
      <c r="F15" s="157"/>
      <c r="G15" s="157"/>
      <c r="H15" s="157"/>
      <c r="I15" s="157"/>
      <c r="J15" s="157"/>
      <c r="K15" s="157"/>
      <c r="O15" s="266"/>
    </row>
    <row r="16" spans="2:15" ht="12.75" customHeight="1">
      <c r="B16" s="256" t="s">
        <v>627</v>
      </c>
      <c r="C16" s="159"/>
      <c r="D16" s="159"/>
      <c r="E16" s="159"/>
      <c r="F16" s="159"/>
      <c r="G16" s="159"/>
      <c r="H16" s="159"/>
      <c r="I16" s="159"/>
      <c r="J16" s="159"/>
      <c r="K16" s="159"/>
      <c r="L16" s="172"/>
      <c r="M16" s="172"/>
      <c r="N16" s="172"/>
      <c r="O16" s="267"/>
    </row>
    <row r="17" spans="1:15" s="195" customFormat="1" ht="28.5" customHeight="1">
      <c r="A17" s="139"/>
      <c r="B17" s="268" t="s">
        <v>330</v>
      </c>
      <c r="C17" s="253" t="s">
        <v>331</v>
      </c>
      <c r="D17" s="253" t="s">
        <v>663</v>
      </c>
      <c r="E17" s="685" t="s">
        <v>332</v>
      </c>
      <c r="F17" s="686"/>
      <c r="G17" s="687"/>
      <c r="H17" s="676" t="s">
        <v>644</v>
      </c>
      <c r="I17" s="677"/>
      <c r="J17" s="677"/>
      <c r="K17" s="677"/>
      <c r="L17" s="678"/>
      <c r="M17" s="689" t="s">
        <v>643</v>
      </c>
      <c r="N17" s="690"/>
      <c r="O17" s="691"/>
    </row>
    <row r="18" spans="1:15" s="195" customFormat="1" ht="28.5" customHeight="1">
      <c r="A18" s="139"/>
      <c r="B18" s="268">
        <v>0</v>
      </c>
      <c r="C18" s="253" t="s">
        <v>502</v>
      </c>
      <c r="D18" s="253">
        <v>0</v>
      </c>
      <c r="E18" s="688">
        <v>43952</v>
      </c>
      <c r="F18" s="686"/>
      <c r="G18" s="687"/>
      <c r="H18" s="676" t="s">
        <v>645</v>
      </c>
      <c r="I18" s="677"/>
      <c r="J18" s="677"/>
      <c r="K18" s="677"/>
      <c r="L18" s="678"/>
      <c r="M18" s="689" t="s">
        <v>662</v>
      </c>
      <c r="N18" s="690"/>
      <c r="O18" s="691"/>
    </row>
    <row r="19" spans="1:15" s="195" customFormat="1" ht="28.5" customHeight="1">
      <c r="A19" s="139"/>
      <c r="B19" s="212"/>
      <c r="C19" s="253"/>
      <c r="D19" s="253"/>
      <c r="E19" s="685"/>
      <c r="F19" s="686"/>
      <c r="G19" s="687"/>
      <c r="H19" s="676"/>
      <c r="I19" s="677"/>
      <c r="J19" s="677"/>
      <c r="K19" s="677"/>
      <c r="L19" s="678"/>
      <c r="M19" s="689"/>
      <c r="N19" s="690"/>
      <c r="O19" s="691"/>
    </row>
  </sheetData>
  <mergeCells count="21">
    <mergeCell ref="I11:K11"/>
    <mergeCell ref="H18:L18"/>
    <mergeCell ref="H19:L19"/>
    <mergeCell ref="D3:K3"/>
    <mergeCell ref="L5:O5"/>
    <mergeCell ref="I10:K10"/>
    <mergeCell ref="D5:D6"/>
    <mergeCell ref="E5:H5"/>
    <mergeCell ref="I5:K6"/>
    <mergeCell ref="E17:G17"/>
    <mergeCell ref="E18:G18"/>
    <mergeCell ref="E19:G19"/>
    <mergeCell ref="M19:O19"/>
    <mergeCell ref="M17:O17"/>
    <mergeCell ref="M18:O18"/>
    <mergeCell ref="H17:L17"/>
    <mergeCell ref="B5:C6"/>
    <mergeCell ref="C7:C9"/>
    <mergeCell ref="I7:K7"/>
    <mergeCell ref="I8:K8"/>
    <mergeCell ref="I9:K9"/>
  </mergeCells>
  <pageMargins left="0.7" right="0.7" top="0.75" bottom="0.75" header="0.3" footer="0.3"/>
  <pageSetup paperSize="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41"/>
  <sheetViews>
    <sheetView showGridLines="0" topLeftCell="A4" zoomScale="89" zoomScaleNormal="89" zoomScaleSheetLayoutView="82" workbookViewId="0">
      <selection activeCell="A12" sqref="A12:M12"/>
    </sheetView>
  </sheetViews>
  <sheetFormatPr defaultColWidth="11.5703125" defaultRowHeight="18.75"/>
  <cols>
    <col min="1" max="1" width="4.85546875" style="41" customWidth="1"/>
    <col min="2" max="2" width="15.28515625" style="60" customWidth="1"/>
    <col min="3" max="3" width="31.5703125" style="44" customWidth="1"/>
    <col min="4" max="4" width="45.28515625" style="44" customWidth="1"/>
    <col min="5" max="5" width="4.5703125" style="41" customWidth="1"/>
    <col min="6" max="6" width="5" style="41" customWidth="1"/>
    <col min="7" max="7" width="6.85546875" style="41" customWidth="1"/>
    <col min="8" max="8" width="11.7109375" style="41" customWidth="1"/>
    <col min="9" max="9" width="39.5703125" style="60" customWidth="1"/>
    <col min="10" max="10" width="4.7109375" style="41" customWidth="1"/>
    <col min="11" max="11" width="4.85546875" style="41" customWidth="1"/>
    <col min="12" max="12" width="6.5703125" style="41" customWidth="1"/>
    <col min="13" max="13" width="11.42578125" style="41" customWidth="1"/>
    <col min="14" max="16384" width="11.5703125" style="40"/>
  </cols>
  <sheetData>
    <row r="1" spans="1:13" ht="22.9" customHeight="1">
      <c r="A1" s="44"/>
      <c r="B1" s="44"/>
      <c r="E1" s="694" t="s">
        <v>770</v>
      </c>
      <c r="F1" s="694"/>
      <c r="G1" s="694"/>
      <c r="H1" s="694"/>
      <c r="I1" s="694"/>
      <c r="J1" s="694"/>
      <c r="K1" s="694"/>
      <c r="L1" s="694"/>
      <c r="M1" s="694"/>
    </row>
    <row r="2" spans="1:13" ht="164.45" customHeight="1">
      <c r="A2" s="695" t="s">
        <v>318</v>
      </c>
      <c r="B2" s="696"/>
      <c r="C2" s="696"/>
      <c r="D2" s="696"/>
      <c r="E2" s="697"/>
      <c r="F2" s="697"/>
      <c r="G2" s="697"/>
      <c r="H2" s="697"/>
      <c r="I2" s="697"/>
      <c r="J2" s="697"/>
      <c r="K2" s="697"/>
      <c r="L2" s="697"/>
      <c r="M2" s="698"/>
    </row>
    <row r="3" spans="1:13" s="146" customFormat="1" ht="63.75" customHeight="1">
      <c r="A3" s="693" t="s">
        <v>2</v>
      </c>
      <c r="B3" s="692" t="s">
        <v>45</v>
      </c>
      <c r="C3" s="692" t="s">
        <v>6</v>
      </c>
      <c r="D3" s="693" t="s">
        <v>3</v>
      </c>
      <c r="E3" s="693" t="s">
        <v>4</v>
      </c>
      <c r="F3" s="693"/>
      <c r="G3" s="693"/>
      <c r="H3" s="693"/>
      <c r="I3" s="692" t="s">
        <v>7</v>
      </c>
      <c r="J3" s="692" t="s">
        <v>8</v>
      </c>
      <c r="K3" s="693"/>
      <c r="L3" s="693"/>
      <c r="M3" s="693"/>
    </row>
    <row r="4" spans="1:13" s="146" customFormat="1" ht="62.25" customHeight="1">
      <c r="A4" s="543"/>
      <c r="B4" s="542"/>
      <c r="C4" s="543"/>
      <c r="D4" s="543"/>
      <c r="E4" s="144" t="s">
        <v>0</v>
      </c>
      <c r="F4" s="144" t="s">
        <v>1</v>
      </c>
      <c r="G4" s="144" t="s">
        <v>12</v>
      </c>
      <c r="H4" s="142" t="s">
        <v>5</v>
      </c>
      <c r="I4" s="542"/>
      <c r="J4" s="143" t="s">
        <v>0</v>
      </c>
      <c r="K4" s="144" t="s">
        <v>1</v>
      </c>
      <c r="L4" s="144" t="s">
        <v>12</v>
      </c>
      <c r="M4" s="143" t="s">
        <v>9</v>
      </c>
    </row>
    <row r="5" spans="1:13" s="44" customFormat="1" ht="84" customHeight="1">
      <c r="A5" s="42">
        <v>1</v>
      </c>
      <c r="B5" s="663" t="s">
        <v>232</v>
      </c>
      <c r="C5" s="61" t="s">
        <v>55</v>
      </c>
      <c r="D5" s="62" t="s">
        <v>229</v>
      </c>
      <c r="E5" s="61">
        <v>5</v>
      </c>
      <c r="F5" s="61">
        <v>2</v>
      </c>
      <c r="G5" s="61">
        <f>E5*F5</f>
        <v>10</v>
      </c>
      <c r="H5" s="62" t="s">
        <v>46</v>
      </c>
      <c r="I5" s="62" t="s">
        <v>292</v>
      </c>
      <c r="J5" s="62">
        <v>5</v>
      </c>
      <c r="K5" s="61">
        <v>0</v>
      </c>
      <c r="L5" s="61">
        <v>0</v>
      </c>
      <c r="M5" s="62" t="s">
        <v>46</v>
      </c>
    </row>
    <row r="6" spans="1:13" s="51" customFormat="1" ht="54" customHeight="1">
      <c r="A6" s="42">
        <v>2</v>
      </c>
      <c r="B6" s="664"/>
      <c r="C6" s="43" t="s">
        <v>65</v>
      </c>
      <c r="D6" s="43" t="s">
        <v>73</v>
      </c>
      <c r="E6" s="42">
        <v>5</v>
      </c>
      <c r="F6" s="42">
        <v>2</v>
      </c>
      <c r="G6" s="42">
        <f>E6*F6</f>
        <v>10</v>
      </c>
      <c r="H6" s="42" t="s">
        <v>46</v>
      </c>
      <c r="I6" s="43" t="s">
        <v>231</v>
      </c>
      <c r="J6" s="42">
        <v>5</v>
      </c>
      <c r="K6" s="42">
        <v>0</v>
      </c>
      <c r="L6" s="42">
        <v>0</v>
      </c>
      <c r="M6" s="475" t="s">
        <v>46</v>
      </c>
    </row>
    <row r="7" spans="1:13" s="51" customFormat="1" ht="30.75" customHeight="1">
      <c r="A7" s="42">
        <v>3</v>
      </c>
      <c r="B7" s="664"/>
      <c r="C7" s="99" t="s">
        <v>66</v>
      </c>
      <c r="D7" s="43" t="s">
        <v>67</v>
      </c>
      <c r="E7" s="42">
        <v>5</v>
      </c>
      <c r="F7" s="42">
        <v>5</v>
      </c>
      <c r="G7" s="42">
        <v>25</v>
      </c>
      <c r="H7" s="42" t="s">
        <v>48</v>
      </c>
      <c r="I7" s="663" t="s">
        <v>277</v>
      </c>
      <c r="J7" s="42">
        <v>5</v>
      </c>
      <c r="K7" s="42">
        <v>0</v>
      </c>
      <c r="L7" s="42">
        <v>0</v>
      </c>
      <c r="M7" s="475" t="s">
        <v>48</v>
      </c>
    </row>
    <row r="8" spans="1:13" s="51" customFormat="1" ht="33.75" customHeight="1">
      <c r="A8" s="42">
        <v>4</v>
      </c>
      <c r="B8" s="664"/>
      <c r="C8" s="99" t="s">
        <v>62</v>
      </c>
      <c r="D8" s="43" t="s">
        <v>63</v>
      </c>
      <c r="E8" s="42">
        <v>2</v>
      </c>
      <c r="F8" s="42">
        <v>5</v>
      </c>
      <c r="G8" s="42">
        <f>E8*F8</f>
        <v>10</v>
      </c>
      <c r="H8" s="42" t="s">
        <v>46</v>
      </c>
      <c r="I8" s="664"/>
      <c r="J8" s="42">
        <v>2</v>
      </c>
      <c r="K8" s="42">
        <v>0</v>
      </c>
      <c r="L8" s="42">
        <v>0</v>
      </c>
      <c r="M8" s="475" t="s">
        <v>46</v>
      </c>
    </row>
    <row r="9" spans="1:13" s="51" customFormat="1" ht="63.6" customHeight="1">
      <c r="A9" s="42">
        <v>5</v>
      </c>
      <c r="B9" s="699"/>
      <c r="C9" s="99" t="s">
        <v>70</v>
      </c>
      <c r="D9" s="43" t="s">
        <v>233</v>
      </c>
      <c r="E9" s="42">
        <v>3</v>
      </c>
      <c r="F9" s="42">
        <v>5</v>
      </c>
      <c r="G9" s="42">
        <f>E9*F9</f>
        <v>15</v>
      </c>
      <c r="H9" s="42" t="s">
        <v>48</v>
      </c>
      <c r="I9" s="43" t="s">
        <v>276</v>
      </c>
      <c r="J9" s="42">
        <v>3</v>
      </c>
      <c r="K9" s="42">
        <v>0</v>
      </c>
      <c r="L9" s="42">
        <v>0</v>
      </c>
      <c r="M9" s="475" t="s">
        <v>48</v>
      </c>
    </row>
    <row r="10" spans="1:13" s="51" customFormat="1" ht="27" customHeight="1">
      <c r="A10" s="42">
        <v>6</v>
      </c>
      <c r="B10" s="700" t="s">
        <v>272</v>
      </c>
      <c r="C10" s="99" t="s">
        <v>273</v>
      </c>
      <c r="D10" s="99" t="s">
        <v>274</v>
      </c>
      <c r="E10" s="42">
        <v>2</v>
      </c>
      <c r="F10" s="42">
        <v>5</v>
      </c>
      <c r="G10" s="42">
        <f>E10*F10</f>
        <v>10</v>
      </c>
      <c r="H10" s="42" t="s">
        <v>46</v>
      </c>
      <c r="I10" s="99" t="s">
        <v>275</v>
      </c>
      <c r="J10" s="99">
        <v>2</v>
      </c>
      <c r="K10" s="99">
        <v>0</v>
      </c>
      <c r="L10" s="99">
        <v>0</v>
      </c>
      <c r="M10" s="475" t="s">
        <v>46</v>
      </c>
    </row>
    <row r="11" spans="1:13" s="51" customFormat="1" ht="61.5" customHeight="1">
      <c r="A11" s="42">
        <v>7</v>
      </c>
      <c r="B11" s="701"/>
      <c r="C11" s="61" t="s">
        <v>269</v>
      </c>
      <c r="D11" s="62" t="s">
        <v>270</v>
      </c>
      <c r="E11" s="42">
        <v>2</v>
      </c>
      <c r="F11" s="42">
        <v>5</v>
      </c>
      <c r="G11" s="42">
        <f>E11*F11</f>
        <v>10</v>
      </c>
      <c r="H11" s="42" t="s">
        <v>46</v>
      </c>
      <c r="I11" s="61" t="s">
        <v>271</v>
      </c>
      <c r="J11" s="42">
        <v>2</v>
      </c>
      <c r="K11" s="42">
        <v>0</v>
      </c>
      <c r="L11" s="42">
        <v>0</v>
      </c>
      <c r="M11" s="475" t="s">
        <v>46</v>
      </c>
    </row>
    <row r="12" spans="1:13" s="200" customFormat="1" ht="15" customHeight="1">
      <c r="A12" s="612" t="s">
        <v>745</v>
      </c>
      <c r="B12" s="613"/>
      <c r="C12" s="613"/>
      <c r="D12" s="613"/>
      <c r="E12" s="613"/>
      <c r="F12" s="613"/>
      <c r="G12" s="613"/>
      <c r="H12" s="613"/>
      <c r="I12" s="613"/>
      <c r="J12" s="613"/>
      <c r="K12" s="613"/>
      <c r="L12" s="613"/>
      <c r="M12" s="614"/>
    </row>
    <row r="13" spans="1:13" s="200" customFormat="1" ht="15" customHeight="1">
      <c r="A13" s="615" t="s">
        <v>626</v>
      </c>
      <c r="B13" s="616"/>
      <c r="C13" s="616"/>
      <c r="D13" s="616"/>
      <c r="E13" s="616"/>
      <c r="F13" s="616"/>
      <c r="G13" s="616"/>
      <c r="H13" s="616"/>
      <c r="I13" s="616"/>
      <c r="J13" s="616"/>
      <c r="K13" s="616"/>
      <c r="L13" s="616"/>
      <c r="M13" s="617"/>
    </row>
    <row r="14" spans="1:13" s="200" customFormat="1" ht="15" customHeight="1">
      <c r="A14" s="603" t="s">
        <v>744</v>
      </c>
      <c r="B14" s="604"/>
      <c r="C14" s="604"/>
      <c r="D14" s="604"/>
      <c r="E14" s="604"/>
      <c r="F14" s="604"/>
      <c r="G14" s="604"/>
      <c r="H14" s="604"/>
      <c r="I14" s="604"/>
      <c r="J14" s="604"/>
      <c r="K14" s="604"/>
      <c r="L14" s="604"/>
      <c r="M14" s="605"/>
    </row>
    <row r="15" spans="1:13" s="200" customFormat="1" ht="15" customHeight="1">
      <c r="A15" s="606" t="s">
        <v>627</v>
      </c>
      <c r="B15" s="607"/>
      <c r="C15" s="607"/>
      <c r="D15" s="607"/>
      <c r="E15" s="607"/>
      <c r="F15" s="607"/>
      <c r="G15" s="607"/>
      <c r="H15" s="607"/>
      <c r="I15" s="607"/>
      <c r="J15" s="607"/>
      <c r="K15" s="607"/>
      <c r="L15" s="607"/>
      <c r="M15" s="608"/>
    </row>
    <row r="16" spans="1:13" s="195" customFormat="1" ht="15.75" customHeight="1">
      <c r="A16" s="265"/>
      <c r="B16" s="268" t="s">
        <v>330</v>
      </c>
      <c r="C16" s="253" t="s">
        <v>331</v>
      </c>
      <c r="D16" s="253" t="s">
        <v>335</v>
      </c>
      <c r="E16" s="490" t="s">
        <v>759</v>
      </c>
      <c r="F16" s="491"/>
      <c r="G16" s="492" t="s">
        <v>644</v>
      </c>
      <c r="H16" s="493"/>
      <c r="I16" s="494"/>
      <c r="J16" s="494"/>
      <c r="K16" s="495"/>
      <c r="L16" s="501" t="s">
        <v>643</v>
      </c>
      <c r="M16" s="501"/>
    </row>
    <row r="17" spans="1:13" s="195" customFormat="1" ht="15.75" customHeight="1">
      <c r="A17" s="265"/>
      <c r="B17" s="268">
        <v>0</v>
      </c>
      <c r="C17" s="253" t="s">
        <v>772</v>
      </c>
      <c r="D17" s="253" t="s">
        <v>768</v>
      </c>
      <c r="E17" s="496" t="s">
        <v>760</v>
      </c>
      <c r="F17" s="497"/>
      <c r="G17" s="492" t="s">
        <v>645</v>
      </c>
      <c r="H17" s="493"/>
      <c r="I17" s="493"/>
      <c r="J17" s="493"/>
      <c r="K17" s="498"/>
      <c r="L17" s="501" t="s">
        <v>771</v>
      </c>
      <c r="M17" s="501"/>
    </row>
    <row r="18" spans="1:13" s="195" customFormat="1" ht="15.75" customHeight="1">
      <c r="A18" s="256"/>
      <c r="B18" s="212"/>
      <c r="C18" s="253"/>
      <c r="D18" s="253"/>
      <c r="E18" s="499"/>
      <c r="F18" s="497"/>
      <c r="G18" s="490"/>
      <c r="H18" s="491"/>
      <c r="I18" s="491"/>
      <c r="J18" s="491"/>
      <c r="K18" s="500"/>
      <c r="L18" s="501"/>
      <c r="M18" s="501"/>
    </row>
    <row r="19" spans="1:13" s="55" customFormat="1">
      <c r="A19" s="59"/>
      <c r="B19" s="58"/>
      <c r="C19" s="103"/>
      <c r="D19" s="63"/>
      <c r="E19" s="59"/>
      <c r="F19" s="59"/>
      <c r="G19" s="50"/>
      <c r="H19" s="59"/>
      <c r="I19" s="58"/>
      <c r="J19" s="59"/>
      <c r="K19" s="59"/>
      <c r="L19" s="59"/>
      <c r="M19" s="59"/>
    </row>
    <row r="20" spans="1:13" s="55" customFormat="1">
      <c r="A20" s="59"/>
      <c r="B20" s="58"/>
      <c r="C20" s="103"/>
      <c r="D20" s="63"/>
      <c r="E20" s="59"/>
      <c r="F20" s="59"/>
      <c r="G20" s="50"/>
      <c r="H20" s="59"/>
      <c r="I20" s="58"/>
      <c r="J20" s="59"/>
      <c r="K20" s="59"/>
      <c r="L20" s="59"/>
      <c r="M20" s="59"/>
    </row>
    <row r="21" spans="1:13" s="55" customFormat="1">
      <c r="A21" s="59"/>
      <c r="B21" s="58"/>
      <c r="C21" s="103"/>
      <c r="D21" s="63"/>
      <c r="E21" s="59"/>
      <c r="F21" s="59"/>
      <c r="G21" s="50"/>
      <c r="H21" s="59"/>
      <c r="I21" s="58"/>
      <c r="J21" s="59"/>
      <c r="K21" s="59"/>
      <c r="L21" s="59"/>
      <c r="M21" s="59"/>
    </row>
    <row r="22" spans="1:13" s="55" customFormat="1">
      <c r="A22" s="59"/>
      <c r="B22" s="58"/>
      <c r="C22" s="103"/>
      <c r="D22" s="63"/>
      <c r="E22" s="59"/>
      <c r="F22" s="59"/>
      <c r="G22" s="50"/>
      <c r="H22" s="59"/>
      <c r="I22" s="58"/>
      <c r="J22" s="59"/>
      <c r="K22" s="59"/>
      <c r="L22" s="59"/>
      <c r="M22" s="59"/>
    </row>
    <row r="23" spans="1:13" s="55" customFormat="1">
      <c r="A23" s="59"/>
      <c r="B23" s="58"/>
      <c r="C23" s="103"/>
      <c r="D23" s="63"/>
      <c r="E23" s="59"/>
      <c r="F23" s="59"/>
      <c r="G23" s="50"/>
      <c r="H23" s="59"/>
      <c r="I23" s="58"/>
      <c r="J23" s="59"/>
      <c r="K23" s="59"/>
      <c r="L23" s="59"/>
      <c r="M23" s="59"/>
    </row>
    <row r="24" spans="1:13" s="55" customFormat="1">
      <c r="A24" s="576"/>
      <c r="B24" s="576"/>
      <c r="C24" s="576"/>
      <c r="D24" s="576"/>
      <c r="E24" s="576"/>
      <c r="F24" s="576"/>
      <c r="G24" s="576"/>
      <c r="H24" s="576"/>
      <c r="I24" s="576"/>
      <c r="J24" s="576"/>
      <c r="K24" s="576"/>
      <c r="L24" s="576"/>
      <c r="M24" s="576"/>
    </row>
    <row r="25" spans="1:13" s="55" customFormat="1">
      <c r="A25" s="59"/>
      <c r="B25" s="58"/>
      <c r="C25" s="103"/>
      <c r="D25" s="63"/>
      <c r="E25" s="59"/>
      <c r="F25" s="59"/>
      <c r="G25" s="50"/>
      <c r="H25" s="59"/>
      <c r="I25" s="58"/>
      <c r="J25" s="59"/>
      <c r="K25" s="59"/>
      <c r="L25" s="59"/>
      <c r="M25" s="59"/>
    </row>
    <row r="26" spans="1:13" s="55" customFormat="1">
      <c r="A26" s="59"/>
      <c r="B26" s="58"/>
      <c r="C26" s="63"/>
      <c r="D26" s="63"/>
      <c r="E26" s="59"/>
      <c r="F26" s="59"/>
      <c r="G26" s="50"/>
      <c r="H26" s="59"/>
      <c r="I26" s="58"/>
      <c r="J26" s="59"/>
      <c r="K26" s="59"/>
      <c r="L26" s="59"/>
      <c r="M26" s="59"/>
    </row>
    <row r="27" spans="1:13" s="55" customFormat="1">
      <c r="A27" s="59"/>
      <c r="B27" s="58"/>
      <c r="C27" s="63"/>
      <c r="D27" s="63"/>
      <c r="E27" s="59"/>
      <c r="F27" s="59"/>
      <c r="G27" s="50"/>
      <c r="H27" s="59"/>
      <c r="I27" s="58"/>
      <c r="J27" s="59"/>
      <c r="K27" s="59"/>
      <c r="L27" s="59"/>
      <c r="M27" s="59"/>
    </row>
    <row r="28" spans="1:13" s="55" customFormat="1">
      <c r="A28" s="59"/>
      <c r="B28" s="58"/>
      <c r="C28" s="63"/>
      <c r="D28" s="63"/>
      <c r="E28" s="59"/>
      <c r="F28" s="59"/>
      <c r="G28" s="50"/>
      <c r="H28" s="59"/>
      <c r="I28" s="58"/>
      <c r="J28" s="59"/>
      <c r="K28" s="59"/>
      <c r="L28" s="59"/>
      <c r="M28" s="59"/>
    </row>
    <row r="29" spans="1:13">
      <c r="G29" s="39"/>
    </row>
    <row r="30" spans="1:13">
      <c r="C30" s="104"/>
      <c r="G30" s="39"/>
    </row>
    <row r="31" spans="1:13">
      <c r="C31" s="104"/>
      <c r="G31" s="39"/>
    </row>
    <row r="32" spans="1:13">
      <c r="C32" s="104"/>
      <c r="G32" s="39"/>
    </row>
    <row r="33" spans="1:13">
      <c r="C33" s="104"/>
      <c r="G33" s="39"/>
    </row>
    <row r="34" spans="1:13">
      <c r="C34" s="104"/>
      <c r="G34" s="39"/>
    </row>
    <row r="35" spans="1:13">
      <c r="G35" s="39"/>
    </row>
    <row r="36" spans="1:13" s="55" customFormat="1">
      <c r="A36" s="561"/>
      <c r="B36" s="561"/>
      <c r="C36" s="561"/>
      <c r="D36" s="561"/>
      <c r="E36" s="561"/>
      <c r="F36" s="561"/>
      <c r="G36" s="561"/>
      <c r="H36" s="561"/>
      <c r="I36" s="561"/>
      <c r="J36" s="561"/>
      <c r="K36" s="561"/>
      <c r="L36" s="561"/>
      <c r="M36" s="561"/>
    </row>
    <row r="37" spans="1:13">
      <c r="C37" s="104"/>
      <c r="G37" s="39"/>
    </row>
    <row r="38" spans="1:13">
      <c r="G38" s="39"/>
    </row>
    <row r="39" spans="1:13">
      <c r="G39" s="39"/>
    </row>
    <row r="40" spans="1:13">
      <c r="G40" s="39"/>
    </row>
    <row r="41" spans="1:13">
      <c r="G41" s="39"/>
    </row>
  </sheetData>
  <mergeCells count="28">
    <mergeCell ref="E1:M1"/>
    <mergeCell ref="A2:D2"/>
    <mergeCell ref="E2:M2"/>
    <mergeCell ref="A24:M24"/>
    <mergeCell ref="A36:M36"/>
    <mergeCell ref="B5:B9"/>
    <mergeCell ref="I7:I8"/>
    <mergeCell ref="B10:B11"/>
    <mergeCell ref="A3:A4"/>
    <mergeCell ref="A13:M13"/>
    <mergeCell ref="A14:M14"/>
    <mergeCell ref="A15:M15"/>
    <mergeCell ref="B3:B4"/>
    <mergeCell ref="C3:C4"/>
    <mergeCell ref="D3:D4"/>
    <mergeCell ref="E3:H3"/>
    <mergeCell ref="I3:I4"/>
    <mergeCell ref="A12:M12"/>
    <mergeCell ref="J3:M3"/>
    <mergeCell ref="E18:F18"/>
    <mergeCell ref="G18:K18"/>
    <mergeCell ref="L18:M18"/>
    <mergeCell ref="E16:F16"/>
    <mergeCell ref="G16:K16"/>
    <mergeCell ref="L16:M16"/>
    <mergeCell ref="E17:F17"/>
    <mergeCell ref="G17:K17"/>
    <mergeCell ref="L17:M17"/>
  </mergeCells>
  <pageMargins left="0.44" right="0.16" top="0.74" bottom="0.16" header="0.36" footer="0.23"/>
  <pageSetup scale="68" fitToHeight="0" orientation="landscape" useFirstPageNumber="1"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8"/>
  <sheetViews>
    <sheetView zoomScale="80" zoomScaleNormal="80" workbookViewId="0">
      <selection activeCell="D4" sqref="D4"/>
    </sheetView>
  </sheetViews>
  <sheetFormatPr defaultRowHeight="12.75"/>
  <cols>
    <col min="1" max="1" width="1.7109375" style="1" customWidth="1"/>
    <col min="2" max="2" width="10.5703125" style="11" customWidth="1"/>
    <col min="3" max="3" width="11.5703125" style="11" customWidth="1"/>
    <col min="4" max="4" width="46.5703125" style="4" customWidth="1"/>
    <col min="5" max="5" width="2.42578125" style="1" customWidth="1"/>
    <col min="6" max="6" width="9.140625" style="11"/>
    <col min="7" max="7" width="11.140625" style="11" customWidth="1"/>
    <col min="8" max="8" width="39.28515625" style="1" customWidth="1"/>
    <col min="9" max="9" width="20.28515625" style="11" customWidth="1"/>
    <col min="10" max="16384" width="9.140625" style="1"/>
  </cols>
  <sheetData>
    <row r="2" spans="2:9" ht="18.75">
      <c r="B2" s="702" t="s">
        <v>14</v>
      </c>
      <c r="C2" s="702"/>
      <c r="D2" s="702"/>
      <c r="F2" s="703" t="s">
        <v>13</v>
      </c>
      <c r="G2" s="703"/>
      <c r="H2" s="703"/>
      <c r="I2" s="703"/>
    </row>
    <row r="3" spans="2:9" ht="67.5" customHeight="1">
      <c r="B3" s="2" t="s">
        <v>16</v>
      </c>
      <c r="C3" s="2" t="s">
        <v>17</v>
      </c>
      <c r="D3" s="5" t="s">
        <v>15</v>
      </c>
      <c r="F3" s="2" t="s">
        <v>39</v>
      </c>
      <c r="G3" s="2" t="s">
        <v>21</v>
      </c>
      <c r="H3" s="2" t="s">
        <v>22</v>
      </c>
      <c r="I3" s="2" t="s">
        <v>23</v>
      </c>
    </row>
    <row r="4" spans="2:9" ht="114" customHeight="1">
      <c r="B4" s="7">
        <v>5</v>
      </c>
      <c r="C4" s="7" t="s">
        <v>18</v>
      </c>
      <c r="D4" s="6" t="s">
        <v>25</v>
      </c>
      <c r="F4" s="7">
        <v>5</v>
      </c>
      <c r="G4" s="7" t="s">
        <v>31</v>
      </c>
      <c r="H4" s="3" t="s">
        <v>41</v>
      </c>
      <c r="I4" s="7" t="s">
        <v>34</v>
      </c>
    </row>
    <row r="5" spans="2:9" ht="99" customHeight="1">
      <c r="B5" s="7">
        <v>4</v>
      </c>
      <c r="C5" s="7" t="s">
        <v>10</v>
      </c>
      <c r="D5" s="9" t="s">
        <v>26</v>
      </c>
      <c r="F5" s="7">
        <v>4</v>
      </c>
      <c r="G5" s="7" t="s">
        <v>30</v>
      </c>
      <c r="H5" s="8" t="s">
        <v>42</v>
      </c>
      <c r="I5" s="7" t="s">
        <v>35</v>
      </c>
    </row>
    <row r="6" spans="2:9" ht="101.25" customHeight="1">
      <c r="B6" s="7">
        <v>3</v>
      </c>
      <c r="C6" s="7" t="s">
        <v>19</v>
      </c>
      <c r="D6" s="10" t="s">
        <v>27</v>
      </c>
      <c r="F6" s="7">
        <v>3</v>
      </c>
      <c r="G6" s="7" t="s">
        <v>24</v>
      </c>
      <c r="H6" s="3" t="s">
        <v>43</v>
      </c>
      <c r="I6" s="7" t="s">
        <v>36</v>
      </c>
    </row>
    <row r="7" spans="2:9" ht="117" customHeight="1">
      <c r="B7" s="7">
        <v>2</v>
      </c>
      <c r="C7" s="7" t="s">
        <v>20</v>
      </c>
      <c r="D7" s="6" t="s">
        <v>28</v>
      </c>
      <c r="F7" s="7">
        <v>2</v>
      </c>
      <c r="G7" s="7" t="s">
        <v>32</v>
      </c>
      <c r="H7" s="8" t="s">
        <v>40</v>
      </c>
      <c r="I7" s="7" t="s">
        <v>37</v>
      </c>
    </row>
    <row r="8" spans="2:9" ht="114" customHeight="1">
      <c r="B8" s="7">
        <v>1</v>
      </c>
      <c r="C8" s="7" t="s">
        <v>11</v>
      </c>
      <c r="D8" s="6" t="s">
        <v>29</v>
      </c>
      <c r="F8" s="7">
        <v>1</v>
      </c>
      <c r="G8" s="7" t="s">
        <v>33</v>
      </c>
      <c r="H8" s="8" t="s">
        <v>44</v>
      </c>
      <c r="I8" s="7" t="s">
        <v>38</v>
      </c>
    </row>
  </sheetData>
  <mergeCells count="2">
    <mergeCell ref="B2:D2"/>
    <mergeCell ref="F2:I2"/>
  </mergeCells>
  <pageMargins left="0.16" right="0.16" top="0.16" bottom="0.25" header="0.16" footer="0.16"/>
  <pageSetup scale="9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62"/>
  <sheetViews>
    <sheetView view="pageBreakPreview" topLeftCell="C1" zoomScale="82" zoomScaleNormal="89" zoomScaleSheetLayoutView="82" workbookViewId="0">
      <selection activeCell="L6" sqref="L6"/>
    </sheetView>
  </sheetViews>
  <sheetFormatPr defaultColWidth="11.5703125" defaultRowHeight="18.75"/>
  <cols>
    <col min="1" max="1" width="4.85546875" style="40" customWidth="1"/>
    <col min="2" max="2" width="15.28515625" style="35" customWidth="1"/>
    <col min="3" max="3" width="43" style="36" customWidth="1"/>
    <col min="4" max="4" width="61.42578125" style="37" customWidth="1"/>
    <col min="5" max="6" width="7.28515625" style="40" customWidth="1"/>
    <col min="7" max="7" width="6.85546875" style="40" customWidth="1"/>
    <col min="8" max="8" width="11.7109375" style="40" customWidth="1"/>
    <col min="9" max="9" width="45.85546875" style="41" customWidth="1"/>
    <col min="10" max="10" width="6.42578125" style="41" customWidth="1"/>
    <col min="11" max="11" width="5.7109375" style="41" customWidth="1"/>
    <col min="12" max="12" width="6.28515625" style="41" customWidth="1"/>
    <col min="13" max="13" width="16.85546875" style="40" customWidth="1"/>
    <col min="14" max="16384" width="11.5703125" style="40"/>
  </cols>
  <sheetData>
    <row r="1" spans="1:13" ht="46.5" customHeight="1">
      <c r="A1" s="39"/>
      <c r="B1" s="12"/>
      <c r="C1" s="704" t="s">
        <v>509</v>
      </c>
      <c r="D1" s="705"/>
      <c r="E1" s="705"/>
      <c r="F1" s="705"/>
      <c r="G1" s="705"/>
      <c r="H1" s="705"/>
      <c r="I1" s="166"/>
      <c r="J1" s="708"/>
      <c r="K1" s="708"/>
      <c r="L1" s="708"/>
      <c r="M1" s="77"/>
    </row>
    <row r="2" spans="1:13" ht="63" customHeight="1">
      <c r="A2" s="167"/>
      <c r="B2" s="167"/>
      <c r="C2" s="706"/>
      <c r="D2" s="707"/>
      <c r="E2" s="707"/>
      <c r="F2" s="707"/>
      <c r="G2" s="707"/>
      <c r="H2" s="707"/>
      <c r="I2" s="166"/>
      <c r="J2" s="709"/>
      <c r="K2" s="709"/>
      <c r="L2" s="709"/>
      <c r="M2" s="39"/>
    </row>
    <row r="3" spans="1:13" s="44" customFormat="1" ht="63.75" customHeight="1">
      <c r="A3" s="711" t="s">
        <v>2</v>
      </c>
      <c r="B3" s="710" t="s">
        <v>45</v>
      </c>
      <c r="C3" s="710" t="s">
        <v>6</v>
      </c>
      <c r="D3" s="711" t="s">
        <v>3</v>
      </c>
      <c r="E3" s="711" t="s">
        <v>4</v>
      </c>
      <c r="F3" s="711"/>
      <c r="G3" s="711"/>
      <c r="H3" s="712"/>
      <c r="I3" s="710" t="s">
        <v>7</v>
      </c>
      <c r="J3" s="710" t="s">
        <v>8</v>
      </c>
      <c r="K3" s="711"/>
      <c r="L3" s="711"/>
      <c r="M3" s="711"/>
    </row>
    <row r="4" spans="1:13" s="44" customFormat="1" ht="45.75" customHeight="1">
      <c r="A4" s="711"/>
      <c r="B4" s="710"/>
      <c r="C4" s="711"/>
      <c r="D4" s="711"/>
      <c r="E4" s="42" t="s">
        <v>0</v>
      </c>
      <c r="F4" s="42" t="s">
        <v>1</v>
      </c>
      <c r="G4" s="42" t="s">
        <v>12</v>
      </c>
      <c r="H4" s="168" t="s">
        <v>5</v>
      </c>
      <c r="I4" s="711"/>
      <c r="J4" s="43" t="s">
        <v>0</v>
      </c>
      <c r="K4" s="42" t="s">
        <v>1</v>
      </c>
      <c r="L4" s="42" t="s">
        <v>12</v>
      </c>
      <c r="M4" s="43" t="s">
        <v>9</v>
      </c>
    </row>
    <row r="5" spans="1:13" s="44" customFormat="1" ht="93" customHeight="1">
      <c r="A5" s="713">
        <v>1</v>
      </c>
      <c r="B5" s="663" t="s">
        <v>510</v>
      </c>
      <c r="C5" s="73" t="s">
        <v>511</v>
      </c>
      <c r="D5" s="71" t="s">
        <v>512</v>
      </c>
      <c r="E5" s="42">
        <v>2</v>
      </c>
      <c r="F5" s="42">
        <v>1</v>
      </c>
      <c r="G5" s="42">
        <f>E5*F5</f>
        <v>2</v>
      </c>
      <c r="H5" s="43" t="s">
        <v>47</v>
      </c>
      <c r="I5" s="140" t="s">
        <v>513</v>
      </c>
      <c r="J5" s="140">
        <v>2</v>
      </c>
      <c r="K5" s="169">
        <v>0</v>
      </c>
      <c r="L5" s="169">
        <v>0</v>
      </c>
      <c r="M5" s="474" t="s">
        <v>47</v>
      </c>
    </row>
    <row r="6" spans="1:13" s="44" customFormat="1" ht="83.25" customHeight="1">
      <c r="A6" s="714"/>
      <c r="B6" s="699"/>
      <c r="C6" s="73">
        <v>2</v>
      </c>
      <c r="D6" s="72" t="s">
        <v>514</v>
      </c>
      <c r="E6" s="42">
        <v>4</v>
      </c>
      <c r="F6" s="42">
        <v>2</v>
      </c>
      <c r="G6" s="42">
        <f>E6*F6</f>
        <v>8</v>
      </c>
      <c r="H6" s="43" t="s">
        <v>46</v>
      </c>
      <c r="I6" s="43" t="s">
        <v>515</v>
      </c>
      <c r="J6" s="43">
        <v>4</v>
      </c>
      <c r="K6" s="42">
        <v>0</v>
      </c>
      <c r="L6" s="42">
        <v>0</v>
      </c>
      <c r="M6" s="474" t="s">
        <v>46</v>
      </c>
    </row>
    <row r="7" spans="1:13" s="44" customFormat="1" ht="116.25" customHeight="1">
      <c r="A7" s="42">
        <v>2</v>
      </c>
      <c r="B7" s="73" t="s">
        <v>516</v>
      </c>
      <c r="C7" s="73" t="s">
        <v>517</v>
      </c>
      <c r="D7" s="72" t="s">
        <v>518</v>
      </c>
      <c r="E7" s="42">
        <v>4</v>
      </c>
      <c r="F7" s="42">
        <v>2</v>
      </c>
      <c r="G7" s="42">
        <f>E7*F7</f>
        <v>8</v>
      </c>
      <c r="H7" s="43" t="s">
        <v>46</v>
      </c>
      <c r="I7" s="43" t="s">
        <v>519</v>
      </c>
      <c r="J7" s="43">
        <v>4</v>
      </c>
      <c r="K7" s="42">
        <v>0</v>
      </c>
      <c r="L7" s="42">
        <v>0</v>
      </c>
      <c r="M7" s="474" t="s">
        <v>46</v>
      </c>
    </row>
    <row r="8" spans="1:13" s="200" customFormat="1" ht="18.75" customHeight="1">
      <c r="A8" s="612" t="s">
        <v>745</v>
      </c>
      <c r="B8" s="613"/>
      <c r="C8" s="613"/>
      <c r="D8" s="613"/>
      <c r="E8" s="613"/>
      <c r="F8" s="613"/>
      <c r="G8" s="613"/>
      <c r="H8" s="613"/>
      <c r="I8" s="613"/>
      <c r="J8" s="613"/>
      <c r="K8" s="613"/>
      <c r="L8" s="613"/>
      <c r="M8" s="614"/>
    </row>
    <row r="9" spans="1:13" s="200" customFormat="1" ht="18.75" customHeight="1">
      <c r="A9" s="615" t="s">
        <v>626</v>
      </c>
      <c r="B9" s="616"/>
      <c r="C9" s="616"/>
      <c r="D9" s="616"/>
      <c r="E9" s="616"/>
      <c r="F9" s="616"/>
      <c r="G9" s="616"/>
      <c r="H9" s="616"/>
      <c r="I9" s="616"/>
      <c r="J9" s="616"/>
      <c r="K9" s="616"/>
      <c r="L9" s="616"/>
      <c r="M9" s="617"/>
    </row>
    <row r="10" spans="1:13" s="200" customFormat="1" ht="18.75" customHeight="1">
      <c r="A10" s="603" t="s">
        <v>744</v>
      </c>
      <c r="B10" s="604"/>
      <c r="C10" s="604"/>
      <c r="D10" s="604"/>
      <c r="E10" s="604"/>
      <c r="F10" s="604"/>
      <c r="G10" s="604"/>
      <c r="H10" s="604"/>
      <c r="I10" s="604"/>
      <c r="J10" s="604"/>
      <c r="K10" s="604"/>
      <c r="L10" s="604"/>
      <c r="M10" s="605"/>
    </row>
    <row r="11" spans="1:13" s="200" customFormat="1" ht="18.75" customHeight="1">
      <c r="A11" s="606" t="s">
        <v>627</v>
      </c>
      <c r="B11" s="607"/>
      <c r="C11" s="607"/>
      <c r="D11" s="607"/>
      <c r="E11" s="607"/>
      <c r="F11" s="607"/>
      <c r="G11" s="607"/>
      <c r="H11" s="607"/>
      <c r="I11" s="607"/>
      <c r="J11" s="607"/>
      <c r="K11" s="607"/>
      <c r="L11" s="607"/>
      <c r="M11" s="608"/>
    </row>
    <row r="12" spans="1:13" s="195" customFormat="1" ht="15.75" customHeight="1">
      <c r="A12" s="265"/>
      <c r="B12" s="268" t="s">
        <v>330</v>
      </c>
      <c r="C12" s="253" t="s">
        <v>331</v>
      </c>
      <c r="D12" s="253" t="s">
        <v>335</v>
      </c>
      <c r="E12" s="490" t="s">
        <v>759</v>
      </c>
      <c r="F12" s="491"/>
      <c r="G12" s="492" t="s">
        <v>644</v>
      </c>
      <c r="H12" s="493"/>
      <c r="I12" s="494"/>
      <c r="J12" s="494"/>
      <c r="K12" s="495"/>
      <c r="L12" s="501" t="s">
        <v>643</v>
      </c>
      <c r="M12" s="501"/>
    </row>
    <row r="13" spans="1:13" s="195" customFormat="1" ht="15.75" customHeight="1">
      <c r="A13" s="265"/>
      <c r="B13" s="268">
        <v>0</v>
      </c>
      <c r="C13" s="253" t="s">
        <v>520</v>
      </c>
      <c r="D13" s="253" t="s">
        <v>521</v>
      </c>
      <c r="E13" s="496" t="s">
        <v>760</v>
      </c>
      <c r="F13" s="497"/>
      <c r="G13" s="492" t="s">
        <v>645</v>
      </c>
      <c r="H13" s="493"/>
      <c r="I13" s="493"/>
      <c r="J13" s="493"/>
      <c r="K13" s="498"/>
      <c r="L13" s="501" t="s">
        <v>773</v>
      </c>
      <c r="M13" s="501"/>
    </row>
    <row r="14" spans="1:13" s="195" customFormat="1" ht="15.75" customHeight="1">
      <c r="A14" s="256"/>
      <c r="B14" s="212"/>
      <c r="C14" s="253"/>
      <c r="D14" s="253"/>
      <c r="E14" s="499"/>
      <c r="F14" s="497"/>
      <c r="G14" s="490"/>
      <c r="H14" s="491"/>
      <c r="I14" s="491"/>
      <c r="J14" s="491"/>
      <c r="K14" s="500"/>
      <c r="L14" s="501"/>
      <c r="M14" s="501"/>
    </row>
    <row r="15" spans="1:13" s="51" customFormat="1" ht="58.5" customHeight="1">
      <c r="A15" s="50"/>
      <c r="B15" s="18"/>
      <c r="C15" s="19"/>
      <c r="D15" s="21"/>
      <c r="E15" s="50"/>
      <c r="F15" s="50"/>
      <c r="G15" s="50"/>
      <c r="H15" s="50"/>
      <c r="I15" s="52"/>
      <c r="J15" s="50"/>
      <c r="K15" s="50"/>
      <c r="L15" s="50"/>
      <c r="M15" s="50"/>
    </row>
    <row r="16" spans="1:13" s="55" customFormat="1" hidden="1">
      <c r="A16" s="53"/>
      <c r="B16" s="22"/>
      <c r="C16" s="23"/>
      <c r="D16" s="24"/>
      <c r="E16" s="54"/>
      <c r="F16" s="54"/>
      <c r="G16" s="53"/>
      <c r="H16" s="54"/>
      <c r="I16" s="54"/>
      <c r="J16" s="54"/>
      <c r="K16" s="54"/>
      <c r="L16" s="54"/>
      <c r="M16" s="54"/>
    </row>
    <row r="17" spans="1:13" s="55" customFormat="1" hidden="1">
      <c r="A17" s="53"/>
      <c r="B17" s="22"/>
      <c r="C17" s="23"/>
      <c r="D17" s="24"/>
      <c r="E17" s="54"/>
      <c r="F17" s="54"/>
      <c r="G17" s="53"/>
      <c r="H17" s="54"/>
      <c r="I17" s="54"/>
      <c r="J17" s="54"/>
      <c r="K17" s="54"/>
      <c r="L17" s="54"/>
      <c r="M17" s="54"/>
    </row>
    <row r="18" spans="1:13" s="55" customFormat="1" hidden="1">
      <c r="A18" s="53"/>
      <c r="B18" s="22"/>
      <c r="C18" s="23"/>
      <c r="D18" s="24"/>
      <c r="E18" s="54"/>
      <c r="F18" s="54"/>
      <c r="G18" s="53"/>
      <c r="H18" s="54"/>
      <c r="I18" s="54"/>
      <c r="J18" s="54"/>
      <c r="K18" s="54"/>
      <c r="L18" s="54"/>
      <c r="M18" s="54"/>
    </row>
    <row r="19" spans="1:13" s="55" customFormat="1" hidden="1">
      <c r="A19" s="53"/>
      <c r="B19" s="22"/>
      <c r="C19" s="23"/>
      <c r="D19" s="24"/>
      <c r="E19" s="54"/>
      <c r="F19" s="54"/>
      <c r="G19" s="53"/>
      <c r="H19" s="54"/>
      <c r="I19" s="54"/>
      <c r="J19" s="54"/>
      <c r="K19" s="54"/>
      <c r="L19" s="54"/>
      <c r="M19" s="54"/>
    </row>
    <row r="20" spans="1:13" s="55" customFormat="1" hidden="1">
      <c r="A20" s="53"/>
      <c r="B20" s="22"/>
      <c r="C20" s="23"/>
      <c r="D20" s="24"/>
      <c r="E20" s="54"/>
      <c r="F20" s="54"/>
      <c r="G20" s="53"/>
      <c r="H20" s="54"/>
      <c r="I20" s="54"/>
      <c r="J20" s="54"/>
      <c r="K20" s="54"/>
      <c r="L20" s="54"/>
      <c r="M20" s="54"/>
    </row>
    <row r="21" spans="1:13" s="55" customFormat="1" hidden="1">
      <c r="A21" s="53"/>
      <c r="B21" s="22"/>
      <c r="C21" s="23"/>
      <c r="D21" s="24"/>
      <c r="E21" s="54"/>
      <c r="F21" s="54"/>
      <c r="G21" s="53"/>
      <c r="H21" s="54"/>
      <c r="I21" s="54"/>
      <c r="J21" s="54"/>
      <c r="K21" s="54"/>
      <c r="L21" s="54"/>
      <c r="M21" s="54"/>
    </row>
    <row r="22" spans="1:13" s="55" customFormat="1" hidden="1">
      <c r="A22" s="53"/>
      <c r="B22" s="22"/>
      <c r="C22" s="23"/>
      <c r="D22" s="24"/>
      <c r="E22" s="54"/>
      <c r="F22" s="54"/>
      <c r="G22" s="53"/>
      <c r="H22" s="54"/>
      <c r="I22" s="54"/>
      <c r="J22" s="54"/>
      <c r="K22" s="54"/>
      <c r="L22" s="54"/>
      <c r="M22" s="54"/>
    </row>
    <row r="23" spans="1:13" s="55" customFormat="1" hidden="1">
      <c r="A23" s="53"/>
      <c r="B23" s="22"/>
      <c r="C23" s="23"/>
      <c r="D23" s="24"/>
      <c r="E23" s="54"/>
      <c r="F23" s="54"/>
      <c r="G23" s="53"/>
      <c r="H23" s="54"/>
      <c r="I23" s="54"/>
      <c r="J23" s="54"/>
      <c r="K23" s="54"/>
      <c r="L23" s="54"/>
      <c r="M23" s="54"/>
    </row>
    <row r="24" spans="1:13" s="55" customFormat="1" hidden="1">
      <c r="A24" s="53"/>
      <c r="B24" s="22"/>
      <c r="C24" s="23"/>
      <c r="D24" s="24"/>
      <c r="E24" s="54"/>
      <c r="F24" s="54"/>
      <c r="G24" s="53"/>
      <c r="H24" s="54"/>
      <c r="I24" s="54"/>
      <c r="J24" s="54"/>
      <c r="K24" s="54"/>
      <c r="L24" s="54"/>
      <c r="M24" s="54"/>
    </row>
    <row r="25" spans="1:13" s="55" customFormat="1" hidden="1">
      <c r="A25" s="53"/>
      <c r="B25" s="22"/>
      <c r="C25" s="23"/>
      <c r="D25" s="24"/>
      <c r="E25" s="54"/>
      <c r="F25" s="54"/>
      <c r="G25" s="53"/>
      <c r="H25" s="54"/>
      <c r="I25" s="54"/>
      <c r="J25" s="54"/>
      <c r="K25" s="54"/>
      <c r="L25" s="54"/>
      <c r="M25" s="54"/>
    </row>
    <row r="26" spans="1:13" s="55" customFormat="1" hidden="1">
      <c r="A26" s="53"/>
      <c r="B26" s="22"/>
      <c r="C26" s="25"/>
      <c r="D26" s="26"/>
      <c r="E26" s="54"/>
      <c r="F26" s="54"/>
      <c r="G26" s="53"/>
      <c r="H26" s="54"/>
      <c r="I26" s="54"/>
      <c r="J26" s="54"/>
      <c r="K26" s="54"/>
      <c r="L26" s="54"/>
      <c r="M26" s="54"/>
    </row>
    <row r="27" spans="1:13" s="55" customFormat="1" hidden="1">
      <c r="A27" s="53"/>
      <c r="B27" s="22"/>
      <c r="C27" s="25"/>
      <c r="D27" s="26"/>
      <c r="E27" s="54"/>
      <c r="F27" s="54"/>
      <c r="G27" s="53"/>
      <c r="H27" s="54"/>
      <c r="I27" s="54"/>
      <c r="J27" s="54"/>
      <c r="K27" s="54"/>
      <c r="L27" s="54"/>
      <c r="M27" s="54"/>
    </row>
    <row r="28" spans="1:13" s="55" customFormat="1" hidden="1">
      <c r="A28" s="53"/>
      <c r="B28" s="22"/>
      <c r="C28" s="25"/>
      <c r="D28" s="26"/>
      <c r="E28" s="54"/>
      <c r="F28" s="54"/>
      <c r="G28" s="53"/>
      <c r="H28" s="54"/>
      <c r="I28" s="54"/>
      <c r="J28" s="54"/>
      <c r="K28" s="54"/>
      <c r="L28" s="54"/>
      <c r="M28" s="54"/>
    </row>
    <row r="29" spans="1:13" s="55" customFormat="1" hidden="1">
      <c r="A29" s="53"/>
      <c r="B29" s="22"/>
      <c r="C29" s="25"/>
      <c r="D29" s="26"/>
      <c r="E29" s="54"/>
      <c r="F29" s="54"/>
      <c r="G29" s="53"/>
      <c r="H29" s="54"/>
      <c r="I29" s="54"/>
      <c r="J29" s="54"/>
      <c r="K29" s="54"/>
      <c r="L29" s="54"/>
      <c r="M29" s="54"/>
    </row>
    <row r="30" spans="1:13" s="55" customFormat="1" hidden="1">
      <c r="A30" s="53"/>
      <c r="B30" s="22"/>
      <c r="C30" s="25"/>
      <c r="D30" s="26"/>
      <c r="E30" s="54"/>
      <c r="F30" s="54"/>
      <c r="G30" s="53"/>
      <c r="H30" s="54"/>
      <c r="I30" s="54"/>
      <c r="J30" s="54"/>
      <c r="K30" s="54"/>
      <c r="L30" s="54"/>
      <c r="M30" s="54"/>
    </row>
    <row r="31" spans="1:13" s="55" customFormat="1" hidden="1">
      <c r="A31" s="56"/>
      <c r="B31" s="27"/>
      <c r="C31" s="28"/>
      <c r="D31" s="29"/>
      <c r="E31" s="57"/>
      <c r="F31" s="57"/>
      <c r="G31" s="53"/>
      <c r="H31" s="57"/>
      <c r="I31" s="57"/>
      <c r="J31" s="57"/>
      <c r="K31" s="57"/>
      <c r="L31" s="57"/>
      <c r="M31" s="57"/>
    </row>
    <row r="32" spans="1:13" s="55" customFormat="1">
      <c r="A32" s="576"/>
      <c r="B32" s="576"/>
      <c r="C32" s="576"/>
      <c r="D32" s="576"/>
      <c r="E32" s="576"/>
      <c r="F32" s="576"/>
      <c r="G32" s="576"/>
      <c r="H32" s="576"/>
      <c r="I32" s="576"/>
      <c r="J32" s="576"/>
      <c r="K32" s="576"/>
      <c r="L32" s="576"/>
      <c r="M32" s="576"/>
    </row>
    <row r="33" spans="1:13" s="55" customFormat="1">
      <c r="A33" s="50"/>
      <c r="B33" s="18"/>
      <c r="C33" s="19"/>
      <c r="D33" s="20"/>
      <c r="E33" s="50"/>
      <c r="F33" s="50"/>
      <c r="G33" s="50"/>
      <c r="H33" s="50"/>
      <c r="I33" s="50"/>
      <c r="J33" s="50"/>
      <c r="K33" s="50"/>
      <c r="L33" s="50"/>
      <c r="M33" s="50"/>
    </row>
    <row r="34" spans="1:13" s="55" customFormat="1">
      <c r="B34" s="30"/>
      <c r="C34" s="31"/>
      <c r="D34" s="32"/>
      <c r="G34" s="50"/>
      <c r="I34" s="58"/>
      <c r="J34" s="59"/>
      <c r="K34" s="59"/>
      <c r="L34" s="59"/>
    </row>
    <row r="35" spans="1:13" s="55" customFormat="1">
      <c r="B35" s="30"/>
      <c r="C35" s="33"/>
      <c r="D35" s="34"/>
      <c r="G35" s="50"/>
      <c r="I35" s="59"/>
      <c r="J35" s="59"/>
      <c r="K35" s="59"/>
      <c r="L35" s="59"/>
    </row>
    <row r="36" spans="1:13" s="55" customFormat="1">
      <c r="B36" s="30"/>
      <c r="C36" s="33"/>
      <c r="D36" s="34"/>
      <c r="G36" s="50"/>
      <c r="I36" s="59"/>
      <c r="J36" s="59"/>
      <c r="K36" s="59"/>
      <c r="L36" s="59"/>
    </row>
    <row r="37" spans="1:13" s="55" customFormat="1">
      <c r="B37" s="30"/>
      <c r="C37" s="33"/>
      <c r="D37" s="34"/>
      <c r="G37" s="50"/>
      <c r="I37" s="59"/>
      <c r="J37" s="59"/>
      <c r="K37" s="59"/>
      <c r="L37" s="59"/>
    </row>
    <row r="38" spans="1:13" s="55" customFormat="1">
      <c r="B38" s="30"/>
      <c r="C38" s="33"/>
      <c r="D38" s="34"/>
      <c r="G38" s="50"/>
      <c r="I38" s="59"/>
      <c r="J38" s="59"/>
      <c r="K38" s="59"/>
      <c r="L38" s="59"/>
    </row>
    <row r="39" spans="1:13" s="55" customFormat="1">
      <c r="B39" s="30"/>
      <c r="C39" s="33"/>
      <c r="D39" s="34"/>
      <c r="G39" s="50"/>
      <c r="I39" s="58"/>
      <c r="J39" s="59"/>
      <c r="K39" s="59"/>
      <c r="L39" s="59"/>
    </row>
    <row r="40" spans="1:13" s="55" customFormat="1">
      <c r="B40" s="30"/>
      <c r="C40" s="31"/>
      <c r="D40" s="34"/>
      <c r="G40" s="50"/>
      <c r="I40" s="58"/>
      <c r="J40" s="59"/>
      <c r="K40" s="59"/>
      <c r="L40" s="59"/>
    </row>
    <row r="41" spans="1:13" s="55" customFormat="1">
      <c r="B41" s="30"/>
      <c r="C41" s="31"/>
      <c r="D41" s="34"/>
      <c r="G41" s="50"/>
      <c r="I41" s="58"/>
      <c r="J41" s="59"/>
      <c r="K41" s="59"/>
      <c r="L41" s="59"/>
    </row>
    <row r="42" spans="1:13" s="55" customFormat="1">
      <c r="B42" s="30"/>
      <c r="C42" s="31"/>
      <c r="D42" s="34"/>
      <c r="G42" s="50"/>
      <c r="I42" s="59"/>
      <c r="J42" s="59"/>
      <c r="K42" s="59"/>
      <c r="L42" s="59"/>
    </row>
    <row r="43" spans="1:13" s="55" customFormat="1">
      <c r="B43" s="30"/>
      <c r="C43" s="31"/>
      <c r="D43" s="34"/>
      <c r="G43" s="50"/>
      <c r="I43" s="59"/>
      <c r="J43" s="59"/>
      <c r="K43" s="59"/>
      <c r="L43" s="59"/>
    </row>
    <row r="44" spans="1:13" s="55" customFormat="1">
      <c r="B44" s="30"/>
      <c r="C44" s="31"/>
      <c r="D44" s="34"/>
      <c r="G44" s="50"/>
      <c r="I44" s="58"/>
      <c r="J44" s="59"/>
      <c r="K44" s="59"/>
      <c r="L44" s="59"/>
    </row>
    <row r="45" spans="1:13" s="55" customFormat="1">
      <c r="A45" s="576"/>
      <c r="B45" s="576"/>
      <c r="C45" s="576"/>
      <c r="D45" s="576"/>
      <c r="E45" s="576"/>
      <c r="F45" s="576"/>
      <c r="G45" s="576"/>
      <c r="H45" s="576"/>
      <c r="I45" s="576"/>
      <c r="J45" s="576"/>
      <c r="K45" s="576"/>
      <c r="L45" s="576"/>
      <c r="M45" s="576"/>
    </row>
    <row r="46" spans="1:13" s="55" customFormat="1">
      <c r="B46" s="30"/>
      <c r="C46" s="31"/>
      <c r="D46" s="34"/>
      <c r="G46" s="50"/>
      <c r="I46" s="59"/>
      <c r="J46" s="59"/>
      <c r="K46" s="59"/>
      <c r="L46" s="59"/>
    </row>
    <row r="47" spans="1:13" s="55" customFormat="1">
      <c r="B47" s="30"/>
      <c r="C47" s="33"/>
      <c r="D47" s="34"/>
      <c r="G47" s="50"/>
      <c r="I47" s="59"/>
      <c r="J47" s="59"/>
      <c r="K47" s="59"/>
      <c r="L47" s="59"/>
    </row>
    <row r="48" spans="1:13" s="55" customFormat="1">
      <c r="B48" s="30"/>
      <c r="C48" s="33"/>
      <c r="D48" s="34"/>
      <c r="G48" s="50"/>
      <c r="I48" s="59"/>
      <c r="J48" s="59"/>
      <c r="K48" s="59"/>
      <c r="L48" s="59"/>
    </row>
    <row r="49" spans="1:13" s="55" customFormat="1">
      <c r="B49" s="30"/>
      <c r="C49" s="33"/>
      <c r="D49" s="34"/>
      <c r="G49" s="50"/>
      <c r="I49" s="59"/>
      <c r="J49" s="59"/>
      <c r="K49" s="59"/>
      <c r="L49" s="59"/>
    </row>
    <row r="50" spans="1:13">
      <c r="G50" s="39"/>
    </row>
    <row r="51" spans="1:13">
      <c r="C51" s="38"/>
      <c r="G51" s="39"/>
    </row>
    <row r="52" spans="1:13">
      <c r="C52" s="38"/>
      <c r="G52" s="39"/>
    </row>
    <row r="53" spans="1:13">
      <c r="C53" s="38"/>
      <c r="G53" s="39"/>
    </row>
    <row r="54" spans="1:13">
      <c r="C54" s="38"/>
      <c r="G54" s="39"/>
      <c r="I54" s="60"/>
    </row>
    <row r="55" spans="1:13">
      <c r="C55" s="38"/>
      <c r="G55" s="39"/>
      <c r="I55" s="60"/>
    </row>
    <row r="56" spans="1:13">
      <c r="G56" s="39"/>
    </row>
    <row r="57" spans="1:13" s="55" customFormat="1">
      <c r="A57" s="561"/>
      <c r="B57" s="561"/>
      <c r="C57" s="561"/>
      <c r="D57" s="561"/>
      <c r="E57" s="561"/>
      <c r="F57" s="561"/>
      <c r="G57" s="561"/>
      <c r="H57" s="561"/>
      <c r="I57" s="561"/>
      <c r="J57" s="561"/>
      <c r="K57" s="561"/>
      <c r="L57" s="561"/>
      <c r="M57" s="561"/>
    </row>
    <row r="58" spans="1:13">
      <c r="C58" s="38"/>
      <c r="G58" s="39"/>
    </row>
    <row r="59" spans="1:13">
      <c r="G59" s="39"/>
    </row>
    <row r="60" spans="1:13">
      <c r="G60" s="39"/>
    </row>
    <row r="61" spans="1:13">
      <c r="G61" s="39"/>
    </row>
    <row r="62" spans="1:13">
      <c r="G62" s="39"/>
    </row>
  </sheetData>
  <mergeCells count="28">
    <mergeCell ref="A5:A6"/>
    <mergeCell ref="B5:B6"/>
    <mergeCell ref="A32:M32"/>
    <mergeCell ref="A45:M45"/>
    <mergeCell ref="A57:M57"/>
    <mergeCell ref="A8:M8"/>
    <mergeCell ref="A9:M9"/>
    <mergeCell ref="A10:M10"/>
    <mergeCell ref="A11:M11"/>
    <mergeCell ref="E14:F14"/>
    <mergeCell ref="G14:K14"/>
    <mergeCell ref="L14:M14"/>
    <mergeCell ref="E12:F12"/>
    <mergeCell ref="G12:K12"/>
    <mergeCell ref="L12:M12"/>
    <mergeCell ref="E13:F13"/>
    <mergeCell ref="A3:A4"/>
    <mergeCell ref="B3:B4"/>
    <mergeCell ref="C3:C4"/>
    <mergeCell ref="D3:D4"/>
    <mergeCell ref="E3:H3"/>
    <mergeCell ref="G13:K13"/>
    <mergeCell ref="L13:M13"/>
    <mergeCell ref="C1:H2"/>
    <mergeCell ref="J1:L1"/>
    <mergeCell ref="J2:L2"/>
    <mergeCell ref="I3:I4"/>
    <mergeCell ref="J3:M3"/>
  </mergeCells>
  <printOptions horizontalCentered="1"/>
  <pageMargins left="0.44" right="0.16" top="0.74" bottom="0.16" header="0.36" footer="0.23"/>
  <pageSetup paperSize="9" scale="52" fitToHeight="0" orientation="landscape" useFirstPageNumber="1"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showGridLines="0" view="pageBreakPreview" zoomScale="82" zoomScaleNormal="89" zoomScaleSheetLayoutView="82" workbookViewId="0">
      <selection activeCell="O7" sqref="O7"/>
    </sheetView>
  </sheetViews>
  <sheetFormatPr defaultColWidth="11.5703125" defaultRowHeight="18.75"/>
  <cols>
    <col min="1" max="1" width="4.85546875" style="41" customWidth="1"/>
    <col min="2" max="2" width="4.85546875" style="41" hidden="1" customWidth="1"/>
    <col min="3" max="3" width="15.28515625" style="60" customWidth="1"/>
    <col min="4" max="4" width="31.5703125" style="44" customWidth="1"/>
    <col min="5" max="5" width="45.28515625" style="44" customWidth="1"/>
    <col min="6" max="6" width="4.5703125" style="41" customWidth="1"/>
    <col min="7" max="7" width="5" style="41" customWidth="1"/>
    <col min="8" max="8" width="6.85546875" style="41" customWidth="1"/>
    <col min="9" max="9" width="11.7109375" style="41" customWidth="1"/>
    <col min="10" max="10" width="39.5703125" style="41" customWidth="1"/>
    <col min="11" max="11" width="4.7109375" style="41" customWidth="1"/>
    <col min="12" max="12" width="4.85546875" style="41" customWidth="1"/>
    <col min="13" max="13" width="6.5703125" style="41" customWidth="1"/>
    <col min="14" max="14" width="11.42578125" style="41" customWidth="1"/>
    <col min="15" max="16384" width="11.5703125" style="40"/>
  </cols>
  <sheetData>
    <row r="1" spans="1:14" s="37" customFormat="1" ht="23.45" customHeight="1">
      <c r="A1" s="77"/>
      <c r="B1" s="77"/>
      <c r="C1" s="111"/>
      <c r="D1" s="77"/>
      <c r="E1" s="77"/>
      <c r="F1" s="708" t="s">
        <v>328</v>
      </c>
      <c r="G1" s="708"/>
      <c r="H1" s="708"/>
      <c r="I1" s="708"/>
      <c r="J1" s="708"/>
      <c r="K1" s="708"/>
      <c r="L1" s="708"/>
      <c r="M1" s="708"/>
      <c r="N1" s="708"/>
    </row>
    <row r="2" spans="1:14" ht="163.9" customHeight="1">
      <c r="A2" s="715" t="s">
        <v>319</v>
      </c>
      <c r="B2" s="715"/>
      <c r="C2" s="715"/>
      <c r="D2" s="715"/>
      <c r="E2" s="715"/>
      <c r="F2" s="716"/>
      <c r="G2" s="716"/>
      <c r="H2" s="716"/>
      <c r="I2" s="716"/>
      <c r="J2" s="716"/>
      <c r="K2" s="716"/>
      <c r="L2" s="716"/>
      <c r="M2" s="716"/>
      <c r="N2" s="716"/>
    </row>
    <row r="3" spans="1:14" s="44" customFormat="1" ht="63.75" customHeight="1">
      <c r="A3" s="543" t="s">
        <v>2</v>
      </c>
      <c r="B3" s="717" t="s">
        <v>2</v>
      </c>
      <c r="C3" s="542" t="s">
        <v>45</v>
      </c>
      <c r="D3" s="542" t="s">
        <v>6</v>
      </c>
      <c r="E3" s="543" t="s">
        <v>3</v>
      </c>
      <c r="F3" s="543" t="s">
        <v>4</v>
      </c>
      <c r="G3" s="543"/>
      <c r="H3" s="543"/>
      <c r="I3" s="543"/>
      <c r="J3" s="542" t="s">
        <v>7</v>
      </c>
      <c r="K3" s="542" t="s">
        <v>8</v>
      </c>
      <c r="L3" s="543"/>
      <c r="M3" s="543"/>
      <c r="N3" s="543"/>
    </row>
    <row r="4" spans="1:14" s="44" customFormat="1" ht="45.75" customHeight="1">
      <c r="A4" s="543"/>
      <c r="B4" s="693"/>
      <c r="C4" s="542"/>
      <c r="D4" s="543"/>
      <c r="E4" s="543"/>
      <c r="F4" s="144" t="s">
        <v>0</v>
      </c>
      <c r="G4" s="144" t="s">
        <v>1</v>
      </c>
      <c r="H4" s="144" t="s">
        <v>12</v>
      </c>
      <c r="I4" s="143" t="s">
        <v>5</v>
      </c>
      <c r="J4" s="543"/>
      <c r="K4" s="143" t="s">
        <v>0</v>
      </c>
      <c r="L4" s="144" t="s">
        <v>1</v>
      </c>
      <c r="M4" s="144" t="s">
        <v>12</v>
      </c>
      <c r="N4" s="143" t="s">
        <v>9</v>
      </c>
    </row>
    <row r="5" spans="1:14" s="44" customFormat="1" ht="63" customHeight="1">
      <c r="A5" s="45">
        <v>1</v>
      </c>
      <c r="B5" s="45">
        <v>1</v>
      </c>
      <c r="C5" s="46" t="s">
        <v>77</v>
      </c>
      <c r="D5" s="48" t="s">
        <v>85</v>
      </c>
      <c r="E5" s="106" t="s">
        <v>86</v>
      </c>
      <c r="F5" s="45">
        <v>1</v>
      </c>
      <c r="G5" s="45">
        <v>5</v>
      </c>
      <c r="H5" s="45">
        <v>5</v>
      </c>
      <c r="I5" s="46" t="s">
        <v>47</v>
      </c>
      <c r="J5" s="46" t="s">
        <v>87</v>
      </c>
      <c r="K5" s="46"/>
      <c r="L5" s="45"/>
      <c r="M5" s="45"/>
      <c r="N5" s="46"/>
    </row>
    <row r="6" spans="1:14" s="44" customFormat="1" ht="63" customHeight="1">
      <c r="A6" s="47">
        <v>2</v>
      </c>
      <c r="B6" s="47">
        <v>2</v>
      </c>
      <c r="C6" s="48" t="s">
        <v>88</v>
      </c>
      <c r="D6" s="48" t="s">
        <v>89</v>
      </c>
      <c r="E6" s="48" t="s">
        <v>90</v>
      </c>
      <c r="F6" s="47">
        <v>1</v>
      </c>
      <c r="G6" s="47">
        <v>5</v>
      </c>
      <c r="H6" s="47">
        <v>5</v>
      </c>
      <c r="I6" s="48" t="s">
        <v>47</v>
      </c>
      <c r="J6" s="48" t="s">
        <v>91</v>
      </c>
      <c r="K6" s="48"/>
      <c r="L6" s="47"/>
      <c r="M6" s="47"/>
      <c r="N6" s="48"/>
    </row>
    <row r="7" spans="1:14" s="44" customFormat="1" ht="64.5" customHeight="1">
      <c r="A7" s="45">
        <v>3</v>
      </c>
      <c r="B7" s="45">
        <v>3</v>
      </c>
      <c r="C7" s="48" t="s">
        <v>92</v>
      </c>
      <c r="D7" s="48" t="s">
        <v>93</v>
      </c>
      <c r="E7" s="48" t="s">
        <v>94</v>
      </c>
      <c r="F7" s="47">
        <v>1</v>
      </c>
      <c r="G7" s="47">
        <v>5</v>
      </c>
      <c r="H7" s="47">
        <f t="shared" ref="H7:H12" si="0">F7*G7</f>
        <v>5</v>
      </c>
      <c r="I7" s="48" t="s">
        <v>47</v>
      </c>
      <c r="J7" s="48" t="s">
        <v>95</v>
      </c>
      <c r="K7" s="48"/>
      <c r="L7" s="47"/>
      <c r="M7" s="47"/>
      <c r="N7" s="48"/>
    </row>
    <row r="8" spans="1:14" s="44" customFormat="1" ht="84" customHeight="1">
      <c r="A8" s="47">
        <v>4</v>
      </c>
      <c r="B8" s="45">
        <v>4</v>
      </c>
      <c r="C8" s="48" t="s">
        <v>96</v>
      </c>
      <c r="D8" s="48" t="s">
        <v>97</v>
      </c>
      <c r="E8" s="48" t="s">
        <v>98</v>
      </c>
      <c r="F8" s="47">
        <v>5</v>
      </c>
      <c r="G8" s="47">
        <v>5</v>
      </c>
      <c r="H8" s="47">
        <v>25</v>
      </c>
      <c r="I8" s="48" t="s">
        <v>48</v>
      </c>
      <c r="J8" s="48" t="s">
        <v>99</v>
      </c>
      <c r="K8" s="48"/>
      <c r="L8" s="47"/>
      <c r="M8" s="47"/>
      <c r="N8" s="48"/>
    </row>
    <row r="9" spans="1:14" s="44" customFormat="1" ht="69.75" customHeight="1">
      <c r="A9" s="45">
        <v>5</v>
      </c>
      <c r="B9" s="47">
        <v>5</v>
      </c>
      <c r="C9" s="48" t="s">
        <v>100</v>
      </c>
      <c r="D9" s="48" t="s">
        <v>101</v>
      </c>
      <c r="E9" s="48" t="s">
        <v>278</v>
      </c>
      <c r="F9" s="47">
        <v>3</v>
      </c>
      <c r="G9" s="47">
        <v>4</v>
      </c>
      <c r="H9" s="47">
        <f t="shared" si="0"/>
        <v>12</v>
      </c>
      <c r="I9" s="48" t="s">
        <v>48</v>
      </c>
      <c r="J9" s="48" t="s">
        <v>279</v>
      </c>
      <c r="K9" s="48"/>
      <c r="L9" s="47"/>
      <c r="M9" s="47"/>
      <c r="N9" s="48"/>
    </row>
    <row r="10" spans="1:14" s="44" customFormat="1" ht="69.75" customHeight="1">
      <c r="A10" s="47">
        <v>6</v>
      </c>
      <c r="B10" s="45">
        <v>6</v>
      </c>
      <c r="C10" s="48" t="s">
        <v>102</v>
      </c>
      <c r="D10" s="48" t="s">
        <v>103</v>
      </c>
      <c r="E10" s="48" t="s">
        <v>104</v>
      </c>
      <c r="F10" s="47">
        <v>3</v>
      </c>
      <c r="G10" s="47">
        <v>5</v>
      </c>
      <c r="H10" s="47">
        <f t="shared" si="0"/>
        <v>15</v>
      </c>
      <c r="I10" s="48" t="s">
        <v>48</v>
      </c>
      <c r="J10" s="48" t="s">
        <v>236</v>
      </c>
      <c r="K10" s="48"/>
      <c r="L10" s="47"/>
      <c r="M10" s="47"/>
      <c r="N10" s="48"/>
    </row>
    <row r="11" spans="1:14" s="44" customFormat="1" ht="86.25" customHeight="1">
      <c r="A11" s="45">
        <v>7</v>
      </c>
      <c r="B11" s="45">
        <v>7</v>
      </c>
      <c r="C11" s="48" t="s">
        <v>105</v>
      </c>
      <c r="D11" s="48" t="s">
        <v>106</v>
      </c>
      <c r="E11" s="48" t="s">
        <v>107</v>
      </c>
      <c r="F11" s="47">
        <v>2</v>
      </c>
      <c r="G11" s="47">
        <v>5</v>
      </c>
      <c r="H11" s="47">
        <f t="shared" si="0"/>
        <v>10</v>
      </c>
      <c r="I11" s="48" t="s">
        <v>46</v>
      </c>
      <c r="J11" s="47" t="s">
        <v>108</v>
      </c>
      <c r="K11" s="48"/>
      <c r="L11" s="47"/>
      <c r="M11" s="47"/>
      <c r="N11" s="48"/>
    </row>
    <row r="12" spans="1:14" s="44" customFormat="1" ht="58.15" customHeight="1">
      <c r="A12" s="47">
        <v>8</v>
      </c>
      <c r="B12" s="47">
        <v>8</v>
      </c>
      <c r="C12" s="48" t="s">
        <v>109</v>
      </c>
      <c r="D12" s="48" t="s">
        <v>110</v>
      </c>
      <c r="E12" s="48" t="s">
        <v>111</v>
      </c>
      <c r="F12" s="47">
        <v>3</v>
      </c>
      <c r="G12" s="47">
        <v>5</v>
      </c>
      <c r="H12" s="47">
        <f t="shared" si="0"/>
        <v>15</v>
      </c>
      <c r="I12" s="48" t="s">
        <v>48</v>
      </c>
      <c r="J12" s="47" t="s">
        <v>108</v>
      </c>
      <c r="K12" s="48"/>
      <c r="L12" s="47"/>
      <c r="M12" s="47"/>
      <c r="N12" s="48"/>
    </row>
    <row r="13" spans="1:14" ht="58.15" customHeight="1">
      <c r="A13" s="48">
        <v>9</v>
      </c>
      <c r="B13" s="48"/>
      <c r="C13" s="48" t="s">
        <v>280</v>
      </c>
      <c r="D13" s="44" t="s">
        <v>281</v>
      </c>
      <c r="E13" s="48" t="s">
        <v>283</v>
      </c>
      <c r="F13" s="47">
        <v>2</v>
      </c>
      <c r="G13" s="47">
        <v>5</v>
      </c>
      <c r="H13" s="47">
        <f>F13*G13</f>
        <v>10</v>
      </c>
      <c r="I13" s="48" t="s">
        <v>46</v>
      </c>
      <c r="J13" s="48" t="s">
        <v>282</v>
      </c>
      <c r="K13" s="48"/>
      <c r="L13" s="48"/>
      <c r="M13" s="48"/>
      <c r="N13" s="48"/>
    </row>
    <row r="14" spans="1:14" ht="81.599999999999994" customHeight="1">
      <c r="A14" s="48">
        <v>10</v>
      </c>
      <c r="B14" s="48"/>
      <c r="C14" s="48" t="s">
        <v>284</v>
      </c>
      <c r="D14" s="61" t="s">
        <v>55</v>
      </c>
      <c r="E14" s="62" t="s">
        <v>229</v>
      </c>
      <c r="F14" s="61">
        <v>5</v>
      </c>
      <c r="G14" s="61">
        <v>2</v>
      </c>
      <c r="H14" s="61">
        <f>F14*G14</f>
        <v>10</v>
      </c>
      <c r="I14" s="62" t="s">
        <v>46</v>
      </c>
      <c r="J14" s="62" t="s">
        <v>305</v>
      </c>
      <c r="K14" s="62"/>
      <c r="L14" s="61"/>
      <c r="M14" s="61"/>
      <c r="N14" s="43"/>
    </row>
    <row r="15" spans="1:14" ht="58.15" customHeight="1">
      <c r="A15" s="48">
        <v>11</v>
      </c>
      <c r="B15" s="48"/>
      <c r="C15" s="667" t="s">
        <v>285</v>
      </c>
      <c r="D15" s="65" t="s">
        <v>52</v>
      </c>
      <c r="E15" s="65" t="s">
        <v>53</v>
      </c>
      <c r="F15" s="61">
        <v>5</v>
      </c>
      <c r="G15" s="61">
        <v>1</v>
      </c>
      <c r="H15" s="61">
        <f>F15*G15</f>
        <v>5</v>
      </c>
      <c r="I15" s="62" t="s">
        <v>47</v>
      </c>
      <c r="J15" s="663" t="s">
        <v>286</v>
      </c>
      <c r="K15" s="48"/>
      <c r="L15" s="48"/>
      <c r="M15" s="48"/>
      <c r="N15" s="48"/>
    </row>
    <row r="16" spans="1:14" ht="58.15" customHeight="1">
      <c r="A16" s="48">
        <v>12</v>
      </c>
      <c r="B16" s="48"/>
      <c r="C16" s="665"/>
      <c r="D16" s="65" t="s">
        <v>228</v>
      </c>
      <c r="E16" s="65" t="s">
        <v>54</v>
      </c>
      <c r="F16" s="61">
        <v>5</v>
      </c>
      <c r="G16" s="61">
        <v>2</v>
      </c>
      <c r="H16" s="61">
        <f>F16*G16</f>
        <v>10</v>
      </c>
      <c r="I16" s="62" t="s">
        <v>47</v>
      </c>
      <c r="J16" s="665"/>
      <c r="K16" s="48"/>
      <c r="L16" s="48"/>
      <c r="M16" s="48"/>
      <c r="N16" s="48"/>
    </row>
    <row r="17" spans="8:8">
      <c r="H17" s="39"/>
    </row>
    <row r="18" spans="8:8">
      <c r="H18" s="39"/>
    </row>
    <row r="19" spans="8:8">
      <c r="H19" s="39"/>
    </row>
    <row r="20" spans="8:8">
      <c r="H20" s="39"/>
    </row>
  </sheetData>
  <mergeCells count="13">
    <mergeCell ref="J15:J16"/>
    <mergeCell ref="C15:C16"/>
    <mergeCell ref="A2:E2"/>
    <mergeCell ref="F2:N2"/>
    <mergeCell ref="F1:N1"/>
    <mergeCell ref="F3:I3"/>
    <mergeCell ref="J3:J4"/>
    <mergeCell ref="K3:N3"/>
    <mergeCell ref="A3:A4"/>
    <mergeCell ref="B3:B4"/>
    <mergeCell ref="C3:C4"/>
    <mergeCell ref="D3:D4"/>
    <mergeCell ref="E3:E4"/>
  </mergeCells>
  <pageMargins left="0.25" right="0.25" top="0.75" bottom="0.75" header="0.3" footer="0.3"/>
  <pageSetup paperSize="9" scale="75" fitToHeight="0" orientation="landscape" useFirstPageNumber="1"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M22"/>
  <sheetViews>
    <sheetView view="pageBreakPreview" topLeftCell="A7" zoomScale="82" zoomScaleNormal="89" zoomScaleSheetLayoutView="82" workbookViewId="0">
      <selection activeCell="G11" sqref="G11"/>
    </sheetView>
  </sheetViews>
  <sheetFormatPr defaultColWidth="11.5703125" defaultRowHeight="15.75"/>
  <cols>
    <col min="1" max="1" width="4.85546875" style="91" customWidth="1"/>
    <col min="2" max="2" width="15.28515625" style="92" customWidth="1"/>
    <col min="3" max="3" width="31.5703125" style="83" customWidth="1"/>
    <col min="4" max="4" width="45.28515625" style="83" customWidth="1"/>
    <col min="5" max="5" width="4.5703125" style="91" customWidth="1"/>
    <col min="6" max="6" width="5" style="91" customWidth="1"/>
    <col min="7" max="7" width="6.85546875" style="91" customWidth="1"/>
    <col min="8" max="8" width="12" style="91" customWidth="1"/>
    <col min="9" max="9" width="51.28515625" style="91" customWidth="1"/>
    <col min="10" max="10" width="4.7109375" style="91" customWidth="1"/>
    <col min="11" max="11" width="4.85546875" style="91" customWidth="1"/>
    <col min="12" max="12" width="9.7109375" style="91" customWidth="1"/>
    <col min="13" max="13" width="10" style="91" customWidth="1"/>
    <col min="14" max="16384" width="11.5703125" style="91"/>
  </cols>
  <sheetData>
    <row r="1" spans="1:13" ht="22.15" customHeight="1">
      <c r="A1" s="112"/>
      <c r="B1" s="112"/>
      <c r="C1" s="112"/>
      <c r="D1" s="112"/>
      <c r="E1" s="719" t="s">
        <v>328</v>
      </c>
      <c r="F1" s="719"/>
      <c r="G1" s="719"/>
      <c r="H1" s="719"/>
      <c r="I1" s="719"/>
      <c r="J1" s="719"/>
      <c r="K1" s="719"/>
      <c r="L1" s="719"/>
      <c r="M1" s="719"/>
    </row>
    <row r="2" spans="1:13" ht="163.9" customHeight="1">
      <c r="A2" s="715" t="s">
        <v>320</v>
      </c>
      <c r="B2" s="715"/>
      <c r="C2" s="715"/>
      <c r="D2" s="715"/>
      <c r="E2" s="718"/>
      <c r="F2" s="718"/>
      <c r="G2" s="718"/>
      <c r="H2" s="718"/>
      <c r="I2" s="718"/>
      <c r="J2" s="718"/>
      <c r="K2" s="718"/>
      <c r="L2" s="718"/>
      <c r="M2" s="718"/>
    </row>
    <row r="3" spans="1:13" s="83" customFormat="1" ht="63.75" customHeight="1">
      <c r="A3" s="720" t="s">
        <v>2</v>
      </c>
      <c r="B3" s="721" t="s">
        <v>45</v>
      </c>
      <c r="C3" s="721" t="s">
        <v>6</v>
      </c>
      <c r="D3" s="720" t="s">
        <v>3</v>
      </c>
      <c r="E3" s="720" t="s">
        <v>4</v>
      </c>
      <c r="F3" s="720"/>
      <c r="G3" s="720"/>
      <c r="H3" s="720"/>
      <c r="I3" s="721" t="s">
        <v>7</v>
      </c>
      <c r="J3" s="721" t="s">
        <v>8</v>
      </c>
      <c r="K3" s="720"/>
      <c r="L3" s="720"/>
      <c r="M3" s="720"/>
    </row>
    <row r="4" spans="1:13" s="83" customFormat="1" ht="59.25" customHeight="1">
      <c r="A4" s="610"/>
      <c r="B4" s="609"/>
      <c r="C4" s="610"/>
      <c r="D4" s="610"/>
      <c r="E4" s="82" t="s">
        <v>0</v>
      </c>
      <c r="F4" s="82" t="s">
        <v>1</v>
      </c>
      <c r="G4" s="82" t="s">
        <v>12</v>
      </c>
      <c r="H4" s="69" t="s">
        <v>5</v>
      </c>
      <c r="I4" s="610"/>
      <c r="J4" s="69" t="s">
        <v>0</v>
      </c>
      <c r="K4" s="82" t="s">
        <v>1</v>
      </c>
      <c r="L4" s="82" t="s">
        <v>12</v>
      </c>
      <c r="M4" s="69" t="s">
        <v>9</v>
      </c>
    </row>
    <row r="5" spans="1:13" s="83" customFormat="1" ht="90.75" customHeight="1">
      <c r="A5" s="84">
        <v>1</v>
      </c>
      <c r="B5" s="85" t="s">
        <v>166</v>
      </c>
      <c r="C5" s="87" t="s">
        <v>167</v>
      </c>
      <c r="D5" s="95" t="s">
        <v>168</v>
      </c>
      <c r="E5" s="84">
        <v>1</v>
      </c>
      <c r="F5" s="84">
        <v>5</v>
      </c>
      <c r="G5" s="84">
        <v>5</v>
      </c>
      <c r="H5" s="85" t="s">
        <v>47</v>
      </c>
      <c r="I5" s="85" t="s">
        <v>169</v>
      </c>
      <c r="J5" s="85"/>
      <c r="K5" s="84"/>
      <c r="L5" s="84"/>
      <c r="M5" s="85"/>
    </row>
    <row r="6" spans="1:13" s="83" customFormat="1" ht="73.5" customHeight="1">
      <c r="A6" s="86">
        <v>2</v>
      </c>
      <c r="B6" s="87" t="s">
        <v>327</v>
      </c>
      <c r="C6" s="87" t="s">
        <v>170</v>
      </c>
      <c r="D6" s="87" t="s">
        <v>171</v>
      </c>
      <c r="E6" s="86">
        <v>5</v>
      </c>
      <c r="F6" s="86">
        <v>3</v>
      </c>
      <c r="G6" s="86">
        <v>15</v>
      </c>
      <c r="H6" s="87" t="s">
        <v>48</v>
      </c>
      <c r="I6" s="87" t="s">
        <v>172</v>
      </c>
      <c r="J6" s="87"/>
      <c r="K6" s="86"/>
      <c r="L6" s="86"/>
      <c r="M6" s="87"/>
    </row>
    <row r="7" spans="1:13" s="83" customFormat="1" ht="61.5" customHeight="1">
      <c r="A7" s="86">
        <v>3</v>
      </c>
      <c r="B7" s="87" t="s">
        <v>173</v>
      </c>
      <c r="C7" s="87" t="s">
        <v>174</v>
      </c>
      <c r="D7" s="87" t="s">
        <v>175</v>
      </c>
      <c r="E7" s="86">
        <v>3</v>
      </c>
      <c r="F7" s="86">
        <v>5</v>
      </c>
      <c r="G7" s="86">
        <f t="shared" ref="G7:G12" si="0">E7*F7</f>
        <v>15</v>
      </c>
      <c r="H7" s="87" t="s">
        <v>48</v>
      </c>
      <c r="I7" s="86" t="s">
        <v>176</v>
      </c>
      <c r="J7" s="87"/>
      <c r="K7" s="86"/>
      <c r="L7" s="86"/>
      <c r="M7" s="87"/>
    </row>
    <row r="8" spans="1:13" s="83" customFormat="1" ht="66" customHeight="1">
      <c r="A8" s="86">
        <v>4</v>
      </c>
      <c r="B8" s="87" t="s">
        <v>177</v>
      </c>
      <c r="C8" s="87" t="s">
        <v>178</v>
      </c>
      <c r="D8" s="87" t="s">
        <v>124</v>
      </c>
      <c r="E8" s="86">
        <v>1</v>
      </c>
      <c r="F8" s="86">
        <v>5</v>
      </c>
      <c r="G8" s="86">
        <f t="shared" si="0"/>
        <v>5</v>
      </c>
      <c r="H8" s="85" t="s">
        <v>47</v>
      </c>
      <c r="I8" s="86" t="s">
        <v>125</v>
      </c>
      <c r="J8" s="87"/>
      <c r="K8" s="86"/>
      <c r="L8" s="86"/>
      <c r="M8" s="87"/>
    </row>
    <row r="9" spans="1:13" s="83" customFormat="1" ht="75" customHeight="1">
      <c r="A9" s="86">
        <v>5</v>
      </c>
      <c r="B9" s="87" t="s">
        <v>126</v>
      </c>
      <c r="C9" s="87" t="s">
        <v>179</v>
      </c>
      <c r="D9" s="87" t="s">
        <v>128</v>
      </c>
      <c r="E9" s="86">
        <v>2</v>
      </c>
      <c r="F9" s="86">
        <v>5</v>
      </c>
      <c r="G9" s="86">
        <f t="shared" si="0"/>
        <v>10</v>
      </c>
      <c r="H9" s="87" t="s">
        <v>46</v>
      </c>
      <c r="I9" s="87" t="s">
        <v>287</v>
      </c>
      <c r="J9" s="87"/>
      <c r="K9" s="86"/>
      <c r="L9" s="86"/>
      <c r="M9" s="87"/>
    </row>
    <row r="10" spans="1:13" ht="75" customHeight="1">
      <c r="A10" s="87">
        <v>6</v>
      </c>
      <c r="B10" s="87" t="s">
        <v>288</v>
      </c>
      <c r="C10" s="87" t="s">
        <v>289</v>
      </c>
      <c r="D10" s="87" t="s">
        <v>290</v>
      </c>
      <c r="E10" s="86">
        <v>1</v>
      </c>
      <c r="F10" s="86">
        <v>5</v>
      </c>
      <c r="G10" s="86">
        <f t="shared" si="0"/>
        <v>5</v>
      </c>
      <c r="H10" s="85" t="s">
        <v>47</v>
      </c>
      <c r="I10" s="87" t="s">
        <v>291</v>
      </c>
      <c r="J10" s="87"/>
      <c r="K10" s="87"/>
      <c r="L10" s="87"/>
      <c r="M10" s="87"/>
    </row>
    <row r="11" spans="1:13" ht="75" customHeight="1">
      <c r="A11" s="87">
        <v>7</v>
      </c>
      <c r="B11" s="87" t="s">
        <v>293</v>
      </c>
      <c r="C11" s="87" t="s">
        <v>295</v>
      </c>
      <c r="D11" s="87" t="s">
        <v>296</v>
      </c>
      <c r="E11" s="87">
        <v>5</v>
      </c>
      <c r="F11" s="87">
        <v>2</v>
      </c>
      <c r="G11" s="87">
        <f t="shared" si="0"/>
        <v>10</v>
      </c>
      <c r="H11" s="87" t="s">
        <v>46</v>
      </c>
      <c r="I11" s="87" t="s">
        <v>297</v>
      </c>
      <c r="J11" s="87"/>
      <c r="K11" s="87"/>
      <c r="L11" s="87"/>
      <c r="M11" s="87"/>
    </row>
    <row r="12" spans="1:13" ht="75" customHeight="1">
      <c r="A12" s="87">
        <v>8</v>
      </c>
      <c r="B12" s="87" t="s">
        <v>294</v>
      </c>
      <c r="C12" s="87" t="s">
        <v>298</v>
      </c>
      <c r="D12" s="87" t="s">
        <v>299</v>
      </c>
      <c r="E12" s="86">
        <v>2</v>
      </c>
      <c r="F12" s="86">
        <v>5</v>
      </c>
      <c r="G12" s="86">
        <f t="shared" si="0"/>
        <v>10</v>
      </c>
      <c r="H12" s="87" t="s">
        <v>46</v>
      </c>
      <c r="I12" s="87" t="s">
        <v>300</v>
      </c>
      <c r="J12" s="87"/>
      <c r="K12" s="87"/>
      <c r="L12" s="87"/>
      <c r="M12" s="87"/>
    </row>
    <row r="13" spans="1:13">
      <c r="C13" s="98"/>
      <c r="G13" s="81"/>
    </row>
    <row r="14" spans="1:13">
      <c r="C14" s="98"/>
      <c r="G14" s="81"/>
      <c r="I14" s="92"/>
    </row>
    <row r="15" spans="1:13">
      <c r="C15" s="98"/>
      <c r="G15" s="81"/>
      <c r="I15" s="92"/>
    </row>
    <row r="16" spans="1:13">
      <c r="G16" s="81"/>
    </row>
    <row r="17" spans="1:13" s="90" customFormat="1">
      <c r="A17" s="489"/>
      <c r="B17" s="489"/>
      <c r="C17" s="489"/>
      <c r="D17" s="489"/>
      <c r="E17" s="489"/>
      <c r="F17" s="489"/>
      <c r="G17" s="489"/>
      <c r="H17" s="489"/>
      <c r="I17" s="489"/>
      <c r="J17" s="489"/>
      <c r="K17" s="489"/>
      <c r="L17" s="489"/>
      <c r="M17" s="489"/>
    </row>
    <row r="18" spans="1:13">
      <c r="C18" s="98"/>
      <c r="G18" s="81"/>
    </row>
    <row r="19" spans="1:13">
      <c r="G19" s="81"/>
    </row>
    <row r="20" spans="1:13">
      <c r="G20" s="81"/>
    </row>
    <row r="21" spans="1:13">
      <c r="G21" s="81"/>
    </row>
    <row r="22" spans="1:13">
      <c r="G22" s="81"/>
    </row>
  </sheetData>
  <mergeCells count="11">
    <mergeCell ref="A2:D2"/>
    <mergeCell ref="E2:M2"/>
    <mergeCell ref="E1:M1"/>
    <mergeCell ref="A17:M17"/>
    <mergeCell ref="A3:A4"/>
    <mergeCell ref="B3:B4"/>
    <mergeCell ref="C3:C4"/>
    <mergeCell ref="D3:D4"/>
    <mergeCell ref="E3:H3"/>
    <mergeCell ref="I3:I4"/>
    <mergeCell ref="J3:M3"/>
  </mergeCells>
  <pageMargins left="0.44" right="0.16" top="0.74" bottom="0.16" header="0.36" footer="0.23"/>
  <pageSetup scale="56" fitToHeight="0" orientation="landscape" useFirstPageNumber="1"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M20"/>
  <sheetViews>
    <sheetView zoomScale="89" zoomScaleNormal="89" zoomScaleSheetLayoutView="82" workbookViewId="0">
      <selection activeCell="H7" sqref="H7"/>
    </sheetView>
  </sheetViews>
  <sheetFormatPr defaultColWidth="11.5703125" defaultRowHeight="18.75"/>
  <cols>
    <col min="1" max="1" width="4.85546875" style="41" customWidth="1"/>
    <col min="2" max="2" width="15.28515625" style="104" customWidth="1"/>
    <col min="3" max="3" width="31.5703125" style="44" customWidth="1"/>
    <col min="4" max="4" width="45.28515625" style="44" customWidth="1"/>
    <col min="5" max="5" width="4.5703125" style="44" customWidth="1"/>
    <col min="6" max="6" width="5" style="44" customWidth="1"/>
    <col min="7" max="7" width="6.85546875" style="44" customWidth="1"/>
    <col min="8" max="8" width="11.7109375" style="44" customWidth="1"/>
    <col min="9" max="9" width="39.5703125" style="44" customWidth="1"/>
    <col min="10" max="10" width="4.7109375" style="44" customWidth="1"/>
    <col min="11" max="11" width="4.85546875" style="44" customWidth="1"/>
    <col min="12" max="12" width="6.5703125" style="44" customWidth="1"/>
    <col min="13" max="13" width="11.42578125" style="44" customWidth="1"/>
    <col min="14" max="16384" width="11.5703125" style="40"/>
  </cols>
  <sheetData>
    <row r="1" spans="1:13" ht="20.45" customHeight="1">
      <c r="A1" s="39"/>
      <c r="B1" s="111"/>
      <c r="C1" s="77"/>
      <c r="D1" s="77"/>
      <c r="E1" s="708" t="s">
        <v>328</v>
      </c>
      <c r="F1" s="708"/>
      <c r="G1" s="708"/>
      <c r="H1" s="708"/>
      <c r="I1" s="708"/>
      <c r="J1" s="708"/>
      <c r="K1" s="708"/>
      <c r="L1" s="708"/>
      <c r="M1" s="708"/>
    </row>
    <row r="2" spans="1:13" ht="163.9" customHeight="1">
      <c r="A2" s="715" t="s">
        <v>321</v>
      </c>
      <c r="B2" s="715"/>
      <c r="C2" s="715"/>
      <c r="D2" s="715"/>
      <c r="E2" s="722"/>
      <c r="F2" s="722"/>
      <c r="G2" s="722"/>
      <c r="H2" s="722"/>
      <c r="I2" s="722"/>
      <c r="J2" s="722"/>
      <c r="K2" s="722"/>
      <c r="L2" s="722"/>
      <c r="M2" s="722"/>
    </row>
    <row r="3" spans="1:13" s="44" customFormat="1" ht="63.75" customHeight="1">
      <c r="A3" s="711" t="s">
        <v>2</v>
      </c>
      <c r="B3" s="710" t="s">
        <v>45</v>
      </c>
      <c r="C3" s="710" t="s">
        <v>6</v>
      </c>
      <c r="D3" s="711" t="s">
        <v>3</v>
      </c>
      <c r="E3" s="711" t="s">
        <v>4</v>
      </c>
      <c r="F3" s="711"/>
      <c r="G3" s="711"/>
      <c r="H3" s="711"/>
      <c r="I3" s="710" t="s">
        <v>7</v>
      </c>
      <c r="J3" s="710" t="s">
        <v>8</v>
      </c>
      <c r="K3" s="711"/>
      <c r="L3" s="711"/>
      <c r="M3" s="711"/>
    </row>
    <row r="4" spans="1:13" s="44" customFormat="1" ht="45.75" customHeight="1">
      <c r="A4" s="711"/>
      <c r="B4" s="710"/>
      <c r="C4" s="711"/>
      <c r="D4" s="711"/>
      <c r="E4" s="42" t="s">
        <v>0</v>
      </c>
      <c r="F4" s="42" t="s">
        <v>1</v>
      </c>
      <c r="G4" s="42" t="s">
        <v>12</v>
      </c>
      <c r="H4" s="43" t="s">
        <v>5</v>
      </c>
      <c r="I4" s="711"/>
      <c r="J4" s="43" t="s">
        <v>0</v>
      </c>
      <c r="K4" s="42" t="s">
        <v>1</v>
      </c>
      <c r="L4" s="42" t="s">
        <v>12</v>
      </c>
      <c r="M4" s="43" t="s">
        <v>9</v>
      </c>
    </row>
    <row r="5" spans="1:13" s="44" customFormat="1" ht="79.5" customHeight="1">
      <c r="A5" s="45">
        <v>1</v>
      </c>
      <c r="B5" s="46" t="s">
        <v>130</v>
      </c>
      <c r="C5" s="46" t="s">
        <v>301</v>
      </c>
      <c r="D5" s="106" t="s">
        <v>302</v>
      </c>
      <c r="E5" s="45">
        <v>1</v>
      </c>
      <c r="F5" s="45">
        <v>3</v>
      </c>
      <c r="G5" s="45">
        <f>E5*F5</f>
        <v>3</v>
      </c>
      <c r="H5" s="46" t="s">
        <v>47</v>
      </c>
      <c r="I5" s="46" t="s">
        <v>131</v>
      </c>
      <c r="J5" s="46"/>
      <c r="K5" s="45"/>
      <c r="L5" s="45"/>
      <c r="M5" s="46"/>
    </row>
    <row r="6" spans="1:13" s="44" customFormat="1" ht="84" customHeight="1">
      <c r="A6" s="47">
        <v>2</v>
      </c>
      <c r="B6" s="48" t="s">
        <v>130</v>
      </c>
      <c r="C6" s="48" t="s">
        <v>132</v>
      </c>
      <c r="D6" s="48" t="s">
        <v>133</v>
      </c>
      <c r="E6" s="47">
        <v>2</v>
      </c>
      <c r="F6" s="47">
        <v>2</v>
      </c>
      <c r="G6" s="47">
        <f>E6*F6</f>
        <v>4</v>
      </c>
      <c r="H6" s="48" t="s">
        <v>47</v>
      </c>
      <c r="I6" s="48" t="s">
        <v>303</v>
      </c>
      <c r="J6" s="48"/>
      <c r="K6" s="47"/>
      <c r="L6" s="47"/>
      <c r="M6" s="48"/>
    </row>
    <row r="7" spans="1:13" s="44" customFormat="1" ht="61.5" customHeight="1">
      <c r="A7" s="47">
        <v>3</v>
      </c>
      <c r="B7" s="48" t="s">
        <v>130</v>
      </c>
      <c r="C7" s="48" t="s">
        <v>49</v>
      </c>
      <c r="D7" s="48" t="s">
        <v>134</v>
      </c>
      <c r="E7" s="47">
        <v>1</v>
      </c>
      <c r="F7" s="47">
        <v>5</v>
      </c>
      <c r="G7" s="47">
        <f t="shared" ref="G7:G15" si="0">E7*F7</f>
        <v>5</v>
      </c>
      <c r="H7" s="48" t="s">
        <v>47</v>
      </c>
      <c r="I7" s="48" t="s">
        <v>135</v>
      </c>
      <c r="J7" s="48"/>
      <c r="K7" s="47"/>
      <c r="L7" s="47"/>
      <c r="M7" s="48"/>
    </row>
    <row r="8" spans="1:13" s="44" customFormat="1" ht="93" customHeight="1">
      <c r="A8" s="47">
        <v>4</v>
      </c>
      <c r="B8" s="48" t="s">
        <v>130</v>
      </c>
      <c r="C8" s="48" t="s">
        <v>136</v>
      </c>
      <c r="D8" s="48" t="s">
        <v>137</v>
      </c>
      <c r="E8" s="47">
        <v>3</v>
      </c>
      <c r="F8" s="47">
        <v>3</v>
      </c>
      <c r="G8" s="47">
        <f t="shared" si="0"/>
        <v>9</v>
      </c>
      <c r="H8" s="48" t="s">
        <v>46</v>
      </c>
      <c r="I8" s="48" t="s">
        <v>138</v>
      </c>
      <c r="J8" s="48"/>
      <c r="K8" s="47"/>
      <c r="L8" s="47"/>
      <c r="M8" s="48"/>
    </row>
    <row r="9" spans="1:13" s="44" customFormat="1" ht="40.5" customHeight="1">
      <c r="A9" s="47">
        <v>5</v>
      </c>
      <c r="B9" s="48" t="s">
        <v>130</v>
      </c>
      <c r="C9" s="48" t="s">
        <v>139</v>
      </c>
      <c r="D9" s="48" t="s">
        <v>140</v>
      </c>
      <c r="E9" s="47">
        <v>1</v>
      </c>
      <c r="F9" s="47">
        <v>4</v>
      </c>
      <c r="G9" s="47">
        <f t="shared" si="0"/>
        <v>4</v>
      </c>
      <c r="H9" s="48" t="s">
        <v>47</v>
      </c>
      <c r="I9" s="48" t="s">
        <v>141</v>
      </c>
      <c r="J9" s="48"/>
      <c r="K9" s="47"/>
      <c r="L9" s="47"/>
      <c r="M9" s="48"/>
    </row>
    <row r="10" spans="1:13" s="44" customFormat="1" ht="81.75" customHeight="1">
      <c r="A10" s="47">
        <v>6</v>
      </c>
      <c r="B10" s="48" t="s">
        <v>142</v>
      </c>
      <c r="C10" s="48" t="s">
        <v>143</v>
      </c>
      <c r="D10" s="48" t="s">
        <v>144</v>
      </c>
      <c r="E10" s="47">
        <v>5</v>
      </c>
      <c r="F10" s="47">
        <v>1</v>
      </c>
      <c r="G10" s="47">
        <f t="shared" si="0"/>
        <v>5</v>
      </c>
      <c r="H10" s="48" t="s">
        <v>47</v>
      </c>
      <c r="I10" s="48" t="s">
        <v>237</v>
      </c>
      <c r="J10" s="48"/>
      <c r="K10" s="47"/>
      <c r="L10" s="47"/>
      <c r="M10" s="48"/>
    </row>
    <row r="11" spans="1:13" s="44" customFormat="1" ht="88.5" customHeight="1">
      <c r="A11" s="47">
        <v>7</v>
      </c>
      <c r="B11" s="48" t="s">
        <v>142</v>
      </c>
      <c r="C11" s="48" t="s">
        <v>145</v>
      </c>
      <c r="D11" s="48" t="s">
        <v>146</v>
      </c>
      <c r="E11" s="47">
        <v>5</v>
      </c>
      <c r="F11" s="47">
        <v>1</v>
      </c>
      <c r="G11" s="47">
        <f t="shared" si="0"/>
        <v>5</v>
      </c>
      <c r="H11" s="48" t="s">
        <v>47</v>
      </c>
      <c r="I11" s="48" t="s">
        <v>238</v>
      </c>
      <c r="J11" s="48"/>
      <c r="K11" s="47"/>
      <c r="L11" s="47"/>
      <c r="M11" s="48"/>
    </row>
    <row r="12" spans="1:13" s="44" customFormat="1" ht="69" customHeight="1">
      <c r="A12" s="47">
        <v>8</v>
      </c>
      <c r="B12" s="48" t="s">
        <v>142</v>
      </c>
      <c r="C12" s="48" t="s">
        <v>147</v>
      </c>
      <c r="D12" s="48" t="s">
        <v>148</v>
      </c>
      <c r="E12" s="47">
        <v>1</v>
      </c>
      <c r="F12" s="47">
        <v>3</v>
      </c>
      <c r="G12" s="47">
        <f t="shared" si="0"/>
        <v>3</v>
      </c>
      <c r="H12" s="48" t="s">
        <v>47</v>
      </c>
      <c r="I12" s="48" t="s">
        <v>239</v>
      </c>
      <c r="J12" s="48"/>
      <c r="K12" s="47"/>
      <c r="L12" s="47"/>
      <c r="M12" s="48"/>
    </row>
    <row r="13" spans="1:13" s="44" customFormat="1" ht="40.5" customHeight="1">
      <c r="A13" s="47">
        <v>9</v>
      </c>
      <c r="B13" s="48" t="s">
        <v>142</v>
      </c>
      <c r="C13" s="48" t="s">
        <v>149</v>
      </c>
      <c r="D13" s="48" t="s">
        <v>150</v>
      </c>
      <c r="E13" s="47">
        <v>1</v>
      </c>
      <c r="F13" s="47">
        <v>3</v>
      </c>
      <c r="G13" s="47">
        <f t="shared" si="0"/>
        <v>3</v>
      </c>
      <c r="H13" s="48" t="s">
        <v>47</v>
      </c>
      <c r="I13" s="48" t="s">
        <v>151</v>
      </c>
      <c r="J13" s="48"/>
      <c r="K13" s="47"/>
      <c r="L13" s="47"/>
      <c r="M13" s="48"/>
    </row>
    <row r="14" spans="1:13" s="44" customFormat="1" ht="63" customHeight="1">
      <c r="A14" s="47">
        <v>10</v>
      </c>
      <c r="B14" s="48" t="s">
        <v>142</v>
      </c>
      <c r="C14" s="48" t="s">
        <v>152</v>
      </c>
      <c r="D14" s="48" t="s">
        <v>153</v>
      </c>
      <c r="E14" s="47">
        <v>5</v>
      </c>
      <c r="F14" s="47">
        <v>5</v>
      </c>
      <c r="G14" s="47">
        <f t="shared" si="0"/>
        <v>25</v>
      </c>
      <c r="H14" s="48" t="s">
        <v>48</v>
      </c>
      <c r="I14" s="48" t="s">
        <v>240</v>
      </c>
      <c r="J14" s="48"/>
      <c r="K14" s="47"/>
      <c r="L14" s="47"/>
      <c r="M14" s="48"/>
    </row>
    <row r="15" spans="1:13" s="55" customFormat="1" ht="61.15" customHeight="1">
      <c r="A15" s="48">
        <v>11</v>
      </c>
      <c r="B15" s="48" t="s">
        <v>284</v>
      </c>
      <c r="C15" s="61" t="s">
        <v>55</v>
      </c>
      <c r="D15" s="62" t="s">
        <v>306</v>
      </c>
      <c r="E15" s="61">
        <v>5</v>
      </c>
      <c r="F15" s="61">
        <v>2</v>
      </c>
      <c r="G15" s="61">
        <f t="shared" si="0"/>
        <v>10</v>
      </c>
      <c r="H15" s="62" t="s">
        <v>46</v>
      </c>
      <c r="I15" s="62" t="s">
        <v>307</v>
      </c>
      <c r="J15" s="61"/>
      <c r="K15" s="61"/>
      <c r="L15" s="61"/>
      <c r="M15" s="61"/>
    </row>
    <row r="16" spans="1:13">
      <c r="C16" s="104"/>
      <c r="G16" s="77"/>
    </row>
    <row r="17" spans="7:7">
      <c r="G17" s="77"/>
    </row>
    <row r="18" spans="7:7">
      <c r="G18" s="77"/>
    </row>
    <row r="19" spans="7:7">
      <c r="G19" s="77"/>
    </row>
    <row r="20" spans="7:7">
      <c r="G20" s="77"/>
    </row>
  </sheetData>
  <mergeCells count="10">
    <mergeCell ref="E1:M1"/>
    <mergeCell ref="I3:I4"/>
    <mergeCell ref="J3:M3"/>
    <mergeCell ref="A3:A4"/>
    <mergeCell ref="B3:B4"/>
    <mergeCell ref="C3:C4"/>
    <mergeCell ref="D3:D4"/>
    <mergeCell ref="E3:H3"/>
    <mergeCell ref="A2:D2"/>
    <mergeCell ref="E2:M2"/>
  </mergeCells>
  <pageMargins left="0.44" right="0.16" top="0.74" bottom="0.16" header="0.36" footer="0.23"/>
  <pageSetup scale="68" fitToHeight="0" orientation="landscape" useFirstPageNumber="1"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M59"/>
  <sheetViews>
    <sheetView view="pageBreakPreview" zoomScale="82" zoomScaleNormal="89" zoomScaleSheetLayoutView="82" workbookViewId="0">
      <selection activeCell="H7" sqref="H7"/>
    </sheetView>
  </sheetViews>
  <sheetFormatPr defaultColWidth="11.5703125" defaultRowHeight="18.75"/>
  <cols>
    <col min="1" max="1" width="4.85546875" style="44" customWidth="1"/>
    <col min="2" max="2" width="15.28515625" style="60" customWidth="1"/>
    <col min="3" max="3" width="31.5703125" style="41" customWidth="1"/>
    <col min="4" max="4" width="55.140625" style="41" bestFit="1" customWidth="1"/>
    <col min="5" max="5" width="5.28515625" style="41" customWidth="1"/>
    <col min="6" max="6" width="6.28515625" style="41" customWidth="1"/>
    <col min="7" max="7" width="6.85546875" style="41" customWidth="1"/>
    <col min="8" max="8" width="11.7109375" style="41" customWidth="1"/>
    <col min="9" max="9" width="39.5703125" style="41" customWidth="1"/>
    <col min="10" max="10" width="4.7109375" style="41" customWidth="1"/>
    <col min="11" max="11" width="4.85546875" style="41" customWidth="1"/>
    <col min="12" max="12" width="6.5703125" style="41" customWidth="1"/>
    <col min="13" max="13" width="11.42578125" style="41" customWidth="1"/>
    <col min="14" max="16384" width="11.5703125" style="40"/>
  </cols>
  <sheetData>
    <row r="1" spans="1:13" ht="30" customHeight="1">
      <c r="A1" s="77"/>
      <c r="B1" s="105"/>
      <c r="C1" s="39"/>
      <c r="D1" s="39"/>
      <c r="E1" s="708" t="s">
        <v>328</v>
      </c>
      <c r="F1" s="708"/>
      <c r="G1" s="708"/>
      <c r="H1" s="708"/>
      <c r="I1" s="708"/>
      <c r="J1" s="708"/>
      <c r="K1" s="708"/>
      <c r="L1" s="708"/>
      <c r="M1" s="708"/>
    </row>
    <row r="2" spans="1:13" ht="164.45" customHeight="1">
      <c r="A2" s="715" t="s">
        <v>322</v>
      </c>
      <c r="B2" s="715"/>
      <c r="C2" s="715"/>
      <c r="D2" s="715"/>
      <c r="E2" s="723"/>
      <c r="F2" s="723"/>
      <c r="G2" s="723"/>
      <c r="H2" s="723"/>
      <c r="I2" s="723"/>
      <c r="J2" s="723"/>
      <c r="K2" s="723"/>
      <c r="L2" s="723"/>
      <c r="M2" s="723"/>
    </row>
    <row r="3" spans="1:13" s="44" customFormat="1" ht="63.75" customHeight="1">
      <c r="A3" s="711" t="s">
        <v>2</v>
      </c>
      <c r="B3" s="710" t="s">
        <v>45</v>
      </c>
      <c r="C3" s="710" t="s">
        <v>6</v>
      </c>
      <c r="D3" s="711" t="s">
        <v>3</v>
      </c>
      <c r="E3" s="711" t="s">
        <v>4</v>
      </c>
      <c r="F3" s="711"/>
      <c r="G3" s="711"/>
      <c r="H3" s="711"/>
      <c r="I3" s="710" t="s">
        <v>7</v>
      </c>
      <c r="J3" s="710" t="s">
        <v>8</v>
      </c>
      <c r="K3" s="711"/>
      <c r="L3" s="711"/>
      <c r="M3" s="711"/>
    </row>
    <row r="4" spans="1:13" s="44" customFormat="1" ht="45.75" customHeight="1">
      <c r="A4" s="711"/>
      <c r="B4" s="710"/>
      <c r="C4" s="711"/>
      <c r="D4" s="711"/>
      <c r="E4" s="42" t="s">
        <v>0</v>
      </c>
      <c r="F4" s="42" t="s">
        <v>1</v>
      </c>
      <c r="G4" s="42" t="s">
        <v>12</v>
      </c>
      <c r="H4" s="43" t="s">
        <v>5</v>
      </c>
      <c r="I4" s="711"/>
      <c r="J4" s="43" t="s">
        <v>0</v>
      </c>
      <c r="K4" s="42" t="s">
        <v>1</v>
      </c>
      <c r="L4" s="42" t="s">
        <v>12</v>
      </c>
      <c r="M4" s="43" t="s">
        <v>9</v>
      </c>
    </row>
    <row r="5" spans="1:13" s="44" customFormat="1" ht="75.75" customHeight="1">
      <c r="A5" s="45">
        <v>1</v>
      </c>
      <c r="B5" s="107" t="s">
        <v>241</v>
      </c>
      <c r="C5" s="108" t="s">
        <v>154</v>
      </c>
      <c r="D5" s="109" t="s">
        <v>155</v>
      </c>
      <c r="E5" s="80">
        <v>1</v>
      </c>
      <c r="F5" s="80">
        <v>4</v>
      </c>
      <c r="G5" s="80">
        <f>E5*F5</f>
        <v>4</v>
      </c>
      <c r="H5" s="107" t="s">
        <v>47</v>
      </c>
      <c r="I5" s="107" t="s">
        <v>156</v>
      </c>
      <c r="J5" s="107"/>
      <c r="K5" s="80"/>
      <c r="L5" s="80"/>
      <c r="M5" s="107"/>
    </row>
    <row r="6" spans="1:13" s="44" customFormat="1" ht="54" customHeight="1">
      <c r="A6" s="47">
        <v>2</v>
      </c>
      <c r="B6" s="108" t="s">
        <v>242</v>
      </c>
      <c r="C6" s="108" t="s">
        <v>157</v>
      </c>
      <c r="D6" s="108" t="s">
        <v>158</v>
      </c>
      <c r="E6" s="49">
        <v>2</v>
      </c>
      <c r="F6" s="49">
        <v>2</v>
      </c>
      <c r="G6" s="49">
        <f>E6*F6</f>
        <v>4</v>
      </c>
      <c r="H6" s="107" t="s">
        <v>47</v>
      </c>
      <c r="I6" s="108" t="s">
        <v>159</v>
      </c>
      <c r="J6" s="108"/>
      <c r="K6" s="49"/>
      <c r="L6" s="49"/>
      <c r="M6" s="107"/>
    </row>
    <row r="7" spans="1:13" s="44" customFormat="1" ht="86.25" customHeight="1">
      <c r="A7" s="47">
        <v>3</v>
      </c>
      <c r="B7" s="48" t="s">
        <v>243</v>
      </c>
      <c r="C7" s="48" t="s">
        <v>160</v>
      </c>
      <c r="D7" s="48" t="s">
        <v>161</v>
      </c>
      <c r="E7" s="47">
        <v>3</v>
      </c>
      <c r="F7" s="47">
        <v>2</v>
      </c>
      <c r="G7" s="47">
        <f>E7*F7</f>
        <v>6</v>
      </c>
      <c r="H7" s="46" t="s">
        <v>46</v>
      </c>
      <c r="I7" s="47" t="s">
        <v>162</v>
      </c>
      <c r="J7" s="48"/>
      <c r="K7" s="47"/>
      <c r="L7" s="47"/>
      <c r="M7" s="46"/>
    </row>
    <row r="8" spans="1:13" s="44" customFormat="1" ht="57.75" customHeight="1">
      <c r="A8" s="47">
        <v>4</v>
      </c>
      <c r="B8" s="108" t="s">
        <v>244</v>
      </c>
      <c r="C8" s="108" t="s">
        <v>163</v>
      </c>
      <c r="D8" s="48" t="s">
        <v>164</v>
      </c>
      <c r="E8" s="49">
        <v>3</v>
      </c>
      <c r="F8" s="49">
        <v>4</v>
      </c>
      <c r="G8" s="49">
        <f>E8*F8</f>
        <v>12</v>
      </c>
      <c r="H8" s="108" t="s">
        <v>48</v>
      </c>
      <c r="I8" s="108" t="s">
        <v>165</v>
      </c>
      <c r="J8" s="108"/>
      <c r="K8" s="49"/>
      <c r="L8" s="49"/>
      <c r="M8" s="108"/>
    </row>
    <row r="9" spans="1:13" s="51" customFormat="1" ht="66.75" customHeight="1">
      <c r="A9" s="79">
        <v>5</v>
      </c>
      <c r="B9" s="79" t="s">
        <v>284</v>
      </c>
      <c r="C9" s="61" t="s">
        <v>55</v>
      </c>
      <c r="D9" s="62" t="s">
        <v>306</v>
      </c>
      <c r="E9" s="61">
        <v>5</v>
      </c>
      <c r="F9" s="61">
        <v>2</v>
      </c>
      <c r="G9" s="61">
        <f>E9*F9</f>
        <v>10</v>
      </c>
      <c r="H9" s="62" t="s">
        <v>46</v>
      </c>
      <c r="I9" s="62" t="s">
        <v>307</v>
      </c>
      <c r="J9" s="61"/>
      <c r="K9" s="61"/>
      <c r="L9" s="61"/>
      <c r="M9" s="61"/>
    </row>
    <row r="10" spans="1:13" s="51" customFormat="1" ht="94.5" customHeight="1">
      <c r="A10" s="102"/>
      <c r="B10" s="52"/>
      <c r="C10" s="52"/>
      <c r="D10" s="110"/>
      <c r="E10" s="50"/>
      <c r="F10" s="50"/>
      <c r="G10" s="50"/>
      <c r="H10" s="50"/>
      <c r="I10" s="52"/>
      <c r="J10" s="50"/>
      <c r="K10" s="50"/>
      <c r="L10" s="50"/>
      <c r="M10" s="50"/>
    </row>
    <row r="11" spans="1:13" s="51" customFormat="1" ht="92.25" customHeight="1">
      <c r="A11" s="102"/>
      <c r="B11" s="52"/>
      <c r="C11" s="52"/>
      <c r="D11" s="110"/>
      <c r="E11" s="50"/>
      <c r="F11" s="50"/>
      <c r="G11" s="50"/>
      <c r="H11" s="50"/>
      <c r="I11" s="52"/>
      <c r="J11" s="50"/>
      <c r="K11" s="50"/>
      <c r="L11" s="50"/>
      <c r="M11" s="50"/>
    </row>
    <row r="12" spans="1:13" s="51" customFormat="1" ht="58.5" customHeight="1">
      <c r="A12" s="102"/>
      <c r="B12" s="52"/>
      <c r="C12" s="52"/>
      <c r="D12" s="110"/>
      <c r="E12" s="50"/>
      <c r="F12" s="50"/>
      <c r="G12" s="50"/>
      <c r="H12" s="50"/>
      <c r="I12" s="52"/>
      <c r="J12" s="50"/>
      <c r="K12" s="50"/>
      <c r="L12" s="50"/>
      <c r="M12" s="50"/>
    </row>
    <row r="13" spans="1:13" s="55" customFormat="1" hidden="1">
      <c r="A13" s="100"/>
      <c r="B13" s="67"/>
      <c r="C13" s="54"/>
      <c r="D13" s="54"/>
      <c r="E13" s="54"/>
      <c r="F13" s="54"/>
      <c r="G13" s="53"/>
      <c r="H13" s="54"/>
      <c r="I13" s="54"/>
      <c r="J13" s="54"/>
      <c r="K13" s="54"/>
      <c r="L13" s="54"/>
      <c r="M13" s="54"/>
    </row>
    <row r="14" spans="1:13" s="55" customFormat="1" hidden="1">
      <c r="A14" s="100"/>
      <c r="B14" s="67"/>
      <c r="C14" s="54"/>
      <c r="D14" s="54"/>
      <c r="E14" s="54"/>
      <c r="F14" s="54"/>
      <c r="G14" s="53"/>
      <c r="H14" s="54"/>
      <c r="I14" s="54"/>
      <c r="J14" s="54"/>
      <c r="K14" s="54"/>
      <c r="L14" s="54"/>
      <c r="M14" s="54"/>
    </row>
    <row r="15" spans="1:13" s="55" customFormat="1" hidden="1">
      <c r="A15" s="100"/>
      <c r="B15" s="67"/>
      <c r="C15" s="54"/>
      <c r="D15" s="54"/>
      <c r="E15" s="54"/>
      <c r="F15" s="54"/>
      <c r="G15" s="53"/>
      <c r="H15" s="54"/>
      <c r="I15" s="54"/>
      <c r="J15" s="54"/>
      <c r="K15" s="54"/>
      <c r="L15" s="54"/>
      <c r="M15" s="54"/>
    </row>
    <row r="16" spans="1:13" s="55" customFormat="1" hidden="1">
      <c r="A16" s="100"/>
      <c r="B16" s="67"/>
      <c r="C16" s="54"/>
      <c r="D16" s="54"/>
      <c r="E16" s="54"/>
      <c r="F16" s="54"/>
      <c r="G16" s="53"/>
      <c r="H16" s="54"/>
      <c r="I16" s="54"/>
      <c r="J16" s="54"/>
      <c r="K16" s="54"/>
      <c r="L16" s="54"/>
      <c r="M16" s="54"/>
    </row>
    <row r="17" spans="1:13" s="55" customFormat="1" hidden="1">
      <c r="A17" s="100"/>
      <c r="B17" s="67"/>
      <c r="C17" s="54"/>
      <c r="D17" s="54"/>
      <c r="E17" s="54"/>
      <c r="F17" s="54"/>
      <c r="G17" s="53"/>
      <c r="H17" s="54"/>
      <c r="I17" s="54"/>
      <c r="J17" s="54"/>
      <c r="K17" s="54"/>
      <c r="L17" s="54"/>
      <c r="M17" s="54"/>
    </row>
    <row r="18" spans="1:13" s="55" customFormat="1" hidden="1">
      <c r="A18" s="100"/>
      <c r="B18" s="67"/>
      <c r="C18" s="54"/>
      <c r="D18" s="54"/>
      <c r="E18" s="54"/>
      <c r="F18" s="54"/>
      <c r="G18" s="53"/>
      <c r="H18" s="54"/>
      <c r="I18" s="54"/>
      <c r="J18" s="54"/>
      <c r="K18" s="54"/>
      <c r="L18" s="54"/>
      <c r="M18" s="54"/>
    </row>
    <row r="19" spans="1:13" s="55" customFormat="1" hidden="1">
      <c r="A19" s="100"/>
      <c r="B19" s="67"/>
      <c r="C19" s="54"/>
      <c r="D19" s="54"/>
      <c r="E19" s="54"/>
      <c r="F19" s="54"/>
      <c r="G19" s="53"/>
      <c r="H19" s="54"/>
      <c r="I19" s="54"/>
      <c r="J19" s="54"/>
      <c r="K19" s="54"/>
      <c r="L19" s="54"/>
      <c r="M19" s="54"/>
    </row>
    <row r="20" spans="1:13" s="55" customFormat="1" hidden="1">
      <c r="A20" s="100"/>
      <c r="B20" s="67"/>
      <c r="C20" s="54"/>
      <c r="D20" s="54"/>
      <c r="E20" s="54"/>
      <c r="F20" s="54"/>
      <c r="G20" s="53"/>
      <c r="H20" s="54"/>
      <c r="I20" s="54"/>
      <c r="J20" s="54"/>
      <c r="K20" s="54"/>
      <c r="L20" s="54"/>
      <c r="M20" s="54"/>
    </row>
    <row r="21" spans="1:13" s="55" customFormat="1" hidden="1">
      <c r="A21" s="100"/>
      <c r="B21" s="67"/>
      <c r="C21" s="54"/>
      <c r="D21" s="54"/>
      <c r="E21" s="54"/>
      <c r="F21" s="54"/>
      <c r="G21" s="53"/>
      <c r="H21" s="54"/>
      <c r="I21" s="54"/>
      <c r="J21" s="54"/>
      <c r="K21" s="54"/>
      <c r="L21" s="54"/>
      <c r="M21" s="54"/>
    </row>
    <row r="22" spans="1:13" s="55" customFormat="1" hidden="1">
      <c r="A22" s="100"/>
      <c r="B22" s="67"/>
      <c r="C22" s="54"/>
      <c r="D22" s="54"/>
      <c r="E22" s="54"/>
      <c r="F22" s="54"/>
      <c r="G22" s="53"/>
      <c r="H22" s="54"/>
      <c r="I22" s="54"/>
      <c r="J22" s="54"/>
      <c r="K22" s="54"/>
      <c r="L22" s="54"/>
      <c r="M22" s="54"/>
    </row>
    <row r="23" spans="1:13" s="55" customFormat="1" hidden="1">
      <c r="A23" s="100"/>
      <c r="B23" s="67"/>
      <c r="C23" s="53"/>
      <c r="D23" s="53"/>
      <c r="E23" s="54"/>
      <c r="F23" s="54"/>
      <c r="G23" s="53"/>
      <c r="H23" s="54"/>
      <c r="I23" s="54"/>
      <c r="J23" s="54"/>
      <c r="K23" s="54"/>
      <c r="L23" s="54"/>
      <c r="M23" s="54"/>
    </row>
    <row r="24" spans="1:13" s="55" customFormat="1" hidden="1">
      <c r="A24" s="100"/>
      <c r="B24" s="67"/>
      <c r="C24" s="53"/>
      <c r="D24" s="53"/>
      <c r="E24" s="54"/>
      <c r="F24" s="54"/>
      <c r="G24" s="53"/>
      <c r="H24" s="54"/>
      <c r="I24" s="54"/>
      <c r="J24" s="54"/>
      <c r="K24" s="54"/>
      <c r="L24" s="54"/>
      <c r="M24" s="54"/>
    </row>
    <row r="25" spans="1:13" s="55" customFormat="1" hidden="1">
      <c r="A25" s="100"/>
      <c r="B25" s="67"/>
      <c r="C25" s="53"/>
      <c r="D25" s="53"/>
      <c r="E25" s="54"/>
      <c r="F25" s="54"/>
      <c r="G25" s="53"/>
      <c r="H25" s="54"/>
      <c r="I25" s="54"/>
      <c r="J25" s="54"/>
      <c r="K25" s="54"/>
      <c r="L25" s="54"/>
      <c r="M25" s="54"/>
    </row>
    <row r="26" spans="1:13" s="55" customFormat="1" hidden="1">
      <c r="A26" s="100"/>
      <c r="B26" s="67"/>
      <c r="C26" s="53"/>
      <c r="D26" s="53"/>
      <c r="E26" s="54"/>
      <c r="F26" s="54"/>
      <c r="G26" s="53"/>
      <c r="H26" s="54"/>
      <c r="I26" s="54"/>
      <c r="J26" s="54"/>
      <c r="K26" s="54"/>
      <c r="L26" s="54"/>
      <c r="M26" s="54"/>
    </row>
    <row r="27" spans="1:13" s="55" customFormat="1" hidden="1">
      <c r="A27" s="100"/>
      <c r="B27" s="67"/>
      <c r="C27" s="53"/>
      <c r="D27" s="53"/>
      <c r="E27" s="54"/>
      <c r="F27" s="54"/>
      <c r="G27" s="53"/>
      <c r="H27" s="54"/>
      <c r="I27" s="54"/>
      <c r="J27" s="54"/>
      <c r="K27" s="54"/>
      <c r="L27" s="54"/>
      <c r="M27" s="54"/>
    </row>
    <row r="28" spans="1:13" s="55" customFormat="1" hidden="1">
      <c r="A28" s="101"/>
      <c r="B28" s="68"/>
      <c r="C28" s="56"/>
      <c r="D28" s="56"/>
      <c r="E28" s="57"/>
      <c r="F28" s="57"/>
      <c r="G28" s="53"/>
      <c r="H28" s="57"/>
      <c r="I28" s="57"/>
      <c r="J28" s="57"/>
      <c r="K28" s="57"/>
      <c r="L28" s="57"/>
      <c r="M28" s="57"/>
    </row>
    <row r="29" spans="1:13" s="55" customFormat="1">
      <c r="A29" s="576"/>
      <c r="B29" s="576"/>
      <c r="C29" s="576"/>
      <c r="D29" s="576"/>
      <c r="E29" s="576"/>
      <c r="F29" s="576"/>
      <c r="G29" s="576"/>
      <c r="H29" s="576"/>
      <c r="I29" s="576"/>
      <c r="J29" s="576"/>
      <c r="K29" s="576"/>
      <c r="L29" s="576"/>
      <c r="M29" s="576"/>
    </row>
    <row r="30" spans="1:13" s="55" customFormat="1">
      <c r="A30" s="102"/>
      <c r="B30" s="52"/>
      <c r="C30" s="52"/>
      <c r="D30" s="50"/>
      <c r="E30" s="50"/>
      <c r="F30" s="50"/>
      <c r="G30" s="50"/>
      <c r="H30" s="50"/>
      <c r="I30" s="50"/>
      <c r="J30" s="50"/>
      <c r="K30" s="50"/>
      <c r="L30" s="50"/>
      <c r="M30" s="50"/>
    </row>
    <row r="31" spans="1:13" s="55" customFormat="1">
      <c r="A31" s="63"/>
      <c r="B31" s="58"/>
      <c r="C31" s="58"/>
      <c r="D31" s="58"/>
      <c r="E31" s="59"/>
      <c r="F31" s="59"/>
      <c r="G31" s="50"/>
      <c r="H31" s="59"/>
      <c r="I31" s="58"/>
      <c r="J31" s="59"/>
      <c r="K31" s="59"/>
      <c r="L31" s="59"/>
      <c r="M31" s="59"/>
    </row>
    <row r="32" spans="1:13" s="55" customFormat="1">
      <c r="A32" s="63"/>
      <c r="B32" s="58"/>
      <c r="C32" s="59"/>
      <c r="D32" s="59"/>
      <c r="E32" s="59"/>
      <c r="F32" s="59"/>
      <c r="G32" s="50"/>
      <c r="H32" s="59"/>
      <c r="I32" s="59"/>
      <c r="J32" s="59"/>
      <c r="K32" s="59"/>
      <c r="L32" s="59"/>
      <c r="M32" s="59"/>
    </row>
    <row r="33" spans="1:13" s="55" customFormat="1">
      <c r="A33" s="63"/>
      <c r="B33" s="58"/>
      <c r="C33" s="59"/>
      <c r="D33" s="59"/>
      <c r="E33" s="59"/>
      <c r="F33" s="59"/>
      <c r="G33" s="50"/>
      <c r="H33" s="59"/>
      <c r="I33" s="59"/>
      <c r="J33" s="59"/>
      <c r="K33" s="59"/>
      <c r="L33" s="59"/>
      <c r="M33" s="59"/>
    </row>
    <row r="34" spans="1:13" s="55" customFormat="1">
      <c r="A34" s="63"/>
      <c r="B34" s="58"/>
      <c r="C34" s="59"/>
      <c r="D34" s="59"/>
      <c r="E34" s="59"/>
      <c r="F34" s="59"/>
      <c r="G34" s="50"/>
      <c r="H34" s="59"/>
      <c r="I34" s="59"/>
      <c r="J34" s="59"/>
      <c r="K34" s="59"/>
      <c r="L34" s="59"/>
      <c r="M34" s="59"/>
    </row>
    <row r="35" spans="1:13" s="55" customFormat="1">
      <c r="A35" s="63"/>
      <c r="B35" s="58"/>
      <c r="C35" s="59"/>
      <c r="D35" s="59"/>
      <c r="E35" s="59"/>
      <c r="F35" s="59"/>
      <c r="G35" s="50"/>
      <c r="H35" s="59"/>
      <c r="I35" s="59"/>
      <c r="J35" s="59"/>
      <c r="K35" s="59"/>
      <c r="L35" s="59"/>
      <c r="M35" s="59"/>
    </row>
    <row r="36" spans="1:13" s="55" customFormat="1">
      <c r="A36" s="63"/>
      <c r="B36" s="58"/>
      <c r="C36" s="59"/>
      <c r="D36" s="59"/>
      <c r="E36" s="59"/>
      <c r="F36" s="59"/>
      <c r="G36" s="50"/>
      <c r="H36" s="59"/>
      <c r="I36" s="58"/>
      <c r="J36" s="59"/>
      <c r="K36" s="59"/>
      <c r="L36" s="59"/>
      <c r="M36" s="59"/>
    </row>
    <row r="37" spans="1:13" s="55" customFormat="1">
      <c r="A37" s="63"/>
      <c r="B37" s="58"/>
      <c r="C37" s="58"/>
      <c r="D37" s="59"/>
      <c r="E37" s="59"/>
      <c r="F37" s="59"/>
      <c r="G37" s="50"/>
      <c r="H37" s="59"/>
      <c r="I37" s="58"/>
      <c r="J37" s="59"/>
      <c r="K37" s="59"/>
      <c r="L37" s="59"/>
      <c r="M37" s="59"/>
    </row>
    <row r="38" spans="1:13" s="55" customFormat="1">
      <c r="A38" s="63"/>
      <c r="B38" s="58"/>
      <c r="C38" s="58"/>
      <c r="D38" s="59"/>
      <c r="E38" s="59"/>
      <c r="F38" s="59"/>
      <c r="G38" s="50"/>
      <c r="H38" s="59"/>
      <c r="I38" s="58"/>
      <c r="J38" s="59"/>
      <c r="K38" s="59"/>
      <c r="L38" s="59"/>
      <c r="M38" s="59"/>
    </row>
    <row r="39" spans="1:13" s="55" customFormat="1">
      <c r="A39" s="63"/>
      <c r="B39" s="58"/>
      <c r="C39" s="58"/>
      <c r="D39" s="59"/>
      <c r="E39" s="59"/>
      <c r="F39" s="59"/>
      <c r="G39" s="50"/>
      <c r="H39" s="59"/>
      <c r="I39" s="59"/>
      <c r="J39" s="59"/>
      <c r="K39" s="59"/>
      <c r="L39" s="59"/>
      <c r="M39" s="59"/>
    </row>
    <row r="40" spans="1:13" s="55" customFormat="1">
      <c r="A40" s="63"/>
      <c r="B40" s="58"/>
      <c r="C40" s="58"/>
      <c r="D40" s="59"/>
      <c r="E40" s="59"/>
      <c r="F40" s="59"/>
      <c r="G40" s="50"/>
      <c r="H40" s="59"/>
      <c r="I40" s="59"/>
      <c r="J40" s="59"/>
      <c r="K40" s="59"/>
      <c r="L40" s="59"/>
      <c r="M40" s="59"/>
    </row>
    <row r="41" spans="1:13" s="55" customFormat="1">
      <c r="A41" s="63"/>
      <c r="B41" s="58"/>
      <c r="C41" s="58"/>
      <c r="D41" s="59"/>
      <c r="E41" s="59"/>
      <c r="F41" s="59"/>
      <c r="G41" s="50"/>
      <c r="H41" s="59"/>
      <c r="I41" s="58"/>
      <c r="J41" s="59"/>
      <c r="K41" s="59"/>
      <c r="L41" s="59"/>
      <c r="M41" s="59"/>
    </row>
    <row r="42" spans="1:13" s="55" customFormat="1">
      <c r="A42" s="576"/>
      <c r="B42" s="576"/>
      <c r="C42" s="576"/>
      <c r="D42" s="576"/>
      <c r="E42" s="576"/>
      <c r="F42" s="576"/>
      <c r="G42" s="576"/>
      <c r="H42" s="576"/>
      <c r="I42" s="576"/>
      <c r="J42" s="576"/>
      <c r="K42" s="576"/>
      <c r="L42" s="576"/>
      <c r="M42" s="576"/>
    </row>
    <row r="43" spans="1:13" s="55" customFormat="1">
      <c r="A43" s="63"/>
      <c r="B43" s="58"/>
      <c r="C43" s="58"/>
      <c r="D43" s="59"/>
      <c r="E43" s="59"/>
      <c r="F43" s="59"/>
      <c r="G43" s="50"/>
      <c r="H43" s="59"/>
      <c r="I43" s="59"/>
      <c r="J43" s="59"/>
      <c r="K43" s="59"/>
      <c r="L43" s="59"/>
      <c r="M43" s="59"/>
    </row>
    <row r="44" spans="1:13" s="55" customFormat="1">
      <c r="A44" s="63"/>
      <c r="B44" s="58"/>
      <c r="C44" s="59"/>
      <c r="D44" s="59"/>
      <c r="E44" s="59"/>
      <c r="F44" s="59"/>
      <c r="G44" s="50"/>
      <c r="H44" s="59"/>
      <c r="I44" s="59"/>
      <c r="J44" s="59"/>
      <c r="K44" s="59"/>
      <c r="L44" s="59"/>
      <c r="M44" s="59"/>
    </row>
    <row r="45" spans="1:13" s="55" customFormat="1">
      <c r="A45" s="63"/>
      <c r="B45" s="58"/>
      <c r="C45" s="59"/>
      <c r="D45" s="59"/>
      <c r="E45" s="59"/>
      <c r="F45" s="59"/>
      <c r="G45" s="50"/>
      <c r="H45" s="59"/>
      <c r="I45" s="59"/>
      <c r="J45" s="59"/>
      <c r="K45" s="59"/>
      <c r="L45" s="59"/>
      <c r="M45" s="59"/>
    </row>
    <row r="46" spans="1:13" s="55" customFormat="1">
      <c r="A46" s="63"/>
      <c r="B46" s="58"/>
      <c r="C46" s="59"/>
      <c r="D46" s="59"/>
      <c r="E46" s="59"/>
      <c r="F46" s="59"/>
      <c r="G46" s="50"/>
      <c r="H46" s="59"/>
      <c r="I46" s="59"/>
      <c r="J46" s="59"/>
      <c r="K46" s="59"/>
      <c r="L46" s="59"/>
      <c r="M46" s="59"/>
    </row>
    <row r="47" spans="1:13">
      <c r="G47" s="39"/>
    </row>
    <row r="48" spans="1:13">
      <c r="C48" s="60"/>
      <c r="G48" s="39"/>
    </row>
    <row r="49" spans="1:13">
      <c r="C49" s="60"/>
      <c r="G49" s="39"/>
    </row>
    <row r="50" spans="1:13">
      <c r="C50" s="60"/>
      <c r="G50" s="39"/>
    </row>
    <row r="51" spans="1:13">
      <c r="C51" s="60"/>
      <c r="G51" s="39"/>
      <c r="I51" s="60"/>
    </row>
    <row r="52" spans="1:13">
      <c r="C52" s="60"/>
      <c r="G52" s="39"/>
      <c r="I52" s="60"/>
    </row>
    <row r="53" spans="1:13">
      <c r="G53" s="39"/>
    </row>
    <row r="54" spans="1:13" s="55" customFormat="1">
      <c r="A54" s="561"/>
      <c r="B54" s="561"/>
      <c r="C54" s="561"/>
      <c r="D54" s="561"/>
      <c r="E54" s="561"/>
      <c r="F54" s="561"/>
      <c r="G54" s="561"/>
      <c r="H54" s="561"/>
      <c r="I54" s="561"/>
      <c r="J54" s="561"/>
      <c r="K54" s="561"/>
      <c r="L54" s="561"/>
      <c r="M54" s="561"/>
    </row>
    <row r="55" spans="1:13">
      <c r="C55" s="60"/>
      <c r="G55" s="39"/>
    </row>
    <row r="56" spans="1:13">
      <c r="G56" s="39"/>
    </row>
    <row r="57" spans="1:13">
      <c r="G57" s="39"/>
    </row>
    <row r="58" spans="1:13">
      <c r="G58" s="39"/>
    </row>
    <row r="59" spans="1:13">
      <c r="G59" s="39"/>
    </row>
  </sheetData>
  <mergeCells count="13">
    <mergeCell ref="A2:D2"/>
    <mergeCell ref="E2:M2"/>
    <mergeCell ref="E1:M1"/>
    <mergeCell ref="I3:I4"/>
    <mergeCell ref="J3:M3"/>
    <mergeCell ref="A29:M29"/>
    <mergeCell ref="A42:M42"/>
    <mergeCell ref="A54:M54"/>
    <mergeCell ref="A3:A4"/>
    <mergeCell ref="B3:B4"/>
    <mergeCell ref="C3:C4"/>
    <mergeCell ref="D3:D4"/>
    <mergeCell ref="E3:H3"/>
  </mergeCells>
  <pageMargins left="0.44" right="0.16" top="0.74" bottom="0.16" header="0.36" footer="0.23"/>
  <pageSetup scale="61" fitToHeight="0" orientation="landscape" useFirstPageNumber="1"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showGridLines="0" view="pageBreakPreview" zoomScale="82" zoomScaleNormal="89" zoomScaleSheetLayoutView="82" workbookViewId="0">
      <selection activeCell="O7" sqref="O7"/>
    </sheetView>
  </sheetViews>
  <sheetFormatPr defaultColWidth="11.5703125" defaultRowHeight="18.75"/>
  <cols>
    <col min="1" max="1" width="4.85546875" style="41" customWidth="1"/>
    <col min="2" max="2" width="15.28515625" style="35" customWidth="1"/>
    <col min="3" max="3" width="31.5703125" style="36" customWidth="1"/>
    <col min="4" max="4" width="45.28515625" style="37" customWidth="1"/>
    <col min="5" max="5" width="4.5703125" style="40" customWidth="1"/>
    <col min="6" max="6" width="5" style="40" customWidth="1"/>
    <col min="7" max="7" width="6.85546875" style="40" customWidth="1"/>
    <col min="8" max="8" width="11.7109375" style="40" customWidth="1"/>
    <col min="9" max="9" width="39.5703125" style="41" customWidth="1"/>
    <col min="10" max="10" width="4.7109375" style="41" customWidth="1"/>
    <col min="11" max="11" width="4.85546875" style="41" customWidth="1"/>
    <col min="12" max="12" width="6.5703125" style="41" customWidth="1"/>
    <col min="13" max="13" width="11.42578125" style="40" customWidth="1"/>
    <col min="14" max="16384" width="11.5703125" style="40"/>
  </cols>
  <sheetData>
    <row r="1" spans="1:13" ht="28.9" customHeight="1">
      <c r="A1" s="39"/>
      <c r="B1" s="12"/>
      <c r="C1" s="13"/>
      <c r="D1" s="14"/>
      <c r="E1" s="708" t="s">
        <v>328</v>
      </c>
      <c r="F1" s="708"/>
      <c r="G1" s="708"/>
      <c r="H1" s="708"/>
      <c r="I1" s="708"/>
      <c r="J1" s="708"/>
      <c r="K1" s="708"/>
      <c r="L1" s="708"/>
      <c r="M1" s="708"/>
    </row>
    <row r="2" spans="1:13" ht="162" customHeight="1">
      <c r="A2" s="715" t="s">
        <v>323</v>
      </c>
      <c r="B2" s="715"/>
      <c r="C2" s="715"/>
      <c r="D2" s="715"/>
      <c r="E2" s="723"/>
      <c r="F2" s="723"/>
      <c r="G2" s="723"/>
      <c r="H2" s="723"/>
      <c r="I2" s="723"/>
      <c r="J2" s="723"/>
      <c r="K2" s="723"/>
      <c r="L2" s="723"/>
      <c r="M2" s="723"/>
    </row>
    <row r="3" spans="1:13" s="44" customFormat="1" ht="63.75" customHeight="1">
      <c r="A3" s="543" t="s">
        <v>2</v>
      </c>
      <c r="B3" s="542" t="s">
        <v>45</v>
      </c>
      <c r="C3" s="542" t="s">
        <v>6</v>
      </c>
      <c r="D3" s="543" t="s">
        <v>3</v>
      </c>
      <c r="E3" s="543" t="s">
        <v>4</v>
      </c>
      <c r="F3" s="543"/>
      <c r="G3" s="543"/>
      <c r="H3" s="543"/>
      <c r="I3" s="542" t="s">
        <v>7</v>
      </c>
      <c r="J3" s="542" t="s">
        <v>8</v>
      </c>
      <c r="K3" s="543"/>
      <c r="L3" s="543"/>
      <c r="M3" s="543"/>
    </row>
    <row r="4" spans="1:13" s="44" customFormat="1" ht="45.75" customHeight="1">
      <c r="A4" s="543"/>
      <c r="B4" s="542"/>
      <c r="C4" s="543"/>
      <c r="D4" s="543"/>
      <c r="E4" s="144" t="s">
        <v>0</v>
      </c>
      <c r="F4" s="144" t="s">
        <v>1</v>
      </c>
      <c r="G4" s="144" t="s">
        <v>12</v>
      </c>
      <c r="H4" s="143" t="s">
        <v>5</v>
      </c>
      <c r="I4" s="543"/>
      <c r="J4" s="143" t="s">
        <v>0</v>
      </c>
      <c r="K4" s="144" t="s">
        <v>1</v>
      </c>
      <c r="L4" s="144" t="s">
        <v>12</v>
      </c>
      <c r="M4" s="143" t="s">
        <v>9</v>
      </c>
    </row>
    <row r="5" spans="1:13" s="44" customFormat="1" ht="63" customHeight="1">
      <c r="A5" s="45">
        <v>1</v>
      </c>
      <c r="B5" s="74" t="s">
        <v>245</v>
      </c>
      <c r="C5" s="16" t="s">
        <v>235</v>
      </c>
      <c r="D5" s="75" t="s">
        <v>254</v>
      </c>
      <c r="E5" s="47">
        <v>2</v>
      </c>
      <c r="F5" s="47">
        <v>5</v>
      </c>
      <c r="G5" s="47">
        <v>10</v>
      </c>
      <c r="H5" s="48" t="s">
        <v>46</v>
      </c>
      <c r="I5" s="15" t="s">
        <v>255</v>
      </c>
      <c r="J5" s="46"/>
      <c r="K5" s="45"/>
      <c r="L5" s="45"/>
      <c r="M5" s="15"/>
    </row>
    <row r="6" spans="1:13" s="44" customFormat="1" ht="57" customHeight="1">
      <c r="A6" s="47">
        <v>2</v>
      </c>
      <c r="B6" s="16" t="s">
        <v>249</v>
      </c>
      <c r="C6" s="16" t="s">
        <v>248</v>
      </c>
      <c r="D6" s="17" t="s">
        <v>257</v>
      </c>
      <c r="E6" s="47">
        <v>2</v>
      </c>
      <c r="F6" s="47">
        <v>5</v>
      </c>
      <c r="G6" s="47">
        <v>10</v>
      </c>
      <c r="H6" s="48" t="s">
        <v>46</v>
      </c>
      <c r="I6" s="17" t="s">
        <v>256</v>
      </c>
      <c r="J6" s="48"/>
      <c r="K6" s="47"/>
      <c r="L6" s="47"/>
      <c r="M6" s="17"/>
    </row>
    <row r="7" spans="1:13" s="44" customFormat="1" ht="61.5" customHeight="1">
      <c r="A7" s="45">
        <v>3</v>
      </c>
      <c r="B7" s="16" t="s">
        <v>246</v>
      </c>
      <c r="C7" s="16" t="s">
        <v>250</v>
      </c>
      <c r="D7" s="17" t="s">
        <v>251</v>
      </c>
      <c r="E7" s="47">
        <v>1</v>
      </c>
      <c r="F7" s="47">
        <v>5</v>
      </c>
      <c r="G7" s="47">
        <v>5</v>
      </c>
      <c r="H7" s="48" t="s">
        <v>47</v>
      </c>
      <c r="I7" s="17" t="s">
        <v>258</v>
      </c>
      <c r="J7" s="48"/>
      <c r="K7" s="47"/>
      <c r="L7" s="47"/>
      <c r="M7" s="17"/>
    </row>
    <row r="8" spans="1:13" s="44" customFormat="1" ht="59.45" customHeight="1">
      <c r="A8" s="47">
        <v>4</v>
      </c>
      <c r="B8" s="16" t="s">
        <v>247</v>
      </c>
      <c r="C8" s="16" t="s">
        <v>253</v>
      </c>
      <c r="D8" s="17" t="s">
        <v>252</v>
      </c>
      <c r="E8" s="47">
        <v>2</v>
      </c>
      <c r="F8" s="47">
        <v>5</v>
      </c>
      <c r="G8" s="47">
        <v>10</v>
      </c>
      <c r="H8" s="48" t="s">
        <v>46</v>
      </c>
      <c r="I8" s="17" t="s">
        <v>259</v>
      </c>
      <c r="J8" s="48"/>
      <c r="K8" s="47"/>
      <c r="L8" s="47"/>
      <c r="M8" s="17"/>
    </row>
    <row r="9" spans="1:13" ht="59.45" customHeight="1">
      <c r="A9" s="48">
        <v>5</v>
      </c>
      <c r="B9" s="16" t="s">
        <v>266</v>
      </c>
      <c r="C9" s="16" t="s">
        <v>265</v>
      </c>
      <c r="D9" s="16" t="s">
        <v>267</v>
      </c>
      <c r="E9" s="47">
        <v>2</v>
      </c>
      <c r="F9" s="47">
        <v>5</v>
      </c>
      <c r="G9" s="47">
        <v>10</v>
      </c>
      <c r="H9" s="48" t="s">
        <v>46</v>
      </c>
      <c r="I9" s="16" t="s">
        <v>268</v>
      </c>
      <c r="J9" s="16"/>
      <c r="K9" s="16"/>
      <c r="L9" s="16"/>
      <c r="M9" s="16"/>
    </row>
    <row r="10" spans="1:13" ht="56.25">
      <c r="A10" s="79">
        <v>6</v>
      </c>
      <c r="B10" s="79" t="s">
        <v>284</v>
      </c>
      <c r="C10" s="16" t="s">
        <v>55</v>
      </c>
      <c r="D10" s="65" t="s">
        <v>306</v>
      </c>
      <c r="E10" s="61">
        <v>5</v>
      </c>
      <c r="F10" s="61">
        <v>2</v>
      </c>
      <c r="G10" s="61">
        <f>E10*F10</f>
        <v>10</v>
      </c>
      <c r="H10" s="62" t="s">
        <v>46</v>
      </c>
      <c r="I10" s="62" t="s">
        <v>307</v>
      </c>
      <c r="J10" s="61"/>
      <c r="K10" s="61"/>
      <c r="L10" s="61"/>
      <c r="M10" s="61"/>
    </row>
    <row r="11" spans="1:13" s="55" customFormat="1">
      <c r="A11" s="561"/>
      <c r="B11" s="561"/>
      <c r="C11" s="561"/>
      <c r="D11" s="561"/>
      <c r="E11" s="561"/>
      <c r="F11" s="561"/>
      <c r="G11" s="561"/>
      <c r="H11" s="561"/>
      <c r="I11" s="561"/>
      <c r="J11" s="561"/>
      <c r="K11" s="561"/>
      <c r="L11" s="561"/>
      <c r="M11" s="561"/>
    </row>
    <row r="12" spans="1:13">
      <c r="C12" s="38"/>
      <c r="G12" s="39"/>
    </row>
    <row r="13" spans="1:13">
      <c r="G13" s="39"/>
    </row>
    <row r="14" spans="1:13">
      <c r="G14" s="39"/>
    </row>
    <row r="15" spans="1:13">
      <c r="G15" s="39"/>
    </row>
    <row r="16" spans="1:13">
      <c r="G16" s="39"/>
    </row>
  </sheetData>
  <mergeCells count="11">
    <mergeCell ref="A11:M11"/>
    <mergeCell ref="A3:A4"/>
    <mergeCell ref="B3:B4"/>
    <mergeCell ref="C3:C4"/>
    <mergeCell ref="D3:D4"/>
    <mergeCell ref="A2:D2"/>
    <mergeCell ref="E2:M2"/>
    <mergeCell ref="E1:M1"/>
    <mergeCell ref="E3:H3"/>
    <mergeCell ref="I3:I4"/>
    <mergeCell ref="J3:M3"/>
  </mergeCells>
  <pageMargins left="0.44" right="0.16" top="0.74" bottom="0.16" header="0.36" footer="0.23"/>
  <pageSetup scale="68" fitToHeight="0" orientation="landscape" useFirstPageNumber="1"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showGridLines="0" view="pageBreakPreview" topLeftCell="A4" zoomScale="82" zoomScaleNormal="89" zoomScaleSheetLayoutView="82" workbookViewId="0">
      <selection activeCell="O7" sqref="O7"/>
    </sheetView>
  </sheetViews>
  <sheetFormatPr defaultColWidth="11.5703125" defaultRowHeight="15.75"/>
  <cols>
    <col min="1" max="1" width="4.85546875" style="91" customWidth="1"/>
    <col min="2" max="2" width="15.28515625" style="92" customWidth="1"/>
    <col min="3" max="3" width="31.5703125" style="83" customWidth="1"/>
    <col min="4" max="4" width="45.28515625" style="83" customWidth="1"/>
    <col min="5" max="5" width="4.5703125" style="91" customWidth="1"/>
    <col min="6" max="6" width="5" style="91" customWidth="1"/>
    <col min="7" max="7" width="6.85546875" style="91" customWidth="1"/>
    <col min="8" max="8" width="12" style="91" customWidth="1"/>
    <col min="9" max="9" width="51.28515625" style="91" customWidth="1"/>
    <col min="10" max="10" width="4.7109375" style="91" customWidth="1"/>
    <col min="11" max="11" width="4.85546875" style="91" customWidth="1"/>
    <col min="12" max="12" width="9.7109375" style="91" customWidth="1"/>
    <col min="13" max="13" width="10" style="91" customWidth="1"/>
    <col min="14" max="16384" width="11.5703125" style="91"/>
  </cols>
  <sheetData>
    <row r="1" spans="1:13" ht="33.6" customHeight="1">
      <c r="A1" s="81"/>
      <c r="B1" s="93"/>
      <c r="C1" s="94"/>
      <c r="D1" s="94"/>
      <c r="E1" s="727" t="s">
        <v>328</v>
      </c>
      <c r="F1" s="727"/>
      <c r="G1" s="727"/>
      <c r="H1" s="727"/>
      <c r="I1" s="727"/>
      <c r="J1" s="727"/>
      <c r="K1" s="727"/>
      <c r="L1" s="727"/>
      <c r="M1" s="727"/>
    </row>
    <row r="2" spans="1:13" ht="164.45" customHeight="1">
      <c r="A2" s="715" t="s">
        <v>324</v>
      </c>
      <c r="B2" s="715"/>
      <c r="C2" s="715"/>
      <c r="D2" s="715"/>
      <c r="E2" s="726"/>
      <c r="F2" s="726"/>
      <c r="G2" s="726"/>
      <c r="H2" s="726"/>
      <c r="I2" s="726"/>
      <c r="J2" s="726"/>
      <c r="K2" s="726"/>
      <c r="L2" s="726"/>
      <c r="M2" s="726"/>
    </row>
    <row r="3" spans="1:13" s="83" customFormat="1" ht="63.75" customHeight="1">
      <c r="A3" s="724" t="s">
        <v>2</v>
      </c>
      <c r="B3" s="725" t="s">
        <v>45</v>
      </c>
      <c r="C3" s="725" t="s">
        <v>6</v>
      </c>
      <c r="D3" s="724" t="s">
        <v>3</v>
      </c>
      <c r="E3" s="724" t="s">
        <v>4</v>
      </c>
      <c r="F3" s="724"/>
      <c r="G3" s="724"/>
      <c r="H3" s="724"/>
      <c r="I3" s="725" t="s">
        <v>7</v>
      </c>
      <c r="J3" s="725" t="s">
        <v>8</v>
      </c>
      <c r="K3" s="724"/>
      <c r="L3" s="724"/>
      <c r="M3" s="724"/>
    </row>
    <row r="4" spans="1:13" s="83" customFormat="1" ht="59.25" customHeight="1">
      <c r="A4" s="724"/>
      <c r="B4" s="725"/>
      <c r="C4" s="724"/>
      <c r="D4" s="724"/>
      <c r="E4" s="141" t="s">
        <v>0</v>
      </c>
      <c r="F4" s="141" t="s">
        <v>1</v>
      </c>
      <c r="G4" s="141" t="s">
        <v>12</v>
      </c>
      <c r="H4" s="142" t="s">
        <v>5</v>
      </c>
      <c r="I4" s="724"/>
      <c r="J4" s="142" t="s">
        <v>0</v>
      </c>
      <c r="K4" s="141" t="s">
        <v>1</v>
      </c>
      <c r="L4" s="141" t="s">
        <v>12</v>
      </c>
      <c r="M4" s="142" t="s">
        <v>9</v>
      </c>
    </row>
    <row r="5" spans="1:13" s="83" customFormat="1" ht="90.75" customHeight="1">
      <c r="A5" s="84">
        <v>1</v>
      </c>
      <c r="B5" s="85" t="s">
        <v>112</v>
      </c>
      <c r="C5" s="87" t="s">
        <v>113</v>
      </c>
      <c r="D5" s="95" t="s">
        <v>114</v>
      </c>
      <c r="E5" s="84">
        <v>1</v>
      </c>
      <c r="F5" s="84">
        <v>5</v>
      </c>
      <c r="G5" s="84">
        <v>5</v>
      </c>
      <c r="H5" s="85" t="s">
        <v>47</v>
      </c>
      <c r="I5" s="85" t="s">
        <v>260</v>
      </c>
      <c r="J5" s="85"/>
      <c r="K5" s="84"/>
      <c r="L5" s="84"/>
      <c r="M5" s="85"/>
    </row>
    <row r="6" spans="1:13" s="83" customFormat="1" ht="73.5" customHeight="1">
      <c r="A6" s="86">
        <v>2</v>
      </c>
      <c r="B6" s="87" t="s">
        <v>115</v>
      </c>
      <c r="C6" s="87" t="s">
        <v>116</v>
      </c>
      <c r="D6" s="87" t="s">
        <v>117</v>
      </c>
      <c r="E6" s="86">
        <v>1</v>
      </c>
      <c r="F6" s="86">
        <v>5</v>
      </c>
      <c r="G6" s="86">
        <v>5</v>
      </c>
      <c r="H6" s="85" t="s">
        <v>47</v>
      </c>
      <c r="I6" s="87" t="s">
        <v>118</v>
      </c>
      <c r="J6" s="87"/>
      <c r="K6" s="86"/>
      <c r="L6" s="86"/>
      <c r="M6" s="87"/>
    </row>
    <row r="7" spans="1:13" s="83" customFormat="1" ht="61.5" customHeight="1">
      <c r="A7" s="86">
        <v>3</v>
      </c>
      <c r="B7" s="87" t="s">
        <v>119</v>
      </c>
      <c r="C7" s="87" t="s">
        <v>120</v>
      </c>
      <c r="D7" s="87" t="s">
        <v>121</v>
      </c>
      <c r="E7" s="86">
        <v>1</v>
      </c>
      <c r="F7" s="86">
        <v>5</v>
      </c>
      <c r="G7" s="86">
        <f>E7*F7</f>
        <v>5</v>
      </c>
      <c r="H7" s="85" t="s">
        <v>47</v>
      </c>
      <c r="I7" s="87" t="s">
        <v>118</v>
      </c>
      <c r="J7" s="87"/>
      <c r="K7" s="86"/>
      <c r="L7" s="86"/>
      <c r="M7" s="87"/>
    </row>
    <row r="8" spans="1:13" s="83" customFormat="1" ht="66" customHeight="1">
      <c r="A8" s="86">
        <v>4</v>
      </c>
      <c r="B8" s="87" t="s">
        <v>122</v>
      </c>
      <c r="C8" s="87" t="s">
        <v>123</v>
      </c>
      <c r="D8" s="87" t="s">
        <v>124</v>
      </c>
      <c r="E8" s="86">
        <v>1</v>
      </c>
      <c r="F8" s="86">
        <v>5</v>
      </c>
      <c r="G8" s="86">
        <f>E8*F8</f>
        <v>5</v>
      </c>
      <c r="H8" s="85" t="s">
        <v>47</v>
      </c>
      <c r="I8" s="86" t="s">
        <v>125</v>
      </c>
      <c r="J8" s="87"/>
      <c r="K8" s="86"/>
      <c r="L8" s="86"/>
      <c r="M8" s="87"/>
    </row>
    <row r="9" spans="1:13" s="83" customFormat="1" ht="72.599999999999994" customHeight="1">
      <c r="A9" s="86">
        <v>5</v>
      </c>
      <c r="B9" s="87" t="s">
        <v>126</v>
      </c>
      <c r="C9" s="87" t="s">
        <v>127</v>
      </c>
      <c r="D9" s="87" t="s">
        <v>128</v>
      </c>
      <c r="E9" s="86">
        <v>1</v>
      </c>
      <c r="F9" s="86">
        <v>5</v>
      </c>
      <c r="G9" s="86">
        <f>E9*F9</f>
        <v>5</v>
      </c>
      <c r="H9" s="85" t="s">
        <v>47</v>
      </c>
      <c r="I9" s="87" t="s">
        <v>129</v>
      </c>
      <c r="J9" s="87"/>
      <c r="K9" s="86"/>
      <c r="L9" s="86"/>
      <c r="M9" s="87"/>
    </row>
    <row r="10" spans="1:13" s="90" customFormat="1" ht="72.599999999999994" customHeight="1">
      <c r="A10" s="79">
        <v>6</v>
      </c>
      <c r="B10" s="79" t="s">
        <v>284</v>
      </c>
      <c r="C10" s="113" t="s">
        <v>55</v>
      </c>
      <c r="D10" s="65" t="s">
        <v>306</v>
      </c>
      <c r="E10" s="61">
        <v>5</v>
      </c>
      <c r="F10" s="61">
        <v>2</v>
      </c>
      <c r="G10" s="61">
        <f>E10*F10</f>
        <v>10</v>
      </c>
      <c r="H10" s="62" t="s">
        <v>46</v>
      </c>
      <c r="I10" s="62" t="s">
        <v>307</v>
      </c>
      <c r="J10" s="61"/>
      <c r="K10" s="61"/>
      <c r="L10" s="61"/>
      <c r="M10" s="61"/>
    </row>
    <row r="11" spans="1:13" s="90" customFormat="1">
      <c r="B11" s="89"/>
      <c r="C11" s="97"/>
      <c r="D11" s="96"/>
      <c r="G11" s="88"/>
      <c r="I11" s="89"/>
    </row>
    <row r="12" spans="1:13" s="90" customFormat="1">
      <c r="B12" s="89"/>
      <c r="C12" s="97"/>
      <c r="D12" s="96"/>
      <c r="G12" s="88"/>
      <c r="I12" s="89"/>
    </row>
    <row r="13" spans="1:13" s="90" customFormat="1">
      <c r="B13" s="89"/>
      <c r="C13" s="97"/>
      <c r="D13" s="96"/>
      <c r="G13" s="88"/>
    </row>
    <row r="14" spans="1:13" s="90" customFormat="1">
      <c r="B14" s="89"/>
      <c r="C14" s="97"/>
      <c r="D14" s="96"/>
      <c r="G14" s="88"/>
    </row>
    <row r="15" spans="1:13" s="90" customFormat="1">
      <c r="B15" s="89"/>
      <c r="C15" s="97"/>
      <c r="D15" s="96"/>
      <c r="G15" s="88"/>
      <c r="I15" s="89"/>
    </row>
    <row r="16" spans="1:13" s="90" customFormat="1">
      <c r="A16" s="488"/>
      <c r="B16" s="488"/>
      <c r="C16" s="488"/>
      <c r="D16" s="488"/>
      <c r="E16" s="488"/>
      <c r="F16" s="488"/>
      <c r="G16" s="488"/>
      <c r="H16" s="488"/>
      <c r="I16" s="488"/>
      <c r="J16" s="488"/>
      <c r="K16" s="488"/>
      <c r="L16" s="488"/>
      <c r="M16" s="488"/>
    </row>
    <row r="17" spans="1:13" s="90" customFormat="1">
      <c r="B17" s="89"/>
      <c r="C17" s="97"/>
      <c r="D17" s="96"/>
      <c r="G17" s="88"/>
    </row>
    <row r="18" spans="1:13" s="90" customFormat="1">
      <c r="B18" s="89"/>
      <c r="C18" s="96"/>
      <c r="D18" s="96"/>
      <c r="G18" s="88"/>
    </row>
    <row r="19" spans="1:13" s="90" customFormat="1">
      <c r="B19" s="89"/>
      <c r="C19" s="96"/>
      <c r="D19" s="96"/>
      <c r="G19" s="88"/>
    </row>
    <row r="20" spans="1:13" s="90" customFormat="1">
      <c r="B20" s="89"/>
      <c r="C20" s="96"/>
      <c r="D20" s="96"/>
      <c r="G20" s="88"/>
    </row>
    <row r="21" spans="1:13">
      <c r="G21" s="81"/>
    </row>
    <row r="22" spans="1:13">
      <c r="C22" s="98"/>
      <c r="G22" s="81"/>
    </row>
    <row r="23" spans="1:13">
      <c r="C23" s="98"/>
      <c r="G23" s="81"/>
    </row>
    <row r="24" spans="1:13">
      <c r="C24" s="98"/>
      <c r="G24" s="81"/>
    </row>
    <row r="25" spans="1:13">
      <c r="C25" s="98"/>
      <c r="G25" s="81"/>
      <c r="I25" s="92"/>
    </row>
    <row r="26" spans="1:13">
      <c r="C26" s="98"/>
      <c r="G26" s="81"/>
      <c r="I26" s="92"/>
    </row>
    <row r="27" spans="1:13">
      <c r="G27" s="81"/>
    </row>
    <row r="28" spans="1:13" s="90" customFormat="1">
      <c r="A28" s="489"/>
      <c r="B28" s="489"/>
      <c r="C28" s="489"/>
      <c r="D28" s="489"/>
      <c r="E28" s="489"/>
      <c r="F28" s="489"/>
      <c r="G28" s="489"/>
      <c r="H28" s="489"/>
      <c r="I28" s="489"/>
      <c r="J28" s="489"/>
      <c r="K28" s="489"/>
      <c r="L28" s="489"/>
      <c r="M28" s="489"/>
    </row>
    <row r="29" spans="1:13">
      <c r="C29" s="98"/>
      <c r="G29" s="81"/>
    </row>
    <row r="30" spans="1:13">
      <c r="G30" s="81"/>
    </row>
    <row r="31" spans="1:13">
      <c r="G31" s="81"/>
    </row>
    <row r="32" spans="1:13">
      <c r="G32" s="81"/>
    </row>
    <row r="33" spans="7:7">
      <c r="G33" s="81"/>
    </row>
  </sheetData>
  <mergeCells count="12">
    <mergeCell ref="A2:D2"/>
    <mergeCell ref="E2:M2"/>
    <mergeCell ref="E1:M1"/>
    <mergeCell ref="E3:H3"/>
    <mergeCell ref="I3:I4"/>
    <mergeCell ref="J3:M3"/>
    <mergeCell ref="A16:M16"/>
    <mergeCell ref="A28:M28"/>
    <mergeCell ref="A3:A4"/>
    <mergeCell ref="B3:B4"/>
    <mergeCell ref="C3:C4"/>
    <mergeCell ref="D3:D4"/>
  </mergeCells>
  <pageMargins left="0.44" right="0.16" top="0.74" bottom="0.16" header="0.36" footer="0.23"/>
  <pageSetup scale="65" fitToHeight="0" orientation="landscape" useFirstPageNumber="1" horizontalDpi="300" verticalDpi="3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34"/>
  <sheetViews>
    <sheetView showGridLines="0" topLeftCell="A9" zoomScale="85" zoomScaleNormal="85" workbookViewId="0">
      <selection activeCell="A13" sqref="A13:M13"/>
    </sheetView>
  </sheetViews>
  <sheetFormatPr defaultColWidth="11.5703125" defaultRowHeight="18.75"/>
  <cols>
    <col min="1" max="1" width="4.85546875" style="40" customWidth="1"/>
    <col min="2" max="2" width="15.28515625" style="35" customWidth="1"/>
    <col min="3" max="3" width="31.5703125" style="36" customWidth="1"/>
    <col min="4" max="4" width="40.5703125" style="37" customWidth="1"/>
    <col min="5" max="5" width="4.5703125" style="40" customWidth="1"/>
    <col min="6" max="6" width="5" style="40" customWidth="1"/>
    <col min="7" max="7" width="6.85546875" style="40" customWidth="1"/>
    <col min="8" max="8" width="11.7109375" style="40" customWidth="1"/>
    <col min="9" max="9" width="39.5703125" style="41" customWidth="1"/>
    <col min="10" max="10" width="4.7109375" style="41" customWidth="1"/>
    <col min="11" max="11" width="4.85546875" style="41" customWidth="1"/>
    <col min="12" max="12" width="6.5703125" style="41" customWidth="1"/>
    <col min="13" max="13" width="11.42578125" style="40" customWidth="1"/>
    <col min="14" max="16384" width="11.5703125" style="40"/>
  </cols>
  <sheetData>
    <row r="1" spans="1:13" ht="27.6" customHeight="1">
      <c r="A1" s="150"/>
      <c r="B1" s="151"/>
      <c r="C1" s="152"/>
      <c r="D1" s="153"/>
      <c r="E1" s="732" t="s">
        <v>328</v>
      </c>
      <c r="F1" s="732"/>
      <c r="G1" s="732"/>
      <c r="H1" s="732"/>
      <c r="I1" s="732"/>
      <c r="J1" s="732"/>
      <c r="K1" s="732"/>
      <c r="L1" s="732"/>
      <c r="M1" s="733"/>
    </row>
    <row r="2" spans="1:13" ht="146.25" customHeight="1">
      <c r="A2" s="730" t="s">
        <v>325</v>
      </c>
      <c r="B2" s="715"/>
      <c r="C2" s="715"/>
      <c r="D2" s="715"/>
      <c r="E2" s="722"/>
      <c r="F2" s="722"/>
      <c r="G2" s="722"/>
      <c r="H2" s="722"/>
      <c r="I2" s="722"/>
      <c r="J2" s="722"/>
      <c r="K2" s="722"/>
      <c r="L2" s="722"/>
      <c r="M2" s="731"/>
    </row>
    <row r="3" spans="1:13" s="44" customFormat="1" ht="63.75" customHeight="1">
      <c r="A3" s="734" t="s">
        <v>2</v>
      </c>
      <c r="B3" s="692" t="s">
        <v>180</v>
      </c>
      <c r="C3" s="692" t="s">
        <v>6</v>
      </c>
      <c r="D3" s="693" t="s">
        <v>3</v>
      </c>
      <c r="E3" s="693" t="s">
        <v>4</v>
      </c>
      <c r="F3" s="693"/>
      <c r="G3" s="693"/>
      <c r="H3" s="693"/>
      <c r="I3" s="692" t="s">
        <v>7</v>
      </c>
      <c r="J3" s="692" t="s">
        <v>8</v>
      </c>
      <c r="K3" s="693"/>
      <c r="L3" s="693"/>
      <c r="M3" s="735"/>
    </row>
    <row r="4" spans="1:13" s="44" customFormat="1" ht="45.75" customHeight="1">
      <c r="A4" s="541"/>
      <c r="B4" s="542"/>
      <c r="C4" s="543"/>
      <c r="D4" s="543"/>
      <c r="E4" s="144" t="s">
        <v>0</v>
      </c>
      <c r="F4" s="144" t="s">
        <v>1</v>
      </c>
      <c r="G4" s="144" t="s">
        <v>12</v>
      </c>
      <c r="H4" s="143" t="s">
        <v>5</v>
      </c>
      <c r="I4" s="543"/>
      <c r="J4" s="143" t="s">
        <v>0</v>
      </c>
      <c r="K4" s="144" t="s">
        <v>1</v>
      </c>
      <c r="L4" s="144" t="s">
        <v>12</v>
      </c>
      <c r="M4" s="145" t="s">
        <v>9</v>
      </c>
    </row>
    <row r="5" spans="1:13" s="44" customFormat="1" ht="74.25" customHeight="1">
      <c r="A5" s="711">
        <v>1</v>
      </c>
      <c r="B5" s="710" t="s">
        <v>181</v>
      </c>
      <c r="C5" s="73" t="s">
        <v>182</v>
      </c>
      <c r="D5" s="70" t="s">
        <v>183</v>
      </c>
      <c r="E5" s="42">
        <v>2</v>
      </c>
      <c r="F5" s="42">
        <v>5</v>
      </c>
      <c r="G5" s="42">
        <v>10</v>
      </c>
      <c r="H5" s="43" t="s">
        <v>46</v>
      </c>
      <c r="I5" s="43" t="s">
        <v>184</v>
      </c>
      <c r="J5" s="43">
        <v>2</v>
      </c>
      <c r="K5" s="42">
        <v>0</v>
      </c>
      <c r="L5" s="42">
        <v>0</v>
      </c>
      <c r="M5" s="474" t="s">
        <v>46</v>
      </c>
    </row>
    <row r="6" spans="1:13" s="44" customFormat="1" ht="74.25" customHeight="1">
      <c r="A6" s="711"/>
      <c r="B6" s="710"/>
      <c r="C6" s="73" t="s">
        <v>185</v>
      </c>
      <c r="D6" s="72" t="s">
        <v>186</v>
      </c>
      <c r="E6" s="42">
        <v>1</v>
      </c>
      <c r="F6" s="42">
        <v>5</v>
      </c>
      <c r="G6" s="42">
        <f t="shared" ref="G6:G11" si="0">+E6*F6</f>
        <v>5</v>
      </c>
      <c r="H6" s="43" t="s">
        <v>47</v>
      </c>
      <c r="I6" s="73" t="s">
        <v>187</v>
      </c>
      <c r="J6" s="43">
        <v>1</v>
      </c>
      <c r="K6" s="42">
        <v>0</v>
      </c>
      <c r="L6" s="42">
        <v>0</v>
      </c>
      <c r="M6" s="474" t="s">
        <v>47</v>
      </c>
    </row>
    <row r="7" spans="1:13" s="44" customFormat="1" ht="74.25" customHeight="1">
      <c r="A7" s="711">
        <v>2</v>
      </c>
      <c r="B7" s="710" t="s">
        <v>188</v>
      </c>
      <c r="C7" s="73" t="s">
        <v>189</v>
      </c>
      <c r="D7" s="72" t="s">
        <v>190</v>
      </c>
      <c r="E7" s="42">
        <v>2</v>
      </c>
      <c r="F7" s="42">
        <v>5</v>
      </c>
      <c r="G7" s="42">
        <f t="shared" si="0"/>
        <v>10</v>
      </c>
      <c r="H7" s="43" t="s">
        <v>46</v>
      </c>
      <c r="I7" s="73" t="s">
        <v>191</v>
      </c>
      <c r="J7" s="43">
        <v>2</v>
      </c>
      <c r="K7" s="42">
        <v>0</v>
      </c>
      <c r="L7" s="42">
        <v>0</v>
      </c>
      <c r="M7" s="474" t="s">
        <v>46</v>
      </c>
    </row>
    <row r="8" spans="1:13" s="44" customFormat="1" ht="74.25" customHeight="1">
      <c r="A8" s="711"/>
      <c r="B8" s="710"/>
      <c r="C8" s="73" t="s">
        <v>192</v>
      </c>
      <c r="D8" s="72" t="s">
        <v>193</v>
      </c>
      <c r="E8" s="42">
        <v>2</v>
      </c>
      <c r="F8" s="42">
        <v>5</v>
      </c>
      <c r="G8" s="42">
        <f t="shared" si="0"/>
        <v>10</v>
      </c>
      <c r="H8" s="43" t="s">
        <v>46</v>
      </c>
      <c r="I8" s="73" t="s">
        <v>194</v>
      </c>
      <c r="J8" s="43">
        <v>2</v>
      </c>
      <c r="K8" s="42">
        <v>0</v>
      </c>
      <c r="L8" s="42">
        <v>0</v>
      </c>
      <c r="M8" s="474" t="s">
        <v>46</v>
      </c>
    </row>
    <row r="9" spans="1:13" s="44" customFormat="1" ht="74.25" customHeight="1">
      <c r="A9" s="728">
        <v>3</v>
      </c>
      <c r="B9" s="663" t="s">
        <v>195</v>
      </c>
      <c r="C9" s="73" t="s">
        <v>196</v>
      </c>
      <c r="D9" s="71" t="s">
        <v>197</v>
      </c>
      <c r="E9" s="42">
        <v>3</v>
      </c>
      <c r="F9" s="42">
        <v>5</v>
      </c>
      <c r="G9" s="42">
        <f>+E9*F9</f>
        <v>15</v>
      </c>
      <c r="H9" s="43" t="s">
        <v>48</v>
      </c>
      <c r="I9" s="73" t="s">
        <v>198</v>
      </c>
      <c r="J9" s="43">
        <v>3</v>
      </c>
      <c r="K9" s="42">
        <v>0</v>
      </c>
      <c r="L9" s="42">
        <v>0</v>
      </c>
      <c r="M9" s="474" t="s">
        <v>48</v>
      </c>
    </row>
    <row r="10" spans="1:13" s="44" customFormat="1" ht="74.25" customHeight="1">
      <c r="A10" s="729"/>
      <c r="B10" s="699"/>
      <c r="C10" s="73" t="s">
        <v>199</v>
      </c>
      <c r="D10" s="72" t="s">
        <v>200</v>
      </c>
      <c r="E10" s="42">
        <v>1</v>
      </c>
      <c r="F10" s="42">
        <v>5</v>
      </c>
      <c r="G10" s="42">
        <f t="shared" si="0"/>
        <v>5</v>
      </c>
      <c r="H10" s="43" t="s">
        <v>47</v>
      </c>
      <c r="I10" s="73" t="s">
        <v>201</v>
      </c>
      <c r="J10" s="43">
        <v>1</v>
      </c>
      <c r="K10" s="42">
        <v>0</v>
      </c>
      <c r="L10" s="42">
        <v>0</v>
      </c>
      <c r="M10" s="474" t="s">
        <v>47</v>
      </c>
    </row>
    <row r="11" spans="1:13" s="44" customFormat="1" ht="74.25" customHeight="1">
      <c r="A11" s="42">
        <v>4</v>
      </c>
      <c r="B11" s="43" t="s">
        <v>202</v>
      </c>
      <c r="C11" s="73" t="s">
        <v>203</v>
      </c>
      <c r="D11" s="72" t="s">
        <v>204</v>
      </c>
      <c r="E11" s="42">
        <v>1</v>
      </c>
      <c r="F11" s="42">
        <v>5</v>
      </c>
      <c r="G11" s="42">
        <f t="shared" si="0"/>
        <v>5</v>
      </c>
      <c r="H11" s="43" t="s">
        <v>47</v>
      </c>
      <c r="I11" s="73" t="s">
        <v>205</v>
      </c>
      <c r="J11" s="43">
        <v>1</v>
      </c>
      <c r="K11" s="42">
        <v>0</v>
      </c>
      <c r="L11" s="42">
        <v>0</v>
      </c>
      <c r="M11" s="474" t="s">
        <v>47</v>
      </c>
    </row>
    <row r="12" spans="1:13" s="55" customFormat="1" ht="75">
      <c r="A12" s="79">
        <v>5</v>
      </c>
      <c r="B12" s="79" t="s">
        <v>284</v>
      </c>
      <c r="C12" s="113" t="s">
        <v>55</v>
      </c>
      <c r="D12" s="65" t="s">
        <v>329</v>
      </c>
      <c r="E12" s="61">
        <v>5</v>
      </c>
      <c r="F12" s="61">
        <v>2</v>
      </c>
      <c r="G12" s="61">
        <f>E12*F12</f>
        <v>10</v>
      </c>
      <c r="H12" s="62" t="s">
        <v>46</v>
      </c>
      <c r="I12" s="62" t="s">
        <v>307</v>
      </c>
      <c r="J12" s="61">
        <v>5</v>
      </c>
      <c r="K12" s="61">
        <v>0</v>
      </c>
      <c r="L12" s="61">
        <v>0</v>
      </c>
      <c r="M12" s="62" t="s">
        <v>46</v>
      </c>
    </row>
    <row r="13" spans="1:13" s="200" customFormat="1" ht="24" customHeight="1">
      <c r="A13" s="612" t="s">
        <v>745</v>
      </c>
      <c r="B13" s="613"/>
      <c r="C13" s="613"/>
      <c r="D13" s="613"/>
      <c r="E13" s="613"/>
      <c r="F13" s="613"/>
      <c r="G13" s="613"/>
      <c r="H13" s="613"/>
      <c r="I13" s="613"/>
      <c r="J13" s="613"/>
      <c r="K13" s="613"/>
      <c r="L13" s="613"/>
      <c r="M13" s="614"/>
    </row>
    <row r="14" spans="1:13" s="200" customFormat="1" ht="24" customHeight="1">
      <c r="A14" s="615" t="s">
        <v>626</v>
      </c>
      <c r="B14" s="616"/>
      <c r="C14" s="616"/>
      <c r="D14" s="616"/>
      <c r="E14" s="616"/>
      <c r="F14" s="616"/>
      <c r="G14" s="616"/>
      <c r="H14" s="616"/>
      <c r="I14" s="616"/>
      <c r="J14" s="616"/>
      <c r="K14" s="616"/>
      <c r="L14" s="616"/>
      <c r="M14" s="617"/>
    </row>
    <row r="15" spans="1:13" s="200" customFormat="1" ht="24" customHeight="1">
      <c r="A15" s="603" t="s">
        <v>744</v>
      </c>
      <c r="B15" s="604"/>
      <c r="C15" s="604"/>
      <c r="D15" s="604"/>
      <c r="E15" s="604"/>
      <c r="F15" s="604"/>
      <c r="G15" s="604"/>
      <c r="H15" s="604"/>
      <c r="I15" s="604"/>
      <c r="J15" s="604"/>
      <c r="K15" s="604"/>
      <c r="L15" s="604"/>
      <c r="M15" s="605"/>
    </row>
    <row r="16" spans="1:13" s="200" customFormat="1" ht="24" customHeight="1">
      <c r="A16" s="606" t="s">
        <v>627</v>
      </c>
      <c r="B16" s="607"/>
      <c r="C16" s="607"/>
      <c r="D16" s="607"/>
      <c r="E16" s="607"/>
      <c r="F16" s="607"/>
      <c r="G16" s="607"/>
      <c r="H16" s="607"/>
      <c r="I16" s="607"/>
      <c r="J16" s="607"/>
      <c r="K16" s="607"/>
      <c r="L16" s="607"/>
      <c r="M16" s="608"/>
    </row>
    <row r="17" spans="1:13" s="195" customFormat="1" ht="15.75" customHeight="1">
      <c r="A17" s="265"/>
      <c r="B17" s="268" t="s">
        <v>330</v>
      </c>
      <c r="C17" s="253" t="s">
        <v>331</v>
      </c>
      <c r="D17" s="253" t="s">
        <v>335</v>
      </c>
      <c r="E17" s="490" t="s">
        <v>759</v>
      </c>
      <c r="F17" s="491"/>
      <c r="G17" s="492" t="s">
        <v>644</v>
      </c>
      <c r="H17" s="493"/>
      <c r="I17" s="494"/>
      <c r="J17" s="494"/>
      <c r="K17" s="495"/>
      <c r="L17" s="501" t="s">
        <v>643</v>
      </c>
      <c r="M17" s="501"/>
    </row>
    <row r="18" spans="1:13" s="195" customFormat="1" ht="15.75" customHeight="1">
      <c r="A18" s="265"/>
      <c r="B18" s="268">
        <v>0</v>
      </c>
      <c r="C18" s="253" t="s">
        <v>775</v>
      </c>
      <c r="D18" s="253" t="s">
        <v>768</v>
      </c>
      <c r="E18" s="496" t="s">
        <v>760</v>
      </c>
      <c r="F18" s="497"/>
      <c r="G18" s="492" t="s">
        <v>645</v>
      </c>
      <c r="H18" s="493"/>
      <c r="I18" s="493"/>
      <c r="J18" s="493"/>
      <c r="K18" s="498"/>
      <c r="L18" s="501" t="s">
        <v>774</v>
      </c>
      <c r="M18" s="501"/>
    </row>
    <row r="19" spans="1:13" s="195" customFormat="1" ht="15.75" customHeight="1">
      <c r="A19" s="256"/>
      <c r="B19" s="212"/>
      <c r="C19" s="253"/>
      <c r="D19" s="253"/>
      <c r="E19" s="499"/>
      <c r="F19" s="497"/>
      <c r="G19" s="490"/>
      <c r="H19" s="491"/>
      <c r="I19" s="491"/>
      <c r="J19" s="491"/>
      <c r="K19" s="500"/>
      <c r="L19" s="501"/>
      <c r="M19" s="501"/>
    </row>
    <row r="20" spans="1:13" s="55" customFormat="1">
      <c r="B20" s="30"/>
      <c r="C20" s="33"/>
      <c r="D20" s="34"/>
      <c r="G20" s="50"/>
      <c r="I20" s="59"/>
      <c r="J20" s="59"/>
      <c r="K20" s="59"/>
      <c r="L20" s="59"/>
    </row>
    <row r="21" spans="1:13" s="55" customFormat="1">
      <c r="B21" s="30"/>
      <c r="C21" s="33"/>
      <c r="D21" s="34"/>
      <c r="G21" s="50"/>
      <c r="I21" s="59"/>
      <c r="J21" s="59"/>
      <c r="K21" s="59"/>
      <c r="L21" s="59"/>
    </row>
    <row r="22" spans="1:13">
      <c r="G22" s="39"/>
    </row>
    <row r="23" spans="1:13">
      <c r="C23" s="38"/>
      <c r="G23" s="39"/>
    </row>
    <row r="24" spans="1:13">
      <c r="C24" s="38"/>
      <c r="G24" s="39"/>
    </row>
    <row r="25" spans="1:13">
      <c r="C25" s="38"/>
      <c r="G25" s="39"/>
    </row>
    <row r="26" spans="1:13">
      <c r="C26" s="38"/>
      <c r="G26" s="39"/>
      <c r="I26" s="60"/>
    </row>
    <row r="27" spans="1:13">
      <c r="C27" s="38"/>
      <c r="G27" s="39"/>
      <c r="I27" s="60"/>
    </row>
    <row r="28" spans="1:13">
      <c r="G28" s="39"/>
    </row>
    <row r="29" spans="1:13" s="55" customFormat="1">
      <c r="A29" s="561"/>
      <c r="B29" s="561"/>
      <c r="C29" s="561"/>
      <c r="D29" s="561"/>
      <c r="E29" s="561"/>
      <c r="F29" s="561"/>
      <c r="G29" s="561"/>
      <c r="H29" s="561"/>
      <c r="I29" s="561"/>
      <c r="J29" s="561"/>
      <c r="K29" s="561"/>
      <c r="L29" s="561"/>
      <c r="M29" s="561"/>
    </row>
    <row r="30" spans="1:13">
      <c r="C30" s="38"/>
      <c r="G30" s="39"/>
    </row>
    <row r="31" spans="1:13">
      <c r="G31" s="39"/>
    </row>
    <row r="32" spans="1:13">
      <c r="G32" s="39"/>
    </row>
    <row r="33" spans="7:7">
      <c r="G33" s="39"/>
    </row>
    <row r="34" spans="7:7">
      <c r="G34" s="39"/>
    </row>
  </sheetData>
  <mergeCells count="30">
    <mergeCell ref="E1:M1"/>
    <mergeCell ref="A3:A4"/>
    <mergeCell ref="B3:B4"/>
    <mergeCell ref="C3:C4"/>
    <mergeCell ref="D3:D4"/>
    <mergeCell ref="E3:H3"/>
    <mergeCell ref="I3:I4"/>
    <mergeCell ref="J3:M3"/>
    <mergeCell ref="A15:M15"/>
    <mergeCell ref="A16:M16"/>
    <mergeCell ref="A2:D2"/>
    <mergeCell ref="A13:M13"/>
    <mergeCell ref="A14:M14"/>
    <mergeCell ref="E2:M2"/>
    <mergeCell ref="E17:F17"/>
    <mergeCell ref="G17:K17"/>
    <mergeCell ref="L17:M17"/>
    <mergeCell ref="A29:M29"/>
    <mergeCell ref="A5:A6"/>
    <mergeCell ref="B5:B6"/>
    <mergeCell ref="A7:A8"/>
    <mergeCell ref="B7:B8"/>
    <mergeCell ref="A9:A10"/>
    <mergeCell ref="B9:B10"/>
    <mergeCell ref="E18:F18"/>
    <mergeCell ref="G18:K18"/>
    <mergeCell ref="L18:M18"/>
    <mergeCell ref="E19:F19"/>
    <mergeCell ref="G19:K19"/>
    <mergeCell ref="L19:M19"/>
  </mergeCells>
  <pageMargins left="0.7" right="0.7" top="0.75" bottom="0.75" header="0.3" footer="0.3"/>
  <pageSetup paperSize="9" scale="7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9"/>
  <sheetViews>
    <sheetView showGridLines="0" topLeftCell="A19" zoomScale="70" zoomScaleNormal="70" workbookViewId="0">
      <selection activeCell="J15" sqref="J15"/>
    </sheetView>
  </sheetViews>
  <sheetFormatPr defaultColWidth="11.5703125" defaultRowHeight="18.75"/>
  <cols>
    <col min="1" max="1" width="5" style="37" customWidth="1"/>
    <col min="2" max="2" width="7.5703125" style="37" customWidth="1"/>
    <col min="3" max="3" width="29" style="38" customWidth="1"/>
    <col min="4" max="4" width="45.28515625" style="36" customWidth="1"/>
    <col min="5" max="5" width="49" style="37" customWidth="1"/>
    <col min="6" max="6" width="4.5703125" style="37" customWidth="1"/>
    <col min="7" max="7" width="5" style="37" customWidth="1"/>
    <col min="8" max="8" width="6.85546875" style="37" customWidth="1"/>
    <col min="9" max="9" width="11.7109375" style="37" customWidth="1"/>
    <col min="10" max="10" width="60.85546875" style="420" customWidth="1"/>
    <col min="11" max="11" width="4.7109375" style="420" customWidth="1"/>
    <col min="12" max="12" width="4.85546875" style="420" customWidth="1"/>
    <col min="13" max="13" width="6.5703125" style="420" customWidth="1"/>
    <col min="14" max="14" width="11.42578125" style="37" customWidth="1"/>
    <col min="15" max="257" width="11.5703125" style="37"/>
    <col min="258" max="258" width="7.5703125" style="37" customWidth="1"/>
    <col min="259" max="259" width="29" style="37" customWidth="1"/>
    <col min="260" max="260" width="45.28515625" style="37" customWidth="1"/>
    <col min="261" max="261" width="49" style="37" customWidth="1"/>
    <col min="262" max="262" width="4.5703125" style="37" customWidth="1"/>
    <col min="263" max="263" width="5" style="37" customWidth="1"/>
    <col min="264" max="264" width="6.85546875" style="37" customWidth="1"/>
    <col min="265" max="265" width="11.7109375" style="37" customWidth="1"/>
    <col min="266" max="266" width="60.85546875" style="37" customWidth="1"/>
    <col min="267" max="267" width="4.7109375" style="37" customWidth="1"/>
    <col min="268" max="268" width="4.85546875" style="37" customWidth="1"/>
    <col min="269" max="269" width="6.5703125" style="37" customWidth="1"/>
    <col min="270" max="270" width="11.42578125" style="37" customWidth="1"/>
    <col min="271" max="513" width="11.5703125" style="37"/>
    <col min="514" max="514" width="7.5703125" style="37" customWidth="1"/>
    <col min="515" max="515" width="29" style="37" customWidth="1"/>
    <col min="516" max="516" width="45.28515625" style="37" customWidth="1"/>
    <col min="517" max="517" width="49" style="37" customWidth="1"/>
    <col min="518" max="518" width="4.5703125" style="37" customWidth="1"/>
    <col min="519" max="519" width="5" style="37" customWidth="1"/>
    <col min="520" max="520" width="6.85546875" style="37" customWidth="1"/>
    <col min="521" max="521" width="11.7109375" style="37" customWidth="1"/>
    <col min="522" max="522" width="60.85546875" style="37" customWidth="1"/>
    <col min="523" max="523" width="4.7109375" style="37" customWidth="1"/>
    <col min="524" max="524" width="4.85546875" style="37" customWidth="1"/>
    <col min="525" max="525" width="6.5703125" style="37" customWidth="1"/>
    <col min="526" max="526" width="11.42578125" style="37" customWidth="1"/>
    <col min="527" max="769" width="11.5703125" style="37"/>
    <col min="770" max="770" width="7.5703125" style="37" customWidth="1"/>
    <col min="771" max="771" width="29" style="37" customWidth="1"/>
    <col min="772" max="772" width="45.28515625" style="37" customWidth="1"/>
    <col min="773" max="773" width="49" style="37" customWidth="1"/>
    <col min="774" max="774" width="4.5703125" style="37" customWidth="1"/>
    <col min="775" max="775" width="5" style="37" customWidth="1"/>
    <col min="776" max="776" width="6.85546875" style="37" customWidth="1"/>
    <col min="777" max="777" width="11.7109375" style="37" customWidth="1"/>
    <col min="778" max="778" width="60.85546875" style="37" customWidth="1"/>
    <col min="779" max="779" width="4.7109375" style="37" customWidth="1"/>
    <col min="780" max="780" width="4.85546875" style="37" customWidth="1"/>
    <col min="781" max="781" width="6.5703125" style="37" customWidth="1"/>
    <col min="782" max="782" width="11.42578125" style="37" customWidth="1"/>
    <col min="783" max="1025" width="11.5703125" style="37"/>
    <col min="1026" max="1026" width="7.5703125" style="37" customWidth="1"/>
    <col min="1027" max="1027" width="29" style="37" customWidth="1"/>
    <col min="1028" max="1028" width="45.28515625" style="37" customWidth="1"/>
    <col min="1029" max="1029" width="49" style="37" customWidth="1"/>
    <col min="1030" max="1030" width="4.5703125" style="37" customWidth="1"/>
    <col min="1031" max="1031" width="5" style="37" customWidth="1"/>
    <col min="1032" max="1032" width="6.85546875" style="37" customWidth="1"/>
    <col min="1033" max="1033" width="11.7109375" style="37" customWidth="1"/>
    <col min="1034" max="1034" width="60.85546875" style="37" customWidth="1"/>
    <col min="1035" max="1035" width="4.7109375" style="37" customWidth="1"/>
    <col min="1036" max="1036" width="4.85546875" style="37" customWidth="1"/>
    <col min="1037" max="1037" width="6.5703125" style="37" customWidth="1"/>
    <col min="1038" max="1038" width="11.42578125" style="37" customWidth="1"/>
    <col min="1039" max="1281" width="11.5703125" style="37"/>
    <col min="1282" max="1282" width="7.5703125" style="37" customWidth="1"/>
    <col min="1283" max="1283" width="29" style="37" customWidth="1"/>
    <col min="1284" max="1284" width="45.28515625" style="37" customWidth="1"/>
    <col min="1285" max="1285" width="49" style="37" customWidth="1"/>
    <col min="1286" max="1286" width="4.5703125" style="37" customWidth="1"/>
    <col min="1287" max="1287" width="5" style="37" customWidth="1"/>
    <col min="1288" max="1288" width="6.85546875" style="37" customWidth="1"/>
    <col min="1289" max="1289" width="11.7109375" style="37" customWidth="1"/>
    <col min="1290" max="1290" width="60.85546875" style="37" customWidth="1"/>
    <col min="1291" max="1291" width="4.7109375" style="37" customWidth="1"/>
    <col min="1292" max="1292" width="4.85546875" style="37" customWidth="1"/>
    <col min="1293" max="1293" width="6.5703125" style="37" customWidth="1"/>
    <col min="1294" max="1294" width="11.42578125" style="37" customWidth="1"/>
    <col min="1295" max="1537" width="11.5703125" style="37"/>
    <col min="1538" max="1538" width="7.5703125" style="37" customWidth="1"/>
    <col min="1539" max="1539" width="29" style="37" customWidth="1"/>
    <col min="1540" max="1540" width="45.28515625" style="37" customWidth="1"/>
    <col min="1541" max="1541" width="49" style="37" customWidth="1"/>
    <col min="1542" max="1542" width="4.5703125" style="37" customWidth="1"/>
    <col min="1543" max="1543" width="5" style="37" customWidth="1"/>
    <col min="1544" max="1544" width="6.85546875" style="37" customWidth="1"/>
    <col min="1545" max="1545" width="11.7109375" style="37" customWidth="1"/>
    <col min="1546" max="1546" width="60.85546875" style="37" customWidth="1"/>
    <col min="1547" max="1547" width="4.7109375" style="37" customWidth="1"/>
    <col min="1548" max="1548" width="4.85546875" style="37" customWidth="1"/>
    <col min="1549" max="1549" width="6.5703125" style="37" customWidth="1"/>
    <col min="1550" max="1550" width="11.42578125" style="37" customWidth="1"/>
    <col min="1551" max="1793" width="11.5703125" style="37"/>
    <col min="1794" max="1794" width="7.5703125" style="37" customWidth="1"/>
    <col min="1795" max="1795" width="29" style="37" customWidth="1"/>
    <col min="1796" max="1796" width="45.28515625" style="37" customWidth="1"/>
    <col min="1797" max="1797" width="49" style="37" customWidth="1"/>
    <col min="1798" max="1798" width="4.5703125" style="37" customWidth="1"/>
    <col min="1799" max="1799" width="5" style="37" customWidth="1"/>
    <col min="1800" max="1800" width="6.85546875" style="37" customWidth="1"/>
    <col min="1801" max="1801" width="11.7109375" style="37" customWidth="1"/>
    <col min="1802" max="1802" width="60.85546875" style="37" customWidth="1"/>
    <col min="1803" max="1803" width="4.7109375" style="37" customWidth="1"/>
    <col min="1804" max="1804" width="4.85546875" style="37" customWidth="1"/>
    <col min="1805" max="1805" width="6.5703125" style="37" customWidth="1"/>
    <col min="1806" max="1806" width="11.42578125" style="37" customWidth="1"/>
    <col min="1807" max="2049" width="11.5703125" style="37"/>
    <col min="2050" max="2050" width="7.5703125" style="37" customWidth="1"/>
    <col min="2051" max="2051" width="29" style="37" customWidth="1"/>
    <col min="2052" max="2052" width="45.28515625" style="37" customWidth="1"/>
    <col min="2053" max="2053" width="49" style="37" customWidth="1"/>
    <col min="2054" max="2054" width="4.5703125" style="37" customWidth="1"/>
    <col min="2055" max="2055" width="5" style="37" customWidth="1"/>
    <col min="2056" max="2056" width="6.85546875" style="37" customWidth="1"/>
    <col min="2057" max="2057" width="11.7109375" style="37" customWidth="1"/>
    <col min="2058" max="2058" width="60.85546875" style="37" customWidth="1"/>
    <col min="2059" max="2059" width="4.7109375" style="37" customWidth="1"/>
    <col min="2060" max="2060" width="4.85546875" style="37" customWidth="1"/>
    <col min="2061" max="2061" width="6.5703125" style="37" customWidth="1"/>
    <col min="2062" max="2062" width="11.42578125" style="37" customWidth="1"/>
    <col min="2063" max="2305" width="11.5703125" style="37"/>
    <col min="2306" max="2306" width="7.5703125" style="37" customWidth="1"/>
    <col min="2307" max="2307" width="29" style="37" customWidth="1"/>
    <col min="2308" max="2308" width="45.28515625" style="37" customWidth="1"/>
    <col min="2309" max="2309" width="49" style="37" customWidth="1"/>
    <col min="2310" max="2310" width="4.5703125" style="37" customWidth="1"/>
    <col min="2311" max="2311" width="5" style="37" customWidth="1"/>
    <col min="2312" max="2312" width="6.85546875" style="37" customWidth="1"/>
    <col min="2313" max="2313" width="11.7109375" style="37" customWidth="1"/>
    <col min="2314" max="2314" width="60.85546875" style="37" customWidth="1"/>
    <col min="2315" max="2315" width="4.7109375" style="37" customWidth="1"/>
    <col min="2316" max="2316" width="4.85546875" style="37" customWidth="1"/>
    <col min="2317" max="2317" width="6.5703125" style="37" customWidth="1"/>
    <col min="2318" max="2318" width="11.42578125" style="37" customWidth="1"/>
    <col min="2319" max="2561" width="11.5703125" style="37"/>
    <col min="2562" max="2562" width="7.5703125" style="37" customWidth="1"/>
    <col min="2563" max="2563" width="29" style="37" customWidth="1"/>
    <col min="2564" max="2564" width="45.28515625" style="37" customWidth="1"/>
    <col min="2565" max="2565" width="49" style="37" customWidth="1"/>
    <col min="2566" max="2566" width="4.5703125" style="37" customWidth="1"/>
    <col min="2567" max="2567" width="5" style="37" customWidth="1"/>
    <col min="2568" max="2568" width="6.85546875" style="37" customWidth="1"/>
    <col min="2569" max="2569" width="11.7109375" style="37" customWidth="1"/>
    <col min="2570" max="2570" width="60.85546875" style="37" customWidth="1"/>
    <col min="2571" max="2571" width="4.7109375" style="37" customWidth="1"/>
    <col min="2572" max="2572" width="4.85546875" style="37" customWidth="1"/>
    <col min="2573" max="2573" width="6.5703125" style="37" customWidth="1"/>
    <col min="2574" max="2574" width="11.42578125" style="37" customWidth="1"/>
    <col min="2575" max="2817" width="11.5703125" style="37"/>
    <col min="2818" max="2818" width="7.5703125" style="37" customWidth="1"/>
    <col min="2819" max="2819" width="29" style="37" customWidth="1"/>
    <col min="2820" max="2820" width="45.28515625" style="37" customWidth="1"/>
    <col min="2821" max="2821" width="49" style="37" customWidth="1"/>
    <col min="2822" max="2822" width="4.5703125" style="37" customWidth="1"/>
    <col min="2823" max="2823" width="5" style="37" customWidth="1"/>
    <col min="2824" max="2824" width="6.85546875" style="37" customWidth="1"/>
    <col min="2825" max="2825" width="11.7109375" style="37" customWidth="1"/>
    <col min="2826" max="2826" width="60.85546875" style="37" customWidth="1"/>
    <col min="2827" max="2827" width="4.7109375" style="37" customWidth="1"/>
    <col min="2828" max="2828" width="4.85546875" style="37" customWidth="1"/>
    <col min="2829" max="2829" width="6.5703125" style="37" customWidth="1"/>
    <col min="2830" max="2830" width="11.42578125" style="37" customWidth="1"/>
    <col min="2831" max="3073" width="11.5703125" style="37"/>
    <col min="3074" max="3074" width="7.5703125" style="37" customWidth="1"/>
    <col min="3075" max="3075" width="29" style="37" customWidth="1"/>
    <col min="3076" max="3076" width="45.28515625" style="37" customWidth="1"/>
    <col min="3077" max="3077" width="49" style="37" customWidth="1"/>
    <col min="3078" max="3078" width="4.5703125" style="37" customWidth="1"/>
    <col min="3079" max="3079" width="5" style="37" customWidth="1"/>
    <col min="3080" max="3080" width="6.85546875" style="37" customWidth="1"/>
    <col min="3081" max="3081" width="11.7109375" style="37" customWidth="1"/>
    <col min="3082" max="3082" width="60.85546875" style="37" customWidth="1"/>
    <col min="3083" max="3083" width="4.7109375" style="37" customWidth="1"/>
    <col min="3084" max="3084" width="4.85546875" style="37" customWidth="1"/>
    <col min="3085" max="3085" width="6.5703125" style="37" customWidth="1"/>
    <col min="3086" max="3086" width="11.42578125" style="37" customWidth="1"/>
    <col min="3087" max="3329" width="11.5703125" style="37"/>
    <col min="3330" max="3330" width="7.5703125" style="37" customWidth="1"/>
    <col min="3331" max="3331" width="29" style="37" customWidth="1"/>
    <col min="3332" max="3332" width="45.28515625" style="37" customWidth="1"/>
    <col min="3333" max="3333" width="49" style="37" customWidth="1"/>
    <col min="3334" max="3334" width="4.5703125" style="37" customWidth="1"/>
    <col min="3335" max="3335" width="5" style="37" customWidth="1"/>
    <col min="3336" max="3336" width="6.85546875" style="37" customWidth="1"/>
    <col min="3337" max="3337" width="11.7109375" style="37" customWidth="1"/>
    <col min="3338" max="3338" width="60.85546875" style="37" customWidth="1"/>
    <col min="3339" max="3339" width="4.7109375" style="37" customWidth="1"/>
    <col min="3340" max="3340" width="4.85546875" style="37" customWidth="1"/>
    <col min="3341" max="3341" width="6.5703125" style="37" customWidth="1"/>
    <col min="3342" max="3342" width="11.42578125" style="37" customWidth="1"/>
    <col min="3343" max="3585" width="11.5703125" style="37"/>
    <col min="3586" max="3586" width="7.5703125" style="37" customWidth="1"/>
    <col min="3587" max="3587" width="29" style="37" customWidth="1"/>
    <col min="3588" max="3588" width="45.28515625" style="37" customWidth="1"/>
    <col min="3589" max="3589" width="49" style="37" customWidth="1"/>
    <col min="3590" max="3590" width="4.5703125" style="37" customWidth="1"/>
    <col min="3591" max="3591" width="5" style="37" customWidth="1"/>
    <col min="3592" max="3592" width="6.85546875" style="37" customWidth="1"/>
    <col min="3593" max="3593" width="11.7109375" style="37" customWidth="1"/>
    <col min="3594" max="3594" width="60.85546875" style="37" customWidth="1"/>
    <col min="3595" max="3595" width="4.7109375" style="37" customWidth="1"/>
    <col min="3596" max="3596" width="4.85546875" style="37" customWidth="1"/>
    <col min="3597" max="3597" width="6.5703125" style="37" customWidth="1"/>
    <col min="3598" max="3598" width="11.42578125" style="37" customWidth="1"/>
    <col min="3599" max="3841" width="11.5703125" style="37"/>
    <col min="3842" max="3842" width="7.5703125" style="37" customWidth="1"/>
    <col min="3843" max="3843" width="29" style="37" customWidth="1"/>
    <col min="3844" max="3844" width="45.28515625" style="37" customWidth="1"/>
    <col min="3845" max="3845" width="49" style="37" customWidth="1"/>
    <col min="3846" max="3846" width="4.5703125" style="37" customWidth="1"/>
    <col min="3847" max="3847" width="5" style="37" customWidth="1"/>
    <col min="3848" max="3848" width="6.85546875" style="37" customWidth="1"/>
    <col min="3849" max="3849" width="11.7109375" style="37" customWidth="1"/>
    <col min="3850" max="3850" width="60.85546875" style="37" customWidth="1"/>
    <col min="3851" max="3851" width="4.7109375" style="37" customWidth="1"/>
    <col min="3852" max="3852" width="4.85546875" style="37" customWidth="1"/>
    <col min="3853" max="3853" width="6.5703125" style="37" customWidth="1"/>
    <col min="3854" max="3854" width="11.42578125" style="37" customWidth="1"/>
    <col min="3855" max="4097" width="11.5703125" style="37"/>
    <col min="4098" max="4098" width="7.5703125" style="37" customWidth="1"/>
    <col min="4099" max="4099" width="29" style="37" customWidth="1"/>
    <col min="4100" max="4100" width="45.28515625" style="37" customWidth="1"/>
    <col min="4101" max="4101" width="49" style="37" customWidth="1"/>
    <col min="4102" max="4102" width="4.5703125" style="37" customWidth="1"/>
    <col min="4103" max="4103" width="5" style="37" customWidth="1"/>
    <col min="4104" max="4104" width="6.85546875" style="37" customWidth="1"/>
    <col min="4105" max="4105" width="11.7109375" style="37" customWidth="1"/>
    <col min="4106" max="4106" width="60.85546875" style="37" customWidth="1"/>
    <col min="4107" max="4107" width="4.7109375" style="37" customWidth="1"/>
    <col min="4108" max="4108" width="4.85546875" style="37" customWidth="1"/>
    <col min="4109" max="4109" width="6.5703125" style="37" customWidth="1"/>
    <col min="4110" max="4110" width="11.42578125" style="37" customWidth="1"/>
    <col min="4111" max="4353" width="11.5703125" style="37"/>
    <col min="4354" max="4354" width="7.5703125" style="37" customWidth="1"/>
    <col min="4355" max="4355" width="29" style="37" customWidth="1"/>
    <col min="4356" max="4356" width="45.28515625" style="37" customWidth="1"/>
    <col min="4357" max="4357" width="49" style="37" customWidth="1"/>
    <col min="4358" max="4358" width="4.5703125" style="37" customWidth="1"/>
    <col min="4359" max="4359" width="5" style="37" customWidth="1"/>
    <col min="4360" max="4360" width="6.85546875" style="37" customWidth="1"/>
    <col min="4361" max="4361" width="11.7109375" style="37" customWidth="1"/>
    <col min="4362" max="4362" width="60.85546875" style="37" customWidth="1"/>
    <col min="4363" max="4363" width="4.7109375" style="37" customWidth="1"/>
    <col min="4364" max="4364" width="4.85546875" style="37" customWidth="1"/>
    <col min="4365" max="4365" width="6.5703125" style="37" customWidth="1"/>
    <col min="4366" max="4366" width="11.42578125" style="37" customWidth="1"/>
    <col min="4367" max="4609" width="11.5703125" style="37"/>
    <col min="4610" max="4610" width="7.5703125" style="37" customWidth="1"/>
    <col min="4611" max="4611" width="29" style="37" customWidth="1"/>
    <col min="4612" max="4612" width="45.28515625" style="37" customWidth="1"/>
    <col min="4613" max="4613" width="49" style="37" customWidth="1"/>
    <col min="4614" max="4614" width="4.5703125" style="37" customWidth="1"/>
    <col min="4615" max="4615" width="5" style="37" customWidth="1"/>
    <col min="4616" max="4616" width="6.85546875" style="37" customWidth="1"/>
    <col min="4617" max="4617" width="11.7109375" style="37" customWidth="1"/>
    <col min="4618" max="4618" width="60.85546875" style="37" customWidth="1"/>
    <col min="4619" max="4619" width="4.7109375" style="37" customWidth="1"/>
    <col min="4620" max="4620" width="4.85546875" style="37" customWidth="1"/>
    <col min="4621" max="4621" width="6.5703125" style="37" customWidth="1"/>
    <col min="4622" max="4622" width="11.42578125" style="37" customWidth="1"/>
    <col min="4623" max="4865" width="11.5703125" style="37"/>
    <col min="4866" max="4866" width="7.5703125" style="37" customWidth="1"/>
    <col min="4867" max="4867" width="29" style="37" customWidth="1"/>
    <col min="4868" max="4868" width="45.28515625" style="37" customWidth="1"/>
    <col min="4869" max="4869" width="49" style="37" customWidth="1"/>
    <col min="4870" max="4870" width="4.5703125" style="37" customWidth="1"/>
    <col min="4871" max="4871" width="5" style="37" customWidth="1"/>
    <col min="4872" max="4872" width="6.85546875" style="37" customWidth="1"/>
    <col min="4873" max="4873" width="11.7109375" style="37" customWidth="1"/>
    <col min="4874" max="4874" width="60.85546875" style="37" customWidth="1"/>
    <col min="4875" max="4875" width="4.7109375" style="37" customWidth="1"/>
    <col min="4876" max="4876" width="4.85546875" style="37" customWidth="1"/>
    <col min="4877" max="4877" width="6.5703125" style="37" customWidth="1"/>
    <col min="4878" max="4878" width="11.42578125" style="37" customWidth="1"/>
    <col min="4879" max="5121" width="11.5703125" style="37"/>
    <col min="5122" max="5122" width="7.5703125" style="37" customWidth="1"/>
    <col min="5123" max="5123" width="29" style="37" customWidth="1"/>
    <col min="5124" max="5124" width="45.28515625" style="37" customWidth="1"/>
    <col min="5125" max="5125" width="49" style="37" customWidth="1"/>
    <col min="5126" max="5126" width="4.5703125" style="37" customWidth="1"/>
    <col min="5127" max="5127" width="5" style="37" customWidth="1"/>
    <col min="5128" max="5128" width="6.85546875" style="37" customWidth="1"/>
    <col min="5129" max="5129" width="11.7109375" style="37" customWidth="1"/>
    <col min="5130" max="5130" width="60.85546875" style="37" customWidth="1"/>
    <col min="5131" max="5131" width="4.7109375" style="37" customWidth="1"/>
    <col min="5132" max="5132" width="4.85546875" style="37" customWidth="1"/>
    <col min="5133" max="5133" width="6.5703125" style="37" customWidth="1"/>
    <col min="5134" max="5134" width="11.42578125" style="37" customWidth="1"/>
    <col min="5135" max="5377" width="11.5703125" style="37"/>
    <col min="5378" max="5378" width="7.5703125" style="37" customWidth="1"/>
    <col min="5379" max="5379" width="29" style="37" customWidth="1"/>
    <col min="5380" max="5380" width="45.28515625" style="37" customWidth="1"/>
    <col min="5381" max="5381" width="49" style="37" customWidth="1"/>
    <col min="5382" max="5382" width="4.5703125" style="37" customWidth="1"/>
    <col min="5383" max="5383" width="5" style="37" customWidth="1"/>
    <col min="5384" max="5384" width="6.85546875" style="37" customWidth="1"/>
    <col min="5385" max="5385" width="11.7109375" style="37" customWidth="1"/>
    <col min="5386" max="5386" width="60.85546875" style="37" customWidth="1"/>
    <col min="5387" max="5387" width="4.7109375" style="37" customWidth="1"/>
    <col min="5388" max="5388" width="4.85546875" style="37" customWidth="1"/>
    <col min="5389" max="5389" width="6.5703125" style="37" customWidth="1"/>
    <col min="5390" max="5390" width="11.42578125" style="37" customWidth="1"/>
    <col min="5391" max="5633" width="11.5703125" style="37"/>
    <col min="5634" max="5634" width="7.5703125" style="37" customWidth="1"/>
    <col min="5635" max="5635" width="29" style="37" customWidth="1"/>
    <col min="5636" max="5636" width="45.28515625" style="37" customWidth="1"/>
    <col min="5637" max="5637" width="49" style="37" customWidth="1"/>
    <col min="5638" max="5638" width="4.5703125" style="37" customWidth="1"/>
    <col min="5639" max="5639" width="5" style="37" customWidth="1"/>
    <col min="5640" max="5640" width="6.85546875" style="37" customWidth="1"/>
    <col min="5641" max="5641" width="11.7109375" style="37" customWidth="1"/>
    <col min="5642" max="5642" width="60.85546875" style="37" customWidth="1"/>
    <col min="5643" max="5643" width="4.7109375" style="37" customWidth="1"/>
    <col min="5644" max="5644" width="4.85546875" style="37" customWidth="1"/>
    <col min="5645" max="5645" width="6.5703125" style="37" customWidth="1"/>
    <col min="5646" max="5646" width="11.42578125" style="37" customWidth="1"/>
    <col min="5647" max="5889" width="11.5703125" style="37"/>
    <col min="5890" max="5890" width="7.5703125" style="37" customWidth="1"/>
    <col min="5891" max="5891" width="29" style="37" customWidth="1"/>
    <col min="5892" max="5892" width="45.28515625" style="37" customWidth="1"/>
    <col min="5893" max="5893" width="49" style="37" customWidth="1"/>
    <col min="5894" max="5894" width="4.5703125" style="37" customWidth="1"/>
    <col min="5895" max="5895" width="5" style="37" customWidth="1"/>
    <col min="5896" max="5896" width="6.85546875" style="37" customWidth="1"/>
    <col min="5897" max="5897" width="11.7109375" style="37" customWidth="1"/>
    <col min="5898" max="5898" width="60.85546875" style="37" customWidth="1"/>
    <col min="5899" max="5899" width="4.7109375" style="37" customWidth="1"/>
    <col min="5900" max="5900" width="4.85546875" style="37" customWidth="1"/>
    <col min="5901" max="5901" width="6.5703125" style="37" customWidth="1"/>
    <col min="5902" max="5902" width="11.42578125" style="37" customWidth="1"/>
    <col min="5903" max="6145" width="11.5703125" style="37"/>
    <col min="6146" max="6146" width="7.5703125" style="37" customWidth="1"/>
    <col min="6147" max="6147" width="29" style="37" customWidth="1"/>
    <col min="6148" max="6148" width="45.28515625" style="37" customWidth="1"/>
    <col min="6149" max="6149" width="49" style="37" customWidth="1"/>
    <col min="6150" max="6150" width="4.5703125" style="37" customWidth="1"/>
    <col min="6151" max="6151" width="5" style="37" customWidth="1"/>
    <col min="6152" max="6152" width="6.85546875" style="37" customWidth="1"/>
    <col min="6153" max="6153" width="11.7109375" style="37" customWidth="1"/>
    <col min="6154" max="6154" width="60.85546875" style="37" customWidth="1"/>
    <col min="6155" max="6155" width="4.7109375" style="37" customWidth="1"/>
    <col min="6156" max="6156" width="4.85546875" style="37" customWidth="1"/>
    <col min="6157" max="6157" width="6.5703125" style="37" customWidth="1"/>
    <col min="6158" max="6158" width="11.42578125" style="37" customWidth="1"/>
    <col min="6159" max="6401" width="11.5703125" style="37"/>
    <col min="6402" max="6402" width="7.5703125" style="37" customWidth="1"/>
    <col min="6403" max="6403" width="29" style="37" customWidth="1"/>
    <col min="6404" max="6404" width="45.28515625" style="37" customWidth="1"/>
    <col min="6405" max="6405" width="49" style="37" customWidth="1"/>
    <col min="6406" max="6406" width="4.5703125" style="37" customWidth="1"/>
    <col min="6407" max="6407" width="5" style="37" customWidth="1"/>
    <col min="6408" max="6408" width="6.85546875" style="37" customWidth="1"/>
    <col min="6409" max="6409" width="11.7109375" style="37" customWidth="1"/>
    <col min="6410" max="6410" width="60.85546875" style="37" customWidth="1"/>
    <col min="6411" max="6411" width="4.7109375" style="37" customWidth="1"/>
    <col min="6412" max="6412" width="4.85546875" style="37" customWidth="1"/>
    <col min="6413" max="6413" width="6.5703125" style="37" customWidth="1"/>
    <col min="6414" max="6414" width="11.42578125" style="37" customWidth="1"/>
    <col min="6415" max="6657" width="11.5703125" style="37"/>
    <col min="6658" max="6658" width="7.5703125" style="37" customWidth="1"/>
    <col min="6659" max="6659" width="29" style="37" customWidth="1"/>
    <col min="6660" max="6660" width="45.28515625" style="37" customWidth="1"/>
    <col min="6661" max="6661" width="49" style="37" customWidth="1"/>
    <col min="6662" max="6662" width="4.5703125" style="37" customWidth="1"/>
    <col min="6663" max="6663" width="5" style="37" customWidth="1"/>
    <col min="6664" max="6664" width="6.85546875" style="37" customWidth="1"/>
    <col min="6665" max="6665" width="11.7109375" style="37" customWidth="1"/>
    <col min="6666" max="6666" width="60.85546875" style="37" customWidth="1"/>
    <col min="6667" max="6667" width="4.7109375" style="37" customWidth="1"/>
    <col min="6668" max="6668" width="4.85546875" style="37" customWidth="1"/>
    <col min="6669" max="6669" width="6.5703125" style="37" customWidth="1"/>
    <col min="6670" max="6670" width="11.42578125" style="37" customWidth="1"/>
    <col min="6671" max="6913" width="11.5703125" style="37"/>
    <col min="6914" max="6914" width="7.5703125" style="37" customWidth="1"/>
    <col min="6915" max="6915" width="29" style="37" customWidth="1"/>
    <col min="6916" max="6916" width="45.28515625" style="37" customWidth="1"/>
    <col min="6917" max="6917" width="49" style="37" customWidth="1"/>
    <col min="6918" max="6918" width="4.5703125" style="37" customWidth="1"/>
    <col min="6919" max="6919" width="5" style="37" customWidth="1"/>
    <col min="6920" max="6920" width="6.85546875" style="37" customWidth="1"/>
    <col min="6921" max="6921" width="11.7109375" style="37" customWidth="1"/>
    <col min="6922" max="6922" width="60.85546875" style="37" customWidth="1"/>
    <col min="6923" max="6923" width="4.7109375" style="37" customWidth="1"/>
    <col min="6924" max="6924" width="4.85546875" style="37" customWidth="1"/>
    <col min="6925" max="6925" width="6.5703125" style="37" customWidth="1"/>
    <col min="6926" max="6926" width="11.42578125" style="37" customWidth="1"/>
    <col min="6927" max="7169" width="11.5703125" style="37"/>
    <col min="7170" max="7170" width="7.5703125" style="37" customWidth="1"/>
    <col min="7171" max="7171" width="29" style="37" customWidth="1"/>
    <col min="7172" max="7172" width="45.28515625" style="37" customWidth="1"/>
    <col min="7173" max="7173" width="49" style="37" customWidth="1"/>
    <col min="7174" max="7174" width="4.5703125" style="37" customWidth="1"/>
    <col min="7175" max="7175" width="5" style="37" customWidth="1"/>
    <col min="7176" max="7176" width="6.85546875" style="37" customWidth="1"/>
    <col min="7177" max="7177" width="11.7109375" style="37" customWidth="1"/>
    <col min="7178" max="7178" width="60.85546875" style="37" customWidth="1"/>
    <col min="7179" max="7179" width="4.7109375" style="37" customWidth="1"/>
    <col min="7180" max="7180" width="4.85546875" style="37" customWidth="1"/>
    <col min="7181" max="7181" width="6.5703125" style="37" customWidth="1"/>
    <col min="7182" max="7182" width="11.42578125" style="37" customWidth="1"/>
    <col min="7183" max="7425" width="11.5703125" style="37"/>
    <col min="7426" max="7426" width="7.5703125" style="37" customWidth="1"/>
    <col min="7427" max="7427" width="29" style="37" customWidth="1"/>
    <col min="7428" max="7428" width="45.28515625" style="37" customWidth="1"/>
    <col min="7429" max="7429" width="49" style="37" customWidth="1"/>
    <col min="7430" max="7430" width="4.5703125" style="37" customWidth="1"/>
    <col min="7431" max="7431" width="5" style="37" customWidth="1"/>
    <col min="7432" max="7432" width="6.85546875" style="37" customWidth="1"/>
    <col min="7433" max="7433" width="11.7109375" style="37" customWidth="1"/>
    <col min="7434" max="7434" width="60.85546875" style="37" customWidth="1"/>
    <col min="7435" max="7435" width="4.7109375" style="37" customWidth="1"/>
    <col min="7436" max="7436" width="4.85546875" style="37" customWidth="1"/>
    <col min="7437" max="7437" width="6.5703125" style="37" customWidth="1"/>
    <col min="7438" max="7438" width="11.42578125" style="37" customWidth="1"/>
    <col min="7439" max="7681" width="11.5703125" style="37"/>
    <col min="7682" max="7682" width="7.5703125" style="37" customWidth="1"/>
    <col min="7683" max="7683" width="29" style="37" customWidth="1"/>
    <col min="7684" max="7684" width="45.28515625" style="37" customWidth="1"/>
    <col min="7685" max="7685" width="49" style="37" customWidth="1"/>
    <col min="7686" max="7686" width="4.5703125" style="37" customWidth="1"/>
    <col min="7687" max="7687" width="5" style="37" customWidth="1"/>
    <col min="7688" max="7688" width="6.85546875" style="37" customWidth="1"/>
    <col min="7689" max="7689" width="11.7109375" style="37" customWidth="1"/>
    <col min="7690" max="7690" width="60.85546875" style="37" customWidth="1"/>
    <col min="7691" max="7691" width="4.7109375" style="37" customWidth="1"/>
    <col min="7692" max="7692" width="4.85546875" style="37" customWidth="1"/>
    <col min="7693" max="7693" width="6.5703125" style="37" customWidth="1"/>
    <col min="7694" max="7694" width="11.42578125" style="37" customWidth="1"/>
    <col min="7695" max="7937" width="11.5703125" style="37"/>
    <col min="7938" max="7938" width="7.5703125" style="37" customWidth="1"/>
    <col min="7939" max="7939" width="29" style="37" customWidth="1"/>
    <col min="7940" max="7940" width="45.28515625" style="37" customWidth="1"/>
    <col min="7941" max="7941" width="49" style="37" customWidth="1"/>
    <col min="7942" max="7942" width="4.5703125" style="37" customWidth="1"/>
    <col min="7943" max="7943" width="5" style="37" customWidth="1"/>
    <col min="7944" max="7944" width="6.85546875" style="37" customWidth="1"/>
    <col min="7945" max="7945" width="11.7109375" style="37" customWidth="1"/>
    <col min="7946" max="7946" width="60.85546875" style="37" customWidth="1"/>
    <col min="7947" max="7947" width="4.7109375" style="37" customWidth="1"/>
    <col min="7948" max="7948" width="4.85546875" style="37" customWidth="1"/>
    <col min="7949" max="7949" width="6.5703125" style="37" customWidth="1"/>
    <col min="7950" max="7950" width="11.42578125" style="37" customWidth="1"/>
    <col min="7951" max="8193" width="11.5703125" style="37"/>
    <col min="8194" max="8194" width="7.5703125" style="37" customWidth="1"/>
    <col min="8195" max="8195" width="29" style="37" customWidth="1"/>
    <col min="8196" max="8196" width="45.28515625" style="37" customWidth="1"/>
    <col min="8197" max="8197" width="49" style="37" customWidth="1"/>
    <col min="8198" max="8198" width="4.5703125" style="37" customWidth="1"/>
    <col min="8199" max="8199" width="5" style="37" customWidth="1"/>
    <col min="8200" max="8200" width="6.85546875" style="37" customWidth="1"/>
    <col min="8201" max="8201" width="11.7109375" style="37" customWidth="1"/>
    <col min="8202" max="8202" width="60.85546875" style="37" customWidth="1"/>
    <col min="8203" max="8203" width="4.7109375" style="37" customWidth="1"/>
    <col min="8204" max="8204" width="4.85546875" style="37" customWidth="1"/>
    <col min="8205" max="8205" width="6.5703125" style="37" customWidth="1"/>
    <col min="8206" max="8206" width="11.42578125" style="37" customWidth="1"/>
    <col min="8207" max="8449" width="11.5703125" style="37"/>
    <col min="8450" max="8450" width="7.5703125" style="37" customWidth="1"/>
    <col min="8451" max="8451" width="29" style="37" customWidth="1"/>
    <col min="8452" max="8452" width="45.28515625" style="37" customWidth="1"/>
    <col min="8453" max="8453" width="49" style="37" customWidth="1"/>
    <col min="8454" max="8454" width="4.5703125" style="37" customWidth="1"/>
    <col min="8455" max="8455" width="5" style="37" customWidth="1"/>
    <col min="8456" max="8456" width="6.85546875" style="37" customWidth="1"/>
    <col min="8457" max="8457" width="11.7109375" style="37" customWidth="1"/>
    <col min="8458" max="8458" width="60.85546875" style="37" customWidth="1"/>
    <col min="8459" max="8459" width="4.7109375" style="37" customWidth="1"/>
    <col min="8460" max="8460" width="4.85546875" style="37" customWidth="1"/>
    <col min="8461" max="8461" width="6.5703125" style="37" customWidth="1"/>
    <col min="8462" max="8462" width="11.42578125" style="37" customWidth="1"/>
    <col min="8463" max="8705" width="11.5703125" style="37"/>
    <col min="8706" max="8706" width="7.5703125" style="37" customWidth="1"/>
    <col min="8707" max="8707" width="29" style="37" customWidth="1"/>
    <col min="8708" max="8708" width="45.28515625" style="37" customWidth="1"/>
    <col min="8709" max="8709" width="49" style="37" customWidth="1"/>
    <col min="8710" max="8710" width="4.5703125" style="37" customWidth="1"/>
    <col min="8711" max="8711" width="5" style="37" customWidth="1"/>
    <col min="8712" max="8712" width="6.85546875" style="37" customWidth="1"/>
    <col min="8713" max="8713" width="11.7109375" style="37" customWidth="1"/>
    <col min="8714" max="8714" width="60.85546875" style="37" customWidth="1"/>
    <col min="8715" max="8715" width="4.7109375" style="37" customWidth="1"/>
    <col min="8716" max="8716" width="4.85546875" style="37" customWidth="1"/>
    <col min="8717" max="8717" width="6.5703125" style="37" customWidth="1"/>
    <col min="8718" max="8718" width="11.42578125" style="37" customWidth="1"/>
    <col min="8719" max="8961" width="11.5703125" style="37"/>
    <col min="8962" max="8962" width="7.5703125" style="37" customWidth="1"/>
    <col min="8963" max="8963" width="29" style="37" customWidth="1"/>
    <col min="8964" max="8964" width="45.28515625" style="37" customWidth="1"/>
    <col min="8965" max="8965" width="49" style="37" customWidth="1"/>
    <col min="8966" max="8966" width="4.5703125" style="37" customWidth="1"/>
    <col min="8967" max="8967" width="5" style="37" customWidth="1"/>
    <col min="8968" max="8968" width="6.85546875" style="37" customWidth="1"/>
    <col min="8969" max="8969" width="11.7109375" style="37" customWidth="1"/>
    <col min="8970" max="8970" width="60.85546875" style="37" customWidth="1"/>
    <col min="8971" max="8971" width="4.7109375" style="37" customWidth="1"/>
    <col min="8972" max="8972" width="4.85546875" style="37" customWidth="1"/>
    <col min="8973" max="8973" width="6.5703125" style="37" customWidth="1"/>
    <col min="8974" max="8974" width="11.42578125" style="37" customWidth="1"/>
    <col min="8975" max="9217" width="11.5703125" style="37"/>
    <col min="9218" max="9218" width="7.5703125" style="37" customWidth="1"/>
    <col min="9219" max="9219" width="29" style="37" customWidth="1"/>
    <col min="9220" max="9220" width="45.28515625" style="37" customWidth="1"/>
    <col min="9221" max="9221" width="49" style="37" customWidth="1"/>
    <col min="9222" max="9222" width="4.5703125" style="37" customWidth="1"/>
    <col min="9223" max="9223" width="5" style="37" customWidth="1"/>
    <col min="9224" max="9224" width="6.85546875" style="37" customWidth="1"/>
    <col min="9225" max="9225" width="11.7109375" style="37" customWidth="1"/>
    <col min="9226" max="9226" width="60.85546875" style="37" customWidth="1"/>
    <col min="9227" max="9227" width="4.7109375" style="37" customWidth="1"/>
    <col min="9228" max="9228" width="4.85546875" style="37" customWidth="1"/>
    <col min="9229" max="9229" width="6.5703125" style="37" customWidth="1"/>
    <col min="9230" max="9230" width="11.42578125" style="37" customWidth="1"/>
    <col min="9231" max="9473" width="11.5703125" style="37"/>
    <col min="9474" max="9474" width="7.5703125" style="37" customWidth="1"/>
    <col min="9475" max="9475" width="29" style="37" customWidth="1"/>
    <col min="9476" max="9476" width="45.28515625" style="37" customWidth="1"/>
    <col min="9477" max="9477" width="49" style="37" customWidth="1"/>
    <col min="9478" max="9478" width="4.5703125" style="37" customWidth="1"/>
    <col min="9479" max="9479" width="5" style="37" customWidth="1"/>
    <col min="9480" max="9480" width="6.85546875" style="37" customWidth="1"/>
    <col min="9481" max="9481" width="11.7109375" style="37" customWidth="1"/>
    <col min="9482" max="9482" width="60.85546875" style="37" customWidth="1"/>
    <col min="9483" max="9483" width="4.7109375" style="37" customWidth="1"/>
    <col min="9484" max="9484" width="4.85546875" style="37" customWidth="1"/>
    <col min="9485" max="9485" width="6.5703125" style="37" customWidth="1"/>
    <col min="9486" max="9486" width="11.42578125" style="37" customWidth="1"/>
    <col min="9487" max="9729" width="11.5703125" style="37"/>
    <col min="9730" max="9730" width="7.5703125" style="37" customWidth="1"/>
    <col min="9731" max="9731" width="29" style="37" customWidth="1"/>
    <col min="9732" max="9732" width="45.28515625" style="37" customWidth="1"/>
    <col min="9733" max="9733" width="49" style="37" customWidth="1"/>
    <col min="9734" max="9734" width="4.5703125" style="37" customWidth="1"/>
    <col min="9735" max="9735" width="5" style="37" customWidth="1"/>
    <col min="9736" max="9736" width="6.85546875" style="37" customWidth="1"/>
    <col min="9737" max="9737" width="11.7109375" style="37" customWidth="1"/>
    <col min="9738" max="9738" width="60.85546875" style="37" customWidth="1"/>
    <col min="9739" max="9739" width="4.7109375" style="37" customWidth="1"/>
    <col min="9740" max="9740" width="4.85546875" style="37" customWidth="1"/>
    <col min="9741" max="9741" width="6.5703125" style="37" customWidth="1"/>
    <col min="9742" max="9742" width="11.42578125" style="37" customWidth="1"/>
    <col min="9743" max="9985" width="11.5703125" style="37"/>
    <col min="9986" max="9986" width="7.5703125" style="37" customWidth="1"/>
    <col min="9987" max="9987" width="29" style="37" customWidth="1"/>
    <col min="9988" max="9988" width="45.28515625" style="37" customWidth="1"/>
    <col min="9989" max="9989" width="49" style="37" customWidth="1"/>
    <col min="9990" max="9990" width="4.5703125" style="37" customWidth="1"/>
    <col min="9991" max="9991" width="5" style="37" customWidth="1"/>
    <col min="9992" max="9992" width="6.85546875" style="37" customWidth="1"/>
    <col min="9993" max="9993" width="11.7109375" style="37" customWidth="1"/>
    <col min="9994" max="9994" width="60.85546875" style="37" customWidth="1"/>
    <col min="9995" max="9995" width="4.7109375" style="37" customWidth="1"/>
    <col min="9996" max="9996" width="4.85546875" style="37" customWidth="1"/>
    <col min="9997" max="9997" width="6.5703125" style="37" customWidth="1"/>
    <col min="9998" max="9998" width="11.42578125" style="37" customWidth="1"/>
    <col min="9999" max="10241" width="11.5703125" style="37"/>
    <col min="10242" max="10242" width="7.5703125" style="37" customWidth="1"/>
    <col min="10243" max="10243" width="29" style="37" customWidth="1"/>
    <col min="10244" max="10244" width="45.28515625" style="37" customWidth="1"/>
    <col min="10245" max="10245" width="49" style="37" customWidth="1"/>
    <col min="10246" max="10246" width="4.5703125" style="37" customWidth="1"/>
    <col min="10247" max="10247" width="5" style="37" customWidth="1"/>
    <col min="10248" max="10248" width="6.85546875" style="37" customWidth="1"/>
    <col min="10249" max="10249" width="11.7109375" style="37" customWidth="1"/>
    <col min="10250" max="10250" width="60.85546875" style="37" customWidth="1"/>
    <col min="10251" max="10251" width="4.7109375" style="37" customWidth="1"/>
    <col min="10252" max="10252" width="4.85546875" style="37" customWidth="1"/>
    <col min="10253" max="10253" width="6.5703125" style="37" customWidth="1"/>
    <col min="10254" max="10254" width="11.42578125" style="37" customWidth="1"/>
    <col min="10255" max="10497" width="11.5703125" style="37"/>
    <col min="10498" max="10498" width="7.5703125" style="37" customWidth="1"/>
    <col min="10499" max="10499" width="29" style="37" customWidth="1"/>
    <col min="10500" max="10500" width="45.28515625" style="37" customWidth="1"/>
    <col min="10501" max="10501" width="49" style="37" customWidth="1"/>
    <col min="10502" max="10502" width="4.5703125" style="37" customWidth="1"/>
    <col min="10503" max="10503" width="5" style="37" customWidth="1"/>
    <col min="10504" max="10504" width="6.85546875" style="37" customWidth="1"/>
    <col min="10505" max="10505" width="11.7109375" style="37" customWidth="1"/>
    <col min="10506" max="10506" width="60.85546875" style="37" customWidth="1"/>
    <col min="10507" max="10507" width="4.7109375" style="37" customWidth="1"/>
    <col min="10508" max="10508" width="4.85546875" style="37" customWidth="1"/>
    <col min="10509" max="10509" width="6.5703125" style="37" customWidth="1"/>
    <col min="10510" max="10510" width="11.42578125" style="37" customWidth="1"/>
    <col min="10511" max="10753" width="11.5703125" style="37"/>
    <col min="10754" max="10754" width="7.5703125" style="37" customWidth="1"/>
    <col min="10755" max="10755" width="29" style="37" customWidth="1"/>
    <col min="10756" max="10756" width="45.28515625" style="37" customWidth="1"/>
    <col min="10757" max="10757" width="49" style="37" customWidth="1"/>
    <col min="10758" max="10758" width="4.5703125" style="37" customWidth="1"/>
    <col min="10759" max="10759" width="5" style="37" customWidth="1"/>
    <col min="10760" max="10760" width="6.85546875" style="37" customWidth="1"/>
    <col min="10761" max="10761" width="11.7109375" style="37" customWidth="1"/>
    <col min="10762" max="10762" width="60.85546875" style="37" customWidth="1"/>
    <col min="10763" max="10763" width="4.7109375" style="37" customWidth="1"/>
    <col min="10764" max="10764" width="4.85546875" style="37" customWidth="1"/>
    <col min="10765" max="10765" width="6.5703125" style="37" customWidth="1"/>
    <col min="10766" max="10766" width="11.42578125" style="37" customWidth="1"/>
    <col min="10767" max="11009" width="11.5703125" style="37"/>
    <col min="11010" max="11010" width="7.5703125" style="37" customWidth="1"/>
    <col min="11011" max="11011" width="29" style="37" customWidth="1"/>
    <col min="11012" max="11012" width="45.28515625" style="37" customWidth="1"/>
    <col min="11013" max="11013" width="49" style="37" customWidth="1"/>
    <col min="11014" max="11014" width="4.5703125" style="37" customWidth="1"/>
    <col min="11015" max="11015" width="5" style="37" customWidth="1"/>
    <col min="11016" max="11016" width="6.85546875" style="37" customWidth="1"/>
    <col min="11017" max="11017" width="11.7109375" style="37" customWidth="1"/>
    <col min="11018" max="11018" width="60.85546875" style="37" customWidth="1"/>
    <col min="11019" max="11019" width="4.7109375" style="37" customWidth="1"/>
    <col min="11020" max="11020" width="4.85546875" style="37" customWidth="1"/>
    <col min="11021" max="11021" width="6.5703125" style="37" customWidth="1"/>
    <col min="11022" max="11022" width="11.42578125" style="37" customWidth="1"/>
    <col min="11023" max="11265" width="11.5703125" style="37"/>
    <col min="11266" max="11266" width="7.5703125" style="37" customWidth="1"/>
    <col min="11267" max="11267" width="29" style="37" customWidth="1"/>
    <col min="11268" max="11268" width="45.28515625" style="37" customWidth="1"/>
    <col min="11269" max="11269" width="49" style="37" customWidth="1"/>
    <col min="11270" max="11270" width="4.5703125" style="37" customWidth="1"/>
    <col min="11271" max="11271" width="5" style="37" customWidth="1"/>
    <col min="11272" max="11272" width="6.85546875" style="37" customWidth="1"/>
    <col min="11273" max="11273" width="11.7109375" style="37" customWidth="1"/>
    <col min="11274" max="11274" width="60.85546875" style="37" customWidth="1"/>
    <col min="11275" max="11275" width="4.7109375" style="37" customWidth="1"/>
    <col min="11276" max="11276" width="4.85546875" style="37" customWidth="1"/>
    <col min="11277" max="11277" width="6.5703125" style="37" customWidth="1"/>
    <col min="11278" max="11278" width="11.42578125" style="37" customWidth="1"/>
    <col min="11279" max="11521" width="11.5703125" style="37"/>
    <col min="11522" max="11522" width="7.5703125" style="37" customWidth="1"/>
    <col min="11523" max="11523" width="29" style="37" customWidth="1"/>
    <col min="11524" max="11524" width="45.28515625" style="37" customWidth="1"/>
    <col min="11525" max="11525" width="49" style="37" customWidth="1"/>
    <col min="11526" max="11526" width="4.5703125" style="37" customWidth="1"/>
    <col min="11527" max="11527" width="5" style="37" customWidth="1"/>
    <col min="11528" max="11528" width="6.85546875" style="37" customWidth="1"/>
    <col min="11529" max="11529" width="11.7109375" style="37" customWidth="1"/>
    <col min="11530" max="11530" width="60.85546875" style="37" customWidth="1"/>
    <col min="11531" max="11531" width="4.7109375" style="37" customWidth="1"/>
    <col min="11532" max="11532" width="4.85546875" style="37" customWidth="1"/>
    <col min="11533" max="11533" width="6.5703125" style="37" customWidth="1"/>
    <col min="11534" max="11534" width="11.42578125" style="37" customWidth="1"/>
    <col min="11535" max="11777" width="11.5703125" style="37"/>
    <col min="11778" max="11778" width="7.5703125" style="37" customWidth="1"/>
    <col min="11779" max="11779" width="29" style="37" customWidth="1"/>
    <col min="11780" max="11780" width="45.28515625" style="37" customWidth="1"/>
    <col min="11781" max="11781" width="49" style="37" customWidth="1"/>
    <col min="11782" max="11782" width="4.5703125" style="37" customWidth="1"/>
    <col min="11783" max="11783" width="5" style="37" customWidth="1"/>
    <col min="11784" max="11784" width="6.85546875" style="37" customWidth="1"/>
    <col min="11785" max="11785" width="11.7109375" style="37" customWidth="1"/>
    <col min="11786" max="11786" width="60.85546875" style="37" customWidth="1"/>
    <col min="11787" max="11787" width="4.7109375" style="37" customWidth="1"/>
    <col min="11788" max="11788" width="4.85546875" style="37" customWidth="1"/>
    <col min="11789" max="11789" width="6.5703125" style="37" customWidth="1"/>
    <col min="11790" max="11790" width="11.42578125" style="37" customWidth="1"/>
    <col min="11791" max="12033" width="11.5703125" style="37"/>
    <col min="12034" max="12034" width="7.5703125" style="37" customWidth="1"/>
    <col min="12035" max="12035" width="29" style="37" customWidth="1"/>
    <col min="12036" max="12036" width="45.28515625" style="37" customWidth="1"/>
    <col min="12037" max="12037" width="49" style="37" customWidth="1"/>
    <col min="12038" max="12038" width="4.5703125" style="37" customWidth="1"/>
    <col min="12039" max="12039" width="5" style="37" customWidth="1"/>
    <col min="12040" max="12040" width="6.85546875" style="37" customWidth="1"/>
    <col min="12041" max="12041" width="11.7109375" style="37" customWidth="1"/>
    <col min="12042" max="12042" width="60.85546875" style="37" customWidth="1"/>
    <col min="12043" max="12043" width="4.7109375" style="37" customWidth="1"/>
    <col min="12044" max="12044" width="4.85546875" style="37" customWidth="1"/>
    <col min="12045" max="12045" width="6.5703125" style="37" customWidth="1"/>
    <col min="12046" max="12046" width="11.42578125" style="37" customWidth="1"/>
    <col min="12047" max="12289" width="11.5703125" style="37"/>
    <col min="12290" max="12290" width="7.5703125" style="37" customWidth="1"/>
    <col min="12291" max="12291" width="29" style="37" customWidth="1"/>
    <col min="12292" max="12292" width="45.28515625" style="37" customWidth="1"/>
    <col min="12293" max="12293" width="49" style="37" customWidth="1"/>
    <col min="12294" max="12294" width="4.5703125" style="37" customWidth="1"/>
    <col min="12295" max="12295" width="5" style="37" customWidth="1"/>
    <col min="12296" max="12296" width="6.85546875" style="37" customWidth="1"/>
    <col min="12297" max="12297" width="11.7109375" style="37" customWidth="1"/>
    <col min="12298" max="12298" width="60.85546875" style="37" customWidth="1"/>
    <col min="12299" max="12299" width="4.7109375" style="37" customWidth="1"/>
    <col min="12300" max="12300" width="4.85546875" style="37" customWidth="1"/>
    <col min="12301" max="12301" width="6.5703125" style="37" customWidth="1"/>
    <col min="12302" max="12302" width="11.42578125" style="37" customWidth="1"/>
    <col min="12303" max="12545" width="11.5703125" style="37"/>
    <col min="12546" max="12546" width="7.5703125" style="37" customWidth="1"/>
    <col min="12547" max="12547" width="29" style="37" customWidth="1"/>
    <col min="12548" max="12548" width="45.28515625" style="37" customWidth="1"/>
    <col min="12549" max="12549" width="49" style="37" customWidth="1"/>
    <col min="12550" max="12550" width="4.5703125" style="37" customWidth="1"/>
    <col min="12551" max="12551" width="5" style="37" customWidth="1"/>
    <col min="12552" max="12552" width="6.85546875" style="37" customWidth="1"/>
    <col min="12553" max="12553" width="11.7109375" style="37" customWidth="1"/>
    <col min="12554" max="12554" width="60.85546875" style="37" customWidth="1"/>
    <col min="12555" max="12555" width="4.7109375" style="37" customWidth="1"/>
    <col min="12556" max="12556" width="4.85546875" style="37" customWidth="1"/>
    <col min="12557" max="12557" width="6.5703125" style="37" customWidth="1"/>
    <col min="12558" max="12558" width="11.42578125" style="37" customWidth="1"/>
    <col min="12559" max="12801" width="11.5703125" style="37"/>
    <col min="12802" max="12802" width="7.5703125" style="37" customWidth="1"/>
    <col min="12803" max="12803" width="29" style="37" customWidth="1"/>
    <col min="12804" max="12804" width="45.28515625" style="37" customWidth="1"/>
    <col min="12805" max="12805" width="49" style="37" customWidth="1"/>
    <col min="12806" max="12806" width="4.5703125" style="37" customWidth="1"/>
    <col min="12807" max="12807" width="5" style="37" customWidth="1"/>
    <col min="12808" max="12808" width="6.85546875" style="37" customWidth="1"/>
    <col min="12809" max="12809" width="11.7109375" style="37" customWidth="1"/>
    <col min="12810" max="12810" width="60.85546875" style="37" customWidth="1"/>
    <col min="12811" max="12811" width="4.7109375" style="37" customWidth="1"/>
    <col min="12812" max="12812" width="4.85546875" style="37" customWidth="1"/>
    <col min="12813" max="12813" width="6.5703125" style="37" customWidth="1"/>
    <col min="12814" max="12814" width="11.42578125" style="37" customWidth="1"/>
    <col min="12815" max="13057" width="11.5703125" style="37"/>
    <col min="13058" max="13058" width="7.5703125" style="37" customWidth="1"/>
    <col min="13059" max="13059" width="29" style="37" customWidth="1"/>
    <col min="13060" max="13060" width="45.28515625" style="37" customWidth="1"/>
    <col min="13061" max="13061" width="49" style="37" customWidth="1"/>
    <col min="13062" max="13062" width="4.5703125" style="37" customWidth="1"/>
    <col min="13063" max="13063" width="5" style="37" customWidth="1"/>
    <col min="13064" max="13064" width="6.85546875" style="37" customWidth="1"/>
    <col min="13065" max="13065" width="11.7109375" style="37" customWidth="1"/>
    <col min="13066" max="13066" width="60.85546875" style="37" customWidth="1"/>
    <col min="13067" max="13067" width="4.7109375" style="37" customWidth="1"/>
    <col min="13068" max="13068" width="4.85546875" style="37" customWidth="1"/>
    <col min="13069" max="13069" width="6.5703125" style="37" customWidth="1"/>
    <col min="13070" max="13070" width="11.42578125" style="37" customWidth="1"/>
    <col min="13071" max="13313" width="11.5703125" style="37"/>
    <col min="13314" max="13314" width="7.5703125" style="37" customWidth="1"/>
    <col min="13315" max="13315" width="29" style="37" customWidth="1"/>
    <col min="13316" max="13316" width="45.28515625" style="37" customWidth="1"/>
    <col min="13317" max="13317" width="49" style="37" customWidth="1"/>
    <col min="13318" max="13318" width="4.5703125" style="37" customWidth="1"/>
    <col min="13319" max="13319" width="5" style="37" customWidth="1"/>
    <col min="13320" max="13320" width="6.85546875" style="37" customWidth="1"/>
    <col min="13321" max="13321" width="11.7109375" style="37" customWidth="1"/>
    <col min="13322" max="13322" width="60.85546875" style="37" customWidth="1"/>
    <col min="13323" max="13323" width="4.7109375" style="37" customWidth="1"/>
    <col min="13324" max="13324" width="4.85546875" style="37" customWidth="1"/>
    <col min="13325" max="13325" width="6.5703125" style="37" customWidth="1"/>
    <col min="13326" max="13326" width="11.42578125" style="37" customWidth="1"/>
    <col min="13327" max="13569" width="11.5703125" style="37"/>
    <col min="13570" max="13570" width="7.5703125" style="37" customWidth="1"/>
    <col min="13571" max="13571" width="29" style="37" customWidth="1"/>
    <col min="13572" max="13572" width="45.28515625" style="37" customWidth="1"/>
    <col min="13573" max="13573" width="49" style="37" customWidth="1"/>
    <col min="13574" max="13574" width="4.5703125" style="37" customWidth="1"/>
    <col min="13575" max="13575" width="5" style="37" customWidth="1"/>
    <col min="13576" max="13576" width="6.85546875" style="37" customWidth="1"/>
    <col min="13577" max="13577" width="11.7109375" style="37" customWidth="1"/>
    <col min="13578" max="13578" width="60.85546875" style="37" customWidth="1"/>
    <col min="13579" max="13579" width="4.7109375" style="37" customWidth="1"/>
    <col min="13580" max="13580" width="4.85546875" style="37" customWidth="1"/>
    <col min="13581" max="13581" width="6.5703125" style="37" customWidth="1"/>
    <col min="13582" max="13582" width="11.42578125" style="37" customWidth="1"/>
    <col min="13583" max="13825" width="11.5703125" style="37"/>
    <col min="13826" max="13826" width="7.5703125" style="37" customWidth="1"/>
    <col min="13827" max="13827" width="29" style="37" customWidth="1"/>
    <col min="13828" max="13828" width="45.28515625" style="37" customWidth="1"/>
    <col min="13829" max="13829" width="49" style="37" customWidth="1"/>
    <col min="13830" max="13830" width="4.5703125" style="37" customWidth="1"/>
    <col min="13831" max="13831" width="5" style="37" customWidth="1"/>
    <col min="13832" max="13832" width="6.85546875" style="37" customWidth="1"/>
    <col min="13833" max="13833" width="11.7109375" style="37" customWidth="1"/>
    <col min="13834" max="13834" width="60.85546875" style="37" customWidth="1"/>
    <col min="13835" max="13835" width="4.7109375" style="37" customWidth="1"/>
    <col min="13836" max="13836" width="4.85546875" style="37" customWidth="1"/>
    <col min="13837" max="13837" width="6.5703125" style="37" customWidth="1"/>
    <col min="13838" max="13838" width="11.42578125" style="37" customWidth="1"/>
    <col min="13839" max="14081" width="11.5703125" style="37"/>
    <col min="14082" max="14082" width="7.5703125" style="37" customWidth="1"/>
    <col min="14083" max="14083" width="29" style="37" customWidth="1"/>
    <col min="14084" max="14084" width="45.28515625" style="37" customWidth="1"/>
    <col min="14085" max="14085" width="49" style="37" customWidth="1"/>
    <col min="14086" max="14086" width="4.5703125" style="37" customWidth="1"/>
    <col min="14087" max="14087" width="5" style="37" customWidth="1"/>
    <col min="14088" max="14088" width="6.85546875" style="37" customWidth="1"/>
    <col min="14089" max="14089" width="11.7109375" style="37" customWidth="1"/>
    <col min="14090" max="14090" width="60.85546875" style="37" customWidth="1"/>
    <col min="14091" max="14091" width="4.7109375" style="37" customWidth="1"/>
    <col min="14092" max="14092" width="4.85546875" style="37" customWidth="1"/>
    <col min="14093" max="14093" width="6.5703125" style="37" customWidth="1"/>
    <col min="14094" max="14094" width="11.42578125" style="37" customWidth="1"/>
    <col min="14095" max="14337" width="11.5703125" style="37"/>
    <col min="14338" max="14338" width="7.5703125" style="37" customWidth="1"/>
    <col min="14339" max="14339" width="29" style="37" customWidth="1"/>
    <col min="14340" max="14340" width="45.28515625" style="37" customWidth="1"/>
    <col min="14341" max="14341" width="49" style="37" customWidth="1"/>
    <col min="14342" max="14342" width="4.5703125" style="37" customWidth="1"/>
    <col min="14343" max="14343" width="5" style="37" customWidth="1"/>
    <col min="14344" max="14344" width="6.85546875" style="37" customWidth="1"/>
    <col min="14345" max="14345" width="11.7109375" style="37" customWidth="1"/>
    <col min="14346" max="14346" width="60.85546875" style="37" customWidth="1"/>
    <col min="14347" max="14347" width="4.7109375" style="37" customWidth="1"/>
    <col min="14348" max="14348" width="4.85546875" style="37" customWidth="1"/>
    <col min="14349" max="14349" width="6.5703125" style="37" customWidth="1"/>
    <col min="14350" max="14350" width="11.42578125" style="37" customWidth="1"/>
    <col min="14351" max="14593" width="11.5703125" style="37"/>
    <col min="14594" max="14594" width="7.5703125" style="37" customWidth="1"/>
    <col min="14595" max="14595" width="29" style="37" customWidth="1"/>
    <col min="14596" max="14596" width="45.28515625" style="37" customWidth="1"/>
    <col min="14597" max="14597" width="49" style="37" customWidth="1"/>
    <col min="14598" max="14598" width="4.5703125" style="37" customWidth="1"/>
    <col min="14599" max="14599" width="5" style="37" customWidth="1"/>
    <col min="14600" max="14600" width="6.85546875" style="37" customWidth="1"/>
    <col min="14601" max="14601" width="11.7109375" style="37" customWidth="1"/>
    <col min="14602" max="14602" width="60.85546875" style="37" customWidth="1"/>
    <col min="14603" max="14603" width="4.7109375" style="37" customWidth="1"/>
    <col min="14604" max="14604" width="4.85546875" style="37" customWidth="1"/>
    <col min="14605" max="14605" width="6.5703125" style="37" customWidth="1"/>
    <col min="14606" max="14606" width="11.42578125" style="37" customWidth="1"/>
    <col min="14607" max="14849" width="11.5703125" style="37"/>
    <col min="14850" max="14850" width="7.5703125" style="37" customWidth="1"/>
    <col min="14851" max="14851" width="29" style="37" customWidth="1"/>
    <col min="14852" max="14852" width="45.28515625" style="37" customWidth="1"/>
    <col min="14853" max="14853" width="49" style="37" customWidth="1"/>
    <col min="14854" max="14854" width="4.5703125" style="37" customWidth="1"/>
    <col min="14855" max="14855" width="5" style="37" customWidth="1"/>
    <col min="14856" max="14856" width="6.85546875" style="37" customWidth="1"/>
    <col min="14857" max="14857" width="11.7109375" style="37" customWidth="1"/>
    <col min="14858" max="14858" width="60.85546875" style="37" customWidth="1"/>
    <col min="14859" max="14859" width="4.7109375" style="37" customWidth="1"/>
    <col min="14860" max="14860" width="4.85546875" style="37" customWidth="1"/>
    <col min="14861" max="14861" width="6.5703125" style="37" customWidth="1"/>
    <col min="14862" max="14862" width="11.42578125" style="37" customWidth="1"/>
    <col min="14863" max="15105" width="11.5703125" style="37"/>
    <col min="15106" max="15106" width="7.5703125" style="37" customWidth="1"/>
    <col min="15107" max="15107" width="29" style="37" customWidth="1"/>
    <col min="15108" max="15108" width="45.28515625" style="37" customWidth="1"/>
    <col min="15109" max="15109" width="49" style="37" customWidth="1"/>
    <col min="15110" max="15110" width="4.5703125" style="37" customWidth="1"/>
    <col min="15111" max="15111" width="5" style="37" customWidth="1"/>
    <col min="15112" max="15112" width="6.85546875" style="37" customWidth="1"/>
    <col min="15113" max="15113" width="11.7109375" style="37" customWidth="1"/>
    <col min="15114" max="15114" width="60.85546875" style="37" customWidth="1"/>
    <col min="15115" max="15115" width="4.7109375" style="37" customWidth="1"/>
    <col min="15116" max="15116" width="4.85546875" style="37" customWidth="1"/>
    <col min="15117" max="15117" width="6.5703125" style="37" customWidth="1"/>
    <col min="15118" max="15118" width="11.42578125" style="37" customWidth="1"/>
    <col min="15119" max="15361" width="11.5703125" style="37"/>
    <col min="15362" max="15362" width="7.5703125" style="37" customWidth="1"/>
    <col min="15363" max="15363" width="29" style="37" customWidth="1"/>
    <col min="15364" max="15364" width="45.28515625" style="37" customWidth="1"/>
    <col min="15365" max="15365" width="49" style="37" customWidth="1"/>
    <col min="15366" max="15366" width="4.5703125" style="37" customWidth="1"/>
    <col min="15367" max="15367" width="5" style="37" customWidth="1"/>
    <col min="15368" max="15368" width="6.85546875" style="37" customWidth="1"/>
    <col min="15369" max="15369" width="11.7109375" style="37" customWidth="1"/>
    <col min="15370" max="15370" width="60.85546875" style="37" customWidth="1"/>
    <col min="15371" max="15371" width="4.7109375" style="37" customWidth="1"/>
    <col min="15372" max="15372" width="4.85546875" style="37" customWidth="1"/>
    <col min="15373" max="15373" width="6.5703125" style="37" customWidth="1"/>
    <col min="15374" max="15374" width="11.42578125" style="37" customWidth="1"/>
    <col min="15375" max="15617" width="11.5703125" style="37"/>
    <col min="15618" max="15618" width="7.5703125" style="37" customWidth="1"/>
    <col min="15619" max="15619" width="29" style="37" customWidth="1"/>
    <col min="15620" max="15620" width="45.28515625" style="37" customWidth="1"/>
    <col min="15621" max="15621" width="49" style="37" customWidth="1"/>
    <col min="15622" max="15622" width="4.5703125" style="37" customWidth="1"/>
    <col min="15623" max="15623" width="5" style="37" customWidth="1"/>
    <col min="15624" max="15624" width="6.85546875" style="37" customWidth="1"/>
    <col min="15625" max="15625" width="11.7109375" style="37" customWidth="1"/>
    <col min="15626" max="15626" width="60.85546875" style="37" customWidth="1"/>
    <col min="15627" max="15627" width="4.7109375" style="37" customWidth="1"/>
    <col min="15628" max="15628" width="4.85546875" style="37" customWidth="1"/>
    <col min="15629" max="15629" width="6.5703125" style="37" customWidth="1"/>
    <col min="15630" max="15630" width="11.42578125" style="37" customWidth="1"/>
    <col min="15631" max="15873" width="11.5703125" style="37"/>
    <col min="15874" max="15874" width="7.5703125" style="37" customWidth="1"/>
    <col min="15875" max="15875" width="29" style="37" customWidth="1"/>
    <col min="15876" max="15876" width="45.28515625" style="37" customWidth="1"/>
    <col min="15877" max="15877" width="49" style="37" customWidth="1"/>
    <col min="15878" max="15878" width="4.5703125" style="37" customWidth="1"/>
    <col min="15879" max="15879" width="5" style="37" customWidth="1"/>
    <col min="15880" max="15880" width="6.85546875" style="37" customWidth="1"/>
    <col min="15881" max="15881" width="11.7109375" style="37" customWidth="1"/>
    <col min="15882" max="15882" width="60.85546875" style="37" customWidth="1"/>
    <col min="15883" max="15883" width="4.7109375" style="37" customWidth="1"/>
    <col min="15884" max="15884" width="4.85546875" style="37" customWidth="1"/>
    <col min="15885" max="15885" width="6.5703125" style="37" customWidth="1"/>
    <col min="15886" max="15886" width="11.42578125" style="37" customWidth="1"/>
    <col min="15887" max="16129" width="11.5703125" style="37"/>
    <col min="16130" max="16130" width="7.5703125" style="37" customWidth="1"/>
    <col min="16131" max="16131" width="29" style="37" customWidth="1"/>
    <col min="16132" max="16132" width="45.28515625" style="37" customWidth="1"/>
    <col min="16133" max="16133" width="49" style="37" customWidth="1"/>
    <col min="16134" max="16134" width="4.5703125" style="37" customWidth="1"/>
    <col min="16135" max="16135" width="5" style="37" customWidth="1"/>
    <col min="16136" max="16136" width="6.85546875" style="37" customWidth="1"/>
    <col min="16137" max="16137" width="11.7109375" style="37" customWidth="1"/>
    <col min="16138" max="16138" width="60.85546875" style="37" customWidth="1"/>
    <col min="16139" max="16139" width="4.7109375" style="37" customWidth="1"/>
    <col min="16140" max="16140" width="4.85546875" style="37" customWidth="1"/>
    <col min="16141" max="16141" width="6.5703125" style="37" customWidth="1"/>
    <col min="16142" max="16142" width="11.42578125" style="37" customWidth="1"/>
    <col min="16143" max="16384" width="11.5703125" style="37"/>
  </cols>
  <sheetData>
    <row r="1" spans="1:14" ht="28.5" customHeight="1">
      <c r="B1" s="14"/>
      <c r="C1" s="464"/>
      <c r="D1" s="13"/>
      <c r="E1" s="14"/>
      <c r="F1" s="736"/>
      <c r="G1" s="736"/>
      <c r="H1" s="736"/>
      <c r="I1" s="736"/>
      <c r="J1" s="736"/>
      <c r="K1" s="736"/>
      <c r="L1" s="736"/>
      <c r="M1" s="736"/>
      <c r="N1" s="736"/>
    </row>
    <row r="2" spans="1:14" ht="147.75" customHeight="1" thickBot="1">
      <c r="B2" s="740" t="s">
        <v>798</v>
      </c>
      <c r="C2" s="741"/>
      <c r="D2" s="741"/>
      <c r="E2" s="741"/>
      <c r="F2" s="741"/>
      <c r="G2" s="741"/>
      <c r="H2" s="741"/>
      <c r="I2" s="741"/>
      <c r="J2" s="741"/>
      <c r="K2" s="741"/>
      <c r="L2" s="741"/>
      <c r="M2" s="741"/>
      <c r="N2" s="742"/>
    </row>
    <row r="3" spans="1:14" s="420" customFormat="1">
      <c r="A3" s="453"/>
      <c r="B3" s="737" t="s">
        <v>2</v>
      </c>
      <c r="C3" s="738" t="s">
        <v>45</v>
      </c>
      <c r="D3" s="738" t="s">
        <v>6</v>
      </c>
      <c r="E3" s="737" t="s">
        <v>3</v>
      </c>
      <c r="F3" s="737" t="s">
        <v>4</v>
      </c>
      <c r="G3" s="737"/>
      <c r="H3" s="737"/>
      <c r="I3" s="737"/>
      <c r="J3" s="738" t="s">
        <v>7</v>
      </c>
      <c r="K3" s="738" t="s">
        <v>8</v>
      </c>
      <c r="L3" s="737"/>
      <c r="M3" s="737"/>
      <c r="N3" s="737"/>
    </row>
    <row r="4" spans="1:14" s="420" customFormat="1" ht="37.5">
      <c r="A4" s="453"/>
      <c r="B4" s="711"/>
      <c r="C4" s="710"/>
      <c r="D4" s="711"/>
      <c r="E4" s="711"/>
      <c r="F4" s="454" t="s">
        <v>0</v>
      </c>
      <c r="G4" s="454" t="s">
        <v>1</v>
      </c>
      <c r="H4" s="454" t="s">
        <v>12</v>
      </c>
      <c r="I4" s="455" t="s">
        <v>5</v>
      </c>
      <c r="J4" s="711"/>
      <c r="K4" s="455" t="s">
        <v>0</v>
      </c>
      <c r="L4" s="454" t="s">
        <v>1</v>
      </c>
      <c r="M4" s="454" t="s">
        <v>12</v>
      </c>
      <c r="N4" s="455" t="s">
        <v>9</v>
      </c>
    </row>
    <row r="5" spans="1:14" s="420" customFormat="1" ht="89.25" customHeight="1">
      <c r="A5" s="453"/>
      <c r="B5" s="711">
        <v>1</v>
      </c>
      <c r="C5" s="710" t="s">
        <v>181</v>
      </c>
      <c r="D5" s="73" t="s">
        <v>182</v>
      </c>
      <c r="E5" s="70" t="s">
        <v>799</v>
      </c>
      <c r="F5" s="454">
        <v>2</v>
      </c>
      <c r="G5" s="454">
        <v>3</v>
      </c>
      <c r="H5" s="454">
        <v>6</v>
      </c>
      <c r="I5" s="455" t="s">
        <v>46</v>
      </c>
      <c r="J5" s="73" t="s">
        <v>800</v>
      </c>
      <c r="K5" s="455">
        <v>1</v>
      </c>
      <c r="L5" s="454">
        <v>1</v>
      </c>
      <c r="M5" s="454">
        <f>K5*L5</f>
        <v>1</v>
      </c>
      <c r="N5" s="455" t="s">
        <v>47</v>
      </c>
    </row>
    <row r="6" spans="1:14" s="420" customFormat="1" ht="89.25" customHeight="1">
      <c r="A6" s="453"/>
      <c r="B6" s="711"/>
      <c r="C6" s="710"/>
      <c r="D6" s="73" t="s">
        <v>185</v>
      </c>
      <c r="E6" s="72" t="s">
        <v>186</v>
      </c>
      <c r="F6" s="454">
        <v>1</v>
      </c>
      <c r="G6" s="454">
        <v>4</v>
      </c>
      <c r="H6" s="454">
        <f t="shared" ref="H6:H17" si="0">+F6*G6</f>
        <v>4</v>
      </c>
      <c r="I6" s="455" t="s">
        <v>47</v>
      </c>
      <c r="J6" s="70" t="s">
        <v>801</v>
      </c>
      <c r="K6" s="455">
        <v>1</v>
      </c>
      <c r="L6" s="454">
        <v>2</v>
      </c>
      <c r="M6" s="454">
        <f t="shared" ref="M6:M17" si="1">K6*L6</f>
        <v>2</v>
      </c>
      <c r="N6" s="455" t="s">
        <v>47</v>
      </c>
    </row>
    <row r="7" spans="1:14" s="420" customFormat="1" ht="97.5" customHeight="1">
      <c r="A7" s="453"/>
      <c r="B7" s="711">
        <v>2</v>
      </c>
      <c r="C7" s="710" t="s">
        <v>188</v>
      </c>
      <c r="D7" s="73" t="s">
        <v>189</v>
      </c>
      <c r="E7" s="72" t="s">
        <v>802</v>
      </c>
      <c r="F7" s="454">
        <v>3</v>
      </c>
      <c r="G7" s="454">
        <v>5</v>
      </c>
      <c r="H7" s="454">
        <f t="shared" si="0"/>
        <v>15</v>
      </c>
      <c r="I7" s="455" t="s">
        <v>48</v>
      </c>
      <c r="J7" s="73" t="s">
        <v>803</v>
      </c>
      <c r="K7" s="455">
        <v>2</v>
      </c>
      <c r="L7" s="454">
        <v>1</v>
      </c>
      <c r="M7" s="454">
        <f t="shared" si="1"/>
        <v>2</v>
      </c>
      <c r="N7" s="455" t="s">
        <v>47</v>
      </c>
    </row>
    <row r="8" spans="1:14" s="420" customFormat="1" ht="111" customHeight="1">
      <c r="A8" s="453"/>
      <c r="B8" s="711"/>
      <c r="C8" s="710"/>
      <c r="D8" s="73" t="s">
        <v>804</v>
      </c>
      <c r="E8" s="72" t="s">
        <v>193</v>
      </c>
      <c r="F8" s="454">
        <v>2</v>
      </c>
      <c r="G8" s="454">
        <v>5</v>
      </c>
      <c r="H8" s="454">
        <f t="shared" si="0"/>
        <v>10</v>
      </c>
      <c r="I8" s="455" t="s">
        <v>46</v>
      </c>
      <c r="J8" s="70" t="s">
        <v>805</v>
      </c>
      <c r="K8" s="455">
        <v>1</v>
      </c>
      <c r="L8" s="454">
        <v>2</v>
      </c>
      <c r="M8" s="454">
        <f t="shared" si="1"/>
        <v>2</v>
      </c>
      <c r="N8" s="455" t="s">
        <v>47</v>
      </c>
    </row>
    <row r="9" spans="1:14" s="420" customFormat="1" ht="134.25" customHeight="1">
      <c r="A9" s="453"/>
      <c r="B9" s="454">
        <v>3</v>
      </c>
      <c r="C9" s="455" t="s">
        <v>806</v>
      </c>
      <c r="D9" s="73" t="s">
        <v>807</v>
      </c>
      <c r="E9" s="71" t="s">
        <v>808</v>
      </c>
      <c r="F9" s="454">
        <v>3</v>
      </c>
      <c r="G9" s="454">
        <v>5</v>
      </c>
      <c r="H9" s="454">
        <f t="shared" si="0"/>
        <v>15</v>
      </c>
      <c r="I9" s="455" t="s">
        <v>48</v>
      </c>
      <c r="J9" s="70" t="s">
        <v>809</v>
      </c>
      <c r="K9" s="455">
        <v>2</v>
      </c>
      <c r="L9" s="454">
        <v>1</v>
      </c>
      <c r="M9" s="454">
        <f t="shared" si="1"/>
        <v>2</v>
      </c>
      <c r="N9" s="455" t="s">
        <v>47</v>
      </c>
    </row>
    <row r="10" spans="1:14" s="420" customFormat="1" ht="109.5" customHeight="1">
      <c r="A10" s="453"/>
      <c r="B10" s="454">
        <v>4</v>
      </c>
      <c r="C10" s="455" t="s">
        <v>810</v>
      </c>
      <c r="D10" s="73" t="s">
        <v>811</v>
      </c>
      <c r="E10" s="71" t="s">
        <v>812</v>
      </c>
      <c r="F10" s="454">
        <v>2</v>
      </c>
      <c r="G10" s="454">
        <v>4</v>
      </c>
      <c r="H10" s="454">
        <f t="shared" si="0"/>
        <v>8</v>
      </c>
      <c r="I10" s="455" t="s">
        <v>46</v>
      </c>
      <c r="J10" s="70" t="s">
        <v>813</v>
      </c>
      <c r="K10" s="455">
        <v>1</v>
      </c>
      <c r="L10" s="454">
        <v>2</v>
      </c>
      <c r="M10" s="454">
        <f t="shared" si="1"/>
        <v>2</v>
      </c>
      <c r="N10" s="455" t="s">
        <v>47</v>
      </c>
    </row>
    <row r="11" spans="1:14" s="420" customFormat="1" ht="148.5" customHeight="1">
      <c r="A11" s="453"/>
      <c r="B11" s="454">
        <v>5</v>
      </c>
      <c r="C11" s="455" t="s">
        <v>814</v>
      </c>
      <c r="D11" s="73" t="s">
        <v>815</v>
      </c>
      <c r="E11" s="71" t="s">
        <v>816</v>
      </c>
      <c r="F11" s="454">
        <v>2</v>
      </c>
      <c r="G11" s="454">
        <v>5</v>
      </c>
      <c r="H11" s="454">
        <f t="shared" si="0"/>
        <v>10</v>
      </c>
      <c r="I11" s="455" t="s">
        <v>46</v>
      </c>
      <c r="J11" s="70" t="s">
        <v>817</v>
      </c>
      <c r="K11" s="455">
        <v>1</v>
      </c>
      <c r="L11" s="454">
        <v>2</v>
      </c>
      <c r="M11" s="454">
        <f t="shared" si="1"/>
        <v>2</v>
      </c>
      <c r="N11" s="455" t="s">
        <v>47</v>
      </c>
    </row>
    <row r="12" spans="1:14" s="420" customFormat="1" ht="171.75" customHeight="1">
      <c r="A12" s="453"/>
      <c r="B12" s="454">
        <v>6</v>
      </c>
      <c r="C12" s="455" t="s">
        <v>818</v>
      </c>
      <c r="D12" s="70" t="s">
        <v>819</v>
      </c>
      <c r="E12" s="71" t="s">
        <v>820</v>
      </c>
      <c r="F12" s="454">
        <v>3</v>
      </c>
      <c r="G12" s="454">
        <v>3</v>
      </c>
      <c r="H12" s="454">
        <f t="shared" si="0"/>
        <v>9</v>
      </c>
      <c r="I12" s="455" t="s">
        <v>46</v>
      </c>
      <c r="J12" s="70" t="s">
        <v>821</v>
      </c>
      <c r="K12" s="455">
        <v>2</v>
      </c>
      <c r="L12" s="454">
        <v>2</v>
      </c>
      <c r="M12" s="454">
        <f t="shared" si="1"/>
        <v>4</v>
      </c>
      <c r="N12" s="455" t="s">
        <v>47</v>
      </c>
    </row>
    <row r="13" spans="1:14" s="420" customFormat="1" ht="192" customHeight="1">
      <c r="A13" s="453"/>
      <c r="B13" s="454">
        <v>7</v>
      </c>
      <c r="C13" s="455" t="s">
        <v>822</v>
      </c>
      <c r="D13" s="70" t="s">
        <v>823</v>
      </c>
      <c r="E13" s="71" t="s">
        <v>824</v>
      </c>
      <c r="F13" s="454">
        <v>2</v>
      </c>
      <c r="G13" s="454">
        <v>5</v>
      </c>
      <c r="H13" s="454">
        <f t="shared" si="0"/>
        <v>10</v>
      </c>
      <c r="I13" s="455" t="s">
        <v>46</v>
      </c>
      <c r="J13" s="70" t="s">
        <v>825</v>
      </c>
      <c r="K13" s="455">
        <v>1</v>
      </c>
      <c r="L13" s="454">
        <v>2</v>
      </c>
      <c r="M13" s="454">
        <f t="shared" si="1"/>
        <v>2</v>
      </c>
      <c r="N13" s="455" t="s">
        <v>47</v>
      </c>
    </row>
    <row r="14" spans="1:14" s="420" customFormat="1" ht="54.75" customHeight="1">
      <c r="A14" s="453"/>
      <c r="B14" s="711">
        <v>8</v>
      </c>
      <c r="C14" s="710" t="s">
        <v>195</v>
      </c>
      <c r="D14" s="73" t="s">
        <v>196</v>
      </c>
      <c r="E14" s="71" t="s">
        <v>197</v>
      </c>
      <c r="F14" s="454">
        <v>3</v>
      </c>
      <c r="G14" s="454">
        <v>5</v>
      </c>
      <c r="H14" s="454">
        <f t="shared" si="0"/>
        <v>15</v>
      </c>
      <c r="I14" s="455" t="s">
        <v>48</v>
      </c>
      <c r="J14" s="73" t="s">
        <v>198</v>
      </c>
      <c r="K14" s="455">
        <v>1</v>
      </c>
      <c r="L14" s="454">
        <v>2</v>
      </c>
      <c r="M14" s="454">
        <f t="shared" si="1"/>
        <v>2</v>
      </c>
      <c r="N14" s="455" t="s">
        <v>47</v>
      </c>
    </row>
    <row r="15" spans="1:14" s="420" customFormat="1" ht="56.25">
      <c r="A15" s="453"/>
      <c r="B15" s="711"/>
      <c r="C15" s="710"/>
      <c r="D15" s="73" t="s">
        <v>199</v>
      </c>
      <c r="E15" s="72" t="s">
        <v>200</v>
      </c>
      <c r="F15" s="454">
        <v>1</v>
      </c>
      <c r="G15" s="454">
        <v>5</v>
      </c>
      <c r="H15" s="454">
        <f t="shared" si="0"/>
        <v>5</v>
      </c>
      <c r="I15" s="455" t="s">
        <v>47</v>
      </c>
      <c r="J15" s="73" t="s">
        <v>201</v>
      </c>
      <c r="K15" s="455">
        <v>1</v>
      </c>
      <c r="L15" s="454">
        <v>2</v>
      </c>
      <c r="M15" s="454">
        <f t="shared" si="1"/>
        <v>2</v>
      </c>
      <c r="N15" s="455" t="s">
        <v>47</v>
      </c>
    </row>
    <row r="16" spans="1:14" s="420" customFormat="1" ht="66" customHeight="1">
      <c r="A16" s="453"/>
      <c r="B16" s="456">
        <v>9</v>
      </c>
      <c r="C16" s="452" t="s">
        <v>724</v>
      </c>
      <c r="D16" s="458" t="s">
        <v>826</v>
      </c>
      <c r="E16" s="459" t="s">
        <v>827</v>
      </c>
      <c r="F16" s="456">
        <v>3</v>
      </c>
      <c r="G16" s="456">
        <v>5</v>
      </c>
      <c r="H16" s="456">
        <f t="shared" si="0"/>
        <v>15</v>
      </c>
      <c r="I16" s="452" t="s">
        <v>48</v>
      </c>
      <c r="J16" s="460" t="s">
        <v>725</v>
      </c>
      <c r="K16" s="452">
        <v>2</v>
      </c>
      <c r="L16" s="456">
        <v>3</v>
      </c>
      <c r="M16" s="456">
        <f t="shared" si="1"/>
        <v>6</v>
      </c>
      <c r="N16" s="452" t="s">
        <v>46</v>
      </c>
    </row>
    <row r="17" spans="1:14" s="420" customFormat="1" ht="95.25" customHeight="1" thickBot="1">
      <c r="A17" s="453"/>
      <c r="B17" s="411">
        <v>10</v>
      </c>
      <c r="C17" s="413" t="s">
        <v>534</v>
      </c>
      <c r="D17" s="461" t="s">
        <v>828</v>
      </c>
      <c r="E17" s="462" t="s">
        <v>829</v>
      </c>
      <c r="F17" s="411">
        <v>3</v>
      </c>
      <c r="G17" s="411">
        <v>3</v>
      </c>
      <c r="H17" s="411">
        <f t="shared" si="0"/>
        <v>9</v>
      </c>
      <c r="I17" s="413" t="s">
        <v>46</v>
      </c>
      <c r="J17" s="463" t="s">
        <v>830</v>
      </c>
      <c r="K17" s="413">
        <v>1</v>
      </c>
      <c r="L17" s="411">
        <v>1</v>
      </c>
      <c r="M17" s="411">
        <f t="shared" si="1"/>
        <v>1</v>
      </c>
      <c r="N17" s="413" t="s">
        <v>47</v>
      </c>
    </row>
    <row r="18" spans="1:14" s="233" customFormat="1" ht="24" customHeight="1">
      <c r="B18" s="743" t="s">
        <v>745</v>
      </c>
      <c r="C18" s="744"/>
      <c r="D18" s="744"/>
      <c r="E18" s="744"/>
      <c r="F18" s="744"/>
      <c r="G18" s="744"/>
      <c r="H18" s="744"/>
      <c r="I18" s="744"/>
      <c r="J18" s="744"/>
      <c r="K18" s="744"/>
      <c r="L18" s="744"/>
      <c r="M18" s="744"/>
      <c r="N18" s="745"/>
    </row>
    <row r="19" spans="1:14" s="233" customFormat="1" ht="24" customHeight="1">
      <c r="B19" s="746" t="s">
        <v>626</v>
      </c>
      <c r="C19" s="747"/>
      <c r="D19" s="747"/>
      <c r="E19" s="747"/>
      <c r="F19" s="747"/>
      <c r="G19" s="747"/>
      <c r="H19" s="747"/>
      <c r="I19" s="747"/>
      <c r="J19" s="747"/>
      <c r="K19" s="747"/>
      <c r="L19" s="747"/>
      <c r="M19" s="747"/>
      <c r="N19" s="748"/>
    </row>
    <row r="20" spans="1:14" s="233" customFormat="1" ht="24" customHeight="1">
      <c r="B20" s="749" t="s">
        <v>744</v>
      </c>
      <c r="C20" s="750"/>
      <c r="D20" s="750"/>
      <c r="E20" s="750"/>
      <c r="F20" s="750"/>
      <c r="G20" s="750"/>
      <c r="H20" s="750"/>
      <c r="I20" s="750"/>
      <c r="J20" s="750"/>
      <c r="K20" s="750"/>
      <c r="L20" s="750"/>
      <c r="M20" s="750"/>
      <c r="N20" s="751"/>
    </row>
    <row r="21" spans="1:14" s="233" customFormat="1" ht="24" customHeight="1">
      <c r="B21" s="752" t="s">
        <v>776</v>
      </c>
      <c r="C21" s="753"/>
      <c r="D21" s="753"/>
      <c r="E21" s="753"/>
      <c r="F21" s="753"/>
      <c r="G21" s="753"/>
      <c r="H21" s="753"/>
      <c r="I21" s="753"/>
      <c r="J21" s="753"/>
      <c r="K21" s="753"/>
      <c r="L21" s="753"/>
      <c r="M21" s="753"/>
      <c r="N21" s="754"/>
    </row>
    <row r="22" spans="1:14" s="216" customFormat="1" ht="15.75" customHeight="1">
      <c r="B22" s="465"/>
      <c r="C22" s="212" t="s">
        <v>330</v>
      </c>
      <c r="D22" s="466" t="s">
        <v>331</v>
      </c>
      <c r="E22" s="466" t="s">
        <v>335</v>
      </c>
      <c r="F22" s="611" t="s">
        <v>759</v>
      </c>
      <c r="G22" s="755"/>
      <c r="H22" s="756" t="s">
        <v>644</v>
      </c>
      <c r="I22" s="757"/>
      <c r="J22" s="758"/>
      <c r="K22" s="758"/>
      <c r="L22" s="759"/>
      <c r="M22" s="584" t="s">
        <v>643</v>
      </c>
      <c r="N22" s="584"/>
    </row>
    <row r="23" spans="1:14" s="216" customFormat="1" ht="15.75" customHeight="1">
      <c r="B23" s="465"/>
      <c r="C23" s="212">
        <v>0</v>
      </c>
      <c r="D23" s="466" t="s">
        <v>775</v>
      </c>
      <c r="E23" s="466" t="s">
        <v>768</v>
      </c>
      <c r="F23" s="760" t="s">
        <v>760</v>
      </c>
      <c r="G23" s="761"/>
      <c r="H23" s="756" t="s">
        <v>645</v>
      </c>
      <c r="I23" s="757"/>
      <c r="J23" s="757"/>
      <c r="K23" s="757"/>
      <c r="L23" s="762"/>
      <c r="M23" s="584" t="s">
        <v>780</v>
      </c>
      <c r="N23" s="584"/>
    </row>
    <row r="24" spans="1:14" s="216" customFormat="1" ht="15.75" customHeight="1">
      <c r="B24" s="467"/>
      <c r="C24" s="212"/>
      <c r="D24" s="466"/>
      <c r="E24" s="466"/>
      <c r="F24" s="763"/>
      <c r="G24" s="761"/>
      <c r="H24" s="611"/>
      <c r="I24" s="755"/>
      <c r="J24" s="755"/>
      <c r="K24" s="755"/>
      <c r="L24" s="764"/>
      <c r="M24" s="584"/>
      <c r="N24" s="584"/>
    </row>
    <row r="25" spans="1:14" s="34" customFormat="1">
      <c r="C25" s="31"/>
      <c r="D25" s="33"/>
      <c r="H25" s="102"/>
      <c r="J25" s="63"/>
      <c r="K25" s="63"/>
      <c r="L25" s="63"/>
      <c r="M25" s="63"/>
    </row>
    <row r="26" spans="1:14" s="34" customFormat="1">
      <c r="C26" s="31"/>
      <c r="D26" s="33"/>
      <c r="H26" s="102"/>
      <c r="J26" s="63"/>
      <c r="K26" s="63"/>
      <c r="L26" s="63"/>
      <c r="M26" s="63"/>
    </row>
    <row r="27" spans="1:14">
      <c r="H27" s="421"/>
    </row>
    <row r="28" spans="1:14">
      <c r="D28" s="38"/>
      <c r="H28" s="421"/>
    </row>
    <row r="29" spans="1:14">
      <c r="D29" s="38"/>
      <c r="H29" s="421"/>
    </row>
    <row r="30" spans="1:14">
      <c r="D30" s="38"/>
      <c r="H30" s="421"/>
    </row>
    <row r="31" spans="1:14">
      <c r="D31" s="38"/>
      <c r="H31" s="421"/>
      <c r="J31" s="104"/>
    </row>
    <row r="32" spans="1:14">
      <c r="D32" s="38"/>
      <c r="H32" s="421"/>
      <c r="J32" s="104"/>
    </row>
    <row r="33" spans="2:14">
      <c r="H33" s="421"/>
    </row>
    <row r="34" spans="2:14" s="34" customFormat="1">
      <c r="B34" s="739"/>
      <c r="C34" s="739"/>
      <c r="D34" s="739"/>
      <c r="E34" s="739"/>
      <c r="F34" s="739"/>
      <c r="G34" s="739"/>
      <c r="H34" s="739"/>
      <c r="I34" s="739"/>
      <c r="J34" s="739"/>
      <c r="K34" s="739"/>
      <c r="L34" s="739"/>
      <c r="M34" s="739"/>
      <c r="N34" s="739"/>
    </row>
    <row r="35" spans="2:14">
      <c r="D35" s="38"/>
      <c r="H35" s="421"/>
    </row>
    <row r="36" spans="2:14">
      <c r="H36" s="421"/>
    </row>
    <row r="37" spans="2:14">
      <c r="H37" s="421"/>
    </row>
    <row r="38" spans="2:14">
      <c r="H38" s="421"/>
    </row>
    <row r="39" spans="2:14">
      <c r="H39" s="421"/>
    </row>
  </sheetData>
  <mergeCells count="29">
    <mergeCell ref="H23:L23"/>
    <mergeCell ref="M23:N23"/>
    <mergeCell ref="F24:G24"/>
    <mergeCell ref="H24:L24"/>
    <mergeCell ref="M24:N24"/>
    <mergeCell ref="B34:N34"/>
    <mergeCell ref="B2:N2"/>
    <mergeCell ref="B18:N18"/>
    <mergeCell ref="B19:N19"/>
    <mergeCell ref="B20:N20"/>
    <mergeCell ref="B21:N21"/>
    <mergeCell ref="F22:G22"/>
    <mergeCell ref="H22:L22"/>
    <mergeCell ref="M22:N22"/>
    <mergeCell ref="B5:B6"/>
    <mergeCell ref="C5:C6"/>
    <mergeCell ref="B7:B8"/>
    <mergeCell ref="C7:C8"/>
    <mergeCell ref="B14:B15"/>
    <mergeCell ref="C14:C15"/>
    <mergeCell ref="F23:G23"/>
    <mergeCell ref="F1:N1"/>
    <mergeCell ref="B3:B4"/>
    <mergeCell ref="C3:C4"/>
    <mergeCell ref="D3:D4"/>
    <mergeCell ref="E3:E4"/>
    <mergeCell ref="F3:I3"/>
    <mergeCell ref="J3:J4"/>
    <mergeCell ref="K3:N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34"/>
  <sheetViews>
    <sheetView showGridLines="0" tabSelected="1" topLeftCell="B3" workbookViewId="0">
      <selection activeCell="P13" sqref="P13"/>
    </sheetView>
  </sheetViews>
  <sheetFormatPr defaultColWidth="11.5703125" defaultRowHeight="12.75"/>
  <cols>
    <col min="1" max="1" width="4.85546875" style="362" customWidth="1"/>
    <col min="2" max="2" width="17.140625" style="369" customWidth="1"/>
    <col min="3" max="3" width="24.140625" style="370" customWidth="1"/>
    <col min="4" max="4" width="45.28515625" style="370" customWidth="1"/>
    <col min="5" max="5" width="4.5703125" style="370" customWidth="1"/>
    <col min="6" max="6" width="5" style="370" customWidth="1"/>
    <col min="7" max="7" width="6.85546875" style="370" customWidth="1"/>
    <col min="8" max="8" width="8.42578125" style="370" customWidth="1"/>
    <col min="9" max="9" width="47.7109375" style="374" customWidth="1"/>
    <col min="10" max="10" width="4.7109375" style="371" customWidth="1"/>
    <col min="11" max="11" width="4.85546875" style="371" customWidth="1"/>
    <col min="12" max="12" width="6.5703125" style="371" customWidth="1"/>
    <col min="13" max="13" width="8" style="362" customWidth="1"/>
    <col min="14" max="15" width="11.5703125" style="362"/>
    <col min="16" max="16" width="20" style="362" customWidth="1"/>
    <col min="17" max="17" width="15.42578125" style="362" customWidth="1"/>
    <col min="18" max="16384" width="11.5703125" style="362"/>
  </cols>
  <sheetData>
    <row r="1" spans="1:19" ht="20.25" customHeight="1">
      <c r="A1" s="183"/>
      <c r="B1" s="183"/>
      <c r="C1" s="183"/>
      <c r="D1" s="183"/>
      <c r="E1" s="765" t="s">
        <v>535</v>
      </c>
      <c r="F1" s="765"/>
      <c r="G1" s="765"/>
      <c r="H1" s="765"/>
      <c r="I1" s="765"/>
      <c r="J1" s="765"/>
      <c r="K1" s="765"/>
      <c r="L1" s="765"/>
      <c r="M1" s="765"/>
    </row>
    <row r="2" spans="1:19" ht="102" customHeight="1">
      <c r="A2" s="602" t="s">
        <v>719</v>
      </c>
      <c r="B2" s="602"/>
      <c r="C2" s="602"/>
      <c r="D2" s="602"/>
      <c r="E2" s="766"/>
      <c r="F2" s="766"/>
      <c r="G2" s="766"/>
      <c r="H2" s="766"/>
      <c r="I2" s="766"/>
      <c r="J2" s="766"/>
      <c r="K2" s="766"/>
      <c r="L2" s="766"/>
      <c r="M2" s="766"/>
    </row>
    <row r="3" spans="1:19" s="183" customFormat="1" ht="23.25" customHeight="1">
      <c r="A3" s="767" t="s">
        <v>2</v>
      </c>
      <c r="B3" s="768" t="s">
        <v>45</v>
      </c>
      <c r="C3" s="768" t="s">
        <v>6</v>
      </c>
      <c r="D3" s="769" t="s">
        <v>3</v>
      </c>
      <c r="E3" s="769" t="s">
        <v>4</v>
      </c>
      <c r="F3" s="769"/>
      <c r="G3" s="769"/>
      <c r="H3" s="769"/>
      <c r="I3" s="771" t="s">
        <v>7</v>
      </c>
      <c r="J3" s="770" t="s">
        <v>8</v>
      </c>
      <c r="K3" s="767"/>
      <c r="L3" s="767"/>
      <c r="M3" s="767"/>
    </row>
    <row r="4" spans="1:19" s="183" customFormat="1" ht="33" customHeight="1">
      <c r="A4" s="767"/>
      <c r="B4" s="768"/>
      <c r="C4" s="769"/>
      <c r="D4" s="769"/>
      <c r="E4" s="365" t="s">
        <v>0</v>
      </c>
      <c r="F4" s="365" t="s">
        <v>1</v>
      </c>
      <c r="G4" s="365" t="s">
        <v>12</v>
      </c>
      <c r="H4" s="364" t="s">
        <v>5</v>
      </c>
      <c r="I4" s="772"/>
      <c r="J4" s="366" t="s">
        <v>0</v>
      </c>
      <c r="K4" s="363" t="s">
        <v>1</v>
      </c>
      <c r="L4" s="363" t="s">
        <v>12</v>
      </c>
      <c r="M4" s="366" t="s">
        <v>9</v>
      </c>
      <c r="O4" s="811" t="s">
        <v>2</v>
      </c>
      <c r="P4" s="811" t="s">
        <v>865</v>
      </c>
      <c r="Q4" s="811" t="s">
        <v>866</v>
      </c>
      <c r="R4" s="811" t="s">
        <v>867</v>
      </c>
      <c r="S4" s="811" t="s">
        <v>868</v>
      </c>
    </row>
    <row r="5" spans="1:19" s="183" customFormat="1" ht="63" customHeight="1">
      <c r="A5" s="367">
        <v>1</v>
      </c>
      <c r="B5" s="368" t="s">
        <v>531</v>
      </c>
      <c r="C5" s="368" t="s">
        <v>522</v>
      </c>
      <c r="D5" s="368" t="s">
        <v>523</v>
      </c>
      <c r="E5" s="368">
        <v>1</v>
      </c>
      <c r="F5" s="368">
        <v>5</v>
      </c>
      <c r="G5" s="368">
        <f>E5*F5</f>
        <v>5</v>
      </c>
      <c r="H5" s="183" t="s">
        <v>47</v>
      </c>
      <c r="I5" s="372" t="s">
        <v>524</v>
      </c>
      <c r="J5" s="368">
        <v>1</v>
      </c>
      <c r="K5" s="368">
        <v>2</v>
      </c>
      <c r="L5" s="368">
        <v>2</v>
      </c>
      <c r="M5" s="368" t="s">
        <v>47</v>
      </c>
      <c r="O5" s="812">
        <v>1</v>
      </c>
      <c r="P5" s="812" t="s">
        <v>869</v>
      </c>
      <c r="Q5" s="812" t="s">
        <v>870</v>
      </c>
      <c r="R5" s="812" t="s">
        <v>871</v>
      </c>
      <c r="S5" s="812" t="s">
        <v>872</v>
      </c>
    </row>
    <row r="6" spans="1:19" s="183" customFormat="1" ht="56.25" customHeight="1">
      <c r="A6" s="367">
        <v>2</v>
      </c>
      <c r="B6" s="368" t="s">
        <v>532</v>
      </c>
      <c r="C6" s="368" t="s">
        <v>525</v>
      </c>
      <c r="D6" s="368" t="s">
        <v>526</v>
      </c>
      <c r="E6" s="368">
        <v>3</v>
      </c>
      <c r="F6" s="368">
        <v>3</v>
      </c>
      <c r="G6" s="368">
        <f>E6*F6</f>
        <v>9</v>
      </c>
      <c r="H6" s="368" t="s">
        <v>46</v>
      </c>
      <c r="I6" s="372" t="s">
        <v>527</v>
      </c>
      <c r="J6" s="368">
        <v>1</v>
      </c>
      <c r="K6" s="368">
        <v>2</v>
      </c>
      <c r="L6" s="368">
        <v>2</v>
      </c>
      <c r="M6" s="368" t="s">
        <v>47</v>
      </c>
      <c r="O6" s="812">
        <v>2</v>
      </c>
      <c r="P6" s="812" t="s">
        <v>873</v>
      </c>
      <c r="Q6" s="812" t="s">
        <v>874</v>
      </c>
      <c r="R6" s="812" t="s">
        <v>875</v>
      </c>
      <c r="S6" s="812" t="s">
        <v>876</v>
      </c>
    </row>
    <row r="7" spans="1:19" s="183" customFormat="1" ht="59.25" customHeight="1">
      <c r="A7" s="367">
        <v>3</v>
      </c>
      <c r="B7" s="368" t="s">
        <v>533</v>
      </c>
      <c r="C7" s="368" t="s">
        <v>528</v>
      </c>
      <c r="D7" s="368" t="s">
        <v>529</v>
      </c>
      <c r="E7" s="368">
        <v>3</v>
      </c>
      <c r="F7" s="368">
        <v>3</v>
      </c>
      <c r="G7" s="368">
        <f>E7*F7</f>
        <v>9</v>
      </c>
      <c r="H7" s="368" t="s">
        <v>46</v>
      </c>
      <c r="I7" s="372" t="s">
        <v>726</v>
      </c>
      <c r="J7" s="368">
        <v>1</v>
      </c>
      <c r="K7" s="368">
        <v>2</v>
      </c>
      <c r="L7" s="368">
        <v>2</v>
      </c>
      <c r="M7" s="368" t="s">
        <v>47</v>
      </c>
      <c r="O7" s="812">
        <v>3</v>
      </c>
      <c r="P7" s="812" t="s">
        <v>877</v>
      </c>
      <c r="Q7" s="812" t="s">
        <v>878</v>
      </c>
      <c r="R7" s="812" t="s">
        <v>879</v>
      </c>
      <c r="S7" s="812" t="s">
        <v>880</v>
      </c>
    </row>
    <row r="8" spans="1:19" s="473" customFormat="1" ht="59.25" customHeight="1">
      <c r="A8" s="367">
        <v>4</v>
      </c>
      <c r="B8" s="368" t="s">
        <v>716</v>
      </c>
      <c r="C8" s="368" t="s">
        <v>530</v>
      </c>
      <c r="D8" s="368" t="s">
        <v>717</v>
      </c>
      <c r="E8" s="368">
        <v>1</v>
      </c>
      <c r="F8" s="368">
        <v>3</v>
      </c>
      <c r="G8" s="368">
        <f>E8*F8</f>
        <v>3</v>
      </c>
      <c r="H8" s="368" t="s">
        <v>46</v>
      </c>
      <c r="I8" s="373" t="s">
        <v>718</v>
      </c>
      <c r="J8" s="368">
        <v>1</v>
      </c>
      <c r="K8" s="368">
        <v>2</v>
      </c>
      <c r="L8" s="368">
        <v>2</v>
      </c>
      <c r="M8" s="368" t="s">
        <v>47</v>
      </c>
      <c r="O8" s="812">
        <v>4</v>
      </c>
      <c r="P8" s="812" t="s">
        <v>881</v>
      </c>
      <c r="Q8" s="812" t="s">
        <v>882</v>
      </c>
      <c r="R8" s="812" t="s">
        <v>883</v>
      </c>
      <c r="S8" s="812" t="s">
        <v>884</v>
      </c>
    </row>
    <row r="9" spans="1:19" s="473" customFormat="1" ht="59.25" customHeight="1">
      <c r="A9" s="367">
        <v>5</v>
      </c>
      <c r="B9" s="368" t="s">
        <v>847</v>
      </c>
      <c r="C9" s="368" t="s">
        <v>848</v>
      </c>
      <c r="D9" s="368" t="s">
        <v>849</v>
      </c>
      <c r="E9" s="368">
        <v>3</v>
      </c>
      <c r="F9" s="368">
        <v>3</v>
      </c>
      <c r="G9" s="368">
        <v>9</v>
      </c>
      <c r="H9" s="368" t="s">
        <v>46</v>
      </c>
      <c r="I9" s="373" t="s">
        <v>850</v>
      </c>
      <c r="J9" s="368">
        <v>2</v>
      </c>
      <c r="K9" s="368">
        <v>2</v>
      </c>
      <c r="L9" s="368">
        <v>4</v>
      </c>
      <c r="M9" s="368" t="s">
        <v>48</v>
      </c>
      <c r="O9" s="812">
        <v>5</v>
      </c>
      <c r="P9" s="812" t="s">
        <v>885</v>
      </c>
      <c r="Q9" s="812" t="s">
        <v>886</v>
      </c>
      <c r="R9" s="812" t="s">
        <v>887</v>
      </c>
      <c r="S9" s="812" t="s">
        <v>888</v>
      </c>
    </row>
    <row r="10" spans="1:19" s="473" customFormat="1" ht="59.25" customHeight="1">
      <c r="A10" s="367">
        <v>6</v>
      </c>
      <c r="B10" s="368" t="s">
        <v>851</v>
      </c>
      <c r="C10" s="368" t="s">
        <v>852</v>
      </c>
      <c r="D10" s="368" t="s">
        <v>853</v>
      </c>
      <c r="E10" s="368">
        <v>1</v>
      </c>
      <c r="F10" s="368">
        <v>2</v>
      </c>
      <c r="G10" s="368">
        <v>2</v>
      </c>
      <c r="H10" s="368" t="s">
        <v>48</v>
      </c>
      <c r="I10" s="373" t="s">
        <v>854</v>
      </c>
      <c r="J10" s="368">
        <v>1</v>
      </c>
      <c r="K10" s="368">
        <v>1</v>
      </c>
      <c r="L10" s="368">
        <v>1</v>
      </c>
      <c r="M10" s="368" t="s">
        <v>48</v>
      </c>
      <c r="O10" s="812">
        <v>6</v>
      </c>
      <c r="P10" s="812" t="s">
        <v>889</v>
      </c>
      <c r="Q10" s="812" t="s">
        <v>890</v>
      </c>
      <c r="R10" s="812" t="s">
        <v>891</v>
      </c>
      <c r="S10" s="812" t="s">
        <v>892</v>
      </c>
    </row>
    <row r="11" spans="1:19" s="183" customFormat="1" ht="54.75" customHeight="1">
      <c r="A11" s="367">
        <v>7</v>
      </c>
      <c r="B11" s="368" t="s">
        <v>855</v>
      </c>
      <c r="C11" s="368" t="s">
        <v>856</v>
      </c>
      <c r="D11" s="368" t="s">
        <v>857</v>
      </c>
      <c r="E11" s="368">
        <v>3</v>
      </c>
      <c r="F11" s="368">
        <v>2</v>
      </c>
      <c r="G11" s="368">
        <v>6</v>
      </c>
      <c r="H11" s="368" t="s">
        <v>46</v>
      </c>
      <c r="I11" s="373" t="s">
        <v>858</v>
      </c>
      <c r="J11" s="368">
        <v>2</v>
      </c>
      <c r="K11" s="368">
        <v>2</v>
      </c>
      <c r="L11" s="368">
        <v>4</v>
      </c>
      <c r="M11" s="368" t="s">
        <v>48</v>
      </c>
      <c r="O11" s="812">
        <v>7</v>
      </c>
      <c r="P11" s="812" t="s">
        <v>893</v>
      </c>
      <c r="Q11" s="812" t="s">
        <v>894</v>
      </c>
      <c r="R11" s="812" t="s">
        <v>895</v>
      </c>
      <c r="S11" s="812" t="s">
        <v>896</v>
      </c>
    </row>
    <row r="12" spans="1:19" s="200" customFormat="1" ht="15" customHeight="1">
      <c r="A12" s="612" t="s">
        <v>745</v>
      </c>
      <c r="B12" s="613"/>
      <c r="C12" s="613"/>
      <c r="D12" s="613"/>
      <c r="E12" s="613"/>
      <c r="F12" s="613"/>
      <c r="G12" s="613"/>
      <c r="H12" s="613"/>
      <c r="I12" s="613"/>
      <c r="J12" s="613"/>
      <c r="K12" s="613"/>
      <c r="L12" s="613"/>
      <c r="M12" s="614"/>
      <c r="O12" s="812">
        <v>8</v>
      </c>
      <c r="P12" s="812" t="s">
        <v>897</v>
      </c>
      <c r="Q12" s="812" t="s">
        <v>898</v>
      </c>
      <c r="R12" s="812" t="s">
        <v>899</v>
      </c>
      <c r="S12" s="812" t="s">
        <v>900</v>
      </c>
    </row>
    <row r="13" spans="1:19" s="200" customFormat="1" ht="15" customHeight="1">
      <c r="A13" s="615" t="s">
        <v>626</v>
      </c>
      <c r="B13" s="616"/>
      <c r="C13" s="616"/>
      <c r="D13" s="616"/>
      <c r="E13" s="616"/>
      <c r="F13" s="616"/>
      <c r="G13" s="616"/>
      <c r="H13" s="616"/>
      <c r="I13" s="616"/>
      <c r="J13" s="616"/>
      <c r="K13" s="616"/>
      <c r="L13" s="616"/>
      <c r="M13" s="617"/>
      <c r="O13" s="812">
        <v>9</v>
      </c>
      <c r="P13" s="812" t="s">
        <v>901</v>
      </c>
      <c r="Q13" s="812" t="s">
        <v>902</v>
      </c>
      <c r="R13" s="812" t="s">
        <v>903</v>
      </c>
      <c r="S13" s="812" t="s">
        <v>904</v>
      </c>
    </row>
    <row r="14" spans="1:19" s="200" customFormat="1" ht="15" customHeight="1">
      <c r="A14" s="603" t="s">
        <v>744</v>
      </c>
      <c r="B14" s="604"/>
      <c r="C14" s="604"/>
      <c r="D14" s="604"/>
      <c r="E14" s="604"/>
      <c r="F14" s="604"/>
      <c r="G14" s="604"/>
      <c r="H14" s="604"/>
      <c r="I14" s="604"/>
      <c r="J14" s="604"/>
      <c r="K14" s="604"/>
      <c r="L14" s="604"/>
      <c r="M14" s="605"/>
      <c r="O14" s="812">
        <v>10</v>
      </c>
      <c r="P14" s="812" t="s">
        <v>905</v>
      </c>
      <c r="Q14" s="812" t="s">
        <v>906</v>
      </c>
      <c r="R14" s="812" t="s">
        <v>907</v>
      </c>
      <c r="S14" s="812" t="s">
        <v>908</v>
      </c>
    </row>
    <row r="15" spans="1:19" s="200" customFormat="1" ht="15" customHeight="1">
      <c r="A15" s="606" t="s">
        <v>776</v>
      </c>
      <c r="B15" s="607"/>
      <c r="C15" s="607"/>
      <c r="D15" s="607"/>
      <c r="E15" s="607"/>
      <c r="F15" s="607"/>
      <c r="G15" s="607"/>
      <c r="H15" s="607"/>
      <c r="I15" s="607"/>
      <c r="J15" s="607"/>
      <c r="K15" s="607"/>
      <c r="L15" s="607"/>
      <c r="M15" s="608"/>
    </row>
    <row r="16" spans="1:19" s="195" customFormat="1" ht="15.75" customHeight="1">
      <c r="A16" s="265"/>
      <c r="B16" s="268" t="s">
        <v>330</v>
      </c>
      <c r="C16" s="253" t="s">
        <v>331</v>
      </c>
      <c r="D16" s="253" t="s">
        <v>335</v>
      </c>
      <c r="E16" s="490" t="s">
        <v>759</v>
      </c>
      <c r="F16" s="491"/>
      <c r="G16" s="492" t="s">
        <v>644</v>
      </c>
      <c r="H16" s="493"/>
      <c r="I16" s="494"/>
      <c r="J16" s="494"/>
      <c r="K16" s="495"/>
      <c r="L16" s="501" t="s">
        <v>643</v>
      </c>
      <c r="M16" s="501"/>
    </row>
    <row r="17" spans="1:13" s="195" customFormat="1" ht="15.75" customHeight="1">
      <c r="A17" s="265"/>
      <c r="B17" s="268">
        <v>0</v>
      </c>
      <c r="C17" s="253" t="s">
        <v>831</v>
      </c>
      <c r="D17" s="253" t="s">
        <v>777</v>
      </c>
      <c r="E17" s="496" t="s">
        <v>760</v>
      </c>
      <c r="F17" s="497"/>
      <c r="G17" s="492" t="s">
        <v>645</v>
      </c>
      <c r="H17" s="493"/>
      <c r="I17" s="493"/>
      <c r="J17" s="493"/>
      <c r="K17" s="498"/>
      <c r="L17" s="501" t="s">
        <v>778</v>
      </c>
      <c r="M17" s="501"/>
    </row>
    <row r="18" spans="1:13" s="195" customFormat="1" ht="15.75" customHeight="1">
      <c r="A18" s="256"/>
      <c r="B18" s="212"/>
      <c r="C18" s="253"/>
      <c r="D18" s="253"/>
      <c r="E18" s="499"/>
      <c r="F18" s="497"/>
      <c r="G18" s="490"/>
      <c r="H18" s="491"/>
      <c r="I18" s="491"/>
      <c r="J18" s="491"/>
      <c r="K18" s="500"/>
      <c r="L18" s="501"/>
      <c r="M18" s="501"/>
    </row>
    <row r="24" spans="1:13">
      <c r="A24" s="811"/>
      <c r="B24" s="811"/>
      <c r="C24" s="811"/>
      <c r="D24" s="811"/>
      <c r="E24" s="811"/>
    </row>
    <row r="25" spans="1:13">
      <c r="A25" s="812"/>
      <c r="B25" s="812"/>
      <c r="C25" s="812"/>
      <c r="D25" s="812"/>
      <c r="E25" s="812"/>
    </row>
    <row r="26" spans="1:13">
      <c r="A26" s="812"/>
      <c r="B26" s="812"/>
      <c r="C26" s="812"/>
      <c r="D26" s="812"/>
      <c r="E26" s="812"/>
    </row>
    <row r="27" spans="1:13">
      <c r="A27" s="812"/>
      <c r="B27" s="812"/>
      <c r="C27" s="812"/>
      <c r="D27" s="812"/>
      <c r="E27" s="812"/>
    </row>
    <row r="28" spans="1:13">
      <c r="A28" s="812"/>
      <c r="B28" s="812"/>
      <c r="C28" s="812"/>
      <c r="D28" s="812"/>
      <c r="E28" s="812"/>
    </row>
    <row r="29" spans="1:13">
      <c r="A29" s="812"/>
      <c r="B29" s="812"/>
      <c r="C29" s="812"/>
      <c r="D29" s="812"/>
      <c r="E29" s="812"/>
    </row>
    <row r="30" spans="1:13">
      <c r="A30" s="812"/>
      <c r="B30" s="812"/>
      <c r="C30" s="812"/>
      <c r="D30" s="812"/>
      <c r="E30" s="812"/>
    </row>
    <row r="31" spans="1:13">
      <c r="A31" s="812"/>
      <c r="B31" s="812"/>
      <c r="C31" s="812"/>
      <c r="D31" s="812"/>
      <c r="E31" s="812"/>
    </row>
    <row r="32" spans="1:13">
      <c r="A32" s="812"/>
      <c r="B32" s="812"/>
      <c r="C32" s="812"/>
      <c r="D32" s="812"/>
      <c r="E32" s="812"/>
    </row>
    <row r="33" spans="1:5">
      <c r="A33" s="812"/>
      <c r="B33" s="812"/>
      <c r="C33" s="812"/>
      <c r="D33" s="812"/>
      <c r="E33" s="812"/>
    </row>
    <row r="34" spans="1:5">
      <c r="A34" s="812"/>
      <c r="B34" s="812"/>
      <c r="C34" s="812"/>
      <c r="D34" s="812"/>
      <c r="E34" s="812"/>
    </row>
  </sheetData>
  <mergeCells count="23">
    <mergeCell ref="A15:M15"/>
    <mergeCell ref="A12:M12"/>
    <mergeCell ref="A13:M13"/>
    <mergeCell ref="A14:M14"/>
    <mergeCell ref="E1:M1"/>
    <mergeCell ref="A2:D2"/>
    <mergeCell ref="E2:M2"/>
    <mergeCell ref="A3:A4"/>
    <mergeCell ref="B3:B4"/>
    <mergeCell ref="C3:C4"/>
    <mergeCell ref="J3:M3"/>
    <mergeCell ref="D3:D4"/>
    <mergeCell ref="E3:H3"/>
    <mergeCell ref="I3:I4"/>
    <mergeCell ref="E18:F18"/>
    <mergeCell ref="G18:K18"/>
    <mergeCell ref="L18:M18"/>
    <mergeCell ref="E16:F16"/>
    <mergeCell ref="G16:K16"/>
    <mergeCell ref="L16:M16"/>
    <mergeCell ref="E17:F17"/>
    <mergeCell ref="G17:K17"/>
    <mergeCell ref="L17:M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32"/>
  <sheetViews>
    <sheetView showGridLines="0" topLeftCell="A4" zoomScale="68" zoomScaleNormal="68" workbookViewId="0">
      <selection activeCell="M6" sqref="M6"/>
    </sheetView>
  </sheetViews>
  <sheetFormatPr defaultColWidth="11.5703125" defaultRowHeight="18.75"/>
  <cols>
    <col min="1" max="1" width="4.85546875" style="40" customWidth="1"/>
    <col min="2" max="2" width="42" style="35" customWidth="1"/>
    <col min="3" max="3" width="28.140625" style="36" customWidth="1"/>
    <col min="4" max="4" width="34.28515625" style="37" customWidth="1"/>
    <col min="5" max="5" width="4.5703125" style="40" customWidth="1"/>
    <col min="6" max="6" width="5" style="40" customWidth="1"/>
    <col min="7" max="7" width="6.85546875" style="40" customWidth="1"/>
    <col min="8" max="8" width="19.5703125" style="40" customWidth="1"/>
    <col min="9" max="9" width="69" style="41" customWidth="1"/>
    <col min="10" max="11" width="5.42578125" style="41" customWidth="1"/>
    <col min="12" max="12" width="7.42578125" style="41" customWidth="1"/>
    <col min="13" max="13" width="20.42578125" style="40" customWidth="1"/>
    <col min="14" max="16384" width="11.5703125" style="40"/>
  </cols>
  <sheetData>
    <row r="1" spans="1:13" ht="9.75" customHeight="1" thickBot="1">
      <c r="A1" s="376"/>
      <c r="B1" s="377"/>
      <c r="C1" s="378"/>
      <c r="D1" s="379"/>
      <c r="E1" s="119"/>
      <c r="F1" s="119"/>
      <c r="G1" s="119"/>
      <c r="H1" s="119"/>
      <c r="I1" s="119"/>
      <c r="J1" s="119"/>
      <c r="K1" s="119"/>
      <c r="L1" s="119"/>
      <c r="M1" s="380"/>
    </row>
    <row r="2" spans="1:13" ht="93.75" customHeight="1">
      <c r="A2" s="381"/>
      <c r="B2" s="382"/>
      <c r="C2" s="502" t="s">
        <v>732</v>
      </c>
      <c r="D2" s="502"/>
      <c r="E2" s="502"/>
      <c r="F2" s="502"/>
      <c r="G2" s="502"/>
      <c r="H2" s="502"/>
      <c r="I2" s="119"/>
      <c r="J2" s="119"/>
      <c r="K2" s="119"/>
      <c r="L2" s="119"/>
      <c r="M2" s="120"/>
    </row>
    <row r="3" spans="1:13" s="44" customFormat="1" ht="45" customHeight="1">
      <c r="A3" s="776" t="s">
        <v>2</v>
      </c>
      <c r="B3" s="725" t="s">
        <v>382</v>
      </c>
      <c r="C3" s="725" t="s">
        <v>383</v>
      </c>
      <c r="D3" s="725" t="s">
        <v>384</v>
      </c>
      <c r="E3" s="725" t="s">
        <v>385</v>
      </c>
      <c r="F3" s="724"/>
      <c r="G3" s="724"/>
      <c r="H3" s="724"/>
      <c r="I3" s="725" t="s">
        <v>386</v>
      </c>
      <c r="J3" s="773" t="s">
        <v>387</v>
      </c>
      <c r="K3" s="774"/>
      <c r="L3" s="774"/>
      <c r="M3" s="775"/>
    </row>
    <row r="4" spans="1:13" s="44" customFormat="1" ht="57.75" customHeight="1">
      <c r="A4" s="776"/>
      <c r="B4" s="724"/>
      <c r="C4" s="724"/>
      <c r="D4" s="724"/>
      <c r="E4" s="141" t="s">
        <v>0</v>
      </c>
      <c r="F4" s="141" t="s">
        <v>1</v>
      </c>
      <c r="G4" s="141" t="s">
        <v>12</v>
      </c>
      <c r="H4" s="142" t="s">
        <v>388</v>
      </c>
      <c r="I4" s="724"/>
      <c r="J4" s="142" t="s">
        <v>0</v>
      </c>
      <c r="K4" s="141" t="s">
        <v>1</v>
      </c>
      <c r="L4" s="141" t="s">
        <v>12</v>
      </c>
      <c r="M4" s="149" t="s">
        <v>388</v>
      </c>
    </row>
    <row r="5" spans="1:13" s="44" customFormat="1" ht="266.25" customHeight="1">
      <c r="A5" s="383">
        <v>1</v>
      </c>
      <c r="B5" s="74" t="s">
        <v>733</v>
      </c>
      <c r="C5" s="16" t="s">
        <v>734</v>
      </c>
      <c r="D5" s="75" t="s">
        <v>735</v>
      </c>
      <c r="E5" s="45">
        <v>5</v>
      </c>
      <c r="F5" s="45">
        <v>1</v>
      </c>
      <c r="G5" s="45">
        <f>E5*F5</f>
        <v>5</v>
      </c>
      <c r="H5" s="46" t="s">
        <v>47</v>
      </c>
      <c r="I5" s="384" t="s">
        <v>736</v>
      </c>
      <c r="J5" s="46">
        <v>5</v>
      </c>
      <c r="K5" s="45">
        <v>0</v>
      </c>
      <c r="L5" s="45">
        <v>0</v>
      </c>
      <c r="M5" s="46" t="s">
        <v>47</v>
      </c>
    </row>
    <row r="6" spans="1:13" s="44" customFormat="1" ht="92.25" customHeight="1">
      <c r="A6" s="386">
        <v>2</v>
      </c>
      <c r="B6" s="16" t="s">
        <v>737</v>
      </c>
      <c r="C6" s="16" t="s">
        <v>738</v>
      </c>
      <c r="D6" s="17" t="s">
        <v>739</v>
      </c>
      <c r="E6" s="47">
        <v>5</v>
      </c>
      <c r="F6" s="47">
        <v>1</v>
      </c>
      <c r="G6" s="45">
        <v>5</v>
      </c>
      <c r="H6" s="48" t="s">
        <v>47</v>
      </c>
      <c r="I6" s="16" t="s">
        <v>740</v>
      </c>
      <c r="J6" s="46">
        <v>5</v>
      </c>
      <c r="K6" s="45">
        <v>0</v>
      </c>
      <c r="L6" s="45">
        <v>0</v>
      </c>
      <c r="M6" s="46" t="s">
        <v>47</v>
      </c>
    </row>
    <row r="7" spans="1:13" s="51" customFormat="1" ht="141.75" customHeight="1">
      <c r="A7" s="387">
        <v>3</v>
      </c>
      <c r="B7" s="178" t="s">
        <v>741</v>
      </c>
      <c r="C7" s="16" t="s">
        <v>738</v>
      </c>
      <c r="D7" s="388" t="s">
        <v>742</v>
      </c>
      <c r="E7" s="389">
        <v>5</v>
      </c>
      <c r="F7" s="389">
        <v>1</v>
      </c>
      <c r="G7" s="45">
        <v>5</v>
      </c>
      <c r="H7" s="289" t="s">
        <v>47</v>
      </c>
      <c r="I7" s="390" t="s">
        <v>743</v>
      </c>
      <c r="J7" s="46">
        <v>5</v>
      </c>
      <c r="K7" s="45">
        <v>0</v>
      </c>
      <c r="L7" s="45">
        <v>0</v>
      </c>
      <c r="M7" s="46" t="s">
        <v>47</v>
      </c>
    </row>
    <row r="8" spans="1:13" s="200" customFormat="1" ht="16.5" customHeight="1">
      <c r="A8" s="612" t="s">
        <v>745</v>
      </c>
      <c r="B8" s="613"/>
      <c r="C8" s="613"/>
      <c r="D8" s="613"/>
      <c r="E8" s="613"/>
      <c r="F8" s="613"/>
      <c r="G8" s="613"/>
      <c r="H8" s="613"/>
      <c r="I8" s="613"/>
      <c r="J8" s="613"/>
      <c r="K8" s="613"/>
      <c r="L8" s="613"/>
      <c r="M8" s="614"/>
    </row>
    <row r="9" spans="1:13" s="200" customFormat="1" ht="16.5" customHeight="1">
      <c r="A9" s="615" t="s">
        <v>626</v>
      </c>
      <c r="B9" s="616"/>
      <c r="C9" s="616"/>
      <c r="D9" s="616"/>
      <c r="E9" s="616"/>
      <c r="F9" s="616"/>
      <c r="G9" s="616"/>
      <c r="H9" s="616"/>
      <c r="I9" s="616"/>
      <c r="J9" s="616"/>
      <c r="K9" s="616"/>
      <c r="L9" s="616"/>
      <c r="M9" s="617"/>
    </row>
    <row r="10" spans="1:13" s="200" customFormat="1" ht="16.5" customHeight="1">
      <c r="A10" s="603" t="s">
        <v>744</v>
      </c>
      <c r="B10" s="604"/>
      <c r="C10" s="604"/>
      <c r="D10" s="604"/>
      <c r="E10" s="604"/>
      <c r="F10" s="604"/>
      <c r="G10" s="604"/>
      <c r="H10" s="604"/>
      <c r="I10" s="604"/>
      <c r="J10" s="604"/>
      <c r="K10" s="604"/>
      <c r="L10" s="604"/>
      <c r="M10" s="605"/>
    </row>
    <row r="11" spans="1:13" s="200" customFormat="1" ht="16.5" customHeight="1">
      <c r="A11" s="606" t="s">
        <v>627</v>
      </c>
      <c r="B11" s="607"/>
      <c r="C11" s="607"/>
      <c r="D11" s="607"/>
      <c r="E11" s="607"/>
      <c r="F11" s="607"/>
      <c r="G11" s="607"/>
      <c r="H11" s="607"/>
      <c r="I11" s="607"/>
      <c r="J11" s="607"/>
      <c r="K11" s="607"/>
      <c r="L11" s="607"/>
      <c r="M11" s="608"/>
    </row>
    <row r="12" spans="1:13" s="195" customFormat="1" ht="15.75" customHeight="1">
      <c r="A12" s="265"/>
      <c r="B12" s="268" t="s">
        <v>330</v>
      </c>
      <c r="C12" s="253" t="s">
        <v>331</v>
      </c>
      <c r="D12" s="253" t="s">
        <v>335</v>
      </c>
      <c r="E12" s="490" t="s">
        <v>759</v>
      </c>
      <c r="F12" s="491"/>
      <c r="G12" s="492" t="s">
        <v>644</v>
      </c>
      <c r="H12" s="493"/>
      <c r="I12" s="494"/>
      <c r="J12" s="494"/>
      <c r="K12" s="495"/>
      <c r="L12" s="501" t="s">
        <v>643</v>
      </c>
      <c r="M12" s="501"/>
    </row>
    <row r="13" spans="1:13" s="195" customFormat="1" ht="15.75" customHeight="1">
      <c r="A13" s="265"/>
      <c r="B13" s="268">
        <v>0</v>
      </c>
      <c r="C13" s="253" t="s">
        <v>779</v>
      </c>
      <c r="D13" s="253" t="s">
        <v>777</v>
      </c>
      <c r="E13" s="496" t="s">
        <v>760</v>
      </c>
      <c r="F13" s="497"/>
      <c r="G13" s="492" t="s">
        <v>645</v>
      </c>
      <c r="H13" s="493"/>
      <c r="I13" s="493"/>
      <c r="J13" s="493"/>
      <c r="K13" s="498"/>
      <c r="L13" s="501" t="s">
        <v>780</v>
      </c>
      <c r="M13" s="501"/>
    </row>
    <row r="14" spans="1:13" s="195" customFormat="1" ht="15.75" customHeight="1">
      <c r="A14" s="256"/>
      <c r="B14" s="212"/>
      <c r="C14" s="253"/>
      <c r="D14" s="253"/>
      <c r="E14" s="499"/>
      <c r="F14" s="497"/>
      <c r="G14" s="490"/>
      <c r="H14" s="491"/>
      <c r="I14" s="491"/>
      <c r="J14" s="491"/>
      <c r="K14" s="500"/>
      <c r="L14" s="501"/>
      <c r="M14" s="501"/>
    </row>
    <row r="15" spans="1:13" s="55" customFormat="1">
      <c r="A15" s="576"/>
      <c r="B15" s="576"/>
      <c r="C15" s="576"/>
      <c r="D15" s="576"/>
      <c r="E15" s="576"/>
      <c r="F15" s="576"/>
      <c r="G15" s="576"/>
      <c r="H15" s="576"/>
      <c r="I15" s="576"/>
      <c r="J15" s="576"/>
      <c r="K15" s="576"/>
      <c r="L15" s="576"/>
      <c r="M15" s="576"/>
    </row>
    <row r="16" spans="1:13" s="55" customFormat="1">
      <c r="B16" s="30"/>
      <c r="C16" s="31"/>
      <c r="D16" s="34"/>
      <c r="G16" s="50"/>
      <c r="I16" s="59"/>
      <c r="J16" s="59"/>
      <c r="K16" s="59"/>
      <c r="L16" s="59"/>
    </row>
    <row r="17" spans="1:13" s="55" customFormat="1">
      <c r="B17" s="30"/>
      <c r="C17" s="33"/>
      <c r="D17" s="34"/>
      <c r="G17" s="50"/>
      <c r="I17" s="59"/>
      <c r="J17" s="59"/>
      <c r="K17" s="59"/>
      <c r="L17" s="59"/>
    </row>
    <row r="18" spans="1:13">
      <c r="A18" s="55"/>
      <c r="B18" s="30"/>
      <c r="C18" s="33"/>
      <c r="D18" s="34"/>
      <c r="E18" s="55"/>
      <c r="F18" s="55"/>
      <c r="G18" s="50"/>
      <c r="H18" s="55"/>
      <c r="I18" s="59"/>
      <c r="J18" s="59"/>
      <c r="K18" s="59"/>
      <c r="L18" s="59"/>
      <c r="M18" s="55"/>
    </row>
    <row r="19" spans="1:13">
      <c r="A19" s="55"/>
      <c r="B19" s="30"/>
      <c r="C19" s="33"/>
      <c r="D19" s="34"/>
      <c r="E19" s="55"/>
      <c r="F19" s="55"/>
      <c r="G19" s="50"/>
      <c r="H19" s="55"/>
      <c r="I19" s="59"/>
      <c r="J19" s="59"/>
      <c r="K19" s="59"/>
      <c r="L19" s="59"/>
      <c r="M19" s="55"/>
    </row>
    <row r="20" spans="1:13">
      <c r="G20" s="39"/>
    </row>
    <row r="21" spans="1:13">
      <c r="C21" s="38"/>
      <c r="G21" s="39"/>
    </row>
    <row r="22" spans="1:13">
      <c r="C22" s="38"/>
      <c r="G22" s="39"/>
    </row>
    <row r="23" spans="1:13">
      <c r="C23" s="38"/>
      <c r="G23" s="39"/>
    </row>
    <row r="24" spans="1:13">
      <c r="C24" s="38"/>
      <c r="G24" s="39"/>
      <c r="I24" s="60"/>
    </row>
    <row r="25" spans="1:13" s="55" customFormat="1">
      <c r="A25" s="40"/>
      <c r="B25" s="35"/>
      <c r="C25" s="38"/>
      <c r="D25" s="37"/>
      <c r="E25" s="40"/>
      <c r="F25" s="40"/>
      <c r="G25" s="39"/>
      <c r="H25" s="40"/>
      <c r="I25" s="60"/>
      <c r="J25" s="41"/>
      <c r="K25" s="41"/>
      <c r="L25" s="41"/>
      <c r="M25" s="40"/>
    </row>
    <row r="26" spans="1:13">
      <c r="G26" s="39"/>
    </row>
    <row r="27" spans="1:13">
      <c r="A27" s="561"/>
      <c r="B27" s="561"/>
      <c r="C27" s="561"/>
      <c r="D27" s="561"/>
      <c r="E27" s="561"/>
      <c r="F27" s="561"/>
      <c r="G27" s="561"/>
      <c r="H27" s="561"/>
      <c r="I27" s="561"/>
      <c r="J27" s="561"/>
      <c r="K27" s="561"/>
      <c r="L27" s="561"/>
      <c r="M27" s="561"/>
    </row>
    <row r="28" spans="1:13">
      <c r="C28" s="38"/>
      <c r="G28" s="39"/>
    </row>
    <row r="29" spans="1:13">
      <c r="G29" s="39"/>
    </row>
    <row r="30" spans="1:13">
      <c r="G30" s="39"/>
    </row>
    <row r="31" spans="1:13">
      <c r="G31" s="39"/>
    </row>
    <row r="32" spans="1:13">
      <c r="G32" s="39"/>
    </row>
  </sheetData>
  <mergeCells count="23">
    <mergeCell ref="G14:K14"/>
    <mergeCell ref="C2:H2"/>
    <mergeCell ref="A3:A4"/>
    <mergeCell ref="B3:B4"/>
    <mergeCell ref="C3:C4"/>
    <mergeCell ref="D3:D4"/>
    <mergeCell ref="E3:H3"/>
    <mergeCell ref="L14:M14"/>
    <mergeCell ref="I3:I4"/>
    <mergeCell ref="J3:M3"/>
    <mergeCell ref="A15:M15"/>
    <mergeCell ref="A27:M27"/>
    <mergeCell ref="A8:M8"/>
    <mergeCell ref="A9:M9"/>
    <mergeCell ref="A10:M10"/>
    <mergeCell ref="A11:M11"/>
    <mergeCell ref="E12:F12"/>
    <mergeCell ref="G12:K12"/>
    <mergeCell ref="L12:M12"/>
    <mergeCell ref="E13:F13"/>
    <mergeCell ref="G13:K13"/>
    <mergeCell ref="L13:M13"/>
    <mergeCell ref="E14:F1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N40"/>
  <sheetViews>
    <sheetView showGridLines="0" zoomScale="70" zoomScaleNormal="70" workbookViewId="0">
      <selection activeCell="J7" sqref="J7"/>
    </sheetView>
  </sheetViews>
  <sheetFormatPr defaultColWidth="11.5703125" defaultRowHeight="12.75"/>
  <cols>
    <col min="1" max="1" width="5" style="429" customWidth="1"/>
    <col min="2" max="2" width="4.85546875" style="429" customWidth="1"/>
    <col min="3" max="3" width="38.140625" style="446" customWidth="1"/>
    <col min="4" max="4" width="13.5703125" style="446" customWidth="1"/>
    <col min="5" max="5" width="43.28515625" style="447" customWidth="1"/>
    <col min="6" max="8" width="7.85546875" style="429" customWidth="1"/>
    <col min="9" max="9" width="11.7109375" style="429" customWidth="1"/>
    <col min="10" max="10" width="78.85546875" style="449" customWidth="1"/>
    <col min="11" max="13" width="7.140625" style="430" customWidth="1"/>
    <col min="14" max="14" width="11.42578125" style="450" customWidth="1"/>
    <col min="15" max="16384" width="11.5703125" style="429"/>
  </cols>
  <sheetData>
    <row r="1" spans="2:14" ht="30.75" customHeight="1">
      <c r="B1" s="426"/>
      <c r="C1" s="427"/>
      <c r="D1" s="427"/>
      <c r="E1" s="427"/>
      <c r="F1" s="427"/>
      <c r="G1" s="427"/>
      <c r="H1" s="427"/>
      <c r="I1" s="427"/>
      <c r="J1" s="427"/>
      <c r="K1" s="427"/>
      <c r="L1" s="427"/>
      <c r="M1" s="427"/>
      <c r="N1" s="428"/>
    </row>
    <row r="2" spans="2:14" s="422" customFormat="1" ht="78.75" customHeight="1">
      <c r="B2" s="423"/>
      <c r="C2" s="424"/>
      <c r="D2" s="424" t="s">
        <v>637</v>
      </c>
      <c r="E2" s="424"/>
      <c r="F2" s="424"/>
      <c r="G2" s="424"/>
      <c r="H2" s="424"/>
      <c r="I2" s="424"/>
      <c r="J2" s="424"/>
      <c r="K2" s="424"/>
      <c r="L2" s="424"/>
      <c r="M2" s="424"/>
      <c r="N2" s="425"/>
    </row>
    <row r="3" spans="2:14" s="430" customFormat="1" ht="38.25" customHeight="1">
      <c r="B3" s="780" t="s">
        <v>2</v>
      </c>
      <c r="C3" s="802" t="s">
        <v>667</v>
      </c>
      <c r="D3" s="781" t="s">
        <v>3</v>
      </c>
      <c r="E3" s="781"/>
      <c r="F3" s="780" t="s">
        <v>4</v>
      </c>
      <c r="G3" s="780"/>
      <c r="H3" s="780"/>
      <c r="I3" s="780"/>
      <c r="J3" s="777" t="s">
        <v>7</v>
      </c>
      <c r="K3" s="779" t="s">
        <v>8</v>
      </c>
      <c r="L3" s="780"/>
      <c r="M3" s="780"/>
      <c r="N3" s="780"/>
    </row>
    <row r="4" spans="2:14" s="430" customFormat="1" ht="26.25" customHeight="1">
      <c r="B4" s="780"/>
      <c r="C4" s="802"/>
      <c r="D4" s="781"/>
      <c r="E4" s="781"/>
      <c r="F4" s="431" t="s">
        <v>1</v>
      </c>
      <c r="G4" s="431" t="s">
        <v>0</v>
      </c>
      <c r="H4" s="432" t="s">
        <v>542</v>
      </c>
      <c r="I4" s="431" t="s">
        <v>5</v>
      </c>
      <c r="J4" s="778"/>
      <c r="K4" s="431" t="s">
        <v>1</v>
      </c>
      <c r="L4" s="431" t="s">
        <v>0</v>
      </c>
      <c r="M4" s="432" t="s">
        <v>542</v>
      </c>
      <c r="N4" s="431" t="s">
        <v>9</v>
      </c>
    </row>
    <row r="5" spans="2:14" s="430" customFormat="1" ht="159" customHeight="1">
      <c r="B5" s="433">
        <v>1</v>
      </c>
      <c r="C5" s="434" t="s">
        <v>632</v>
      </c>
      <c r="D5" s="800" t="s">
        <v>668</v>
      </c>
      <c r="E5" s="801"/>
      <c r="F5" s="433">
        <v>3</v>
      </c>
      <c r="G5" s="433">
        <v>3</v>
      </c>
      <c r="H5" s="433">
        <v>9</v>
      </c>
      <c r="I5" s="435" t="s">
        <v>46</v>
      </c>
      <c r="J5" s="436" t="s">
        <v>633</v>
      </c>
      <c r="K5" s="435">
        <v>2</v>
      </c>
      <c r="L5" s="433">
        <v>2</v>
      </c>
      <c r="M5" s="433">
        <v>4</v>
      </c>
      <c r="N5" s="435" t="s">
        <v>47</v>
      </c>
    </row>
    <row r="6" spans="2:14" s="430" customFormat="1" ht="137.25" customHeight="1">
      <c r="B6" s="433">
        <v>2</v>
      </c>
      <c r="C6" s="434" t="s">
        <v>793</v>
      </c>
      <c r="D6" s="800" t="s">
        <v>669</v>
      </c>
      <c r="E6" s="801"/>
      <c r="F6" s="433">
        <v>3</v>
      </c>
      <c r="G6" s="433">
        <v>3</v>
      </c>
      <c r="H6" s="433">
        <v>9</v>
      </c>
      <c r="I6" s="435" t="s">
        <v>46</v>
      </c>
      <c r="J6" s="436" t="s">
        <v>634</v>
      </c>
      <c r="K6" s="435">
        <v>1</v>
      </c>
      <c r="L6" s="433">
        <v>3</v>
      </c>
      <c r="M6" s="433">
        <v>3</v>
      </c>
      <c r="N6" s="435" t="s">
        <v>47</v>
      </c>
    </row>
    <row r="7" spans="2:14" s="430" customFormat="1" ht="123.75" customHeight="1">
      <c r="B7" s="433">
        <v>3</v>
      </c>
      <c r="C7" s="434" t="s">
        <v>635</v>
      </c>
      <c r="D7" s="800" t="s">
        <v>670</v>
      </c>
      <c r="E7" s="801"/>
      <c r="F7" s="433">
        <v>3</v>
      </c>
      <c r="G7" s="433">
        <v>1</v>
      </c>
      <c r="H7" s="433">
        <v>3</v>
      </c>
      <c r="I7" s="435" t="s">
        <v>47</v>
      </c>
      <c r="J7" s="436" t="s">
        <v>794</v>
      </c>
      <c r="K7" s="435">
        <v>2</v>
      </c>
      <c r="L7" s="433">
        <v>1</v>
      </c>
      <c r="M7" s="433">
        <v>2</v>
      </c>
      <c r="N7" s="435" t="s">
        <v>47</v>
      </c>
    </row>
    <row r="8" spans="2:14" s="430" customFormat="1" ht="161.25" customHeight="1">
      <c r="B8" s="433">
        <v>4</v>
      </c>
      <c r="C8" s="437" t="s">
        <v>636</v>
      </c>
      <c r="D8" s="782" t="s">
        <v>671</v>
      </c>
      <c r="E8" s="783"/>
      <c r="F8" s="438">
        <v>1</v>
      </c>
      <c r="G8" s="438">
        <v>3</v>
      </c>
      <c r="H8" s="438">
        <v>3</v>
      </c>
      <c r="I8" s="437" t="s">
        <v>47</v>
      </c>
      <c r="J8" s="439" t="s">
        <v>797</v>
      </c>
      <c r="K8" s="435">
        <v>1</v>
      </c>
      <c r="L8" s="433">
        <v>2</v>
      </c>
      <c r="M8" s="433">
        <v>2</v>
      </c>
      <c r="N8" s="435" t="s">
        <v>47</v>
      </c>
    </row>
    <row r="9" spans="2:14" s="440" customFormat="1" ht="18.75" customHeight="1">
      <c r="B9" s="791" t="s">
        <v>745</v>
      </c>
      <c r="C9" s="792"/>
      <c r="D9" s="792"/>
      <c r="E9" s="792"/>
      <c r="F9" s="792"/>
      <c r="G9" s="792"/>
      <c r="H9" s="792"/>
      <c r="I9" s="792"/>
      <c r="J9" s="792"/>
      <c r="K9" s="792"/>
      <c r="L9" s="792"/>
      <c r="M9" s="792"/>
      <c r="N9" s="793"/>
    </row>
    <row r="10" spans="2:14" s="440" customFormat="1" ht="18.75" customHeight="1">
      <c r="B10" s="794" t="s">
        <v>626</v>
      </c>
      <c r="C10" s="795"/>
      <c r="D10" s="795"/>
      <c r="E10" s="795"/>
      <c r="F10" s="795"/>
      <c r="G10" s="795"/>
      <c r="H10" s="795"/>
      <c r="I10" s="795"/>
      <c r="J10" s="795"/>
      <c r="K10" s="795"/>
      <c r="L10" s="795"/>
      <c r="M10" s="795"/>
      <c r="N10" s="796"/>
    </row>
    <row r="11" spans="2:14" s="440" customFormat="1" ht="18.75" customHeight="1">
      <c r="B11" s="797" t="s">
        <v>746</v>
      </c>
      <c r="C11" s="798"/>
      <c r="D11" s="798"/>
      <c r="E11" s="798"/>
      <c r="F11" s="798"/>
      <c r="G11" s="798"/>
      <c r="H11" s="798"/>
      <c r="I11" s="798"/>
      <c r="J11" s="798"/>
      <c r="K11" s="798"/>
      <c r="L11" s="798"/>
      <c r="M11" s="798"/>
      <c r="N11" s="799"/>
    </row>
    <row r="12" spans="2:14" s="440" customFormat="1" ht="18.75" customHeight="1">
      <c r="B12" s="803" t="s">
        <v>627</v>
      </c>
      <c r="C12" s="804"/>
      <c r="D12" s="804"/>
      <c r="E12" s="804"/>
      <c r="F12" s="804"/>
      <c r="G12" s="804"/>
      <c r="H12" s="804"/>
      <c r="I12" s="804"/>
      <c r="J12" s="804"/>
      <c r="K12" s="804"/>
      <c r="L12" s="804"/>
      <c r="M12" s="804"/>
      <c r="N12" s="805"/>
    </row>
    <row r="13" spans="2:14" s="445" customFormat="1" ht="24" customHeight="1">
      <c r="B13" s="434" t="s">
        <v>330</v>
      </c>
      <c r="C13" s="441" t="s">
        <v>674</v>
      </c>
      <c r="D13" s="442" t="s">
        <v>642</v>
      </c>
      <c r="E13" s="784" t="s">
        <v>332</v>
      </c>
      <c r="F13" s="784"/>
      <c r="G13" s="443" t="s">
        <v>333</v>
      </c>
      <c r="H13" s="444"/>
      <c r="I13" s="788" t="s">
        <v>644</v>
      </c>
      <c r="J13" s="789"/>
      <c r="K13" s="790"/>
      <c r="L13" s="785" t="s">
        <v>643</v>
      </c>
      <c r="M13" s="786"/>
      <c r="N13" s="787"/>
    </row>
    <row r="14" spans="2:14" s="445" customFormat="1" ht="20.25" customHeight="1">
      <c r="B14" s="434">
        <v>1</v>
      </c>
      <c r="C14" s="441" t="s">
        <v>832</v>
      </c>
      <c r="D14" s="442">
        <v>0</v>
      </c>
      <c r="E14" s="808">
        <v>43191</v>
      </c>
      <c r="F14" s="784"/>
      <c r="G14" s="809">
        <v>0</v>
      </c>
      <c r="H14" s="810"/>
      <c r="I14" s="788" t="s">
        <v>645</v>
      </c>
      <c r="J14" s="789"/>
      <c r="K14" s="790"/>
      <c r="L14" s="785" t="s">
        <v>672</v>
      </c>
      <c r="M14" s="786"/>
      <c r="N14" s="787"/>
    </row>
    <row r="15" spans="2:14" s="445" customFormat="1" ht="20.25" customHeight="1">
      <c r="B15" s="434"/>
      <c r="C15" s="457" t="s">
        <v>832</v>
      </c>
      <c r="D15" s="442">
        <v>1</v>
      </c>
      <c r="E15" s="808">
        <v>44657</v>
      </c>
      <c r="F15" s="784"/>
      <c r="G15" s="809">
        <v>1</v>
      </c>
      <c r="H15" s="810"/>
      <c r="I15" s="788" t="s">
        <v>673</v>
      </c>
      <c r="J15" s="789"/>
      <c r="K15" s="790"/>
      <c r="L15" s="785" t="s">
        <v>672</v>
      </c>
      <c r="M15" s="786"/>
      <c r="N15" s="787"/>
    </row>
    <row r="16" spans="2:14">
      <c r="H16" s="448"/>
    </row>
    <row r="17" spans="2:14">
      <c r="H17" s="448"/>
    </row>
    <row r="18" spans="2:14">
      <c r="C18" s="451"/>
      <c r="D18" s="451"/>
      <c r="H18" s="448"/>
    </row>
    <row r="19" spans="2:14">
      <c r="C19" s="451"/>
      <c r="D19" s="451"/>
      <c r="H19" s="448"/>
    </row>
    <row r="20" spans="2:14">
      <c r="C20" s="451"/>
      <c r="D20" s="451"/>
      <c r="H20" s="448"/>
    </row>
    <row r="21" spans="2:14">
      <c r="C21" s="451"/>
      <c r="D21" s="451"/>
      <c r="H21" s="448"/>
    </row>
    <row r="22" spans="2:14">
      <c r="C22" s="451"/>
      <c r="D22" s="451"/>
      <c r="H22" s="448"/>
    </row>
    <row r="23" spans="2:14">
      <c r="B23" s="806"/>
      <c r="C23" s="806"/>
      <c r="D23" s="806"/>
      <c r="E23" s="806"/>
      <c r="F23" s="806"/>
      <c r="G23" s="806"/>
      <c r="H23" s="806"/>
      <c r="I23" s="806"/>
      <c r="J23" s="806"/>
      <c r="K23" s="806"/>
      <c r="L23" s="806"/>
      <c r="M23" s="806"/>
      <c r="N23" s="806"/>
    </row>
    <row r="24" spans="2:14">
      <c r="C24" s="451"/>
      <c r="D24" s="451"/>
      <c r="H24" s="448"/>
    </row>
    <row r="25" spans="2:14">
      <c r="H25" s="448"/>
    </row>
    <row r="26" spans="2:14">
      <c r="H26" s="448"/>
    </row>
    <row r="27" spans="2:14">
      <c r="H27" s="448"/>
    </row>
    <row r="28" spans="2:14">
      <c r="H28" s="448"/>
    </row>
    <row r="29" spans="2:14">
      <c r="C29" s="451"/>
      <c r="D29" s="451"/>
      <c r="H29" s="448"/>
    </row>
    <row r="30" spans="2:14">
      <c r="C30" s="451"/>
      <c r="D30" s="451"/>
      <c r="H30" s="448"/>
    </row>
    <row r="31" spans="2:14">
      <c r="C31" s="451"/>
      <c r="D31" s="451"/>
      <c r="H31" s="448"/>
    </row>
    <row r="32" spans="2:14">
      <c r="C32" s="451"/>
      <c r="D32" s="451"/>
      <c r="H32" s="448"/>
    </row>
    <row r="33" spans="2:14">
      <c r="C33" s="451"/>
      <c r="D33" s="451"/>
      <c r="H33" s="448"/>
    </row>
    <row r="34" spans="2:14">
      <c r="H34" s="448"/>
    </row>
    <row r="35" spans="2:14">
      <c r="B35" s="807"/>
      <c r="C35" s="807"/>
      <c r="D35" s="807"/>
      <c r="E35" s="807"/>
      <c r="F35" s="807"/>
      <c r="G35" s="807"/>
      <c r="H35" s="807"/>
      <c r="I35" s="807"/>
      <c r="J35" s="807"/>
      <c r="K35" s="807"/>
      <c r="L35" s="807"/>
      <c r="M35" s="807"/>
      <c r="N35" s="807"/>
    </row>
    <row r="36" spans="2:14">
      <c r="C36" s="451"/>
      <c r="D36" s="451"/>
      <c r="H36" s="448"/>
    </row>
    <row r="37" spans="2:14">
      <c r="H37" s="448"/>
    </row>
    <row r="38" spans="2:14">
      <c r="H38" s="448"/>
    </row>
    <row r="39" spans="2:14">
      <c r="H39" s="448"/>
    </row>
    <row r="40" spans="2:14">
      <c r="H40" s="448"/>
    </row>
  </sheetData>
  <mergeCells count="27">
    <mergeCell ref="L15:N15"/>
    <mergeCell ref="B12:N12"/>
    <mergeCell ref="B23:N23"/>
    <mergeCell ref="B35:N35"/>
    <mergeCell ref="E14:F14"/>
    <mergeCell ref="G14:H14"/>
    <mergeCell ref="I14:K14"/>
    <mergeCell ref="L14:N14"/>
    <mergeCell ref="E15:F15"/>
    <mergeCell ref="G15:H15"/>
    <mergeCell ref="I15:K15"/>
    <mergeCell ref="J3:J4"/>
    <mergeCell ref="K3:N3"/>
    <mergeCell ref="D3:E4"/>
    <mergeCell ref="D8:E8"/>
    <mergeCell ref="E13:F13"/>
    <mergeCell ref="L13:N13"/>
    <mergeCell ref="I13:K13"/>
    <mergeCell ref="B9:N9"/>
    <mergeCell ref="B10:N10"/>
    <mergeCell ref="B11:N11"/>
    <mergeCell ref="D5:E5"/>
    <mergeCell ref="D6:E6"/>
    <mergeCell ref="D7:E7"/>
    <mergeCell ref="B3:B4"/>
    <mergeCell ref="C3:C4"/>
    <mergeCell ref="F3:I3"/>
  </mergeCells>
  <pageMargins left="0.7" right="0.7" top="0.75" bottom="0.75" header="0.3" footer="0.3"/>
  <pageSetup paperSize="9" scale="70" orientation="landscape" r:id="rId1"/>
  <drawing r:id="rId2"/>
</worksheet>
</file>

<file path=docProps/app.xml><?xml version="1.0" encoding="utf-8"?>
<Properties xmlns="http://schemas.openxmlformats.org/officeDocument/2006/extended-properties" xmlns:vt="http://schemas.openxmlformats.org/officeDocument/2006/docPropsVTypes">
  <Template/>
  <TotalTime>398</TotalTime>
  <Application>Microsoft Excel</Application>
  <DocSecurity>0</DocSecurity>
  <ScaleCrop>false</ScaleCrop>
  <HeadingPairs>
    <vt:vector size="4" baseType="variant">
      <vt:variant>
        <vt:lpstr>Worksheets</vt:lpstr>
      </vt:variant>
      <vt:variant>
        <vt:i4>23</vt:i4>
      </vt:variant>
      <vt:variant>
        <vt:lpstr>Named Ranges</vt:lpstr>
      </vt:variant>
      <vt:variant>
        <vt:i4>28</vt:i4>
      </vt:variant>
    </vt:vector>
  </HeadingPairs>
  <TitlesOfParts>
    <vt:vector size="51" baseType="lpstr">
      <vt:lpstr>KHSX</vt:lpstr>
      <vt:lpstr>PU</vt:lpstr>
      <vt:lpstr>Kho</vt:lpstr>
      <vt:lpstr>CNC</vt:lpstr>
      <vt:lpstr>Casting</vt:lpstr>
      <vt:lpstr>Painting</vt:lpstr>
      <vt:lpstr>Khuôn</vt:lpstr>
      <vt:lpstr>QC</vt:lpstr>
      <vt:lpstr>Sale</vt:lpstr>
      <vt:lpstr>Trimming</vt:lpstr>
      <vt:lpstr>QĐ 中文</vt:lpstr>
      <vt:lpstr>Polish Barrel Mai</vt:lpstr>
      <vt:lpstr>đúc nhựa (ok)</vt:lpstr>
      <vt:lpstr>lắp ráp (ok)</vt:lpstr>
      <vt:lpstr>Kho nguyên liệU (ok)</vt:lpstr>
      <vt:lpstr>Kho thành phẩm (OK)</vt:lpstr>
      <vt:lpstr>Nail (OK)</vt:lpstr>
      <vt:lpstr>Lông mi</vt:lpstr>
      <vt:lpstr>Cơ điện</vt:lpstr>
      <vt:lpstr>EHS</vt:lpstr>
      <vt:lpstr>RnD</vt:lpstr>
      <vt:lpstr>IT</vt:lpstr>
      <vt:lpstr>HR</vt:lpstr>
      <vt:lpstr>Casting!Print_Area</vt:lpstr>
      <vt:lpstr>CNC!Print_Area</vt:lpstr>
      <vt:lpstr>'đúc nhựa (ok)'!Print_Area</vt:lpstr>
      <vt:lpstr>Kho!Print_Area</vt:lpstr>
      <vt:lpstr>'Kho nguyên liệU (ok)'!Print_Area</vt:lpstr>
      <vt:lpstr>'Kho thành phẩm (OK)'!Print_Area</vt:lpstr>
      <vt:lpstr>KHSX!Print_Area</vt:lpstr>
      <vt:lpstr>'lắp ráp (ok)'!Print_Area</vt:lpstr>
      <vt:lpstr>'Lông mi'!Print_Area</vt:lpstr>
      <vt:lpstr>'Nail (OK)'!Print_Area</vt:lpstr>
      <vt:lpstr>Painting!Print_Area</vt:lpstr>
      <vt:lpstr>'Polish Barrel Mai'!Print_Area</vt:lpstr>
      <vt:lpstr>QC!Print_Area</vt:lpstr>
      <vt:lpstr>Trimming!Print_Area</vt:lpstr>
      <vt:lpstr>Casting!Print_Titles</vt:lpstr>
      <vt:lpstr>CNC!Print_Titles</vt:lpstr>
      <vt:lpstr>'đúc nhựa (ok)'!Print_Titles</vt:lpstr>
      <vt:lpstr>Kho!Print_Titles</vt:lpstr>
      <vt:lpstr>'Kho nguyên liệU (ok)'!Print_Titles</vt:lpstr>
      <vt:lpstr>'Kho thành phẩm (OK)'!Print_Titles</vt:lpstr>
      <vt:lpstr>KHSX!Print_Titles</vt:lpstr>
      <vt:lpstr>'lắp ráp (ok)'!Print_Titles</vt:lpstr>
      <vt:lpstr>'Lông mi'!Print_Titles</vt:lpstr>
      <vt:lpstr>'Nail (OK)'!Print_Titles</vt:lpstr>
      <vt:lpstr>Painting!Print_Titles</vt:lpstr>
      <vt:lpstr>'Polish Barrel Mai'!Print_Titles</vt:lpstr>
      <vt:lpstr>QC!Print_Titles</vt:lpstr>
      <vt:lpstr>Trimming!Print_Titles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manh nguyen quy</dc:creator>
  <cp:keywords/>
  <dc:description/>
  <cp:lastModifiedBy>DPC</cp:lastModifiedBy>
  <cp:revision>15</cp:revision>
  <cp:lastPrinted>2020-09-28T12:33:04Z</cp:lastPrinted>
  <dcterms:created xsi:type="dcterms:W3CDTF">2005-03-19T04:16:11Z</dcterms:created>
  <dcterms:modified xsi:type="dcterms:W3CDTF">2025-05-20T12:28:09Z</dcterms:modified>
</cp:coreProperties>
</file>